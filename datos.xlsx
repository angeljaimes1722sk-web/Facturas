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ado de Facturacion1" sheetId="1" r:id="rId4"/>
    <sheet state="visible" name="mayo-26" sheetId="2" r:id="rId5"/>
  </sheets>
  <definedNames>
    <definedName hidden="1" localSheetId="0" name="_xlnm._FilterDatabase">'Detallado de Facturacion1'!$A$1:$AV$1087</definedName>
  </definedNames>
  <calcPr/>
  <extLst>
    <ext uri="GoogleSheetsCustomDataVersion2">
      <go:sheetsCustomData xmlns:go="http://customooxmlschemas.google.com/" r:id="rId6" roundtripDataChecksum="RSx/Lxy3z+IpM06cQ8XFLLo954bjisIOA2iNNx52bjI="/>
    </ext>
  </extLst>
</workbook>
</file>

<file path=xl/sharedStrings.xml><?xml version="1.0" encoding="utf-8"?>
<sst xmlns="http://schemas.openxmlformats.org/spreadsheetml/2006/main" count="37597" uniqueCount="3445">
  <si>
    <t>CUFE</t>
  </si>
  <si>
    <t>Cliente</t>
  </si>
  <si>
    <t>Cuenta</t>
  </si>
  <si>
    <t>Producto</t>
  </si>
  <si>
    <t>NIC</t>
  </si>
  <si>
    <t>NIS</t>
  </si>
  <si>
    <t>Identificación</t>
  </si>
  <si>
    <t>Nombres</t>
  </si>
  <si>
    <t>direccion</t>
  </si>
  <si>
    <t>barrio</t>
  </si>
  <si>
    <t>Planilla</t>
  </si>
  <si>
    <t>Grupo empresarial</t>
  </si>
  <si>
    <t>Nombre Municipio</t>
  </si>
  <si>
    <t>Cod. Localidad</t>
  </si>
  <si>
    <t>Ciclo de consumo</t>
  </si>
  <si>
    <t>Plan de facturación</t>
  </si>
  <si>
    <t>Categoría</t>
  </si>
  <si>
    <t>Subcategoría</t>
  </si>
  <si>
    <t>Método de análisis</t>
  </si>
  <si>
    <t>Estado</t>
  </si>
  <si>
    <t>Año</t>
  </si>
  <si>
    <t>Mes(es)</t>
  </si>
  <si>
    <t>Factura</t>
  </si>
  <si>
    <t>Cuenta de cobro</t>
  </si>
  <si>
    <t>Generada el</t>
  </si>
  <si>
    <t>Vence el</t>
  </si>
  <si>
    <t>Total Cuenta</t>
  </si>
  <si>
    <t>Monto facturado</t>
  </si>
  <si>
    <t>Subsidio y/o Contribuciones</t>
  </si>
  <si>
    <t>Consumo</t>
  </si>
  <si>
    <t>VALOR INGRESOS INTERESES</t>
  </si>
  <si>
    <t>Valor De Financiaciones</t>
  </si>
  <si>
    <t>Cuota</t>
  </si>
  <si>
    <t>Interes Financiacion</t>
  </si>
  <si>
    <t>TOTAL IMPUESTO</t>
  </si>
  <si>
    <t>Saldo pendiente</t>
  </si>
  <si>
    <t>Deuda Total</t>
  </si>
  <si>
    <t>Cuentas Vencidas</t>
  </si>
  <si>
    <t>Valor_Otros</t>
  </si>
  <si>
    <t>Valor Nota</t>
  </si>
  <si>
    <t>Valor Movimiento SA</t>
  </si>
  <si>
    <t>Valor de pago</t>
  </si>
  <si>
    <t>Valor Movimiento AS</t>
  </si>
  <si>
    <t>Fecha de Pago</t>
  </si>
  <si>
    <t>CORREO</t>
  </si>
  <si>
    <t>MEDIO DE ENVIO</t>
  </si>
  <si>
    <t>responsable</t>
  </si>
  <si>
    <t>FECHA</t>
  </si>
  <si>
    <t>RESPONSABLE</t>
  </si>
  <si>
    <t>350df86281db5b15694e51b476565ff1883fd89dc00e172004c6f770c11448e7126108f0fa80511e760eb5424a0a844b</t>
  </si>
  <si>
    <t>ALCALDIA MUNICIPIO DE SANTIAGO</t>
  </si>
  <si>
    <t>DF</t>
  </si>
  <si>
    <t>CÚCUTA MPO</t>
  </si>
  <si>
    <t>CUCUTA ZONA SUR</t>
  </si>
  <si>
    <t>1001 - CICL FACT PARQUE GUAYABAL( 63)</t>
  </si>
  <si>
    <t>DIS. FINAL Y TRATAMIENTO</t>
  </si>
  <si>
    <t>NO RESIDENCIAL - ASEO GP</t>
  </si>
  <si>
    <t>OFICIAL</t>
  </si>
  <si>
    <t>AFORO PERMANENTE</t>
  </si>
  <si>
    <t>Ocupado</t>
  </si>
  <si>
    <t>09-06-2026</t>
  </si>
  <si>
    <t>04-07-2026</t>
  </si>
  <si>
    <t/>
  </si>
  <si>
    <t>caf805b515e6ebda323b20de9bf89e5d6848708156d0478096975ead5363d5490a44564c25edabc3291e63adea01ceca</t>
  </si>
  <si>
    <t>890503483-2</t>
  </si>
  <si>
    <t>ALCALDIA BUCARASICA</t>
  </si>
  <si>
    <t>d65219d66c87f03199cc557f5fba79ae46e40e729068fa919d87434013c8e038ed20f5bf89db573c8862fd1b67e0b970</t>
  </si>
  <si>
    <t>MUNICIPIO DE SAN CAYETANO</t>
  </si>
  <si>
    <t>cd658a72087c9a44a952156917330b59bde2aef8590acec5041a0f6871c62d6c535bab7c78b3360e475a5c94ed117c37</t>
  </si>
  <si>
    <t>901238264-9</t>
  </si>
  <si>
    <t>ADM PUB SERV PUBL DOMICILIA ACU ALC ASEO</t>
  </si>
  <si>
    <t>HERRAN</t>
  </si>
  <si>
    <t>INDUSTRIAL</t>
  </si>
  <si>
    <t>f07e386cc5fce54c23b35dbad28c861238398ee1e12f526fb84c13c35166b320361f8694e9e08c48fe112da98121e05b</t>
  </si>
  <si>
    <t>807005252-1</t>
  </si>
  <si>
    <t>ECOAMBIENTAL DEL NORTE SAS ESP</t>
  </si>
  <si>
    <t>SIN DETERMINAR</t>
  </si>
  <si>
    <t>fcece3941ddce843aa2003dfeeea1eb9cd2889a0d0b253358d4cf29fd5f671f7cbe70a13a1d94889f76dcb877ec31627</t>
  </si>
  <si>
    <t>807000581-5</t>
  </si>
  <si>
    <t>EMPRESAS PUBLICAS MUNICIPALES DE CHINACOTA EMCHINAC</t>
  </si>
  <si>
    <t>5840f4487b33aa9217b5f28a2ef480ab059183617a9ff3e113865ffb2155b4a606c468f4eb9b06796a39d4a2f2b7f48c</t>
  </si>
  <si>
    <t>ALCALDIA MUNICIPIO RAGONVALIA</t>
  </si>
  <si>
    <t>fbf1c2dd1c3bb63cfeb263fc2cffdfff24223ebb0853cb1c2f7cbb1163ee8e8160070b275578760e9f52b9dd9b950d2c</t>
  </si>
  <si>
    <t>MUNICIPIO DE VILLA CARO</t>
  </si>
  <si>
    <t>0ab2cea0dd7008f7b0b898e92f500160638cd18857df01a188e6a854b4c087b2a06cc73bbe6552c4d83cf637474868cb</t>
  </si>
  <si>
    <t>890501436-7</t>
  </si>
  <si>
    <t>ALCALDIA MUNICIPIO DE ARBOLEDAS</t>
  </si>
  <si>
    <t>e44282796a22a3c031e66db5d49fe2c2fae784aa87e9b7f851586321afb70780dd45a9a5d2bd597ebe3a17aa637ebf16</t>
  </si>
  <si>
    <t>EMPRESA DE SOLUCIONES AMBIENTALES PARA COLOMBIA S.A.S E.S.P</t>
  </si>
  <si>
    <t>CUCUTA DIRECTA</t>
  </si>
  <si>
    <t>COMERCIAL</t>
  </si>
  <si>
    <t>03e674c3056d416774e2ee5cf3966d4982ed57b24cce717c28350fa3f6b4641c6ab917ada2a71b881deba56073c44fb9</t>
  </si>
  <si>
    <t>PUBLICIDAD RINCON</t>
  </si>
  <si>
    <t>c396fc8fd75811e249bce7f4846ef20d946210752706e77ced56579fda73abe24803f727f135fbcd50c535f34731d3e3</t>
  </si>
  <si>
    <t>890506116-8</t>
  </si>
  <si>
    <t>ALCALDIA PAMPLONITA</t>
  </si>
  <si>
    <t>PAMPLONITA</t>
  </si>
  <si>
    <t>bbc396954ae12cd5a12e4232596af9e097d3c4dc4da740d6a7acd7d8831bf3b1352cea3f9b5f830138cbc4e4490ad08e</t>
  </si>
  <si>
    <t>EMPODURANIA</t>
  </si>
  <si>
    <t>033afab33dd33beba8a8b4700f911794905b7b5f5829644e8df048261057d6fbcf86eb7fba6c644b072ea45c6388fafb</t>
  </si>
  <si>
    <t>MUNICIPIO DE GRAMALOTE</t>
  </si>
  <si>
    <t>0697dffc97c87f25ba397afcd4c5ea4c6477c7e2a14c377a6ba26bb2e3925da64815ec4abf1d222ec98c718a20c6514e</t>
  </si>
  <si>
    <t>MUNICIPIO DE LOURDES</t>
  </si>
  <si>
    <t>ba0e1392a34c56a913f413bf4ed1e71c2ca2658a83c03ed5586fca35d46e5320961a354840cc60e4715478392c0d733b</t>
  </si>
  <si>
    <t>890501301-1</t>
  </si>
  <si>
    <t>SOCIEDAD MEJORAS PUBLICAS DE CUCUTA</t>
  </si>
  <si>
    <t>PESCADERO</t>
  </si>
  <si>
    <t>40e7d18a76330c0d03c5b075533c401d73e2e3b7d02e458b9b702b2ab10f0b8a9343853801ff0acdf7b86e8c20af0ae6</t>
  </si>
  <si>
    <t>800250853-1</t>
  </si>
  <si>
    <t>ALCALDIA MUNICIPAL PUERTO SANT</t>
  </si>
  <si>
    <t>511cc5f8215fbac624389cbc6be81486fd02b113fbb5ee5cc52d18ea4b450c5a667379322d02c4970f692d93114d51fa</t>
  </si>
  <si>
    <t>800099263-8</t>
  </si>
  <si>
    <t>MUNICIPIO DE SARDINATA</t>
  </si>
  <si>
    <t>9e0f72d6ac1ca8dea3e73c892ea804001cd75eb41d2bf51dd9dc345e3baff3e40d17cc767e94091784f9b0d6b688a388</t>
  </si>
  <si>
    <t>MPIO DE SALAZAR DE LAS PALMAS</t>
  </si>
  <si>
    <t>235eb13c11bfae5cc864908b4cc63d0454ae6fcb88e5730d02bc3f78058c0107e8f05a4ad17d2e28b68340b98042d407</t>
  </si>
  <si>
    <t>EMZULIA  E.S.P</t>
  </si>
  <si>
    <t>b015e76d8cd7b4283b2939c11b585a598e48edb0c3ed9d90d84a944d35fd2d244a5300a176f5e84c922414850d6c5f68</t>
  </si>
  <si>
    <t>MUNICIPIO DE BOCHALEMA</t>
  </si>
  <si>
    <t>7e3cc58fe6b22654849ce56d89fa529dd13986e13f68b2bf91497a458ead91d23947a6da9321dffcede2f195fb007c1b</t>
  </si>
  <si>
    <t>CURTIEMBRES CUCUTA SAS NIT.901.347.799-4</t>
  </si>
  <si>
    <t>154e3276a2ee5be1e3c79d217014c51aa63cda4541f438f01d82a53c92d5c569623190fdf4e7d4b601852399c3ae8a75</t>
  </si>
  <si>
    <t>NATALIA ANDREA ROJAS</t>
  </si>
  <si>
    <t>BARRIO BLANCO</t>
  </si>
  <si>
    <t>96c389aa258a0a1e4cd305479a4718bec257a95d6e29eed1e69122ea8db40bfb3841511a7e4b84e15a2e854ac9594eef</t>
  </si>
  <si>
    <t>ASEOCATATUMBO S.A.S. ESP</t>
  </si>
  <si>
    <t>ASEO INTEGRAL</t>
  </si>
  <si>
    <t>c65c098c83979c0954e821249927b3f03859ea922b24b959ecd3a85e56bd4096fd7c8ca057f8ad912014d3fc855a5bd8</t>
  </si>
  <si>
    <t>D1 S A S</t>
  </si>
  <si>
    <t>ATALAYA</t>
  </si>
  <si>
    <t>1002 - CICL FACT DIRECTA CUCUTA NORTE</t>
  </si>
  <si>
    <t>NO RESIDENCIAL - ASEO PP</t>
  </si>
  <si>
    <t>COMERCIAL RANGO 3</t>
  </si>
  <si>
    <t>NO AFORADO</t>
  </si>
  <si>
    <t>f49ba4dc8e59c729460cb7b7e099ba9f1abbbc0549519975e81657efd0635c24bff686c0875762014a2ffaa0e6df49f7</t>
  </si>
  <si>
    <t>807004352-3</t>
  </si>
  <si>
    <t>EMPRESA SOCIAL DEL ESTADO E.S.E IMSALUD</t>
  </si>
  <si>
    <t>ANTONIA SANTOS</t>
  </si>
  <si>
    <t>CUCUTA ZONA NORTE</t>
  </si>
  <si>
    <t>OFICIAL RANGO 2</t>
  </si>
  <si>
    <t>d2c80bf90fd2913c04fe311d779982fc801f62df2fba50f7698345193b304f7454850768fd0a8ddfe0747c380b1f7547</t>
  </si>
  <si>
    <t>JERONIMO MARTINS COLOMBIA SAS</t>
  </si>
  <si>
    <t>NIÑA CECI</t>
  </si>
  <si>
    <t>AFORO ORDINARIO-EXTRAORDINARIO</t>
  </si>
  <si>
    <t>f794264a9dca82c39a72c392925416389fee7f8d79c375c8b7261ea454e9a351a18d865e387c8958e072886219fae897</t>
  </si>
  <si>
    <t>CENTRALES ELECTRICAS DEL NORTE DE SANTANDER S.A. EMPRESA DE SERVICIOS PUBLICOS</t>
  </si>
  <si>
    <t>SEVILLA</t>
  </si>
  <si>
    <t>abe476565549d3b780b314abf5f43e7a813492f4d2115327e5fab8ceae29acfd08cb332c3db99ad29933a01752545e77</t>
  </si>
  <si>
    <t>890501434- 2</t>
  </si>
  <si>
    <t>MUNICIPIO DE SAN JOSE DE CUCUTA - SEDE TONCHALA</t>
  </si>
  <si>
    <t>LA PRIMAVERA</t>
  </si>
  <si>
    <t>OFICIAL RANGO 3</t>
  </si>
  <si>
    <t>cf8048c7c550050a32f66cb59fad4752d8557c36abafef23c528d334d048679adada563ded0b77b5f6448cab7d196055</t>
  </si>
  <si>
    <t>900117563-3</t>
  </si>
  <si>
    <t>COMPAÑIA MINERA CERRO TASAJERO SA-</t>
  </si>
  <si>
    <t>VDA PASO DE LOS RIOS</t>
  </si>
  <si>
    <t>c012604be3ccb4319ac41d67bce25ab8d36a5996952472285331425bd3bbf6850510b6d3c07d7cd0820739e6a6c0f1d1</t>
  </si>
  <si>
    <t>BELEN</t>
  </si>
  <si>
    <t>2b00456968c64348e6a57be6ec661ecbd1f1a392ea7702d524389261c0059d80904f9087d668aeabfbf515175532e76a</t>
  </si>
  <si>
    <t>SAN MIGUEL</t>
  </si>
  <si>
    <t>e0b72d379a22f8a196ac2e59fa43a6c5c4b848a7460ae8b4c67ea0e582e711bc9d72be7101f7a7a875c14e84d75169ed</t>
  </si>
  <si>
    <t>SUPERMERCADO BETEL PLUSS</t>
  </si>
  <si>
    <t>CALLEJON</t>
  </si>
  <si>
    <t>Desocupado</t>
  </si>
  <si>
    <t>ceda3cbef11f230c48e332f91b52b748e70eb68dcd7ad81ece42de7168b9da3e9efad0ffa9049a0497393114aeece2cd</t>
  </si>
  <si>
    <t>CHAPINERO</t>
  </si>
  <si>
    <t>98372cea1076bb4def88d8f3920166b95ce4d9ca0b22090e006af46585b8fcd6420f0441d6486ec8ad919e2236728de3</t>
  </si>
  <si>
    <t>CUNDINAMARCA</t>
  </si>
  <si>
    <t>005b0abbbfa859095f2091976748af27fd53c7f18de1e949308e6e3c9689bfdd91cd4f365d5428df575605a0575b2cc7</t>
  </si>
  <si>
    <t>913562c1cf026633e5014bfb02234cc07196647f821cda9ce4037c8a6dcf836e6f18752fdd124c4602e366f256f04e60</t>
  </si>
  <si>
    <t>6aeb5def2380d1e27808a9c5db826fbac00dbf50a244dd32a35ae4754197f4d7b23486485797a237ab1a88f7c1f3d80a</t>
  </si>
  <si>
    <t>EMBUTIDOS CARNEVALI/CARNES FRIAS DEL ORIENTE</t>
  </si>
  <si>
    <t>ZONA INDUSTRIAL</t>
  </si>
  <si>
    <t>0f39ab1a1354cc528180c73d946ab1874adf6d9d94c3f0250a385517c91ad4e4f45e509d8d6d9d61c6548339ed99834c</t>
  </si>
  <si>
    <t>8c315f0c2ae87eaa8cfb4313655bffbde18b325104891916c5f2b004cf4d922461575259a8e34554bf8835bed5c05752</t>
  </si>
  <si>
    <t>EL CERRITO</t>
  </si>
  <si>
    <t>79c0c9ec4726c5fdd630b0c6931f56920a92a5e2d80e8d459bf2085ae169ab211f0345bb56a803cbb362e37cf8238f6f</t>
  </si>
  <si>
    <t>HIELOS EL OSO POLAR NIT 800084244-2</t>
  </si>
  <si>
    <t>daef77df7d395844a68892e5192eb4d6345ec073f6586aa8380257e7d759f5ae8be2d8a82197221ada16cbd0fffe82bf</t>
  </si>
  <si>
    <t>800141397-5</t>
  </si>
  <si>
    <t>POLICIA NACIONAL-DIRECCION LOGISTICA Y FINANCIERA</t>
  </si>
  <si>
    <t>BARRIO NO LISTADO</t>
  </si>
  <si>
    <t>b564eadc680801293863a263998322b7bbedfa974cd730b80d85a473c02de53dec4363b8f9f36443c93a982e0a7cb344</t>
  </si>
  <si>
    <t>VIRGILIO BARCO</t>
  </si>
  <si>
    <t>212b87edbdedf77e47dc228c261128b2c6062355f5d2c298f71e1229bef42a4b323e5385f716da17d8c6307c7a667d93</t>
  </si>
  <si>
    <t>BARRIO NUEVO</t>
  </si>
  <si>
    <t>ad4e5e864de9f3b2a6166e283589f9d229de98c9845c69e60bf304b8ce293ccb2e5651774571d22e854d376e1806df85</t>
  </si>
  <si>
    <t>RUDENSIDO SOTO</t>
  </si>
  <si>
    <t>a9800ac4488891bf84fe523e7372e74d4a97320d87922dce3a0013401b95509ece246c10ca2531ca5de0647656c882ec</t>
  </si>
  <si>
    <t>LOS ALPES</t>
  </si>
  <si>
    <t>61fb7ce2236b5a3ee49a3126c4841cf68879879edf3f8129d4de6d0eecd6019f3951d34ff244464495f497370721ee5c</t>
  </si>
  <si>
    <t>ARROCERA GELVEZ SAS NIT 890502572-2</t>
  </si>
  <si>
    <t>2b4453a4761b90b7eff23e7bbf1b8b143ffabfc252b9b3c5c549abd814a0dc7b6d7cfbad680c2a5d2fe697ede4547cfe</t>
  </si>
  <si>
    <t>TELECOM AVE 0 EDIF PRINCIPAL</t>
  </si>
  <si>
    <t>COMUNEROS</t>
  </si>
  <si>
    <t>dcce048d2d44bb9bb758d52174df4fff501bcea79cc8aa7746d87631c35caf9e923811387994c0168167d84a6ecbe92e</t>
  </si>
  <si>
    <t>MOTILONES</t>
  </si>
  <si>
    <t>61c52c4e62ad43d4af746ea42be05a69168b03628b053c549e09623acb1fc1c30264558ca976e31c7c2dd973a8103486</t>
  </si>
  <si>
    <t>CLARET</t>
  </si>
  <si>
    <t>7fdfe12a8c9ba658630f66ea6bff3ef9492ae8f6a6f5dad8b4d5b73618294aa683c81cf639ebc730b718816cca11dc55</t>
  </si>
  <si>
    <t>CUCUTA 75</t>
  </si>
  <si>
    <t>dcaa73ec517adc39616e5c5ed8a635bd16178b94da6266aaa857db275ca3360a03480dcda3e4080169ab7658402dedbf</t>
  </si>
  <si>
    <t>BELISARIO BETANCOURT</t>
  </si>
  <si>
    <t>2e5877ec5ea00c865d1a4185cc8a90c8acca8bddceb45e5439c8a87a4596ca3295cd3d600919649c588f4af191c33b1b</t>
  </si>
  <si>
    <t>CORPORACION ZONA FRANCA INDUSTRIAL DE BIENES Y DE SERVICIOS DE</t>
  </si>
  <si>
    <t>ZONA FRANCA</t>
  </si>
  <si>
    <t>e20b1467380e799564604aa3dcf294dbcdc56a174bd7ac257c2963019baf730798327dfa6dc52b73f094b83692298573</t>
  </si>
  <si>
    <t>TUBOS DEL ORIENTE</t>
  </si>
  <si>
    <t>LA INSULA</t>
  </si>
  <si>
    <t>22a187316a8aed765145b0d4aabf316edcf5b168aafcb7b4e75d1b3c546f70f0f8d6ab208202df1da99f31dea70f76d8</t>
  </si>
  <si>
    <t>TCC S.A.S NIT. 860.016.640-4</t>
  </si>
  <si>
    <t>840cb99a90751385b5209c0c65808d105e188886546670086498b671ac3dd5cf91c0eded6d0e6ec8a0b2fc80ea56e66f</t>
  </si>
  <si>
    <t>890105652-3</t>
  </si>
  <si>
    <t>ROYAL FILMS</t>
  </si>
  <si>
    <t>PRADOS NORTE</t>
  </si>
  <si>
    <t>7a9e12cff5500f14fcd14735994870be650e35fe5ceac3e50ff457b2aa1d645a2b008fd1a7e60887a05db5458e9f3e23</t>
  </si>
  <si>
    <t>CONJUNTO RESIDENCIAL PORTACHUELO RESERVADO NIT. 900.069.828-3</t>
  </si>
  <si>
    <t>PORTACHUELO</t>
  </si>
  <si>
    <t>RESIDENCIAL</t>
  </si>
  <si>
    <t>ESTRATO 3</t>
  </si>
  <si>
    <t>6e6fa7f577741831fdc0ecb17acff41fc55d4445b1eada252217a694b6616ef188313d5f8858663fb78994dbf3636a1d</t>
  </si>
  <si>
    <t>d5a7cbc404355031b3daaf1cb639a567542e305ff5ae85886e124c52c6506b87b926df32c278c685c1c1576c182c08a7</t>
  </si>
  <si>
    <t>OSPINA PEREZ</t>
  </si>
  <si>
    <t>1ea9b364340bd3648cdbad03daebfc253000f8186a04b6b0bda225e90845ff69286a1433161d0481cb83f08f301ccec3</t>
  </si>
  <si>
    <t>EL SALADO</t>
  </si>
  <si>
    <t>a3de69b5bc75c3620bb985f42a2b40d614d7401ff1d3069879680259be9bfdd8ee8afc0d92499b3411c9a56116f53f3d</t>
  </si>
  <si>
    <t>ARROCERA SAN VALETIN Y CIA LTA NIT. 800.083.514-1</t>
  </si>
  <si>
    <t>40b7bb624009ccdc8a4fcd348026aa5bdc87888fd4deefc7ac93c2e7d1dcbc0a739a81229ac2f2889a9e89955d13e980</t>
  </si>
  <si>
    <t>LOMA DE BOLIVAR</t>
  </si>
  <si>
    <t>42fc0aa76b0a77ccd4d4ebb6837447843c5577b64075a1bf369c6c1e7b4792403df96daafee63cdbbf0db7894819e6fa</t>
  </si>
  <si>
    <t>PANAMERICANO</t>
  </si>
  <si>
    <t>11fc78f4a396077c67ae2e6b3923da1c0a2481b8610e8fe84fb2cf681df7375b49b82c179aa6e6911c56fe05fa738033</t>
  </si>
  <si>
    <t>CARLOS PIZARRO</t>
  </si>
  <si>
    <t>86e7bcfe1c2db53c62500ff48fe6fd6d430f82adbbc99a25cf083b1e2c84f350dce8bba3e1b0bdc3bd2bc41fc0794e02</t>
  </si>
  <si>
    <t>de0ad5bfbd317c3a9c2501a24ecd6e124ca14a01e0b524307426474f5103c6bf816b25be844797579da9d4f1a6f1f9d1</t>
  </si>
  <si>
    <t>PRINT PACK CARIBE S.A.S</t>
  </si>
  <si>
    <t>347856ec681392831cc9566f88c9d3c844c32008722da123d5c2ac20f16cdcc52fa3ff5f535c5417ed33b58c85055a7d</t>
  </si>
  <si>
    <t>9499dd5117330a9d2b6690cb9056de33995b7b1515e6675fb536bea4f2b2f83912c77fcb2b2007633346c12f86839425</t>
  </si>
  <si>
    <t>PALMERAS</t>
  </si>
  <si>
    <t>0c2ef62303a9a2ce019375c3a22eebe344a8a9e667deaf31c1322f299e530a49334ba1751c4f93f88b482f8421e182e9</t>
  </si>
  <si>
    <t>347f97e342740423645063cbea2ecd3ea84573b12cea1f2fc0ced7287ad4f6973a7a3d94a4617d5c2ada9ed46294d116</t>
  </si>
  <si>
    <t>ALMACAFE - OTROS</t>
  </si>
  <si>
    <t>0658e657d530f5e4464a294075a1fa36a5f1e9d2d844deadd728a68098f549f5fab48cd15e4c9d5fbeaebba98b082ad0</t>
  </si>
  <si>
    <t>800092777-1</t>
  </si>
  <si>
    <t>GRUPO NOVA S.A</t>
  </si>
  <si>
    <t>c912120c19a6090e3a7f6749730b2295c1c8df1294102c9851f8417e50193cb803b831332b1c8bbf554f8d11b2581ed3</t>
  </si>
  <si>
    <t>900949670-3</t>
  </si>
  <si>
    <t>JEMA PROJECTS S.A.S</t>
  </si>
  <si>
    <t>ded087fe2ee5e285c97106a1f93b95571f08f94fcf3f52fbe5272543d9cbd548cc945dd9851194b1bb01801464a098c6</t>
  </si>
  <si>
    <t>890503844-8</t>
  </si>
  <si>
    <t>TRAPEROS EL MEJOR LTDA - OTROS</t>
  </si>
  <si>
    <t>c8c179be39aae9533f619c9caf46db017f9c6bf91300073a42af80c9de7e40f4ced3c84a3c2cfeb114c97808e44ae9bf</t>
  </si>
  <si>
    <t>fb3afaf3c5b2c34a0321dfcd3b8c2f8ade34ecaeff1e04797b3115608154a7f14858c63387adc39360326abe0b67c1ad</t>
  </si>
  <si>
    <t>ATALAYA I ETAPA</t>
  </si>
  <si>
    <t>83cfc6ad918d511dea13db99f03b96cd25c3403a67466e5e8ddfd586f1cb4f97bb73bba96157634b0fe2b284b13d1bf3</t>
  </si>
  <si>
    <t>LOS OLIVOS</t>
  </si>
  <si>
    <t>199ea59406de7caa156ee61884b86ed9e687f7ba22f23c726e9b027bbd32eada8a9538b3421fec28228c860e54b1256f</t>
  </si>
  <si>
    <t>1eb41c23a8ffba191d0ab3cf3594af37ca784ef7b5710df7360feb6ccd9aabc1977dc89cab03a4f74bf6b0b410d2acbc</t>
  </si>
  <si>
    <t>805003626-4</t>
  </si>
  <si>
    <t>STF GROUP SA</t>
  </si>
  <si>
    <t>0c5798119fa004cdfcae36f4f69de6ac533b91139ffd8b829f9ccb18b4fad0ee35c75a2df34ad87846db76e6491ac82f</t>
  </si>
  <si>
    <t>TRIGAL DEL NORTE</t>
  </si>
  <si>
    <t>ff4a7d0c8da41935f0acf6438222ba68e4ce4d2b4d4d98c3297ef6659dfc864439d4970b458190d94c01608f276a97c7</t>
  </si>
  <si>
    <t>INST. COL. DE BIENESTAR FAMILIAR</t>
  </si>
  <si>
    <t>364714ec40ffbd72d3986aca49bf20904e94e13c320bbf3c1637038c1763861377c34741ab8f1e9b0ee449ebd6bb771a</t>
  </si>
  <si>
    <t>ELBERT NAUN ARIAS URIBE</t>
  </si>
  <si>
    <t>INDUSTRIAL RANGO 3</t>
  </si>
  <si>
    <t>1c42fec38cdb8d3fa8be904ce27b359285892189cd5bd8c756504559af8adc4dd1b80ac425936c7d1c3df4febc5bea21</t>
  </si>
  <si>
    <t>SAN FAUSTINO</t>
  </si>
  <si>
    <t>CUCUTA DIRECTA RURAL</t>
  </si>
  <si>
    <t>6400bba4ffc6b93788f66a74dccd92cc27f95871e787f2ebd84b9a5e2aebc3b4e1320c7bf9d0f05e0b896bc75b7db935</t>
  </si>
  <si>
    <t>900121262-7</t>
  </si>
  <si>
    <t>PLASTICOS FORMOSA LIMITADA</t>
  </si>
  <si>
    <t>0c644e48128441bb30f6672179ab42607b05a1e45acf8a4b23ed1397ba585e8d5e9bd89f4c45f2c0b96330929854f824</t>
  </si>
  <si>
    <t>INDUSTRIAS DARWIN GARCIA</t>
  </si>
  <si>
    <t>16ea7cd0d26029418e8b08cfbe47fc575df5306bbf2421cf443b03ca1dbfa7440e25cec1e9eb1da580479cf4b3128b73</t>
  </si>
  <si>
    <t>STUDIO F/STUDIO GROUP SA</t>
  </si>
  <si>
    <t>b9f1bb60ed447cc68c5d4cfd3cc60e9425bed64eba6cbcc43a28fad7ca278d0aef21b93aed710bdcdc2bc82ef69b1fa4</t>
  </si>
  <si>
    <t>INCOLMINE S.A. (MINA 1PRESIDENT)</t>
  </si>
  <si>
    <t>CERRO TASAJERO</t>
  </si>
  <si>
    <t>00e36449032b5b14a599b6bc09fa4b9e3085667505b36ed59bce87e20ed5da038dd3fa9f276b35256a3f3622a3a0c18e</t>
  </si>
  <si>
    <t>d36d7c296cf185cca04c901879fe5ba25664554d41a995a2ac6b8b58b7b0e3caa2f8ef4a6f20a54791e5dcae54746741</t>
  </si>
  <si>
    <t>dfa531ca6c51c794c16e5c95e60c4dc20c8686b9b5652ba0a8af57460afad14f6efa67cad0b4cb37a32a931d03f399e1</t>
  </si>
  <si>
    <t>01d7ced8ef289914ce0e914adf941322e984425297b1db0c4fa9fe40be6afca2cac4ebc873447ae0984f80033a9f0548</t>
  </si>
  <si>
    <t>CARBONES MINERALES BC</t>
  </si>
  <si>
    <t>03320ef276a08e0873f266fc4948ac000770ee0f5f20fbd6a72bd585518bc3f1d6ed7bdf316f74d7e02d4f2c4a15a105</t>
  </si>
  <si>
    <t>ESPERANZA CASTRO MUNEVAR</t>
  </si>
  <si>
    <t>22e61c91832a6c2587fe99f90254a3293fec83c2f236d303dd38cbc2cabebd10d7ee7266f91447bfb6e8835f90ca8693</t>
  </si>
  <si>
    <t>JHOVANY FERNANDO ZAMBRANO JIMENEZ</t>
  </si>
  <si>
    <t>c505c18f8c0a6ce2a3099d4031173a0fa6dc1561edefbce651b64dd4ffaef70aa06c44a69fee98192326b645b6d892c7</t>
  </si>
  <si>
    <t>ALEJANDRINA ANTOLINEZ JAIMES</t>
  </si>
  <si>
    <t>e0d0c7b2ec18928cc5ab8db3bf46b6964314d20e934da2336af4e3380a39bf94fbe71938e6ecf9b4cf810022b6328025</t>
  </si>
  <si>
    <t>CARMEN JOHANNA OLARTE</t>
  </si>
  <si>
    <t>e5e210184ba99217620c1e834f1574d09e6486201eeb4853c46341025ed25ba3ec43c7f94e322ea420f763291a6700f2</t>
  </si>
  <si>
    <t>FERNANDO ENRIQUE MENDOZA LARA</t>
  </si>
  <si>
    <t>4a75411427a61ef89d9d808c4691628340558b5b2bcb800f15d0a31df0ba7b7bcf0ff6aa568b2c83aaf42f470275a253</t>
  </si>
  <si>
    <t>JOSE ANGARITA LAGUADO</t>
  </si>
  <si>
    <t>552f5249de9455c71a12b070052a569e74c3de8c1719d10cb0d807af24ba5881f0f01772d7b63d8d0505b599d2f0b081</t>
  </si>
  <si>
    <t>GERSON JAVIER RINCON SANDOVAL</t>
  </si>
  <si>
    <t>fe05f64e239f8f3a355147a84e368813606611563717cc4c28c0ad32d802cdb1a6448337d7e5aa47e6f122a66b910136</t>
  </si>
  <si>
    <t>ROCIO DEL PILAR BAUTISTA</t>
  </si>
  <si>
    <t>84b25ad80ca721255e79b3cbca0683bb8b82340367d0ccaa8038af42b9f30357332dc0188cf1bc4dee52f438fa8d18f5</t>
  </si>
  <si>
    <t>JOSE CLODOMIRO ANGARITA LAGUADO</t>
  </si>
  <si>
    <t>6b6b55d5ae116a9b1d7042e5397334f1fb508e01f717b10bc4ac82039ebe9d09115723350b9b01581166f18c7eda5cb5</t>
  </si>
  <si>
    <t>MARTHA HIGUERA ARDILA</t>
  </si>
  <si>
    <t>08d024cea4f79731fbf7ab22521f6d2322735d132a4117aca6363860c470aff809cff97a2cddcc9711bcff16345a216d</t>
  </si>
  <si>
    <t>LUDIS LINA LLAIN AREVALO</t>
  </si>
  <si>
    <t>2034873fe825e95a1b64e0dd9b90ac990525a0917a1b3fd6e291eb4b5e2312b9638bb813b25032f23c53b635b3c188ee</t>
  </si>
  <si>
    <t>CLEMENTINA OCHOA  GOMEZ</t>
  </si>
  <si>
    <t>493d45729052a35ade7e430fb1112889fa264d8be5a980346afaaa68e26deb098423da69519383a301f81832654efb24</t>
  </si>
  <si>
    <t>CARMEN PEÑARANDA MESA</t>
  </si>
  <si>
    <t>41c6a4bfe8d7a80f0e29fa948d993e06e685972924398c927be64cfd83bd97c82c9c5858a22e3e5717e9e84504f5cff6</t>
  </si>
  <si>
    <t>MARTHA SANTAFE PINTO</t>
  </si>
  <si>
    <t>b9c15de4b6c8a72586ff175d50f1398b6a6ce1e1665a20c1bf32c04740b0dedfa249a2f4fbac054fefd609e6e5611d0b</t>
  </si>
  <si>
    <t>CLAUDIA DEL PILAR RUBIO ORTEGA</t>
  </si>
  <si>
    <t>31aa85b47234832dfee38acfcda774949253ba286075f4c5983d3a9be40211584b8cce059cdc00398ac602692ed69dad</t>
  </si>
  <si>
    <t>TATIANA MACHUCA TORRES</t>
  </si>
  <si>
    <t>ec1a8b2b0443dac425eb177197380fafa2ad4cdeb55f75ffdedc7ed52a93c697dc6d2ae758b2c767d03a8bdae5122a56</t>
  </si>
  <si>
    <t>ESTELLA</t>
  </si>
  <si>
    <t>f0e5ea13b32f617a52e31cfb187ebdd7f884c5dedd3234ac4228adbe184fcf65e5e82b2e1dd8c3c0e43186b3335c59a1</t>
  </si>
  <si>
    <t>JOSEFINA QUINTERO ARCINIEGAS</t>
  </si>
  <si>
    <t>e78f3da9970326471a45d97b17b0e06dfe12b8820870663eb12ca6870ae3f4f0cb3283395d960ffc685aae45898a4732</t>
  </si>
  <si>
    <t>LUZ ARELLYS ORTEGA PARRA</t>
  </si>
  <si>
    <t>5975f7214d5718354fe03bf90750e4099038c2d3b26aa94940a9cfed8ab813ce1c29fc9e231d59478345b9803518d84d</t>
  </si>
  <si>
    <t>MISAEL A. ZAMBRANO CAMARGO</t>
  </si>
  <si>
    <t>42c4987543b936ab87070bc0f439fb2610f91a4672352ad6dc592a5a6e75bbc61067a8308f32b35c706e32eedffe30d5</t>
  </si>
  <si>
    <t>f7e84be2507a07fca33c03169036c632e7083a3ddca0b78071664bac641f22c017f047e339c99fb94621198bfc57b129</t>
  </si>
  <si>
    <t>MARIA ALEJANDRA MORENO SILVA</t>
  </si>
  <si>
    <t>89196afd05912935df12e11f0ad3785424b624e83102f0445bf1af141df0807f44ebc87d7959c76ff8322b367bcd9140</t>
  </si>
  <si>
    <t>AYMER GUEILLER ENOT ALARCON GOMEZ</t>
  </si>
  <si>
    <t>cd6eaad2e69629f4e2bfba17c44a5b40ff0664baa8dfcec6ed8bf99c6a730500d27ab3065288719d7d65b9a156e8e64a</t>
  </si>
  <si>
    <t>JHON NAURICIO HERNANDEZ - MARIA ISABEL RODRIGUEZ</t>
  </si>
  <si>
    <t>a62dcd5e0278bb52c33cf2872faa2aa6d837afab37027a9370c6fca1d2f2906ee423248e9d06df2b21661f628c491f05</t>
  </si>
  <si>
    <t>MARIA EUGENIA CARRILLO GALLO</t>
  </si>
  <si>
    <t>ab83ca2357bc9f4a0d5539bf22ec233c9192ae7a6fa0c0a94a568094bcca23e9cac71c2e91d53cd5b42a6a33bd5f9d89</t>
  </si>
  <si>
    <t>JERSON REYES GOMEZ</t>
  </si>
  <si>
    <t>336dffa8cbef5e21f1d8c464b8ecc89e5465462f88d10084fbd2a98cae90fa2ab988c1832d7dff8d0a61fa4a1cc3b5ef</t>
  </si>
  <si>
    <t>MARIA PATRICIA ORTEGA RODRIGUEZ</t>
  </si>
  <si>
    <t>1cf83555799685adad4ca928d8158134a4a43889260434d2516cf9b5860641f2f73866357e5b6059bfc4564edcb97958</t>
  </si>
  <si>
    <t>CLARA ELVIRA VARGAS DE CARRASCO</t>
  </si>
  <si>
    <t>76b70336ce1b648e5ff90407e663ff107b4676975e7bc82d487fb06b469165b77889089ebf65ee9ad519dc25318cbf9f</t>
  </si>
  <si>
    <t>890104633-9</t>
  </si>
  <si>
    <t>UNIVERSIDAD SIMON BOLIVAR-OTROS</t>
  </si>
  <si>
    <t>LA PLAYA</t>
  </si>
  <si>
    <t>d7fd646271b96f75017b3f1a6fd9949b635c8f31bd0a9e525c49b02b56a87ca7e5d85043dd75369a10976e046381f5e0</t>
  </si>
  <si>
    <t>ffeb2b86dd0ed61faacfb9932f02b49635d03728df297c4ee2075270b2cd4c650679f05f68130860c5ac8058dc234374</t>
  </si>
  <si>
    <t>8fb7d61a66733aeedd32be399f0eba815d54272dd190f3d016e93d04ce13b0fbfa17367d9066e26748ad54fc2a768d2b</t>
  </si>
  <si>
    <t>34c46d3e2140e238ed694c86c2deecdd42a0a0b656c78d02cf4b510465a565afccb5a0c3dd71ec1b9a6a132b9eb8a7d9</t>
  </si>
  <si>
    <t>c88cb1fede507f21adf998973d36424510be728944a0e381eaf7b225e00d498f0594d875f996008de51f2c3acdc0bd1c</t>
  </si>
  <si>
    <t>899999034-1</t>
  </si>
  <si>
    <t>SENA</t>
  </si>
  <si>
    <t>689ba15bbf533c78376da96e1d0dc9e36f7cb8248db115e10f50bd45a14605b2da191b0c9717c043c9cf0de993f43b47</t>
  </si>
  <si>
    <t>f2ab021eb9d5eda384123c599963f9f57b409d07720147ffdaa86b29c33b2ac317a84fda66a6e3c39d9bcae39bba81ac</t>
  </si>
  <si>
    <t>LA HERMITA</t>
  </si>
  <si>
    <t>cdf261678038d00c17b1814317886e92162e00539df58ce0d4c7085fd94387eff16cedf8128a744a4c06bad3df7af739</t>
  </si>
  <si>
    <t>373e1df62427ff41061301aa0de2080e28b2327e8da1aebfb2a5199ba723c6b7f820a60ccb71d01dbcfcabc5d0309307</t>
  </si>
  <si>
    <t>VALLE ESTHER</t>
  </si>
  <si>
    <t>194511361d07667b205618eefa3122f2d4a4a18d3ecff712db58a285d73f7f41c2fc0a63bc9ad8bfa227be4a31783e74</t>
  </si>
  <si>
    <t>d680b13da5450de680453fc2c2663605746d65a15bdbec600425fd82a1cbbcbb375663c66928b2ad944fb5586ac0f6ee</t>
  </si>
  <si>
    <t>f753f03be83b2f231c00c24134c8c0961e89f090893ca407019c7fa002d01f74bad87a04cfc11ebc32de4a03f7d7a8fa</t>
  </si>
  <si>
    <t>900373778-6</t>
  </si>
  <si>
    <t>AEROPUERTO DE O</t>
  </si>
  <si>
    <t>AEROPUERTO</t>
  </si>
  <si>
    <t>COMERCIAL RANGO 1</t>
  </si>
  <si>
    <t>6b640c984f58c952974367c0e8e9df7b2fd3639acfeca79f683f2db1f69d2b523e32daa26be65111c451decf111ffcfc</t>
  </si>
  <si>
    <t>JOSE MIGUEL CAICEDO GONZALES</t>
  </si>
  <si>
    <t>7c63fd8330aa5c595178964037ea02f45fb5ed0af7a8d21d3a7dcb9efa74385e3bdba14d36a64b9d57b6bef2ed550b43</t>
  </si>
  <si>
    <t>7ae220b306007b18a6aa94f98748878b980d8664adf140c05fe854e2489edbfbad471c06a04770e54245d06d829a16de</t>
  </si>
  <si>
    <t>TOLEDO PLATA</t>
  </si>
  <si>
    <t>107fac6451db225c5fa3789b4af0cc4b367e42e89b20ad1ac6fabaa662ae5c8c8e06e5de28ff0d424314fea2b8bd40d4</t>
  </si>
  <si>
    <t>e0fb53f5905bbff537db408a2ec3bb0c9b870858872c138b555254a51ce84f81aaf7bfceacfdaaa5100acaacb1d7f646</t>
  </si>
  <si>
    <t>PASH SAS</t>
  </si>
  <si>
    <t>07c7261abb0d4e366fc22049367b45e9f578a66142f74df4ba024ed0789c0201f7853c84c0884c1e89a72fad038b916f</t>
  </si>
  <si>
    <t>75a8790dc28683207bf604359691ae08dcb759a7b14d1c12a363333e2ea1ee5bf0bb7da3987f559b3034c99a6c39c1a5</t>
  </si>
  <si>
    <t>31ff24978a25360cfac4c9c6cdf7066a98e83103b37be5df7b8434420c2fa94ffeea3bd69fb0e3fd298307e3c0876c72</t>
  </si>
  <si>
    <t>COMPLEJO CARCELARIO Y PEN.</t>
  </si>
  <si>
    <t>SAN GERARDO</t>
  </si>
  <si>
    <t>cf6fafb6c04d2ee1aa263872f402c0e7b20515296e83ee1510585f4b4179730274b7d4201d9fb6ffcfc2d9f21f289dff</t>
  </si>
  <si>
    <t>SUBESTACION DE POLICIA BELEN</t>
  </si>
  <si>
    <t>8ac3804b0a562c6d130c08c976db45db905ebbc4cfc7d06f1042ec3f1ac2744f1ac7a67c472a0eba3d8c15579ddbaffa</t>
  </si>
  <si>
    <t>ESCUELA LA DIVINA PASTORA</t>
  </si>
  <si>
    <t>DIVINA PASTORA</t>
  </si>
  <si>
    <t>c8cece6234abc83bdc6e384b9954f80097f8344e160e515999e28c9a9d4ad59b432bafa0c0530d020d239e20f7604397</t>
  </si>
  <si>
    <t>3bfb6c59c1ed77cbe1546e6a21e7de209c6656f7eecdca5b7b6123f625f98e5b893ff170cdeb1a58e0a402d998dde95b</t>
  </si>
  <si>
    <t>BUENOS AIRES</t>
  </si>
  <si>
    <t>5fa067926aabdb8e63d957c5049cf7700f76013f97927a98460915472795390c9116939a1d58dfd3e19b20958a001b6e</t>
  </si>
  <si>
    <t>LA FLORIDA (ATALAYA)</t>
  </si>
  <si>
    <t>c39b5a2b05d7a6ce5dda86822094fbf16b1a00cf38ced34c77aeac66121b49f9a6f763b19d043936be7f9eb69b8af3ea</t>
  </si>
  <si>
    <t>3cfed0d26b8c67871576a90d266ac54bc4c84c0baeee3be743c9f62ba80372f93fcd520c03465dbea7bd2b52f5423103</t>
  </si>
  <si>
    <t>441c43177d00bd683b40b36223ba72711f810ece7ea2307dae48d4b11fd907728abccbe75971aefd73da24251b9883c9</t>
  </si>
  <si>
    <t>DO¿A NIDIA</t>
  </si>
  <si>
    <t>59fdb9aff0e7d65914ca63af1727b6450d635c3da6cc9b473d00b9f34e8b873e36709df2588ffb25ff604ac74375a2ff</t>
  </si>
  <si>
    <t>807001396-3</t>
  </si>
  <si>
    <t>CENABASTOS DE CUCUTA PROPIEDAD HORIZONTAL</t>
  </si>
  <si>
    <t>049e3964bdf4c1c84be2aaa4bee5268efed994bb95015217ea15575c13da0b9f061ffaf959abe01095dd17500eeb174a</t>
  </si>
  <si>
    <t>POLIMEROS ANDECOL DC S.A.S</t>
  </si>
  <si>
    <t>5164052b22ec6ad02bc1fa059525473506c3c9c9561c41e75bc9e6b7d351d53705b272f88dbaa1adca3850b42c6da4db</t>
  </si>
  <si>
    <t>900155107-</t>
  </si>
  <si>
    <t>CENCOSUD COLOMBIA SA</t>
  </si>
  <si>
    <t>0ebea9e97892f81c53a15ec8c85dea05348871c33f371aa55717203022321a4cf2f7aab39ee6549b41b314029f02c58b</t>
  </si>
  <si>
    <t>COMERCIALIZADORA MONTES DE COLOMBIA S.A.S</t>
  </si>
  <si>
    <t>URB TASAJERO</t>
  </si>
  <si>
    <t>3c435e7372c52d62fed020a9972cb740227ade0087b2a99de729b8ce891f68016a6f25b0f3c78e97a417a5a2589f20f5</t>
  </si>
  <si>
    <t>968e69d57160485de6254b428bb5f8ca7bab5ad66a2a16f38b5771cb0d80acd09e1335f50df5f4362d01485ba6cd2533</t>
  </si>
  <si>
    <t>NUTRESA/C.I. BRAYTEX S.A.</t>
  </si>
  <si>
    <t>d967efcaf3b4ed484ddff750d8bb83f409d8969a8e8936056e4b6f49eceac5524a1a2d4c46d6e25b52e777aed1d9f24f</t>
  </si>
  <si>
    <t>018f1279b9ab5dc507d5f2c00ca3a15ea95755215ad3d798784d8f08a4e6c5ad57b212c64f206a7f05d919753ee5f3f0</t>
  </si>
  <si>
    <t>DEL - BEN SAS</t>
  </si>
  <si>
    <t>e6d465589d495ac93b37c891c8ab6ac12b1caab2ff493a5d095bfb3596098016f97e4d54a306dfe27f87a635d8effa40</t>
  </si>
  <si>
    <t>PUEBLO NUEVO</t>
  </si>
  <si>
    <t>68116899291c314884116692e8341d83ecf313bd063d07a3da5f1db96196d07c3aa9a8d2d125e27843029ce7475ce7b4</t>
  </si>
  <si>
    <t>BRISAS DEL AEROPUERTO</t>
  </si>
  <si>
    <t>d78aa18abfc927d5cb4c9b4f2c794e2b46f321c9ec9460795cdf46650d6e050cbf0a429439b8bb0a9afb6d4a44360e47</t>
  </si>
  <si>
    <t>cd8cbc0f70b4c5a4afcbaa0d2d95ed6bf56df5eabf33bb7ad08d32e4e5efca28513d9f225d2874bbdce61bb721a1d212</t>
  </si>
  <si>
    <t>0a50c45c104ab381c6dcbc0e7cbf044991ac15798f2d75b0128b8d6ca377a1eab3794c246007e13afc2d22a9d502e426</t>
  </si>
  <si>
    <t>EL PARAISO</t>
  </si>
  <si>
    <t>53d7931c63ca7e42cb64b991b1506d788527fbe4554fe3c6af53d1a8a10e21b8d12360fae272b025196a162094f8b1f7</t>
  </si>
  <si>
    <t>LA VICTORIA</t>
  </si>
  <si>
    <t>2bdba6c241cef6f0f5ea51698ccf2e90328dcc484916cac73dda2eb0dfc1c324f9ebda0aa025b9229304f656c610aa98</t>
  </si>
  <si>
    <t>901959258-8</t>
  </si>
  <si>
    <t>aa2bae829a7653d35852ef96f709da82386240c65d86a358dc46b50a2acf789ee4bfdbbe621057c8db751e98274552e9</t>
  </si>
  <si>
    <t>GRUPO NOVA SA</t>
  </si>
  <si>
    <t>NO REGISTRA</t>
  </si>
  <si>
    <t>15525d6ded705edfb65494a6e39b7da5b4f623aa983893cc7c01833c32b0ad462bea426d8789e90ed11c591e71d8a9de</t>
  </si>
  <si>
    <t>901260249-1</t>
  </si>
  <si>
    <t>TEMGLASS CUCUTA</t>
  </si>
  <si>
    <t>4065d577d93650d2f1bb3086c5a9e966657a57c53d941712666cc0a182f907c5ce19f0707826d1953c16fb75824426d3</t>
  </si>
  <si>
    <t>14653dfd20001ec9dfee0a5ff32fd31eff7d8ab3b9244123bf047d6f9cc4a41d606596471be73911c090282e4840d04c</t>
  </si>
  <si>
    <t>259d4b5cacb467ed9a0c512565c13c0ab8f45379effee67315b2b626e40fe1efbd82c52f054df62ae46327993b983fbd</t>
  </si>
  <si>
    <t>4434e41d9c1b4a1c50ee922c9914c5871b2613e119483e07fb406d41d502ee91ddd63c3ad4d8a92b026941522cbeb464</t>
  </si>
  <si>
    <t>45c3960466265607aeb162d09339444489a4c5369172584a4ffd9b8745b5554e1ff4a89eab51146819c5286de8cadf4c</t>
  </si>
  <si>
    <t>af57cee4cd6568c2c6390ad40e2bf38745fdfa814cac4e1459f0e879d56a590045a82e2275d65556ab2eebfdbbf641e1</t>
  </si>
  <si>
    <t>NI¿A CECI</t>
  </si>
  <si>
    <t>b95f0a40fe570f057e1137e09150e22521591ec1eba3e868bb8e2c1c937c3a1a6b955ce4043a45582a65b9e4ebe8beee</t>
  </si>
  <si>
    <t>NUEVO HORIZONTE</t>
  </si>
  <si>
    <t>e22d9ba1f32865d2ebb902372aa75f15c53c320f877838734a30380e11621b20a4fdfd6b6dfd482cc822156bf5ca04a9</t>
  </si>
  <si>
    <t>CARLOS RAMIREZ PARIS</t>
  </si>
  <si>
    <t>97e894a0b2427ba3eb1b0bd2ce5421f6dbf7c38137a3f6140e30950eae356cf70b95b6055abb5be3afe8ddaccbfb55d2</t>
  </si>
  <si>
    <t>8a5dba21bea66d6b0563cb1e26c4342f2e602e4ae08e779161c7de22b87564888f163225669037d1cb4d9b96e84fe390</t>
  </si>
  <si>
    <t>RODSAN Y ASOCIADOS LTDA</t>
  </si>
  <si>
    <t>27b2b0a0cc01d172c43b65bc7dcffd202e19d095394f85bb1efba63647111dfae7ac5fcdffaf90aed855090260b486c4</t>
  </si>
  <si>
    <t>34b2ba8b637ee97a7afc003bf435d6991f99d2000ddfd058a9e81d59ec31a79396d0197dd9ae21eb87f6df191a5a8a0f</t>
  </si>
  <si>
    <t>PROM DE INVERSIONES H Y A QUEMBA &amp; BARON SAS - HIELOS LA SABANA CUCUTA</t>
  </si>
  <si>
    <t>LATINO</t>
  </si>
  <si>
    <t>8c614e6fabdb54eb5885f3aca070b7e6122bd1f4110933647487ce542bcd6b194cf8797ae57d8ff44cb1422fc4351e83</t>
  </si>
  <si>
    <t>DIVERSIONES DEL ORIENTE S.A.</t>
  </si>
  <si>
    <t>f30630794644132030b9406726082d9292ee9edd482a3791ee97808844fe93053e695c6332e5cdefebcd957760af2028</t>
  </si>
  <si>
    <t>C.I. INDUBOLSAS CONTRERAS J Y T S.A.S.</t>
  </si>
  <si>
    <t>595b6f101f549be6021e5199df458069b08f33ef63ff5452dd0949e01a621f9f7fe245ada75d7307be0be3151ba86d58</t>
  </si>
  <si>
    <t>BENJAMIN HERRERA</t>
  </si>
  <si>
    <t>5d2a6109ae5becc33a71ddfccbdce061d2d092c1e7efaa33255e1dae09a36dd3ceff386188318762b021532236b072e5</t>
  </si>
  <si>
    <t>901959814-3</t>
  </si>
  <si>
    <t>VBC CARIBE S.A.S</t>
  </si>
  <si>
    <t>7c61e576932ee2db3a9a5c7ad48735d5731da737008a90a7b3410694a07f2144a6ae22affeb5e3f09762fad0f7cbdabf</t>
  </si>
  <si>
    <t>MARIA FERNANDA RANGEL CARVAJAL</t>
  </si>
  <si>
    <t>NUEVA ILUSION</t>
  </si>
  <si>
    <t>720 ASEO ESPECIAL DESOCUPADO</t>
  </si>
  <si>
    <t>ESTRATO 1</t>
  </si>
  <si>
    <t>90261fa2794602db26fdc2b7a47fde342778ff8225fca5428f720d7023b02be3aa603957f9aaac6da6bf08ce6190ccbf</t>
  </si>
  <si>
    <t>e4da15179f8fce208207126245179f858709ec1a46b7e480001e5acb64636bbc9bc1e0b66be2407758efd31ece779305</t>
  </si>
  <si>
    <t>BACCA RODRIGUEZ SAS</t>
  </si>
  <si>
    <t>5c7cc8a05d9146d520c70dde5bd9e3c7406795aa444a65e1c6bd6ed5a040496c7860589a66b203f7fa7ebd61eb2e7974</t>
  </si>
  <si>
    <t>8266cbd0430e70641265db9419aa9da71f197573de4171ce9da2828e78582722395cc0465352daeb82051e6930125cbf</t>
  </si>
  <si>
    <t>b0e4b8f58dfafce5ea5d64c139bc2642d3627ea5149be4e4b062dd4aef438b3e21b440c635ff4cb4dd09b35f607e0bea</t>
  </si>
  <si>
    <t>9f7172800fe60f333e8e0842316cb11880ac4161a019287a88402a262e63b278fcb84b5f13140baf246ade96b0bf27c2</t>
  </si>
  <si>
    <t>5b7c25634f9499a4e08306fc19e1aed5ee2b5eb13f7ecfee3a9b88ab22a60b0e26b154ddd9806288f640dd0e4aee9e62</t>
  </si>
  <si>
    <t>JORGE IVAN SOTO ZULUAGA</t>
  </si>
  <si>
    <t>1924cbfc835246ff2cfe6dc057c99623b0cf49752b2ed17ba44b9a913a6b70ed3d3cbbfe1bc18da525f31a9ebeda36d3</t>
  </si>
  <si>
    <t>ANGELA PERUTTI ARAQUE</t>
  </si>
  <si>
    <t>cb17d22edfd1a5eeefff4641557e3dfda9f10d88a776c3c0c5a148d2dc2816efaff46dca448e7ab575079db8cb7b0ef5</t>
  </si>
  <si>
    <t>FEDERICO GARCIA QUIÑONES</t>
  </si>
  <si>
    <t>009dbffd4e7a18d6fc424320915a0beeb70fc1c9b86a5f03ffe173c6d6c078678465534647cc4a4706f8881a53a72b71</t>
  </si>
  <si>
    <t>JAMES ENRIQUE CASAS</t>
  </si>
  <si>
    <t>bab1045b63aba99035eaf032a0b23f96155edaaf698155cd9019c1a90befc1713cfde7683cf5705a60922ff24f4f8cf6</t>
  </si>
  <si>
    <t>MARIA BELEN RINCON VARGAS</t>
  </si>
  <si>
    <t>df4d7a64044e0f2127cfd87929050893b3041868ecfb76ba700ef2730025f847d2e00ba1917cde85a055cec3b47cc5cb</t>
  </si>
  <si>
    <t>NEREIDA GRANADOS - JOSE ALFONSO PEÑARANDA LOZANO</t>
  </si>
  <si>
    <t>6e697e5f2e87a21eff337b9b025a5f007d21d2d3f227c81736bf0f872b22994a5c1008fb01e7c79441aab6d0c7bc4318</t>
  </si>
  <si>
    <t>MARLY PATRICIA PALACIOS SANCHEZ</t>
  </si>
  <si>
    <t>b8e62e0b6cc83777f5d186f6a136ce00d000177d22f3ebc81fc4d738b7d4002be4c2f8c8c6920f5b58d6d7039309a69a</t>
  </si>
  <si>
    <t>MAGALY MORALES LIZARAZO</t>
  </si>
  <si>
    <t>d0f8c764637a1913bc082161877efda2e78071a2547a12dbcda223f0674235b0332a766d33b746c4a3ea2e82ad0b6e85</t>
  </si>
  <si>
    <t>RUBEN DARIO MONTANEZ GAMBOA</t>
  </si>
  <si>
    <t>e3db9447e7aa7a77f6951f2d3bf24437084abb8b918380a18922fbd9bd4642f8ceeb47074be27ec78470442d087f66f7</t>
  </si>
  <si>
    <t>ZULAY VILLAMIZAR - REINALDO RAMIREZ</t>
  </si>
  <si>
    <t>02330a0ba8c882ffd6f7853ef8778094cda1cb1c02ad0af6944ed64ede26eb78524ac4d0ac8bd1b28187a376d8794be1</t>
  </si>
  <si>
    <t>LUIS JAVIER GELVEZ</t>
  </si>
  <si>
    <t>d5ba9cda6dac3ffcc64273769f21e41a57dad9d87dedc9a38aec9fbb75937e75489b8536bd172817587e9c9003a628b6</t>
  </si>
  <si>
    <t>JOSE LEOMAR RODRIGUEZ MENDOZA</t>
  </si>
  <si>
    <t>e2838dc6ba8b09be274f707e04d0920f6cee1bf8473ea6ff33c12e6410a873f91168c9d7f4bfb9cde27ec8a26b533c0f</t>
  </si>
  <si>
    <t>NAYLA TRINIDAD NAVARRO PABON</t>
  </si>
  <si>
    <t>f6b633ee2e70381fc7e3d0e8bb0db90f7004c5f0fe7600f35738fe17161fd843bb3815ba8460c7f34dc1c80341206d5d</t>
  </si>
  <si>
    <t>JENNY CAROLINA SIERRA PADILLA</t>
  </si>
  <si>
    <t>ca34f819270801bf913a233b801d600e430f35324b7578c77274e9df5325ff664efd25142e67c29fd7f4eccd135dbee6</t>
  </si>
  <si>
    <t>BELSY ESPERANZA ORDUZ CELIS</t>
  </si>
  <si>
    <t>655e0db82be0fc229f1fc02095be16ded53728a9de0edefe1afc1d79e7625d9b8a62b62713523f9aba7980a74eb2d417</t>
  </si>
  <si>
    <t>LEONARDO BOHORQUEZ ESTRADA</t>
  </si>
  <si>
    <t>d674b26def33dae48f1b8117cb2bc8666dcd52ef5c17ed0a557cb0015ee3f563bcdd90ccd5772c29a89b214c2b155e7b</t>
  </si>
  <si>
    <t>BRAYNNER YEZID GARCIA LEAL</t>
  </si>
  <si>
    <t>6cf08b192f42eb503f8b7d75f432964e2df95371118bdd0a621826eaf2f9a54b08eb14983cb2dcd0c31b8c3ad6e15bcc</t>
  </si>
  <si>
    <t>CINDY VILLAMIZAR RODRIGUEZ</t>
  </si>
  <si>
    <t>0c537ef25f4c9a0291080ee2d8eed9d557de2086de03039fa4c3073a5c69db5c8e20041d4ccd79c0b6cc61038278eb16</t>
  </si>
  <si>
    <t>730abe041e62a88dbc532b27222cdb73f5b39b6e9b03fd9fe8522223157e7f6c382b1ff38b61d16928b49a48e524ab1f</t>
  </si>
  <si>
    <t>EDUARDO JOSE MORA OJEDA</t>
  </si>
  <si>
    <t>58adc715ad30a11f073e58ba716c5d040b7b01a16d66f46d68e4025b25e65f7a802d835399eda6e82e86ec019ff356bc</t>
  </si>
  <si>
    <t>ANDREA ESPINOZA GOMEZ</t>
  </si>
  <si>
    <t>5368f7ce0a446dce1ea7de8bef9969ec4b4c382abad48554512247fb02b4a8bc0f429f79acc119a055758c4336952c69</t>
  </si>
  <si>
    <t>HUMBERTO JOVES PAZ</t>
  </si>
  <si>
    <t>ab5d08ffd1237a37b040840f63dec0486025ba83c26d8a15a9784f408785b0aa003cb1aae26092a0a408a6e36c7c1777</t>
  </si>
  <si>
    <t>DOLI LOPEZ PARADA</t>
  </si>
  <si>
    <t>4ceac3460db5a522112faefdb9efb89e412251c4f0d6b6bc114f09819538af1b7ffd678002b281430937d8bc04503b91</t>
  </si>
  <si>
    <t>EDGAR ALVINO JAIMES</t>
  </si>
  <si>
    <t>49434f038fa0ecaa173de8cab3b02e05a2468d737bd406ad96b58e1b3bb791b854316c14c15ddfe53091829f709a7aa3</t>
  </si>
  <si>
    <t>MARIA VICTORIA GIRALDO RUIZ</t>
  </si>
  <si>
    <t>3192d353325dfc11235d4bf0b46b17b899798052bfda04179079badba6dcb50181c99afbd6e11a151f95e96fe1cdfae0</t>
  </si>
  <si>
    <t>TAINE ANDRES MENDOZA NIÑO</t>
  </si>
  <si>
    <t>3f32685f5c33b4b8ba283b900bff0686f41e9296bceae8bc19767eab5a210ba7faa64cec69f6b2cae88896b1f5df4313</t>
  </si>
  <si>
    <t>POLINORT S.A.S.</t>
  </si>
  <si>
    <t>6a5d0d7b9b541294d3b28a9b6962f187e8d9747218d77453fb50574db23e0cc2407a9132ea4eba43c2d64ecd649f6129</t>
  </si>
  <si>
    <t>718e54599f3df9cbfaf2aebb4d78e5749674ede396d42259fc0296e3917d7f0a49babaa85298e3d3b915a056cf16229e</t>
  </si>
  <si>
    <t>723cff4aa7324b20d67c04f9e956e9be486dda74b97c319af360b936c12805dc819300dc9916fea7673d97a0fb9b4e97</t>
  </si>
  <si>
    <t>0758ab3950d59b82cb0f3202443972b7ec1a8187ba9e6abf815f54cb8543efd4b4e734f277d8fea946d7cf3a1aed03da</t>
  </si>
  <si>
    <t>88f7e99dad0d5a20be58618f6ae8f9f5a293ca9decca54c37d8e5b44eb32efd4b916a83805ea98c242fbecde946e77c2</t>
  </si>
  <si>
    <t>COLPET</t>
  </si>
  <si>
    <t>13e922b07ec7d3540ec971296a5406672dfd2e073848a11bae14da0a6f32e7546e432326a3bdb967d5f854c1448df47c</t>
  </si>
  <si>
    <t>ELADIO GUTIERRE SUAREZ</t>
  </si>
  <si>
    <t>4e8b18662b98f8fa5c7801774f4ea5d64ec96ebf43b7c793a66d0141b9668801fea05a149dcccd07562b96d6e9e5acb7</t>
  </si>
  <si>
    <t>b4425b1c2e9ee668319208d1b72070dbcc28fa46022390b7c4d0fbd1038ce05490e3136c43d0faa8ba37ce7464806ac9</t>
  </si>
  <si>
    <t>VDA PERACOS</t>
  </si>
  <si>
    <t>5c75adbbc8cb07225dc7ef298a51c9f3f71d5338f93d89f63076f976ebecd3e18065ee743a73425c6fa6c44678803f76</t>
  </si>
  <si>
    <t>SAN FERNANDO DEL RODEO</t>
  </si>
  <si>
    <t>e30b8b575079db384b758e8e9512033fd6b4656487537647e1bcf1ecb53368ee9d7ee35a6a3ffc9a24aae6e3379f085e</t>
  </si>
  <si>
    <t>GEXA MANGUERAS FLEXIBLES S.A.S.</t>
  </si>
  <si>
    <t>19f669823ff7648ddd75419f724f34675941bfbbcd196351d3970b7f1223b4b51ac4009efac102256b6af9a457b911c7</t>
  </si>
  <si>
    <t>7d4dca3f9b8bb13e96db85fb049afeaa6aa1ab2f9bac75b7f69588a95c9ac08275dc84a757fbf1f036c3ed1e905c58a2</t>
  </si>
  <si>
    <t>MANUEL ENRIQUE OTERO ESCOBAR</t>
  </si>
  <si>
    <t>e5220758f579d133f49ace1e3c96c856ed8a2779888a14954559d4874ce8219b63d3b003d463d9afd726bffb167ee9ff</t>
  </si>
  <si>
    <t>P. SANABRIA</t>
  </si>
  <si>
    <t>COMERCIAL RANGO 2</t>
  </si>
  <si>
    <t>db7fa5be1173db8d65a09e5dcdaae44b3e581b7ce3d0dba8763774aefc78cc2ad6fcf65ceaa3cec8960691ee31142c3b</t>
  </si>
  <si>
    <t>4372c98a8051281381c0a763fb9423912b29fc95d8f48733b3a2b5d9a4e55de66956cd3e07a81ff5bbff312e6e922fa2</t>
  </si>
  <si>
    <t>CASA LUKER S.A NIT 890.800.718-1</t>
  </si>
  <si>
    <t>dd1b3f22f1456f9bf4eae44ce3b4a59738e67eed72950293bc8abb6a54d8cde1c080d8abda303d0c819661db79e795f8</t>
  </si>
  <si>
    <t>890904713-2</t>
  </si>
  <si>
    <t>COORDINADORA MERCANTIL-M. JAIMES</t>
  </si>
  <si>
    <t>c30290577bbbb758d56f05d6f9c9475b7757911b4fc4df2ae55ef59bcae251473e2eb582d0c261271d5f0189cd31c2ac</t>
  </si>
  <si>
    <t>ANDREA</t>
  </si>
  <si>
    <t>00945366bb5459021580a2ad2e8cda60baedef457a88c2a237b6b3e1ad2e656bdbc28963905510ed48f9e807ee665a81</t>
  </si>
  <si>
    <t>bc321e24efe34cfd028dde183c7f87584f88fb7a475011cde11282744cd5c2e23f4f2a01b87791b83d80e378eb973688</t>
  </si>
  <si>
    <t>AMERICAS</t>
  </si>
  <si>
    <t>03e8d1f0ace8c511d699ba4d34e71a73a5aea35e52e00190c87d65a7add43e5b986a7a015b18619809748cb520be518c</t>
  </si>
  <si>
    <t>6b4b128f23d02efce8a2da056e1348d79156159b3a995bde56abebae60acf5985dc9aee5b0712924e79138635b439c4e</t>
  </si>
  <si>
    <t>d6ca55567a1dc9315f48be2654241074698fecfa8541fedf7f47be2b119e2f1bf56bd1374050a1b03ed127b61a62397e</t>
  </si>
  <si>
    <t>1e7929e0325a981f0c3a048d9a6e2d3ba842edc87ff4cc35d85feb6e2b2231c82a0848ea8af5746043c796dd71561b1a</t>
  </si>
  <si>
    <t>UNIVERSIDAD LIBRE</t>
  </si>
  <si>
    <t>f7a8e6cbe6ae6039a2913522f0f070e0da996990a7f473d2058f7531fc894debf30f5f391baf460cffb4bc87df91f753</t>
  </si>
  <si>
    <t>99c7853548c5a4f655075809c4b676a0b5bb7868d9b460d8522ff32fa2da285bd6a3ab39e12ded069f6533752d98691e</t>
  </si>
  <si>
    <t>75e466b08b387845057a0f4208c43a3d0a2993afd98b13c5aa95dd39b1da8e4bdeaf2d5e97c844b7cd189e01bc179c95</t>
  </si>
  <si>
    <t>93525be34dd24ce2c8316a748e454cfe9c6df567017cdcc59b3bced5a3ba164ddc0d6f094ba18b3fd58a9d809c925351</t>
  </si>
  <si>
    <t>ALPOPULAR S.A. NIT 860020382-4</t>
  </si>
  <si>
    <t>e47d8a4dde0d486a01483a90a50a22e3bba7c6e11cdf5c7d14d055df43206df3d1a65b56cc6e8c4c1dbc7cc4b6ef19c1</t>
  </si>
  <si>
    <t>MARIA GRACIA</t>
  </si>
  <si>
    <t>4f9a32a945d8421a81801fc639c33de36481b47c701e1bda3db53689914104561f35544a67cd8e1ad2a07fe78feeaae7</t>
  </si>
  <si>
    <t>db4994248900067d726f39ae49079e4c79924defed4f2836066778a5c93573d5ae430f48429218936a97ce2401d8f146</t>
  </si>
  <si>
    <t>c5d7e201d8b0b3cb880a0802e7cf7f791a2ca78b74e756b181d5c62b148a0bdf965b6f585adf8561febe885ea1df1416</t>
  </si>
  <si>
    <t>10e22235c4b7d5bb7959033b32933a64d22e56909aaf91f9f638b0278281c31e73bc3c463b8c31ed1dc26edbb648e89b</t>
  </si>
  <si>
    <t>7d79d3be2be571803e697a3d6b7b27913d9d843802d465a4d6a30f9739b155fb7711289d5311c902145620a315adbab1</t>
  </si>
  <si>
    <t>7 DE AGOSTO</t>
  </si>
  <si>
    <t>17319b294484b6d21d124702a113b52403bc43e9fc5d787c01b73827bda6a71e991b4cb27bc23a2869b81c021af1f185</t>
  </si>
  <si>
    <t>b414590b93dc895c98bee0b5f6dac34b4ab55c8101d1e8eaf8fc7a112f8edafd99fcc5bc93fd1e5451a79e7b8854a61f</t>
  </si>
  <si>
    <t>900599809-7</t>
  </si>
  <si>
    <t>INDUSTRIA MARPLAST S.A.S</t>
  </si>
  <si>
    <t>b6b630fd1bf6060ae8eaedae110783c614fe1531d9dee2726ec80cbf814cd77d6dc337099d65491b5692d42d506bf11a</t>
  </si>
  <si>
    <t>IMPORMAR DE COLOMBIA S.A.S.</t>
  </si>
  <si>
    <t>f3643cb292ed343ae6276be508aa4410a01fe412f76b7cae295c8150d9ae11132445a661bc7f91ff2ac0615ba9757653</t>
  </si>
  <si>
    <t>900685934-8</t>
  </si>
  <si>
    <t>CONDOMINIO PLAZA DE MDO NUEVA SEXTA</t>
  </si>
  <si>
    <t>34249cf440d9beefb9d1bb494b63d8c27d94dcbba484eea0fee875211d95356ff5b868ff1162f9815dca944ca657f88a</t>
  </si>
  <si>
    <t>COME CARNES NIT 800092898-2</t>
  </si>
  <si>
    <t>590f78980d353dd3433acd1778ed932aacb09aa24732310aaffba8fd7ca9967dcf60a20aa9baab361e8ddbe699fa75cb</t>
  </si>
  <si>
    <t>EL DESIERTO</t>
  </si>
  <si>
    <t>689fd23c0b33927cfc575a485587bfecb57309584eccec6498d47baec0188f85eb5fde1acd6f37fd5c4480cb8afe3e39</t>
  </si>
  <si>
    <t>3ea47f01215fef6bb874730807024efc11b5e1f72d11e9adee6267989dfbd68e4eccdb81e5813a9973568259b32364ec</t>
  </si>
  <si>
    <t>TUCUNARE</t>
  </si>
  <si>
    <t>72459a93e51b449a2abc96375d99f2f667be0aa6b024d0e3cfe54c927d6cca32a4a62afb32f9bfc9ac9f290c7cd72abc</t>
  </si>
  <si>
    <t>754dae5726cd7abf5f1454f4adf7ef2506e0e4731f4b4328be28a7c3425f5890565392ee6f09e7906e55299e0912ce1b</t>
  </si>
  <si>
    <t>18a8f720fb04b969c8fc1c099f4b6d06216203b35750c8533c55b01235d15d5c4654a107b9fe16def860878e63ea8d53</t>
  </si>
  <si>
    <t>5f2477ea76cbc89dfd364a41ea0c2475462be9f37021d25e8dafe5874210481f5abfa11e4a25e6fd219693b23828bb57</t>
  </si>
  <si>
    <t>6516c6beff62d7b93ca332407823f171713a89db89836e8e3d2a777867d1faeffa302837861e469ef46f0f6b43ec2ceb</t>
  </si>
  <si>
    <t>CARORA</t>
  </si>
  <si>
    <t>29c8a2b628ae150b2aab14ed8afc0c58d2b43e6e0901e360d8b0eb9af98abf8daeea94789469664cf54efb000d64270f</t>
  </si>
  <si>
    <t>51be992669e6b115ee26761b49000e933a8d4417627e1896ca35df91a0d4384d5dd1f801d12de4f29d38f53976d253bc</t>
  </si>
  <si>
    <t>643e721c577ce733428892171f5ac9c5d0cd906752f488f5cd4d170257a0e2cc3ac3c3b3f6fb8c6377ed7553cb566ee8</t>
  </si>
  <si>
    <t>e7f20872fb636bae36b8183da484279388e3553dd68408f05a01ba9c5b049be88209bd790ec38c113f6fdeab68a19541</t>
  </si>
  <si>
    <t>b0f8182b69a73baa486e83d1f4856ce475fd68bdeb22f540d695f6fb6d3a22fb8e3d2e3691e213cf8ed29b49bc3abe3a</t>
  </si>
  <si>
    <t>COOPERATIVA AGROPECUARIA DEL NORTE DE SANTANDER</t>
  </si>
  <si>
    <t>0046fd339955083594ec0a7ad4267e03f083f10c081eafc2cbcde90a42b434d940393e2e79ebedb82c54ce1b810b951a</t>
  </si>
  <si>
    <t>901430492-3</t>
  </si>
  <si>
    <t>INVERAGRO SAN ANDRES S.A.S</t>
  </si>
  <si>
    <t>bb1565f58f6bd77175c2e77ea360b16d6c1a6ceb87248b7dd9bd5aacbba8e7455579d013529aa16f56ddc88df45f3abe</t>
  </si>
  <si>
    <t>TRANSMATERIALES S.A.</t>
  </si>
  <si>
    <t>0982fe2385933c8941ceab7911e0bfa1e3d084a7fdcd8e39db0f4b39f23b7837ed637a7da068eb2051bfd13806e913b9</t>
  </si>
  <si>
    <t>EL RODEO</t>
  </si>
  <si>
    <t>385c1235f1f3927df840bc7f02afcb6fe3ac87da94765b0a269ed4f855a2ef11caed6166b9c8cb6c889e865a90fb9934</t>
  </si>
  <si>
    <t>f4d7cdf21eefd66d77989131e5792d9cef8cca67b04fa705232d92747e72d9727926eb97872fd16464411d153f8d9604</t>
  </si>
  <si>
    <t>45301506f1c9757b9ba15433305cbf009555b0c6ff2c77b63860ff45ebbd9602e78f2567dc0ceca820b9151465e5bf28</t>
  </si>
  <si>
    <t>ALMACENES EXITO S A</t>
  </si>
  <si>
    <t>baab6f8c9d29b4568ebbcecb9f9ad3b300f1180923cb8da9c329846a77afcf134dddce309b4a65510207fc17dd9548ee</t>
  </si>
  <si>
    <t>48666887dadd6e7107130d8f64398922d4dda4f4363ef689fcbf9b9241755f6bf6ecc8d655165ae030092fbd6366b46e</t>
  </si>
  <si>
    <t>e7139efa5950d103b4721f57e2a611503c6a0f273c4a1722c5624b4408ee06bf265867f5dddd4d23934c7f9e7477fa71</t>
  </si>
  <si>
    <t>890503314-6</t>
  </si>
  <si>
    <t>CERAMICA ITALIA S.A.</t>
  </si>
  <si>
    <t>471ea538ab3a582a0eaa4bf851dc9773347703c52aa70ac056445b39f4dae410b912fc2a0827fdec0131a6333840f61c</t>
  </si>
  <si>
    <t>890930448-5</t>
  </si>
  <si>
    <t>HAPPY CITY CCIAL UNICENTRO LOC 1-51</t>
  </si>
  <si>
    <t>9b3b49052e1fcf03ec5f6b434d9fb4813a10233592c71c3a9d5fc410e733fb962867f2b24585fcf6e583154381004a19</t>
  </si>
  <si>
    <t>CUCUTA ZONA NORTE RURAL</t>
  </si>
  <si>
    <t>01989aec7b6fbc765f4a8dd1301b4f0fe497683c13d26b857bc3cdc8dd5988890c4b8a4e4efe20e9cafc2b7f5743ce8a</t>
  </si>
  <si>
    <t>UNICENTRO PRONTO FAVICOL</t>
  </si>
  <si>
    <t>7af67d28623cb2a1de244fce19fbb29332bbb30effa7e999e7eab6372de82d1bb21c6b4431d5f07aedb0e76d36e38171</t>
  </si>
  <si>
    <t>900080956-2</t>
  </si>
  <si>
    <t>AGUAS KPITAL CUCUTA S.A. E.S.P.</t>
  </si>
  <si>
    <t>fd42380275b6a79aaf9d325536674112c9c6413701532211c3acd40f7d66a50313ee1619079b04f1a45d8c77824f0f6f</t>
  </si>
  <si>
    <t>a7e4b63f22434ec6d9f99cfa24c4d6f2c2445645125c002cce4620968cead078ab07381d6b9c2a77d0b9fb6d75f81d28</t>
  </si>
  <si>
    <t>GM UNIPLAST S.A.S</t>
  </si>
  <si>
    <t>1d2bdb31d8abcaff76482c452fbf5163eb1be924910a1a1ac61d53e35c6e46790703eeeb3cd93da3392387915f24b151</t>
  </si>
  <si>
    <t>890500282-5</t>
  </si>
  <si>
    <t>TEJAR DE PESCADERO SAS</t>
  </si>
  <si>
    <t>beb1eb3bd9cf33398b8349ecbea9dffe8980cb770782b6d77c422a16dab8667b755b076d147ff588a8595683b558eebe</t>
  </si>
  <si>
    <t>URB SAN FERNANDO DEL RODEO</t>
  </si>
  <si>
    <t>df73f1fbea2880f5a2cf873e55c2c845edf250a953276d219ee348bfe490bb732d75d809d16ea05cdd402f9e8e3691a8</t>
  </si>
  <si>
    <t>CAYETANO SUAREZ DURAN-LADRILLERA GRESCOL</t>
  </si>
  <si>
    <t>DCTO COMERCIAL</t>
  </si>
  <si>
    <t>1f303441c9f3f311ac0da84e15477c841209b694689d54f7deacc919a34be8a1b81a03ede7d1bffb47d32315d2dd938c</t>
  </si>
  <si>
    <t>YASMIN ALICIA PATIÑO RODRIGUEZ</t>
  </si>
  <si>
    <t>e1ac2261eb144d2a60253a9e1df8f54adc19c8209cede47d5c134bb7947c5d66cb1297fe9dba4f0da76c1a5e00ac614f</t>
  </si>
  <si>
    <t>901812880- 8</t>
  </si>
  <si>
    <t>UNION TEMPORAL COMPLEJOS CARCELARIOS CUCUTA</t>
  </si>
  <si>
    <t>602d6b5362f28f07e0aeaf15c8fe8ba8d9b4cb42881dfbf708312e50ec3c5b2c489163439cd38fa2d93c27278f328ff4</t>
  </si>
  <si>
    <t>EDF.RANGEL</t>
  </si>
  <si>
    <t>EL CENTRO</t>
  </si>
  <si>
    <t>774e99dc48108dc73b02693c8eff7214118394caa36b199e2b001010f444dc2e0ac5644c8f5d2c09816cd70f43624eed</t>
  </si>
  <si>
    <t>CLAUDIA MENDOZA GRANADOS</t>
  </si>
  <si>
    <t>09d60604b467a9ea2f64848a958a77cf82735927347f1274501320922edbb48b20cc31536de70a505394949e0137a94d</t>
  </si>
  <si>
    <t>OLGA STELLA ROLON</t>
  </si>
  <si>
    <t>df6ed57b2b03d331ceafe72238fdc3a1dd96048b7eda6ac7ed4c3b79226af0b43c697d13128bebe3ef2b058ac4607071</t>
  </si>
  <si>
    <t>ANA DE DIOS RODRIGUEZ</t>
  </si>
  <si>
    <t>b64bcdf6bf086ce940c6b05e1c384522c3a18198d7a2be758e3f0dfe7d328bb4f1331a5764d6a2008df3bbffacae09d7</t>
  </si>
  <si>
    <t>MILENA TORRADO TORRADO</t>
  </si>
  <si>
    <t>4cd6fc4c1847539c4df4937424c3e63790135a421c230c81da80acd22a37d2bb05c7a1b553a1ab4120bb8694cffb3a41</t>
  </si>
  <si>
    <t>YOLY ORTIZ BARBOSA</t>
  </si>
  <si>
    <t>ee0bb2595260bfbd0a8d05847890bf4b30979807ef7095657010ebb3c263dada9b2cca39e343a5125c7efd484a9e53d8</t>
  </si>
  <si>
    <t>BETTY ZULAY IZAQUITA VALDERRAMA</t>
  </si>
  <si>
    <t>6616227128893eb98596aed13edd51a776bf8cb20b55f083e220b0f4803063feb0c4662ce5ce4eb6856cbce636a6fb70</t>
  </si>
  <si>
    <t>CARMENZA VARGAS QUINTERO</t>
  </si>
  <si>
    <t>932f2f8787803e8ed084b277c8badfc01570411bb5b20c214b8763cbc22ab767384aa4f83cc597d760c84cf943ab1f1a</t>
  </si>
  <si>
    <t>HERMINIA PANCHÃ_x0081_ DE SUSPEZ</t>
  </si>
  <si>
    <t>4f38ccab5ac0d505c93be3e758aa01177c1f715667ee876b8ab06c1a2fd1d8cc42f043bc9cd564e29e21c977416e4ce9</t>
  </si>
  <si>
    <t>ENC. MARTHA REMOLINA</t>
  </si>
  <si>
    <t>a180f06b2cd6dd38908f03c423eb275a85e9e231a430c7d7fb27a265558ddcfb9314ccf0719d3a4d45a8dfbaea19762c</t>
  </si>
  <si>
    <t>MARLENY ANGARITA LAGUADO</t>
  </si>
  <si>
    <t>5d87c9213e0ac381fb94391dcf15005a085cf0dc815b752ac7cbde56a84e3f5b00319bb291667d07a3b8201c0f2094b3</t>
  </si>
  <si>
    <t>LUZ AMANDA GOMEZ QUINTERO</t>
  </si>
  <si>
    <t>bb0dd9a1da6fd35768e5e401529c07998dfc90e7ee6d8fdf8424f9e32132f6d3c48d5936b8410f421981ec6a3c6bcbab</t>
  </si>
  <si>
    <t>SHIRLEY YASAY CARRERO BONILLA</t>
  </si>
  <si>
    <t>4a1ba0491280336572996e1c889bbff432ae42349aa3946318b0a96daa1eba4209b3f60f85525dcf9a6aa73ea3ad4e2f</t>
  </si>
  <si>
    <t>3d55512c27e86d00a6c72485906855590158dc6f47a37ab5fc2657bbd408ccce982d9bb95da8386815646925974e4398</t>
  </si>
  <si>
    <t>SANDRA MILENA RAMIREZ BLANCO</t>
  </si>
  <si>
    <t>7ddcb189a15de9e3ceb7bff0f2942174afb8a2c2c72548c6107f34802caebf123979ebf03147fa3f62306b48929360c9</t>
  </si>
  <si>
    <t>ELSA MIRYAM MENESES LEMUS</t>
  </si>
  <si>
    <t>cefa899e8b5fe1d710248f2805932aefef788412b2b2e97cb22931e3f6d1df9b2859a0f21e9822b7d3f0d366ead67cb4</t>
  </si>
  <si>
    <t>MACLOVIO AYALA RODRIGUEZ - GREGORIA EUGENIA MARTINEZ</t>
  </si>
  <si>
    <t>951cc4e8bc53a987e78b6f825ffa105e6a8038d2d1e42add9c8ad7eea1b044760408a0c82f95fdfaa3f0dc025470181b</t>
  </si>
  <si>
    <t>RICARDO REYES RESTREPO</t>
  </si>
  <si>
    <t>a21dba22bba5e619a17346c742ac96c61346ff67896b9010537ea3e9d441f924be1859518f975b20476480498de8660f</t>
  </si>
  <si>
    <t>EDDY MATILDE LOPEZ</t>
  </si>
  <si>
    <t>f5bd3400ede790820c5ae913f72b7d92a1cc47f9f8f09ef1bbc16bd0cccd08ff4e526026894c5bd9ca8860f980652305</t>
  </si>
  <si>
    <t>ADRIANA DEL PILAR BAYONA SEGURA</t>
  </si>
  <si>
    <t>e0ca206661583853f6ed8c1d216284f7c6361d0b5cb83e218b6a244a47433fd39a4036008daa96bea386b5a7c5b455e6</t>
  </si>
  <si>
    <t>MARTHA CELIN FORERO Y MARGARITA / ELENA CELIN FORERO</t>
  </si>
  <si>
    <t>23fc67df767f9ed9ad57dcf18ab4c6117befcae480540bb6209abea862f40deccf27d1fc758a036d76349e152a9ace4a</t>
  </si>
  <si>
    <t>MARIA MERCEDES OVALLES RAMIREZ</t>
  </si>
  <si>
    <t>d32ea0ba3c2fab568a2afd79270ddd099fa8427385ab38c223920c2ab2b5260715a452e2d0d8326bb4bdaa77dca006d9</t>
  </si>
  <si>
    <t>ROSALBA FLOREZ DE SUAREZ</t>
  </si>
  <si>
    <t>3374180c23a3296da3d9c0d29c0b131753e5946b8ae9a5c5be2a80baaa499ee3f66b50b6ac5c917227ba8e86808926d1</t>
  </si>
  <si>
    <t>NIDIA NANCY VILA CARDENAS</t>
  </si>
  <si>
    <t>2ca7ca2fe926f292304f3781ad4959b289618c96fd33b64c4471899f130293890551d2912d99de5a6487183f3a872171</t>
  </si>
  <si>
    <t>RICARDO MURCIA PARRA</t>
  </si>
  <si>
    <t>c3f74198bb6743a0d6e9e9748adcaa7199e223ca2cb9688de71507d7e4ef083f6ff7530f502da886ce30b126846fdc9c</t>
  </si>
  <si>
    <t>AMPARO PEREZ GARCIA</t>
  </si>
  <si>
    <t>1f98818b1a9745d3959d5f950517507a8c7b59b7842b52e016ca1a11627a7abaf32d2d19911d3889ce9ff51681a92952</t>
  </si>
  <si>
    <t>JOSE ORLANDO JOVEZ PAZ</t>
  </si>
  <si>
    <t>1e49df2a7e522f7af0ca1b9c281f086c2a98ce48dcc9670bf19ccc9fd97a6566f1a7dc14ee7d6a3cd7ca8a1278432d5f</t>
  </si>
  <si>
    <t>ALBEIRO GOMEZ LUJAN</t>
  </si>
  <si>
    <t>54ebea818a67254d2a8d531d61a1b4e73f5edad94bf566f56006b728fd0dad5e6ad3c5b8c51fd5a1b93cafd0d12d3dc4</t>
  </si>
  <si>
    <t>JUANITA SUAREZ LABRADOR</t>
  </si>
  <si>
    <t>ec9e2fe0abf79fb18586c6a1c2ce65f3aaed87ee95470a9441624b0302ddf6af542dd78d19e7729036894a61909a1900</t>
  </si>
  <si>
    <t>f14a14c701bb657c68df9ddd8c89c1ca93c4d5ef723b6efdc0b4e38f7a575073c4319b8b1c29247a3ac1ec9d83b93f9a</t>
  </si>
  <si>
    <t>f14e3d7eea8346c3f0c74cd9ee2b4450ccf8a7ad89a5d6b857f932b6f52d3e5554b63f5b8216993060e5a7e991a19c93</t>
  </si>
  <si>
    <t>04478c7db9883407636d0c7083914ecc3e7c65018ed50c1919cd8e966d1b3039d6ddbf9abf7545fbff8579b976bbc041</t>
  </si>
  <si>
    <t>0d709b18a15c95b60b5b18956a1daeccc06dc622d6dba4080ed926aa489c4c0ff4c8e9e043ae56537988c7da380499e3</t>
  </si>
  <si>
    <t>2541f42b40b756543f3f8998600ccb52556c16c1cc761f8420f3a70dd40597ae3e9c36369057f1099b638ba2a7fdce72</t>
  </si>
  <si>
    <t>C.I. EXCOMIN S.A.S.</t>
  </si>
  <si>
    <t>VDA STA CECILIA</t>
  </si>
  <si>
    <t>e4af2f51f28ff97dd06be9f5f7ae17b0ea1512341df5de0168dc399a7b352cf6ba1b56c50e3bb472573aac6800c5e468</t>
  </si>
  <si>
    <t>BANCO DE BOGOTA</t>
  </si>
  <si>
    <t>d74b7c966bfb6e6e6c4b4da6a64e3797112454ec9599132c232ad26a119e981c2a248652b362863673484f3ba6e32637</t>
  </si>
  <si>
    <t>3ed61a8940551e015411a6b2f022512dd219cdb6369586a52ed2b0ba2613ba7d2416a6b508810b9985cf59fa8fbcd562</t>
  </si>
  <si>
    <t>900373689-9</t>
  </si>
  <si>
    <t>AVICOLA MASCRIOLLO SAS</t>
  </si>
  <si>
    <t>2a6fa780375b2ddffb88dc90e87574aa2d4ec643bf75e4d60ec88b2c374c3545495bf2f21be4b592a652291adb06c5c2</t>
  </si>
  <si>
    <t>76962f94f5b7a559ca0c1d33d87c206d3a04a6115404c0bb90f82d485fcdb2c13043a23b54d8206bc552a0d428d88cec</t>
  </si>
  <si>
    <t>DROMEDICAS/JESUS DAVEY TAMI GRANADOS</t>
  </si>
  <si>
    <t>5723f21d765e87b9d9059b2f8d51c37220d9457bcc16f7f18011e3844b99ed9ef6b206a0f5b9ba1ea10082a9b9068ce3</t>
  </si>
  <si>
    <t>5276d623b801315c92f07c827aa1bd43c6c36e648e46779102170cc07bd957c550779d3bcf1c75ac26650e19fae8852d</t>
  </si>
  <si>
    <t>1a97839722086a6c7557c4aa8db076e6d386506ac6db1f38ac72a8064506f830be67de52b724e8e18e2a200fae46f646</t>
  </si>
  <si>
    <t>OTTO YAÑEZ AYALA</t>
  </si>
  <si>
    <t>dc76d13cdfd4684c2483878ca3f1143de36d90bd36c345473a3641240a5f0ae58ccc1e2cc3364eaa522d8632b1e06bec</t>
  </si>
  <si>
    <t>SANTIAGO DUARTE GAMBOA</t>
  </si>
  <si>
    <t>720c5d990b6e6112b3f2b81265a5481a0aa143ec32e7d1274af1545867e2b776c588c689e48b0fd7e5415a1a137df886</t>
  </si>
  <si>
    <t>HELADOS POPSY</t>
  </si>
  <si>
    <t>4d807db632d59b81ed83a947d02a120cfa1f9e33629f68b17de60b34d0d61f7da6ce95476aa9ca4086f1af62dd9c3adb</t>
  </si>
  <si>
    <t>51e8045ee20e5cc11b787ffa614f9dc562c2bf1e598a8b294fde3dd4c305b88fc1db1ac9e479b0408b7527f8cabcb755</t>
  </si>
  <si>
    <t>FRANQUICIAS Y CONCESIONES-PRESTO</t>
  </si>
  <si>
    <t>9cbe0adb1e9a585ee5b058afb06c5041b0839eb473f68a7e229aaae203c6e338f58f2daf52c902fec8bc783c1fa056cc</t>
  </si>
  <si>
    <t>CENTRO COMERCIAL UNICENTRO CUCUTA</t>
  </si>
  <si>
    <t>62a326099a4d82a6384fb08d905d3d4299f9d5e01dfaebb6204327a3dd0e298d12ad84593a5762cfa8fe875056336b47</t>
  </si>
  <si>
    <t>UNIVERSIDAD DE SANTANDER</t>
  </si>
  <si>
    <t>EL BOSQUE</t>
  </si>
  <si>
    <t>0c279eea7d5381616ecc0e83f70c93c46d4256db1a308560416a3a2cfb17d55114c29070eda2d892828c70f39e5c7b8e</t>
  </si>
  <si>
    <t>AVSA SA</t>
  </si>
  <si>
    <t>7535bb75fbd106e429473b3da2d760389986e705a2296061b502aa59838a21c05d1191eafdf474037d9c4c16e16367f2</t>
  </si>
  <si>
    <t>176cad9f95c1ddbd5ae4c5f8927e708a1e9d7a5c1a4ab09595e30b96743fc4938230e3dcdfeafea42546921a77d5800a</t>
  </si>
  <si>
    <t>a6f2c05d4c3dec6efb590b58a653f8e8433e5462efa59f61e1fef09381d43fa718b171888108a38461263f4aacef3b55</t>
  </si>
  <si>
    <t>VILLA NUEVA (GRUPO 19)</t>
  </si>
  <si>
    <t>1d921a6c595c7b70b3c076af74b370642744334387061ce27f18fa87c52b67319fedd842be5f91f6577b6b816a86449d</t>
  </si>
  <si>
    <t>872628eb86423090bbce8899f9cbcbd5d557d0c8023f72df349553bb80d00b088756eecbb3d91b1777e3971eaa86982a</t>
  </si>
  <si>
    <t>53b68f79a969f6901f9370d683f9c978b47adae3a2c7d85b2136667ac5906a59264f67d6c64feb3787d06c52dfcf3d87</t>
  </si>
  <si>
    <t>7cc8c16b61277b181c7026c39298169940ac26f8365fd1fe7a8798094fab2d6da521fad8e309c3f13c8730073781682f</t>
  </si>
  <si>
    <t>COMERCIALIZADORA MERKA DESCUENTOS S.A.S.</t>
  </si>
  <si>
    <t>GAITAN</t>
  </si>
  <si>
    <t>5534a56cc1203285ad72d487cfe8045358704a3a90f0be986ab4212d6e9aa58231337a328c8cd5548bc15073e8d88aa3</t>
  </si>
  <si>
    <t>97fcd28d30a3feceb7deccc8fcfa69e89a3c229fd1ac88bd7c22c4f5c644919c691a07f5589873c6ab15d8c6a1fa9234</t>
  </si>
  <si>
    <t>38f3c3fc4e1fc56f8385351c7760a592b7ada7dd9de9c59ac0491275375ca7bb0a10ca29c8d44288cd636b01be60ac85</t>
  </si>
  <si>
    <t>ATLANTIC FS S.A.S. NIT. 900.040.299-0</t>
  </si>
  <si>
    <t>f623ce5ebb2c9ff8665f37cfa0ddeb333752596e0cb02c675b7d1541d2d8c5ab06b105a015ca95001524409788c93b3d</t>
  </si>
  <si>
    <t>GRUPO EMPRESARIAL AMERICAN LITTLE SAS</t>
  </si>
  <si>
    <t>c915701691af4048bd31ab37f14c07ce144ec7ae6e274d1b49e9d9dfcc2f8c5e2b4be82ff50968dcb028c3f9e68021fb</t>
  </si>
  <si>
    <t>9a7474685984b794a629e1f4f2c1e5b55da2e0b48b1bc829702e5c7cdd6a3126d4dfa1e2eac94efec48c451551b47352</t>
  </si>
  <si>
    <t>800035606-6</t>
  </si>
  <si>
    <t>CAMPESA SA NIT 800035606-6</t>
  </si>
  <si>
    <t>762e9c9a80aa3a63068634a82830bd68ff62b11ce450562de536be5eb87b9616e2720d4f8df65fe707d92d8a2575afbe</t>
  </si>
  <si>
    <t>70c57506854565b61a68f22469f8033d1e3caa9f9ecc92d6de2b484440f35145648431db05e1c4f317a622545667a95d</t>
  </si>
  <si>
    <t>072cedccf03e37d3dcece751b2d0bd726d9993b0be80968f9913eaa99d24c616753d8dfc97866b3792e1bb42a418152b</t>
  </si>
  <si>
    <t>COLEGIO ORIENTAL NO 26</t>
  </si>
  <si>
    <t>31ad0736a47858a5bc16da37adda0788149090ad901dc6b44dd04c8434f2c123dc46dfcfcf21229f530a965a18b63214</t>
  </si>
  <si>
    <t>27f63ea6dd2c314e3d204bfc83c2b4718908ffa05d69a5af32c179d80e926a5346321ece68fa1a178cfb513a1f56954e</t>
  </si>
  <si>
    <t>9cb0fc81cd9cc40d0924ae99b0a09297aaffc53fb8c2ba348a4b67f675c487755d3bf89ce4f371becaf35fb6450e8eb3</t>
  </si>
  <si>
    <t>cd2484727af8524763e906f1c0a2573d26e463572aaaf020502704b050e760e32be140995350d8e0a4dee047c28b20a7</t>
  </si>
  <si>
    <t>7937bf663f89404f64274e0f4453d86a563a184f0e4cbc770fef330d938f3b6968f63df4a20fc0177450b2428dfca215</t>
  </si>
  <si>
    <t>ROSAL DEL NORTE</t>
  </si>
  <si>
    <t>c13994499adffc9aa47ca1c5cf2fbfaa3ff8241c4dd4ca455db5613051fa5fe8783656c32c420714b5cd321db8104d03</t>
  </si>
  <si>
    <t>9ee44c206cb41086159543d49ab45a51001e30e15e94d05ef4cca3c9e76a7a198205237c5f1140ceb9610a4b2104c4f0</t>
  </si>
  <si>
    <t>4b7e812a744f405a0da57f8112009dc6602a6a74112e4d760a34a8ab92eb154320aab7412e2dbf25d3bddd643461ac8a</t>
  </si>
  <si>
    <t>9e40c6ece10a3fc9966f6481b9bd28848cfdf0823106c4b90f96b7783b3443b00b0f2eae4444d30f0ab14f33e336d8c8</t>
  </si>
  <si>
    <t>COMERCIAL INDUSTRIAL NACIONAL S.A.S</t>
  </si>
  <si>
    <t>c7fb0d81bceb05c034f5e4f4449fec24a0d34b0f09b723d11415108b2b2d50e78f0fc960a098cab41f2b668e85d71ae1</t>
  </si>
  <si>
    <t>PASTEURIZADORA LA MEJOR S.A.</t>
  </si>
  <si>
    <t>5a657f4ceef9eb280470de2dc3db1a0499595ce973f103478adf37dd3a996b5aacf5b5c0fa202b3afe88ec9d6ebc997a</t>
  </si>
  <si>
    <t>443a4b083bce38deee8e87469122ed4eee13774ba4ceeaa9c756efeb6913b720ae176f96b35ff6577a34b3adaaed7574</t>
  </si>
  <si>
    <t>4f3247ae592ed0db863a759c843c2c8c33eba8762c23b3fb5862239e0f8a041c8599f31b244767288d5e5152a7b22b16</t>
  </si>
  <si>
    <t>EL PROGRESO</t>
  </si>
  <si>
    <t>0b77db4e75fc4a38640cfd4a31b98d4ebd4cc308f39e48806ea77b24a9c5114a5e9a384cab87b8aab86dd5d5b28e54a5</t>
  </si>
  <si>
    <t>f2476df7907b444085532aa8080cf856967df7c663d588df98883e9b17e243480baf901facb030c207a53c56d1235fe8</t>
  </si>
  <si>
    <t>900520383-1</t>
  </si>
  <si>
    <t>ARROCERA AGUA CLARA S.A.S NIT. 900.520.383-1</t>
  </si>
  <si>
    <t>6ef4817073d4e4f588129725741699eff409b8c1296aefd7c6d861cadf17f7b1a5365a9ca0fc77a55ca5fa12158a9cb4</t>
  </si>
  <si>
    <t>df32c82354126ed8c493adead1bc3abb61ffce288cc2b18d42261877038c8e356d35089669dfc87612b808b876e583fd</t>
  </si>
  <si>
    <t>21173f732aa837510ca73c15a4137c90ee9552226acc2085ac2e604ce9c0c4d9a1438e7ff086ed5135fb865cdc2a817f</t>
  </si>
  <si>
    <t>SIMON BOLIVAR</t>
  </si>
  <si>
    <t>158598fa5add2130486919e048d5648261e456354d9e3ad2f012fb2705cc261e834243ed24ae8469b74b801899ef544d</t>
  </si>
  <si>
    <t>HAMBURGUESAS EL CORRAL-UNICENTRO CUCUTA</t>
  </si>
  <si>
    <t>5a89b77394cdca7a4a50737945a542ca3d82bf04e0ac317f6e1d56d5e3624be956eae1369b008683c6aa08c1b10179bd</t>
  </si>
  <si>
    <t>VDA NUEVO PORVENIR</t>
  </si>
  <si>
    <t>922ffe0129fadef93589a7e8a8417007f87abef99b0b4659e9dc9ef06b03807799c66bb9ce94dac81a741e0830a842f6</t>
  </si>
  <si>
    <t>JOSE RINCON / LAVANDERIA IMPACTO TROPICAL NIT. 13.442.206-4</t>
  </si>
  <si>
    <t>28f9688bc334ee08558fb7fe2b95bda3526b59dc1b4eba87943920630724b57073e7f82896777c8a7ac0baf3fbc68ee2</t>
  </si>
  <si>
    <t>e7a7b343498719ff0bdd2198ac8251bdbd96fe04a0848b45e0525c87d9f4d814421678078c513c93b69b413fc4a337c4</t>
  </si>
  <si>
    <t>POLINAL-SEDE SOCIAL</t>
  </si>
  <si>
    <t>d8d7965bed5fa7ad50787e46ca657125ab0e6b031bde75db46446517ea5b546252afe7efd1022272bfc812167383ff3a</t>
  </si>
  <si>
    <t>ed6e7c66e80576b8d2900ae05b57ff7e1ed55174e0fa9d853fb470d4e9ca0197ec8f383c033bf1bf6773d6903440254e</t>
  </si>
  <si>
    <t>d97d2e6b2fac7945d039cb20d7e8a87e0cd5ffa127e4c73d52066da2c8f50b383484ecbd89a014c642411fb1c4ed169d</t>
  </si>
  <si>
    <t>FONDO DE CAPITAL PRIVADO NEXUS INMOBILIARIO</t>
  </si>
  <si>
    <t>2fc6ee1f20b137abc64298befb3616d068a4ef39ce068daebb34a064b48d505fae9f5aec04f12dc22d308df00be60a7a</t>
  </si>
  <si>
    <t>LAVANDERIA NEW WASH SAS</t>
  </si>
  <si>
    <t>b4bdfe66fe3dd4e88a340d398bb13107176f6558c5b9ebb852044857538a6c8ba62ce2876ae1927ed0c100ffbad8458e</t>
  </si>
  <si>
    <t>JOSE DE JESUS BARAJAS SUAREZ</t>
  </si>
  <si>
    <t>e03e7e090d69d2bc5c2c2341dca16b16fe9b567ad1910dc766cd86346704f0d0a0b4d8b842bc3f2ea0ec2078c361b231</t>
  </si>
  <si>
    <t>CRL LOS AZAFRANES</t>
  </si>
  <si>
    <t>b30df1cdfb95e09f3ee2847fc8f93d58d53746f3e542b30b8bb4990d2f80e9245e7d75775d4514aa2d6302e7ff589108</t>
  </si>
  <si>
    <t>890505326-3</t>
  </si>
  <si>
    <t>LADRILLERA CASABLANCA S.A.S.</t>
  </si>
  <si>
    <t>5eb4ff22420b5e19a92d86ddf3beed84a3f394b58502b8ce91071f0cc27a99b9037ea7b8a177fc6f36d62642d323197b</t>
  </si>
  <si>
    <t>JUAN CARLOS CHAUSTRE</t>
  </si>
  <si>
    <t>f607cc48298fc3ba03b730e7a39de934f1665ab366db6b9bcd2e7c1ca1351967e9c15953220ccc574272c645a7dcee3e</t>
  </si>
  <si>
    <t>483e708757b3bb1252dfb55eae6215989110ebc4b1f2b06db8a98a44ec3894969e3a0735e7952aa35a33ecced55bd9f1</t>
  </si>
  <si>
    <t>CLAUDIA SANCHEZ YAÑEZ</t>
  </si>
  <si>
    <t>88fe6c3de35b0c8259db8f3aa7558d26a1439241289e7927583fce1a5205ff8a7f3a9b10cafd20e2409d5592f3293663</t>
  </si>
  <si>
    <t>MARITZA DEL PILAR SANCHEZ DELGADO</t>
  </si>
  <si>
    <t>ce67b3b48aca35aae6e28e376ccdc3c634700d2bbfc81e1748ea63c4c3d87cf5c79c22f8557ec55f2ae05d9095177f39</t>
  </si>
  <si>
    <t>KARLA ALEXANDRA BOHORQUEZ QUINTERO</t>
  </si>
  <si>
    <t>75ba12c01755a58ef7d6243b529dbdbd14cc19024fc030837f53c1bd7aa4530e802bb61f89ba2eef49a1fbf43e5f0454</t>
  </si>
  <si>
    <t>ORALVA JAIMES ROPERO</t>
  </si>
  <si>
    <t>5fc5723c6b930b9e3df84bce1c02561a1261cb66f6bcc5c3d72cb56763032270d90bebe4ac58ee231a382c9f5b458e68</t>
  </si>
  <si>
    <t>ALVARO PIO VALERO MORA</t>
  </si>
  <si>
    <t>7ea41278c80cd986986d8010f25f2b2969854fea9fd266aa7ade5f04fb2c93e8b613481d9b8539e9101e07b8ad41681c</t>
  </si>
  <si>
    <t>PAOLA RAMOS</t>
  </si>
  <si>
    <t>e9fe3109be6c02861c87f2add83b2b3ed0e7318764f2b87b0099b046638381d6b0035c06b1d54337a0f7bfb970e2be43</t>
  </si>
  <si>
    <t>BRENDA PIFANO SANCHEZ</t>
  </si>
  <si>
    <t>25ae508553e53e77be97f16e7a1391095a48a7069eefe47bedd30960d7aa695988ce43e05369ed720d5cb49925a04ae0</t>
  </si>
  <si>
    <t>JORGE ALBERTO VILLAMIZAR CARVAJAL</t>
  </si>
  <si>
    <t>1b047e0dbd87238431d31505077a1e3f4e6262bd1a94f0df41b7952a4ac80d118cf848550feb72691db1463f6a7c0b29</t>
  </si>
  <si>
    <t>ASBLEYDE KARINA ANGARITA SANCHEZ</t>
  </si>
  <si>
    <t>1b6903b2f0da2b8e5fc32097ecdb92533223fa9ef4f5b323c3dda74129193c8110e371ed9a43528011a4c44a742e96e4</t>
  </si>
  <si>
    <t>LINA MARIA PEREZ GRISALES</t>
  </si>
  <si>
    <t>554d1bfea25f631b819625d62298362d394d282ea390b5f15289dd0c8532f4a2d0210c5bea1ef681cdcd38ad7453405f</t>
  </si>
  <si>
    <t>ADOLFO RANGEL COTE</t>
  </si>
  <si>
    <t>2b12b8793a914c00caeebe69cd33ad85f6498c7d58f52cc09033ee52f3a0ddaf7d5a395b9e1c4ceb841ca6ef4aefe89a</t>
  </si>
  <si>
    <t>CLAUDIA ORTEGA QUINTERO</t>
  </si>
  <si>
    <t>01f159b56f8d74c94e365d9c7126c864bb30a2474a855be392ed47aefb1bc9fc2e4ad83aae31858d1bf0e4ee0d3f1756</t>
  </si>
  <si>
    <t>CLARA INES SANCHEZ DELGADO</t>
  </si>
  <si>
    <t>59140709a37ef9b06545e88ae490a4eb7a559d1ba3d6e789322a17d4110955e2a34406ec74362921b36d7a50e0f37be6</t>
  </si>
  <si>
    <t>ELIECER CASTELLANOS ESPARZA</t>
  </si>
  <si>
    <t>0be8c442ac64b15e80862e915094d5a3732080e7ca2ccec4230c79819441e93d77912550ab625614d1495a103d466412</t>
  </si>
  <si>
    <t>HOLGER CLARO BAYONA</t>
  </si>
  <si>
    <t>82fe166fb0e5143358647d032f2619d213f5259eff8b23e18805bc201e9aae497bd2cc26cd34093cee427b59e2e93989</t>
  </si>
  <si>
    <t>CARMEN GAMBOA DUARTE</t>
  </si>
  <si>
    <t>f7748286c215a1b7ad4262d87dcd1440cfe83e2992c9d8a43ca776c1c52906634b2e26fd82493c43d5482e1bdedb0b72</t>
  </si>
  <si>
    <t>DIEGO ANTONIO DIAZ MORENO</t>
  </si>
  <si>
    <t>33308a33057618fee72e152105b7f6da7101d3a433914c76c634e90be0c8c9db80ef5149c67b9634f4bf95ae04756a04</t>
  </si>
  <si>
    <t>CHAUSTRE LARA PATRICIA</t>
  </si>
  <si>
    <t>9687b8ba801626dc0f921be8de282220bcad0bc3fd3734f207afcf690b650d68a154f44acda5faaaaa5fae42d39c69bf</t>
  </si>
  <si>
    <t>BLANCA CECILIA FORERO SALCEDO</t>
  </si>
  <si>
    <t>443a973a1dfb00ef5060689e83450538068cd9d16ac2fb2f932150edd884e838bf60ba36ead850c1acb339fb2a794500</t>
  </si>
  <si>
    <t>LIBAR TORRADO RODRIGUEZ - PILAR NIETO</t>
  </si>
  <si>
    <t>d97726c9c91fe043c9fc860ff5ff4087dce669d79cee7784f9329f200f480555dbdf3b788212e37bb809325402c3179b</t>
  </si>
  <si>
    <t>MARIA IDALBA ZULUAGA</t>
  </si>
  <si>
    <t>1cc693381b2701d5640fe175fad6b284653abbd27d48cee6afc5cb9cbd1438b7eec0b5428e0a48ba65de7327be974d46</t>
  </si>
  <si>
    <t>CESAR RODOLFO BAYONA SEGURA</t>
  </si>
  <si>
    <t>6f4e782dd01813239b16f7eb18fc2c57ab43ae80254d682969c0e62ea127c8318d984785d0a845abfdb66688dec30f0c</t>
  </si>
  <si>
    <t>GLADYS YANETH CORREDOR BLANCO</t>
  </si>
  <si>
    <t>cb2c211f6b3f2f0287fdb4ee27010e8b9d8c2759e5288043c2beaa2657d965eb171bc7d82cb928470b0b9902517b3167</t>
  </si>
  <si>
    <t>DIANA PABON MENDOZA</t>
  </si>
  <si>
    <t>18affa2ad5f911fd03dfa2400dfa3d375b85875d227a8684ccbbc37d9a6896162457b09ed454365091d28f4f5ba2dd90</t>
  </si>
  <si>
    <t>VLADIMIR RICO ORDUZ</t>
  </si>
  <si>
    <t>4fc7e88e4edcffe28a93768bcb3eefacc99a29f23cf6fa17237ec32392b545486d5da274e95da1750ff86fe8f19bbfda</t>
  </si>
  <si>
    <t>MIGUEL CASADIEGO</t>
  </si>
  <si>
    <t>24c0e8d724469907e0b7deaca2e6f19074f2ba1d2a89f792d83df0d7eb9fd1497b3d335ae9fff001e7c07e825fd3c43d</t>
  </si>
  <si>
    <t>901595448-7</t>
  </si>
  <si>
    <t>GRUPO EMPRESARIAL EL SURTIDOR SAS</t>
  </si>
  <si>
    <t>EL LLANO</t>
  </si>
  <si>
    <t>1032 - CICL DIR CUC SUR 49 50 51 52</t>
  </si>
  <si>
    <t>9b04bec6bdd8af93e073691c921ff8955e92ecb21364761fb49abc8e6907919ed7c261b2675967b01a8d9773e6c7695e</t>
  </si>
  <si>
    <t>SAN LUIS</t>
  </si>
  <si>
    <t>e6e0311b6ea76dac033d764d1141d9567e7f586a4f8058d7bc6e4a4cdd1b52419145a4a1e0e16c4d8fc07fecebe5104d</t>
  </si>
  <si>
    <t>MAGDALENA</t>
  </si>
  <si>
    <t>788a630d67f6ddffaf9b98730312dcb50a00bc25007c36bf90b33faaccf5d6c182644a2dcc5ba76cd91697db49953fec</t>
  </si>
  <si>
    <t>INORSA (GOBERNACION)</t>
  </si>
  <si>
    <t>9bad6db876d9dacd9b2436e6acc1124516598f030edbaa648f4f16723170c6ceae360452f84b63942200f4649dd3c38a</t>
  </si>
  <si>
    <t>BOCONO</t>
  </si>
  <si>
    <t>25d5f2bb019adf5019e067057ec0e4b875f6e043e2e949ac59cac253b57b404416bb58fb178ae11bdfbe523c515c3a20</t>
  </si>
  <si>
    <t>800181183-7</t>
  </si>
  <si>
    <t>COLEGIO SIMON BOLIVAR</t>
  </si>
  <si>
    <t>SAN MARTIN</t>
  </si>
  <si>
    <t>4495506b0208343f0fa0c27c9be1a96147f5ba70d704d0890c717a6fee157dfa84f81ef4045025e199d3c130a258d621</t>
  </si>
  <si>
    <t>890501434-2</t>
  </si>
  <si>
    <t>ESCUELA EL ESCOBAL</t>
  </si>
  <si>
    <t>ESCOBAL</t>
  </si>
  <si>
    <t>d6aa1386123082f5c3f636fdbe559952309b565264d4d941f5ac9683f6b013403db6c2eb0140e96c1fe65cee9d176fcb</t>
  </si>
  <si>
    <t>ESCUELA SANTA ANA  N.1</t>
  </si>
  <si>
    <t>SANTA ANA</t>
  </si>
  <si>
    <t>07818cc13e581c08340ad1839c5f73848690d0ca0739bc52815006aa9864e4457ba43ac3f5ca67353f08120d40dea1bc</t>
  </si>
  <si>
    <t>LA LIBERTAD</t>
  </si>
  <si>
    <t>3e785a7b070ad66c71173ca0e8615568aa6f511c8ca92ce8e4b79b3331ea46cf0eb112974a27e818d11ed61ea8036961</t>
  </si>
  <si>
    <t>890506425-9</t>
  </si>
  <si>
    <t>COLEGIO BASICO SAN PEDRO CLAVE</t>
  </si>
  <si>
    <t>8d80839cf4f07a670065ad417ead762944234dd57523787b1a0aa55a7b8b6b24c5bb9e1d94eab5582762d2efd2ff09da</t>
  </si>
  <si>
    <t>ESC LA SANTISIMA TRINIDAD</t>
  </si>
  <si>
    <t>BOGOTA</t>
  </si>
  <si>
    <t>e57326629375f0c52f7978c07442d6b6877afa82a0081a369d7ece96ae2d9e9994000af7e67af42339ed1c538df9d273</t>
  </si>
  <si>
    <t>860042945-5</t>
  </si>
  <si>
    <t>CISA INVERSIONES SA</t>
  </si>
  <si>
    <t>49892ab8d5a04ab2628d54b4dcc4d6ba3d8f5a5fea9ad85bc971ad55b2278f790907702136455080e17a77865631a7e3</t>
  </si>
  <si>
    <t>860009659-4</t>
  </si>
  <si>
    <t>COLEGIO SANTO ANGEL Y/O JORGE CELIS RECTOR DEL COLEGIO</t>
  </si>
  <si>
    <t>RINCONADA</t>
  </si>
  <si>
    <t>5e13e52e6864bdc8358fc1bc60051edfb9c1ff25da8465083810dd40d92281f817b71b3338bb40b39a31b662bf91b271</t>
  </si>
  <si>
    <t>900754307-6</t>
  </si>
  <si>
    <t>RECREANORTE  RODIZZIO</t>
  </si>
  <si>
    <t>e490810ce95ef82febd968ec2322b0ec1fe48a06d5074150781c6791ab1bcb97da03e04e4eb9e62a1be33e93fe31cbda</t>
  </si>
  <si>
    <t>890700640-7</t>
  </si>
  <si>
    <t>EDF.CIENCIAS DE LA SALUD.UFPS</t>
  </si>
  <si>
    <t>COLSAG</t>
  </si>
  <si>
    <t>b7e6c8102dfddbf98aa03d5565a9eba5d3a2fee081fb9a1ffc417e656f928de63455f7d2134f0fb8365e963d7687d182</t>
  </si>
  <si>
    <t>890504999-5</t>
  </si>
  <si>
    <t>CENTRO DOCENTE ALMA LUZ VEGA R</t>
  </si>
  <si>
    <t>ACACIOS</t>
  </si>
  <si>
    <t>02a44aeb60f41183865c21a7906ce1ff372782e142904a50da50fb161dca460c7412e13c0d44b431ee60bed030431289</t>
  </si>
  <si>
    <t>ZULIMA</t>
  </si>
  <si>
    <t>e16bad050b8f79b7cd030c0d8a6efda0014e710ffdfb7b0b492f14de4e6ea612c39794e00b0bde01ef8e64ccf06383ef</t>
  </si>
  <si>
    <t>GUAIMARAL</t>
  </si>
  <si>
    <t>1873a41b72c1cc85f66e50c2b0e7491bbec6dd21e14c8955dc2d006f97f4b3072aecba2a282ffd5948d0cebc2120922b</t>
  </si>
  <si>
    <t>MERCADO BARRIO GUAIMARAL</t>
  </si>
  <si>
    <t>9a2764546983a2fb5de731e82fe5a5a88a1d111fd51b1edb35c076228fa3a348ebc427c1fddaab1b8137ffe671150f58</t>
  </si>
  <si>
    <t>COLEGIO NUESTRA SEÑORA DE FATIMA CUCUTA</t>
  </si>
  <si>
    <t>QUINTA ORIENTAL</t>
  </si>
  <si>
    <t>5d6a45b1264f8b7c57fd7915f0bc11ef862306e78ce6aefe1fc128118078044aed98abfdd598624c7778ec50d5eb0410</t>
  </si>
  <si>
    <t>860005216-7</t>
  </si>
  <si>
    <t>BANCO DE LA REPUBLICA</t>
  </si>
  <si>
    <t>SAYAGO</t>
  </si>
  <si>
    <t>53b4dbcbe542614369b727abfee0703fcbf693498402297aae18cf654a409ab40a3ab8bcbb148ad1d11942c13c2a46ca</t>
  </si>
  <si>
    <t>900371575-9</t>
  </si>
  <si>
    <t>MERKAGUSTO AV 0</t>
  </si>
  <si>
    <t>QUINTA BOSCH</t>
  </si>
  <si>
    <t>18f728e17056f9cfefc64e8672fa46703d70ee23a49396c42d33d3e09ab336fa97e6d50bbc06dd701e01854b3f0e8d15</t>
  </si>
  <si>
    <t>ESTADIO GENERAL SANTANDER</t>
  </si>
  <si>
    <t>LLERAS RESTREPO</t>
  </si>
  <si>
    <t>41ce46aaecc66c707888c872c042628146be51e42bdb7fa101d9fc4c75659afa427131fba89db640f25c8cb9c8335e86</t>
  </si>
  <si>
    <t>LA RIVIERA</t>
  </si>
  <si>
    <t>4017ce22db7f41e7059e2c0c9942bd06edf4c401add332d92b5b2e7d85a26a68ac0fcb0c114595de8fbc09d7f07f673b</t>
  </si>
  <si>
    <t>YAMILE ABRAJIN DE PEREZ</t>
  </si>
  <si>
    <t>QUINTA VELEZ</t>
  </si>
  <si>
    <t>81f3d73bf3a64d7cfb0e6afce54d6f86688d09e065451c8ef79a0c4d0c77d47da011924cfdd264c2ae82ae410b50ab11</t>
  </si>
  <si>
    <t>a8ba818380ec8218ca45ad2d5c3b2004292b74fc20ecf496223539a75d77e864df1bae664c7336718c51441f15c1a0b7</t>
  </si>
  <si>
    <t>SURCO LTDA.</t>
  </si>
  <si>
    <t>15ecb6c03d5624e8b91d6b442b1195c9148f3160449b432a9935e6eb7cacbc0ee4b04ddccfddb6e7b8de2467f2093c78</t>
  </si>
  <si>
    <t>901594641-8</t>
  </si>
  <si>
    <t>INVERSIONES KALOS S.A.S. - TOTTO</t>
  </si>
  <si>
    <t>ESTRATO 4</t>
  </si>
  <si>
    <t>e945aecbff431fc0ee7ef0861ed8ae5a22b41a4333eb7ee98208550fb6d78de0cfaa622fbb92e009c40c6902ab31f919</t>
  </si>
  <si>
    <t>12171638e6fc204de853cd3f60c267fe4a064def7d0171b51759013f855cd0d4826dea472d7085d7eb1ea24626d38228</t>
  </si>
  <si>
    <t>EDIFICIO ATLANTE LTDA</t>
  </si>
  <si>
    <t>CAOBOS</t>
  </si>
  <si>
    <t>ESTRATO 5</t>
  </si>
  <si>
    <t>2101b2947ddd1b228f850c640577508a29ff6c8d0387c13e2e7446dd0eb023df6a27f0173c08a122da04690e682874fd</t>
  </si>
  <si>
    <t>GLADYS ELVIRA GALAVIS TRUJILLO</t>
  </si>
  <si>
    <t>5c2a548fb81aab2a60fad5c32992db612436a470dd850bfa5bf7586bacf51ff1dc5f7da0dd2dfa1696f46da089b6a83c</t>
  </si>
  <si>
    <t>ZULIMA RAMIREZ DE VEJAR</t>
  </si>
  <si>
    <t>2a7967837875db31e4d4017561e83cea385181f7bf02507209540a183a838f7b55875c4aaffc1e875c3bb73027076213</t>
  </si>
  <si>
    <t>890500309-5</t>
  </si>
  <si>
    <t>CLINICA NORTE S.A</t>
  </si>
  <si>
    <t>bca8ecd98701ce9c07c0d1c39fbe3d405cc752524d097498e861b552c6920cd3b2bd426545481761737722da7633f843</t>
  </si>
  <si>
    <t>MINIMERCADO LA BASTILLA</t>
  </si>
  <si>
    <t>PARQUE REAL</t>
  </si>
  <si>
    <t>6e7e76e046bd838b040ecdd19e99e4bcd678fffbd47aa17f300520a2bbdca9c55acc3ffa42330d095561a8f22147cdde</t>
  </si>
  <si>
    <t>SANTO DOMINGO</t>
  </si>
  <si>
    <t>fad900c46b120e4c41069bd2c3fbfab8748eec229d6ad05f7f22f93342d33f9d89017e5a8d55b276e62a853fc6acb015</t>
  </si>
  <si>
    <t>cb140ba757f040925fa278ef37713883ba2507387ba139fbfe7f4f2990c0d6a6ac11c4afb06d40724c3c63666af1c5ec</t>
  </si>
  <si>
    <t>890201334-7</t>
  </si>
  <si>
    <t>COLEGIO STA TERESA</t>
  </si>
  <si>
    <t>718919187566e60020e6b046f4237171b64a3688fa3f174eb6f50192aab1f8e3dba975817dbaffe6c6b69434aeceb16f</t>
  </si>
  <si>
    <t>CLUB DEL COMERCIO</t>
  </si>
  <si>
    <t>fbd33ad4c811934c03a3e4b1782c6dd9d39e6aa72c48830f7a2e3d6d4a41695267062b7a45b98d8762b655816eefd82f</t>
  </si>
  <si>
    <t>dd5f9dd6303c9203100275956c12663d31af15890dc26baa6b7b2f578e7538c08dac58d52ce08459edb4b36c70faebfb</t>
  </si>
  <si>
    <t>800103927-7</t>
  </si>
  <si>
    <t>DEPARTAMENTO NORTE DE SANTANDER</t>
  </si>
  <si>
    <t>f6449eeeb92075abda3f6d2f600ddf3833704caa5f26581f529fb28a1ccd54932eff36206fa23735e0be41742a98a2b5</t>
  </si>
  <si>
    <t>COMFAORIENTE</t>
  </si>
  <si>
    <t>98f1345ab67ded6214fdae721eeb259a0c925c425f12bb426e3fde9cab00f574890b0e80d9ca4787dc4fcb3c7488c521</t>
  </si>
  <si>
    <t>GONZALEZ JORGE - BBVA</t>
  </si>
  <si>
    <t>969d31ac309cd35573332c500b4b8e7fdf0eef29832e331102f3dbfd3bdf37a203de84937c320983ea0503359f9772ed</t>
  </si>
  <si>
    <t>JORGE SAAD CHAUVEZ</t>
  </si>
  <si>
    <t>84f05998b5dfda80afe571e4d3fd1a0b198f0c85414a10df23ebc29a81c118abd4c39e7ee030be451625502c4c93387c</t>
  </si>
  <si>
    <t>MANUEL VALENTIN SANDOVAL</t>
  </si>
  <si>
    <t>c1226a5b6cff85de693e04c504765afb0ff57b6bf682364b6f09d18c1e99e7d5ada21e61a9249228532a41cbe6ebf0ed</t>
  </si>
  <si>
    <t>c00bd04e7db66009a8207551c3e91b4aa0cd7fbec541ae0b59fec8b34f77e7760206d0f7f807bd0f5118a566b7c3c0ec</t>
  </si>
  <si>
    <t>OFIC.DE REGISTRO INST.PUBLICOS</t>
  </si>
  <si>
    <t>9bfc77f9f67ecc121e5d89611826f9d57cf2cb9a959fc2f13ce53882945bcfe119af1a7da40434d5ce2a0dc8337df763</t>
  </si>
  <si>
    <t>FARMATODO SA</t>
  </si>
  <si>
    <t>17f078f3be60e87d6e50b2fe02a5e72ad80c6e3357f61131627ccb4da8edf404984d62bbd0d8f5f3b3114ede10b332a1</t>
  </si>
  <si>
    <t>GELVES DE G ANA D</t>
  </si>
  <si>
    <t>4d97ef4ecf1bb3d593f57a89fe36d6ed0f28b506010c50686be194465db8ceb3bd288d31fd308e39cd9b785ce2c4f13c</t>
  </si>
  <si>
    <t>CENTRO</t>
  </si>
  <si>
    <t>fb2c687a78c5a1326a1bca68250c35f7edfa2c216a39896693d79373eef09de13e88a2387f2e2c811f51eb5d59ae6e99</t>
  </si>
  <si>
    <t>TEATRO MUNICIPAL</t>
  </si>
  <si>
    <t>35add3f7b103b72d2deb7d841cf778eb1da55605d0507d37fa07bffe92a95aebb9d34aa19587041931c4b0d4cbf130a5</t>
  </si>
  <si>
    <t>CENTRO COMERCIAL CÚCUTA PLAZA NIT. 807.002.508-6</t>
  </si>
  <si>
    <t>24ea554a75b48f2da3035678c9538f9885f650f6edaec37143de85fe06b118f7585193b2850d03d80c819805e102a53d</t>
  </si>
  <si>
    <t>801986ccf61b58ac1b9851457af0bb31e24dffc97c0f63baae13c9d12184805d2d64a73a9497b46d1a4dc176bd189d23</t>
  </si>
  <si>
    <t>807005562-8</t>
  </si>
  <si>
    <t>BOTICA DE PIEL LTDA</t>
  </si>
  <si>
    <t>ANILLO VIAL</t>
  </si>
  <si>
    <t>95313d66f191d6a314579cdb8798f63b021e06c04d895397cea33d45b085dd6a2d11308ddce467d72e33a1d0c8960d7a</t>
  </si>
  <si>
    <t>901347736-0</t>
  </si>
  <si>
    <t>INVERSIONES A&amp;C GROUP S.A.S.</t>
  </si>
  <si>
    <t>e403bd440724438c802da009f1f5d8f509aad00dd1c11eda9a3a5202658a220475f7b03a76d179f74c9aa734802723dd</t>
  </si>
  <si>
    <t>BOMAN SPORT COLOMBIA S.A.S</t>
  </si>
  <si>
    <t>91a1b1e53d71b622c13abd46168b8a841a2f59967accc582dfa504a6b7525e07a9e0d274c5614386138ffdd91cedac86</t>
  </si>
  <si>
    <t>ALMACENES POPULARES</t>
  </si>
  <si>
    <t>3797cf596605b2d833ed2c6887533b3f68b414ffdbe7328519ab08748c24880786b60b42bc39935ddad4d273aa81f526</t>
  </si>
  <si>
    <t>CEIBA II</t>
  </si>
  <si>
    <t>deafff2ad749631e97cf8df44c1bb2224a6ad281cc9e0ce144cede9b0da89079a5fcfdc9eebee494edfbb19f51827923</t>
  </si>
  <si>
    <t>901071158-7</t>
  </si>
  <si>
    <t>PARRILA EXPRESS JARDIN PLAZA</t>
  </si>
  <si>
    <t>9642a3c0abaf8a417719818de36d47c5fbb00f02535e1ca5881d29d069901d2012ad0a63f1ad143e8a6ce4e6d1255e8b</t>
  </si>
  <si>
    <t>900231793-8</t>
  </si>
  <si>
    <t>CLINICA NEFROUROS S.A.S.</t>
  </si>
  <si>
    <t>1dcfa06b2545be87564c55e6382f3b4d10eb027a11ee11a67c5c7ee88676ccfe4b0ae53e354801486071559503f20495</t>
  </si>
  <si>
    <t>890903938-8</t>
  </si>
  <si>
    <t>BANCOLOMBIA</t>
  </si>
  <si>
    <t>34fd5123a974eac8a566c8174f769dab5440c5520364d2476869a77ba3dc0c43d14fc671dd3d7525ae5abfeb88e0aff5</t>
  </si>
  <si>
    <t>800037800-8</t>
  </si>
  <si>
    <t>EDF AGROBANCARIO</t>
  </si>
  <si>
    <t>fece51db0c017c56cf1e93e59cc92b326a43ff20dce0eacc70ae042d3f1b862af56a637dac0334939654e611b72ee6f2</t>
  </si>
  <si>
    <t>LA OPINION S.A. NIT. 890.502.801-7</t>
  </si>
  <si>
    <t>CABRERA</t>
  </si>
  <si>
    <t>70fb4a4a5a8df530b35e91137909835360dc8b33a13a78ee85c69a248ba878e4e97d2935e15d2cec62c5d038ec4ab1a7</t>
  </si>
  <si>
    <t>CIRCUNVALACION</t>
  </si>
  <si>
    <t>9b4cf87b4ab9f032878f8688daa123125b45337d07e02697fd7106f5f9be54a28b2d95e2b8d86a9b4c668d603276e9d4</t>
  </si>
  <si>
    <t>1cab5a520f91e9bc1a7c98b93466bbee501d803f16db7ca7749ee7615e2cdf7a6320bbcf217967ac92a3506a29c452da</t>
  </si>
  <si>
    <t>e48c3f2320527489a9da4d7499347bf6fec186c4a1a4dc80ccf5a7007ea0d496068649bef96f951f3bd7560c68f253f1</t>
  </si>
  <si>
    <t>EL CONTENTO</t>
  </si>
  <si>
    <t>37bfae5cdb81f6bf81ee473c4e4576881a8823303672636e6533e6beeb312f532c1cbcefafa8e06512fdada8ace4ec2c</t>
  </si>
  <si>
    <t>SAN MATEO</t>
  </si>
  <si>
    <t>44e89ee29a37615b727475e6d69b9074c49eaf7b727719d5d1af0ea3967a28256f13e26c6b9ae9400df1df964e8d0584</t>
  </si>
  <si>
    <t>COMERCIALIZADORA ARTURO CALLE S.A.S.</t>
  </si>
  <si>
    <t>23af987540ffa6dae97e22757b90eb30fdb72a23094e7305f89369a3de380b01dccc735fa89dcf47135506ce321451bc</t>
  </si>
  <si>
    <t>890500622-6</t>
  </si>
  <si>
    <t>UFPS BLOQUE ADMINISTRATIVO</t>
  </si>
  <si>
    <t>1b243a84a155abfb4099a4d84c3de0a8123ad2b77a7275096ffec8f3b243a1013248d266b10872cbf85d0e651bd44e59</t>
  </si>
  <si>
    <t>MOMA</t>
  </si>
  <si>
    <t>cf528c0bd7dc40c0c2d8abb52284bd0e9bcc179ae9836e55f51cd358113101b0a24ec9d1d9cd0d0e4749812bcf4688b1</t>
  </si>
  <si>
    <t>900439301-2</t>
  </si>
  <si>
    <t>INVERSIONES INT COLOMBIA SOCIEDAD POR ACCIONES SIMPLIFICADA</t>
  </si>
  <si>
    <t>7814849ef67628842bdc64699ec61ea13c9c473b55aaf5a727a7acb2cc94b339d4181878fc3ce20df4c3753b10cfda3e</t>
  </si>
  <si>
    <t>900639678-1</t>
  </si>
  <si>
    <t>AMERICANINO</t>
  </si>
  <si>
    <t>f4f9df8d35b9ce34162c8ee619cd6e480eac279abda6d44a5fdd67b98bd4aad961b732bef6790889ae463dc18819888d</t>
  </si>
  <si>
    <t>901215181-7</t>
  </si>
  <si>
    <t>SHAWARMERO</t>
  </si>
  <si>
    <t>f17a2d57ebf94d48515254ea35cf8d06eb26c3a391f592daf6217868eed42961a4eaacdeec725ca8a9e438d80dd2fbbc</t>
  </si>
  <si>
    <t>890500890-3</t>
  </si>
  <si>
    <t>SERVICIO SECCIONAL DE SALUD</t>
  </si>
  <si>
    <t>b915750269af9b3e6e75b8a315acb291688f94e6893fef375addc683cc24248289efd50a3917a063a6e47cbd184d13bd</t>
  </si>
  <si>
    <t>890903937-0</t>
  </si>
  <si>
    <t>ITAÚ COLOMBIA SA</t>
  </si>
  <si>
    <t>1dd84bb07cddb873def983fe6e40e2833b64644b8848a5bbcebdd7ab66d6c60f4c20bfe5479fbbcbb57556d63087d88f</t>
  </si>
  <si>
    <t>54eeb91a9031c518f36854e800105690252739ac2f6e6cf386774831bc26d5c26125d30a74c0ef4c51823b7467822295</t>
  </si>
  <si>
    <t>CENCOSUD COLOMBIA S.A/METRO VENTURA</t>
  </si>
  <si>
    <t>07f7dccd930f0417ce709995a8db15365066cd9e08d724a598a51389b0afc4e2581b879b7765745033e50614ff830f82</t>
  </si>
  <si>
    <t>PRADOS DEL ESTE</t>
  </si>
  <si>
    <t>c9aad3d89038bb9454beb900b56712e41742fc94a1df00cb42512c9eab0700b1b785695488c268bc116e1407bf971ea9</t>
  </si>
  <si>
    <t>805030587-1</t>
  </si>
  <si>
    <t>CENTRAL CONTROL S.A.S.</t>
  </si>
  <si>
    <t>86ba7b03c858737f3f3db45b189837b98d20241430cd9c7264bbbc7f299540d11140f45f512bbcb7f7097290342dcb43</t>
  </si>
  <si>
    <t>860505877-0</t>
  </si>
  <si>
    <t>3fc06599a4d7e037b43ee52c5cc07fed32265dda6049faabac6813b1816050a1b151347603e4d5e8ebd379b7126d8da7</t>
  </si>
  <si>
    <t>900146422-7</t>
  </si>
  <si>
    <t>ESPRIT JARDIN PLAZA CUCUTA</t>
  </si>
  <si>
    <t>1fc10cbfd28fa14825d3dd90c19886cd0be44eb914786ca6a3b4cee6cb9b925511b229f85cc6a95c29871e238eb46901</t>
  </si>
  <si>
    <t>CUCUTA RURAL ZONA SUR</t>
  </si>
  <si>
    <t>67822583a38a37b750649b809ba028571586a903923575ac604c3cd74f9861b6464629d7b528520c643bf7553d6b0253</t>
  </si>
  <si>
    <t>900538591-6</t>
  </si>
  <si>
    <t>ARIS TEXTIL</t>
  </si>
  <si>
    <t>cd99150a5941f9a955db0491db019fc503a8eecae5e00a7d6e8074e87bb1c5f000b38df51c4b0914b1b00d9b36f8ee4c</t>
  </si>
  <si>
    <t>901621809-4</t>
  </si>
  <si>
    <t>DELL AMORE SAS</t>
  </si>
  <si>
    <t>c2f45e1a2168e65cecfb6de7e2524a984837842f7f25305825ab87dbffcff497dd6b33eec005d4894de20b785f182807</t>
  </si>
  <si>
    <t>PANAMERICANA</t>
  </si>
  <si>
    <t>75c9c437c871224387fce45fa9a5ab4f7a047bc507a9ce84eb7e23ae659e193082617592df088fce19fe9158a18b23f4</t>
  </si>
  <si>
    <t>DISTRIBUIDORA MEAT MARKET EXPRESS</t>
  </si>
  <si>
    <t>2bad5a11e48ce71b4a8f868f78f2684c5187103ec072300b0cf2a05798efc86c423195f0ad784d06b5ba02c887f6a032</t>
  </si>
  <si>
    <t>02779eac15da0e23d923051967851eaf308a74ed4bc6467c074c813ba34e4a378cd5cd690f531f08d9386bf76ba8d719</t>
  </si>
  <si>
    <t>URB PORTOBELLO</t>
  </si>
  <si>
    <t>b5e4f48f654a715662f9f817bd053e8c82a4b4538c325c070fbb3e7a358ea5158c136f7598c8d7ccfb58418aabbdad51</t>
  </si>
  <si>
    <t>EL PORTICO</t>
  </si>
  <si>
    <t>56091bd65e3c8e318b585c03e6c6b216d82919f56ccf235e24d825adc732465dcdf031e7b8c57027cfa4a255a7b9226c</t>
  </si>
  <si>
    <t>536b4b229b7ef9ba7b7d7da9d64edb0237d679a4f249ce8b964918f63170721563624c07a523303460af7d620863fa5b</t>
  </si>
  <si>
    <t>800149695-1</t>
  </si>
  <si>
    <t>DROGUERIAS Y FARMACIAS CRUZ VERDE S A S</t>
  </si>
  <si>
    <t>DISTRIBUCIONES PUNTO Y FAMA S.A.S.</t>
  </si>
  <si>
    <t>c269cff3c7d971ff6522f39d9e43d4bf9f163f77cf867283d678053376d9af84de5d3c2abf51cabe27df9d59673aa238</t>
  </si>
  <si>
    <t>830513441-8</t>
  </si>
  <si>
    <t>MATTELSA SAS</t>
  </si>
  <si>
    <t>a3468028461e0fb0545b2f7dd50839efaec8f2ccf550ca7172a6fa9fbcf039f6a712ff578096f7a3d3b0ffb87306339c</t>
  </si>
  <si>
    <t>900059238-5</t>
  </si>
  <si>
    <t>MAKRO SUPERMAYORISTA S.A.S</t>
  </si>
  <si>
    <t>e0fb23f64a0a55f020f3a79482b6bbddb731bfa48d93750e3b78cc62a7abfc97a8e5323bae0cc0afcb299544abb6dae1</t>
  </si>
  <si>
    <t>b06375e9d9ddfe8a931af46d8fe0ccf17e13111ca75773d1077f565cd7fb13ee5b0f3ef34007ec199c53ea11977ec0f7</t>
  </si>
  <si>
    <t>900362666-2</t>
  </si>
  <si>
    <t>CUCUTA MOTORS SA.S.</t>
  </si>
  <si>
    <t>6cb400edf5751d1721361253a43ec5f70e668778705ce4d3f4ffa29c79e9f07b64a7d4d804398cc45586352aae37617d</t>
  </si>
  <si>
    <t>ALMACEN DUBO</t>
  </si>
  <si>
    <t>LA SEXTA</t>
  </si>
  <si>
    <t>2b8f2790664b22dcb96663b05775cb465f0f145e96873b7ffc1ea512a6b57148651983e26de5523f96a518fadd7d73f5</t>
  </si>
  <si>
    <t>DROGUERIAS Y FARMACIAS CRUZ VERDE SAS</t>
  </si>
  <si>
    <t>7e1a93643d5a7d2b130cc4f24d6eed4cd660abc05c1a94836c75df1e7b501c699dcad81bd855816c47cbe61bf46200c6</t>
  </si>
  <si>
    <t>900860284-9</t>
  </si>
  <si>
    <t>BBI COLOMBIA SAS</t>
  </si>
  <si>
    <t>927b103eca7cd3d701e154c8199b9c18fa9b84820805bb63d1bbccc9f3ce4d770bf5d5ab6f1945120096bd56ca79a27c</t>
  </si>
  <si>
    <t>BOTICARIO COLOMBIA SAS</t>
  </si>
  <si>
    <t>644b5c85ce8da0507bd80112972a56977657e52434b128e407cba55c9e8da051e4da37aa4a7cbbfcae38b09b1d813b8c</t>
  </si>
  <si>
    <t>901564433-4</t>
  </si>
  <si>
    <t>INVERSIONES COLOMBIA JMGA S.A.S.</t>
  </si>
  <si>
    <t>6c2ae23f28fbd773c1216d0d1417330afecd8e5c91a47e23e2f19224f21dd36a50a6da7ce03d1fc7438456e37335c828</t>
  </si>
  <si>
    <t>807000106-1</t>
  </si>
  <si>
    <t>CASA HONG KONG S.A.S</t>
  </si>
  <si>
    <t>ec9e3c50d4360c017b1294fe7ba589fbacb9267e9c6868df32bd46c9e702d628749b9aaae46675ced7513ccbc0dc1bda</t>
  </si>
  <si>
    <t>f4be91264037a0157717397a334faa5824e92434695445272363e6d20271318e990f08f97860c2a982fba12ff65c973f</t>
  </si>
  <si>
    <t>73b04e27c0bac21552709421a2832e8cf67751167d0816a58c212efbee0f86d74f2a9ce00dbbdb6059acb791bef4fc53</t>
  </si>
  <si>
    <t>NIZA</t>
  </si>
  <si>
    <t>OFICIAL RANGO 1</t>
  </si>
  <si>
    <t>cb8db07a4543c346174b7a530bbb4bce35197761ec0641dd5d1f0c94f23a896f11e5a0d6b1cfae399c5f8020e5946d34</t>
  </si>
  <si>
    <t>84f79419b01239d3f02afafbe715e1fbdec8e7bf2e509154c19014c9d4acb1fc12f232e622fdf231fa0c164468c8001f</t>
  </si>
  <si>
    <t>LIBERTADORES</t>
  </si>
  <si>
    <t>f1f1851fdfdc1e91da07a8072d1bb5879c5f35c6ec3c64e75ca2f869ee76c7b6fa4bb4e7037af24cd3e90af72ad64995</t>
  </si>
  <si>
    <t>R.PEÑALOZA - CLARO CAOBOS</t>
  </si>
  <si>
    <t>102aa491e8f208846619abd1459b15ebba5e8ff40a3481d8ff2763f493420a04e1551d3168758f2aa887c48ff87db434</t>
  </si>
  <si>
    <t>830054076-2</t>
  </si>
  <si>
    <t>PATRIMONIO AUTONOMO UNION VIAL RIO PAMPL</t>
  </si>
  <si>
    <t>b8b64f508dc788d526f640de1e003ba5d14a88c5e871f22d2d65af94fe7bbaf2ee9ab9dfccf4c9e5d7a84d897ad5ffc7</t>
  </si>
  <si>
    <t>SUPERTIENDAS Y DROGUERIAS OLIMPICA S.A O</t>
  </si>
  <si>
    <t>5c0d7d2d9bad8d79f71533e3d1b204d3a28287048be5f5fa6b738e272035677e9ca7f0d43f0a04fc484c51a67d6ae08d</t>
  </si>
  <si>
    <t>900708340-4</t>
  </si>
  <si>
    <t>CONEXIONES CELULARES S.A.S.</t>
  </si>
  <si>
    <t>47cccc99b020c52acc8d5c66975151438df03a515a859203a2170b8a63b1f7ba796acb98b5ec47df5d38560dab2eb6ab</t>
  </si>
  <si>
    <t>WILLIAM ALEXANDER GELVES ALVARADO</t>
  </si>
  <si>
    <t>71e0ff7bc568327792fbc95e41430b4255a17c5f4253c9e794d235943cda3d3991250b29748bed2784e55ea954c2a3a0</t>
  </si>
  <si>
    <t>900535456-6</t>
  </si>
  <si>
    <t>FITNESS PEOPLE CENTRO MEDICO</t>
  </si>
  <si>
    <t>22f5079ed0c8a23858d15d030e913dac469c635b580e3c2d1eb709cbe15243ebf45a2f41e060ce546ba4a945db408cfe</t>
  </si>
  <si>
    <t>900596338-6</t>
  </si>
  <si>
    <t>GOYURT</t>
  </si>
  <si>
    <t>f793e82dd91bd10397d498aa7c1eac41ba23c06d08ed79244082236f81c9a56720dc51d9e2ba050a598abedd44e3b9d3</t>
  </si>
  <si>
    <t>2ebed69b9c81ba3f3f3c4ce64aab962be8eec0a4fc078d1358d58908e661623827ad68aaced983457a9eed7b327124e9</t>
  </si>
  <si>
    <t>830112317-1</t>
  </si>
  <si>
    <t>JUAN VALDEZ</t>
  </si>
  <si>
    <t>eb10f822746a58b7cc4d901d7cc5fd0a16b304c23f7aa2470aad93dc1a1320c1e6e29e7163feeb7617567361d87b8211</t>
  </si>
  <si>
    <t>92c26217ad5584f3b5cdd5c5f61d79ef3db346c00a673dbbbdb4f0c87d48fe4ccaddb17cdbe26ac3fa66947a17eab351</t>
  </si>
  <si>
    <t>OPTICA SANTO TOMAS</t>
  </si>
  <si>
    <t>f101533ef71fc61e84bf323585bcc94cad14564f3fa26401eebedf205d6be1bb8e541cb057a04d7068e919623358af3c</t>
  </si>
  <si>
    <t>55ebae36a3b0629236b6f73c7abe93137a468c29f639d180a0ad57f8389e4bba48cb4a9865c06d59fe081e430114c183</t>
  </si>
  <si>
    <t>901255696-9</t>
  </si>
  <si>
    <t>ISANSA S.A.S NIT. 901.255.696-9</t>
  </si>
  <si>
    <t>23a3061ba1b4ab4ab8ac5cba373884a133b16a37dbe022d1669dc673a065bb9bbab8690c8006231ebe89332c821f706c</t>
  </si>
  <si>
    <t>890504493-0</t>
  </si>
  <si>
    <t>MUSSI ZAPATOS S.A.S NIT. 890.504.493-0</t>
  </si>
  <si>
    <t>36994503eae067bcab050f22cebc1e33a80258ac3c83bf9d93f1c06f4316b7ce3696ef46d205cdc61276aa7594999eec</t>
  </si>
  <si>
    <t>67883e06aa76cc80a6bc5b4217c45fc5710cce58c3aec84fbd22cf93dc648829f1e312835134e009103d0d6f90a867c6</t>
  </si>
  <si>
    <t>ADIDAS</t>
  </si>
  <si>
    <t>85c998bf9f08a4b420e974fef4796c7065a4bc971a127b7556dff5a3d2d485fe8ec0124d6f709f68592459a96c848a2f</t>
  </si>
  <si>
    <t>OPTICA AFFLELOU/ORGANIZACION CARDENAS AL</t>
  </si>
  <si>
    <t>af41817d770a9d3ba51fd8e85a1cdc082ea77ee895d233a8979e2e0f98c82615940aa8f997bfe1b2739d94000acaf219</t>
  </si>
  <si>
    <t>YOI</t>
  </si>
  <si>
    <t>b29cb9fc8dcd456bbdd4ec340ae2869bfe89150de853b74cc0b52053dfae197e2a09d051450e43a80276f32b7977db7a</t>
  </si>
  <si>
    <t>MIDELIFOOD S.A.S</t>
  </si>
  <si>
    <t>ea2c28f914b8ce4823430c905ff7ae0bd544471b27b994e6f8015a226900ca930be9412cd816bcb2033cba5f4ac3083d</t>
  </si>
  <si>
    <t>HERMES ARMANDO CORDERO SANCHEZ</t>
  </si>
  <si>
    <t>PLAYA HERMOSA</t>
  </si>
  <si>
    <t>cb35b9c64fc6881a673a2cca8d96ffeb6fd79727058c891fc9adfe705daada42b67a5de7eb971f3a575cf91e6df3a8c9</t>
  </si>
  <si>
    <t>ef02fc23f500ff3ca579ad66d68a32363e08eb3fd9228c152ef96deac20be0aac053817db0720e465d2bcb7a0f99c79e</t>
  </si>
  <si>
    <t>13501434-0</t>
  </si>
  <si>
    <t>PEDRO JOSE CUELLAR FORNES</t>
  </si>
  <si>
    <t>61cf4823547554ef4daeae10aab6fec47f2999d4e84e3dc76b6e36105d819b44a9f0cfeada9bfd12ae20bbbb6a19874c</t>
  </si>
  <si>
    <t>d07422df795177bd73032e6d2f8f78530f5d23efed8615989bc882584d4e5686f9bd23cf1ed883a681247894124a3c46</t>
  </si>
  <si>
    <t>800153993-7</t>
  </si>
  <si>
    <t>COMUNICACION CELULAR S A COMCEL S A</t>
  </si>
  <si>
    <t>07def36cc9824ee1e93dc30637992d5e0dd372a36d1d7d76e5ad2a6160be1e26ab4db25d550b891d3ced893e2f62150c</t>
  </si>
  <si>
    <t>COLPATRIA</t>
  </si>
  <si>
    <t>SANTA LUCIA</t>
  </si>
  <si>
    <t>94acbd234c8864102133bf4004c933f816f115879e6901e6b7a24c6bd0ddad46351404d54556ceb87e136ac63a837549</t>
  </si>
  <si>
    <t>d9c45f2b37086ae7dc4a95d1948692ef078741d70901721e1c5c2ed13909a562177c43a2e0709e2367a27879ef8572f4</t>
  </si>
  <si>
    <t>VILLA CAMILA</t>
  </si>
  <si>
    <t>87b5ddbdb653411bbd91c6ea33b6c5334f5cfe9858b02a43da97e5d59cde627afd5fbfcc7534b4e27ef947bcabcc48c3</t>
  </si>
  <si>
    <t>GRUPO COXTIN S.A.S.</t>
  </si>
  <si>
    <t>d4f977827439c66ee0e192913c924c5805428b2be0bd6bb56011ef963750809b33913f5b314c262bf0c9c79d2ae69b68</t>
  </si>
  <si>
    <t>f3340ce34c8a937816517105add98f2d89ea5b9463e32bdbe0babef2996d59a2cea9ce688dc531d3647d3d3b11bbb77d</t>
  </si>
  <si>
    <t>b11caf0d2463bda42b25ba69afedcb4679aa4903d3b99ce7a6cc00938cbddaff0b5fbc66b5c2eef475947fd05ee0d83a</t>
  </si>
  <si>
    <t>cba05908ac9a9ff641cdd535722b8480fca6d3542dc4c2b333b6036f21b041747535d7240a8bc1c76a287835d192d6cf</t>
  </si>
  <si>
    <t>183c7e0a917a10967217d79880bc38783bfe60e51a2c5a073bc55906afdbb65c1696d109ac9c62d4dedb0ec2715ca221</t>
  </si>
  <si>
    <t>f0899efd6283a161498e3fc04d695c94ddec33c778342aefcd4232751e6632b217282deac0cb9d99f1688fa6ee48ed32</t>
  </si>
  <si>
    <t>BLANCO</t>
  </si>
  <si>
    <t>cc0248520d3517d96acf6081ce4b80ab281528d5b13201db2435628a07fe6991670b6ea18c77f4bcaf1bfdde7d219d9a</t>
  </si>
  <si>
    <t>511ae2c57d75ed822b759414d1996b32519dc04c837cbb808fd5cce797518df38f7b9772e5ebe85fb57a50295829d4cf</t>
  </si>
  <si>
    <t>JORGE ELIECER CALDERON JACOME</t>
  </si>
  <si>
    <t>ba366a5a31c6e3bb9a09ca31eb0b37a514c43a12321b36704c84eeb8214aef8262502918205217fd5bad6bc0f4dc044e</t>
  </si>
  <si>
    <t>5a6f97d58c4bbfae97b1ce42a0b3cee34720c939023da7c894f165cdb5fca5cfdce3c2f3077a595595d97dd6a68d0098</t>
  </si>
  <si>
    <t>SAN JOSE DE TORCOROMA</t>
  </si>
  <si>
    <t>eb463b98795cb637eb4a7782f5ddc4c0d466cf4f069e7e39f553736b0f597e49d3f15a28d3ee90cbe6eb9a6f257411b4</t>
  </si>
  <si>
    <t>805022296-8</t>
  </si>
  <si>
    <t>NCS S.A.S</t>
  </si>
  <si>
    <t>7c16a8a737215bedee1b74fae7c138688ca75eae319049cc0b864194e56db8c609db31faa141b9b908fac2b15d1788c2</t>
  </si>
  <si>
    <t>66b2f53584e68332cce475732ca7bb1098eaba534a8bc174a90c834bc3333c20bdf4b9c0b6db2085e6763f5e0a9d675e</t>
  </si>
  <si>
    <t>VDA AGUA CLARA</t>
  </si>
  <si>
    <t>901025046_</t>
  </si>
  <si>
    <t>DISTRIBUCIONES PUNTO Y FAMA S.A.S</t>
  </si>
  <si>
    <t>c87d8763574bfcac8fb6e6ead90fc53bd1a3c1912d4583a0c08c78f8a9bfeeefe5fec5c1e7710e5e36251b81fb42b901</t>
  </si>
  <si>
    <t>41307b3ced38c0fa9c4096211a1e9870fe73def899ff6b573e440ffb8d0b3d9013ddb5ad06b16a2c585daf2af0c5f8b1</t>
  </si>
  <si>
    <t>COLG.PABLO CORREA LEON</t>
  </si>
  <si>
    <t>40aae25ef5c8da8eafe7bf9b1a8227987f9c13311d4be507c2e73d81d28bec0b1a4d34a7ed325d3f162bd0674dff7d8d</t>
  </si>
  <si>
    <t>a87e4b360e4a8fb5d2d93542e49d215958ff11f88b941efcc55c2a408cd48efcb85b16d99e999e3aa7862542cf39ddec</t>
  </si>
  <si>
    <t>c5d840c60b72cb3bf9e1c4577216e792e663d189a7f11ce8d48e67be9599a45036c0931cdde9f362321d42be818cf901</t>
  </si>
  <si>
    <t>57ebe8c8962492e192b1abc9854297fb3cc7ef859a3a1f6e72bc2e104d2366e047689305d3657860e0e1ad7618cb8670</t>
  </si>
  <si>
    <t>HOTEL BOLIVAR</t>
  </si>
  <si>
    <t>ae79d79963959a8dd3c42fe67a3a9cdda9c4a97a3edc340b7e4e878ca92d72f4a21e70ae2fdfeb5c7d8d3d2230716893</t>
  </si>
  <si>
    <t>SANTANDER</t>
  </si>
  <si>
    <t>0dab0ef69abc1890c711fa0d3c2b00a94bc276c6eb5ecd1766bf8de9d1fc29fdf93fda8dd502a84e6cc96cfc1e8822fd</t>
  </si>
  <si>
    <t>807004341-2</t>
  </si>
  <si>
    <t>CORPO RECREATIVA TENNIS GOLF C</t>
  </si>
  <si>
    <t>58dc66742a3d88d6ee1541a4f7f45e75f865cc0d33c1cb3a91da12c245063f6ed3e7f8e508271e56f628a27b47d38df4</t>
  </si>
  <si>
    <t>BOSQUES DEL PAMPLONITA</t>
  </si>
  <si>
    <t>4b118d286a9f66d496392f79c90cf1244d14737ddb928690bf5bc6d36c92e0a93f32084c328ace9917ddae8282d34d44</t>
  </si>
  <si>
    <t>CLINICA SANTA ANA S.A NIT. 890.500.060-7</t>
  </si>
  <si>
    <t>da44221d89e2f7a2cc43e83134d5ce7e1275390afb18f3a1d730a0e2cf8148b7762f9fc113b8cdf39c850be491b008d3</t>
  </si>
  <si>
    <t>URB GALICIA</t>
  </si>
  <si>
    <t>0c5183e90ffa8129c7bd714a11f64acb1531eb20ef6b70b611ef1245e72c2a0231f6aa8b93c224009572dea5a73d84a4</t>
  </si>
  <si>
    <t>890501143-4</t>
  </si>
  <si>
    <t>COLEGIO INEM</t>
  </si>
  <si>
    <t>8da054b13bb13ed20849cf3935d2970999dff55fbf2a4ce7da30f67b00d9459323c47d7c3aadf611376b7a1e5bb650c9</t>
  </si>
  <si>
    <t>SAN EDUARDO</t>
  </si>
  <si>
    <t>4dc52a485132d7110ffe8d47c28c4606fe29f5b37c7df4101baf2c32e94e5dc3a5251f23e8a8cf7895de72d8dd8b46cb</t>
  </si>
  <si>
    <t>CIUDAD JARDIN</t>
  </si>
  <si>
    <t>0a221a3781c38a3aacb6f6bd1ae66640af87fadbd8d4a4aafba9bf92f0851f272906e6ad8d4dffa633d48673956b3e43</t>
  </si>
  <si>
    <t>800165670-5</t>
  </si>
  <si>
    <t>COLEGIO EBENEZER</t>
  </si>
  <si>
    <t>PINOS</t>
  </si>
  <si>
    <t>3eb8d8e3823916eb3012074f6d9199251c1568b1925a86e6f6bd1b14740a21636dabeccd3b3aacf36e7a9ff3be3f3b20</t>
  </si>
  <si>
    <t>a533e36d2fd4acc7a2c5c25eec0da6726e4c89cc3440f7dbeecdf24eaec7a42341142e0ab966ea0f989b8ba8aa3052ff</t>
  </si>
  <si>
    <t>800187589-0</t>
  </si>
  <si>
    <t>PALACIO DE JUSTICIA</t>
  </si>
  <si>
    <t>c4f224912f1f5a317506624933a1c40bd5496bbd00fe3da207f1d0e29d2f0ad81e937ee29e3d0d29a7ee885aa04a9c54</t>
  </si>
  <si>
    <t>POPULAR</t>
  </si>
  <si>
    <t>3414cf4aa02e19ffe1dfbc4ef5cae200c9d1f6ac32a3cba8a6d884abc0907826dff26d5124efd104bb09928fc896c048</t>
  </si>
  <si>
    <t>890500623-3</t>
  </si>
  <si>
    <t>INSTITUTO LA ESPERANZA</t>
  </si>
  <si>
    <t>CEIBA</t>
  </si>
  <si>
    <t>6cb2466829f2650884f8bad6557b327afa706446108cf623ffc7d5de36c1940bfea4fed19739f5aedc19c5b4af439dca</t>
  </si>
  <si>
    <t>900105557-7</t>
  </si>
  <si>
    <t>HOTEL TURISMO SIN FRONTERAS S.A.S</t>
  </si>
  <si>
    <t>8f0c2e0455ff266301028795f3f2ac2c5d61377afb4be7de54b48b3c333efd1dcce36532cf70a1476ce7b73c0831d0af</t>
  </si>
  <si>
    <t>890505253-4</t>
  </si>
  <si>
    <t>CORPONOR</t>
  </si>
  <si>
    <t>a280cdcedd2441ed8f4b9958ab6f2f5a3675673f0d1e71c635c1c4ff8c4c3066adee02bac2f4e3a7f116fb0b8ce40e21</t>
  </si>
  <si>
    <t>9023526-4</t>
  </si>
  <si>
    <t>143bb25c2862926d50f792e7eec353025289532f751bca080f92a9aa9a815d15f6a320d9b3a9ea6efc70eb9ffeeb4536</t>
  </si>
  <si>
    <t>ca036b5bf4029b75c608db222aab5a5d9495a078eac4ea0043e8c21ccbecb572cbd1fd94733227c3b59300aa19878e33</t>
  </si>
  <si>
    <t>84d2549fd7451b370e2c6d4f2eaa49e9efd0f91977c093df42015e45be3a7bf683bad99f3804ec93739ff4bcb63dc796</t>
  </si>
  <si>
    <t>6403db76fef5ee3d7909aa6b162e18415f81f75ca45e0282e1aa2da0aeeccdc3de0ba6f0ae73d7a2d9b9d727b4ead731</t>
  </si>
  <si>
    <t>RTS LTDA. SUCURSAL CÚCUTA</t>
  </si>
  <si>
    <t>f3e93b6e89a073c3fd3338099e472f92201e0b29126ffefe649ea1672c9b94f00fe572e35facb346c382b4c47beafb98</t>
  </si>
  <si>
    <t>c9e8566f969aaeec0c6aa65c2efa035e9a0e7ecbda814e7f629d4bd9a19c641855f0c3029e2bf049c581776b9430e58f</t>
  </si>
  <si>
    <t>d080233b9d7296e9c520187a547b35e243cbc9ddd39508f6294defe93e0d62468cb1a18135a7b09d842663244d5c2243</t>
  </si>
  <si>
    <t>SILVANA MARIA SEPULVEDA NUÑEZ</t>
  </si>
  <si>
    <t>677fec90718636c43c30cb5b96b91453088f92c887a656c5fa03e92d30eae825355080d09ae6f00a7b485f4b673bffdc</t>
  </si>
  <si>
    <t>HERMANAS DE LA CARIDAD DEL CARDENAL SANC</t>
  </si>
  <si>
    <t>8438dba2a5b19dbba4c77aac7d74b81e0606d6ffe9e0aad6d646fe99f786dfb5888d7eb55ca3724eb2bc8ff51a0d5ed2</t>
  </si>
  <si>
    <t>SAN RAFAEL</t>
  </si>
  <si>
    <t>08599a1d1667fbbf14eee26b4389bbbaf237167cf8ead2811abd91b3513da70482b7392388bc95504fc322bec1f8e5f6</t>
  </si>
  <si>
    <t>800230569-7</t>
  </si>
  <si>
    <t>CENTRO MEDICO NORTE</t>
  </si>
  <si>
    <t>816520c3d01068001a0cfab95415fd9a234a6d5539e02dd764c796e3ac8f2e2f2897c5414ff8e7b9e2aeae8b2c104557</t>
  </si>
  <si>
    <t>SERVICIOS FUNERARIOS COOPERATIVOS DE NORTE DE SANTANDER</t>
  </si>
  <si>
    <t>0ffdf1463a55cb3c58fa06460e12981795ef7f0f22f24a51e823219e8dcb5de851eea6830a83805cb13ddbbf10accd3e</t>
  </si>
  <si>
    <t>901334547-9</t>
  </si>
  <si>
    <t>FUNDACION SOCIAL BEATA MARIE POUSSEPIN</t>
  </si>
  <si>
    <t>e5eb307b22d188940d87f4f3c2f5d6ab35c042cacdcdd79b0f944cbb0b94e67247651c8a37238e39bb40d89ba64e8519</t>
  </si>
  <si>
    <t>807005753-8</t>
  </si>
  <si>
    <t>BIBLIOTECA JULIO PEREZ FERRERO</t>
  </si>
  <si>
    <t>5e5ea671cccf87acffd207fc2d2a529041fda4ef38fc6941d24c228e24ffad81ba1041a24ad021af8a1c82b9dbc2b856</t>
  </si>
  <si>
    <t>b92298ecca6aa1fc99bb50eb0c9555f33af43513d4a5807a4f194bdbc7512262b4cae90a81f0869b3af205e95692127c</t>
  </si>
  <si>
    <t>LIGA NORTESANTANDEREANA DE LUCHA CONTRA EL CANCER</t>
  </si>
  <si>
    <t>4389717fca63ea9fb2269919b259a68f4e6e8de3c709db52f4db2aa838d9d499563f390c5abc73ba9b70d8c3c370a50e</t>
  </si>
  <si>
    <t>MANUEL VALENTIN SANDOVAL-PARQUEADERO</t>
  </si>
  <si>
    <t>9635fc894265cdad69ee94d6436434bf66d179c5a0d7ff5def31d49569289797f0cd5e73805683e510cc20708f8f322e</t>
  </si>
  <si>
    <t>ARTURO GALVIS H.</t>
  </si>
  <si>
    <t>d57e736efe2f98e9385178e8fa77d9c560ec2ac8c6de6d875567a9ac874fafae03d750ff3ae7fc494cc8c04d3d3e52f1</t>
  </si>
  <si>
    <t>899999040-4</t>
  </si>
  <si>
    <t>REGISTRADURIA NACIONAL</t>
  </si>
  <si>
    <t>29b70752c4aad776d9982e15c3b79cea35ee0d284db5c1f850429006f9c560eb8b06c8d4cb28f17881c203cebcc5d206</t>
  </si>
  <si>
    <t>890500516-3</t>
  </si>
  <si>
    <t>CAJA DE COMPENSACION FAMILIAR DEL NORTE DE SANTANDER</t>
  </si>
  <si>
    <t>c2cd539b9b7d405fa1fe2cd683a4cbe76bd6076193ebcbff91fc8048dff1928a4d1a89fcd789f62e742ca8e78df6d92d</t>
  </si>
  <si>
    <t>DIRECCION DE IMPUESTOS Y ADUAN</t>
  </si>
  <si>
    <t>d1519c52ed84c266f313896337c8f12633081a2ad5162ffe3c339e8561d882e060d9d10e04c96c07a34c33560d72095f</t>
  </si>
  <si>
    <t>800130731-5</t>
  </si>
  <si>
    <t>CANTON MILITAR SAN JORGE TRIGESIMA BRIGA</t>
  </si>
  <si>
    <t>35df7b14aa0ed22eb7c14d0d1f0509b04793010105a80ce4b7532f4e22cbaa1707df60184f440989a76f0aa6430bb819</t>
  </si>
  <si>
    <t>INDUSTRIAS CUCUTA LTDA</t>
  </si>
  <si>
    <t>d03638fd3ebc79eb94ec37756a4a7627a347a5a2a4703cdfb89f5d5b4516c11f6a72ec4dc8285f5bf3d545aa1150ca6c</t>
  </si>
  <si>
    <t>42c25ce57e7aa42272b148a61e016ded54a1a07070229a2e7544326e6ff83b6356b0b31438bf94efd168d6f5d3025ebc</t>
  </si>
  <si>
    <t>860048608-5</t>
  </si>
  <si>
    <t>ALCALDIA MUNICIPAL</t>
  </si>
  <si>
    <t>8bb31cdb59ae34f07af9a314bf0902b25aee010e577f53bfdf1a8292f614bc7e079286abd2a66b09fef674dfaa6b6256</t>
  </si>
  <si>
    <t>860007738-9</t>
  </si>
  <si>
    <t>BANCO POPULAR SA</t>
  </si>
  <si>
    <t>99fef7d7b6abd3846aa95ac6acbad5dbd78b5c104922548e7df943a28a826d380854dab43f8fbdf36c31d9965c906eae</t>
  </si>
  <si>
    <t>807001933-9</t>
  </si>
  <si>
    <t>CENTRO INTERNACIONAL LECS</t>
  </si>
  <si>
    <t>d0a3ef0dcb4e5d6c0e72841c68f7f9c8907b5c37e7094df39710f924547aa6c809a932c9c8877594efbd62d23e7761eb</t>
  </si>
  <si>
    <t>901057872-1</t>
  </si>
  <si>
    <t>EUROPIEL DE COLOMBIA SAS</t>
  </si>
  <si>
    <t>5fcc6858124e0c5699e8a7a2797a8a2f42d5859d8a1de87b6c0e41797de09bd07303db16c9096ce720bbab6ee5af4bee</t>
  </si>
  <si>
    <t>900565091-1</t>
  </si>
  <si>
    <t>IMAGIQ S A S- SAMSUNG</t>
  </si>
  <si>
    <t>ef178a8c4a66061d9a78e6c874594c79573e77d66ed5b337f7db2c142fbbaf1a693c0ee19e46e3ce36f7ad86b5406899</t>
  </si>
  <si>
    <t>VDA ALTO GUARAMITO</t>
  </si>
  <si>
    <t>95bb3127edc4e307566e588631b1f65fef0619c20c17840a4d20b02015234f260cfdb1cd181ee595289c7d0c506e7de0</t>
  </si>
  <si>
    <t>900158685-9</t>
  </si>
  <si>
    <t>CENTURY SPORT SAS Y/O YEISSON FERNANDO ALFONSO LOPEZ</t>
  </si>
  <si>
    <t>59c420de9db5e84ad637e79602b74d6f995062393d6b472f89c0323a236681202070955dab2ce9d835554895fdc399cf</t>
  </si>
  <si>
    <t>800161656-3</t>
  </si>
  <si>
    <t>MODANOVA S.A.S</t>
  </si>
  <si>
    <t>3d3011dabb2b83d4e7cd9e4524ab77f3ab20b54c39e55ba53b410abf3a024f8dbda187673e451e42e8ed58f43069fc7b</t>
  </si>
  <si>
    <t>abca50874c38ece6e5b103c8003a9934b093f241dd228277bc7a84c825fab6169708579ec669ba181221d61fc1649c8e</t>
  </si>
  <si>
    <t>890502308-7</t>
  </si>
  <si>
    <t>SEADE JOSE Y MARIO</t>
  </si>
  <si>
    <t>76131fed6fef45ea28c74278fc3b540d41daa9c4a66f292fd494deb8b99f0f0c9a01b6adba3a00d95959c16b5f292a46</t>
  </si>
  <si>
    <t>890504208-8</t>
  </si>
  <si>
    <t>EDF CAMARA DE COMERCIO</t>
  </si>
  <si>
    <t>af642ae32a57a842f8f8163565c5631b7be62b426c3e9d6ca1aa5df4e54995268e79dc370f1fb6b0b857289dc78db9df</t>
  </si>
  <si>
    <t>CUBEROS NIÑO</t>
  </si>
  <si>
    <t>d01eb982213a346101b2e62a66f2f14e28a1971a2620555e4f96e3e9214bef52a974065d9558d18521d0a50d870eadf1</t>
  </si>
  <si>
    <t>ALFONSO LOPEZ</t>
  </si>
  <si>
    <t>736c2e31152335b931c29220eb0ceafeaa24672d6e986a997d388d53c7d6c2b976cd3bdf06daec400bc903458548dc42</t>
  </si>
  <si>
    <t>SANTA BARBARA HOTELES SAS</t>
  </si>
  <si>
    <t>PARAMO</t>
  </si>
  <si>
    <t>3c5c9712f45661666933027c975ab04dc0d9fc6a1e3037fdf329c6300c5b07b55abc9da649a045be371e126518fc3fa4</t>
  </si>
  <si>
    <t>7ae6db385480b4287f5c117da0724ef2339dc6f46f7e823584fdb75791e80cc16fc102da4cdf7a6cbf10feb5215a05a2</t>
  </si>
  <si>
    <t>434b639caad3c84740b0c7999f018f35158a78da9032ae6c5fc5e4cd04c41cb47141fbdcbf1fcf4487431f74d234c68b</t>
  </si>
  <si>
    <t>CEMENTERIO CENTRAL</t>
  </si>
  <si>
    <t>4309817d1b1197913b1921c67b592c0ecc88e1a3eb555cd3398b7a5b7107c07d0578fd6ac344437e0dc7137311e074c9</t>
  </si>
  <si>
    <t>GASEOSAS LUX SAS</t>
  </si>
  <si>
    <t>8077ce5cee5e477295d47d68583acaaa760cbf49bbf35295b949285d94c66eaef51c9aeba12df153a2abf5835b86365a</t>
  </si>
  <si>
    <t>MANTRA</t>
  </si>
  <si>
    <t>9d5fd1fe7def1b978478fb0fafde79fa9e2e6769949b99c7a8f2ed84d163068c1a172c3cc933bfcb58e7a2b177ebe366</t>
  </si>
  <si>
    <t>PLATANO VERDES JARDIN PLAZA</t>
  </si>
  <si>
    <t>2aaa766013148ba891879cb3cf91afb908ea3a801ac6b580f3f8713c51d6b4f93bd47a6ec5f7da2371965916b84ea9f2</t>
  </si>
  <si>
    <t>af0f4f1c86988aeaf2b6b3da419e006ce90426a6902fa3e213919ec4e5839caefee3890e38a7b4c78049b387012e2280</t>
  </si>
  <si>
    <t>82a43917cf03d27cbfc15cc7d52d714d6933938815f6b08cb349afa8c459fb23dd04fa2d10bad9977266944cc3f2c239</t>
  </si>
  <si>
    <t>TERMOTASAJERO SA ESP</t>
  </si>
  <si>
    <t>d0c57dd2e379164fda4fc5ef7e7cbdcbff939742d7e604bea0e889eaee414c3194202cc00a7901acc66f0312227f870e</t>
  </si>
  <si>
    <t>faeb4725e23bd0acf7ba3f0a6b56323204b64843a69c4dde2d72c1f4764aa794174bd373c2dcba876fb91f39cef7d5ed</t>
  </si>
  <si>
    <t>PRECONCRETOS</t>
  </si>
  <si>
    <t>9b4dccab58e4ca05c94e2088156762af101580f2ea9254cf9ec6ea0104096198aa1e671ba6e00bdbc9c80307c6b064e7</t>
  </si>
  <si>
    <t>INDUSTRIA NACIONAL DE GASEOSAS</t>
  </si>
  <si>
    <t>6990f1817999a6725b8d54eaa6ebd181bda240f692b35d39575aef1feff050960d07b5be2aedd1837c48bdd1dce7bc88</t>
  </si>
  <si>
    <t>900532504-8</t>
  </si>
  <si>
    <t>IPS DAVITA S.A.S</t>
  </si>
  <si>
    <t>552c63247a504a3d1716741ec5d0c67e7348350b38276c0c121f0d04592bc68a6bbfe88ee5c38e812daf24752a205f0b</t>
  </si>
  <si>
    <t>PLAZA DE BANDERAS</t>
  </si>
  <si>
    <t>a127efd09950f2ee29085393c9bc71427d942e81cc46262f79bc829d0d1e39bbfbdbba08b9a818a1e97b4bbdec9d84ff</t>
  </si>
  <si>
    <t>890501323-3</t>
  </si>
  <si>
    <t>SAAD Y COMPANIA SOCIEDAD ANONIMA</t>
  </si>
  <si>
    <t>76fe1178661931da758957a383455f249349e0aee976e94bb5dcb4305b71a443258bc6187d6f65286f91dbac6944a34a</t>
  </si>
  <si>
    <t>EXPO TV NOVEDADES,BEM-ESTAR</t>
  </si>
  <si>
    <t>a51b4fbb78b4b0488e92b7a216acd7e21fdbf3e67d065f79b2535d89f8988c2dff80128b0a0c6c5fcc319140f7433f2e</t>
  </si>
  <si>
    <t>900943243-4</t>
  </si>
  <si>
    <t>DOLLARCITY JARDIN PLAZA CUCUTA</t>
  </si>
  <si>
    <t>49e3ee929d58738a56e506bd67c1a3458019a82094bd802bd597146e0d03fdaa500810b5e897f502d9d99573a8a38271</t>
  </si>
  <si>
    <t>MOVIES/INVERSIONES ISHMA SAS</t>
  </si>
  <si>
    <t>f42a2085a280738235760e912b805138c16aa00ce479dffeabdb5c12a9d344d4fdbbd775a407e934ef96276ffde83c7c</t>
  </si>
  <si>
    <t>PREESCOLAR AGUA CLARA</t>
  </si>
  <si>
    <t>VEREDA AGUA CLARA..</t>
  </si>
  <si>
    <t>ac02e545e597f119bc0b44be64f4b8b9dbc9fd8251b967c318d1a458b65ebc88f40b837b7dc832290bde2e359e3b3e98</t>
  </si>
  <si>
    <t>SOCIEDAD GRUPO ESTRIVAR S.A.S.</t>
  </si>
  <si>
    <t>775a211b66526936b199f3a4a45b44ce5b9071b00cbec4c57796cbaa8e42719b291758762001e10adbbb1b0c9f63e208</t>
  </si>
  <si>
    <t>36993a4a0914d94cb184785ff9e909384e7885a09814d5d47c6069eb5a58587e227cd599edbaceccc395a0cdce2ee344</t>
  </si>
  <si>
    <t>807002217-8</t>
  </si>
  <si>
    <t>CONSTRUCTORA ZARAGOZA</t>
  </si>
  <si>
    <t>c804bf9d56d338f44ece06e8ba7de804d7d584d0cb3d59f49d9c0693df1891c4f90da4d3ab271d048ba28c6a224616a6</t>
  </si>
  <si>
    <t>CORPORACION LAS VILLAS</t>
  </si>
  <si>
    <t>8015982e978a7ed72bb6dc24a8d81de5d8057f451e5d602f2efa64bc354c8a265936287f1ed296b3a11b9452b15bd7f8</t>
  </si>
  <si>
    <t>e842dd0f20508a72a19d4287f823dccba94970c54cab82e12744ae9ca19c0613cdeb16f2d4ae5bd0ef8de74c55b2e704</t>
  </si>
  <si>
    <t>800065396-2</t>
  </si>
  <si>
    <t>INST. DIAGNOSTICO MEDICO IDIME</t>
  </si>
  <si>
    <t>b43cd92a3fbeb788bdb8b7c2897b09c994b29318f0e399dd6ec3acd27196969a6a20c1dbc02c397efdb5def830be2cb1</t>
  </si>
  <si>
    <t>91400ffb12621490539193f491f64650ee6d8559273a25702e52d2becb0e7a499cfa2c7d0871a9cbeaabe663772f9b5e</t>
  </si>
  <si>
    <t>NICOLE BERGSNEIDER GONZALEZ</t>
  </si>
  <si>
    <t>e3a3b4731b8993d52021d2bc2448327851edb00570f4d244455c374ce5788b3e3fd4a8f92bbcdc461dcde90b22cc6193</t>
  </si>
  <si>
    <t>CENTRO COMERCIAL LAS MERCEDES</t>
  </si>
  <si>
    <t>e21a6e21c921df4a4b673051493d05f1c310147d7cb74aa576812e59b294599701a88bdbe756278748b857677335a9fb</t>
  </si>
  <si>
    <t>INVERSIONES MONTERO G S.A.S. - TIENDA STAR PARK</t>
  </si>
  <si>
    <t>65350e39a93e38e80b0d45bc140224287b6edf8887ce6ef1f60d0379b0a3e4b89aa787b62a5ab23deb975af913e4b50e</t>
  </si>
  <si>
    <t>04afbbb433ea4cca41590a4dc984bd7e8774d293df4dab708dcbe574d9d78b474fe09d1125592fad1336630c15646294</t>
  </si>
  <si>
    <t>f003b966836253f244b0439806988fa795d5084e5a95aaafc3d146a390146d05a1e0b7e8984ae29cb8b4ff0517edd28c</t>
  </si>
  <si>
    <t>95b93a6e3968946ad5213f4151781106dca8318aa77975045d228c5e304b1cdcab3dccba551ab7aa9af2ee2d1055f2da</t>
  </si>
  <si>
    <t>GIMNASIO BODYTECH</t>
  </si>
  <si>
    <t>81684599a6f3607b17dac5144e36cfa19d44766bd2ad2289444c3eee1b51344cae974582431f9826659dcc9719f4b72e</t>
  </si>
  <si>
    <t>372041f6ef8164b5bf7a46c401dde95ba0b28f25f61440115b25bb1233203448f372e2a9f3417e1f6cdefef9a9ab393a</t>
  </si>
  <si>
    <t>900381329-6</t>
  </si>
  <si>
    <t>ARROCERA SANTA CLARA SAS</t>
  </si>
  <si>
    <t>SIN DETERMINAR RURAL..</t>
  </si>
  <si>
    <t>9a8d713c4e5d4ff0502b454171f4514994a8b1a00000a30a8779dcc0eaf3e23a3e88c316024b62206b2e3992ec08eb5e</t>
  </si>
  <si>
    <t>900291294-0</t>
  </si>
  <si>
    <t>INDUSTRIAS SAGA DE COLOMBIA S.A.S</t>
  </si>
  <si>
    <t>e12a2302b3423e8806f3467a87cc57a706f61f1829968692547a6a5537cf6fd4f33e9bdaf44f79eeabb9d6cb4631f669</t>
  </si>
  <si>
    <t>900753033-9</t>
  </si>
  <si>
    <t>CUCUTA SUITES S.A.S - HOTEL HAMPTON</t>
  </si>
  <si>
    <t>9d9c0e0f02c2baa4348812f5bf5f6e86cfa321fd20313300182ba55902befb7f2379cdfe3e7c892fdc91a2a8eac8768b</t>
  </si>
  <si>
    <t>860034313-7</t>
  </si>
  <si>
    <t>BANCO DAVIVIENDA</t>
  </si>
  <si>
    <t>e5331480983579f25f57307ceb7e3f5f744cf47550f63b1e95e5574589f01ee7283f019d998320bfb2dead7a1cbe485e</t>
  </si>
  <si>
    <t>890900943-1</t>
  </si>
  <si>
    <t>COLOMBIANA DE COMERCIO SA</t>
  </si>
  <si>
    <t>0ef4dd64f74dfd8a466913744ca69cefc12f809454e21282c14a66a5c4d2400f820e2940f0dc2ebca509ed211edc105d</t>
  </si>
  <si>
    <t>852a33499e2f5683e1c28d5d8704b817d191dcc91270be16af615be39cde2c223ad9dbe7a84705ac7c9d996b53ca04eb</t>
  </si>
  <si>
    <t>GEEKS  TECNOLOGY</t>
  </si>
  <si>
    <t>c21753d8a344edf345dbc9a8d4ea31d0c94e1210a2ec0158e5856573954417f6c557400a6f5d8646444083913caaecda</t>
  </si>
  <si>
    <t>900746048-1</t>
  </si>
  <si>
    <t>INVERSIONES RESTAURANTE DIMAR DE COLOMBI</t>
  </si>
  <si>
    <t>607b0396c1da14acc97e6355e8a7e14a0051c6911986723e40b1bf738f4054f7850098f882bd9d5e333379a6ec8f717a</t>
  </si>
  <si>
    <t>890501734-7</t>
  </si>
  <si>
    <t>RED DE SERVICIOS DE NORTE DE SANTANDER S.A.</t>
  </si>
  <si>
    <t>f1abd7d1100bf4888d4edc35b6578997f493067eb95f82d9fe7d401ee085dc6799c4db63eab6ed9b65edf1603f1a94aa</t>
  </si>
  <si>
    <t>800244387-4</t>
  </si>
  <si>
    <t>MACDONALS-ARCOS DORADOS DE COLOMBIA</t>
  </si>
  <si>
    <t>776d35653a0d528904ffb966efbeef4627084218a305bb33bd483b233003fe4ca1328d286f24600383632eb6db68be23</t>
  </si>
  <si>
    <t>900320056-1</t>
  </si>
  <si>
    <t>PAMACOL TECHNOLOGIES SAS</t>
  </si>
  <si>
    <t>7bd3a08c70b3e4012750ce650c40c097abd03c312d8136f062860df281ae52ff58ee522b1ce64d8d4cdaf5b4631f5b6e</t>
  </si>
  <si>
    <t>2424763a0e24658103aceb05b6c2b635a5d0468afed1ed3696551782e0c1615d359b9fd71fda4585a50df82b228d3b6b</t>
  </si>
  <si>
    <t>900430293-0</t>
  </si>
  <si>
    <t>WILLI JHONS</t>
  </si>
  <si>
    <t>5bb1a5c2c01f18a11b494182e57de68adce86f00ab638ffc20f51dfb2c866b1b5b60fde025318007a43b6636c1792c39</t>
  </si>
  <si>
    <t>900536348-3</t>
  </si>
  <si>
    <t>ARKADIA FAMILY CENTER SAS</t>
  </si>
  <si>
    <t>0b8741f0ae5164a48eb1a765b0a38990514938a485e0c7835c47709c184f0b421d8df90dbc293dec7075e1099fe99d48</t>
  </si>
  <si>
    <t>901498107-5</t>
  </si>
  <si>
    <t>GARCIA RODRIGUEZ FOOD S.A.S (CARRITOS)</t>
  </si>
  <si>
    <t>2faca2c163067825a82b8fb8fdae370300322a598a9993c759f2b5be3ce2c83b84f28a31a08185a34e202c519875fe46</t>
  </si>
  <si>
    <t>CORPORACION NAN KING S.A.S</t>
  </si>
  <si>
    <t>d3055f6febe8b388d6ed5f45a6b2c0218c2dc8abbfea212a38491e6e329e5f01d4635265cb809dd8f00d8ebcbaf703bb</t>
  </si>
  <si>
    <t>FISCALIA GENERAL DE LA NACION NORTE DE S</t>
  </si>
  <si>
    <t>9764112c1d08f8d20f8c7a58bf00ae7fea093b0967bf5909212f111cb64d757d5fee03ecb72426f7561010f3c06cd17a</t>
  </si>
  <si>
    <t>IMPERIO TIEMPO</t>
  </si>
  <si>
    <t>55150d37df2c6f44626af6065e86dd74a5ff7f564f82b18aeec09032b554025202283dc06740309bfc27f71581a1d888</t>
  </si>
  <si>
    <t>900074364-8</t>
  </si>
  <si>
    <t>COMPAÑIA COMERCIAL UNIVERSAL S.A.S. NIT 900.074.364-8</t>
  </si>
  <si>
    <t>4f1bba1b01935e33ee21eabc54d0330096a4ff2873a1260139577214b5b34824d9ff6bf5cfb473f1c313ccd960f841f6</t>
  </si>
  <si>
    <t>84a70aa5365b6863a46e367b08a558ef69725eb5f28a1d6bed1cbce534053f2b9dbf0c106d95502cfdbc5bb204a7064d</t>
  </si>
  <si>
    <t>DIVERSIONES DEL ORIENTE S.A.S NIT. 900.258.556-6</t>
  </si>
  <si>
    <t>6575007c0487f8700fcec9066889cf515aa47f839b528cbd131141f6f2e58c7734dca84b9114951e40cfab025e205f80</t>
  </si>
  <si>
    <t>J SIEH (ADMINISTRACION JUDICIA</t>
  </si>
  <si>
    <t>e91a361019ee2993c936f5eb9f95436aa39f746efe2ae6179421e8b18cd9ca725211b24e1b2aa70658c44e4021f8485b</t>
  </si>
  <si>
    <t>d14eaab8bd34c3c38790528470ddcfbcf45f9007565d620e23e87951abb4fe03cb2c1d42b786c25920852c4b3a7ebecd</t>
  </si>
  <si>
    <t>03da88bcf8401ef0637de152011873afa78d13fd393f8d69f3266f18748ddc7dfa68d3a54f8c19216d90945269da6b43</t>
  </si>
  <si>
    <t>VDA EL PORTICO</t>
  </si>
  <si>
    <t>8e6cf95bdbc0a035c6bdba5a31cb3f16783ac405fb8fab2713276612e32db9d0c364654813f03a107f671004e7355695</t>
  </si>
  <si>
    <t>2fed7f51d02a2c9156d4bb8b6373d2728c5adfdb385f97cead4afc2a036139e56df79afc36b7f59a53b5aa0d8bba42d6</t>
  </si>
  <si>
    <t>ESCUELA MARIA AUXILIADORA # 72</t>
  </si>
  <si>
    <t>ANIVERSARIO</t>
  </si>
  <si>
    <t>e7cc27e81a7883320f8f75025f987600fb21d0901074da87f3c035c5ce692c3f3ea152cd151b9682cbf8a19b92fa56b5</t>
  </si>
  <si>
    <t>807000831-1</t>
  </si>
  <si>
    <t>ESC.INTG.RAFAEL GARCIA HERRERO</t>
  </si>
  <si>
    <t>LA UNION</t>
  </si>
  <si>
    <t>41016bb797cb06bd9caeb99d9052ad17bc8271972c2f45fdcf787ea734582be56b3f756246f9fa8310b1f947a5f67bfb</t>
  </si>
  <si>
    <t>COLEGIO FRANCISCO JOSE DE CALD</t>
  </si>
  <si>
    <t>10efb272e900c7bef86b271c6900403ec2aa30a23734fd121c2c7c3ee8a703f0d3a0c4ad78256510a16a87bcce83bcd1</t>
  </si>
  <si>
    <t>b85b1a33fee96383b6021b2c9b5f19cdbe6fc2f45ac6e31d873f432be399a5c825c93951a694cf435441ff509d2dd04d</t>
  </si>
  <si>
    <t>40f9bae5f894d5035ca90a9b76d6fb702319d96cf67247c0c5ddf7465d142e80b0837c476ce1848a4f6adbefb9ccea3c</t>
  </si>
  <si>
    <t>6632aa10914868b38c3cd4b01a45e444bf0019f24b4d1a8dd524f129ee9fc33bf6902e559194e39bfbc91d53268d8b7e</t>
  </si>
  <si>
    <t>899999055-4</t>
  </si>
  <si>
    <t>INSTITUTO NACIONAL DE VÍAS</t>
  </si>
  <si>
    <t>1bde64e880d4ef11c9db2f8f3b1bd10608a521064f61b065621c215ae9f4651f0baa68f16782eb1b07b4207800842207</t>
  </si>
  <si>
    <t>SANTA TERESITA CERRO</t>
  </si>
  <si>
    <t>540e75e8726bbfffb584838dbcf48c03f62d484f35b5ec0107ad69b1b92087f9a10a0da8017967c3b9c6e7841bff9ed3</t>
  </si>
  <si>
    <t>00426ae78c0ab058e9c2a0685643a7a5ef809417da79cd3d3aaecca7db97fc9ce3cc444443a3c9eade288af01086095f</t>
  </si>
  <si>
    <t>800145876-1</t>
  </si>
  <si>
    <t>E.S.A.P.</t>
  </si>
  <si>
    <t>3d884ba56293c32814b040f564cefc63701d3625dfca521d39717f0b25255fab9a1d29e0f6713d0ffefabab540bac8e4</t>
  </si>
  <si>
    <t>800014918-9</t>
  </si>
  <si>
    <t>EMPRESA SOCIAL DEL ESTADO HOSPITAL UNIVERSITARIO ERASMO MEOZ</t>
  </si>
  <si>
    <t>e3e46eb0217e52f0da009725f5d120704dd3b006514946cb063e41838579af550f8e0141d23f2377e4602a9b87023a19</t>
  </si>
  <si>
    <t>1f8a427b0b23018a9fb79053d512cf6fc49fa6784bdd7def328640e269c6697c62985f5b790a2c682730eac7922a4acf</t>
  </si>
  <si>
    <t>d9c300e39103d01203b7be7852b4e82dcc1b242bfee9810f33f12d521e8bde25dd51cb76accda2e0e63e6e68d9df9440</t>
  </si>
  <si>
    <t>CLINICA MEDICO QUIRURGICA S.A.A</t>
  </si>
  <si>
    <t>927458c11f0bea39c6aa3727d647c6881a571616016ab7e1040018da4e98637cecf1d51e92c675c613aa410ada4657e4</t>
  </si>
  <si>
    <t>890500061-4</t>
  </si>
  <si>
    <t>CLUB DE CAZADORES SA</t>
  </si>
  <si>
    <t>05060b8b39d6344d71ecca47dc904cfea9e22f8c47fb25490569f0366e6b8899fc06eebf3d99be6213129e7af4fe4003</t>
  </si>
  <si>
    <t>860009985-0</t>
  </si>
  <si>
    <t>CONGREGACION DE LOS HERMANOS DE LAS ESCUELAS CRISTIANAS</t>
  </si>
  <si>
    <t>0a377cf2d9712b2b747fa8807e64a9ca78cb46782fcac66d5a4a31ba602a8f56cdaa75d82f16e91418f1c6b76eaa27df</t>
  </si>
  <si>
    <t>PROTURNO LTDA NIT. 890.502.101-1</t>
  </si>
  <si>
    <t>d8c06850fb20ec48a6290f674498a0a163b902b53f037570e1b28a0c2fd2a33a54949eda9860d8cf490de16375da0cb2</t>
  </si>
  <si>
    <t>ee4fc2212837a4fbf6eb787bbf03bf2ee780f88f5851639aa3d78f9acc877d3c31085cb1967ec6d29770d9ad8645b217</t>
  </si>
  <si>
    <t>807001415-5</t>
  </si>
  <si>
    <t>COND. EDIF AMPLIACION CLINICA SAN JOSE T</t>
  </si>
  <si>
    <t>37c1d3744eda2885bba100b1fefa3ca324e3517b36445228158e5d880927477d6d945fd27aa793f91952d515958004ab</t>
  </si>
  <si>
    <t>8ea3f85c9195f18192f8b44161463096595d3d75dc5edc4764656a9d8d87af39b0ca3a59ae56d311713e204269d2e66e</t>
  </si>
  <si>
    <t>f6cf4f65a5da27b6b9f10b37ceeb70cf27ad58588045266b5000a83920a5d24190cb2419092039411f8a82eedccca364</t>
  </si>
  <si>
    <t>deec7868a64ded7db0f4aecc9ecccdc222478935d399859d50ee58748f0caad37910038ebe1e5049761830a2f04d530f</t>
  </si>
  <si>
    <t>900550254-8</t>
  </si>
  <si>
    <t>HAROLD HUMBERTO GARCIA Y OTRO.</t>
  </si>
  <si>
    <t>8919b7b4bdd1dfa0725da792a96f2f0c880b0a4f825e879f383022187fc0b4117f4fcf0c92f21a27f87f38f2621ece7e</t>
  </si>
  <si>
    <t>890500163-7</t>
  </si>
  <si>
    <t>COLEGIO EL CARMEN TERESIANO DE CUCUTA NIT. 890.500.163-7</t>
  </si>
  <si>
    <t>141793b3d52aa20f00cf43473e4cb74dd8d8c2a5e6a5775e1874fe0bfad8309ee7aca1c86f59716b071eeec02521c29d</t>
  </si>
  <si>
    <t>CARNES FRIAS CIFUENTES</t>
  </si>
  <si>
    <t>1499d63ac194b2f5752aa4e58246171b5d5b8431838293dbef6738a5a5a50862a0385289ad999396314c5046a5822f6a</t>
  </si>
  <si>
    <t>4a0d3b5bec1be252df40da77ee4102cc8c81bb6ddcd31d0398917c3431340e184597037ea61b07fecfa06cf4423426d1</t>
  </si>
  <si>
    <t>FANNY JAUREGUI DE MANSILLA</t>
  </si>
  <si>
    <t>2bd920423d35d68e691188daf4f36f2e29e69c4b4dc2dfeeac453968b91764e745f80e454ef3529c40159de76c40e432</t>
  </si>
  <si>
    <t>900385774-9</t>
  </si>
  <si>
    <t>1364839d2aead45f71d59da68872400d670cdcd49ba27743249f5def6b9e4296813bd6362b7ff6e5ee6fbfb94f0b7d18</t>
  </si>
  <si>
    <t>JORGE IVAN VILLAMIZAR</t>
  </si>
  <si>
    <t>URB. EL ROSAL</t>
  </si>
  <si>
    <t>95889942557a85959c337f91f724c7454175225d3c2c25b3678753f42fa180be17e1a5cf6e1dfeab05f289e06d8e5c4f</t>
  </si>
  <si>
    <t>ecff212af3d028e128c79a604aad156c7d8d5b99e8e3343ecb37998ef2a12665958c855f29e583f0556f427759eaa7a2</t>
  </si>
  <si>
    <t>COLEGIO DPTAL DE BTO LA CABRER</t>
  </si>
  <si>
    <t>0de615ce6b3a69040b2aff75ee9b5e766b65f0e13445e01e0ec9c225d3dfa9854ae355d94ac79da574a2ebc5c29ed815</t>
  </si>
  <si>
    <t>8725cb5834622e64dde073d6ae3469cbe9746d7e410ede857464c798cbcabf9bdf6848b83a19dc77cb333b0b1b8a4d2f</t>
  </si>
  <si>
    <t>CLINICA MEDICO QUIRURGICA S.A. NIT. 800.176.890-6</t>
  </si>
  <si>
    <t>101eb5b00ba798b192bce01518cc368afd57fbba5fef8712fe0b5df5cfd5505095df1bd9621b022124dbc3f7772492f8</t>
  </si>
  <si>
    <t>EDINSON JIMMY CARDENAS DAZA</t>
  </si>
  <si>
    <t>c7a7d29c08c45350935299f20f97c5ff8b7a350315e1e9ee9ed7d59a2e95c954692d4e4fa13f5ba3c652d0fbb8d379c7</t>
  </si>
  <si>
    <t>PARDO GONZALEZ Y CIA LTDA</t>
  </si>
  <si>
    <t>ba4877937034ad4976539954099540c4d165a58354823a5130162e128ed74bba9c2750799284b452b4592b7f1054f403</t>
  </si>
  <si>
    <t>HENRY ORTEGA PARRA</t>
  </si>
  <si>
    <t>NUEVO ESCOBAL</t>
  </si>
  <si>
    <t>2db9f874c5eefb2c206af7ffde5985991609baa6190f0c527dc70cd42cba0b5483ca2f2ca980e989eba0d526a2bfa2ed</t>
  </si>
  <si>
    <t>3b0e5c5d9d3646a6422f8a0874d795edac6546742e28a5727dc0e66afee31cdb4b5a6bbde170c86ec0a3aa538c823cdc</t>
  </si>
  <si>
    <t>0da3dccc693c840366e527c7ba22ec73361d6b8b1455e9569791bb899b05b04025ddf6d04341149ceff5c7b6172dee3d</t>
  </si>
  <si>
    <t>2b7e3e3aea8232c1d1b65d070c6743543ddaf883b9588dc18a40e473e8e657581f586206a4e6fb722f8f337b9b2a66dc</t>
  </si>
  <si>
    <t>DUGLAS SANGUINO</t>
  </si>
  <si>
    <t>61c51334cf5a2c030b257c2d873b5403801646ec9bca8a2249d4aa36705b75a2289e792a74528289767802a7341326db</t>
  </si>
  <si>
    <t>900444827-4</t>
  </si>
  <si>
    <t>LA GRAN ESPECIAL S.A.S</t>
  </si>
  <si>
    <t>e3dbec370e5a4c66558a5159652b526f54409812199b1f0ee9c769400faac044cb5f060730b6ecb3f3a61bf1e073e8c8</t>
  </si>
  <si>
    <t>900258556-6</t>
  </si>
  <si>
    <t>ALGELMIRO SALAZAR DAZA Y OTRO</t>
  </si>
  <si>
    <t>07e07e309cd8ca9032df0a08dca931fb884cbb6369c815059f4573be8a320b26e8806b1bca5574cb2ce0141e887c1a6e</t>
  </si>
  <si>
    <t>890501971-6</t>
  </si>
  <si>
    <t>INSTITUTO FINANCIERO PARA EL DESARROLOO DEL DEPARTAMENTO NORTE DE SANTANDER "IFINORTE"</t>
  </si>
  <si>
    <t>CAPILLANA</t>
  </si>
  <si>
    <t>a05db5ee4dd58706b81cc2e6330804a747591986c24d8c6f5b4a27a65ebbc2423f6fe9ee09a6093f7fe43c4a08ab4658</t>
  </si>
  <si>
    <t>JFRIASCOS OPERADORES HOTELEROS SAS/HOTEL ARIZONA</t>
  </si>
  <si>
    <t>38be196bfa09d1fcc6c43955b72e1ea4b249ac912e3331273ff5df0e2a74a9a23a6f29a4d7f6467428793284e616f495</t>
  </si>
  <si>
    <t>8f4e2b66eb3d617a93e15395e9f0b8e259f12e4e428ac0ec0137fd776fff0ff08b413a8de56d3023d0a03c0bcc6365f3</t>
  </si>
  <si>
    <t>5294f4fbe266bf08972f3b3c71d19aa945845b445a0facff3e9244795da87854ad8526af6ba471d393c2f2d1f54e60fe</t>
  </si>
  <si>
    <t>BANCO DE LA REPUBLICA-ANTIGUO</t>
  </si>
  <si>
    <t>cfb1fad90d032a7c7ef0751aeb6d37df81df4dc3f9d005724a349c40660d4f6fc4bd2aabac9e2a636ab3c2b903ca7224</t>
  </si>
  <si>
    <t>96f99af6e0700677795515127f17342dd6ce433f535f39af92ea4d5aa6989c4a8ec7286d943aaee611c2fa45245e24cd</t>
  </si>
  <si>
    <t>901137699-5</t>
  </si>
  <si>
    <t>MINISO COLOMBIA SAS</t>
  </si>
  <si>
    <t>c66070a79bb90d75d3d49fb80979174429418ff13247b58c8a9c997e24f0194a639e7c988d3a514237a9f537136e03d7</t>
  </si>
  <si>
    <t>HIELOS SANTAFE LTDA</t>
  </si>
  <si>
    <t>98959ec942fd243bd6e956eddaaa55323c23d7300b105f011b9d824c0a0ade857b947fa7aa1f300bbbaa099f6f172b01</t>
  </si>
  <si>
    <t>VDA BANCO DE ARENA</t>
  </si>
  <si>
    <t>69e069878155d5bea0bc4d2dc89a49f1f19ec3ec58b4f6218d8a73c10b0e83f2cf3057fe04bc22a3b7a457bc020e26a2</t>
  </si>
  <si>
    <t>CASIO STORE</t>
  </si>
  <si>
    <t>39da950b12524be4d67c9975ecd061d0fe34cd529c28589d58bd98196548261b32a18663a0b809094198275a9bc647ca</t>
  </si>
  <si>
    <t>860503159-1</t>
  </si>
  <si>
    <t>SEVEN SEVEN-FACOL</t>
  </si>
  <si>
    <t>de08e208db4a08d5b1af8c01430993ef4ddc16022993dabac108cc374a20e2d6eaecb27c5c4a64646b6a272d9a27ad3e</t>
  </si>
  <si>
    <t>807000650-5</t>
  </si>
  <si>
    <t>CONDOMINIO GALERIA POPULAR OITI</t>
  </si>
  <si>
    <t>ae572647b975279cae75ea55fb5e6eff4edcd0b09b8e4689464a3769cccfe6466781546767f325f2cae94976eb733f73</t>
  </si>
  <si>
    <t>LIZARAZO LUIS EDUARDO</t>
  </si>
  <si>
    <t>e84d5af6f48427d7ac8e584e61aab056b5592c7cdf89c212a00da77881ace6c109baf88cbe6992100d1406d277112eed</t>
  </si>
  <si>
    <t>CENTRO COMERCIAL ALEJANDRIA PH</t>
  </si>
  <si>
    <t>b2467a54dd75e84baa99dc577171622b1f4dc610d7728396c35b881fbda6fc7bf76d13c8605116a97f40a4ae9e11fa88</t>
  </si>
  <si>
    <t>HOTELES CASA BLANCA SAS</t>
  </si>
  <si>
    <t>ad4e41f907af4b4a5e32dd5b9225b61f91c1b4b49c3307053c9460ae436f22512e1f8efddfad98cf2419864bef13f507</t>
  </si>
  <si>
    <t>603c6a5a6273d097d849cb417443347b200e54ec4d4f75beb146b8ff1e6c534f760fa3738bf6985c23f9b299bb3a375a</t>
  </si>
  <si>
    <t>800187397-3</t>
  </si>
  <si>
    <t>CONDOMINIO MULTICENTRO 7 AVENIDA</t>
  </si>
  <si>
    <t>3d3444af205443685fbf5436e74da49b6834dd0da69b0a72c70f5a669548eb183ef8d6b55bbafc66c5bece4aec72d45c</t>
  </si>
  <si>
    <t>25bb6bd06a02eb315948aed6c8ab0e62316c5737b03d2a9561d85e3335036075be95703b2648a72e59509f6de7e7ad4a</t>
  </si>
  <si>
    <t>HOSPITAL MENTAL R.SOTO</t>
  </si>
  <si>
    <t>6f934d3612ff2af1478569115b910dab35a872091d45cf6391838e2998321534dbc03cbcf8f2b841d59936b1ea6097e7</t>
  </si>
  <si>
    <t>8a67e3d52994690f0ef6b0035a808c7ff5b9a69a3ca915e26e13a0e167ea81541b83764c045c0d8a87273c10f7554f22</t>
  </si>
  <si>
    <t>e0615db6790b2b1d99908c3e4a8dd566ba56156c1d324450d34ee60294f5f733fd43bcc2b7b548c67c001afc037f1aff</t>
  </si>
  <si>
    <t>ad12400dd3958657c5a424a62bd747dbad46eec1e1c60438120c5aa67dd2dcec11d86c0f9c28f76d3990cf2b187bf1a5</t>
  </si>
  <si>
    <t>807001158-7</t>
  </si>
  <si>
    <t>MUNICIPIO DE CUCUTA</t>
  </si>
  <si>
    <t>39d12f793887979ef340932c710befb34dc8ae6885451406489ba2b93b2b379514ed2aa298ee8e62dcc9ee5ad9cc9983</t>
  </si>
  <si>
    <t>901245375-7</t>
  </si>
  <si>
    <t>PANDORA / PANDORA JEWELRY COLOMBIA S.A.S</t>
  </si>
  <si>
    <t>efcdfea06251a7a2b4f90c643d21d7d4163f8c0886317098c765fbaee1305f9a807d97ccd3f47704eed7271215c578b8</t>
  </si>
  <si>
    <t>37749632-5</t>
  </si>
  <si>
    <t>JOYERIA ORO LAMINADO</t>
  </si>
  <si>
    <t>ae95617e629e8b6c0a3e173cfc06ccbf7e64fd5784eff15b7cd99266fba132015e71e2a9848fbb71453aff083f064d8f</t>
  </si>
  <si>
    <t>890920043-3</t>
  </si>
  <si>
    <t>TENNIS</t>
  </si>
  <si>
    <t>b16f682d2a7a08800f2fd6db85df833787b572393448aa5f4bcfb9d63104b4c71eedad0702a0bf2de2c095584fa0c1eb</t>
  </si>
  <si>
    <t>CHEVIGNON</t>
  </si>
  <si>
    <t>8f8a60c1eb7455a354ff92e14a3334597061924042275826717fdc8b8bb2f335e1d7743b181d3a7af163391feafaeac8</t>
  </si>
  <si>
    <t>39b39729dea53c90b03423856edfe751e3567f0826c14fb4d01047485ce0599887910df5458f9b53408542ab628d067f</t>
  </si>
  <si>
    <t>58c382f546931eaaf568e1e6cf278ae9d880d3b86b87f5cd2f1b21ea72bf96a3c25bd8caa61dbc354befd34126521ec4</t>
  </si>
  <si>
    <t>890504378-1</t>
  </si>
  <si>
    <t>ORGANIZACION LA ESPERANZA S.A. NIT. 890.504.378-1</t>
  </si>
  <si>
    <t>76ed5a5be4f76ccce99ad97a2d18bc50c269b168e07cf5ff46c674a27ceaff9bea608bd3dff29133412161c272c4eda4</t>
  </si>
  <si>
    <t>TRANSPORTES ICEBERG DE COLOMBIA</t>
  </si>
  <si>
    <t>VILLAS DEL ESCOBAL</t>
  </si>
  <si>
    <t>5bc2941a46d3721198032f73c948d562371e0421a31a8c888e8f8612f87b2a8324e374021a0792467d4a64035025c6bb</t>
  </si>
  <si>
    <t>901580614-8</t>
  </si>
  <si>
    <t>PELUQUERIA GALATI</t>
  </si>
  <si>
    <t>73b16f1edc66b372f49c5762430c84498fbf0755cdc31d96c7045fb79c5613665b469d4bceffb6d4b322de29f608e826</t>
  </si>
  <si>
    <t>860045854-7</t>
  </si>
  <si>
    <t>ALMACENES MAXIMO (PEPEGANGA)</t>
  </si>
  <si>
    <t>f519ee264cb8db591790193316cbfc3c1cea70e3d964e6acd11ea8a73e3580ed9b16e2be80548c469c061b93e2b24494</t>
  </si>
  <si>
    <t>901259856-9</t>
  </si>
  <si>
    <t>GRUPO EMPRESARIAL PEMC S.A.S.</t>
  </si>
  <si>
    <t>d7c68db3c840ebd959416d28e0ffad917e31b4b9d7285470e57f29c4a91ba55837cc86ce4ce441b1b637854f7a5848de</t>
  </si>
  <si>
    <t>800091076-0</t>
  </si>
  <si>
    <t>FISCALIA GENERAL DE LA NACION</t>
  </si>
  <si>
    <t>cb2bbf1256573270d9c86bf7aacaa727274628cc27936d5b78dda3b97eb93709467d38f891a531a912125a9b5860d066</t>
  </si>
  <si>
    <t>901290132-5</t>
  </si>
  <si>
    <t>CROCS (IX COMERCIO COLOMBIA SAS)</t>
  </si>
  <si>
    <t>83b09c6239f6abc57ea607b43bc00f5a41306c4d518f228809fab894520a975084037409e6636da37fda10c3c9155bba</t>
  </si>
  <si>
    <t>900433078-7</t>
  </si>
  <si>
    <t>BATH &amp; BODY</t>
  </si>
  <si>
    <t>578c9466ef92e72ffbdc7e118c899a22a9dc3d55e8ed1f73e773e20b39af367a0ab8e47491cd22bb6c58a9b33d756342</t>
  </si>
  <si>
    <t>COMODIN S.A.S.</t>
  </si>
  <si>
    <t>4a326cbb1e0ca0d1acf5af556588d288c7dc8118622b93bce0983c56ada6681eabdbdc8f917dd7fd651c1922372712e9</t>
  </si>
  <si>
    <t>PALMARITO</t>
  </si>
  <si>
    <t>9c9f26d8cf4ae92749e79c1d02ec3f70650fad9c5ad7b482736e4fd640e042c12de70780a62f121b274da9587fd85cf6</t>
  </si>
  <si>
    <t>2292c5e0c3d6e9e70cb704e196e5f0e5289301adbf95a146ff573614dc7dc1533e03f83b8e850743d63483ee1c145226</t>
  </si>
  <si>
    <t>BRINKS DE COLOMBIA SA</t>
  </si>
  <si>
    <t>bafe54b53254c053e345133d4d424eef5689a66872c412ef736d2a5123f5e6596755375845b162411f33c8f4dbba1228</t>
  </si>
  <si>
    <t>811041214-7</t>
  </si>
  <si>
    <t>MEDIPIEL</t>
  </si>
  <si>
    <t>82b98112bc32e069017704b495c788f825aa9397c27a26042050ee93346c2057ed211d669d2aa29e2979a77231eeef6c</t>
  </si>
  <si>
    <t>860000794-1</t>
  </si>
  <si>
    <t>YINA DUCUARA</t>
  </si>
  <si>
    <t>21c5b1b1c2db18683d68a05a8586d0d02a6c4c105294323378d6dff5407a39c0a120caf3fd577bbe5c2e50d12d61d0a1</t>
  </si>
  <si>
    <t>900486370-0</t>
  </si>
  <si>
    <t>YOYO S.A.S.</t>
  </si>
  <si>
    <t>dd2acd0326d61e0ffc21cd661a18aac5901383481fe7224cfa6af9660209bd1114482b012ae01220c9d741dfd17e3da3</t>
  </si>
  <si>
    <t>UNION EUROPEA (GALLERY)</t>
  </si>
  <si>
    <t>214acb58ee68cb17e6afe82b74848795e565ce9d349a1408ac3cb783a50f9cb718e937c48d29327b501e23575d34f7f2</t>
  </si>
  <si>
    <t>D PORTE SAS</t>
  </si>
  <si>
    <t>807006623-3</t>
  </si>
  <si>
    <t>ASEO URBANO DE LOS PATIOS S.A. E.S.P.</t>
  </si>
  <si>
    <t>720 SERVICIOS NO RECURRENTES</t>
  </si>
  <si>
    <t>198b79be4a10823dda6d7460a65751d801b872f93eda3a66500ccace7b04234a8d3350bb39b59dc8db7d44cd14480808</t>
  </si>
  <si>
    <t>0ad80490c565b54dd1b84f17486b9ef7547e4e6debc38aa6de5a357b97df0e658260ca1890f9033d33f772f922101390</t>
  </si>
  <si>
    <t>CONSTRUCTORA ARCOS DEL ORIENTE SA</t>
  </si>
  <si>
    <t>b0de0d00fb57ba029d47253182501dfd483aad27f495a480e6888497f0c393781d12fc4826ba7e8399e2b18113178bfa</t>
  </si>
  <si>
    <t>TRANSMATERIALES</t>
  </si>
  <si>
    <t>4abe5e10ef77e6b0dd8d803a64342a70b6bc0ce4ed9b8b31825a73c919d380c95022964fef43b338d54aaec8a1a3df52</t>
  </si>
  <si>
    <t>EMPLANORTE S.A.S.</t>
  </si>
  <si>
    <t>e4fb82629f6b88800c3d679f8950d8589e2d469701155bcb46fb31b2ed7ee772ba398d5c809f1291969f2bb3c92ec574</t>
  </si>
  <si>
    <t>ALTO PAMPLONITA</t>
  </si>
  <si>
    <t>f14cd20de4be9b64138f8510bfddc644e80e92c62d232181ca0cc31e3285d10163ba89561519b08b5eac90a918a254bb</t>
  </si>
  <si>
    <t>URB SAYAGO</t>
  </si>
  <si>
    <t>923ce271229d319c6547c773febfb07e0f64897f76f69abf1e11eb0e9ea05dc714cccb984cfc61fc3dfc2a13d44ecc54</t>
  </si>
  <si>
    <t>JESUS LEONARDO CONDE REYES</t>
  </si>
  <si>
    <t>2199607b2055101ba84ea488350fe5542e14686c095635924386f70aa0d7f968c6c60ce7873724c82a96fa1a3fb588f7</t>
  </si>
  <si>
    <t>ESC RURAL INTEGRADA BOCONO</t>
  </si>
  <si>
    <t>7e49c39143279b698cd6fd206f45efc2940c2f0e689cd8cdda7e5bac902d5b2085d35c1e0e68729f5af5003d465bd8a3</t>
  </si>
  <si>
    <t>931773dfa649c65e834e457da6ba0c73a67e1d68b0108038e02e0de5c7cd77c564b097ec76bde3e0910dbf0b8820b571</t>
  </si>
  <si>
    <t>d23bfb56c779deef4cd397a972ce56c7dffc6c512347f53863f8f176175d89b1d659aaa3b509393a15d3d3a1b699430b</t>
  </si>
  <si>
    <t>5a0b77b47f0f4ca61553b4f2a23771d7de993251444417450061bcee9fe383845087ebf80754f0a41d8e48231ef54b27</t>
  </si>
  <si>
    <t>cd7597b23503ecfe08648a88a28f757136ea781947659b17fd2ed2cebe50bad137d4b7e2be1cd6bd9d29f3242371fc6d</t>
  </si>
  <si>
    <t>TUGO SAS</t>
  </si>
  <si>
    <t>9521adedf883387fef93ecb6f21ea5f94e7dff65e6a574fca82be4891acda9bd0ebb4546c541ebff9f2157134e4ffe49</t>
  </si>
  <si>
    <t>900378601-4</t>
  </si>
  <si>
    <t>LA HIELERA BLUE S.A.S.</t>
  </si>
  <si>
    <t>81fb11efc941192d58b9b2b0f705fc7517f70980f7b337f314de0accf031b7fff472ac8f94128c3483fd68be89273765</t>
  </si>
  <si>
    <t>05869f2566674362f81bc638597052ce203c7e64bc2bf310f50ff7cd3e453922a89adc7f62b665ce38591ee6e35714b1</t>
  </si>
  <si>
    <t>900491553-1</t>
  </si>
  <si>
    <t>INVERPROYECTOS DINASTIA S.A.S</t>
  </si>
  <si>
    <t>4f6fb054bcf4775232f14f2e1e252e9acc0d026b945ea6f6591ae98ab2c77267d60357f9a9a07aa87015cf41a013e5b4</t>
  </si>
  <si>
    <t>LA GRAN COSECHA PANADERIA Y PASTELERIA SAS</t>
  </si>
  <si>
    <t>8035031e461d951a94f74979ae8829462a5aada5871061cb133e481bb26b7eb2bc523e787bbbbe27220c515fdc007d20</t>
  </si>
  <si>
    <t>BELLA PIEL S.A.</t>
  </si>
  <si>
    <t>6169f443ba7687ec26b1aa84b97c9bfd2f21f2a3e26907335338c98e06c3de6bc2f0c1eaa4742d4c44e71843cbd4c791</t>
  </si>
  <si>
    <t>DIVERSIONES DEL ORIENTE S.A.S</t>
  </si>
  <si>
    <t>a7306122aee2f9d6d361dbec3cc2a6443a56c9c47741675b29c1d6c840d4a3249f8f0acbaa4b0b365a8789c0857e899c</t>
  </si>
  <si>
    <t>2542b931f4d7657d482a5c7a32d7169ebb063a109fdc1a30109f20a09f39fe7beefabc2a4ef2dc5ae7f90c6343575833</t>
  </si>
  <si>
    <t>afee80c85bdd08086f5613b3caf5071ce175100b5e35cf4c8c16d2b0dd9e3991e6d1b4b046c92bb01767a9c072322ef5</t>
  </si>
  <si>
    <t>900333574-1</t>
  </si>
  <si>
    <t>INDUSTRIAS PLASTICAS PROBOLSAS S.A.S</t>
  </si>
  <si>
    <t>20f5e4ca83c74d6dec13af07dcd8d8005237ab721b6f6edc51e3d59be14942a6ec018f5a010078cbfe601efa4b0efe35</t>
  </si>
  <si>
    <t>HOTEL HOLIDAY INN</t>
  </si>
  <si>
    <t>f24b9258ac41b856d3cd0beb1a8e4cee260ab9b7c311fc83ecde8f1f82f8b1ef72c8dd606a67ed0c1b6e6056049234bd</t>
  </si>
  <si>
    <t>EL ROSAL</t>
  </si>
  <si>
    <t>401e1d0a9fd17871559d62106fa4099d97b14a94c08576e71f565cdd6d85f5a1e578a1148173a58ac9c9ae98395eb09a</t>
  </si>
  <si>
    <t>9e5d043874bce80bd3a4a368dfb5a103261d0663e69eec8f495c65377e80d23cef40ee3bce9c37b670a7e91eb0fbe2ce</t>
  </si>
  <si>
    <t>900206145-1</t>
  </si>
  <si>
    <t>CARBONES LA MIRLA S.A.S. NIT 900.206.145-1</t>
  </si>
  <si>
    <t>9f1c055597950e8af7a3010a79c2b2eac1cc091f2e1384dd512678dcc1205e7a7a100631da56610c7e60478b1a437713</t>
  </si>
  <si>
    <t>VARGAS CUBEROS</t>
  </si>
  <si>
    <t>bb7aae626a0d6ba54fdee4344787e28ae178b3036954dabcb53feef2a583a4f94782dbe898e97bc8d1551578395312ac</t>
  </si>
  <si>
    <t>617b7b0cf65b5a1f484cf74c6297a3006c613effeb80651292728d40990c0215d47c1c7ce540bc0c9521567853d1c8a3</t>
  </si>
  <si>
    <t>ISHTANA MASA Y CAFE</t>
  </si>
  <si>
    <t>888c0377609afcd833ac10844a3fcc553126f1a7c304ffe83a9c58eca839c3d1363706393b873c32045ef6df679bca1c</t>
  </si>
  <si>
    <t>b56d5a902acd2b51c8506be80a1bf46da84e9a8a25b035700faf5e48fa4279b11d1c9b9535d3285848a98570f5f36c59</t>
  </si>
  <si>
    <t>901233167- 1</t>
  </si>
  <si>
    <t>LA NOTA COLOMBIA</t>
  </si>
  <si>
    <t>7c1ef5e7c89c0042393bc0e016923b08bfa7da17df4dd47bd4c4c575ded71ef1e0acc325e6c6b8b1040977fffc894d39</t>
  </si>
  <si>
    <t>800176890-6</t>
  </si>
  <si>
    <t>CLINICA MEDICO QUIRURGICA S.A. SEDE UNO NIT.800.176.890-6</t>
  </si>
  <si>
    <t>4bd5c46aaace419c5267cc2cad8df01f4f3d724a085c0b0249c90c5319a01eda94d17c2e96c05e4072fbc56b91f7a5e3</t>
  </si>
  <si>
    <t>800181181-2</t>
  </si>
  <si>
    <t>INVERSIONES VANGUARDIA  INVERVAN SAS</t>
  </si>
  <si>
    <t>ba8478ea56c98c1ce02d1a6237b432d5e4e709871e00038f026db1bf18799de000bd690197eb904c47e8d38fd0b8ab6e</t>
  </si>
  <si>
    <t>890107487-3</t>
  </si>
  <si>
    <t>69c8ac8eedc0aacb170ea59c14d9f624af2b194bea5079a519a7bd51f874a50056425168b904eb9201125c0f2cce2639</t>
  </si>
  <si>
    <t>805004875-6</t>
  </si>
  <si>
    <t>CALZATODO S.A.</t>
  </si>
  <si>
    <t>861e077278af20e6bb2b4c86bf4e218a9316d1fa24ece0d32e27b1f46c395ea6082677c05e34a565615c6c132f0a5c1f</t>
  </si>
  <si>
    <t>800191700-8</t>
  </si>
  <si>
    <t>CUEROS VELEZ SAS</t>
  </si>
  <si>
    <t>dbdabffe8417aaa1ce13a948e4cc631bf4a64a28ffdcc06315ffd865d1094f035edea2ddf61fd488fce362f8e2678ce3</t>
  </si>
  <si>
    <t>901021852-7</t>
  </si>
  <si>
    <t>FREE SAFELA GROUP SAS</t>
  </si>
  <si>
    <t>4cdabc9fe11f7c85e3535ea6f1a55c1d7c37a424bd05a830c9bfa62e3248580452db15fe73a5aea357397ba0671aaac8</t>
  </si>
  <si>
    <t>LOCA 52 CC JARDIN PLAZA</t>
  </si>
  <si>
    <t>4a5ffea6fe45e14e591b69f6abc4ac6888a791d5bfd86ef5dbbe8f4bc669b1faa9cb4909fcf91731d5addefacd35c9a2</t>
  </si>
  <si>
    <t>900769701-0</t>
  </si>
  <si>
    <t>KOAJ</t>
  </si>
  <si>
    <t>c0d2866825883afb0b8b8d38d2a128dbb0c02c25af471ee5402a2feb52ac84087c8e79de33e38cf863a2749a359a2317</t>
  </si>
  <si>
    <t>890901672-5</t>
  </si>
  <si>
    <t>CRYSTAL SAS - PUNTO BLANCO</t>
  </si>
  <si>
    <t>b09187c3487414a3305fa318e046b866dbecaee4ea322bc0ce8074df27089a363eb8d3918841b391184174eadeea24c1</t>
  </si>
  <si>
    <t>809007132-0</t>
  </si>
  <si>
    <t>ROOTT&amp;CO S.A.S NIT. 809.007.132-0</t>
  </si>
  <si>
    <t>3fbd45e0ed0c69d2d976400db5e6e9671ab34b3faced8e69a61b3d07232c2623553a4ba7a617bc6c8060e5788b0de2ac</t>
  </si>
  <si>
    <t>40886ad0478e4dc78cc830c4083a0d681b0eaf30057b8df1031c5884f53b985241ccc89a11afe0471b153cb9341258c3</t>
  </si>
  <si>
    <t>ABELARDO</t>
  </si>
  <si>
    <t>55240194da6ecbc408b58acec8e86e968c92a2d5db52564af56fa718ca0d5494a45084bed6b1516f0d71133fde0ff134</t>
  </si>
  <si>
    <t>901182264-6</t>
  </si>
  <si>
    <t>INDUSTRIAS KAMIPLAST S.A.S</t>
  </si>
  <si>
    <t>004e181b53697ec6a7fed7054f460a3d75b6edbaa7c034da06dbe809c41c18681fc52eb39c8397f7aa343cf296b135ea</t>
  </si>
  <si>
    <t>901289516-8</t>
  </si>
  <si>
    <t>GRUPO CALYF SAS</t>
  </si>
  <si>
    <t>401ce62b20d4bcab6f31148d05815ca6d7f13d6ff2400881086e4d96b9a8b9376f1067408ba3e3f82ff6b01dd03f5552</t>
  </si>
  <si>
    <t>ANIJU SAS</t>
  </si>
  <si>
    <t>a7a2719edad32e6fc5fef5bb513cf7e2e8a7d9a2bf5bb17b5abcb1bcdcd70f030870d5039d0ebcb53857e0c502a57977</t>
  </si>
  <si>
    <t>a15fb745bab773b0522a65c5fc3c3115510791ab24b84daa0892042ad9dbaa145e18357fb937632ff391ffde88fb111e</t>
  </si>
  <si>
    <t>ec70c6b6f3b2dba56deeb129b8f369cd9db6e895b409875f424a1c855fd84d8f331d7b23d26130b7ff40b7f655a21284</t>
  </si>
  <si>
    <t>1febdd2ff3996b742e55ac1f9a43281fac01f1541247a3ed4b78db4ec38ec7a2cb2dfc3ad6dc6bc5f63d49047c76c5e0</t>
  </si>
  <si>
    <t>2cd14ed8defc65885634e592ade6094441057ca15ef60203de4dc46c38feb181ee319f754b61c0e453046bba378c7ff6</t>
  </si>
  <si>
    <t>03ad1821d321bd3df70ca60460c8ed6f8d9f3ec631cdbc59765e9a7d2986d4381296ecc657f5ba425df44ed9a2b5af3c</t>
  </si>
  <si>
    <t>2598df974efa22d439ddb02143b9a6b23667298bd45024971122937ab374d7a628454f3cf102b83ce58b5b6c4edd8571</t>
  </si>
  <si>
    <t>543732e73031bec5dde7f30661b12b09b427baab56f207b96c7e542948d6ac0be4e8f9ec1dad142f7d6f77225a1f6d32</t>
  </si>
  <si>
    <t>4ab3cf42aa02452a6995ca239178ac15157b01c8d0d5563ed6980eb603eec28e1e874e11a8644a7148fb0b2fe4fec3e3</t>
  </si>
  <si>
    <t>CONSTRUCTORA ALIANZA DEL NORTE SAS</t>
  </si>
  <si>
    <t>eeccb7cb0cb53f59a90abdd42d95fb85142bfd0c8f9569f6fbd95e438979707c59406f9bf0e1454cacb9fa338cbe4d75</t>
  </si>
  <si>
    <t>9ebe4ba9baea3e921c09d0ff27b2bbd17a172feca0373469402a76e1ae6ca6b6c4ec006eef6ea4ecba449aa86f9b6934</t>
  </si>
  <si>
    <t>db3b5ab7962e997879f7747d2c2ffef064d691be65da6633f7df2bb666430c9529d216fd938526386eb5bd31a33e0083</t>
  </si>
  <si>
    <t>90f25d5cf742b28a1a04c89ed14d77efb3de049234674276c5efdee4530b741eb0b1bf6afa2bff5a9bfd42928d098e5c</t>
  </si>
  <si>
    <t>272f87afa3aea9912f027cf163cfde939683ea77f0a94bb4cc678553d92eea315f262ad66683e49913410ee2c3ca0bff</t>
  </si>
  <si>
    <t>b54497dfbe5aa068922205db821526f7ce0e402493bd48979a5b5c9c4ca76a9df2dde5e7e6922fda2c26e133a357e405</t>
  </si>
  <si>
    <t>COL INTEGRADO DPTAL BOCONO</t>
  </si>
  <si>
    <t>b1198b840ec835c5fdad310a071c55dd0c50c34e2aa8b8b0f06767693ef473e496282353c9d880d5ce70bae9a86921b0</t>
  </si>
  <si>
    <t>f25b2fd9acb56eb4921aa127da161c3655a385e58b83eefb23919c0187fdd52fc6dc2f0e9ca956beedfa8d5a07438818</t>
  </si>
  <si>
    <t>ESC.GUILLERMO LEON VALENC #76</t>
  </si>
  <si>
    <t>b4c986d25b7b0ec90d63c7e9ab3cc253c45025ecbebb8de47c9ba1078f74e661370d84dfb53a9ecc41ae5e623642b10b</t>
  </si>
  <si>
    <t>ESC URB SAN MATEO N. 26</t>
  </si>
  <si>
    <t>b0890e8b0adb8706c2faed0330de50edca94be7b70d7191c407c14aac145ecfdee0cd2d18b15b0069e72988c3880544e</t>
  </si>
  <si>
    <t>800141098-8</t>
  </si>
  <si>
    <t>POLICIA DE CARRETERAS</t>
  </si>
  <si>
    <t>3cd85bb80add5554ffc60534929e21c7f3e499d52c46225e434927e7db4c7bad16e93b1d2c5209517fc25d5c354b567e</t>
  </si>
  <si>
    <t>899999068-1</t>
  </si>
  <si>
    <t>EMPRESA COLOMBIANA DE PETROLEO</t>
  </si>
  <si>
    <t>4081884f4247cc8348d4ce363fb0759a8bd62062e1ed4ccb4f27dc61dc4bbe28c2dd575f81a51226e2526b5233bf252e</t>
  </si>
  <si>
    <t>8f0785645a96c2b17a8525f152f2266d71efbf606dc76732c9a42b5e3b04f21a4efd85112243cd785768989d0b27b322</t>
  </si>
  <si>
    <t>1193c65ca8d090296f8b4e751797253cf591a8b540e1050321a9ecd7303113a609eedd2050c69c8efaf71fe676324fcf</t>
  </si>
  <si>
    <t>GIMNASIO DOMINGO SAVIO SAS</t>
  </si>
  <si>
    <t>RIVIERA</t>
  </si>
  <si>
    <t>b3b762707e064c9ebb49910bd515c1eea0930854772febcacd5bec0e6b1a218977b7a43d321cb3c7e49be6269adea147</t>
  </si>
  <si>
    <t>GABRIEL CIFUENTES</t>
  </si>
  <si>
    <t>f7ccee9ec11df2936017cf8f172df1b23979d37b734529531fcf7cfe0df0b65e1b3b920b5aaefc88e87a6d94de556ac0</t>
  </si>
  <si>
    <t>1f925eb513dadefa27fc6aa982bf195aa19223b1cfa7911c58cb3dd7ca92b416561a728e4e851433c9ab55365de1c7d9</t>
  </si>
  <si>
    <t>899999239-2</t>
  </si>
  <si>
    <t>INSTITUTO COLOMBIANO DE BIENESTAR FAMILIAR</t>
  </si>
  <si>
    <t>9f391a9e62b859bf43e15123b500d7b3c49f96be2f334ee7683a2c433a2fafbcfa23029286c37ca355af84a1863bd02b</t>
  </si>
  <si>
    <t>aef869af0c82139db7da56bff0b283af7c5993a211e8ece501e4044d9099e956fc197a284426089f39802e98b0241b9a</t>
  </si>
  <si>
    <t>a63b6629b5bfb707b6856315ae76524160417112b0a700f40ca1d89e4b5e4823a95ebe725362285223fc382eb386000d</t>
  </si>
  <si>
    <t>800164908-8</t>
  </si>
  <si>
    <t>IGLESIA CENTRO CRISTIANO</t>
  </si>
  <si>
    <t>8b5115cc274d301766144bd7b0f458074acedb8cae5a10561b22ad85c0f9369dad5df9e624f57f1a62bacc9a8cba1df5</t>
  </si>
  <si>
    <t>FERNANDO LONDOÑO</t>
  </si>
  <si>
    <t>LA CEIBA</t>
  </si>
  <si>
    <t>e8a671c8e6a7d08de1d4c5c7f75eae917744576144dbbd84ea7fee255ae6f45af5605d7f631b2cc38816c75a406900ae</t>
  </si>
  <si>
    <t>860008010-0</t>
  </si>
  <si>
    <t>SOCIEDAD SALESIANA CUCUTA</t>
  </si>
  <si>
    <t>e403e9a81e2e50e29072e1984394bc873663dc587de072440b8a4c597743bfaf913df2181989f2ea8a9340a0fde31cb3</t>
  </si>
  <si>
    <t>DURAN TORRES LUIS E</t>
  </si>
  <si>
    <t>ab584ade9bf030d3fa20dfecab355a1dce142b5a81a7d9eedd65ac5f00bcb81cad0533910573210227e410a8b448d2c8</t>
  </si>
  <si>
    <t>807004151-1</t>
  </si>
  <si>
    <t>CANCHA MANINO ESCOBAR</t>
  </si>
  <si>
    <t>5e125d53d44af8679757df1ece628cf27c9407a408c040716c9279ff94bf711305cf07b08e2d843a0ac6f3c556c01ffe</t>
  </si>
  <si>
    <t>CENTRO CULTURAL MUNICIPAL</t>
  </si>
  <si>
    <t>1b1a827f4f8bb1d83b3e03a678031bf1552c06fe3ff5abd67b456a3e36e88c30f39f743775e7419ec3e462c298dd20e2</t>
  </si>
  <si>
    <t>800242106-2</t>
  </si>
  <si>
    <t>SODIMAC COLOMBIA S.A.</t>
  </si>
  <si>
    <t>b3517661eb91754ccf6fdb3866013b949138225225ed21560e62a7b15cbb0d1e589df4fc62417266efc95b2de53f04e3</t>
  </si>
  <si>
    <t>800012189-7</t>
  </si>
  <si>
    <t>CLINICA SAN JOSE</t>
  </si>
  <si>
    <t>6c4fe828d7a4c84ed6b819ad7336c1bed612b1b95d488cde9e576bacaf11a0e0f2201ad573396655a24999f973ed0171</t>
  </si>
  <si>
    <t>812b9798c215c099d391d2fbd7e22fb8b237b8a3d1343819e2b88a40e630b783e8cb6484e409bfbd3de0fa04bd5789e1</t>
  </si>
  <si>
    <t>a2dabae028655406dc584e426137f3c0907aa0f6632f274d563020f9d4f906f836ed9b55f010e11fde78be5b4fabbf7e</t>
  </si>
  <si>
    <t>b5d92c1a4e946e452625a20cc46816261861d4272772ca587869205f338f126a39d1cd0d48e6e8edab7941101b3691f7</t>
  </si>
  <si>
    <t>90b85987df6d4a1dd1b94bec5d1045c36cbf56a6343864bede43b0946adef32e981744fd861534d650519b0d17c5db45</t>
  </si>
  <si>
    <t>ccf1ac5858023e87320f0fae57869a12c2bce097560cf9261efa8a60f4f3b0b85ebf3b1160f7b1a3bd866f0404b45d12</t>
  </si>
  <si>
    <t>91a5c2e3f3e6345f16ff43625d5d5d639440e1faf530bd0bb0526f0fee977d2f97a3ef7c2f6c66a583f7d5045c9389ce</t>
  </si>
  <si>
    <t>807004061-5</t>
  </si>
  <si>
    <t>CONDOMINIO EDIFICIO AGOYAN NIT. 807.004.061-5</t>
  </si>
  <si>
    <t>4d79986755b4276198f3a033518e8f5b5141f31637dcba5d9024798a3c638ff566ced0adedc080728b17de508e88086a</t>
  </si>
  <si>
    <t>JOAQUIN AMADO GUTIERREZ</t>
  </si>
  <si>
    <t>da2b9a2caaf51613fa1abe9e41db3b65c0742c3903f042c55deb32f32d8edcdf01184b9495a7bb345da1d4ad0084ed5a</t>
  </si>
  <si>
    <t>e7560c9ee432fe16811aae529ba8730a5e2af70ee7497bdb58ae4d7eda3f90d1182ed6be93edb5484d9bd9d772bc6fbf</t>
  </si>
  <si>
    <t>40a8b530c74fd322067bdd50c83cdcbe65a07c4f6e0505472b9ab365734885e32e3fc4e39c26b39e7f9644473c1c9ad2</t>
  </si>
  <si>
    <t>PUENTE BARCO</t>
  </si>
  <si>
    <t>d977b1ba50bf81d0e77a3968a94f24fa375466e2494acb76e84bc46612fd9e56d731441a3eda9617308fa4cfeeb449ff</t>
  </si>
  <si>
    <t>890506434-5</t>
  </si>
  <si>
    <t>HOGAR INFANTIL POUSEPIN</t>
  </si>
  <si>
    <t>a06e9a61e087cfc064c629b954478878a802cba74322d0d0ff0b7cde36f86c6998a64b78efbbe92923d3f89f382b2592</t>
  </si>
  <si>
    <t>b2910d438bbfdf0c1b4506fbe67b3cf214be98a55769e3770d2ba5123d6596365192af086a0368f898b79c9a62665a5b</t>
  </si>
  <si>
    <t>900039533-8</t>
  </si>
  <si>
    <t>DEPARTAMENTO ADMINISTRATIVO PRA PROSPERI</t>
  </si>
  <si>
    <t>69f8c0a72de52f6f2e984225e8fcb7ec80a88b45e9308b54f53f81eeb8a0e108637007da58243b390bf7b914c6acd898</t>
  </si>
  <si>
    <t>DASACUT (SECREATRIA DE SALUD MUNICIPAL)</t>
  </si>
  <si>
    <t>5501070272d755091bf465cad10a6e7b32a0d0f4b27adaf6ac5c03e3a6e2858552f7d5efffe73282211a4c4294b5d7d6</t>
  </si>
  <si>
    <t>4378450833f52bde3214bd9e0ddca65b69b4bad8e25fded8c6d6549aa174a56fca0c064c23c9794f7ab93673b75b3e1d</t>
  </si>
  <si>
    <t>ANTONIO JOSE RODRIGUEZ R.</t>
  </si>
  <si>
    <t>1f1bb0733dd7ef4664416477579b52d70a459f52c80efc1bb87a698a98ff6801f902724fbdddaa463d178ebb8c0e79ef</t>
  </si>
  <si>
    <t>8e653160ad1abcd2e3794ec64cd96ada13963df0d16c304d1f1ffee2922daa894ec8c3546f86710e80b7df672457d88b</t>
  </si>
  <si>
    <t>4d2cfb8615c090fbfd373806ead40ff94c8d0f4699b01657c1f1b582510b3ba91741c439878e0622fc79f778fd59895b</t>
  </si>
  <si>
    <t>41e0f460e55272c04fd8165257bb43a950cf1754c7c57abd5b1285cbf4489aee7a021c8395ab22393494b050ea5559c5</t>
  </si>
  <si>
    <t>1c4f1c2b024e60e1c8dea911fed2ee82ca537a2b14fdb1cbe78d5b094cd5601f78963d0e3ba88ec105d976a19308b12d</t>
  </si>
  <si>
    <t>INSTITUTO DE FORMACION TECNICA SISTEMATIZADO</t>
  </si>
  <si>
    <t>42868d93cc52915de7ad9d7ad781f7be79ac572f4a4a5273152e638a05f6528a8cce656b6277dbec04f1a50f9b6b1f69</t>
  </si>
  <si>
    <t>INVERSIONES OSPEÑA SAS</t>
  </si>
  <si>
    <t>d84509935f32469ed5fe0c0c23c7043460f3b5eae5d9e6ee2cc4f272cf024ff456d0c968854d62038d266aeb27b0ad4e</t>
  </si>
  <si>
    <t>d4def78a2894175caf7bfef67998eacbba151cec019370db7b1c8fc2a9935b13b28e2917a3a8b17c8cfc38b191c5b4b6</t>
  </si>
  <si>
    <t>ad47a04fd78d7dc45637010a0df8c79ab5e93ddc64fa902a88011cae842b8717b42e4a255b934affc15cda613807c5ae</t>
  </si>
  <si>
    <t>PRA. CENTRO INTERNACIONAL</t>
  </si>
  <si>
    <t>a7b7584e9ba055cbf7110a364618c7b7df25a665c37c5fa5c4caf22b4af7462429abaa02c2e7938392e49ce9c9f01cee</t>
  </si>
  <si>
    <t>901890482-2</t>
  </si>
  <si>
    <t>OPERADORA LCM S.A.S.4</t>
  </si>
  <si>
    <t>ed9c609fd4fba53cd3fdb09434be34a60289f43b2ae773b7065fc8f810814ea0ab65440c0a6462746521c30aa4b08be3</t>
  </si>
  <si>
    <t>c9acb6e746eb81c9516ac713409fa8c2d484dc32630df319f3e20e817f4c3c875e1a039999b876e27624af644787fa48</t>
  </si>
  <si>
    <t>2d79df200ed62ff14d3e0f5b27ae9e354f39cbda320bd9fceff57fb9d6f6eea7c71129bc31c26e1ecd4c967556f22df0</t>
  </si>
  <si>
    <t>901427227-7</t>
  </si>
  <si>
    <t>MIC/MIRCO UNION INVERCIONES SAS</t>
  </si>
  <si>
    <t>dde40be8f52d9347ea2568a494076834c6e9ada90c4fe97c7fd410af7e65010836128f31da796f7553cc5b986d0b81af</t>
  </si>
  <si>
    <t>5bf1fe073dd8820db5abe631375290f9a5e327341ac51a36009c12e7c8ddd6ee03506cfc472a97d5d05840f99dad628e</t>
  </si>
  <si>
    <t>3056f92655af66286de8aa3cef449d818097678df8b0c12dd1de93d722ea4ca53c84218a2a3211785be2e6829b26d4e5</t>
  </si>
  <si>
    <t>a5e159afc9642bc01e6bd17a4a1d2e9ad8a54af55171f114b28871c33ddc1bea46c840643b850386893edc4b3223e4f4</t>
  </si>
  <si>
    <t>SUPERTEX SA - ARENA</t>
  </si>
  <si>
    <t>f20f386407f1e262be94fcf0bdf318a34919deda460ca79a8cf1b0a7603c563776e767c4d537f42a36363725f90d7258</t>
  </si>
  <si>
    <t>900365205-4</t>
  </si>
  <si>
    <t>PROSALON DISTRIBUCIONES SAS - CROMANTIC</t>
  </si>
  <si>
    <t>fadd57340aaa8274a7f472879b80fe7954880c7e84bfd5ee33d13cd4ac267d4f85843981c5ceb54f222a09010a291c30</t>
  </si>
  <si>
    <t>f361356fb61c0ee317f8babc3a91c3aad8f02036688de3d30a216ecced21777a459c9e9cd803e0c09e2b5d24c883b67a</t>
  </si>
  <si>
    <t>6d74ba17df3e0dc2369e82fa496327a3078f9cd48ef64e6665cdfb725803d5edecd3ed33dd000c8fc960631f176f8781</t>
  </si>
  <si>
    <t>90887b699f5ff8a3de8f32bf4c5917231cad1d6598dc28e264f51b9f59bc628f56b90b0dab73c9d093b3975eb0925eac</t>
  </si>
  <si>
    <t>JUNTA BENEFICENCIA-T. ZULIMA</t>
  </si>
  <si>
    <t>45ac2ae21e796a27f0501555b540f3ad039280962e28e9476d460f023706a0e5b01caef787d9b9c51bc29e6828eb82e6</t>
  </si>
  <si>
    <t>CENTRO COMERCIAL EL PALACIO</t>
  </si>
  <si>
    <t>45ba487c05eab7432953d1555289ad2db72c5bc17ee03826e83d87a04ffa2be93133b2cf3caf3ab16269f33d59684645</t>
  </si>
  <si>
    <t>0457cbdc69c5c61e39080b93daf480bbf2a478907425216052d53880d6849a65fbccdd784fc617adae597c0860e90fb0</t>
  </si>
  <si>
    <t>1e8fb3360f67adf7a2f513422a4133a42faf7c81e7f2bbff6b640abb46fb96c97d7687d12f01b82590d9b49c2d921c47</t>
  </si>
  <si>
    <t>INVERSIONES MULTIPLE Y CIA LTDA</t>
  </si>
  <si>
    <t>6af53f53a8b5bae27ac7da3ee10e78fcb173800977af235c793eaf5033f5914547f4d81452d25cce4d4d80ce6d7313ae</t>
  </si>
  <si>
    <t>aaa64b8cb9935af2f39c58877bbabb7d14c90b2733cdfac78966ae7c41a3e17145cfa476d7543601aae5d944dc0ebb7d</t>
  </si>
  <si>
    <t>SAN JOSE</t>
  </si>
  <si>
    <t>ab2b9a4b829f7abc763a7c303cdb58dd09b57116c3c46dddf3d0bf6d0e262df8f4e7c19bdfe00e69dbf8fbe68812e8f3</t>
  </si>
  <si>
    <t>7ff92d588c4e9df20fb86553560b8d5b534b30467d7b8feff29f5075ee7b6d3892bcea71f79dc584e2fd34b8e87070cf</t>
  </si>
  <si>
    <t>SURTITEX S.A</t>
  </si>
  <si>
    <t>13625a84a233c6a2b71d552ee7fc7d55797a1e2fc1d5fa90c43450b9ff9163a3398e61d44136747101dc0a4c906cd3c4</t>
  </si>
  <si>
    <t>LA CHURRERIA</t>
  </si>
  <si>
    <t>ba72d56612146c61ccc4895eeb8d9996a6adb74408516950c8e45ed51a29f29fcabddc8ea5fa47c3b7770d165dc2d784</t>
  </si>
  <si>
    <t>901286743-1</t>
  </si>
  <si>
    <t>MASTER SERIES SAS</t>
  </si>
  <si>
    <t>a7f0461c465721003682119a2135872512ceb518e1e9e8646e85d342ec11a97d2b867ea19882e8a2512001838ede94ce</t>
  </si>
  <si>
    <t>7a4677524909270bb5dbc35562d00dc5a8b79ad13584185e07c5e815d685e3b7c8a9f3b86b66dc9fd09bf7701165c022</t>
  </si>
  <si>
    <t>41c20c20ad8cb3cac888cda52a6bcc633dc0cfe46069530473447cc8d722772037ac20967116ee3ccd375b79a87a4c7a</t>
  </si>
  <si>
    <t>GM UNIPLAS S.A.S</t>
  </si>
  <si>
    <t>2ba50f5f79534f59e59815fb94199b76621850a9c2fdf2bc57fca10e31a45a4f1d72b9f29dadc4c3cdb3a74d36e32b42</t>
  </si>
  <si>
    <t>28afe59e59e379428c62f826de1ec8a7afa05381fb797e5bb85a84873de6a22628545129b58bbbb1d639f52a348a7f9e</t>
  </si>
  <si>
    <t>890501510-4</t>
  </si>
  <si>
    <t>UNIVERSIDAD DE PAMPLONA FACULTAD DE COMU</t>
  </si>
  <si>
    <t>3a4f8adc3793fc07b4bceecdfb89b921c34fe8c6d7fa40f12c26295cf8cfd29c960d0681eb171708920482bc716164d0</t>
  </si>
  <si>
    <t>152d12aa473c8180df031f0f9b381439d548159389024ddc9af45a1b47b18e21e76b082a6d3bc44811f970bd939a4a1a</t>
  </si>
  <si>
    <t>ENCHOLADOS FRUTAS Y RASPADOS</t>
  </si>
  <si>
    <t>54b348ab7f41fbd7fb45c0243adcd1ca693829598850ad70c32aee83136a39ab535f8ee1e7d8712b28bf602f817d7991</t>
  </si>
  <si>
    <t>900990465-2</t>
  </si>
  <si>
    <t>FSS PLAZA JARDIN CUCUTA (MAC COSMETICOS)</t>
  </si>
  <si>
    <t>013ec3db25c461bc1e1594baf16a753114b3bbc362daaff04b34b9dbf7e39e4348eee18d6c2efa62436f008dbeebbf5b</t>
  </si>
  <si>
    <t>901621993-1</t>
  </si>
  <si>
    <t>FUEZZA INVERSIONES S.A.S</t>
  </si>
  <si>
    <t>924fc0c6f392d68c7a1a69bb23e9d7134a55fe9b47c17975b6757347c6802582f7859862a5465bb3207b7cb027e12460</t>
  </si>
  <si>
    <t>CARBONES LA CRISTALINA SAS</t>
  </si>
  <si>
    <t>f68bc13f4b214c9dde3163255e98c06d4790faf563a29e66d294a7f017445add15d47d98d507eb5b18c6d2f718519b0f</t>
  </si>
  <si>
    <t>900924527-1</t>
  </si>
  <si>
    <t>H&amp;M HENNES &amp; MAURITZ COLOMBIA SAS</t>
  </si>
  <si>
    <t>e0bab47900b8f70bb75a2fc680a41c6a643ab7d897d521797d49d18484582d5ac1e217d16b55ad695b9c95d5ab7d0921</t>
  </si>
  <si>
    <t>INVICTA - KRONOTIME</t>
  </si>
  <si>
    <t>18c389e0540d7ed10ca61c2005689f95c03e16b61b4690340c844be180b4c1cddb06ddf1b52ca718dbae097a4fa13f0e</t>
  </si>
  <si>
    <t>830055643-3</t>
  </si>
  <si>
    <t>CINEMARK COLOMBIA S.A.S</t>
  </si>
  <si>
    <t>a5b8a806d13c4bb16374f581ece2b394fa09770503beab8215c1ed598164cdfe0882c7eb3ac3e89f72561286a78f3700</t>
  </si>
  <si>
    <t>901323679-5</t>
  </si>
  <si>
    <t>AEROPOSTAL (JL FASHION CLUB COLOMBIA)</t>
  </si>
  <si>
    <t>33e62afea6131a3b364194b90d206833830c3397e183b8e16c11b81ae5e954051e7fab2c7f365e813f24ccda95f77819</t>
  </si>
  <si>
    <t>890801339-8</t>
  </si>
  <si>
    <t>TIENDA BATA RED SILVER CUCUTA 6</t>
  </si>
  <si>
    <t>35679f92cf2dbc491b1fb36885db37972c899bb9dcb98aed2dcea2de2eb36b9617c0b7f0d5ad59b9773e5fdcaa1db4d8</t>
  </si>
  <si>
    <t>3a65b6963db6de0e125cdc6255c3a73cd0f366d212e6eba2b28e6ee3ed1e8cb2729eb46dacf67cce01af0e48469297d8</t>
  </si>
  <si>
    <t>08034d5a88f163d6a78f8f9f1094bba70e504550486688f3b317be3dbaf43b0fb390dfba5bb10dcb4076927b2651c0a4</t>
  </si>
  <si>
    <t>169831e930120e3efcccf54dd9d63f4d61946db39557a935ef8a23b7e65699dcdae7a2e903b78ca7f080965f18df48fd</t>
  </si>
  <si>
    <t>900476207-5</t>
  </si>
  <si>
    <t>UNION EUROPEA (HUGO BOSS)</t>
  </si>
  <si>
    <t>99c48794f10e86cf0da66effb562d9c3c720787ee58f8d3fad3540843b9941a3def7738a6fb4e3a53d29bf9c30c75d8a</t>
  </si>
  <si>
    <t>c27fb201968ebec9414e8fa23fd96eebb9137f0b4b855955b229d37a8478cff881877a7b8bd26270eefe39afa4ee052c</t>
  </si>
  <si>
    <t>ARCOS DORADOS COLOMBIA SAS</t>
  </si>
  <si>
    <t>b7827f7b1b6af2468ce96f714cd9f197b0c4e4296bfd2b2279ac5e4f5eb7b14119f37de94a2f070d6cd6a4e6c731d1e6</t>
  </si>
  <si>
    <t>900708883-1</t>
  </si>
  <si>
    <t>VIVELL S.A.S</t>
  </si>
  <si>
    <t>bc5efa0bcb91e17b6ea9feca24d06f4f58f3160ab3ed4e0a2a6b30e0c27829296921d2fd66fd50e9ea48ae7fd8087aae</t>
  </si>
  <si>
    <t>FRISBY S.A. BIC</t>
  </si>
  <si>
    <t>8f6e86d33dbbd44c21cb3962e3fca4e5218d4e586ef9938bb0342ef3a8411e861c2b898e8772e7cff990407517248e05</t>
  </si>
  <si>
    <t>398b7c4bc969761056eedf1ba98908f5e92e5f0bf836ffac1c70fa88de8729a5b4c9c07e5ed6a03d1fee2e70bacbabfa</t>
  </si>
  <si>
    <t>9cca2c485b9d0e5647b13d56d458fb85e943f5cfa1f921e6a5baa21c2e715d9baff39a22af2a23ca949dd2ba3dee6f7f</t>
  </si>
  <si>
    <t>ad2ad65d11072d6956b4efbc67a1d773c4a0f73ea745884d8e2c37422345e4360002d77d7d4a4a339d74080ad9bbbcd9</t>
  </si>
  <si>
    <t>900197743-4</t>
  </si>
  <si>
    <t>ALIADOS EN SALUD S.A</t>
  </si>
  <si>
    <t>df316bdbe306524a73e4b0945d072261828c90f37f57f6663d7d2c3d5b5a55dcad7f1c489f0d6f99130ff0e0b5435191</t>
  </si>
  <si>
    <t>3d0d681b09533063876a5f477de6459c7d5982f95d4e76a39b74e0f198fd453541c6608f082485f20fa8fffbfd05e212</t>
  </si>
  <si>
    <t>900232107-1</t>
  </si>
  <si>
    <t>PISOS Y GRES S.A.S</t>
  </si>
  <si>
    <t>d2d32dd1a7cdc670e4d208f0fdfc2ef83c4631826a1e29c68c7da09f62ab168ef7ffe6243b43edf8b8745414568eea6e</t>
  </si>
  <si>
    <t>bf3825f91fcfa656c17d0a3bcaab58ad6fd7aa490f1b3fc539a1291acf205f5c60a0b269462613af86370c4d9b36c0e6</t>
  </si>
  <si>
    <t>d030d569d8dde524183b46bba9149ff431571d1609cab96b95674fbe35402e70513e4cb4420afd5b477d108160d6cc9c</t>
  </si>
  <si>
    <t>CROYDON COLOMBIA S.A.</t>
  </si>
  <si>
    <t>4bc0d1a74a7db8706a9519e7a57cfbadbfa4a5f5d681578eed8b078b2bc44a8457c12b48c2fd30b4116f7203e40709ab</t>
  </si>
  <si>
    <t>800232549-9</t>
  </si>
  <si>
    <t>CITY PARK S.A.S NIT. 800.232.549-9</t>
  </si>
  <si>
    <t>291b6b798ea2fefb23752c3acb6cf20801af81567ef601c55465cf6aca66dfc2aef56f5a20a3780538d9507743e38ca9</t>
  </si>
  <si>
    <t>3eb5f6b222422176512a1645987c9e3bcd78df9d9f0d05e3d27b411c87981038a4466433bb775caf664b3841afb08998</t>
  </si>
  <si>
    <t>fd9961d7784e0893e79a898c481440ae4217d31b572b6e6585e1f4f8fca9b46b579d24725280180d5e759fad63df9917</t>
  </si>
  <si>
    <t>901113062-0</t>
  </si>
  <si>
    <t>GRUPO INALKEN SAS</t>
  </si>
  <si>
    <t>4fd7cd78587848f2d73fdf14dbd7db732d24d190a0439913d3f364f9b5ba1353ce0d23c9dd266b81fa494f7e30bcbc8e</t>
  </si>
  <si>
    <t>418973b128acfcee4b84e0a26e30cf5297e76ffe5900571b5e3546045ac293b17c7bc45e40943c515c1ddf601beafa93</t>
  </si>
  <si>
    <t>3b71c9130e8558da927f6a8759012a68bedc2cccdfe5b8447f768bf95af26d04148d47475f9de0d75e12f3d34b4371d5</t>
  </si>
  <si>
    <t>900470642-9</t>
  </si>
  <si>
    <t>CLINICA MEDICAL DUARTE ZF S.A.S NIT. 900.470.642-9</t>
  </si>
  <si>
    <t>fd070e88ef7ad29366939ba16066053df9ef20b87638b679b920ff275b63f8db1216c207fef873cde4bf981dc881783e</t>
  </si>
  <si>
    <t>4adced11ec73bf3295a6f6343c457682f05c2025385fdda683f9cda82f909f5744eee3dc8352e0caa901e27bca950a60</t>
  </si>
  <si>
    <t>M.DE VILLAVALERO</t>
  </si>
  <si>
    <t>236738b116f7cfc87d80063806a28bb2dcaef80ab2cd452e7083cba5711172966aa42bf8dced13d274676627c73da39f</t>
  </si>
  <si>
    <t>ee26cee8dffa2d9de93728994f30ffc543483a5675cee3779a224859cf895ac616114b75fa60bc49fde48a6b1a004d63</t>
  </si>
  <si>
    <t>f37b7de1528a757d1f868b557ecf65aefa38292284aafa8b9f7a75d8426d64fe5647aa01c1df19830e43fa84acc25402</t>
  </si>
  <si>
    <t>83bc9ec2c5e014df9c333de69ea1abdec1575b29d2a2feb8b706c44753ef4f3f51610ef526e277c733b9a725bc45e468</t>
  </si>
  <si>
    <t>8888b92be96bcb48fc5c3af1a0bae8fbb057ee27ca5fc03c96a7874845ae929787766e0bccd63ef547d1a953c5013798</t>
  </si>
  <si>
    <t>CASE SHOP ACCESORIOS</t>
  </si>
  <si>
    <t>54269a78ccae70edb9e40e4272274618d9e2ef118f53dd03aba9007e2f593437563916858fdb6e565e6bfc91f3b0a4de</t>
  </si>
  <si>
    <t>900669527-6</t>
  </si>
  <si>
    <t>ALIANZA EMPRENDEDORA V&amp;C S.A.S. - QBANO</t>
  </si>
  <si>
    <t>7886afd134ee7f8b8b7983b3fe2a47efa22806ebf4b699bf754ee1feba058c3b5790a22d6c464207c4c46a925ba43e36</t>
  </si>
  <si>
    <t>1193213086-1</t>
  </si>
  <si>
    <t>MARIA FERNANDA</t>
  </si>
  <si>
    <t>2211ec1c47efe5b9f33c6cf61957dda7bcede59774435a7a211a12ffc4f2e4373fffd9b9fa162d48bc96f1f5076a4822</t>
  </si>
  <si>
    <t>900448762-2</t>
  </si>
  <si>
    <t>HEALTH COMPANY INT. S.A.S NIT. 900.448.762-2</t>
  </si>
  <si>
    <t>1082ec43db9a1759852c49d8af5751ed41fdbc088298e3114a6e5cef65ba0867ea29f4c25f0384912caee2557eab76e7</t>
  </si>
  <si>
    <t>JIREH GOLDEN DREAMS S.A.S NIT. 901.259.029-4</t>
  </si>
  <si>
    <t>6ce384c30d876c153d8f450f04f710508beeb70ea54e27b5530746d4be3874816227073ba5d15c03243252c05d1cab29</t>
  </si>
  <si>
    <t>900311581-7</t>
  </si>
  <si>
    <t>MAC CENTER</t>
  </si>
  <si>
    <t>7664b18b1faff7fe8217214706b4450e5a8a60c8057ccdefdb56da7897f0e0545f9317effcd7b9414da198a2d39fadf2</t>
  </si>
  <si>
    <t>NAPPA</t>
  </si>
  <si>
    <t>b3d67ecbd338e8ef9385dc1ba485af605fdf3e28e8071b5fc71cb7c80b9517078024a16a32e49a275dc7f273b987b31b</t>
  </si>
  <si>
    <t>6036895-6</t>
  </si>
  <si>
    <t>PUBLIC HOUSE</t>
  </si>
  <si>
    <t>0272320a604d0523137a06c2cca8f22213ae3156c9010c1baf1ddacb57de71fac2e8f0e7cace207964463e99e9a1bbb4</t>
  </si>
  <si>
    <t>18f29fee8f872e0f6ecdbddf6d85e75b1080ca5f7f7fbe9ed744ad0bd3e5c499d36439405a4b6f86559767d8af9097d3</t>
  </si>
  <si>
    <t>COMERCIAL MIGUEL ANTONIO</t>
  </si>
  <si>
    <t>5f7f6527fd3b690534f575bef3e4ef8d2af51462e12c3681ae547cd3c79635c286bd7f39b6f7b714bab3928045688e57</t>
  </si>
  <si>
    <t>LONDEROS</t>
  </si>
  <si>
    <t>2b32da4f4d4dd1b5a48775d7de5f7ae9a9d696db15e72ad48917feb2335c98ccffbfcea408e13d2bdfdc4a335201fa28</t>
  </si>
  <si>
    <t>VILLAMARIN RAYNAUD MARIA CAMILA (CHURRASQUERIA JARDIN PLAZA)</t>
  </si>
  <si>
    <t>10485a6953f2e23b79fbeee2c67ff8c70712b69fa57e3d2c50085f2339b73b28692668400b0e9805c22f2bc330c14a71</t>
  </si>
  <si>
    <t>71f7d967f6821962d25908796a9b5b76bfadf21a1403ed8e1b2b2ac4ca48b8e39a612c7789d413d0c6fa0a77b8c0103a</t>
  </si>
  <si>
    <t>CRYSTAL SAS - GEF BF</t>
  </si>
  <si>
    <t>88c65bdc9edeb8ad5281b19d71088d50d942e90170fe52082c3884c70fed209f7e6f6beb3612352adf48cf21cec6a4a4</t>
  </si>
  <si>
    <t>SUBWAY</t>
  </si>
  <si>
    <t>ae4d1e098b26baab7af0afa8a8329f6db7cd0f57089b7a247084dfc5a2edfc883f146cd2a2fceded4cb9055389e0d865</t>
  </si>
  <si>
    <t>FRISBY S.A</t>
  </si>
  <si>
    <t>056e0d646dd3d44797eec351e18e153ed38f6d58a15e7e1916ff34d0a5d69e990eea0c7ac8c73dada188a4587c62b9f7</t>
  </si>
  <si>
    <t>901430607-3</t>
  </si>
  <si>
    <t>NRS GROUP S.A.S.</t>
  </si>
  <si>
    <t>ee4ddbbbc9145e47126dededf5729977fa7e4e5fb7a2ac20d248e1142f2704971dd3e9de9ea52010855e3cce2719b605</t>
  </si>
  <si>
    <t>SAFELA GROUP SAS - LAURA V</t>
  </si>
  <si>
    <t>96e7f87b9a79d0732e031baffca4bdde6e9b50ef3046c16e9577a2d874360715a45751f61ed4eae472962923e1ba5d98</t>
  </si>
  <si>
    <t>POPSY</t>
  </si>
  <si>
    <t>1c63d5e5e260fcb7fdc0b2be62e703274ced066a32d29b1316252b1507028f1f54a109d01cd3f022d8089515477b23a8</t>
  </si>
  <si>
    <t>675e3943bbf31bef6009013c81f2a2706e0943d36ae374d70b406f555e13fc41f2840d520236e87cc099024bf2cd81e1</t>
  </si>
  <si>
    <t>c8e3e8fff1b7fbd5e6c46238ac22395b0bd7bbf6723e1b1e72273af6abe2127b3ee84a503388a80804589046a8c4f713</t>
  </si>
  <si>
    <t>GRAMALOTE</t>
  </si>
  <si>
    <t>VILLA DEL ROSARIO MPO</t>
  </si>
  <si>
    <t>VILLA DEL ROSARIO DIRECTA</t>
  </si>
  <si>
    <t>1034 - CICL FACT DIRECTA VILLA (54)</t>
  </si>
  <si>
    <t>9fce689cef78a96b2ffc7a76c8a22b91c946e616680384bdd868b99aa6698b342c5bbe10c4de990eaae0233c9cca7434</t>
  </si>
  <si>
    <t>FISCALIA - PALACIO NACIONAL</t>
  </si>
  <si>
    <t>LOMITAS</t>
  </si>
  <si>
    <t>e51bf6ae8884ca7af0dc1c068922e521f68b114a8e6c8d656f05188881c4f71902558059681b91bb7752ffc289269d0c</t>
  </si>
  <si>
    <t>GRUPO COMERCIAL AK S.A.S</t>
  </si>
  <si>
    <t>VILLA ANTIGUA</t>
  </si>
  <si>
    <t>47bf664b05cbb97b2bda7ee12cf34638c1ea27f8d69145160857c183f1346bef73708317b6713829d78b2e047d324cbc</t>
  </si>
  <si>
    <t>804004553-6</t>
  </si>
  <si>
    <t>MAYORAUTOS S.A.S</t>
  </si>
  <si>
    <t>0a6d46dd653e59d9027bfa4474c3f33bc65135d43a9c0baaf4f93f54e25f7b16f903ad1004b367ed05a9e2596a065c79</t>
  </si>
  <si>
    <t>VILLA DEL ROSARIO</t>
  </si>
  <si>
    <t>12c6fc6ddae1ddb762db70ee7f11560a7f54c373c2eea75d25aa543f2ebfd2d6915907613b1f3ddda38f459764a3d5ae</t>
  </si>
  <si>
    <t>e7da2fd77dfe690a5718e4255c22c89a0e835f9b0e2eabec3852d06c92785d79b848ce15708ef88f2e0aac7fcea73c68</t>
  </si>
  <si>
    <t>e3280cc0f6f0db523cc006f2a0b6ced76d0d33407cd8baa51e5fde3200959027cca8e2b65ff1c7827b944f0bde24665a</t>
  </si>
  <si>
    <t>JUAN GABRIEL BACA LOPEZ</t>
  </si>
  <si>
    <t>CRL PORTAL DE SAN NICOLAS</t>
  </si>
  <si>
    <t>ESTRATO 2</t>
  </si>
  <si>
    <t>bc29ac8c1b0fef5c1e9455a68056f83552ff4f15b189e32333fab20379397c7d86436bfc45a17ae6233bcfa376628233</t>
  </si>
  <si>
    <t>03df399070fd2cb8a0e55f19882301c6adc4adda59f992b780652c43f71769e7f94c93a84d5e13c5d43d075012a6325e</t>
  </si>
  <si>
    <t>ESPERANZA</t>
  </si>
  <si>
    <t>a3a11b461f73fad5959ac11817445cfbe167c372bd86293e72df9f4b51aac18b9acfe2f5486446290c1255196042f3a0</t>
  </si>
  <si>
    <t>A.ALMEIDA</t>
  </si>
  <si>
    <t>CORREG LA PARADA</t>
  </si>
  <si>
    <t>ASEO INTEGRAL NO PUERT A PUERT</t>
  </si>
  <si>
    <t>67c07017c32e15bf2b6e42ed09c49589b79f77376936240607bf30aec90e10641427b339c9848a661d8de8a09b61a7d0</t>
  </si>
  <si>
    <t>LA PALMITA</t>
  </si>
  <si>
    <t>47e5dab236c046c4ba29be2ed34499b1fa77450bbd45e76b40156049f55f7475f2ee31d675feb56b56a8d84546161457</t>
  </si>
  <si>
    <t>28f5dd10a7bcdde8269a461283072089e67e5e7e796c339b0147a4f19984653a72848dace9b62e4b1110975bea53044b</t>
  </si>
  <si>
    <t>UNIVERSIDAD DE PAMPLONA</t>
  </si>
  <si>
    <t>6d6db7825694d6edd50b2c0a90d34bee8e445cdd86b99970546d6c7411c2d4a42001bf9a01c95d29c8a7cd6fe824282b</t>
  </si>
  <si>
    <t>BARRIO SANTANDER</t>
  </si>
  <si>
    <t>de2d816c0238da36842c0096144aa9dbb189fc5f102d456dc2a4f6b46a76f9b74cdf29feb136e681dff37c09c8271c67</t>
  </si>
  <si>
    <t>901098957-2</t>
  </si>
  <si>
    <t>PROCESADORA DE ALIMENTOS LA VILLA S.A.S</t>
  </si>
  <si>
    <t>VEREDA EL PALMAR</t>
  </si>
  <si>
    <t>6add895faf6c7c86a3daba1e0cc6c3fcfcc264605708d7cd543b55a664e314dc8fa3299a93c750193f40d6ca6295e5dc</t>
  </si>
  <si>
    <t>8945711ee5a584565ec2949bbdee63741a88f73e500bc08775175c1179aec3fd3c7098c4c76db4bcaa6d345f3a3c6092</t>
  </si>
  <si>
    <t>ALQUIMAT LTDA</t>
  </si>
  <si>
    <t>MORELLY</t>
  </si>
  <si>
    <t>570731cc22972aa2054b3b70863a8e14b89cbae0622de831e1abb08c6808e2fefc7ed657fe0f49e4695680064acc58af</t>
  </si>
  <si>
    <t>76c48513491420b34c7f17c124881a0491f9e88d9d176cdf124481a2e6382c7b15c8b538d4bd8e81073666f8a28d4c00</t>
  </si>
  <si>
    <t>BELLAVISTA</t>
  </si>
  <si>
    <t>e5c09675baea1f6c9fe666296da517f1b85bba99b21f413dc2285a89162d1d44ffdbdc13310dd2c37dec51c6c76f80dc</t>
  </si>
  <si>
    <t>2da5e18e22e50a30049d19ab655d3d7a751dc257ae4b51b0add18f094534736cc326d4f7d2612e159bb9fd925c34427a</t>
  </si>
  <si>
    <t>QATAR MOTEL</t>
  </si>
  <si>
    <t>CORREG JUAN FRIO</t>
  </si>
  <si>
    <t>cf98f6c2f6bcea5c7dc2219d2fd07498e1dc662ea271650d489151004f5b60c1f87a294f489026ba64b710139f299567</t>
  </si>
  <si>
    <t>BODEGA MATERIALES ECOPETROL</t>
  </si>
  <si>
    <t>776fc0c99bc919a309fc4d9845949b43910607fb4729e7e4879beabed27e7594a8cdab59627dfdaee199f9f9ba7148d3</t>
  </si>
  <si>
    <t>807004000-6</t>
  </si>
  <si>
    <t>ANDINA S.A. EN REORGANIZACION</t>
  </si>
  <si>
    <t>c3a42cb1c76890faf41bc61aa6b2b7a52f7e7dd39bc6f3f63d1452be0915c16c71fb2351e99ee3fc2c1fd4427d262dcf</t>
  </si>
  <si>
    <t>5440324-7</t>
  </si>
  <si>
    <t>MOTEL EL CASTILLO LR</t>
  </si>
  <si>
    <t>09d0379688fc37f95ccfe17c4e9efe9d490ba60aef625732ef2fa6a7a7591a9adb8da53213ee54b11c46079e5f53cf97</t>
  </si>
  <si>
    <t>890333070-4</t>
  </si>
  <si>
    <t>ALUMINIOS ONAVA</t>
  </si>
  <si>
    <t>418fb16d8ef726d15f9d66e0aa61fa565328adc417898f249c35bd472dac2384e706bdabcae2ef30baf497f7640c4dbf</t>
  </si>
  <si>
    <t>RESTAURANTE BALNEARIO VILLA CAMPESTRE</t>
  </si>
  <si>
    <t>d03aead0acb1f243776d0ddfa4d7d2435cdb82591dc11c82809a020ac3c472871ed8bf67d1d2832885d0a6219c41fd9e</t>
  </si>
  <si>
    <t>HOTEL VILLA ANTIGUA</t>
  </si>
  <si>
    <t>cb62a5999fb10ff7ebd44ee9d91e736dca135c2b49861c6884c4df15ad03d4d8bb7a59b6158212f50ba9e02ff7f3ebe4</t>
  </si>
  <si>
    <t>8164a33fee005029864a5bc96dc81a53492fac074c7ed7e03f10a626480aac42df645680d25f14e1822f6fe181f276ac</t>
  </si>
  <si>
    <t>CEMENTERIO VILLA DEL ROSARIO</t>
  </si>
  <si>
    <t>7a4fe0e349f9b3b93db219a3e49cf5ef299738d4eddd694614d1343c413e1ea3b540dd3b6f1ef8eed57e7ed8fa3c42d8</t>
  </si>
  <si>
    <t>TRAPICHES</t>
  </si>
  <si>
    <t>a6abcacd7052d155d01f834440aed74bec0820be8812861a54a4a2bada32c6dffd7f098e3cb9db0cfb51c8783ebc95cf</t>
  </si>
  <si>
    <t>AGROCEP DE COLOMBIA S.AS.</t>
  </si>
  <si>
    <t>URB SIERRA NEVADA</t>
  </si>
  <si>
    <t>1c257d6f5654c30333ce42da6474c17faaf61b7b030818fe71c939141794717f4da968efc29c0b95a5471b659d6d97dc</t>
  </si>
  <si>
    <t>a5cc73d0fc1c6ff66e7dd87525f3c905c24e65feef7eb555f3c2f2d6b2345eb9a88202f6587a651c85c5daa5a23c5699</t>
  </si>
  <si>
    <t>2f84996fb62e0f2a223592df23c6c77a42a6fc5406a6ef51c5c1c20b70c25774547ac7a7f3ac709de534c89c39242191</t>
  </si>
  <si>
    <t>09c86f59b3f6f5da0bf90454678734ccccfef03dd79396e494e7b8653c4fdc01ae2434798a44250c05806e43bcb98bdf</t>
  </si>
  <si>
    <t>A.REYES</t>
  </si>
  <si>
    <t>783db3d29f3d194357e45c5ad315f0067103ccc4e25df0f5e14d08c2d3b6c9db700b95a68ead3d746466b3e5277151a6</t>
  </si>
  <si>
    <t>CONJ EL SAMAN</t>
  </si>
  <si>
    <t>c7a22aedbb1283165ce5e084fb5817397abeb1a7aeb632b7da3eba12c49c4a30f93788404d047dff86f9edf66067db55</t>
  </si>
  <si>
    <t>LUZ MARINA CORREDOR ARDILA</t>
  </si>
  <si>
    <t>7a2a80f3f6894e70641032164cd77283a9ad17bd2c33ceff88cb62b32126620cbb070e2dc773eb9b8fa945e909951f90</t>
  </si>
  <si>
    <t>MOTEL COMPLICE</t>
  </si>
  <si>
    <t>e0d15318501e23d3eaa85036826a85d38d7b64607f48a76b4ff8ed3b8c8d7dff30b9f522a9b8fe4fe42acb58f898906d</t>
  </si>
  <si>
    <t>TRANSFORMADORES C.D.M.</t>
  </si>
  <si>
    <t>409ef9672ac5583b5f1667dbc0cbaf962c40095c321c73a020980884676535665fece03b5660ed7c6e68db22267e37d9</t>
  </si>
  <si>
    <t>d1b17a4dba116e9a4bbaa84ced133de05d46076ca8ebdd544361cb2dd0ef686b8d1d4295a06357694c5fc486f9f04a8f</t>
  </si>
  <si>
    <t>a12239010a777a61a5aec319f9d8bf3b05a2f5df15c5854f99a489d5e1a6231df6887fa9d11b2d0a59aa4975d0abfefb</t>
  </si>
  <si>
    <t>EDIFICIO LA FONTANA</t>
  </si>
  <si>
    <t>PATIOS MPO</t>
  </si>
  <si>
    <t>PATIOS DIRECTA</t>
  </si>
  <si>
    <t>1033 - CICL FACT DIRECTA PATIOS (53)</t>
  </si>
  <si>
    <t>289a0c29d30e60f8f4bbac3ea262b0d8beed4c0d19f1ee281922ae2a8b2ade8475ec9c6bcaa0de5c7d5ea24ce351d22c</t>
  </si>
  <si>
    <t>PATIOS</t>
  </si>
  <si>
    <t>6fd01529369474b43010dd4f6a291949b1605712d75b36de2c1474a934d67f8038725c5e9ac6daac39f0e6196ea88528</t>
  </si>
  <si>
    <t>bb5838bf3672132eb1e7179cbe696a2e33f4afd6cc4ee0029fb0eb48e2b5e14713777f96182beba7491a805462179cdd</t>
  </si>
  <si>
    <t>EDIFICO LA FONTANA</t>
  </si>
  <si>
    <t>d8160b10a801c214a98120d1cce9a1122dbb6c1f68c237c39b979b676c9b0021df2ff6c748f50c925d83593b2da93ab6</t>
  </si>
  <si>
    <t>63c61146a652b097660ceade304003481bb0f9bc62521a7bc15e6732eabbf808ba2e4edafa4aebd657048b8f358ce335</t>
  </si>
  <si>
    <t>CONST MIRADOR DE LA FLORESTA</t>
  </si>
  <si>
    <t>2fb2956fc13f416f3bce0abbdb151d4db81237f21b7935d0fcefc486893b0b7bfaadbb764cfdc7a1c2d5a59a033656d6</t>
  </si>
  <si>
    <t>0872fd7ee073db7c51472c8f7adfb36b8dbf7b665a18e41b30e8232d666f64f32a35c67417616d7eb7b2d01104007f56</t>
  </si>
  <si>
    <t>a045db8e23936627a973b26382982595e57636282c0b2abec2ba67f1d100ee9c8f62ea9eadf93d6d33d37395418e9e0e</t>
  </si>
  <si>
    <t>506a51b76cd7b6823a5f08b5cd2afcedd1de70c61c45c6d60c7c05521d38b925fce5da22cd266a7e264d66d0acc371bc</t>
  </si>
  <si>
    <t>ff2fc1e582520190dd9f214aba3c95c8090d6ed65faabcb3f7003ec2060428337b90bd59c7b6108f593f7a9d3dd0c75a</t>
  </si>
  <si>
    <t>c3338255301ae2cdd9fa13af3ec67594ff52639203e65ce4546c843b57d1f1725eb39a89d8e92512d51075ff33c10841</t>
  </si>
  <si>
    <t>CENTRO COMERCIAL BANDERAS</t>
  </si>
  <si>
    <t>1bbbb68b8e7e326b3b77cd026897dee1702e304e92981a129a12728de32cefecd14dbe52fbf5612720be60c5772e19d5</t>
  </si>
  <si>
    <t>VGR-ITALCOL DELNORTE S.A.S</t>
  </si>
  <si>
    <t>PATIOS DIRECTA RURAL</t>
  </si>
  <si>
    <t>ed1bed133b9a4c81383cd3fae2cdc935625071fca0b559bbe9eb7c6b524540fdc5e2f5d465913b776b4d7d3854de48a7</t>
  </si>
  <si>
    <t>FLORISTERIA LA ESPERANZA</t>
  </si>
  <si>
    <t>825684f720e663cec1cf3eb6f11d977d356f5f3713fc3f8c1ef1bfd8d60da77942318179f5d5b338a096135e36d53a2a</t>
  </si>
  <si>
    <t>MAC DONADS PINAR DEL RIO</t>
  </si>
  <si>
    <t>fbd14438a6437acecd7587ba25bfe666f7240f50fc5cecf7848a83abcba6daf6abe162d8e54efdac8e45bd4aca078eed</t>
  </si>
  <si>
    <t>acefa54e041d40ac512090471e3fa1c9e27eaa6df8ff9c923206ef1125d49138ebc23e2b9c3eb9b1b8b1b0877279c9eb</t>
  </si>
  <si>
    <t>INVERSIONES AUTO SERVICIO TODO EN UNO CUCUTA SAS</t>
  </si>
  <si>
    <t>dc14766c71fdae4845d0548d6421a4a8261d6debc9facbf90ae03655b49e826df7d27acf0963fa1a55e341b3d54f0d3c</t>
  </si>
  <si>
    <t>b0607c0fb30f603f037f52b80761206105bea33c6380566fa0bccc5262ab05ba0fd4f47a742e1e3ed7c8e2ac72a1933e</t>
  </si>
  <si>
    <t>4341071a06cbd43fd531aac9a14367ac7533b073c255142958d88622a7cc4450373b8c4c61adfd101a71c47a8488ac8e</t>
  </si>
  <si>
    <t>cd21b05099e297f61e50d7b44f1c620e43652140e97e61cdb16bef1d714ef45f119a46cde9540359c02ce978e2812aff</t>
  </si>
  <si>
    <t>1364c6d9e44385b3d3fd5044a4d9595db89ad0ed3e4548d3540c472ba527a290640fc666de38096f08698c58c6876b0c</t>
  </si>
  <si>
    <t>332b61891c158f4c0209d8de8b4760ab1cef622f0383cd57f00d9da7a37df9d308b377b292f45b7829e99cd14b9072da</t>
  </si>
  <si>
    <t>7001c81cb557fc0734545963f92e2eea260b43584ad87f4fad4cfbe3af0552d70c6ea89c49e626856026c6424b93023e</t>
  </si>
  <si>
    <t>ca4d4d3417faed38e3257e87692c447c637c60bf4b7cb12f5a9b7e77361ab4a18b10d4f157a1631e2e50b93f2b2f1b05</t>
  </si>
  <si>
    <t>fd16e4fdf095efdcc96e8a1c74c26327d1edef5f8b09d1a786f87130477149b5795034b237e962bfa58b7e1c67b68896</t>
  </si>
  <si>
    <t>c665caac59f257da394568c5126d7efb18c90bf93cad987de20fdb82a2d9e092c08c861b89ba50d333cd398d18d028b5</t>
  </si>
  <si>
    <t>088474c6926d931ac3cd7a1ee09d0d40c27aacba205976cd13d06755329521c392eaee8453053a631734f8baf5937d37</t>
  </si>
  <si>
    <t>dbaccd9f6bd5cc69f50cedbe73b0933dd4301a5ee5b0fc9d9c95de200f34e7eb116bef47fdd9b0e5956d43cfc6db954c</t>
  </si>
  <si>
    <t>c76af9c9469664cf69c8dd54011cf2f858ff9af3c9c9e3a357a0d0bd96fa1c9342b0ad7cadf9f47051ef48ba76145bfd</t>
  </si>
  <si>
    <t>792175c9cecdcd5262c48d7ad32c20b12fd68e8784378c9c445cb6120386f82972aeb3cc2e2beb832ec3742bfaf870b9</t>
  </si>
  <si>
    <t>da492b711eed9dafec947e3f82da148c70708690e7201b20a77cb444873d13c78e82739df47370950c0a9988d1a06249</t>
  </si>
  <si>
    <t>b740fcfa7325fc53bca9cc2364f8585b0373663310da9a64aec9eb776062e16f5c67a33adb27c6a51c5972af2cef1ef8</t>
  </si>
  <si>
    <t>13c61ca1a493d5a02b6c067eae571ea95dbe48ba8bfec94017893cc7c95897f994fa28fa21f0e56f95e5228b4263492a</t>
  </si>
  <si>
    <t>COMERCIALIZADORA DE COMBUSTIBLES SIERRA DEL PINAR SAS</t>
  </si>
  <si>
    <t>9727f20d8c393b6c966b18ef7f491833dda4cdba300a8d0e3d9fca4c4c238824b68ab4b462edd49c5d21d391ffcf7e7c</t>
  </si>
  <si>
    <t>INDUSTRIA MODA SUELAS</t>
  </si>
  <si>
    <t>60b5f851aec26d5e8ad7ed3df955412a0c163af618142784450e9555cd579644220668b0add011b57ad3b1fe2422ac70</t>
  </si>
  <si>
    <t>75cdc9197742c79008a6641dd4c744914086c18da2182f31d03142dfcffa3f16d0530582fd477a1c5af019f2be1d1a12</t>
  </si>
  <si>
    <t>03f9afc248907e038618b40efd4b8c23bbb07a6902e18ee75ef3f06857427f7eaf7c2f949a4ad12eb9d904dab89a0741</t>
  </si>
  <si>
    <t>81cb8c5b3e0c2fbba6bb02639118e035e4542aa57d0b28bbbd38a79efe6d10171be9e390e92356f56c2b130a42b015f6</t>
  </si>
  <si>
    <t>1a7281e26f173acc0b36ec916a23eae4e3bf1005063f62135b357aef37ff772b285c8b14a612ce7ee0b35d532d1bfa15</t>
  </si>
  <si>
    <t>5e55ac29dfed00e5dc57069012536bb978479a2e06452c9f108232ec6deb893fffe4542d59565869d90094811b580673</t>
  </si>
  <si>
    <t>901317614-2</t>
  </si>
  <si>
    <t>JM DEL NORTE S.A.S</t>
  </si>
  <si>
    <t>eff46e13445d2f24c9b8d8c9496780503fd5bb3c2bbef3db7bf40dfb7f7273b11b32497dd02e88513831a741c53e0f9f</t>
  </si>
  <si>
    <t>c7666cb655d71b71eb6015e8a068f9af4ff70c463e0b31d3d343a565fa18e4b5fced592e23e34c3d97237e70e2495a5e</t>
  </si>
  <si>
    <t>4118ac94b8501a2baff48b359e3153207a1f852d7438856cd33349c183fccf287fd72d8fe513bd3629925100cde83ca6</t>
  </si>
  <si>
    <t>81e436a382646e8b8b1b700bc7514222108d60a45567d47d9f49aa8b331f1d47b70d543d3bee9c0dfe262833150b517c</t>
  </si>
  <si>
    <t>3551e4e8c2d53315702145a956293abf242a260c6688e0f49b7a9904c8e0f04a93542804324b5a940fff1ca8c585f27d</t>
  </si>
  <si>
    <t>288b8d285d117c113eeac1b044ffc482481548a03b7a15e594ec85533980f4c12b5a0e08f28ec8f992116d5ead7f2609</t>
  </si>
  <si>
    <t>f5d57ea5f02387f9ad7d0bede977f1528a8f6f738b22eadbc28e7fcbd44f535c992c5af2f39b2a739a318cc0be82af89</t>
  </si>
  <si>
    <t>f9ab61a3bc3f6b58dc62140c1c7c3f7836a31b4e579b1d593eec6975b25e6d09d1a806080efded8feb27071ad2cd2b55</t>
  </si>
  <si>
    <t>LADRILLERA LOS VADOS SAS</t>
  </si>
  <si>
    <t>35561e5093c92e8dde2cbf56adff72972fa8d779c2e51ce09b35bc20d62a6e936799b69bcfe78fb16147ca7f9a4a042a</t>
  </si>
  <si>
    <t>e8fd062b95c08a1ccc73e66d1e04d25b78cffc7fed5cd567cb3d4b0171a42bcd47fab767432e04d7fb39d611bf13b41c</t>
  </si>
  <si>
    <t>890501729-1</t>
  </si>
  <si>
    <t>FONOS GASES INDUSTRIALES Y MEDICINALES S.A.S</t>
  </si>
  <si>
    <t>6ed626b76213c9898608b98e1a9372e4e02b1b343044386cba083b91cccc1be9745af4941b364fea3ee090a525cb2941</t>
  </si>
  <si>
    <t>6f9a022cb71f05ba020b68873de2653e34f4f034a221b5a57f3e0eebd7d2cc4fcbddd299c19effa076da80ad7f9f0459</t>
  </si>
  <si>
    <t>363662038b05a8b85e400975f935ce4c97f724529b787607f6dae4722048ffe9a0fe43e912747a84f9eff25a8838f2e3</t>
  </si>
  <si>
    <t>ISMOCOL SA</t>
  </si>
  <si>
    <t>d38ae170b5e3bf2b4d329d0a660f9441f5a3b50ea191559eba5d71b94d341b508d9d5ea59f2c9471088031165d467e67</t>
  </si>
  <si>
    <t>MINEX COMPAÑIA INTERNACIONAL SOCIEDAD POR ACCIONES SIMPLIFICADA C.I.</t>
  </si>
  <si>
    <t>e758824ffb642c9db18bcde27130b862d4f5d7ddf6fe85dedb4052f72c75d0da9a67225e98a07ff916002c524d080244</t>
  </si>
  <si>
    <t>LUIS FERNANDO RANGEL MENDEZ SUPERMERCADO RENTA MAS</t>
  </si>
  <si>
    <t>a59691abcca7600cc7171d3f277166ac2fe7819cb1fab793aa85c5f48efa0261af79849d36a2c4c9566bd579b27a34dd</t>
  </si>
  <si>
    <t>1418e2bc67cab3dcd0d9e422c4bef89aa13cf01b160cc38b0886ad2ec00c769038555e91dd8f8ba8546c22a97bec8b4f</t>
  </si>
  <si>
    <t>AVICOLA JUNIOR SANTA MARIA S.A.S</t>
  </si>
  <si>
    <t>4136e0d7e5b6d3fbf7df1bdbd909c3495282317ea3019ef6fc224f5385c051cf6ca4dce7a6f5749e0f310359394d76b1</t>
  </si>
  <si>
    <t>0e5572e790eeb8e9bb7cf54edb0aed024955164ff4876e5beb54ba98d278931ede2977c56478a40175d24e534a3d2db1</t>
  </si>
  <si>
    <t>295a1d9ae38d2a53ba45e941cbb6c9ea02c491c1c0df17f440d3d2e798b177833cd9076ed53360344890b23a464692ac</t>
  </si>
  <si>
    <t>CARLOS VILLAMIZAR/ URB. TERRAZ</t>
  </si>
  <si>
    <t>f3b235849cd605925159fc1c46b9ae4b14aca13a34db6d70afedd8c64bae5ee7c2c85f65f8509454f8417916b920fc32</t>
  </si>
  <si>
    <t>86643995295ad637cd36c8d69014a20bee4330370c4f5a6c73d31d186467172f1356669a9cd74ef6ddb74a0b4450ad7b</t>
  </si>
  <si>
    <t>7b484a1681540e290e66409c6d532e86804f82f01d5e90af7659177c05eb3191fce08c382589dd8aa544d6f2ae1c0015</t>
  </si>
  <si>
    <t>dc5dfa3e6fd5206a9d2f5cc9a6508b264170f13a56701faf68386b3e19dbd109b917dbab09fa6dd0212fa06cca998c80</t>
  </si>
  <si>
    <t>8183e82a14fba4cb0b9d3d78a299065984f0ad269aa80dbafe9fe8c0e0592523afac03e0e9edd907bf768e3201f77492</t>
  </si>
  <si>
    <t>956e1f327449e201a090dd70744fe42afda7e2a5f18481480304c1e72c4daefabfaae79681394d7a62fd4aa29b0c479e</t>
  </si>
  <si>
    <t>CERAMICAS AMERICA S.A</t>
  </si>
  <si>
    <t>bb4a4771ae158661e1d8cfb7b603255c0dc739b8b0e0854a5176990af4cfb3afa0aeced81465b5aa5fb74f097a289d8a</t>
  </si>
  <si>
    <t>2e35c0c0190705afd5504ac07df904f942bbaad0a666276a48e992a152f081d13372b44119fc70a30f70ce9090501a23</t>
  </si>
  <si>
    <t>9b2df12e68e1a24bd334b3329f91756bbc26d180047fcacce1e4427562dff016e5ef9e5365c4d2dd973b2c7666473c94</t>
  </si>
  <si>
    <t>1c8bda0ec390d949b92d7481d202193402b415aef48718f636eaa88a35f83ade060cc70f32a68d093ae2146254075151</t>
  </si>
  <si>
    <t>7a7938df25587ff293c26ddf2fac03e303fb0323480b181acc33af592929ae7b9bfb893bcb4260f7f8a60d0b4dabaf9d</t>
  </si>
  <si>
    <t>b18b566e0087c3f170d0b37d10c831248d01f3c94f415caa1d692320ecd433b3ddec8d650791073af372041b57156821</t>
  </si>
  <si>
    <t>4689ba96b06b189018f463a818876739f5eda21afac3389b532f31eae201b964226e057d7e4801af4a8cf323a80f3b56</t>
  </si>
  <si>
    <t>8758b3d08186083a2dae05407ef929e21c89eb98dbcc61b99ac03bf0753ffcb9661f8759d9b8064ecbc2c36a5a3f154b</t>
  </si>
  <si>
    <t>96c1fb9366dfb40f397e5eb067063b46c78e77e7d0fcb7f3d989e68e2dddf2b01095cede0268475ad5033e015f3f1d2c</t>
  </si>
  <si>
    <t>JOSE DAVID CALDERON ARCINIEGAS</t>
  </si>
  <si>
    <t>10-05-1896</t>
  </si>
  <si>
    <t>1a5fde6b2937ba1e954f331fe6fbf0ced70123fc80b6bf68fedb8eac3cb64321cde8c82c1d30ade9d8c6b14b99b315f4</t>
  </si>
  <si>
    <t>CERAMICAS TAMESIS S.A</t>
  </si>
  <si>
    <t>LOS PATIOS RURAL</t>
  </si>
  <si>
    <t>06-03-1872</t>
  </si>
  <si>
    <t>751255718812250930c7986441553a4b0f3e8d9b423cae397f62b91cb1bdecb966ca99fb32bccdcf06fcfccd713ca7a6</t>
  </si>
  <si>
    <t>5ea626b36ac5a433cc411fa66570953804be8b364b4c65d30bdbe8e5a4dc9f208113c1c64536f88a61b9bd77c9db3057</t>
  </si>
  <si>
    <t>MUNICIPIO DE LOS PATIOS</t>
  </si>
  <si>
    <t>PLAN SOTERRADOS_CONTENEDORES</t>
  </si>
  <si>
    <t>05-06-2026</t>
  </si>
  <si>
    <t>Saldo a favor</t>
  </si>
  <si>
    <t>08-05-2026</t>
  </si>
  <si>
    <t>03-06-2026</t>
  </si>
  <si>
    <t xml:space="preserve">serviciospublicos@pamplonita-nortedesantander.gov.co </t>
  </si>
  <si>
    <t>CORREO ELECTRONICO CERTIFICADO 472</t>
  </si>
  <si>
    <t>ANGEL</t>
  </si>
  <si>
    <t>AVENIDA 2 NO. 8-57</t>
  </si>
  <si>
    <t>NO</t>
  </si>
  <si>
    <t>CONTACTENOS@DURANIA-NORTEDESANTANDER.GOV.CO</t>
  </si>
  <si>
    <t>CARRERA 5 NO 7 ¿ 72</t>
  </si>
  <si>
    <t>TESORERIA@GRAMALOTE-NORTEDESANTANDER.GOV.CO</t>
  </si>
  <si>
    <t>CARRERA 4 CON CALLE 3 ¿ 36</t>
  </si>
  <si>
    <t>TESORERIA@LOURDES-NORTEDESANTANDER.GOV.CO</t>
  </si>
  <si>
    <t>901196259-1</t>
  </si>
  <si>
    <t>EXPLOTACIONES MINERAS DEL NORTE FC S.A.S.</t>
  </si>
  <si>
    <t>FACTURACIONEMNFC@HOTMAIL.COM</t>
  </si>
  <si>
    <t>CARRERA 3 NO. 2-31</t>
  </si>
  <si>
    <t>TESORERIA@SANTIAGO-NORTEDESANTANDER.GOV.CO</t>
  </si>
  <si>
    <t>CALLE 2 NO. 3-35</t>
  </si>
  <si>
    <t>HACIENDA@BUCARASICA-NORTEDESANTANDER.GOV.CO</t>
  </si>
  <si>
    <t>CARRERA 4 N 3 -61</t>
  </si>
  <si>
    <t>tesoreria@sancayetano-nortedesantander.gov.co</t>
  </si>
  <si>
    <t>CRA 5 6-03 BARR PERPETUO SOCORRO</t>
  </si>
  <si>
    <t>APCMANOBAHERRAN@GMAIL.COM</t>
  </si>
  <si>
    <t>IBEROAMERICANA DE HIDROCARBUROS ENERGY COLOMBIA S.A.S</t>
  </si>
  <si>
    <t>FROJAS@IHSAENERGY.CO</t>
  </si>
  <si>
    <t>CARRERA 7 NO. 3-17 VILLA DEL ROSARIO</t>
  </si>
  <si>
    <t>ecoambiental807@gmail.com</t>
  </si>
  <si>
    <t>CRA 4A 13-35 BARRIO LAS COLINAS/CHINACOTA</t>
  </si>
  <si>
    <t>EMCHINAC@EMCHINACESP-CHINACOTA.GOV.CO</t>
  </si>
  <si>
    <t>CALLE 6 NO. 2-32</t>
  </si>
  <si>
    <t>HACIENDA@RAGONVALIA-NORTEDESANTANDER.GOV.CO</t>
  </si>
  <si>
    <t>PALACIO MPAL VILLA CARO</t>
  </si>
  <si>
    <t>tesoreria@villacaro-nortedesantander.gov.co</t>
  </si>
  <si>
    <t>CRA 6 CALLE 2 Y 3 NO 6-25</t>
  </si>
  <si>
    <t>tesoreria@arboledas-nortedesantander.gov.co</t>
  </si>
  <si>
    <t>KM 7 VDA EL CUCHARO</t>
  </si>
  <si>
    <r>
      <rPr>
        <rFont val="Arial"/>
        <color rgb="FF1155CC"/>
        <u/>
      </rPr>
      <t>empsacol@hotmail.com</t>
    </r>
  </si>
  <si>
    <t>CALLE 4AN # 4-89 PESCADERO</t>
  </si>
  <si>
    <t>contacto@smpcucuta.com</t>
  </si>
  <si>
    <t>CARERA 2 NO. 2-35</t>
  </si>
  <si>
    <t>TESORERIA@PUERTOSANTANDER-NORTEDESANTANDER.GOV.CO</t>
  </si>
  <si>
    <t>CALLE 6 NO. 6 55 CENTRO SARDINATA</t>
  </si>
  <si>
    <t>CALLE 2 CARRERA 6 ESQUINA</t>
  </si>
  <si>
    <t>HACIENDA@SALAZARDELASPALMAS-NORTEDESANTANDER.GOV.CO</t>
  </si>
  <si>
    <t>EMZULIA E.S.P</t>
  </si>
  <si>
    <t>CLL 7 NO 2-03 BARRIO CENTRO MUNICIPIO EL ZULIA</t>
  </si>
  <si>
    <t>emzulia.esp@gmail.com</t>
  </si>
  <si>
    <t>CALLE 3 NO 3 - 08</t>
  </si>
  <si>
    <t>UNISEPUBLICOS@BOCHALEMA-NORTEDESANTANDER.GOV.CO</t>
  </si>
  <si>
    <t>KM 6 #49-40 VIA SAUFASTINO EL SERRITO</t>
  </si>
  <si>
    <t>CURTIEMBRESCUCUTA@GMAIL.COM</t>
  </si>
  <si>
    <t>CLL 21 0E- 20 CAOBOS</t>
  </si>
  <si>
    <t>NAROHE10@HOTMAIL.COM</t>
  </si>
  <si>
    <t>AVE 3 # 13-82</t>
  </si>
  <si>
    <t>facturaelectronicacucuta@unisimon.edu.co; 890104633_201@FACTURENINBOX.CO</t>
  </si>
  <si>
    <t>Liliana</t>
  </si>
  <si>
    <t>CLL 12 4-52 CENTRO</t>
  </si>
  <si>
    <t>ARA CUCUTA</t>
  </si>
  <si>
    <t>COORDINADOR.OPERACIONES.R11@JERONIMO-MARTINS.COM</t>
  </si>
  <si>
    <t>AVE 4 17-89 - 0239431</t>
  </si>
  <si>
    <t>IMSALUD</t>
  </si>
  <si>
    <t>SUBFINANCIERA@IMSALUD.GOV.CO</t>
  </si>
  <si>
    <t>AVE 12 5AN-84 1142</t>
  </si>
  <si>
    <t>BETEL</t>
  </si>
  <si>
    <t>COORDTESORERIASUPERBETEL@GMAIL.COM</t>
  </si>
  <si>
    <t>AVE 5 2N-80 1077</t>
  </si>
  <si>
    <t>jayalar@sena.edu.co</t>
  </si>
  <si>
    <t>AV 2 CALLE 39 LIBERTAD</t>
  </si>
  <si>
    <t>CENS</t>
  </si>
  <si>
    <t>FACTURAELECTRONICACENS@GRUPO-EPM.COM</t>
  </si>
  <si>
    <t>KDX 73-2 1116</t>
  </si>
  <si>
    <t>D1</t>
  </si>
  <si>
    <t>ALBA.CELIS@D1.COM.CO;CARMEN.DAVILA@D1.COM.CO</t>
  </si>
  <si>
    <t>AVD AEROPUERTO CAMILO DAZA</t>
  </si>
  <si>
    <t>ZONA NORTE</t>
  </si>
  <si>
    <t>CARLOS.PICON@AEROORIENTE.COM.CO</t>
  </si>
  <si>
    <t>VERIFICADOR</t>
  </si>
  <si>
    <t>MARTIN</t>
  </si>
  <si>
    <t>KDX 175 (AVE 7 4-49)</t>
  </si>
  <si>
    <t>VILLAREALCONTABILIDAD@GMAIL.COM</t>
  </si>
  <si>
    <t>AVE LIBERTADORES CANAL BOGOTA LOC 23 1079</t>
  </si>
  <si>
    <t>PASH</t>
  </si>
  <si>
    <t>SERVICIOSPUBLICOS@PASH.COM.CO; abayona@tekstelas.com; kguavita@tekstelas.com</t>
  </si>
  <si>
    <t>AV 0 N 10-61</t>
  </si>
  <si>
    <t>MOVISTAR</t>
  </si>
  <si>
    <t>SERVICIOSPUBLICOS.TC@TELEFONICA.COM; D.CRUZ02@TELEFONICA.COM</t>
  </si>
  <si>
    <t>AV PANAMERICANA VIA SALADO</t>
  </si>
  <si>
    <t>MODELO</t>
  </si>
  <si>
    <t>SERVICIOSPUBLICOS.ORIENTE@INPEC.GOV.CO</t>
  </si>
  <si>
    <t>AV 26 26 - 27</t>
  </si>
  <si>
    <t>POLICIA</t>
  </si>
  <si>
    <t>LUIS.GONZALEZ0973@CORREO.POLICIA.GOV.CO</t>
  </si>
  <si>
    <t>CLLE 31 # 31-60 LA DIVINA PASTORA</t>
  </si>
  <si>
    <t>COLEGIOS ZONA NORTE</t>
  </si>
  <si>
    <t>AREAFINANCIERA@SEMCUCUTA.GOV.CO</t>
  </si>
  <si>
    <t>CARTERA</t>
  </si>
  <si>
    <t>yelitza</t>
  </si>
  <si>
    <t>CALLE 10 NO 0E-16 EDF CENTRO EMPRESARIAL BLOQUE B HOTEL TONCHALA</t>
  </si>
  <si>
    <t>SEC T-COMERCIO CENABASTOS OF 210 211 URB TASAJERO</t>
  </si>
  <si>
    <t>CENABASTOSPH@HOTMAIL.COM</t>
  </si>
  <si>
    <t>AV 7 1 136 BRR LA INSULA</t>
  </si>
  <si>
    <t>FACTURACION.ANDECOL@GMAIL.COM</t>
  </si>
  <si>
    <t>AVENIDA LIBERTADORES/CANAL BOGOTA</t>
  </si>
  <si>
    <t>METRO</t>
  </si>
  <si>
    <t>SERVICIOS_PUBLICOS_COLOMBIA@CENCOSUD.COM.CO; MariaAngela.SanchezRincon@cencosud.com.co</t>
  </si>
  <si>
    <t>AVE 6 7-35 SUPERMERCADO</t>
  </si>
  <si>
    <t>LOS MONTES</t>
  </si>
  <si>
    <t>GASTOS@SUPERLOSMONTES.CO;FACTURAELECTRONICA@SUPERLOSMONTES.CO</t>
  </si>
  <si>
    <t>CL 17 N 5-101</t>
  </si>
  <si>
    <t>LYCALDERON@COMERCIALNUTRESA.COM.CO</t>
  </si>
  <si>
    <t>BODEGA D1 -1 ZONA FRANCA</t>
  </si>
  <si>
    <t>DEL BEN</t>
  </si>
  <si>
    <t>CONTABILIDAD1@DELBEN.CO</t>
  </si>
  <si>
    <t>AVE 4 7N - 94 1219</t>
  </si>
  <si>
    <t>CARIBE</t>
  </si>
  <si>
    <t>PRINTPACKCARIBE@HOTMAIL.COM</t>
  </si>
  <si>
    <t>CL 18 N 5 62 ZN INDUSTRIAL</t>
  </si>
  <si>
    <t>GRUPO NOVA</t>
  </si>
  <si>
    <t>800092777@FACTUREINBOX.CO</t>
  </si>
  <si>
    <t>AVE 4 7N - 160 519658</t>
  </si>
  <si>
    <t>CONTA.TEMGLASSCUCUTA@GMAIL.COM</t>
  </si>
  <si>
    <t>AVE 3 CLL 24 GARITA # 1</t>
  </si>
  <si>
    <t>MECUC.GUBIR@POLICIA.GOV.CO</t>
  </si>
  <si>
    <t>AV LIBERT CC UNICENTRO LOC 88</t>
  </si>
  <si>
    <t>loysa88@yahoo.es</t>
  </si>
  <si>
    <t>AVE 5 2 - 78 1007</t>
  </si>
  <si>
    <t>HIELOLASABANACUCUTALTDA@HOTMAIL.COM</t>
  </si>
  <si>
    <t>ARIDE</t>
  </si>
  <si>
    <t>AVE LIBERTADORES C.C UNICENTRO - LOCAL 1 1</t>
  </si>
  <si>
    <t>FACTURACION@DIVERSIONESDELORIENTE.COM</t>
  </si>
  <si>
    <t>KDX 25 6-B (CALLE 0B 7A-131) PANAMERICANO</t>
  </si>
  <si>
    <t>FACTURACION@BOLSAGREEN.COM</t>
  </si>
  <si>
    <t>AVE 4 8AN - 79</t>
  </si>
  <si>
    <t>MNZ D LTE 21 A LOC 6 274</t>
  </si>
  <si>
    <t>SUPERMERCADOELBOON@GMAIL.COM; LEIDYCONTRERAS1994@GMAIL.COM</t>
  </si>
  <si>
    <t>AVE 9 0A-72 1219</t>
  </si>
  <si>
    <t>NEBACCA@HOTMAIL.COM;TALENTOHUMANONEBACCA@GMAIL.COM</t>
  </si>
  <si>
    <t>CLL 14AN 4A-81 TORRE 1 APTO 101</t>
  </si>
  <si>
    <t>CR PORTACHUELO</t>
  </si>
  <si>
    <t>CLL 14AN 4A-81 TORRE 1 APTO 201</t>
  </si>
  <si>
    <t>CLL 14AN 4A-81 TORRE 1 APTO 301</t>
  </si>
  <si>
    <t>CLL 14AN 4A-81 TORRE 1 APTO 401</t>
  </si>
  <si>
    <t>CLL 14AN 4A-81 TORRE 2 APTO 101</t>
  </si>
  <si>
    <t>CLL 14AN 4A-81 TORRE 2 APTO 201</t>
  </si>
  <si>
    <t>CLL 14AN 4A-81 TORRE 2 APTO 301</t>
  </si>
  <si>
    <t>CLL 14AN 4A-81 TORRE 2 APTO 401</t>
  </si>
  <si>
    <t>CLL 14AN 4A-81 TORRE 3 APTO 101</t>
  </si>
  <si>
    <t>CLL 14AN 4A-81 TORRE 3 APTO 201</t>
  </si>
  <si>
    <t>CLL 14AN 4A-81 TORRE 3 APTO 301</t>
  </si>
  <si>
    <t>CLL 14AN 4A-81 TORRE 3 APTO 401</t>
  </si>
  <si>
    <t>CLL 14AN 4A-81 TORRE 4 APTO 101</t>
  </si>
  <si>
    <t>CLL 14AN 4A-81 TORRE 4 APTO 201</t>
  </si>
  <si>
    <t>JDEROME66@HOTMAIL.COM</t>
  </si>
  <si>
    <t>CLL 14AN 4A-81 TORRE 4 APTO 301</t>
  </si>
  <si>
    <t>CLL 14AN 4A-81 TORRE 4 APTO 401</t>
  </si>
  <si>
    <t>CLL 14AN 4A-81 TORRE 5 APTO 101</t>
  </si>
  <si>
    <t>CLL 14AN 4A-81 TORRE 5 APTO 201</t>
  </si>
  <si>
    <t>CLL 14AN 4A-81 TORRE 5 APTO 301</t>
  </si>
  <si>
    <t>CLL 14AN 4A-81 TORRE 5 APTO 401</t>
  </si>
  <si>
    <t>CLL 14AN 4A-81 TORRE 6 APTO 101</t>
  </si>
  <si>
    <t>CLL 14AN 4A-81 TORRE 6 APTO 201</t>
  </si>
  <si>
    <t>CLL 14AN 4A-81 TORRE 6 APTO 301</t>
  </si>
  <si>
    <t>CLL 14AN 4A-81 TORRE 6 APTO 401</t>
  </si>
  <si>
    <t>CLL 14AN 4A-81 TORRE 7 APTO 101</t>
  </si>
  <si>
    <t>CLL 14AN 4A-81 TORRE 7 APTO 201</t>
  </si>
  <si>
    <t>CLL 14AN 4A-81 TORRE 7 APTO 301</t>
  </si>
  <si>
    <t>CLL 14AN 4A-81 TORRE 7 APTO 401</t>
  </si>
  <si>
    <t>CERRO TASAJERO- VIA SAN FAUSTINO</t>
  </si>
  <si>
    <t>AVE 6 17N-71 1219</t>
  </si>
  <si>
    <t>ADM.CARNEVALI@GMAIL.COM</t>
  </si>
  <si>
    <t>AV 4 7N-165 ZONA INDUSTRIAL</t>
  </si>
  <si>
    <t>ADMINISTRACION@HIELOSLICORESOSOPOLAR.COM</t>
  </si>
  <si>
    <t>AV 7 18N-67/77/87 VIA AEROPUER</t>
  </si>
  <si>
    <t>FACTURAELECTRONICA@ARROZGELVEZ.COM</t>
  </si>
  <si>
    <t>AV LIBERTADORES ENTRE CALLES 3 Y 5 FRENTE AL RELOJ DE SOL</t>
  </si>
  <si>
    <t>GERENTE@ZONAFRANCACUCUTA.COM</t>
  </si>
  <si>
    <t>KDX 70-B 305016 1116</t>
  </si>
  <si>
    <t>CONTABILIDAD@TUBOSDELORIENTE.COM</t>
  </si>
  <si>
    <t>AVE 8 0-195 1092</t>
  </si>
  <si>
    <t>AIFLOREZ@TCC.COM.CO</t>
  </si>
  <si>
    <t>A11 CC JARDIN PLAZA</t>
  </si>
  <si>
    <t>MULTICINEJARDINPLAZACUCUTA@ROYAL.FILMS.COM; serviciospublicos@royal-films.com</t>
  </si>
  <si>
    <t>CLL 14AN 4-81 TORRE 1</t>
  </si>
  <si>
    <t>CONJUNTOPORTACHUELORESERVADO@GMAIL.COM</t>
  </si>
  <si>
    <t>CLL 7N 5-31 ZONA INDUSTRIAL</t>
  </si>
  <si>
    <t>ARROCERASSANVALENTIN@HOTMAIL.COM</t>
  </si>
  <si>
    <t>AVE 7N 4 - 62</t>
  </si>
  <si>
    <t>CORREO ELECTRONICO CERTIFICADO 472-VERIFICADOR</t>
  </si>
  <si>
    <t>CLL 2 6 - 59 1001</t>
  </si>
  <si>
    <t>CUCUTA.ALMACAFE@ALMACAFE.COM.CO</t>
  </si>
  <si>
    <t>CALLE 18 5-107 ZONA INDUSTRIAL</t>
  </si>
  <si>
    <t>CLL 8N 4 - 61 1219</t>
  </si>
  <si>
    <t>JEMAPROJECTSAS@GMAIL.COM</t>
  </si>
  <si>
    <t>CLL 8N 4 - 13 1219</t>
  </si>
  <si>
    <t>CONTABILIDADTRAPEROSELMEJOR@GMAIL.COM</t>
  </si>
  <si>
    <t>CLL 10 0E-51 SUB 4 ARM 8 LOCAL 1</t>
  </si>
  <si>
    <t>VERTEBRA</t>
  </si>
  <si>
    <t>FACTURAS@VERTEBRA.TECH</t>
  </si>
  <si>
    <t>AV 6 1-105 KDX 46A INSULA</t>
  </si>
  <si>
    <t>BIENESTAR FAMILIAR</t>
  </si>
  <si>
    <t>MAYRA.SALCEDO@ICBF.GOV.CO</t>
  </si>
  <si>
    <t>AVE 5 8N-46 ZONA INDUSTRIAL</t>
  </si>
  <si>
    <t>IANCOMPANY03@GMAIL.COM</t>
  </si>
  <si>
    <t>AV 7 A 1 141 BRR PANAMERICANO BG UNO Y DOS</t>
  </si>
  <si>
    <t>CEXTERIOR@PLASTICOSFORMOSA.COM</t>
  </si>
  <si>
    <t>AVE 6 15 - 04 1114</t>
  </si>
  <si>
    <t>INDUSTRIAS_DG@HOTMAIL.COM</t>
  </si>
  <si>
    <t>CC JARDIN PLAZA L65</t>
  </si>
  <si>
    <t>VIA A SAN FAUSTINO 443976</t>
  </si>
  <si>
    <t>FACTURAS@INCOLMINESA.COM;NELLY.LEON@INCOLMINESA.COM</t>
  </si>
  <si>
    <t>CORREGIMIENTO SAN FAUSTINO</t>
  </si>
  <si>
    <t>CARBONESMINERALESBC@GMAIL.COM</t>
  </si>
  <si>
    <t>CLL 14AN 4A-81 TORRE 1 APTO 104</t>
  </si>
  <si>
    <t>CLL 14AN 4A-81 TORRE 1 APTO 204</t>
  </si>
  <si>
    <t>CLL 14AN 4A-81 TORRE 1 APTO 304</t>
  </si>
  <si>
    <t>CLL 14AN 4A-81 TORRE 1 APTO 404</t>
  </si>
  <si>
    <t>CLL 14AN 4A-81 TORRE 2 APTO 104</t>
  </si>
  <si>
    <t>CLL 14AN 4A-81 TORRE 2 APTO 204</t>
  </si>
  <si>
    <t>CLL 14AN 4A-81 TORRE 2 APTO 304</t>
  </si>
  <si>
    <t>CLL 14AN 4A-81 TORRE 2 APTO 404</t>
  </si>
  <si>
    <t>CLL 14AN 4A-81 TORRE 3 APTO 104</t>
  </si>
  <si>
    <t>CLL 14AN 4A-81 TORRE 3 APTO 204</t>
  </si>
  <si>
    <t>CLL 14AN 4A-81 TORRE 3 APTO 304</t>
  </si>
  <si>
    <t>CLEMENTINA OCHOA GOMEZ</t>
  </si>
  <si>
    <t>CLL 14AN 4A-81 TORRE 3 APTO 404</t>
  </si>
  <si>
    <t>CLL 14AN 4A-81 TORRE 4 APTO 104</t>
  </si>
  <si>
    <t>CLL 14AN 4A-81 TORRE 4 APTO 204</t>
  </si>
  <si>
    <t>CLL 14AN 4A-81 TORRE 4 APTO 304</t>
  </si>
  <si>
    <t>CLL 14AN 4A-81 TORRE 4 APTO 404</t>
  </si>
  <si>
    <t>CLL 14AN 4A-81 TORRE 5 APTO 104</t>
  </si>
  <si>
    <t>CLL 14AN 4A-81 TORRE 5 APTO 204</t>
  </si>
  <si>
    <t>CLL 14AN 4A-81 TORRE 5 APTO 304</t>
  </si>
  <si>
    <t>CLL 14AN 4A-81 TORRE 5 APTO 404</t>
  </si>
  <si>
    <t>CLL 14AN 4A-81 TORRE 6 APTO 104</t>
  </si>
  <si>
    <t>CLL 14AN 4A-81 TORRE 6 APTO 204</t>
  </si>
  <si>
    <t>CLL 14AN 4A-81 TORRE 6 APTO 304</t>
  </si>
  <si>
    <t>CLL 14AN 4A-81 TORRE 6 APTO 404</t>
  </si>
  <si>
    <t>CLL 14AN 4A-81 TORRE 7 APTO 104</t>
  </si>
  <si>
    <t>CLL 14AN 4A-81 TORRE 7 APTO 204</t>
  </si>
  <si>
    <t>CLL 14AN 4A-81 TORRE 7 APTO 304</t>
  </si>
  <si>
    <t>CLL 14AN 4A-81 TORRE 7 APTO 404</t>
  </si>
  <si>
    <t>CLL 7N 5-52 1219</t>
  </si>
  <si>
    <t>POLINORTSAS@GMAIL.COM</t>
  </si>
  <si>
    <t>CLL 21 5-02-1 1153</t>
  </si>
  <si>
    <t>AVE 5 7N-86 1219</t>
  </si>
  <si>
    <t>ADMIN@GEXA.COM.CO</t>
  </si>
  <si>
    <t>CLL 5N 5-117 1221</t>
  </si>
  <si>
    <t>AVE 3 7N-60 1219</t>
  </si>
  <si>
    <t>DISTRIBUIDORABETMANSAS@GMAIL.COM</t>
  </si>
  <si>
    <t>CLL 8N 3-120 1219</t>
  </si>
  <si>
    <t>IMPUESTOS@CASALUKER.COM.CO</t>
  </si>
  <si>
    <t>CLL 0 # 1-10</t>
  </si>
  <si>
    <t>CAJERABUC@COORDINADORA.COM</t>
  </si>
  <si>
    <t>KDX B-4 1127</t>
  </si>
  <si>
    <t>SUELASYMOLDESCUCUTA@HOTMAIL.COM</t>
  </si>
  <si>
    <t>AV.4A 12N - 81</t>
  </si>
  <si>
    <t>PROVEFACTU.CUC@UNILIBRE.EDU.CO</t>
  </si>
  <si>
    <t>AV 7 16N-55 ZONA INDUSTRIAL</t>
  </si>
  <si>
    <t>RIGOBERTO.LOPEZ@ALPOPULAR.COM.CO</t>
  </si>
  <si>
    <t>KDX 37-10 1125</t>
  </si>
  <si>
    <t>marplastcolombia@gmail.com</t>
  </si>
  <si>
    <t>CLL 4 8-58 332601</t>
  </si>
  <si>
    <t>impormarcontabilidad1@hotmail.com</t>
  </si>
  <si>
    <t>AV. 2 31N-36 URB. TASAJERO</t>
  </si>
  <si>
    <t>nuevasextap.h@hotmail.com</t>
  </si>
  <si>
    <t>AV 6 7N-130 ZONA INDUSTRIAL</t>
  </si>
  <si>
    <t>PROALCOM@YAHOO.ES</t>
  </si>
  <si>
    <t>AVE 6 13 - 06 1114</t>
  </si>
  <si>
    <t>FACTURACION@COAGRONORTE.COM.CO</t>
  </si>
  <si>
    <t>AVE 6 0 - 168 1116</t>
  </si>
  <si>
    <t>CONTABILIDAD@ARROZSANANDRES.COM</t>
  </si>
  <si>
    <t>AUT ANILLO VIAL ORIENTAL DIAGONAL - INTE 1</t>
  </si>
  <si>
    <t>F.ELECTRONICA@TRANSMATERIALES.COM</t>
  </si>
  <si>
    <t>CLL 5 # 7-60 CENTRO</t>
  </si>
  <si>
    <t>EXITO</t>
  </si>
  <si>
    <t>GERENCIA744@GRUPO-EXITO.COM</t>
  </si>
  <si>
    <t xml:space="preserve">ARIDE </t>
  </si>
  <si>
    <t>AV. 3 # 23N Y 24N</t>
  </si>
  <si>
    <t>FACTURAELECTRONICA@CERAMICAITALIA.COM</t>
  </si>
  <si>
    <t>AV LIBERT CANAL BOGOTA L 1-51</t>
  </si>
  <si>
    <t>solicitudescontables@happycity.com.co</t>
  </si>
  <si>
    <t>AV L/TADOR CANAL BOGOTA LOC 32</t>
  </si>
  <si>
    <t>FACTURAFRAVICOL@FRAVICOL.COM / LORENAM@FRAVICOL.COM</t>
  </si>
  <si>
    <t>EDIFICIO SAN JOSE 2O PISO</t>
  </si>
  <si>
    <t>AGUAS KPITAL</t>
  </si>
  <si>
    <t>RADICACION.CEINDOC@AKC.CO;SAMMY.OMANA@AKC.CO</t>
  </si>
  <si>
    <t>AVE 6 2 - 15 BDG</t>
  </si>
  <si>
    <t>GM UNIPLAS</t>
  </si>
  <si>
    <t>GMUNIPLAST2017@GMAIL.COM</t>
  </si>
  <si>
    <t>AV 7 A CL 9 B N ZN INDUSTRIAL BRR SEVILLA</t>
  </si>
  <si>
    <t>CONTABILIDAD@PESCADERO.COM.CO / COMPRAS@PESCADERO.COM.CO</t>
  </si>
  <si>
    <t>VÍA SAN FAUSTINO, VEREDA PASO DE LOS RÍOS A 1.5 KILÓMETROS DE INCOLMINE</t>
  </si>
  <si>
    <t>CONTABILIDADPLANTAGRESCOL@GMAIL.COM</t>
  </si>
  <si>
    <t>CLL 5N 12B 135 211142</t>
  </si>
  <si>
    <t>KM 3 CARRETERA PANAMERICANA VÍA AL SALADO (CARCEL MODELO)</t>
  </si>
  <si>
    <t>UTCOMPLEJOSCARCELARIOSCUCUTA@GMAIL.COM</t>
  </si>
  <si>
    <t>CLL 10 3-81 LOC 3-85</t>
  </si>
  <si>
    <t>CLL 14AN 4A-81 TORRE 1 APTO 103</t>
  </si>
  <si>
    <t>CLL 14AN 4A-81 TORRE 1 APTO 203</t>
  </si>
  <si>
    <t>CLL 14AN 4A-81 TORRE 1 APTO 303</t>
  </si>
  <si>
    <t>CLL 14AN 4A-81 TORRE 1 APTO 403</t>
  </si>
  <si>
    <t>CLL 14AN 4A-81 TORRE 2 APTO 103</t>
  </si>
  <si>
    <t>CLL 14AN 4A-81 TORRE 2 APTO 203</t>
  </si>
  <si>
    <t>CLL 14AN 4A-81 TORRE 2 APTO 303</t>
  </si>
  <si>
    <t>CLL 14AN 4A-81 TORRE 2 APTO 403</t>
  </si>
  <si>
    <t>CLL 14AN 4A-81 TORRE 3 APTO 103</t>
  </si>
  <si>
    <t>CLL 14AN 4A-81 TORRE 3 APTO 203</t>
  </si>
  <si>
    <t>CLL 14AN 4A-81 TORRE 3 APTO 303</t>
  </si>
  <si>
    <t>CLL 14AN 4A-81 TORRE 3 APTO 403</t>
  </si>
  <si>
    <t>CLL 14AN 4A-81 TORRE 4 APTO 103</t>
  </si>
  <si>
    <t>CLL 14AN 4A-81 TORRE 4 APTO 203</t>
  </si>
  <si>
    <t>CLL 14AN 4A-81 TORRE 4 APTO 303</t>
  </si>
  <si>
    <t>CLL 14AN 4A-81 TORRE 4 APTO 403</t>
  </si>
  <si>
    <t>CLL 14AN 4A-81 TORRE 5 APTO 103</t>
  </si>
  <si>
    <t>CLL 14AN 4A-81 TORRE 5 APTO 203</t>
  </si>
  <si>
    <t>CLL 14AN 4A-81 TORRE 5 APTO 303</t>
  </si>
  <si>
    <t>CLL 14AN 4A-81 TORRE 5 APTO 403</t>
  </si>
  <si>
    <t>CLL 14AN 4A-81 TORRE 6 APTO 103</t>
  </si>
  <si>
    <t>CLL 14AN 4A-81 TORRE 6 APTO 203</t>
  </si>
  <si>
    <t>CLL 14AN 4A-81 TORRE 6 APTO 303</t>
  </si>
  <si>
    <t>CLL 14AN 4A-81 TORRE 6 APTO 403</t>
  </si>
  <si>
    <t>CLL 14AN 4A-81 TORRE 7 APTO 103</t>
  </si>
  <si>
    <t>CLL 14AN 4A-81 TORRE 7 APTO 203</t>
  </si>
  <si>
    <t>CLL 14AN 4A-81 TORRE 7 APTO 303</t>
  </si>
  <si>
    <t>CLL 14AN 4A-81 TORRE 7 APTO 403</t>
  </si>
  <si>
    <t>VDA SANTA CECILIA (MINA) 0000</t>
  </si>
  <si>
    <t>coordinacionambiental@excomin.com</t>
  </si>
  <si>
    <t>AVE 6 10-82 - CENTRO</t>
  </si>
  <si>
    <t>BANCO BOGOTA</t>
  </si>
  <si>
    <t>AVS3260@BANCODEBOGOTA.COM.CO</t>
  </si>
  <si>
    <t>KMT 1 VIA PTO SANTANDER 98 1309</t>
  </si>
  <si>
    <t>CONTABILIDAD@AVICOLAMASCRIOLLO.COM</t>
  </si>
  <si>
    <t>AVE 7A 0BN-38/50 1082</t>
  </si>
  <si>
    <t>SERVICIOSPUBLICOS@DROMEDICAS.COM.CO</t>
  </si>
  <si>
    <t>CLL 16N 6-34 1225</t>
  </si>
  <si>
    <t>PROVEEDORFACTURA-E@DISTRAVES.COM;DOSMA@DISTRAVES.COM</t>
  </si>
  <si>
    <t>CLL 17N 5-75 1219</t>
  </si>
  <si>
    <t>COLDISALIMENTOS@GMAIL.COM</t>
  </si>
  <si>
    <t>R31 CC JARDIN PLAZA</t>
  </si>
  <si>
    <t>SERVICIOSPUBLICOS@HELADOSPOPSY.COM</t>
  </si>
  <si>
    <t>AVE LIBERTADORES CANAL BOGOTA LOC 102 1079</t>
  </si>
  <si>
    <t>PRESTO_467@MESOFOODS.COM</t>
  </si>
  <si>
    <t>AVE LIBERTADORES CON - CANAL BOGOTA 1079</t>
  </si>
  <si>
    <t>contabilidad@unicentrocucuta.com</t>
  </si>
  <si>
    <t>AV 4 # 10N-61 URBANIZACION EL BOSQUE</t>
  </si>
  <si>
    <t>804001890@FACTUREINBOX.CO</t>
  </si>
  <si>
    <t>CALLE 0 NO. 7A-06/106</t>
  </si>
  <si>
    <t>RECEPCIONFE@AVIDESAORIENTE.COM</t>
  </si>
  <si>
    <t>CLL 18 22-49 1199</t>
  </si>
  <si>
    <t>CONTADORMKD@GMAIL.COM</t>
  </si>
  <si>
    <t>KDX 55-6-1 (AVE 5 2-47) 1116</t>
  </si>
  <si>
    <t>TESORERIA@ATLANTIC.LA</t>
  </si>
  <si>
    <t>CLL 7N 5-51</t>
  </si>
  <si>
    <t>GRUPOLITTLESAS@HOTMAIL.COM</t>
  </si>
  <si>
    <t>AV LIBERTADORES NO 3 - 86</t>
  </si>
  <si>
    <t>AUXILIAR5.CONTABILIDAD@CAMPESA.COM.CO</t>
  </si>
  <si>
    <t>CLL 19AN 4-89</t>
  </si>
  <si>
    <t>coloriental26@yahoo.es</t>
  </si>
  <si>
    <t>AVE 4 7N - 118 1219</t>
  </si>
  <si>
    <t>FE_PROVEEDORES7@CINSA.COM.CO</t>
  </si>
  <si>
    <t>CLL 7N 4 - 33 1219</t>
  </si>
  <si>
    <t>FACTURAELECTRONICA@LAMEJOR.COM.CO</t>
  </si>
  <si>
    <t>CALLE 7N # 5A-66 ZONA INDUSTRI</t>
  </si>
  <si>
    <t>CONTABILIDAD@ARROZAGUACLARA.COM</t>
  </si>
  <si>
    <t>AV LIBERT LOCAL 1 -199</t>
  </si>
  <si>
    <t>CUC.UNICENTRO@ELCORRAL.COM</t>
  </si>
  <si>
    <t>AV. 6 17N-05 ZONA INDUSTRIAL</t>
  </si>
  <si>
    <t>LAVANDERIAIMPACTO.1982@HOTMAIL.COM</t>
  </si>
  <si>
    <t>AVE 7 9N-173 CLUB POLINAL</t>
  </si>
  <si>
    <t>DIBIE.VACACIONAL-CORRAL@POLICIA.GOV.CO</t>
  </si>
  <si>
    <t>AV LIBERTADOR LOCAL 120 CANAL BOGOTA</t>
  </si>
  <si>
    <t>ANGELICA.MORA@COLLIERS.COM</t>
  </si>
  <si>
    <t>AV 6 8N-44</t>
  </si>
  <si>
    <t>NEWWASHLAVANDERIA@GMAIL.COM</t>
  </si>
  <si>
    <t>KM 8 VIA E ZULIA</t>
  </si>
  <si>
    <t>CASABLANCA</t>
  </si>
  <si>
    <t>TRAMITES@AMBIENTESCASABLANCA.COM</t>
  </si>
  <si>
    <t>CLL 14AN 4A-81 TORRE 1 APTO 102</t>
  </si>
  <si>
    <t>CLL 14AN 4A-81 TORRE 1 APTO 202</t>
  </si>
  <si>
    <t>CLL 14AN 4A-81 TORRE 1 APTO 302</t>
  </si>
  <si>
    <t>CLL 14AN 4A-81 TORRE 1 APTO 402</t>
  </si>
  <si>
    <t>CLL 14AN 4A-81 TORRE 2 APTO 102</t>
  </si>
  <si>
    <t>CLL 14AN 4A-81 TORRE 2 APTO 202</t>
  </si>
  <si>
    <t>CLL 14AN 4A-81 TORRE 2 APTO 302</t>
  </si>
  <si>
    <t>CLL 14AN 4A-81 TORRE 2 APTO 402</t>
  </si>
  <si>
    <t>CLL 14AN 4A-81 TORRE 3 APTO 102</t>
  </si>
  <si>
    <t>CLL 14AN 4A-81 TORRE 3 APTO 202</t>
  </si>
  <si>
    <t>CLL 14AN 4A-81 TORRE 3 APTO 302</t>
  </si>
  <si>
    <t>CLL 14AN 4A-81 TORRE 3 APTO 402</t>
  </si>
  <si>
    <t>CLL 14AN 4A-81 TORRE 4 APTO 102</t>
  </si>
  <si>
    <t>CLL 14AN 4A-81 TORRE 4 APTO 202</t>
  </si>
  <si>
    <t>CLL 14AN 4A-81 TORRE 4 APTO 302</t>
  </si>
  <si>
    <t>CLL 14AN 4A-81 TORRE 4 APTO 402</t>
  </si>
  <si>
    <t>CLL 14AN 4A-81 TORRE 5 APTO 102</t>
  </si>
  <si>
    <t>CLL 14AN 4A-81 TORRE 5 APTO 202</t>
  </si>
  <si>
    <t>CLL 14AN 4A-81 TORRE 5 APTO 302</t>
  </si>
  <si>
    <t>CLL 14AN 4A-81 TORRE 5 APTO 402</t>
  </si>
  <si>
    <t>CLL 14AN 4A-81 TORRE 6 APTO 102</t>
  </si>
  <si>
    <t>CLL 14AN 4A-81 TORRE 6 APTO 202</t>
  </si>
  <si>
    <t>CLL 14AN 4A-81 TORRE 6 APTO 302</t>
  </si>
  <si>
    <t>CLL 14AN 4A-81 TORRE 6 APTO 402</t>
  </si>
  <si>
    <t>CLL 14AN 4A-81 TORRE 7 APTO 102</t>
  </si>
  <si>
    <t>CLL 14AN 4A-81 TORRE 7 APTO 202</t>
  </si>
  <si>
    <t>CLL 14AN 4A-81 TORRE 7 APTO 302</t>
  </si>
  <si>
    <t>CLL 14AN 4A-81 TORRE 7 APTO 402</t>
  </si>
  <si>
    <t>CLL 17N 18E-14</t>
  </si>
  <si>
    <t>INMOBILIARIA CUFOR</t>
  </si>
  <si>
    <t>CONTABILIDAD@CN.LAGRANCOSECHASAS.COM</t>
  </si>
  <si>
    <t>AVE 5 12-53</t>
  </si>
  <si>
    <t>LINA.ESPINELM@CLARO.COM.CO</t>
  </si>
  <si>
    <t>AVE 5 11-25 - CENTRO</t>
  </si>
  <si>
    <t>YOLVER.MARIO@SCOTIABANKCOLPATRIA.COM</t>
  </si>
  <si>
    <t>COLEGIOS ZONA SUR</t>
  </si>
  <si>
    <t>VIA ANILLO VIAL DGN INTERFERIAS BDG 1</t>
  </si>
  <si>
    <t>GRUPOCOXTIN@GMAIL.COM</t>
  </si>
  <si>
    <t>CLL 10 10-58</t>
  </si>
  <si>
    <t>AV ANILLO VIAL ORIENTAL JARDIN PLAZA</t>
  </si>
  <si>
    <t>RECEPCIONFACTURAS@QUEST.COM.CO</t>
  </si>
  <si>
    <t>AVE 16 # 11-10 LIBERTAD</t>
  </si>
  <si>
    <t>AVE 3 21-36</t>
  </si>
  <si>
    <t>contabilidad@hotel-bolivar.com</t>
  </si>
  <si>
    <t>CR SAN RAFAEL TENNIS</t>
  </si>
  <si>
    <t>TESORERIA@TENNISGOLFCLUB.COM.CO</t>
  </si>
  <si>
    <t>AVE 11E 8-41 CLINICA</t>
  </si>
  <si>
    <t>COMPRASYSERVICIOSCSA@GMAIL.COM</t>
  </si>
  <si>
    <t>CLL 4N AVE 11E GUAIMARAL</t>
  </si>
  <si>
    <t>col_inem@yahoo.es</t>
  </si>
  <si>
    <t>CLL 5N 7AE-160</t>
  </si>
  <si>
    <t>PAGADURIA@COLEGIOEBENEZER.EDU.CO</t>
  </si>
  <si>
    <t>AVENIDA GRAN COLOMBIA</t>
  </si>
  <si>
    <t>SERVPUBCUC@CENDOJ.RAMAJUDICIAL.GOV.CO</t>
  </si>
  <si>
    <t>AVE 9E 0-10 - 0232607</t>
  </si>
  <si>
    <t>INSTITUTOLAESPERANZA06@HOTMAIL.COM</t>
  </si>
  <si>
    <t>AVE 0 CLL 10A 0E 95 LC 101</t>
  </si>
  <si>
    <t>CONTABILIDAD@HOTELTONCHALA.COM.CO</t>
  </si>
  <si>
    <t>CLL 13 3E-278 - 0235105</t>
  </si>
  <si>
    <t>hrincon@corponor.gov.co</t>
  </si>
  <si>
    <t>AVE 0 11-153 LOC 1</t>
  </si>
  <si>
    <t>PEACHSEXSHOPBUSSINESS@GMAIL.COM</t>
  </si>
  <si>
    <t>AVE 0 11-153 LOC 5</t>
  </si>
  <si>
    <t>DANYELI.ACUNA@LAASCENSION.COM</t>
  </si>
  <si>
    <t>AVE 0 11-153 301</t>
  </si>
  <si>
    <t>ABOGADA@NUBIAMORALESDEDUPLAT.ONMICROSOFT.COM</t>
  </si>
  <si>
    <t>AV.0 # 11-153. 403</t>
  </si>
  <si>
    <t>CLL 13 1E-39 CENTRO NEFROLOGI</t>
  </si>
  <si>
    <t>EDWIN_CORREA@BAXTER.COM</t>
  </si>
  <si>
    <t>CLL 14 4E-23 APTO 201</t>
  </si>
  <si>
    <t>CINOVA1934@YAHOO.COM</t>
  </si>
  <si>
    <t>CLL 14 4E-23 APTO 401</t>
  </si>
  <si>
    <t xml:space="preserve">CENTRO </t>
  </si>
  <si>
    <t>inmobiliariabellohogar@hotmail.com</t>
  </si>
  <si>
    <t>CLL 14 4E-23 APTO 601</t>
  </si>
  <si>
    <t>PECOSA2807@HOTMAIL.COM</t>
  </si>
  <si>
    <t>CLL 22 0B-09</t>
  </si>
  <si>
    <t>colcardenalscucuta@gmail.com</t>
  </si>
  <si>
    <t>AVE 1 17-93 LA PLAYA TOTALIZADOR</t>
  </si>
  <si>
    <t>CENTROMEDICONORTECUCUTA@HOTMAIL.COM</t>
  </si>
  <si>
    <t>CLL 14 0-73</t>
  </si>
  <si>
    <t>AUXCONTABLE2CUCUTA@LOSOLIVOS.CO</t>
  </si>
  <si>
    <t>CLL 13 N° 1-75</t>
  </si>
  <si>
    <t>FACTURACIONFBMP@LATURENA.CO</t>
  </si>
  <si>
    <t>AVE 2 12-23 - LA PLAYA</t>
  </si>
  <si>
    <t>bibliocucuta@gmail.com</t>
  </si>
  <si>
    <t>CLL 12 2-38</t>
  </si>
  <si>
    <t>CONTABILIDAD@LICANCERCUCUTA.ORG</t>
  </si>
  <si>
    <t>AVE 2 # 10-47 L- 104 PARQUEADERO</t>
  </si>
  <si>
    <t>PATRI_ZULUAGA@HOTMAIL.COM;PATRI-ZULUAGA@HOTMAIL.COM</t>
  </si>
  <si>
    <t>AVE 2 10-47 LOCAL.204</t>
  </si>
  <si>
    <t>AUREOINMOBILIARIA1617@GMAIL.COM</t>
  </si>
  <si>
    <t>PALACIO NACIONAL 3 PISO</t>
  </si>
  <si>
    <t>NFRAMON@REGISTRADURIA.GOV.CO</t>
  </si>
  <si>
    <t>CLL 9 AV 1 ESQUINA</t>
  </si>
  <si>
    <t>SERVICIOADMINISTRATIVOS@CONFANORTE.COM.CO</t>
  </si>
  <si>
    <t>CLL 9 # 3-50 PALACIO NACIONAL</t>
  </si>
  <si>
    <t>ADUANA</t>
  </si>
  <si>
    <t>CORRESP_ENTRADA_CUCUTA-ADU@DIAN.GOV.CO</t>
  </si>
  <si>
    <t>VIA AL PORTICO 1205</t>
  </si>
  <si>
    <t>MAZA</t>
  </si>
  <si>
    <t>CENTRALDEPAGOSSERVICIODEASEO@GMAIL.COM</t>
  </si>
  <si>
    <t>CLL 6 460 62 HIELOS CUCUTA</t>
  </si>
  <si>
    <t>FACTURAHIELOSCUCUTA@HOTMAIL.COM</t>
  </si>
  <si>
    <t>AV 5 CL 13 Y 14 BRR CENTRO</t>
  </si>
  <si>
    <t>GOBERNACION</t>
  </si>
  <si>
    <t>SERVICIOSADMINISTRATIVOS@NORTEDESANTANDER.GOV.CO / SECHACIENDA@NORTEDESANTANDER.GOV.CO</t>
  </si>
  <si>
    <t>CLL 11 5-49 - 0242832</t>
  </si>
  <si>
    <t>ENTIDADES</t>
  </si>
  <si>
    <t>hernando.vergara@cucuta.gov.co</t>
  </si>
  <si>
    <t>AVE 5 11-58</t>
  </si>
  <si>
    <t>MIGUEL_MOLINA@BANCOPOPULAR.COM.CO;LUZ_VALENCIA@BANCOPOPULAR.COM.CO</t>
  </si>
  <si>
    <t>CLL 11 4-43 ADM</t>
  </si>
  <si>
    <t>CENTROINTERLECS@YAHOO.COM</t>
  </si>
  <si>
    <t>CC JARDIN PLAZA L54</t>
  </si>
  <si>
    <t>JARDIN PLAZA</t>
  </si>
  <si>
    <t>CUCUTA@EUROPIEL.COM.MX</t>
  </si>
  <si>
    <t>LC 11B CC JARDIN PLAZA</t>
  </si>
  <si>
    <t>SESJARDINCUCUTA@IMAGIQ.CO</t>
  </si>
  <si>
    <t>LC 69-70 CC JARDÍN PLAZA</t>
  </si>
  <si>
    <t>SERVICIOSPUBLICOS@SPORTLINE.COM.CO</t>
  </si>
  <si>
    <t>LC 66 CC JARDIN PLAZA</t>
  </si>
  <si>
    <t>AUX_CONTABLE01@MODANOVA.COM.CO</t>
  </si>
  <si>
    <t>L 53 CC JARDIN PALZA</t>
  </si>
  <si>
    <t>JARDIN PLAZA-ADMINISTRACION</t>
  </si>
  <si>
    <t>AMBIENTAL@JARDINPLAZA.COM</t>
  </si>
  <si>
    <t>CLL 10 5-84 LOC 202</t>
  </si>
  <si>
    <t>HERMANOSMEDRANO@HOTMAIL.COM</t>
  </si>
  <si>
    <t>CLL 10 4-38 1ER PISO</t>
  </si>
  <si>
    <t>CONDOMINIOEDIFICIOCCC@GMAIL.COM</t>
  </si>
  <si>
    <t>AVE 7 10-56 HOTEL</t>
  </si>
  <si>
    <t>HOTELLORD22@GMAIL.COM</t>
  </si>
  <si>
    <t>AVE 17 CL 15</t>
  </si>
  <si>
    <t>VIA A BOCONO C-004-28-III</t>
  </si>
  <si>
    <t>WEANAYA@POSTOBON.COM.CO</t>
  </si>
  <si>
    <t>CC JARDIN PLAZA L77</t>
  </si>
  <si>
    <t>NOMINAS@MOMA.COM.CO</t>
  </si>
  <si>
    <t>CC JARDIN PLAZA R16B</t>
  </si>
  <si>
    <t>PLATANOVERDESJARDINPLAZA@GMAIL.COM</t>
  </si>
  <si>
    <t>AVE 1AE N 18-08 CAOBOS</t>
  </si>
  <si>
    <t>CORRESPONDENCIAYNOTIFICACIONESZ@JRCINS.CO</t>
  </si>
  <si>
    <t>KM 5 PRECONCRETOS</t>
  </si>
  <si>
    <t>TALENTOHUMANO@PRECONCRETOS.NET</t>
  </si>
  <si>
    <t>VIA EL PORTICO - 0256625</t>
  </si>
  <si>
    <t>CARLOS.GUTIERREZP@KOF.COM</t>
  </si>
  <si>
    <t>CALLE 1N# 9E-155</t>
  </si>
  <si>
    <t>FACTURAELECTRONICA@DAVITACOM.ONMICROSOFT.COM</t>
  </si>
  <si>
    <t>DIAGONAL SANTANDER - 0256851</t>
  </si>
  <si>
    <t>ESTADIO Y PLAZA DE BANDERAS</t>
  </si>
  <si>
    <t>SUBDIRECCIONADM@IMRD-CUCUTA.GOV.CO</t>
  </si>
  <si>
    <t>LC 51 CC JARDIN PLAZA</t>
  </si>
  <si>
    <t>SUBGERENCIA@SAAD.COM.CO</t>
  </si>
  <si>
    <t>LOCAL L 91 CC JARDIN PLAZA</t>
  </si>
  <si>
    <t>CC JARDIN PLAZA LC L1 L2</t>
  </si>
  <si>
    <t>RECEPCION.FACTURAS.COL@DOLLARCITY.COM</t>
  </si>
  <si>
    <t>CC JARDIN PLAZA L83</t>
  </si>
  <si>
    <t>BACHIRMIREP@HOTMAIL.COM</t>
  </si>
  <si>
    <t>AGUA CLARA - 0257810</t>
  </si>
  <si>
    <t>NOA LTE 2 LOC D1 SANTA ANA ANILLO VIAL ORIENTAL 1028</t>
  </si>
  <si>
    <t>CC JARDIN PLAZA LC 89</t>
  </si>
  <si>
    <t>CONTABILIDAD@KALOS.COM.CO</t>
  </si>
  <si>
    <t>AV 7 8-45 CENTO LOCALES</t>
  </si>
  <si>
    <t>CONSTRUCTORAZARAGOZA2015@GMAIL.COM</t>
  </si>
  <si>
    <t>AVENIDA 5 # 10-75 CENTRO</t>
  </si>
  <si>
    <t>OVALLOSY@BANCOAVVILLAS.COM.CO</t>
  </si>
  <si>
    <t>AV 0 1AN-37</t>
  </si>
  <si>
    <t>OLIMPICA</t>
  </si>
  <si>
    <t>MSANCHEZ@OLIMPICA.COM.CO</t>
  </si>
  <si>
    <t>CL. 12A # 1E-24</t>
  </si>
  <si>
    <t>ARJELY.MIRANDA@IDIME.COM.CO</t>
  </si>
  <si>
    <t>LOCAL L8 CC JARDIN PLAZA</t>
  </si>
  <si>
    <t>CUCUTA@AGUABENDITA.COM.CO;NICOLE.BERGSNEIDER@GMAIL.COM</t>
  </si>
  <si>
    <t>CLL 6 ENTRE AVE 6 Y 7</t>
  </si>
  <si>
    <t>CONTABILIDAD@CCMERCEDES.COM</t>
  </si>
  <si>
    <t>CLL 11 2E-10 3PISO CAOBOS</t>
  </si>
  <si>
    <t>CAOBOS@BODYTECHCORP.COM</t>
  </si>
  <si>
    <t>KDX 32 1B KTM 26 SECTOR LA ESPERANZA</t>
  </si>
  <si>
    <t>TESORERIA@SANTACLARASAS.COM;ARROCERASANTACLARA@HOTMAIL.COM</t>
  </si>
  <si>
    <t>SEC ANILLO VIAL ORIENTAL KM 11 520 M IN 2</t>
  </si>
  <si>
    <t>sagadecolombia_adm@hotmail.com</t>
  </si>
  <si>
    <t>AVE 3E 13A-02</t>
  </si>
  <si>
    <t>CSOPERADOR</t>
  </si>
  <si>
    <t>900753033@FACTUREINBOX.COM</t>
  </si>
  <si>
    <t>L50 CC JARDIN PLAZA</t>
  </si>
  <si>
    <t>SPDFACTURAS@VERTEBRASOLUCIONES.COM</t>
  </si>
  <si>
    <t>A04 CC JARDIN PLAZA</t>
  </si>
  <si>
    <t>HENRY.QUINTERO@CORBETA.COM.CO</t>
  </si>
  <si>
    <t>GEEKS TECNOLOGY</t>
  </si>
  <si>
    <t>K09 CC JARDIN PLAZA</t>
  </si>
  <si>
    <t>geektechndosy@hotmail.com</t>
  </si>
  <si>
    <t>R08 CC JARDIN PLAZA</t>
  </si>
  <si>
    <t>DIMARJARDINPLAZACUCUTA@GMAIL.COM</t>
  </si>
  <si>
    <t>S06 CC JARDIN PLAZA</t>
  </si>
  <si>
    <t>K06 CC JARDIN PLAZA</t>
  </si>
  <si>
    <t>MC DONALDS</t>
  </si>
  <si>
    <t>SERVICIOS.PUBLICOS_CO@CO.MCD.COM</t>
  </si>
  <si>
    <t>LC84 CC JARDIN PLAZA</t>
  </si>
  <si>
    <t>FACTURAS@PAMACOL.COM</t>
  </si>
  <si>
    <t>L27 CC JARDIN PLAZA</t>
  </si>
  <si>
    <t>ALIAZUL161@GMAIL.COM</t>
  </si>
  <si>
    <t>CC JARDIN PLAZA LOCAL A 13</t>
  </si>
  <si>
    <t>JPCUCUTA@ARKADIA.COM.CO</t>
  </si>
  <si>
    <t>R26 CC JARDIN PLAZA</t>
  </si>
  <si>
    <t>GARCIARODRIGUEZSAS@GMAIL.COM</t>
  </si>
  <si>
    <t>R 23 JARDINN PLAZA</t>
  </si>
  <si>
    <t>KJOHANAMORENO2@GMAIL.COM</t>
  </si>
  <si>
    <t>AV 3AE 9-37 P4 T2 URB ROSETAL</t>
  </si>
  <si>
    <t>FISCALIA</t>
  </si>
  <si>
    <t>BLANCA.GARCIAH@FISCALIA.GOV.CO</t>
  </si>
  <si>
    <t>L80B CC JARDIN PLAZA</t>
  </si>
  <si>
    <t>IMPERIODELTIEMPO80@GMAIL.COM</t>
  </si>
  <si>
    <t>L11 CC JARDIN PLAZA</t>
  </si>
  <si>
    <t>TESORERIA.JARDINPLAZA@SURTITODO.COM.CO</t>
  </si>
  <si>
    <t>A12 CC JARDIN PLAZA</t>
  </si>
  <si>
    <t>CLL 17 0-88 - 0093724</t>
  </si>
  <si>
    <t>sebzgod@gmail.com</t>
  </si>
  <si>
    <t>CLL 10 0E-51 LOC 1-16 VENTURA</t>
  </si>
  <si>
    <t>KFC</t>
  </si>
  <si>
    <t>SERVICIOSPUBLICOS@KFC.CO</t>
  </si>
  <si>
    <t>CLL 17 0 - 88 92 LOC 4</t>
  </si>
  <si>
    <r>
      <rPr>
        <rFont val="Arial"/>
        <color rgb="FF1155CC"/>
        <u/>
      </rPr>
      <t>aux.servicioalclientevyv@</t>
    </r>
    <r>
      <rPr>
        <rFont val="Arial"/>
        <color rgb="FF1155CC"/>
        <u/>
      </rPr>
      <t>gmail.com</t>
    </r>
  </si>
  <si>
    <t>CLL 2 # 3-07 BOCONO</t>
  </si>
  <si>
    <t>CLL 25 AVE 19 AGUAS CALIENTES</t>
  </si>
  <si>
    <t>AVE 4 24-10 SAN MATEO</t>
  </si>
  <si>
    <t>AVE 3 21-73 POLINAL</t>
  </si>
  <si>
    <t>REDOMA SAN MATEO AUT.INT</t>
  </si>
  <si>
    <t>EDWARD.CAMELO@SALGADOMELENDEZ.COM</t>
  </si>
  <si>
    <t>CLL 9 9E-77 COLEGIO D.SABI</t>
  </si>
  <si>
    <t>EDUCACION@GIMNASIODOMINGOSAVIO.EDU.CO</t>
  </si>
  <si>
    <t>AVE 5 # 6-20</t>
  </si>
  <si>
    <t>PROPORCOL.SAS@GMAIL.COM</t>
  </si>
  <si>
    <t>CLL 5AN AVE 13E</t>
  </si>
  <si>
    <t>AVE 9E 5N-10 URB LOS PINOS</t>
  </si>
  <si>
    <t>tesoreria@centrocristiano.com.co</t>
  </si>
  <si>
    <t>AVE 3E 4 22 LOC 105</t>
  </si>
  <si>
    <t>FPRUIZ@DISTRAVES.COM;PROVEEDORFACTURA-E@DISTRAVES.COM</t>
  </si>
  <si>
    <t>CLL 7 3E-30 POPULAR</t>
  </si>
  <si>
    <t>CONTABILIDADCUCUTA@SALESIANOSBOGOTA.ORG</t>
  </si>
  <si>
    <t>AVE 3E 3-12 LA CANASTA</t>
  </si>
  <si>
    <t>lacanastacucuta@hotmail.com</t>
  </si>
  <si>
    <t>DIAG SANTANDER</t>
  </si>
  <si>
    <t>SERVICIOSADMINISTRATIVOS@NORTEDESANTANDER.GOV.CO</t>
  </si>
  <si>
    <t>CLL 10 0E-100</t>
  </si>
  <si>
    <t>DIAG SANTANDER 11-200</t>
  </si>
  <si>
    <t>YRODRIGUEZG@HOMECENTER.CO; NPINZON@HOMECENTER.CO</t>
  </si>
  <si>
    <t>CLL 13 1E-54-74</t>
  </si>
  <si>
    <t>CONTABILIDAD1CSJ@GMAIL.COM;ANALISTACONTABLE@CLINICASANJOSEDECUCUTA.COM</t>
  </si>
  <si>
    <t>AV.0 #11-153 L4</t>
  </si>
  <si>
    <t>ALVARO4960@GMAIL.COM</t>
  </si>
  <si>
    <t>AVE 0 11-153 203</t>
  </si>
  <si>
    <t>jw@imetan.com</t>
  </si>
  <si>
    <t>AVE 0 11-153 402</t>
  </si>
  <si>
    <t>ELKINSEBE@HOTMAIL.COM</t>
  </si>
  <si>
    <t>CLL 14 4E-23 APTO 101</t>
  </si>
  <si>
    <t>ADMONCUCUTA@CARMELITASTERESAS.ORG</t>
  </si>
  <si>
    <t>CLL 14 4E-23 APTO 502</t>
  </si>
  <si>
    <t>CLL 13A 2E-112 TOTALIZADOR</t>
  </si>
  <si>
    <t>CONDOMINIOEDIFICIOAGOYAN@GMAIL.COM</t>
  </si>
  <si>
    <t>CLL 20 0-18 CONSULT.1 Y 2</t>
  </si>
  <si>
    <t>JAMADOGUTIERREZ@HOTMAIL.COM</t>
  </si>
  <si>
    <t>AVE 3 16-39 41 HOGAR INFANTIL</t>
  </si>
  <si>
    <t>hogarmarie33@hotmail.com</t>
  </si>
  <si>
    <t>AV O CLL 10 EDIFICIO ROSETAL</t>
  </si>
  <si>
    <t>mparada@prosperidadsocial.gov.co</t>
  </si>
  <si>
    <t>CLL 13 1-10</t>
  </si>
  <si>
    <t>CLL 10 2-75 HOTEL ACORA</t>
  </si>
  <si>
    <t>hotelacora@hotmail.com</t>
  </si>
  <si>
    <t>AVE 2 10-47 LOCAL.101</t>
  </si>
  <si>
    <t>CLL 9 10-14 1004</t>
  </si>
  <si>
    <t>INTESISRECEPCION@GMAIL.COM</t>
  </si>
  <si>
    <t>AVENIDAD 3 N° 7A-35 BARRIO LATINO</t>
  </si>
  <si>
    <t>RECEPCION.HVPmillenium@GMAIL.COM</t>
  </si>
  <si>
    <t>CLL 12 4-33 BA#OS</t>
  </si>
  <si>
    <t>CONDOMINIOCCI@HOTMAIL.COM</t>
  </si>
  <si>
    <t>VEREDA SAN PEDRO-EL PORTICO</t>
  </si>
  <si>
    <t>FACTURAS1@OPERADORALCM.COM</t>
  </si>
  <si>
    <t>CC JARDIN PLAZA L33</t>
  </si>
  <si>
    <t>MIRCOUNIONINV@GMAIL.COM</t>
  </si>
  <si>
    <t>LC 76 CC JARDÍN PLAZA</t>
  </si>
  <si>
    <t>PDVJARDINPLAZACUCUTA@SUPERTEXINC.COM</t>
  </si>
  <si>
    <t>LC 80 CC JARDÍN PLAZA</t>
  </si>
  <si>
    <t>FE-SERVICIOSPUBLICOS@PROSALON.COM.CO</t>
  </si>
  <si>
    <t>ANALISTA.CONTABILIDAD4@SUPERGIROSNORTESANTANDER.CO;GERENCIA@SUPERGIROSNORTESANTANDER.CO</t>
  </si>
  <si>
    <t>AVE 5 9-25</t>
  </si>
  <si>
    <t>fundacion@ceramicaitalia.com</t>
  </si>
  <si>
    <t>CLL 9 4-22.3 LOCALES</t>
  </si>
  <si>
    <t>GIBA-L@HOTMAIL.COM</t>
  </si>
  <si>
    <t>AVENIDA 0 9 - 80 EDIFICIO ROSETAL</t>
  </si>
  <si>
    <t>TESORERIA@IFINORTE.GOV.CO</t>
  </si>
  <si>
    <t>AVE 7 9-66 HOTEL CACIQUE</t>
  </si>
  <si>
    <t>INVERSIONESMULTIPLE@HOTMAIL.COM</t>
  </si>
  <si>
    <t>CLL 11 DGN SANTANDER LOT B3 URB ROSETAL 1010</t>
  </si>
  <si>
    <t>rentas.co@smartfit.com; facturacion@gruposurtitex.com.co, jairg5@hotmail.com</t>
  </si>
  <si>
    <t>CC JARDIN PLAZA K7</t>
  </si>
  <si>
    <t>DANIEL.VILLAMIZAR95@GMAIL.COM</t>
  </si>
  <si>
    <t>CC JARDIN PLAZA L11A</t>
  </si>
  <si>
    <t>ADMINISTRACION@MASTERSERIES.COM.CO</t>
  </si>
  <si>
    <t>CC JARDIN PLAZA L79</t>
  </si>
  <si>
    <t>NOA LOTE 3 OFC 203 ANTIGUA BDG POLAR - ANILLO VIAL</t>
  </si>
  <si>
    <t>AV 11E 5AN-151 EDIF COMUNICACION SOCIAL</t>
  </si>
  <si>
    <t>ADMISALUD_COMUNICACION@UNIPAMPLONA.EDU.CO</t>
  </si>
  <si>
    <t>K05 CC JARDIN PLAZA</t>
  </si>
  <si>
    <t>ANDRECA_11@HOTMAIL.COM</t>
  </si>
  <si>
    <t>LOCAL L 93 CC JARDIN PLAZA</t>
  </si>
  <si>
    <t>LOCAL R12 CC JARDIN PLAZA</t>
  </si>
  <si>
    <t>FUEZZAINVERSIONES@HOTMAIL.COM</t>
  </si>
  <si>
    <t>ENTRADA MINA LA DINASTIA-SAN PEDRO</t>
  </si>
  <si>
    <t>FACTURACIONCRISTALINA@GRUPOJARR.COM</t>
  </si>
  <si>
    <t>CC JARDIN PLAZA LOCAL R-04</t>
  </si>
  <si>
    <t>CONTAC.CO@HM.COM</t>
  </si>
  <si>
    <t>L06 CC JARDÍN PLAZA</t>
  </si>
  <si>
    <t>CONTABILIDAD@KRONOTIME.COM.CO</t>
  </si>
  <si>
    <t>C.C VENTURA PLAZA PISO 3</t>
  </si>
  <si>
    <t>VENTURAPLAZA799@CINEMARK.COM.CO</t>
  </si>
  <si>
    <t>LOCAL 47 CC JARDÍN PLAZA</t>
  </si>
  <si>
    <t>CC JARDIN PLAZA LC 48 URB SAN FRANCISCO</t>
  </si>
  <si>
    <t>MANISOL@BATA.COM</t>
  </si>
  <si>
    <t>AVENIDA 0 #11-29 QUINTA VELEZ</t>
  </si>
  <si>
    <t>CC JARDIN PLAZA LOCAL L60</t>
  </si>
  <si>
    <t>ME.IVAN@HOTMAIL.COM</t>
  </si>
  <si>
    <t>AV 116 7 15 OF 1402 BOGOTA DC</t>
  </si>
  <si>
    <t>FACTURAELECTRONICA@CO.MCD.COM</t>
  </si>
  <si>
    <t>ANILLO VIAL 13 70 LC 43 (JARDIN PLAZA)</t>
  </si>
  <si>
    <t>ALAMCEN.JARDINPLAZACUC@FAJATE.CO</t>
  </si>
  <si>
    <t>LOCAL RM 27- JARDIN PLAZA</t>
  </si>
  <si>
    <t>MMORALES@FRISBY.COM.CO</t>
  </si>
  <si>
    <t>AVENIDA 2 10-47 LOCAL 202</t>
  </si>
  <si>
    <t>PRINCESSBRIDAL3650@GMAIL.COM</t>
  </si>
  <si>
    <t>CLL 8 4-35 CENTRO</t>
  </si>
  <si>
    <t>GRUPOEMPRESARIALELSURTIDOR@GMAIL.COM</t>
  </si>
  <si>
    <t>AV 1 # 16-69</t>
  </si>
  <si>
    <t>CONTABILIDAD.ALIADOSENSALUD@GMAIL.COM</t>
  </si>
  <si>
    <t>CLL 9 5-19 LOC 5-21</t>
  </si>
  <si>
    <t>FACTURACION@DIVERSIONESDELORIENTE.COM; subgerencia@diversionesdeloriente.com</t>
  </si>
  <si>
    <t>AV GRAN COLOMBIA NO 9E-09</t>
  </si>
  <si>
    <t>pisosygres@hotmail.com</t>
  </si>
  <si>
    <t>AVE 4 9-06 - 0049358</t>
  </si>
  <si>
    <t>serviciospublicos@cruzverde.com.co, notificacionesjudiciales@cruzverde.com.co</t>
  </si>
  <si>
    <t>ANILLO VIAL ORIENTAL 13-70 CC JARDIN PLAZA LC A16B</t>
  </si>
  <si>
    <t>CLL 10 NO 0E-51 SUB3 ARM7 LOC3 CITY PARK</t>
  </si>
  <si>
    <t>FACTURACIONE.CUCUTA@CITYPARK.COM.CO</t>
  </si>
  <si>
    <t>CLL 12 6-05</t>
  </si>
  <si>
    <t>CL 11 12 - 34</t>
  </si>
  <si>
    <t>INDUSTRIA DE SUELAS LC</t>
  </si>
  <si>
    <t>industriadesuelaslc@hotmail.com</t>
  </si>
  <si>
    <t>AV 2 NO. 14-68 LA PLAYA</t>
  </si>
  <si>
    <t>CONTRALORIA</t>
  </si>
  <si>
    <t>HECTOR.RODRIGUEZL@CONTRALORIA.GOV.CO</t>
  </si>
  <si>
    <t>CLL 0N ESQ 16E-20 AV LIBERTADORES</t>
  </si>
  <si>
    <t>gestion.ambiental@clinicamedicalduarte.com</t>
  </si>
  <si>
    <t>AVE 1 16-35</t>
  </si>
  <si>
    <t>GASTOS@SUPERLOSMONTES.CO</t>
  </si>
  <si>
    <t>AVE 1 25-49 - URB. EL ROSAL</t>
  </si>
  <si>
    <t>AVE 4E 14A-25</t>
  </si>
  <si>
    <t>INVERSIONES VANGUARDIA INVERVAN SAS</t>
  </si>
  <si>
    <t>ANILLO VIAL ORIENTAL LTE 2 SANTA BARBARA - 0290289</t>
  </si>
  <si>
    <t>AUXILIARCOMPRAVENTA@GILYEPESYCIA.COM;YBARRETO@INVERVAN.COM</t>
  </si>
  <si>
    <t>JARDIN-PLAZA EN FISICO/OLIMPICA</t>
  </si>
  <si>
    <t>S04 CC JARDIN PLAZA</t>
  </si>
  <si>
    <t>PAOLAF.PALACIOS@GMAIL.COM</t>
  </si>
  <si>
    <t>R06 CC JARDIN PLAZA</t>
  </si>
  <si>
    <t>WILLILLO7@HOTMAIL.COM</t>
  </si>
  <si>
    <t>L96-97 CC JARDIN PLAZA</t>
  </si>
  <si>
    <t>MAFERGARCIA2008@HOTMAIL.COM</t>
  </si>
  <si>
    <t>L20 CC JARDIN PLAZA - 0290693</t>
  </si>
  <si>
    <t>CUCUTA@HEALTHCOMPANY.COM.CO</t>
  </si>
  <si>
    <t>L78 CC JARDIN PLAZA</t>
  </si>
  <si>
    <t>JIREHGOLDENDREAMS@HOTMAIL.COM</t>
  </si>
  <si>
    <t>L67-68 CC JARDIN PLAZA</t>
  </si>
  <si>
    <t>Iduque@mac-center.com</t>
  </si>
  <si>
    <t>L23-24 CC JARDIN PLAZA</t>
  </si>
  <si>
    <t>CUERO VELEZ</t>
  </si>
  <si>
    <t>PSVALENCIA@CUEROSVELEZ.COM</t>
  </si>
  <si>
    <t>K28 CC JARDIN PLAZA</t>
  </si>
  <si>
    <t>ASISTENTECONTABLE3@INVERVAN.COM;YBARRETO@INVERVAN.COM</t>
  </si>
  <si>
    <t>MULTICINEJARDINPLAZACUCUTA@ROYAL.FILMS.COM</t>
  </si>
  <si>
    <t>CLL 7 9-18 LOC - 0290718</t>
  </si>
  <si>
    <t>duquegiraldo29@hotmail.com</t>
  </si>
  <si>
    <t>R9 CC JARDIN PLAZA</t>
  </si>
  <si>
    <t>LONDEROSEXPRESS@HOTMAIL.COM</t>
  </si>
  <si>
    <t>L 107 CC JARDIN PLAZA</t>
  </si>
  <si>
    <t>LACHURRASQUERIAJARDIN@GMAIL.COM;AUDITORIACHURRAJARDIN@GMAIL.COM</t>
  </si>
  <si>
    <t>L26 CC JARDIN PLAZA</t>
  </si>
  <si>
    <t>R16 CC JARDIN PLAZA</t>
  </si>
  <si>
    <t>LOYSA88@YAHOO.ES</t>
  </si>
  <si>
    <t>CLL 10 #0E-51 LOC. 356 CC VENTURA</t>
  </si>
  <si>
    <t>MTORO@FRISBY.COM.CO</t>
  </si>
  <si>
    <t>L81 CC JARDIN PLAZA</t>
  </si>
  <si>
    <t>AUXILIARADMON2.INFASHION@GMAIL.COM;ADMON@INFASHIONGROUP.COM</t>
  </si>
  <si>
    <t>CLL 10 0E-51 LOCAL 230 VENTURA</t>
  </si>
  <si>
    <t>LVCUCUTA014@SAFELAGROUP.COM.CO</t>
  </si>
  <si>
    <t>CLL 10 0E-51 LOC 348 VENTURA</t>
  </si>
  <si>
    <t>CUCUTA2-VENTURAPLAZA@HELADOSPOPSY.COM</t>
  </si>
  <si>
    <t>ANILLO VIAL ORIENTAL 7N-51 BODEGA 11</t>
  </si>
  <si>
    <t>facturacion.electronicacolombia@agv.co, jennifer.duran@solistica.com; contabilidad.bucaramanga@solistica.com</t>
  </si>
  <si>
    <t>CLL 7 2-18 SAN LUIS</t>
  </si>
  <si>
    <t>CONDUZCAMOS.CUCUTA21@HOTMAIL.COM</t>
  </si>
  <si>
    <t>ANILLO VIAL REDOMA ESCOBAL (PLAZA DEL ESTE)</t>
  </si>
  <si>
    <t>EMPLANORTESAS@GMAIL.COM</t>
  </si>
  <si>
    <t>AVE 5 5 44 - LOC 1</t>
  </si>
  <si>
    <t>AVE 0 0-280 - 0205952</t>
  </si>
  <si>
    <t>CLL 10B 12B-42 TORCOROMA</t>
  </si>
  <si>
    <t>AVE 9 # 3-45 LA UNION</t>
  </si>
  <si>
    <t>CLL 19 13-23 L</t>
  </si>
  <si>
    <t>AVE 3 21-105 SAN MATEO</t>
  </si>
  <si>
    <t>SERVICIOSPUBLICOS@INVIAS.GOV.CO</t>
  </si>
  <si>
    <t>CLL 1N AVE 11E Y 12E Q. ORIEN</t>
  </si>
  <si>
    <t>MARTORDO@ESAP.EDU.CO;FACTURACION.NSANTANDER@ESAP.EDU.CO</t>
  </si>
  <si>
    <t>AVE 11E 5AN-71</t>
  </si>
  <si>
    <t>MANTENIMIENTO@HERASMOMEOZ.GOV.CO</t>
  </si>
  <si>
    <t>AVE 9E 6-107 CLINICA PREVENTIVA</t>
  </si>
  <si>
    <t>MEDICO QUIRURGICA</t>
  </si>
  <si>
    <t>GESTIONAMBIENTAL@CMQCUCUTA.COM</t>
  </si>
  <si>
    <t>AV GRAN COLOMBIA 1 E 42 BRR POPULAR</t>
  </si>
  <si>
    <t>CLUBCAZADORESCUCUTA1@HOTMAIL.COM</t>
  </si>
  <si>
    <t>AV 2E #6-80 COLEGIO SALLE</t>
  </si>
  <si>
    <t>FINANCIERA@LASALLECUCUTA.EDU.CO;COMPRAS@LASALLECUCUTA.EDU.CO</t>
  </si>
  <si>
    <t>CLL 11 2E-75 CAOBOS</t>
  </si>
  <si>
    <t>THUMANO@HOTELCASINOINTERNACIONAL.COM.CO</t>
  </si>
  <si>
    <t>CLL 13 1E-45 TORRE.B</t>
  </si>
  <si>
    <t>CONDOMINIOCSJTORREB@GMAIL.COM</t>
  </si>
  <si>
    <t>AVE 0 11-153 LOC 3</t>
  </si>
  <si>
    <t>TUSECRETOSEXSHOP.1@GMAIL.COM</t>
  </si>
  <si>
    <t>AVE 0 11-153 202</t>
  </si>
  <si>
    <t>JENNRODRIGUEZPSIC@GMAIL.COM</t>
  </si>
  <si>
    <t>AVE 0 11-153 401</t>
  </si>
  <si>
    <t>JENNY.GIL@VEOLIA.COM</t>
  </si>
  <si>
    <t>AVE 0 13-99 CAOBOS</t>
  </si>
  <si>
    <t>ASISTENTEADMINISTRATIVACUCUTA@PROVIDAIPS.COM.CO</t>
  </si>
  <si>
    <t>AVE 2E 15A-51 COLEGIO</t>
  </si>
  <si>
    <t>CLL 7 6-49 SAN LUIS</t>
  </si>
  <si>
    <t>CONTABILIDAD@CARNESFRIASCIFUENTES.COM</t>
  </si>
  <si>
    <t>CL 14 #4E-23 APTO 501</t>
  </si>
  <si>
    <t>JOR_MANSILLA@HOTMAIL.COM</t>
  </si>
  <si>
    <t>CL 14 #4E-23 APTO 701</t>
  </si>
  <si>
    <t>INMUEBLESNOVACASA@GMAIL.COM</t>
  </si>
  <si>
    <t>AVE O 19-80 CONSULT.3</t>
  </si>
  <si>
    <t>delira07@hotmail.com</t>
  </si>
  <si>
    <t>AVE 6 # 19-76 LA CABRERA</t>
  </si>
  <si>
    <t>CALLE 16 0-53</t>
  </si>
  <si>
    <t>GESTIONDOCUMENTAL@CMQCUCUTA.COM/YOLIMARDURAN@CMQCUCUTA.COM</t>
  </si>
  <si>
    <t>AVE 0 13-04 RESTAURANTE</t>
  </si>
  <si>
    <t>REST.LATERTULIA@HOTMAIL.COM</t>
  </si>
  <si>
    <t>CLL 7 4-156</t>
  </si>
  <si>
    <t>L45 CC JARDIN PLAZA</t>
  </si>
  <si>
    <t>ROBOTICASP.FMS.CO@SODEXO.COM</t>
  </si>
  <si>
    <t>AVE 2 #10-47 L.102 LA PLAYA</t>
  </si>
  <si>
    <t>RICKYELMEJOR2009@HOTMAIL.COM</t>
  </si>
  <si>
    <t>AVE 0 10-44</t>
  </si>
  <si>
    <t>PANADERIALAGRANESPECIAL@HOTMAIL.COM</t>
  </si>
  <si>
    <t>CLL 9 2-99</t>
  </si>
  <si>
    <t>GIJUALMI-28@HOTMAIL.COM</t>
  </si>
  <si>
    <t>AVE 0 7-62 HOTEL ARIZONA</t>
  </si>
  <si>
    <t>TESORERIA@HOTELARIZONASUITES.COM</t>
  </si>
  <si>
    <t>CLL 11 5-05</t>
  </si>
  <si>
    <t>CC JARDIN PLAZA L61</t>
  </si>
  <si>
    <t>ADMINISTRACION@MINISO.CO</t>
  </si>
  <si>
    <t>qst509@qst.com.co</t>
  </si>
  <si>
    <t>AVE 2 5-26 1007</t>
  </si>
  <si>
    <t>HIELOSANTAFE2@HOTMAIL.COM</t>
  </si>
  <si>
    <t>LC 92 CC JARDÍN PLAZA</t>
  </si>
  <si>
    <t>CONTABILIDADCASIOCUCUTAOFICIAL@HOTMAIL.COM</t>
  </si>
  <si>
    <t>AVE 7 10-45</t>
  </si>
  <si>
    <t>COCONTABILIDAD@CENTROCOMERCIALOITI.COM</t>
  </si>
  <si>
    <t>AVE 5 9-73 HOTEL AMARUC</t>
  </si>
  <si>
    <t>VENTASAMARUC@HOTELVILLAANTIGUACUC.COM</t>
  </si>
  <si>
    <t>CLL 9 # 6 - 44</t>
  </si>
  <si>
    <t>ccalejandria718@hotmail.com</t>
  </si>
  <si>
    <t>AVE 6 14-55</t>
  </si>
  <si>
    <t>FACTURAELECTRONICA@HOTELCASABLANCA.COM.CO</t>
  </si>
  <si>
    <t>CLL 9 7-33</t>
  </si>
  <si>
    <t>MULTICENTRO7AVENIDA@HOTMAIL.COM;ARTURO_MANRIQUE5@HOTMAIL.COM</t>
  </si>
  <si>
    <t>CLL 22 AVE 19A - 19B SANTANDER</t>
  </si>
  <si>
    <t>HOSMENTALCUCUTA@HOTMAIL.COM</t>
  </si>
  <si>
    <t>PLAZAS DE MERCADO BARRIOS 3</t>
  </si>
  <si>
    <t>CC JARDIN PLAZA K2_LOCAL 31A</t>
  </si>
  <si>
    <t>COAPINVOICE@PANDORA.NET</t>
  </si>
  <si>
    <t>CC JARDIN PLAZA L94</t>
  </si>
  <si>
    <t>MXIMENAC9@HOTMAIL.COM</t>
  </si>
  <si>
    <t>CC JARDIN PLAZA A7</t>
  </si>
  <si>
    <t>JPLAZACUCUTA@TENNIS.COM.CO</t>
  </si>
  <si>
    <t>CC JARDIN PLAZA L18</t>
  </si>
  <si>
    <t>POS1035@GCO.COM.CO;OFICINAFRESITAS@HOTMAIL.COM</t>
  </si>
  <si>
    <t>DIAG SDER 8-93 CENTRO</t>
  </si>
  <si>
    <t>LA ESPERANZA</t>
  </si>
  <si>
    <t>FACTURACION@ORGLAESPERANZA.COM</t>
  </si>
  <si>
    <t>ANILLO VIAL - VIA UREÑA EL ESC</t>
  </si>
  <si>
    <t>SHIRLEY.MENESES@ICEBERG.COM.CO</t>
  </si>
  <si>
    <t>L 87-88 CC JARDIN PLAZA</t>
  </si>
  <si>
    <t>GALATI.PELUQUERIA@GMAIL.COM</t>
  </si>
  <si>
    <t>LOCAL A3 CC JARDIN PLAZA</t>
  </si>
  <si>
    <t>MAXIMO@PEPEGANGA.COM</t>
  </si>
  <si>
    <t>LOCAL 8A CC JARDIN PLAZA</t>
  </si>
  <si>
    <t>CONTABILIDAD@MONASTERY.COM.CO</t>
  </si>
  <si>
    <t>AVE GRAN COLOMBIA 2E-96 POPULAR</t>
  </si>
  <si>
    <t>SERVICIOSPUBLICOS.TC@TELEFONICA.COM;D.CRUZ02@TELEFONICA.COM</t>
  </si>
  <si>
    <t>LOCAL A8 CC JARDÍN PLAZA</t>
  </si>
  <si>
    <t>JEAN.AMADO@IXCOMERCIO.COM</t>
  </si>
  <si>
    <t>CC JARDIN PLAZA LC 59</t>
  </si>
  <si>
    <t>F.ELECTRONICA@ANGELSGROUPSAS.COM</t>
  </si>
  <si>
    <t>CC JARDIN PLAZA LC L 39</t>
  </si>
  <si>
    <t>RESTREPO.NESTOR@PAYLESS.COM</t>
  </si>
  <si>
    <t>AVE 3E 5N 01 GIMNASIO 1011</t>
  </si>
  <si>
    <t>PEDROJOSECU@HOTMAIL.COM;CONTABILIDAD@FITNESSPEOPLECMD.COM</t>
  </si>
  <si>
    <t>AVE 5E 10-81 LA RIVIERA</t>
  </si>
  <si>
    <t>SERVICIOS.PUBLICOS@BRINKS.COM.CO</t>
  </si>
  <si>
    <t>CC JARDIN PLAZA LC 98</t>
  </si>
  <si>
    <t>FACTURAELECTRONICA@MEDIPIEL.COM.CO</t>
  </si>
  <si>
    <t>LOCAL L 35 - JARDIN PLAZA</t>
  </si>
  <si>
    <t>JAVENDANO@SPRING.COM.CO</t>
  </si>
  <si>
    <t>LOCAL N°40 CC JARDÍN PLAZA</t>
  </si>
  <si>
    <t>YOYOJARDINPLAZA@YOYO.COM.CO</t>
  </si>
  <si>
    <t>CC JARDIN PLAZA LOCAL L4</t>
  </si>
  <si>
    <t>AUXILIAR.UNION@MARCASEUROPEAS.NET;ME.IVON@HOTMAIL.COM</t>
  </si>
  <si>
    <t>CR 7 113-43 OF 304 BOGOTA (LOCAL A16A JARDN PLAZA)</t>
  </si>
  <si>
    <t>FACTURACION@PROCHAMPIONS.CO</t>
  </si>
  <si>
    <t>ANILLO VIAL ORIENTAL JARDIN PLAZA #13-70 LOCAL L09 L10</t>
  </si>
  <si>
    <t>FACTURAS@TUGO.COM.CO;TUGO@TUGO.COM.CO</t>
  </si>
  <si>
    <t>AVENIDAD 1 N° 14-90 LA PLAYA</t>
  </si>
  <si>
    <t>FACTURACIONLAHIELERABLUESAS@GMAIL.COM</t>
  </si>
  <si>
    <t>CLL 10 1-60</t>
  </si>
  <si>
    <t>C.C VENTURA PLAZA LOCAL 228</t>
  </si>
  <si>
    <t>LEIDY.ZAPARDIEL@INNOVACLUB.COM.CO</t>
  </si>
  <si>
    <t>LC R22 CC JARDIN PLAZA</t>
  </si>
  <si>
    <t>ARQUEOSCAJA.LAGRANCOSECHASAS@GMAIL.COM</t>
  </si>
  <si>
    <t>ANILLO VIAL ORIENTAL #13-75 LC 30</t>
  </si>
  <si>
    <t>AVE 5 9-24 - 0049882</t>
  </si>
  <si>
    <t>AV 2 #12-43 BRR SAN LUIS</t>
  </si>
  <si>
    <t>CONTABILIDAD@PROBOLSAS.COM ; FINANZASBOLSAS@GMAIL.COM</t>
  </si>
  <si>
    <t>CLL 11A #1E-132</t>
  </si>
  <si>
    <t>tesoreria@csoperador.com</t>
  </si>
  <si>
    <t>MINA LA FIERA FINCA LAPEDREG0SA VÍA PUERTO NUEVO</t>
  </si>
  <si>
    <t>CONTABILIDAD.CARBONESLAMIRLA@GMAIL.COM / CARBONESLAMIRLA@HOTMAIL.COM</t>
  </si>
  <si>
    <t>AVE 1N 18-57</t>
  </si>
  <si>
    <t>SERVICIOSPUBLICOS@CRUZVERDE.COM.CO; HOTELCINERACUCUTA@HOTMAIL.COM; SERVICIOSPUBLICOS@CRUZVERDE.COM.CO; NATALY.PARRA@CRUZVERDE.COM.CO</t>
  </si>
  <si>
    <t>AV 3E 15-100 CAOBOS</t>
  </si>
  <si>
    <t>ISHTANA</t>
  </si>
  <si>
    <t>ISHTANACUCUTA@GMAIL.COM</t>
  </si>
  <si>
    <t>CLL 10 0E-94 SUB 5 C E 1 ARMARIO 1 LOCAL - 0283959</t>
  </si>
  <si>
    <t>FACTURACION@GRUPOLANOTA.COM</t>
  </si>
  <si>
    <t>AMANDA LUCIA ACEVEDO ROJAS</t>
  </si>
  <si>
    <t>CLL 6N 11E-123 - 0284989</t>
  </si>
  <si>
    <t>AUXILIARLOGISTICA@CMQCUCUTA.COM</t>
  </si>
  <si>
    <t>CALLE 7 6E-192</t>
  </si>
  <si>
    <t>MSANCHEZ@OLIMPICA.COM.CO;AGUERRERO@OLIMPICA.COM.CO</t>
  </si>
  <si>
    <t>A68 CC JARDIN PLAZA</t>
  </si>
  <si>
    <t>L56 CC JARDIN PLAZA</t>
  </si>
  <si>
    <t>L71 CC JARDIN PLAZA</t>
  </si>
  <si>
    <t>FREECUCUTAJARDIN122@SAFELAGROUP.COM.CO</t>
  </si>
  <si>
    <t>RK31 CC JARDIN PLAZA</t>
  </si>
  <si>
    <t>IMPUESTOS@GOYURT.COM.CO;ASISTENTE2.GOYURT@GMAIL.COM</t>
  </si>
  <si>
    <t>CENTURY SPORTS S.A.S</t>
  </si>
  <si>
    <t>L52 CC JARDIN PLAZA</t>
  </si>
  <si>
    <t>L17 CC JARDIN PLAZA</t>
  </si>
  <si>
    <t>FACTURAFRAVICOL@FRAVICOL.COM</t>
  </si>
  <si>
    <t>L74 CC JARDIN PLAZA</t>
  </si>
  <si>
    <t>L73 CC JARDIN PLAZA</t>
  </si>
  <si>
    <t>ROOTTKIDS@HOTMAIL.COM / ROJASMALDONADOJHONALEXANDER@GMAIL.COM</t>
  </si>
  <si>
    <t>R 20 CC JARDIN PLAZA</t>
  </si>
  <si>
    <t>DIEGOOSQ@GMAIL.COM</t>
  </si>
  <si>
    <t>KM 11 MAS 520 MTS ANILLO VIAL BG 3 BOCONO</t>
  </si>
  <si>
    <t>FACTURA-ELECTRONICA@KAMI-PLAST.COM</t>
  </si>
  <si>
    <t>L30-L31-L32 CC JARDIN PLAZA</t>
  </si>
  <si>
    <t>LIQUIDACIONES@GRUPOCALYF.COM.CO</t>
  </si>
  <si>
    <t>L28 CC JARDIN PLAZA</t>
  </si>
  <si>
    <t>CHAMELACUCUTA@OUTLOOK.COM</t>
  </si>
  <si>
    <t>CLL 8 5-47 CENTRO</t>
  </si>
  <si>
    <t>CLL 5 AVE 6 ESQUINA INORSA</t>
  </si>
  <si>
    <t>CLL 4 11A-26 - 0206542</t>
  </si>
  <si>
    <t>CALLE 4-37 BARRIO EL ESCOBAL</t>
  </si>
  <si>
    <t>ESCUELA SANTA ANA N.1</t>
  </si>
  <si>
    <t>AVE 3A 5-81 B. STA ANA</t>
  </si>
  <si>
    <t>CLL 28 10-45 BELLAVISTA</t>
  </si>
  <si>
    <t>CLL 3 2-48 SAN MATEO</t>
  </si>
  <si>
    <t>CLL 38 10-30</t>
  </si>
  <si>
    <t>URBANIZACION LA RINCONADA</t>
  </si>
  <si>
    <t>ANGELINOSCUCUTA@GMAIL.COM</t>
  </si>
  <si>
    <t>RECREANORTE RODIZZIO</t>
  </si>
  <si>
    <t>AVE LIBERTADORES N 10-121 MALECON II ETAPA</t>
  </si>
  <si>
    <t>RODIZIOCUCUTA@OUTLOOK.COM</t>
  </si>
  <si>
    <t>AVE 12E CLL 2N ENFERMERIA</t>
  </si>
  <si>
    <t>UFPS</t>
  </si>
  <si>
    <t>VICEADMINISTRATIVA@UFPS.EDU.CO</t>
  </si>
  <si>
    <t>CLL 6N # 12E-73 ACACIOS</t>
  </si>
  <si>
    <t>GERENCIA@CENTRODEREHABILITACIONCARDIONEUROMUSCULAR.GOV.CO</t>
  </si>
  <si>
    <t>AV 11E CONCLL 11N B. GUAIMARAL</t>
  </si>
  <si>
    <t>CLL 7A 6E-22</t>
  </si>
  <si>
    <t>MECUC.NUSEFA-LO@POLICIA.GOV.CO</t>
  </si>
  <si>
    <t>DIAGONAL SANTANDER 3E - 38 LA RIVIERA</t>
  </si>
  <si>
    <t>DCIP-FACTURACIONELECTRONICA@BANREP.GOV.CO</t>
  </si>
  <si>
    <t>AVE 0 0-61 QUINTA BOSH</t>
  </si>
  <si>
    <t>CONTABILIDADMULTINEGOCIOS2020@GMAIL.COM</t>
  </si>
  <si>
    <t>AVE 1 CALLE 2-3</t>
  </si>
  <si>
    <t>BEATRIZRINCONS.IMRDTESORERIA@GMAIL.COM;SUBDIRECCIONADM@IMRD-CUCUTA.GOV.CO</t>
  </si>
  <si>
    <t>CALLE 18 1AE-91 CAOBOS - CUCUTA</t>
  </si>
  <si>
    <t>proresumen@hotmail.com</t>
  </si>
  <si>
    <t>AVE 0 11-153 LOC 2</t>
  </si>
  <si>
    <t>AVE 0 11-153 303</t>
  </si>
  <si>
    <t>CLL 14 4E-23 APTO 402</t>
  </si>
  <si>
    <t>LINOGAL21@HOTMAIL.COM</t>
  </si>
  <si>
    <t>CLL 14 4E-23 APTO 602</t>
  </si>
  <si>
    <t>AVE 1 18-11</t>
  </si>
  <si>
    <t>CONTABILIDAD@CLINICANORTE.COM.CO</t>
  </si>
  <si>
    <t>CLL 1BN 15AE-29</t>
  </si>
  <si>
    <t>CONTABILIDAD.TODOENUNO@GMAIL.COM</t>
  </si>
  <si>
    <t>CLL 18 AVE 1 Y 2 COLEGIO</t>
  </si>
  <si>
    <t>CONTADORA@COLPRESANTATERESACUCUTA.EDU.CO</t>
  </si>
  <si>
    <t>AVE 1 16-60</t>
  </si>
  <si>
    <t>CLUBDELCOMERCIOCU@HOTMAIL.COM</t>
  </si>
  <si>
    <t>CLL 14 1-76</t>
  </si>
  <si>
    <t>MANTENIMIENTO@COMFAORIENTE.COM;  TALENTOHUMANO@COMFAORIENTE.COM</t>
  </si>
  <si>
    <t>AVE 0 12-26</t>
  </si>
  <si>
    <t>carlosandres.vera@bbva.com; sandra.quintero@bbva.com; yuranipaola.hurtado@bbva.com</t>
  </si>
  <si>
    <t>AVE 4 10-89</t>
  </si>
  <si>
    <t>CONTABILIDAD@SAAD.COM.CO</t>
  </si>
  <si>
    <t>AV 2 10-47 L103</t>
  </si>
  <si>
    <t>AVE 2 10-47 LOCAL.201</t>
  </si>
  <si>
    <t>GERARDOBASTOS@HOTMAIL.COM;PATRI-ZULUAGA@HOTMAIL.COM</t>
  </si>
  <si>
    <t>AVE 0 9-30</t>
  </si>
  <si>
    <t>OFIREGISCUCUTA@SUPERNOTARIADO.GOV.CO</t>
  </si>
  <si>
    <t>CLL 7 6-25-33 SUPER IDEAL</t>
  </si>
  <si>
    <t>SUPERMERCADOELIDEAL@HOTMAIL.COM</t>
  </si>
  <si>
    <t>CLL 11 5-19 - CENTRO</t>
  </si>
  <si>
    <t>AVE 5 11-39</t>
  </si>
  <si>
    <t>PHCUCUTA@GMAIL.COM</t>
  </si>
  <si>
    <t>CC JARDIN PLAZA L75</t>
  </si>
  <si>
    <t>BOTICAJARDINP@HOTMAIL.COM</t>
  </si>
  <si>
    <t>CC JARDIN PLAZA L49</t>
  </si>
  <si>
    <t>CAROLINASANCHEZ.2131@GMAIL.COM</t>
  </si>
  <si>
    <t>EUFORIA JOYERIA</t>
  </si>
  <si>
    <t>LC S02 CC JARDÍN PLAZA</t>
  </si>
  <si>
    <t>CLL 11A 6-87</t>
  </si>
  <si>
    <t>IRMASANCHEZLAZO1972@HOTMAIL.COM</t>
  </si>
  <si>
    <t>JARDIN PLAZA # 13-70 L. RM 3</t>
  </si>
  <si>
    <t>MAPRI424@YAHOO.COM</t>
  </si>
  <si>
    <t>CL 44 # 8 - 31 BOGOTA D.C.</t>
  </si>
  <si>
    <t>FE.CLINICA@NEFROUROS.NET</t>
  </si>
  <si>
    <t>CLL 10 5-50</t>
  </si>
  <si>
    <t>AGROBANCARIO@HOTMAIL.COM</t>
  </si>
  <si>
    <t>CLL 16 4-12 LA OPINION</t>
  </si>
  <si>
    <t>890502801@FACTUREINBOX.CO</t>
  </si>
  <si>
    <t>LC 14 CC JARDIN PLAZA CÚCUTA</t>
  </si>
  <si>
    <t>FINANCIERA@ARTUROCALLE.COM.CO</t>
  </si>
  <si>
    <t>AVE GRAN COLOMBIA 12E-96</t>
  </si>
  <si>
    <t>viceadministrativa@ufps.edu.co</t>
  </si>
  <si>
    <t>CC JARDIN PLAZA L 29</t>
  </si>
  <si>
    <t>NOMINAS@MOMA.COM.CO; ASISCOMERCIAL@MOMA.COM.CO</t>
  </si>
  <si>
    <t>CC JARDIN PLAZA RM1</t>
  </si>
  <si>
    <t>RADICACION.FACTURAS@KFC.CO</t>
  </si>
  <si>
    <t>CC JARDIN PLAZA L55</t>
  </si>
  <si>
    <t>CONTABILIDADMALU@GMAIL.COM</t>
  </si>
  <si>
    <t>CC JARDIN PLAZA R17</t>
  </si>
  <si>
    <t>EDIF ROSETAL OFIC</t>
  </si>
  <si>
    <t>MASAIB971@GMAIL.COM</t>
  </si>
  <si>
    <t>AV 0 NO 12-66 EDIFICIO DOMUS CENTER LOCAL 106</t>
  </si>
  <si>
    <t>CORRESPONDENCIAYNOTIFICACIONES2@JRCINS.CO</t>
  </si>
  <si>
    <t>CALLE 11 CON AVENIDA 2E - 90 DIAGONAL S</t>
  </si>
  <si>
    <t>BLEIDYS.LINDARTECAMARGO@CENCOSUD.COM.CO</t>
  </si>
  <si>
    <t>CC JARDIN PLAZA LC L6 L8</t>
  </si>
  <si>
    <t>CC JARDIN PLAZA LC 44</t>
  </si>
  <si>
    <t>CC JARDIN PLAZALC 42</t>
  </si>
  <si>
    <t>FACT@ELEGANTHOMECOLOMBIA.COM</t>
  </si>
  <si>
    <t>CC JARDIN PLAZA LC R 15</t>
  </si>
  <si>
    <t>DELLAMORE22@GMAIL.COM</t>
  </si>
  <si>
    <t>C.C. VENTURA PLAZA LOC 247</t>
  </si>
  <si>
    <t>UP128@PANAMERICANA.COM.CO</t>
  </si>
  <si>
    <t>LC R24 CL 14 3 127 CC JARDIN PLAZA</t>
  </si>
  <si>
    <t>MEATMARKETEXPRESS@GMAIL.COM</t>
  </si>
  <si>
    <t>AVE 0 11-119 LOC 4 (LTE 10 MNZ 27 ESQ)</t>
  </si>
  <si>
    <t>CENTRO COMERCIAL JARDÍN PLAZA CÚCUTA LOCAL A15</t>
  </si>
  <si>
    <t>CENTRO COMERCIAL BOLIVAR BL D</t>
  </si>
  <si>
    <t>MAN01.ST15@MAKRO.COM.CO</t>
  </si>
  <si>
    <t>AUTOPISTA INTERNACIONAL</t>
  </si>
  <si>
    <t>CUCUTAMOTORS@MIFACTURAELECTRONICA.COM.CO</t>
  </si>
  <si>
    <t>JHON</t>
  </si>
  <si>
    <t>AVE 5 7-90 CENTRO</t>
  </si>
  <si>
    <t>GROUPDUBO@HOTMAIL.COM</t>
  </si>
  <si>
    <t>L A16 CC JARDIN PLAZA</t>
  </si>
  <si>
    <t>CVCO.1304@CRUZVERDE.COM.CO</t>
  </si>
  <si>
    <t>LOCAL LC R32 CC JARDIN PLAZA</t>
  </si>
  <si>
    <t>RECEPCION.FACTURAELECTRONICA@BBI.COM.CO</t>
  </si>
  <si>
    <t>ANILLO VIAL ORIENTAL 13-70 CC JARDIN PLAZA</t>
  </si>
  <si>
    <t>JARDIN_PLAZA_CUCUTA@GRUPOBOTICARIO.COM;LEGAL@GRUPOBOTICARIO.COM.CO</t>
  </si>
  <si>
    <t>CALLE 8N 0 125 BARRIO LATINO</t>
  </si>
  <si>
    <t>JMG.MAC@HOTMAIL.COM</t>
  </si>
  <si>
    <t>AVE 5 12-80</t>
  </si>
  <si>
    <t>CLL 15 1E-09</t>
  </si>
  <si>
    <t>CL 97 23 60 ED PROKSOL P 8 - 0284641</t>
  </si>
  <si>
    <t>FACTURACIONUVRP@SACYR.COM</t>
  </si>
  <si>
    <t>L16 CC JARDIN PLAZA</t>
  </si>
  <si>
    <t>FACTURASCONEXIONESCELULARES@GMAIL.COM</t>
  </si>
  <si>
    <t>S07 CC JARDIN PLAZA</t>
  </si>
  <si>
    <t>WAGA3004@GMAIL.COM</t>
  </si>
  <si>
    <t>A05 CC JARDIN PLAZA</t>
  </si>
  <si>
    <t>ADMINISFACTURACUCUTA@FITNESSPEOPLECMD.COM</t>
  </si>
  <si>
    <t>K03 CC JARDIN PLAZA</t>
  </si>
  <si>
    <t>K29 CC JARDIN PLAZA</t>
  </si>
  <si>
    <t>L25 CC JARDIN PLAZA</t>
  </si>
  <si>
    <t>fabiangelvez22@hotmail.com</t>
  </si>
  <si>
    <t>R21 CC JARDIN PLAZA</t>
  </si>
  <si>
    <t>contabilidadzirus@outlook.com</t>
  </si>
  <si>
    <t>L33 CC JARDIN PLAZA</t>
  </si>
  <si>
    <t>FACTURAELECTRONICA@MUSSI.COM.CO</t>
  </si>
  <si>
    <t>VERIFICADOR-CORREO ELECTRONICO CERTIFICADO 472</t>
  </si>
  <si>
    <t>pos1062@gco.com.co</t>
  </si>
  <si>
    <t>CRA 14 # 94-44 OFC. 701</t>
  </si>
  <si>
    <t>L46 CC JARDIN PLAZA</t>
  </si>
  <si>
    <t>OPTICACIENTIFICAPLUSS@HOTMAIL.COM</t>
  </si>
  <si>
    <t>L76A CC JARDIN PLAZA</t>
  </si>
  <si>
    <t>LILIENYOI.JARDINPLAZACUCUTA@FASTMODA.COM.CO</t>
  </si>
  <si>
    <t>K08 CC JARDIN PLAZA</t>
  </si>
  <si>
    <t>NAPINZON95@HOTMAIL.COM</t>
  </si>
  <si>
    <t>CLL 5 A N 18 E - 07</t>
  </si>
  <si>
    <t>SUPERMERCADOPLAYAHERMOSA@GMAIL.COM; CONTABILIDAD.TODOENUNO@GMAIL.COM; JJOSEZAMBRANO@GMAIL.COM</t>
  </si>
  <si>
    <t>AVE 9 # 54B-90 APTO 403</t>
  </si>
  <si>
    <t>LA FLORESTA</t>
  </si>
  <si>
    <t>MRSANCHEZD@GMAIL.COM</t>
  </si>
  <si>
    <t>AV.9 # 54B-90 APTO 703</t>
  </si>
  <si>
    <t>COLBRA@HOTMAIL.COM</t>
  </si>
  <si>
    <t>AV.9 # 54B-90 APTO 201</t>
  </si>
  <si>
    <t>JOJOCEGU@HOTMAIL.COM</t>
  </si>
  <si>
    <t>AV.9 #54B-185 APTO.201</t>
  </si>
  <si>
    <t>AV.9 #54B-185 APTO.402</t>
  </si>
  <si>
    <t>FONSIRAM@GMAIL.COM</t>
  </si>
  <si>
    <t>AV.9 #54B-185 APTO.601</t>
  </si>
  <si>
    <t>PINAR DEL RIO</t>
  </si>
  <si>
    <t>AV.9 #54B-185 APTO.702</t>
  </si>
  <si>
    <t>AV.9 # 54B-90 APTO 702</t>
  </si>
  <si>
    <t>CONTABILIDAD@ALUMARONLINE.COM</t>
  </si>
  <si>
    <t>URB ARBOLEDA</t>
  </si>
  <si>
    <t>ARA PATIOS</t>
  </si>
  <si>
    <t>CARLOS.FONSECA@JERONIMO-MARTINS.COM</t>
  </si>
  <si>
    <t>NOA MNZ A SIERRAS DEL ESTE</t>
  </si>
  <si>
    <t>LA CORDIALIDAD</t>
  </si>
  <si>
    <t>ANILLO VIAL 19 - 50</t>
  </si>
  <si>
    <t>TASAJERO</t>
  </si>
  <si>
    <t>JORGECALDERON_28@HOTMAIL.COM</t>
  </si>
  <si>
    <t>11 DE NOVIEMBRE</t>
  </si>
  <si>
    <t>PATIOS CENTRO</t>
  </si>
  <si>
    <t>AVE 9 # 54B-90 APTO 601</t>
  </si>
  <si>
    <t>TUTOREY12@HOTMAIL.COM</t>
  </si>
  <si>
    <t>AV.9 #54B-185 APTO.301</t>
  </si>
  <si>
    <t>AV 10 14-62</t>
  </si>
  <si>
    <t>PIZARREAL</t>
  </si>
  <si>
    <t>JMDELNORTESAS@GMAIL.COM</t>
  </si>
  <si>
    <t>AV.9 # 54B-90 APTO.402</t>
  </si>
  <si>
    <t>ASESOR2@INMOBILIARIALAFONTANA.COM</t>
  </si>
  <si>
    <t>AVE # 54B-38 APTO 301</t>
  </si>
  <si>
    <t>AV.9 # 54B-90 APTO 101</t>
  </si>
  <si>
    <t>ESPERANZA6116@HOTMAIL.COM;MARTINORODRIGUEZD@HOTMAIL.COM</t>
  </si>
  <si>
    <t>AV.9 #54B-185 APTO.202</t>
  </si>
  <si>
    <t>GERMANBAUTISTA1A@HOTMAIL.COM</t>
  </si>
  <si>
    <t>AV.9 #54B-185 APTO.403</t>
  </si>
  <si>
    <t>alvayane@hotmail.com</t>
  </si>
  <si>
    <t>AV.9 #54B-185 APTO.602</t>
  </si>
  <si>
    <t>KMT 15 VIA P/PLONA VADOS 0000</t>
  </si>
  <si>
    <t>TEJARLOSVADOS@HOTMAIL.COM</t>
  </si>
  <si>
    <t>AV.9 #54B-185 APTO.703</t>
  </si>
  <si>
    <t>CL 51 10-45 SEC LA FLORESTA</t>
  </si>
  <si>
    <t>CONTABILIDADCUCUTA@FONOSGASES.COM</t>
  </si>
  <si>
    <t>URB BELLAVISTA</t>
  </si>
  <si>
    <t>LA GARITA, PARQUEADERO ENTRADA RIO PAMPLONITA</t>
  </si>
  <si>
    <t>VEREDA LA GARITA</t>
  </si>
  <si>
    <t>ADMINISTRACION.MTOCUCUTA@ISMOCOL.COM</t>
  </si>
  <si>
    <t>PATIOS VADOS</t>
  </si>
  <si>
    <t>FACTURASMX@MINEX.COM.CO</t>
  </si>
  <si>
    <t>CLL 16 7B-72</t>
  </si>
  <si>
    <t>URB VILLA CELINA</t>
  </si>
  <si>
    <t>FACTURACIONRENTAMAX@HOTMAIL.COM</t>
  </si>
  <si>
    <t>AV.9 # 54B-90 APTO 701</t>
  </si>
  <si>
    <t>MNZ 23 LTE 312</t>
  </si>
  <si>
    <t>VIDELSO</t>
  </si>
  <si>
    <t>CONTABILIDAD@AVICOLAJUNIOR.CO</t>
  </si>
  <si>
    <t>AV 9 54B-185 APTO 302 FLORESTA</t>
  </si>
  <si>
    <t>AV.9 # 54B-90 APTO 503</t>
  </si>
  <si>
    <t>FABIOPENARANDA@HOTMAIL.COM</t>
  </si>
  <si>
    <t>901025046_5</t>
  </si>
  <si>
    <t>AV. 10 NRO. 23A -62</t>
  </si>
  <si>
    <t>PUNTO Y FAMA</t>
  </si>
  <si>
    <t>FACTURACION@PUNTOYFAMA.CO</t>
  </si>
  <si>
    <t>AV.9 # 54B-90 APTO 501</t>
  </si>
  <si>
    <t>BARCOCLAUDIA2216@GMAIL.COM</t>
  </si>
  <si>
    <t>PORTAL DE LOS PATIOS</t>
  </si>
  <si>
    <t>KM 8 PATIOS</t>
  </si>
  <si>
    <t>AV.9 # 54B-90 APTO 303</t>
  </si>
  <si>
    <t>ELIVARIE@HOTMAIL.COM</t>
  </si>
  <si>
    <t>AVE 9 # 54B-90 APTO 202</t>
  </si>
  <si>
    <t>AV.9 #54B-185 APTO.102</t>
  </si>
  <si>
    <t>AV.9 #54B-185 APTO.401</t>
  </si>
  <si>
    <t>AV.9 #54B-185 APTO.503</t>
  </si>
  <si>
    <t>AV.9 #54B-185 APTO.701</t>
  </si>
  <si>
    <t>AVE 10 32-44 RAFAEL HERNANDEZ</t>
  </si>
  <si>
    <t>CARMENCARVAJAL@GMAIL.COM</t>
  </si>
  <si>
    <t>KDX HACIENDA LOS VADOS - LOTE 1. 1316</t>
  </si>
  <si>
    <t>VDA AGUALINDA</t>
  </si>
  <si>
    <t>LIZETHDUQUE@ITALCOL.COM</t>
  </si>
  <si>
    <t>CEMENTERIO LA ESPERANZA - 0313266</t>
  </si>
  <si>
    <t>KM 4 LOS PATIOS</t>
  </si>
  <si>
    <t>JESUSBLANCO1091@GMAIL.COM</t>
  </si>
  <si>
    <t>AV 10 NO 61-60 LOTE 1 PINAR DEL RIO</t>
  </si>
  <si>
    <t>LCO.PDR@CO.MCD.COM</t>
  </si>
  <si>
    <t>AVE 10 21-14</t>
  </si>
  <si>
    <t>AUTOLACAMPINA25@HOTMAIL.COM;ZULUAGAPATIOSSAS@HOTMAIL.COM;ZULUAGAPATIOSSAS@GMAIL.COM</t>
  </si>
  <si>
    <t>AV.9 # 54B-90 APTO.602</t>
  </si>
  <si>
    <t>LA SABANA</t>
  </si>
  <si>
    <t>AVE 9 # 54B-90 APTO 502</t>
  </si>
  <si>
    <t>JACALDE@HOTMAIL.COM</t>
  </si>
  <si>
    <t>SAN REMO</t>
  </si>
  <si>
    <t>KM 17 VDA LOS VADOS VIA PAMPLONA</t>
  </si>
  <si>
    <t>ceramicaamerica@gmail.com</t>
  </si>
  <si>
    <t>TERRAZA LA FLORESTA</t>
  </si>
  <si>
    <t>AVE 9# 54B-90 APTO 401</t>
  </si>
  <si>
    <t>JAIMESOSCAR0099@GMAIL.COM</t>
  </si>
  <si>
    <t>AVE 9 # 54B-90 APTO 203</t>
  </si>
  <si>
    <t>ASISTENTEPARQUESURBANOS@GMAIL.COM</t>
  </si>
  <si>
    <t>AV.9 #54B-185 APTO.303</t>
  </si>
  <si>
    <t>AV.9 #54B-185 APTO.101</t>
  </si>
  <si>
    <t>MINITACHI@GMAIL.COM</t>
  </si>
  <si>
    <t>AV.9 #54B-185 APTO.203</t>
  </si>
  <si>
    <t>AV.9 #54B-185 APTO.501</t>
  </si>
  <si>
    <t>SAKIPACHECO@GMAIL.COM</t>
  </si>
  <si>
    <t>AV.9 #54B-185 APTO.603</t>
  </si>
  <si>
    <t>NOA LOTE 6C 1312</t>
  </si>
  <si>
    <t>DAVIDCALDERON_11@HOTMAIL.COM</t>
  </si>
  <si>
    <t>KMT 12</t>
  </si>
  <si>
    <t>ceramicastamesis@hotmail.com, facturacionrocanova@gmail.com</t>
  </si>
  <si>
    <t>AV.9 # 54B-90 APTO 603</t>
  </si>
  <si>
    <t>AVE 8A # 3-50</t>
  </si>
  <si>
    <t>EVA.REY@FISCALIA.GOV.CO</t>
  </si>
  <si>
    <t>CRA 0 CLL 6 - 33 AUT INTERNACIONAL TEMPLO HISTORICO</t>
  </si>
  <si>
    <t>boleramall16@gmail.com</t>
  </si>
  <si>
    <t>KDX A-50 25N-125 US 0415964</t>
  </si>
  <si>
    <t>ANGELA.MOGOLLON@MAYORAUTOS.COM</t>
  </si>
  <si>
    <t>CRA 15 ENTRADA AL CONJUNTO SAN NICOLAS 7768</t>
  </si>
  <si>
    <t>EMPRESA SALSAMENTARIA</t>
  </si>
  <si>
    <t>CONTABILIDAD@ECOSALSAS.COM;ELYURAMA@HOTMAIL.COM</t>
  </si>
  <si>
    <t>ARA VILLAROSARIO</t>
  </si>
  <si>
    <t>MNZ X LOTE 69 CALLE 8 8</t>
  </si>
  <si>
    <t>GERENCIA4772@GRUPO-EXITO.COM</t>
  </si>
  <si>
    <t>MNZ 2 LOTE 20-1A (CRA A PARADA 11B-239)</t>
  </si>
  <si>
    <t>CRVILLAPRADA@HOTMAIL.COM</t>
  </si>
  <si>
    <t>KMT 001 AUTOPISTA VIA SAN ANT</t>
  </si>
  <si>
    <t>girly0488@gmail.com</t>
  </si>
  <si>
    <t>KM 3 LOMITAS VIA SAN ANTONIO</t>
  </si>
  <si>
    <t>EFACTURACION@TRANSFORMADORESCDM.COM</t>
  </si>
  <si>
    <t>MANTENIMIENTO@COMFAORIENTE.COM;TALENTOHUMANO@COMFAORIENTE.COM</t>
  </si>
  <si>
    <t>VILLA ANTIGUA AUTOPISTA SAN AN</t>
  </si>
  <si>
    <t>POLIZAS@UNIPAMPLONA.EDU.CO;VILLAROSARIO@UNIPAMPLONA.EDU.CO</t>
  </si>
  <si>
    <t>HACIENDO EL RETAZO</t>
  </si>
  <si>
    <t>PROCESADORALIMENTOSLAVILLA@GMAIL.COM</t>
  </si>
  <si>
    <t>KMT 7 9 ANL VIAL ORIENTAL BDG 7 1034</t>
  </si>
  <si>
    <t>MNZ Z LTE 23 LA PARADA</t>
  </si>
  <si>
    <t>QATARMOTEL01@HOTMAIL.COM</t>
  </si>
  <si>
    <t>KM 8 AUTOP SAN ANTONIO</t>
  </si>
  <si>
    <t>SERVICIOS.PUBLICOS@CENIT-TRANSPORTE.COM</t>
  </si>
  <si>
    <t>FINCA LA SOLITA VEREDA EL PALM - 0410612</t>
  </si>
  <si>
    <t>COMPRASANDINA2020@GMAIL.COM</t>
  </si>
  <si>
    <t>CLL 7 11B-176 MZ 2 LOTE 7 LA PARADA</t>
  </si>
  <si>
    <t>MOTELELCASTILLO@OUTLOOK.COM</t>
  </si>
  <si>
    <t>AUTOP. SAN ANTONIO N 8N-255</t>
  </si>
  <si>
    <t>CONTABILIDADONAVA@GMAIL.COM</t>
  </si>
  <si>
    <t>CARRERA 1 E 9-123 VILLA ANTIGUA</t>
  </si>
  <si>
    <t>CLUBVILLACAMPESTRE@HOTMAIL.COM</t>
  </si>
  <si>
    <t>AUTOPISTA INTERNACIONAL - 0415961</t>
  </si>
  <si>
    <t>NUNESGUERREROMARIAJ@GMAIL.COM</t>
  </si>
  <si>
    <t>CLL 6 7-07</t>
  </si>
  <si>
    <t>PARROQUIANSRVILLADELROSARIO@GMAIL.COM</t>
  </si>
  <si>
    <t>NOA KMT 2 296 AUT LOCA 2 SIERRA NEVADA 6070</t>
  </si>
  <si>
    <t>MNZ Z LOT 20 CARRERA A. PARAD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</si>
</sst>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1">
    <font>
      <sz val="11.0"/>
      <color rgb="FF000000"/>
      <name val="Aptos Narrow"/>
      <scheme val="minor"/>
    </font>
    <font>
      <color theme="1"/>
      <name val="Aptos Narrow"/>
      <scheme val="minor"/>
    </font>
    <font>
      <b/>
      <sz val="11.0"/>
      <color theme="1"/>
      <name val="Calibri"/>
    </font>
    <font>
      <sz val="11.0"/>
      <color rgb="FF000000"/>
      <name val="Aptos Narrow"/>
    </font>
    <font>
      <color theme="1"/>
      <name val="Arial"/>
    </font>
    <font>
      <sz val="11.0"/>
      <color rgb="FFFF0000"/>
      <name val="Aptos Narrow"/>
    </font>
    <font>
      <sz val="11.0"/>
      <color theme="1"/>
      <name val="Aptos Narrow"/>
    </font>
    <font>
      <u/>
      <sz val="11.0"/>
      <color rgb="FFFF0000"/>
      <name val="Aptos Narrow"/>
    </font>
    <font>
      <sz val="11.0"/>
      <color rgb="FFFF0000"/>
      <name val="Arial"/>
    </font>
    <font>
      <sz val="11.0"/>
      <color theme="1"/>
      <name val="Arial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left" vertical="bottom"/>
    </xf>
    <xf borderId="0" fillId="3" fontId="2" numFmtId="0" xfId="0" applyAlignment="1" applyFill="1" applyFont="1">
      <alignment horizontal="left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readingOrder="0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vertical="bottom"/>
    </xf>
    <xf borderId="0" fillId="0" fontId="6" numFmtId="164" xfId="0" applyAlignment="1" applyFont="1" applyNumberFormat="1">
      <alignment horizontal="left" vertical="bottom"/>
    </xf>
    <xf borderId="0" fillId="0" fontId="7" numFmtId="0" xfId="0" applyAlignment="1" applyFont="1">
      <alignment horizontal="left" vertical="bottom"/>
    </xf>
    <xf borderId="0" fillId="0" fontId="1" numFmtId="11" xfId="0" applyFont="1" applyNumberForma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vertical="bottom"/>
    </xf>
    <xf borderId="0" fillId="0" fontId="6" numFmtId="11" xfId="0" applyAlignment="1" applyFont="1" applyNumberFormat="1">
      <alignment readingOrder="0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165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0" fontId="9" numFmtId="165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5" fontId="6" numFmtId="0" xfId="0" applyAlignment="1" applyFill="1" applyFont="1">
      <alignment horizontal="right" vertical="bottom"/>
    </xf>
    <xf borderId="0" fillId="5" fontId="6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5" fontId="9" numFmtId="0" xfId="0" applyAlignment="1" applyFont="1">
      <alignment horizontal="right" vertical="bottom"/>
    </xf>
    <xf borderId="0" fillId="5" fontId="9" numFmtId="165" xfId="0" applyAlignment="1" applyFont="1" applyNumberFormat="1">
      <alignment horizontal="right" vertical="bottom"/>
    </xf>
    <xf borderId="0" fillId="5" fontId="6" numFmtId="164" xfId="0" applyAlignment="1" applyFont="1" applyNumberFormat="1">
      <alignment horizontal="right" vertical="bottom"/>
    </xf>
    <xf borderId="1" fillId="2" fontId="6" numFmtId="0" xfId="0" applyAlignment="1" applyBorder="1" applyFont="1">
      <alignment horizontal="right" vertical="bottom"/>
    </xf>
    <xf borderId="1" fillId="2" fontId="6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2" fontId="5" numFmtId="0" xfId="0" applyAlignment="1" applyBorder="1" applyFont="1">
      <alignment horizontal="right" vertical="bottom"/>
    </xf>
    <xf borderId="1" fillId="2" fontId="5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6" fontId="6" numFmtId="0" xfId="0" applyAlignment="1" applyFill="1" applyFont="1">
      <alignment horizontal="right" vertical="bottom"/>
    </xf>
    <xf borderId="0" fillId="6" fontId="6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6" fontId="6" numFmtId="164" xfId="0" applyAlignment="1" applyFont="1" applyNumberFormat="1">
      <alignment horizontal="right" vertical="bottom"/>
    </xf>
    <xf borderId="0" fillId="6" fontId="9" numFmtId="0" xfId="0" applyAlignment="1" applyFont="1">
      <alignment horizontal="right" vertical="bottom"/>
    </xf>
    <xf borderId="0" fillId="0" fontId="4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FACTURACIONEMNFC@HOTMAIL.COM" TargetMode="External"/><Relationship Id="rId2" Type="http://schemas.openxmlformats.org/officeDocument/2006/relationships/hyperlink" Target="mailto:FROJAS@IHSAENERGY.CO" TargetMode="External"/><Relationship Id="rId3" Type="http://schemas.openxmlformats.org/officeDocument/2006/relationships/hyperlink" Target="mailto:empsacol@hotmail.com" TargetMode="External"/><Relationship Id="rId4" Type="http://schemas.openxmlformats.org/officeDocument/2006/relationships/hyperlink" Target="mailto:aux.servicioalclientevyv@gmail.com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44" width="8.75"/>
    <col customWidth="1" min="45" max="45" width="26.5"/>
    <col customWidth="1" min="46" max="49" width="8.75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5" t="s">
        <v>44</v>
      </c>
      <c r="AT1" s="6" t="s">
        <v>45</v>
      </c>
      <c r="AU1" s="7" t="s">
        <v>46</v>
      </c>
      <c r="AV1" s="7" t="s">
        <v>47</v>
      </c>
      <c r="AW1" s="8" t="s">
        <v>48</v>
      </c>
    </row>
    <row r="2" ht="14.25" customHeight="1">
      <c r="A2" s="1" t="s">
        <v>49</v>
      </c>
      <c r="B2" s="1">
        <v>2744.0</v>
      </c>
      <c r="C2" s="1">
        <v>2743.0</v>
      </c>
      <c r="D2" s="9">
        <v>2743.0</v>
      </c>
      <c r="E2" s="1">
        <v>9.025651E7</v>
      </c>
      <c r="F2" s="1">
        <v>9.025651E7</v>
      </c>
      <c r="G2" s="1">
        <v>8.00099262E8</v>
      </c>
      <c r="H2" s="1" t="s">
        <v>50</v>
      </c>
      <c r="I2" s="1" t="str">
        <f>VLOOKUP(C2,'mayo-26'!B:H,7,0)</f>
        <v>CARRERA 3 NO. 2-31</v>
      </c>
      <c r="J2" s="1">
        <v>0.0</v>
      </c>
      <c r="K2" s="10" t="s">
        <v>51</v>
      </c>
      <c r="L2" s="10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Q2" s="1" t="s">
        <v>56</v>
      </c>
      <c r="R2" s="1" t="s">
        <v>57</v>
      </c>
      <c r="S2" s="1" t="s">
        <v>58</v>
      </c>
      <c r="T2" s="1" t="s">
        <v>59</v>
      </c>
      <c r="U2" s="1">
        <v>2026.0</v>
      </c>
      <c r="V2" s="1">
        <v>6.0</v>
      </c>
      <c r="W2" s="1">
        <v>1.081874793E9</v>
      </c>
      <c r="X2" s="1">
        <v>1.081893265E9</v>
      </c>
      <c r="Y2" s="1" t="s">
        <v>60</v>
      </c>
      <c r="Z2" s="1" t="s">
        <v>61</v>
      </c>
      <c r="AA2" s="1">
        <v>824660.64</v>
      </c>
      <c r="AB2" s="1">
        <v>824660.64</v>
      </c>
      <c r="AC2" s="1">
        <v>0.0</v>
      </c>
      <c r="AD2" s="1">
        <v>17540.0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824660.64</v>
      </c>
      <c r="AK2" s="1">
        <v>824660.64</v>
      </c>
      <c r="AL2" s="1">
        <v>0.0</v>
      </c>
      <c r="AM2" s="1">
        <v>240385.7</v>
      </c>
      <c r="AN2" s="1">
        <v>0.0</v>
      </c>
      <c r="AO2" s="1" t="s">
        <v>62</v>
      </c>
      <c r="AP2" s="1" t="s">
        <v>62</v>
      </c>
      <c r="AQ2" s="1" t="s">
        <v>62</v>
      </c>
      <c r="AR2" s="1" t="s">
        <v>62</v>
      </c>
      <c r="AS2" s="11" t="str">
        <f>VLOOKUP(C2,'mayo-26'!B:AS,44,0)</f>
        <v>TESORERIA@SANTIAGO-NORTEDESANTANDER.GOV.CO</v>
      </c>
      <c r="AT2" s="12" t="str">
        <f>VLOOKUP(C2,'mayo-26'!B:AT,45,0)</f>
        <v>CORREO ELECTRONICO CERTIFICADO 472</v>
      </c>
    </row>
    <row r="3" ht="14.25" customHeight="1">
      <c r="A3" s="1" t="s">
        <v>63</v>
      </c>
      <c r="B3" s="1">
        <v>2748.0</v>
      </c>
      <c r="C3" s="1">
        <v>2747.0</v>
      </c>
      <c r="D3" s="9">
        <v>2747.0</v>
      </c>
      <c r="E3" s="1">
        <v>9.0256652E7</v>
      </c>
      <c r="F3" s="1">
        <v>9.0256652E7</v>
      </c>
      <c r="G3" s="1" t="s">
        <v>64</v>
      </c>
      <c r="H3" s="1" t="s">
        <v>65</v>
      </c>
      <c r="I3" s="1" t="str">
        <f>VLOOKUP(C3,'mayo-26'!B:H,7,0)</f>
        <v>CALLE 2 NO. 3-35</v>
      </c>
      <c r="J3" s="1">
        <v>0.0</v>
      </c>
      <c r="K3" s="10" t="s">
        <v>51</v>
      </c>
      <c r="L3" s="10" t="s">
        <v>51</v>
      </c>
      <c r="M3" s="1" t="s">
        <v>52</v>
      </c>
      <c r="N3" s="1" t="s">
        <v>53</v>
      </c>
      <c r="O3" s="1" t="s">
        <v>54</v>
      </c>
      <c r="P3" s="1" t="s">
        <v>55</v>
      </c>
      <c r="Q3" s="1" t="s">
        <v>56</v>
      </c>
      <c r="R3" s="1" t="s">
        <v>57</v>
      </c>
      <c r="S3" s="1" t="s">
        <v>58</v>
      </c>
      <c r="T3" s="1" t="s">
        <v>59</v>
      </c>
      <c r="U3" s="1">
        <v>2026.0</v>
      </c>
      <c r="V3" s="1">
        <v>6.0</v>
      </c>
      <c r="W3" s="1">
        <v>1.081874797E9</v>
      </c>
      <c r="X3" s="1">
        <v>1.081893269E9</v>
      </c>
      <c r="Y3" s="1" t="s">
        <v>60</v>
      </c>
      <c r="Z3" s="1" t="s">
        <v>61</v>
      </c>
      <c r="AA3" s="1">
        <v>893774.16</v>
      </c>
      <c r="AB3" s="1">
        <v>893774.16</v>
      </c>
      <c r="AC3" s="1">
        <v>0.0</v>
      </c>
      <c r="AD3" s="1">
        <v>19010.0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893774.16</v>
      </c>
      <c r="AK3" s="1">
        <v>893774.16</v>
      </c>
      <c r="AL3" s="1">
        <v>0.0</v>
      </c>
      <c r="AM3" s="1">
        <v>260532.05</v>
      </c>
      <c r="AN3" s="1">
        <v>0.0</v>
      </c>
      <c r="AO3" s="1" t="s">
        <v>62</v>
      </c>
      <c r="AP3" s="1" t="s">
        <v>62</v>
      </c>
      <c r="AQ3" s="1" t="s">
        <v>62</v>
      </c>
      <c r="AR3" s="1" t="s">
        <v>62</v>
      </c>
      <c r="AS3" s="11" t="str">
        <f>VLOOKUP(C3,'mayo-26'!B:AS,44,0)</f>
        <v>HACIENDA@BUCARASICA-NORTEDESANTANDER.GOV.CO</v>
      </c>
      <c r="AT3" s="12" t="str">
        <f>VLOOKUP(C3,'mayo-26'!B:AT,45,0)</f>
        <v>CORREO ELECTRONICO CERTIFICADO 472</v>
      </c>
    </row>
    <row r="4" ht="14.25" customHeight="1">
      <c r="A4" s="1" t="s">
        <v>66</v>
      </c>
      <c r="B4" s="1">
        <v>2752.0</v>
      </c>
      <c r="C4" s="1">
        <v>2751.0</v>
      </c>
      <c r="D4" s="9">
        <v>2751.0</v>
      </c>
      <c r="E4" s="1">
        <v>9.025771E7</v>
      </c>
      <c r="F4" s="1">
        <v>9.025771E7</v>
      </c>
      <c r="G4" s="1">
        <v>8.90501876E8</v>
      </c>
      <c r="H4" s="1" t="s">
        <v>67</v>
      </c>
      <c r="I4" s="1" t="str">
        <f>VLOOKUP(C4,'mayo-26'!B:H,7,0)</f>
        <v>CARRERA 4 N 3 -61</v>
      </c>
      <c r="J4" s="1">
        <v>0.0</v>
      </c>
      <c r="K4" s="10" t="s">
        <v>51</v>
      </c>
      <c r="L4" s="10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  <c r="S4" s="1" t="s">
        <v>58</v>
      </c>
      <c r="T4" s="1" t="s">
        <v>59</v>
      </c>
      <c r="U4" s="1">
        <v>2026.0</v>
      </c>
      <c r="V4" s="1">
        <v>6.0</v>
      </c>
      <c r="W4" s="1">
        <v>1.081874799E9</v>
      </c>
      <c r="X4" s="1">
        <v>1.081893271E9</v>
      </c>
      <c r="Y4" s="1" t="s">
        <v>60</v>
      </c>
      <c r="Z4" s="1" t="s">
        <v>61</v>
      </c>
      <c r="AA4" s="1">
        <v>5626874.88</v>
      </c>
      <c r="AB4" s="1">
        <v>5626874.88</v>
      </c>
      <c r="AC4" s="1">
        <v>0.0</v>
      </c>
      <c r="AD4" s="1">
        <v>119680.0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5626874.88</v>
      </c>
      <c r="AK4" s="1">
        <v>1.098640932E7</v>
      </c>
      <c r="AL4" s="1">
        <v>1.0</v>
      </c>
      <c r="AM4" s="1">
        <v>1640214.4</v>
      </c>
      <c r="AN4" s="1">
        <v>0.0</v>
      </c>
      <c r="AO4" s="1" t="s">
        <v>62</v>
      </c>
      <c r="AP4" s="1" t="s">
        <v>62</v>
      </c>
      <c r="AQ4" s="1" t="s">
        <v>62</v>
      </c>
      <c r="AR4" s="1" t="s">
        <v>62</v>
      </c>
      <c r="AS4" s="11" t="str">
        <f>VLOOKUP(C4,'mayo-26'!B:AS,44,0)</f>
        <v>tesoreria@sancayetano-nortedesantander.gov.co</v>
      </c>
      <c r="AT4" s="12" t="str">
        <f>VLOOKUP(C4,'mayo-26'!B:AT,45,0)</f>
        <v>CORREO ELECTRONICO CERTIFICADO 472</v>
      </c>
    </row>
    <row r="5" ht="14.25" customHeight="1">
      <c r="A5" s="1" t="s">
        <v>68</v>
      </c>
      <c r="B5" s="1">
        <v>2760.0</v>
      </c>
      <c r="C5" s="1">
        <v>2759.0</v>
      </c>
      <c r="D5" s="9">
        <v>2759.0</v>
      </c>
      <c r="E5" s="1">
        <v>9.0290491E7</v>
      </c>
      <c r="F5" s="1">
        <v>9.0290491E7</v>
      </c>
      <c r="G5" s="1" t="s">
        <v>69</v>
      </c>
      <c r="H5" s="1" t="s">
        <v>70</v>
      </c>
      <c r="I5" s="1" t="str">
        <f>VLOOKUP(C5,'mayo-26'!B:H,7,0)</f>
        <v>CRA 5 6-03 BARR PERPETUO SOCORRO</v>
      </c>
      <c r="J5" s="1" t="s">
        <v>71</v>
      </c>
      <c r="K5" s="10" t="s">
        <v>51</v>
      </c>
      <c r="L5" s="10" t="s">
        <v>51</v>
      </c>
      <c r="M5" s="1" t="s">
        <v>52</v>
      </c>
      <c r="N5" s="1" t="s">
        <v>53</v>
      </c>
      <c r="O5" s="1" t="s">
        <v>54</v>
      </c>
      <c r="P5" s="1" t="s">
        <v>55</v>
      </c>
      <c r="Q5" s="1" t="s">
        <v>56</v>
      </c>
      <c r="R5" s="1" t="s">
        <v>72</v>
      </c>
      <c r="S5" s="1" t="s">
        <v>58</v>
      </c>
      <c r="T5" s="1" t="s">
        <v>59</v>
      </c>
      <c r="U5" s="1">
        <v>2026.0</v>
      </c>
      <c r="V5" s="1">
        <v>6.0</v>
      </c>
      <c r="W5" s="1">
        <v>1.081874802E9</v>
      </c>
      <c r="X5" s="1">
        <v>1.081893274E9</v>
      </c>
      <c r="Y5" s="1" t="s">
        <v>60</v>
      </c>
      <c r="Z5" s="1" t="s">
        <v>61</v>
      </c>
      <c r="AA5" s="1">
        <v>489906.72</v>
      </c>
      <c r="AB5" s="1">
        <v>489906.72</v>
      </c>
      <c r="AC5" s="1">
        <v>0.0</v>
      </c>
      <c r="AD5" s="1">
        <v>10420.0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489906.34</v>
      </c>
      <c r="AK5" s="1">
        <v>489906.34</v>
      </c>
      <c r="AL5" s="1">
        <v>0.0</v>
      </c>
      <c r="AM5" s="1">
        <v>142806.1</v>
      </c>
      <c r="AN5" s="1">
        <v>0.0</v>
      </c>
      <c r="AO5" s="1" t="s">
        <v>62</v>
      </c>
      <c r="AP5" s="1" t="s">
        <v>62</v>
      </c>
      <c r="AQ5" s="1">
        <v>0.38</v>
      </c>
      <c r="AR5" s="1" t="s">
        <v>62</v>
      </c>
      <c r="AS5" s="11" t="str">
        <f>VLOOKUP(C5,'mayo-26'!B:AS,44,0)</f>
        <v>APCMANOBAHERRAN@GMAIL.COM</v>
      </c>
      <c r="AT5" s="12" t="str">
        <f>VLOOKUP(C5,'mayo-26'!B:AT,45,0)</f>
        <v>CORREO ELECTRONICO CERTIFICADO 472</v>
      </c>
    </row>
    <row r="6" ht="14.25" customHeight="1">
      <c r="A6" s="1" t="s">
        <v>73</v>
      </c>
      <c r="B6" s="1">
        <v>584.0</v>
      </c>
      <c r="C6" s="1">
        <v>583.0</v>
      </c>
      <c r="D6" s="9">
        <v>583.0</v>
      </c>
      <c r="E6" s="1">
        <v>9.0275668E7</v>
      </c>
      <c r="F6" s="1">
        <v>9.0275668E7</v>
      </c>
      <c r="G6" s="1" t="s">
        <v>74</v>
      </c>
      <c r="H6" s="1" t="s">
        <v>75</v>
      </c>
      <c r="I6" s="1" t="str">
        <f>VLOOKUP(C6,'mayo-26'!B:H,7,0)</f>
        <v>CARRERA 7 NO. 3-17 VILLA DEL ROSARIO</v>
      </c>
      <c r="J6" s="1" t="s">
        <v>76</v>
      </c>
      <c r="K6" s="10" t="s">
        <v>51</v>
      </c>
      <c r="L6" s="10" t="s">
        <v>51</v>
      </c>
      <c r="M6" s="1" t="s">
        <v>52</v>
      </c>
      <c r="N6" s="1" t="s">
        <v>53</v>
      </c>
      <c r="O6" s="1" t="s">
        <v>54</v>
      </c>
      <c r="P6" s="1" t="s">
        <v>55</v>
      </c>
      <c r="Q6" s="1" t="s">
        <v>56</v>
      </c>
      <c r="R6" s="1" t="s">
        <v>72</v>
      </c>
      <c r="S6" s="1" t="s">
        <v>58</v>
      </c>
      <c r="T6" s="1" t="s">
        <v>59</v>
      </c>
      <c r="U6" s="1">
        <v>2026.0</v>
      </c>
      <c r="V6" s="1">
        <v>6.0</v>
      </c>
      <c r="W6" s="1">
        <v>1.08187478E9</v>
      </c>
      <c r="X6" s="1">
        <v>1.081893252E9</v>
      </c>
      <c r="Y6" s="1" t="s">
        <v>60</v>
      </c>
      <c r="Z6" s="1" t="s">
        <v>61</v>
      </c>
      <c r="AA6" s="1">
        <v>1.011231839E7</v>
      </c>
      <c r="AB6" s="1">
        <v>1.011231839E7</v>
      </c>
      <c r="AC6" s="1">
        <v>0.0</v>
      </c>
      <c r="AD6" s="1">
        <v>212630.0</v>
      </c>
      <c r="AE6" s="1">
        <v>115306.31</v>
      </c>
      <c r="AF6" s="1">
        <v>0.0</v>
      </c>
      <c r="AG6" s="1">
        <v>0.0</v>
      </c>
      <c r="AH6" s="1">
        <v>0.0</v>
      </c>
      <c r="AI6" s="1">
        <v>0.0</v>
      </c>
      <c r="AJ6" s="1">
        <v>1.011231839E7</v>
      </c>
      <c r="AK6" s="1">
        <v>2.043367575E7</v>
      </c>
      <c r="AL6" s="1">
        <v>1.0</v>
      </c>
      <c r="AM6" s="1">
        <v>2914094.15</v>
      </c>
      <c r="AN6" s="1">
        <v>0.0</v>
      </c>
      <c r="AO6" s="1" t="s">
        <v>62</v>
      </c>
      <c r="AP6" s="1" t="s">
        <v>62</v>
      </c>
      <c r="AQ6" s="1" t="s">
        <v>62</v>
      </c>
      <c r="AR6" s="1" t="s">
        <v>62</v>
      </c>
      <c r="AS6" s="11" t="str">
        <f>VLOOKUP(C6,'mayo-26'!B:AS,44,0)</f>
        <v>ecoambiental807@gmail.com</v>
      </c>
      <c r="AT6" s="12" t="str">
        <f>VLOOKUP(C6,'mayo-26'!B:AT,45,0)</f>
        <v>CORREO ELECTRONICO CERTIFICADO 472</v>
      </c>
    </row>
    <row r="7" ht="14.25" customHeight="1">
      <c r="A7" s="1" t="s">
        <v>77</v>
      </c>
      <c r="B7" s="1">
        <v>2742.0</v>
      </c>
      <c r="C7" s="1">
        <v>2741.0</v>
      </c>
      <c r="D7" s="9">
        <v>2741.0</v>
      </c>
      <c r="E7" s="1">
        <v>9.0254686E7</v>
      </c>
      <c r="F7" s="1">
        <v>9.0254686E7</v>
      </c>
      <c r="G7" s="1" t="s">
        <v>78</v>
      </c>
      <c r="H7" s="1" t="s">
        <v>79</v>
      </c>
      <c r="I7" s="1" t="str">
        <f>VLOOKUP(C7,'mayo-26'!B:H,7,0)</f>
        <v>CRA 4A 13-35 BARRIO LAS COLINAS/CHINACOTA</v>
      </c>
      <c r="J7" s="1">
        <v>0.0</v>
      </c>
      <c r="K7" s="10" t="s">
        <v>51</v>
      </c>
      <c r="L7" s="10" t="s">
        <v>51</v>
      </c>
      <c r="M7" s="1" t="s">
        <v>52</v>
      </c>
      <c r="N7" s="1" t="s">
        <v>53</v>
      </c>
      <c r="O7" s="1" t="s">
        <v>54</v>
      </c>
      <c r="P7" s="1" t="s">
        <v>55</v>
      </c>
      <c r="Q7" s="1" t="s">
        <v>56</v>
      </c>
      <c r="R7" s="1" t="s">
        <v>72</v>
      </c>
      <c r="S7" s="1" t="s">
        <v>58</v>
      </c>
      <c r="T7" s="1" t="s">
        <v>59</v>
      </c>
      <c r="U7" s="1">
        <v>2026.0</v>
      </c>
      <c r="V7" s="1">
        <v>6.0</v>
      </c>
      <c r="W7" s="1">
        <v>1.081874776E9</v>
      </c>
      <c r="X7" s="1">
        <v>1.081893248E9</v>
      </c>
      <c r="Y7" s="1" t="s">
        <v>60</v>
      </c>
      <c r="Z7" s="1" t="s">
        <v>61</v>
      </c>
      <c r="AA7" s="1">
        <v>1.246723272E7</v>
      </c>
      <c r="AB7" s="1">
        <v>1.246723272E7</v>
      </c>
      <c r="AC7" s="1">
        <v>0.0</v>
      </c>
      <c r="AD7" s="1">
        <v>265170.0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1.246723272E7</v>
      </c>
      <c r="AK7" s="1">
        <v>1.246723324E7</v>
      </c>
      <c r="AL7" s="1">
        <v>1.0</v>
      </c>
      <c r="AM7" s="1">
        <v>3634154.85</v>
      </c>
      <c r="AN7" s="1">
        <v>0.0</v>
      </c>
      <c r="AO7" s="1" t="s">
        <v>62</v>
      </c>
      <c r="AP7" s="1" t="s">
        <v>62</v>
      </c>
      <c r="AQ7" s="1" t="s">
        <v>62</v>
      </c>
      <c r="AR7" s="1" t="s">
        <v>62</v>
      </c>
      <c r="AS7" s="11" t="str">
        <f>VLOOKUP(C7,'mayo-26'!B:AS,44,0)</f>
        <v>EMCHINAC@EMCHINACESP-CHINACOTA.GOV.CO</v>
      </c>
      <c r="AT7" s="12" t="str">
        <f>VLOOKUP(C7,'mayo-26'!B:AT,45,0)</f>
        <v>CORREO ELECTRONICO CERTIFICADO 472</v>
      </c>
    </row>
    <row r="8" ht="14.25" customHeight="1">
      <c r="A8" s="1" t="s">
        <v>80</v>
      </c>
      <c r="B8" s="1">
        <v>2746.0</v>
      </c>
      <c r="C8" s="1">
        <v>2745.0</v>
      </c>
      <c r="D8" s="9">
        <v>2745.0</v>
      </c>
      <c r="E8" s="1">
        <v>9.0256586E7</v>
      </c>
      <c r="F8" s="1">
        <v>9.0256586E7</v>
      </c>
      <c r="G8" s="1">
        <v>8.00099251E8</v>
      </c>
      <c r="H8" s="1" t="s">
        <v>81</v>
      </c>
      <c r="I8" s="1" t="str">
        <f>VLOOKUP(C8,'mayo-26'!B:H,7,0)</f>
        <v>CALLE 6 NO. 2-32</v>
      </c>
      <c r="J8" s="1">
        <v>0.0</v>
      </c>
      <c r="K8" s="10" t="s">
        <v>51</v>
      </c>
      <c r="L8" s="10" t="s">
        <v>51</v>
      </c>
      <c r="M8" s="1" t="s">
        <v>52</v>
      </c>
      <c r="N8" s="1" t="s">
        <v>53</v>
      </c>
      <c r="O8" s="1" t="s">
        <v>54</v>
      </c>
      <c r="P8" s="1" t="s">
        <v>55</v>
      </c>
      <c r="Q8" s="1" t="s">
        <v>56</v>
      </c>
      <c r="R8" s="1" t="s">
        <v>57</v>
      </c>
      <c r="S8" s="1" t="s">
        <v>58</v>
      </c>
      <c r="T8" s="1" t="s">
        <v>59</v>
      </c>
      <c r="U8" s="1">
        <v>2026.0</v>
      </c>
      <c r="V8" s="1">
        <v>6.0</v>
      </c>
      <c r="W8" s="1">
        <v>1.081874779E9</v>
      </c>
      <c r="X8" s="1">
        <v>1.081893251E9</v>
      </c>
      <c r="Y8" s="1" t="s">
        <v>60</v>
      </c>
      <c r="Z8" s="1" t="s">
        <v>61</v>
      </c>
      <c r="AA8" s="1">
        <v>1619231.04</v>
      </c>
      <c r="AB8" s="1">
        <v>1619231.04</v>
      </c>
      <c r="AC8" s="1">
        <v>0.0</v>
      </c>
      <c r="AD8" s="1">
        <v>34440.0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1619231.04</v>
      </c>
      <c r="AK8" s="1">
        <v>1619231.04</v>
      </c>
      <c r="AL8" s="1">
        <v>0.0</v>
      </c>
      <c r="AM8" s="1">
        <v>472000.2</v>
      </c>
      <c r="AN8" s="1">
        <v>0.0</v>
      </c>
      <c r="AO8" s="1" t="s">
        <v>62</v>
      </c>
      <c r="AP8" s="1" t="s">
        <v>62</v>
      </c>
      <c r="AQ8" s="1" t="s">
        <v>62</v>
      </c>
      <c r="AR8" s="1" t="s">
        <v>62</v>
      </c>
      <c r="AS8" s="11" t="str">
        <f>VLOOKUP(C8,'mayo-26'!B:AS,44,0)</f>
        <v>HACIENDA@RAGONVALIA-NORTEDESANTANDER.GOV.CO</v>
      </c>
      <c r="AT8" s="12" t="str">
        <f>VLOOKUP(C8,'mayo-26'!B:AT,45,0)</f>
        <v>CORREO ELECTRONICO CERTIFICADO 472</v>
      </c>
    </row>
    <row r="9" ht="14.25" customHeight="1">
      <c r="A9" s="1" t="s">
        <v>82</v>
      </c>
      <c r="B9" s="1">
        <v>2750.0</v>
      </c>
      <c r="C9" s="1">
        <v>2749.0</v>
      </c>
      <c r="D9" s="9">
        <v>2749.0</v>
      </c>
      <c r="E9" s="1">
        <v>9.0257708E7</v>
      </c>
      <c r="F9" s="1">
        <v>9.0257708E7</v>
      </c>
      <c r="G9" s="1">
        <v>8.90501981E8</v>
      </c>
      <c r="H9" s="10" t="s">
        <v>83</v>
      </c>
      <c r="I9" s="1" t="str">
        <f>VLOOKUP(C9,'mayo-26'!B:H,7,0)</f>
        <v>PALACIO MPAL VILLA CARO</v>
      </c>
      <c r="J9" s="1">
        <v>0.0</v>
      </c>
      <c r="K9" s="10" t="s">
        <v>51</v>
      </c>
      <c r="L9" s="10" t="s">
        <v>51</v>
      </c>
      <c r="M9" s="1" t="s">
        <v>52</v>
      </c>
      <c r="N9" s="1" t="s">
        <v>53</v>
      </c>
      <c r="O9" s="1" t="s">
        <v>54</v>
      </c>
      <c r="P9" s="1" t="s">
        <v>55</v>
      </c>
      <c r="Q9" s="1" t="s">
        <v>56</v>
      </c>
      <c r="R9" s="1" t="s">
        <v>57</v>
      </c>
      <c r="S9" s="1" t="s">
        <v>58</v>
      </c>
      <c r="T9" s="1" t="s">
        <v>59</v>
      </c>
      <c r="U9" s="1">
        <v>2026.0</v>
      </c>
      <c r="V9" s="1">
        <v>6.0</v>
      </c>
      <c r="W9" s="1">
        <v>1.081874783E9</v>
      </c>
      <c r="X9" s="1">
        <v>1.081893255E9</v>
      </c>
      <c r="Y9" s="1" t="s">
        <v>60</v>
      </c>
      <c r="Z9" s="1" t="s">
        <v>61</v>
      </c>
      <c r="AA9" s="1">
        <v>776704.32</v>
      </c>
      <c r="AB9" s="1">
        <v>776704.32</v>
      </c>
      <c r="AC9" s="1">
        <v>0.0</v>
      </c>
      <c r="AD9" s="1">
        <v>16520.0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776704.32</v>
      </c>
      <c r="AK9" s="1">
        <v>776704.32</v>
      </c>
      <c r="AL9" s="1">
        <v>0.0</v>
      </c>
      <c r="AM9" s="1">
        <v>226406.6</v>
      </c>
      <c r="AN9" s="1">
        <v>0.0</v>
      </c>
      <c r="AO9" s="1" t="s">
        <v>62</v>
      </c>
      <c r="AP9" s="1" t="s">
        <v>62</v>
      </c>
      <c r="AQ9" s="1" t="s">
        <v>62</v>
      </c>
      <c r="AR9" s="1" t="s">
        <v>62</v>
      </c>
      <c r="AS9" s="11" t="str">
        <f>VLOOKUP(C9,'mayo-26'!B:AS,44,0)</f>
        <v>tesoreria@villacaro-nortedesantander.gov.co</v>
      </c>
      <c r="AT9" s="12" t="str">
        <f>VLOOKUP(C9,'mayo-26'!B:AT,45,0)</f>
        <v>CORREO ELECTRONICO CERTIFICADO 472</v>
      </c>
    </row>
    <row r="10" ht="14.25" customHeight="1">
      <c r="A10" s="1" t="s">
        <v>84</v>
      </c>
      <c r="B10" s="1">
        <v>2758.0</v>
      </c>
      <c r="C10" s="1">
        <v>2757.0</v>
      </c>
      <c r="D10" s="9">
        <v>2757.0</v>
      </c>
      <c r="E10" s="1">
        <v>9.0267356E7</v>
      </c>
      <c r="F10" s="1">
        <v>9.0267356E7</v>
      </c>
      <c r="G10" s="1" t="s">
        <v>85</v>
      </c>
      <c r="H10" s="1" t="s">
        <v>86</v>
      </c>
      <c r="I10" s="1" t="str">
        <f>VLOOKUP(C10,'mayo-26'!B:H,7,0)</f>
        <v>CRA 6 CALLE 2 Y 3 NO 6-25</v>
      </c>
      <c r="J10" s="1">
        <v>0.0</v>
      </c>
      <c r="K10" s="10" t="s">
        <v>51</v>
      </c>
      <c r="L10" s="10" t="s">
        <v>51</v>
      </c>
      <c r="M10" s="1" t="s">
        <v>52</v>
      </c>
      <c r="N10" s="1" t="s">
        <v>53</v>
      </c>
      <c r="O10" s="1" t="s">
        <v>54</v>
      </c>
      <c r="P10" s="1" t="s">
        <v>55</v>
      </c>
      <c r="Q10" s="1" t="s">
        <v>56</v>
      </c>
      <c r="R10" s="1" t="s">
        <v>57</v>
      </c>
      <c r="S10" s="1" t="s">
        <v>58</v>
      </c>
      <c r="T10" s="1" t="s">
        <v>59</v>
      </c>
      <c r="U10" s="1">
        <v>2026.0</v>
      </c>
      <c r="V10" s="1">
        <v>6.0</v>
      </c>
      <c r="W10" s="1">
        <v>1.081874788E9</v>
      </c>
      <c r="X10" s="1">
        <v>1.08189326E9</v>
      </c>
      <c r="Y10" s="1" t="s">
        <v>60</v>
      </c>
      <c r="Z10" s="1" t="s">
        <v>61</v>
      </c>
      <c r="AA10" s="1">
        <v>2356441.92</v>
      </c>
      <c r="AB10" s="1">
        <v>2356441.92</v>
      </c>
      <c r="AC10" s="1">
        <v>0.0</v>
      </c>
      <c r="AD10" s="1">
        <v>50120.0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2356441.92</v>
      </c>
      <c r="AK10" s="1">
        <v>2356441.92</v>
      </c>
      <c r="AL10" s="1">
        <v>0.0</v>
      </c>
      <c r="AM10" s="1">
        <v>686894.6</v>
      </c>
      <c r="AN10" s="1">
        <v>0.0</v>
      </c>
      <c r="AO10" s="1" t="s">
        <v>62</v>
      </c>
      <c r="AP10" s="1" t="s">
        <v>62</v>
      </c>
      <c r="AQ10" s="1" t="s">
        <v>62</v>
      </c>
      <c r="AR10" s="1" t="s">
        <v>62</v>
      </c>
      <c r="AS10" s="11" t="str">
        <f>VLOOKUP(C10,'mayo-26'!B:AS,44,0)</f>
        <v>tesoreria@arboledas-nortedesantander.gov.co</v>
      </c>
      <c r="AT10" s="12" t="str">
        <f>VLOOKUP(C10,'mayo-26'!B:AT,45,0)</f>
        <v>CORREO ELECTRONICO CERTIFICADO 472</v>
      </c>
    </row>
    <row r="11" ht="14.25" customHeight="1">
      <c r="A11" s="1" t="s">
        <v>87</v>
      </c>
      <c r="B11" s="1">
        <v>608069.0</v>
      </c>
      <c r="C11" s="1">
        <v>502777.0</v>
      </c>
      <c r="D11" s="9">
        <v>558548.0</v>
      </c>
      <c r="E11" s="1" t="s">
        <v>62</v>
      </c>
      <c r="F11" s="1" t="s">
        <v>62</v>
      </c>
      <c r="G11" s="1">
        <v>9.00508526E8</v>
      </c>
      <c r="H11" s="1" t="s">
        <v>88</v>
      </c>
      <c r="I11" s="1" t="str">
        <f>VLOOKUP(C11,'mayo-26'!B:H,7,0)</f>
        <v>KM 7 VDA EL CUCHARO</v>
      </c>
      <c r="J11" s="1" t="e">
        <v>#N/A</v>
      </c>
      <c r="K11" s="10" t="s">
        <v>51</v>
      </c>
      <c r="L11" s="10" t="s">
        <v>51</v>
      </c>
      <c r="M11" s="1" t="s">
        <v>52</v>
      </c>
      <c r="N11" s="1" t="s">
        <v>89</v>
      </c>
      <c r="O11" s="1" t="s">
        <v>54</v>
      </c>
      <c r="P11" s="1" t="s">
        <v>55</v>
      </c>
      <c r="Q11" s="1" t="s">
        <v>56</v>
      </c>
      <c r="R11" s="1" t="s">
        <v>90</v>
      </c>
      <c r="S11" s="1" t="s">
        <v>58</v>
      </c>
      <c r="T11" s="1" t="s">
        <v>59</v>
      </c>
      <c r="U11" s="1">
        <v>2026.0</v>
      </c>
      <c r="V11" s="1">
        <v>6.0</v>
      </c>
      <c r="W11" s="1">
        <v>1.081874792E9</v>
      </c>
      <c r="X11" s="1">
        <v>1.081893264E9</v>
      </c>
      <c r="Y11" s="1" t="s">
        <v>60</v>
      </c>
      <c r="Z11" s="1" t="s">
        <v>61</v>
      </c>
      <c r="AA11" s="1">
        <v>2611997.35</v>
      </c>
      <c r="AB11" s="1">
        <v>2611997.35</v>
      </c>
      <c r="AC11" s="1">
        <v>0.0</v>
      </c>
      <c r="AD11" s="1">
        <v>61550.0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2611997.35</v>
      </c>
      <c r="AK11" s="1">
        <v>2611997.35</v>
      </c>
      <c r="AL11" s="1">
        <v>0.0</v>
      </c>
      <c r="AM11" s="1">
        <v>561705.3</v>
      </c>
      <c r="AN11" s="1">
        <v>0.0</v>
      </c>
      <c r="AO11" s="1" t="s">
        <v>62</v>
      </c>
      <c r="AP11" s="1" t="s">
        <v>62</v>
      </c>
      <c r="AQ11" s="1" t="s">
        <v>62</v>
      </c>
      <c r="AR11" s="1" t="s">
        <v>62</v>
      </c>
      <c r="AS11" s="13" t="str">
        <f>VLOOKUP(C11,'mayo-26'!B:AS,44,0)</f>
        <v>empsacol@hotmail.com</v>
      </c>
      <c r="AT11" s="12" t="str">
        <f>VLOOKUP(C11,'mayo-26'!B:AT,45,0)</f>
        <v>CORREO ELECTRONICO CERTIFICADO 472</v>
      </c>
    </row>
    <row r="12" ht="14.25" customHeight="1">
      <c r="A12" s="14" t="s">
        <v>91</v>
      </c>
      <c r="B12" s="1">
        <v>602.0</v>
      </c>
      <c r="C12" s="1">
        <v>601.0</v>
      </c>
      <c r="D12" s="9">
        <v>601.0</v>
      </c>
      <c r="E12" s="1">
        <v>9.0280179E7</v>
      </c>
      <c r="F12" s="1">
        <v>9.0280179E7</v>
      </c>
      <c r="G12" s="1">
        <v>1.3502903E7</v>
      </c>
      <c r="H12" s="1" t="s">
        <v>92</v>
      </c>
      <c r="I12" s="1" t="str">
        <f>VLOOKUP(C12,'mayo-26'!B:H,7,0)</f>
        <v>#N/A</v>
      </c>
      <c r="J12" s="1" t="e">
        <v>#N/A</v>
      </c>
      <c r="K12" s="10" t="s">
        <v>51</v>
      </c>
      <c r="L12" s="10" t="s">
        <v>51</v>
      </c>
      <c r="M12" s="1" t="s">
        <v>52</v>
      </c>
      <c r="N12" s="1" t="s">
        <v>89</v>
      </c>
      <c r="O12" s="1" t="s">
        <v>54</v>
      </c>
      <c r="P12" s="1" t="s">
        <v>55</v>
      </c>
      <c r="Q12" s="1" t="s">
        <v>56</v>
      </c>
      <c r="R12" s="1" t="s">
        <v>72</v>
      </c>
      <c r="S12" s="1" t="s">
        <v>58</v>
      </c>
      <c r="T12" s="1" t="s">
        <v>59</v>
      </c>
      <c r="U12" s="1">
        <v>2026.0</v>
      </c>
      <c r="V12" s="1">
        <v>6.0</v>
      </c>
      <c r="W12" s="1">
        <v>1.081874773E9</v>
      </c>
      <c r="X12" s="1">
        <v>1.081893245E9</v>
      </c>
      <c r="Y12" s="1" t="s">
        <v>60</v>
      </c>
      <c r="Z12" s="1" t="s">
        <v>61</v>
      </c>
      <c r="AA12" s="1">
        <v>36495.82</v>
      </c>
      <c r="AB12" s="1">
        <v>36495.82</v>
      </c>
      <c r="AC12" s="1">
        <v>0.0</v>
      </c>
      <c r="AD12" s="1">
        <v>860.0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36495.82</v>
      </c>
      <c r="AK12" s="1">
        <v>36495.82</v>
      </c>
      <c r="AL12" s="1">
        <v>0.0</v>
      </c>
      <c r="AM12" s="1">
        <v>7848.36</v>
      </c>
      <c r="AN12" s="1">
        <v>0.0</v>
      </c>
      <c r="AO12" s="1" t="s">
        <v>62</v>
      </c>
      <c r="AP12" s="1" t="s">
        <v>62</v>
      </c>
      <c r="AQ12" s="1" t="s">
        <v>62</v>
      </c>
      <c r="AR12" s="1" t="s">
        <v>62</v>
      </c>
      <c r="AS12" s="11" t="str">
        <f>VLOOKUP(C12,'mayo-26'!B:AS,44,0)</f>
        <v>#N/A</v>
      </c>
      <c r="AT12" s="12" t="str">
        <f>VLOOKUP(C12,'mayo-26'!B:AT,45,0)</f>
        <v>#N/A</v>
      </c>
    </row>
    <row r="13" ht="14.25" customHeight="1">
      <c r="A13" s="1" t="s">
        <v>93</v>
      </c>
      <c r="B13" s="1">
        <v>2743.0</v>
      </c>
      <c r="C13" s="1">
        <v>2742.0</v>
      </c>
      <c r="D13" s="9">
        <v>2742.0</v>
      </c>
      <c r="E13" s="1">
        <v>9.0255897E7</v>
      </c>
      <c r="F13" s="1">
        <v>9.0255897E7</v>
      </c>
      <c r="G13" s="1" t="s">
        <v>94</v>
      </c>
      <c r="H13" s="1" t="s">
        <v>95</v>
      </c>
      <c r="I13" s="1" t="str">
        <f>VLOOKUP(C13,'mayo-26'!B:H,7,0)</f>
        <v>#N/A</v>
      </c>
      <c r="J13" s="1" t="s">
        <v>96</v>
      </c>
      <c r="K13" s="10" t="s">
        <v>51</v>
      </c>
      <c r="L13" s="10" t="s">
        <v>51</v>
      </c>
      <c r="M13" s="1" t="s">
        <v>52</v>
      </c>
      <c r="N13" s="1" t="s">
        <v>53</v>
      </c>
      <c r="O13" s="1" t="s">
        <v>54</v>
      </c>
      <c r="P13" s="1" t="s">
        <v>55</v>
      </c>
      <c r="Q13" s="1" t="s">
        <v>56</v>
      </c>
      <c r="R13" s="1" t="s">
        <v>57</v>
      </c>
      <c r="S13" s="1" t="s">
        <v>58</v>
      </c>
      <c r="T13" s="1" t="s">
        <v>59</v>
      </c>
      <c r="U13" s="1">
        <v>2026.0</v>
      </c>
      <c r="V13" s="1">
        <v>6.0</v>
      </c>
      <c r="W13" s="1">
        <v>1.081874778E9</v>
      </c>
      <c r="X13" s="1">
        <v>1.08189325E9</v>
      </c>
      <c r="Y13" s="1" t="s">
        <v>60</v>
      </c>
      <c r="Z13" s="1" t="s">
        <v>61</v>
      </c>
      <c r="AA13" s="1">
        <v>279275.04</v>
      </c>
      <c r="AB13" s="1">
        <v>279275.04</v>
      </c>
      <c r="AC13" s="1">
        <v>0.0</v>
      </c>
      <c r="AD13" s="1">
        <v>5940.0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279275.04</v>
      </c>
      <c r="AK13" s="1">
        <v>279275.04</v>
      </c>
      <c r="AL13" s="1">
        <v>0.0</v>
      </c>
      <c r="AM13" s="1">
        <v>81407.7</v>
      </c>
      <c r="AN13" s="1">
        <v>0.0</v>
      </c>
      <c r="AO13" s="1" t="s">
        <v>62</v>
      </c>
      <c r="AP13" s="1" t="s">
        <v>62</v>
      </c>
      <c r="AQ13" s="1" t="s">
        <v>62</v>
      </c>
      <c r="AR13" s="1" t="s">
        <v>62</v>
      </c>
      <c r="AS13" s="11" t="str">
        <f>VLOOKUP(C13,'mayo-26'!B:AS,44,0)</f>
        <v>serviciospublicos@pamplonita-nortedesantander.gov.co </v>
      </c>
      <c r="AT13" s="12" t="str">
        <f>VLOOKUP(C13,'mayo-26'!B:AT,45,0)</f>
        <v>CORREO ELECTRONICO CERTIFICADO 472</v>
      </c>
    </row>
    <row r="14" ht="14.25" customHeight="1">
      <c r="A14" s="1" t="s">
        <v>97</v>
      </c>
      <c r="B14" s="1">
        <v>2747.0</v>
      </c>
      <c r="C14" s="1">
        <v>2746.0</v>
      </c>
      <c r="D14" s="9">
        <v>2746.0</v>
      </c>
      <c r="E14" s="1">
        <v>9.0256627E7</v>
      </c>
      <c r="F14" s="1">
        <v>9.0256627E7</v>
      </c>
      <c r="G14" s="1">
        <v>8.00099237E8</v>
      </c>
      <c r="H14" s="1" t="s">
        <v>98</v>
      </c>
      <c r="I14" s="1" t="str">
        <f>VLOOKUP(C14,'mayo-26'!B:H,7,0)</f>
        <v>AVENIDA 2 NO. 8-57</v>
      </c>
      <c r="J14" s="1">
        <v>0.0</v>
      </c>
      <c r="K14" s="10" t="s">
        <v>51</v>
      </c>
      <c r="L14" s="10" t="s">
        <v>51</v>
      </c>
      <c r="M14" s="1" t="s">
        <v>52</v>
      </c>
      <c r="N14" s="1" t="s">
        <v>53</v>
      </c>
      <c r="O14" s="1" t="s">
        <v>54</v>
      </c>
      <c r="P14" s="1" t="s">
        <v>55</v>
      </c>
      <c r="Q14" s="1" t="s">
        <v>56</v>
      </c>
      <c r="R14" s="1" t="s">
        <v>72</v>
      </c>
      <c r="S14" s="1" t="s">
        <v>58</v>
      </c>
      <c r="T14" s="1" t="s">
        <v>59</v>
      </c>
      <c r="U14" s="1">
        <v>2026.0</v>
      </c>
      <c r="V14" s="1">
        <v>6.0</v>
      </c>
      <c r="W14" s="1">
        <v>1.081874781E9</v>
      </c>
      <c r="X14" s="1">
        <v>1.081893253E9</v>
      </c>
      <c r="Y14" s="1" t="s">
        <v>60</v>
      </c>
      <c r="Z14" s="1" t="s">
        <v>61</v>
      </c>
      <c r="AA14" s="1">
        <v>2183423.04</v>
      </c>
      <c r="AB14" s="1">
        <v>2183423.04</v>
      </c>
      <c r="AC14" s="1">
        <v>0.0</v>
      </c>
      <c r="AD14" s="1">
        <v>46440.0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105592.04</v>
      </c>
      <c r="AK14" s="1">
        <v>105592.04</v>
      </c>
      <c r="AL14" s="1">
        <v>0.0</v>
      </c>
      <c r="AM14" s="1">
        <v>636460.2</v>
      </c>
      <c r="AN14" s="1">
        <v>0.0</v>
      </c>
      <c r="AO14" s="1" t="s">
        <v>62</v>
      </c>
      <c r="AP14" s="1" t="s">
        <v>62</v>
      </c>
      <c r="AQ14" s="1">
        <v>2077831.0</v>
      </c>
      <c r="AR14" s="1" t="s">
        <v>62</v>
      </c>
      <c r="AS14" s="11" t="str">
        <f>VLOOKUP(C14,'mayo-26'!B:AS,44,0)</f>
        <v>CONTACTENOS@DURANIA-NORTEDESANTANDER.GOV.CO</v>
      </c>
      <c r="AT14" s="12" t="str">
        <f>VLOOKUP(C14,'mayo-26'!B:AT,45,0)</f>
        <v>CORREO ELECTRONICO CERTIFICADO 472</v>
      </c>
    </row>
    <row r="15" ht="14.25" customHeight="1">
      <c r="A15" s="1" t="s">
        <v>99</v>
      </c>
      <c r="B15" s="1">
        <v>2751.0</v>
      </c>
      <c r="C15" s="1">
        <v>2750.0</v>
      </c>
      <c r="D15" s="9">
        <v>2750.0</v>
      </c>
      <c r="E15" s="1">
        <v>9.0257709E7</v>
      </c>
      <c r="F15" s="1">
        <v>9.0257709E7</v>
      </c>
      <c r="G15" s="1">
        <v>8.90501404E8</v>
      </c>
      <c r="H15" s="1" t="s">
        <v>100</v>
      </c>
      <c r="I15" s="1" t="str">
        <f>VLOOKUP(C15,'mayo-26'!B:H,7,0)</f>
        <v>CARRERA 5 NO 7 ¿ 72</v>
      </c>
      <c r="J15" s="1">
        <v>0.0</v>
      </c>
      <c r="K15" s="10" t="s">
        <v>51</v>
      </c>
      <c r="L15" s="10" t="s">
        <v>51</v>
      </c>
      <c r="M15" s="1" t="s">
        <v>52</v>
      </c>
      <c r="N15" s="1" t="s">
        <v>53</v>
      </c>
      <c r="O15" s="1" t="s">
        <v>54</v>
      </c>
      <c r="P15" s="1" t="s">
        <v>55</v>
      </c>
      <c r="Q15" s="1" t="s">
        <v>56</v>
      </c>
      <c r="R15" s="1" t="s">
        <v>57</v>
      </c>
      <c r="S15" s="1" t="s">
        <v>58</v>
      </c>
      <c r="T15" s="1" t="s">
        <v>59</v>
      </c>
      <c r="U15" s="1">
        <v>2026.0</v>
      </c>
      <c r="V15" s="1">
        <v>6.0</v>
      </c>
      <c r="W15" s="1">
        <v>1.081874785E9</v>
      </c>
      <c r="X15" s="1">
        <v>1.081893257E9</v>
      </c>
      <c r="Y15" s="1" t="s">
        <v>60</v>
      </c>
      <c r="Z15" s="1" t="s">
        <v>61</v>
      </c>
      <c r="AA15" s="1">
        <v>2156153.76</v>
      </c>
      <c r="AB15" s="1">
        <v>2156153.76</v>
      </c>
      <c r="AC15" s="1">
        <v>0.0</v>
      </c>
      <c r="AD15" s="1">
        <v>45860.0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2156153.76</v>
      </c>
      <c r="AK15" s="1">
        <v>2156153.76</v>
      </c>
      <c r="AL15" s="1">
        <v>0.0</v>
      </c>
      <c r="AM15" s="1">
        <v>628511.3</v>
      </c>
      <c r="AN15" s="1">
        <v>0.0</v>
      </c>
      <c r="AO15" s="1" t="s">
        <v>62</v>
      </c>
      <c r="AP15" s="1" t="s">
        <v>62</v>
      </c>
      <c r="AQ15" s="1" t="s">
        <v>62</v>
      </c>
      <c r="AR15" s="1" t="s">
        <v>62</v>
      </c>
      <c r="AS15" s="11" t="str">
        <f>VLOOKUP(C15,'mayo-26'!B:AS,44,0)</f>
        <v>TESORERIA@GRAMALOTE-NORTEDESANTANDER.GOV.CO</v>
      </c>
      <c r="AT15" s="12" t="str">
        <f>VLOOKUP(C15,'mayo-26'!B:AT,45,0)</f>
        <v>CORREO ELECTRONICO CERTIFICADO 472</v>
      </c>
    </row>
    <row r="16" ht="14.25" customHeight="1">
      <c r="A16" s="1" t="s">
        <v>101</v>
      </c>
      <c r="B16" s="1">
        <v>2755.0</v>
      </c>
      <c r="C16" s="1">
        <v>2754.0</v>
      </c>
      <c r="D16" s="9">
        <v>2754.0</v>
      </c>
      <c r="E16" s="1">
        <v>9.0257713E7</v>
      </c>
      <c r="F16" s="1">
        <v>9.0257713E7</v>
      </c>
      <c r="G16" s="1">
        <v>8.90502611E8</v>
      </c>
      <c r="H16" s="1" t="s">
        <v>102</v>
      </c>
      <c r="I16" s="1" t="str">
        <f>VLOOKUP(C16,'mayo-26'!B:H,7,0)</f>
        <v>CARRERA 4 CON CALLE 3 ¿ 36</v>
      </c>
      <c r="J16" s="1">
        <v>0.0</v>
      </c>
      <c r="K16" s="10" t="s">
        <v>51</v>
      </c>
      <c r="L16" s="10" t="s">
        <v>51</v>
      </c>
      <c r="M16" s="1" t="s">
        <v>52</v>
      </c>
      <c r="N16" s="1" t="s">
        <v>53</v>
      </c>
      <c r="O16" s="1" t="s">
        <v>54</v>
      </c>
      <c r="P16" s="1" t="s">
        <v>55</v>
      </c>
      <c r="Q16" s="1" t="s">
        <v>56</v>
      </c>
      <c r="R16" s="1" t="s">
        <v>57</v>
      </c>
      <c r="S16" s="1" t="s">
        <v>58</v>
      </c>
      <c r="T16" s="1" t="s">
        <v>59</v>
      </c>
      <c r="U16" s="1">
        <v>2026.0</v>
      </c>
      <c r="V16" s="1">
        <v>6.0</v>
      </c>
      <c r="W16" s="1">
        <v>1.081874789E9</v>
      </c>
      <c r="X16" s="1">
        <v>1.081893261E9</v>
      </c>
      <c r="Y16" s="1" t="s">
        <v>60</v>
      </c>
      <c r="Z16" s="1" t="s">
        <v>61</v>
      </c>
      <c r="AA16" s="1">
        <v>2158974.72</v>
      </c>
      <c r="AB16" s="1">
        <v>2158974.72</v>
      </c>
      <c r="AC16" s="1">
        <v>0.0</v>
      </c>
      <c r="AD16" s="1">
        <v>45920.0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2158974.72</v>
      </c>
      <c r="AK16" s="1">
        <v>2158974.72</v>
      </c>
      <c r="AL16" s="1">
        <v>0.0</v>
      </c>
      <c r="AM16" s="1">
        <v>629333.6</v>
      </c>
      <c r="AN16" s="1">
        <v>0.0</v>
      </c>
      <c r="AO16" s="1" t="s">
        <v>62</v>
      </c>
      <c r="AP16" s="1" t="s">
        <v>62</v>
      </c>
      <c r="AQ16" s="1" t="s">
        <v>62</v>
      </c>
      <c r="AR16" s="1" t="s">
        <v>62</v>
      </c>
      <c r="AS16" s="11" t="str">
        <f>VLOOKUP(C16,'mayo-26'!B:AS,44,0)</f>
        <v>TESORERIA@LOURDES-NORTEDESANTANDER.GOV.CO</v>
      </c>
      <c r="AT16" s="12" t="str">
        <f>VLOOKUP(C16,'mayo-26'!B:AT,45,0)</f>
        <v>CORREO ELECTRONICO CERTIFICADO 472</v>
      </c>
    </row>
    <row r="17" ht="14.25" customHeight="1">
      <c r="A17" s="1" t="s">
        <v>103</v>
      </c>
      <c r="B17" s="1">
        <v>2293.0</v>
      </c>
      <c r="C17" s="1">
        <v>2292.0</v>
      </c>
      <c r="D17" s="9">
        <v>2292.0</v>
      </c>
      <c r="E17" s="1">
        <v>9.0265701E7</v>
      </c>
      <c r="F17" s="1">
        <v>9.0265701E7</v>
      </c>
      <c r="G17" s="1" t="s">
        <v>104</v>
      </c>
      <c r="H17" s="1" t="s">
        <v>105</v>
      </c>
      <c r="I17" s="1" t="str">
        <f>VLOOKUP(C17,'mayo-26'!B:H,7,0)</f>
        <v>CALLE 4AN # 4-89 PESCADERO</v>
      </c>
      <c r="J17" s="1" t="s">
        <v>106</v>
      </c>
      <c r="K17" s="10" t="s">
        <v>51</v>
      </c>
      <c r="L17" s="10" t="s">
        <v>51</v>
      </c>
      <c r="M17" s="1" t="s">
        <v>52</v>
      </c>
      <c r="N17" s="1" t="s">
        <v>89</v>
      </c>
      <c r="O17" s="1" t="s">
        <v>54</v>
      </c>
      <c r="P17" s="1" t="s">
        <v>55</v>
      </c>
      <c r="Q17" s="1" t="s">
        <v>56</v>
      </c>
      <c r="R17" s="1" t="s">
        <v>72</v>
      </c>
      <c r="S17" s="1" t="s">
        <v>58</v>
      </c>
      <c r="T17" s="1" t="s">
        <v>59</v>
      </c>
      <c r="U17" s="1">
        <v>2026.0</v>
      </c>
      <c r="V17" s="1">
        <v>6.0</v>
      </c>
      <c r="W17" s="1">
        <v>1.081874784E9</v>
      </c>
      <c r="X17" s="1">
        <v>1.081893256E9</v>
      </c>
      <c r="Y17" s="1" t="s">
        <v>60</v>
      </c>
      <c r="Z17" s="1" t="s">
        <v>61</v>
      </c>
      <c r="AA17" s="1">
        <v>3055888.37</v>
      </c>
      <c r="AB17" s="1">
        <v>3055888.37</v>
      </c>
      <c r="AC17" s="1">
        <v>0.0</v>
      </c>
      <c r="AD17" s="1">
        <v>72010.0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3055888.37</v>
      </c>
      <c r="AK17" s="1">
        <v>3055888.37</v>
      </c>
      <c r="AL17" s="1">
        <v>0.0</v>
      </c>
      <c r="AM17" s="1">
        <v>657163.26</v>
      </c>
      <c r="AN17" s="1">
        <v>0.0</v>
      </c>
      <c r="AO17" s="1" t="s">
        <v>62</v>
      </c>
      <c r="AP17" s="1" t="s">
        <v>62</v>
      </c>
      <c r="AQ17" s="1" t="s">
        <v>62</v>
      </c>
      <c r="AR17" s="1" t="s">
        <v>62</v>
      </c>
      <c r="AS17" s="11" t="str">
        <f>VLOOKUP(C17,'mayo-26'!B:AS,44,0)</f>
        <v>contacto@smpcucuta.com</v>
      </c>
      <c r="AT17" s="12" t="str">
        <f>VLOOKUP(C17,'mayo-26'!B:AT,45,0)</f>
        <v>CORREO ELECTRONICO CERTIFICADO 472</v>
      </c>
    </row>
    <row r="18" ht="14.25" customHeight="1">
      <c r="A18" s="1" t="s">
        <v>107</v>
      </c>
      <c r="B18" s="1">
        <v>2741.0</v>
      </c>
      <c r="C18" s="1">
        <v>2740.0</v>
      </c>
      <c r="D18" s="9">
        <v>2740.0</v>
      </c>
      <c r="E18" s="1">
        <v>9.0253728E7</v>
      </c>
      <c r="F18" s="1">
        <v>9.0253728E7</v>
      </c>
      <c r="G18" s="1" t="s">
        <v>108</v>
      </c>
      <c r="H18" s="1" t="s">
        <v>109</v>
      </c>
      <c r="I18" s="1" t="str">
        <f>VLOOKUP(C18,'mayo-26'!B:H,7,0)</f>
        <v>CARERA 2 NO. 2-35</v>
      </c>
      <c r="J18" s="1">
        <v>0.0</v>
      </c>
      <c r="K18" s="10" t="s">
        <v>51</v>
      </c>
      <c r="L18" s="10" t="s">
        <v>51</v>
      </c>
      <c r="M18" s="1" t="s">
        <v>52</v>
      </c>
      <c r="N18" s="1" t="s">
        <v>53</v>
      </c>
      <c r="O18" s="1" t="s">
        <v>54</v>
      </c>
      <c r="P18" s="1" t="s">
        <v>55</v>
      </c>
      <c r="Q18" s="1" t="s">
        <v>56</v>
      </c>
      <c r="R18" s="1" t="s">
        <v>57</v>
      </c>
      <c r="S18" s="1" t="s">
        <v>58</v>
      </c>
      <c r="T18" s="1" t="s">
        <v>59</v>
      </c>
      <c r="U18" s="1">
        <v>2026.0</v>
      </c>
      <c r="V18" s="1">
        <v>6.0</v>
      </c>
      <c r="W18" s="1">
        <v>1.081874786E9</v>
      </c>
      <c r="X18" s="1">
        <v>1.081893258E9</v>
      </c>
      <c r="Y18" s="1" t="s">
        <v>60</v>
      </c>
      <c r="Z18" s="1" t="s">
        <v>61</v>
      </c>
      <c r="AA18" s="1">
        <v>4691256.48</v>
      </c>
      <c r="AB18" s="1">
        <v>4691256.48</v>
      </c>
      <c r="AC18" s="1">
        <v>0.0</v>
      </c>
      <c r="AD18" s="1">
        <v>99780.0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4691256.48</v>
      </c>
      <c r="AK18" s="1">
        <v>4691256.48</v>
      </c>
      <c r="AL18" s="1">
        <v>0.0</v>
      </c>
      <c r="AM18" s="1">
        <v>1367484.9</v>
      </c>
      <c r="AN18" s="1">
        <v>0.0</v>
      </c>
      <c r="AO18" s="1" t="s">
        <v>62</v>
      </c>
      <c r="AP18" s="1" t="s">
        <v>62</v>
      </c>
      <c r="AQ18" s="1" t="s">
        <v>62</v>
      </c>
      <c r="AR18" s="1" t="s">
        <v>62</v>
      </c>
      <c r="AS18" s="11" t="str">
        <f>VLOOKUP(C18,'mayo-26'!B:AS,44,0)</f>
        <v>TESORERIA@PUERTOSANTANDER-NORTEDESANTANDER.GOV.CO</v>
      </c>
      <c r="AT18" s="12" t="str">
        <f>VLOOKUP(C18,'mayo-26'!B:AT,45,0)</f>
        <v>CORREO ELECTRONICO CERTIFICADO 472</v>
      </c>
    </row>
    <row r="19" ht="14.25" customHeight="1">
      <c r="A19" s="1" t="s">
        <v>110</v>
      </c>
      <c r="B19" s="1">
        <v>2745.0</v>
      </c>
      <c r="C19" s="1">
        <v>2744.0</v>
      </c>
      <c r="D19" s="9">
        <v>2744.0</v>
      </c>
      <c r="E19" s="1">
        <v>9.0256525E7</v>
      </c>
      <c r="F19" s="1">
        <v>9.0256525E7</v>
      </c>
      <c r="G19" s="1" t="s">
        <v>111</v>
      </c>
      <c r="H19" s="1" t="s">
        <v>112</v>
      </c>
      <c r="I19" s="1" t="str">
        <f>VLOOKUP(C19,'mayo-26'!B:H,7,0)</f>
        <v>CALLE 6 NO. 6 55 CENTRO SARDINATA</v>
      </c>
      <c r="J19" s="1">
        <v>0.0</v>
      </c>
      <c r="K19" s="10" t="s">
        <v>51</v>
      </c>
      <c r="L19" s="10" t="s">
        <v>51</v>
      </c>
      <c r="M19" s="1" t="s">
        <v>52</v>
      </c>
      <c r="N19" s="1" t="s">
        <v>53</v>
      </c>
      <c r="O19" s="1" t="s">
        <v>54</v>
      </c>
      <c r="P19" s="1" t="s">
        <v>55</v>
      </c>
      <c r="Q19" s="1" t="s">
        <v>56</v>
      </c>
      <c r="R19" s="1" t="s">
        <v>57</v>
      </c>
      <c r="S19" s="1" t="s">
        <v>58</v>
      </c>
      <c r="T19" s="1" t="s">
        <v>59</v>
      </c>
      <c r="U19" s="1">
        <v>2026.0</v>
      </c>
      <c r="V19" s="1">
        <v>6.0</v>
      </c>
      <c r="W19" s="1">
        <v>1.081874791E9</v>
      </c>
      <c r="X19" s="1">
        <v>1.081893263E9</v>
      </c>
      <c r="Y19" s="1" t="s">
        <v>60</v>
      </c>
      <c r="Z19" s="1" t="s">
        <v>61</v>
      </c>
      <c r="AA19" s="1">
        <v>1.153396512E7</v>
      </c>
      <c r="AB19" s="1">
        <v>1.153396512E7</v>
      </c>
      <c r="AC19" s="1">
        <v>0.0</v>
      </c>
      <c r="AD19" s="1">
        <v>245320.0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1.153396512E7</v>
      </c>
      <c r="AK19" s="1">
        <v>1.153396512E7</v>
      </c>
      <c r="AL19" s="1">
        <v>0.0</v>
      </c>
      <c r="AM19" s="1">
        <v>3362110.6</v>
      </c>
      <c r="AN19" s="1">
        <v>0.0</v>
      </c>
      <c r="AO19" s="1" t="s">
        <v>62</v>
      </c>
      <c r="AP19" s="1" t="s">
        <v>62</v>
      </c>
      <c r="AQ19" s="1" t="s">
        <v>62</v>
      </c>
      <c r="AR19" s="1" t="s">
        <v>62</v>
      </c>
      <c r="AS19" s="11" t="str">
        <f>VLOOKUP(C19,'mayo-26'!B:AS,44,0)</f>
        <v/>
      </c>
      <c r="AT19" s="12" t="str">
        <f>VLOOKUP(C19,'mayo-26'!B:AT,45,0)</f>
        <v>CORREO ELECTRONICO CERTIFICADO 472</v>
      </c>
    </row>
    <row r="20" ht="14.25" customHeight="1">
      <c r="A20" s="1" t="s">
        <v>113</v>
      </c>
      <c r="B20" s="1">
        <v>2749.0</v>
      </c>
      <c r="C20" s="1">
        <v>2748.0</v>
      </c>
      <c r="D20" s="9">
        <v>2748.0</v>
      </c>
      <c r="E20" s="1">
        <v>9.0257658E7</v>
      </c>
      <c r="F20" s="1">
        <v>9.0257658E7</v>
      </c>
      <c r="G20" s="1">
        <v>8.90501549E8</v>
      </c>
      <c r="H20" s="1" t="s">
        <v>114</v>
      </c>
      <c r="I20" s="1" t="str">
        <f>VLOOKUP(C20,'mayo-26'!B:H,7,0)</f>
        <v>CALLE 2 CARRERA 6 ESQUINA</v>
      </c>
      <c r="J20" s="1">
        <v>0.0</v>
      </c>
      <c r="K20" s="10" t="s">
        <v>51</v>
      </c>
      <c r="L20" s="10" t="s">
        <v>51</v>
      </c>
      <c r="M20" s="1" t="s">
        <v>52</v>
      </c>
      <c r="N20" s="1" t="s">
        <v>53</v>
      </c>
      <c r="O20" s="1" t="s">
        <v>54</v>
      </c>
      <c r="P20" s="1" t="s">
        <v>55</v>
      </c>
      <c r="Q20" s="1" t="s">
        <v>56</v>
      </c>
      <c r="R20" s="1" t="s">
        <v>72</v>
      </c>
      <c r="S20" s="1" t="s">
        <v>58</v>
      </c>
      <c r="T20" s="1" t="s">
        <v>59</v>
      </c>
      <c r="U20" s="1">
        <v>2026.0</v>
      </c>
      <c r="V20" s="1">
        <v>6.0</v>
      </c>
      <c r="W20" s="1">
        <v>1.081874796E9</v>
      </c>
      <c r="X20" s="1">
        <v>1.081893268E9</v>
      </c>
      <c r="Y20" s="1" t="s">
        <v>60</v>
      </c>
      <c r="Z20" s="1" t="s">
        <v>61</v>
      </c>
      <c r="AA20" s="1">
        <v>3698278.56</v>
      </c>
      <c r="AB20" s="1">
        <v>3698278.56</v>
      </c>
      <c r="AC20" s="1">
        <v>0.0</v>
      </c>
      <c r="AD20" s="1">
        <v>78660.0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3698278.56</v>
      </c>
      <c r="AK20" s="1">
        <v>3698279.17</v>
      </c>
      <c r="AL20" s="1">
        <v>1.0</v>
      </c>
      <c r="AM20" s="1">
        <v>1078035.3</v>
      </c>
      <c r="AN20" s="1">
        <v>0.0</v>
      </c>
      <c r="AO20" s="1" t="s">
        <v>62</v>
      </c>
      <c r="AP20" s="1" t="s">
        <v>62</v>
      </c>
      <c r="AQ20" s="1" t="s">
        <v>62</v>
      </c>
      <c r="AR20" s="1" t="s">
        <v>62</v>
      </c>
      <c r="AS20" s="11" t="str">
        <f>VLOOKUP(C20,'mayo-26'!B:AS,44,0)</f>
        <v>HACIENDA@SALAZARDELASPALMAS-NORTEDESANTANDER.GOV.CO</v>
      </c>
      <c r="AT20" s="12" t="str">
        <f>VLOOKUP(C20,'mayo-26'!B:AT,45,0)</f>
        <v>CORREO ELECTRONICO CERTIFICADO 472</v>
      </c>
    </row>
    <row r="21" ht="14.25" customHeight="1">
      <c r="A21" s="1" t="s">
        <v>115</v>
      </c>
      <c r="B21" s="1">
        <v>2753.0</v>
      </c>
      <c r="C21" s="1">
        <v>2752.0</v>
      </c>
      <c r="D21" s="9">
        <v>2752.0</v>
      </c>
      <c r="E21" s="1">
        <v>9.0257711E7</v>
      </c>
      <c r="F21" s="1">
        <v>9.0257711E7</v>
      </c>
      <c r="G21" s="1">
        <v>8.07002043E8</v>
      </c>
      <c r="H21" s="1" t="s">
        <v>116</v>
      </c>
      <c r="I21" s="1" t="str">
        <f>VLOOKUP(C21,'mayo-26'!B:H,7,0)</f>
        <v>CLL 7 NO 2-03 BARRIO CENTRO MUNICIPIO EL ZULIA</v>
      </c>
      <c r="J21" s="1">
        <v>0.0</v>
      </c>
      <c r="K21" s="10" t="s">
        <v>51</v>
      </c>
      <c r="L21" s="10" t="s">
        <v>51</v>
      </c>
      <c r="M21" s="1" t="s">
        <v>52</v>
      </c>
      <c r="N21" s="1" t="s">
        <v>53</v>
      </c>
      <c r="O21" s="1" t="s">
        <v>54</v>
      </c>
      <c r="P21" s="1" t="s">
        <v>55</v>
      </c>
      <c r="Q21" s="1" t="s">
        <v>56</v>
      </c>
      <c r="R21" s="1" t="s">
        <v>72</v>
      </c>
      <c r="S21" s="1" t="s">
        <v>58</v>
      </c>
      <c r="T21" s="1" t="s">
        <v>59</v>
      </c>
      <c r="U21" s="1">
        <v>2026.0</v>
      </c>
      <c r="V21" s="1">
        <v>6.0</v>
      </c>
      <c r="W21" s="1">
        <v>1.081874798E9</v>
      </c>
      <c r="X21" s="1">
        <v>1.08189327E9</v>
      </c>
      <c r="Y21" s="1" t="s">
        <v>60</v>
      </c>
      <c r="Z21" s="1" t="s">
        <v>61</v>
      </c>
      <c r="AA21" s="1">
        <v>2.321791128E7</v>
      </c>
      <c r="AB21" s="1">
        <v>2.321791128E7</v>
      </c>
      <c r="AC21" s="1">
        <v>0.0</v>
      </c>
      <c r="AD21" s="1">
        <v>493830.0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2.321791128E7</v>
      </c>
      <c r="AK21" s="1">
        <v>2.321791202E7</v>
      </c>
      <c r="AL21" s="1">
        <v>1.0</v>
      </c>
      <c r="AM21" s="1">
        <v>6767940.15</v>
      </c>
      <c r="AN21" s="1">
        <v>0.0</v>
      </c>
      <c r="AO21" s="1" t="s">
        <v>62</v>
      </c>
      <c r="AP21" s="1" t="s">
        <v>62</v>
      </c>
      <c r="AQ21" s="1" t="s">
        <v>62</v>
      </c>
      <c r="AR21" s="1" t="s">
        <v>62</v>
      </c>
      <c r="AS21" s="11" t="str">
        <f>VLOOKUP(C21,'mayo-26'!B:AS,44,0)</f>
        <v>emzulia.esp@gmail.com</v>
      </c>
      <c r="AT21" s="12" t="str">
        <f>VLOOKUP(C21,'mayo-26'!B:AT,45,0)</f>
        <v>CORREO ELECTRONICO CERTIFICADO 472</v>
      </c>
    </row>
    <row r="22" ht="14.25" customHeight="1">
      <c r="A22" s="1" t="s">
        <v>117</v>
      </c>
      <c r="B22" s="1">
        <v>2757.0</v>
      </c>
      <c r="C22" s="1">
        <v>2756.0</v>
      </c>
      <c r="D22" s="9">
        <v>2756.0</v>
      </c>
      <c r="E22" s="1">
        <v>9.0257826E7</v>
      </c>
      <c r="F22" s="1">
        <v>9.0257826E7</v>
      </c>
      <c r="G22" s="1">
        <v>8.90505662E8</v>
      </c>
      <c r="H22" s="1" t="s">
        <v>118</v>
      </c>
      <c r="I22" s="1" t="str">
        <f>VLOOKUP(C22,'mayo-26'!B:H,7,0)</f>
        <v>CALLE 3 NO 3 - 08</v>
      </c>
      <c r="J22" s="1">
        <v>0.0</v>
      </c>
      <c r="K22" s="10" t="s">
        <v>51</v>
      </c>
      <c r="L22" s="10" t="s">
        <v>51</v>
      </c>
      <c r="M22" s="1" t="s">
        <v>52</v>
      </c>
      <c r="N22" s="1" t="s">
        <v>53</v>
      </c>
      <c r="O22" s="1" t="s">
        <v>54</v>
      </c>
      <c r="P22" s="1" t="s">
        <v>55</v>
      </c>
      <c r="Q22" s="1" t="s">
        <v>56</v>
      </c>
      <c r="R22" s="1" t="s">
        <v>57</v>
      </c>
      <c r="S22" s="1" t="s">
        <v>58</v>
      </c>
      <c r="T22" s="1" t="s">
        <v>59</v>
      </c>
      <c r="U22" s="1">
        <v>2026.0</v>
      </c>
      <c r="V22" s="1">
        <v>6.0</v>
      </c>
      <c r="W22" s="1">
        <v>1.081874803E9</v>
      </c>
      <c r="X22" s="1">
        <v>1.081893275E9</v>
      </c>
      <c r="Y22" s="1" t="s">
        <v>60</v>
      </c>
      <c r="Z22" s="1" t="s">
        <v>61</v>
      </c>
      <c r="AA22" s="1">
        <v>4604747.04</v>
      </c>
      <c r="AB22" s="1">
        <v>4604747.04</v>
      </c>
      <c r="AC22" s="1">
        <v>0.0</v>
      </c>
      <c r="AD22" s="1">
        <v>97940.0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4604747.04</v>
      </c>
      <c r="AK22" s="1">
        <v>4604747.04</v>
      </c>
      <c r="AL22" s="1">
        <v>0.0</v>
      </c>
      <c r="AM22" s="1">
        <v>1342267.7</v>
      </c>
      <c r="AN22" s="1">
        <v>0.0</v>
      </c>
      <c r="AO22" s="1" t="s">
        <v>62</v>
      </c>
      <c r="AP22" s="1" t="s">
        <v>62</v>
      </c>
      <c r="AQ22" s="1" t="s">
        <v>62</v>
      </c>
      <c r="AR22" s="1" t="s">
        <v>62</v>
      </c>
      <c r="AS22" s="11" t="str">
        <f>VLOOKUP(C22,'mayo-26'!B:AS,44,0)</f>
        <v>UNISEPUBLICOS@BOCHALEMA-NORTEDESANTANDER.GOV.CO</v>
      </c>
      <c r="AT22" s="12" t="str">
        <f>VLOOKUP(C22,'mayo-26'!B:AT,45,0)</f>
        <v>CORREO ELECTRONICO CERTIFICADO 472</v>
      </c>
    </row>
    <row r="23" ht="14.25" customHeight="1">
      <c r="A23" s="1" t="s">
        <v>119</v>
      </c>
      <c r="B23" s="1">
        <v>433.0</v>
      </c>
      <c r="C23" s="1">
        <v>432.0</v>
      </c>
      <c r="D23" s="9">
        <v>432.0</v>
      </c>
      <c r="E23" s="1">
        <v>9.0253757E7</v>
      </c>
      <c r="F23" s="1">
        <v>9.0253757E7</v>
      </c>
      <c r="G23" s="1">
        <v>9.01347799E8</v>
      </c>
      <c r="H23" s="1" t="s">
        <v>120</v>
      </c>
      <c r="I23" s="1" t="str">
        <f>VLOOKUP(C23,'mayo-26'!B:H,7,0)</f>
        <v>KM 6 #49-40 VIA SAUFASTINO EL SERRITO</v>
      </c>
      <c r="J23" s="1" t="s">
        <v>76</v>
      </c>
      <c r="K23" s="10" t="s">
        <v>51</v>
      </c>
      <c r="L23" s="10" t="s">
        <v>51</v>
      </c>
      <c r="M23" s="1" t="s">
        <v>52</v>
      </c>
      <c r="N23" s="1" t="s">
        <v>53</v>
      </c>
      <c r="O23" s="1" t="s">
        <v>54</v>
      </c>
      <c r="P23" s="1" t="s">
        <v>55</v>
      </c>
      <c r="Q23" s="1" t="s">
        <v>56</v>
      </c>
      <c r="R23" s="1" t="s">
        <v>72</v>
      </c>
      <c r="S23" s="1" t="s">
        <v>58</v>
      </c>
      <c r="T23" s="1" t="s">
        <v>59</v>
      </c>
      <c r="U23" s="1">
        <v>2026.0</v>
      </c>
      <c r="V23" s="1">
        <v>6.0</v>
      </c>
      <c r="W23" s="1">
        <v>1.081874774E9</v>
      </c>
      <c r="X23" s="1">
        <v>1.081893246E9</v>
      </c>
      <c r="Y23" s="1" t="s">
        <v>60</v>
      </c>
      <c r="Z23" s="1" t="s">
        <v>61</v>
      </c>
      <c r="AA23" s="1">
        <v>614063.39</v>
      </c>
      <c r="AB23" s="1">
        <v>614063.39</v>
      </c>
      <c r="AC23" s="1">
        <v>0.0</v>
      </c>
      <c r="AD23" s="1">
        <v>14470.0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614063.39</v>
      </c>
      <c r="AK23" s="1">
        <v>614063.39</v>
      </c>
      <c r="AL23" s="1">
        <v>0.0</v>
      </c>
      <c r="AM23" s="1">
        <v>132053.22</v>
      </c>
      <c r="AN23" s="1">
        <v>0.0</v>
      </c>
      <c r="AO23" s="1" t="s">
        <v>62</v>
      </c>
      <c r="AP23" s="1" t="s">
        <v>62</v>
      </c>
      <c r="AQ23" s="1" t="s">
        <v>62</v>
      </c>
      <c r="AR23" s="1" t="s">
        <v>62</v>
      </c>
      <c r="AS23" s="11" t="str">
        <f>VLOOKUP(C23,'mayo-26'!B:AS,44,0)</f>
        <v>CURTIEMBRESCUCUTA@GMAIL.COM</v>
      </c>
      <c r="AT23" s="12" t="str">
        <f>VLOOKUP(C23,'mayo-26'!B:AT,45,0)</f>
        <v>CORREO ELECTRONICO CERTIFICADO 472</v>
      </c>
    </row>
    <row r="24" ht="14.25" customHeight="1">
      <c r="A24" s="14" t="s">
        <v>121</v>
      </c>
      <c r="B24" s="1">
        <v>505.0</v>
      </c>
      <c r="C24" s="1">
        <v>504.0</v>
      </c>
      <c r="D24" s="9">
        <v>504.0</v>
      </c>
      <c r="E24" s="1">
        <v>9.0268059E7</v>
      </c>
      <c r="F24" s="1">
        <v>9.0268059E7</v>
      </c>
      <c r="G24" s="1">
        <v>6.036649E7</v>
      </c>
      <c r="H24" s="1" t="s">
        <v>122</v>
      </c>
      <c r="I24" s="1" t="str">
        <f>VLOOKUP(C24,'mayo-26'!B:H,7,0)</f>
        <v>CLL 21 0E- 20 CAOBOS</v>
      </c>
      <c r="J24" s="1" t="s">
        <v>123</v>
      </c>
      <c r="K24" s="10" t="s">
        <v>51</v>
      </c>
      <c r="L24" s="10" t="s">
        <v>51</v>
      </c>
      <c r="M24" s="1" t="s">
        <v>52</v>
      </c>
      <c r="N24" s="1" t="s">
        <v>89</v>
      </c>
      <c r="O24" s="1" t="s">
        <v>54</v>
      </c>
      <c r="P24" s="1" t="s">
        <v>55</v>
      </c>
      <c r="Q24" s="1" t="s">
        <v>56</v>
      </c>
      <c r="R24" s="1" t="s">
        <v>72</v>
      </c>
      <c r="S24" s="1" t="s">
        <v>58</v>
      </c>
      <c r="T24" s="1" t="s">
        <v>59</v>
      </c>
      <c r="U24" s="1">
        <v>2026.0</v>
      </c>
      <c r="V24" s="1">
        <v>6.0</v>
      </c>
      <c r="W24" s="1">
        <v>1.081874775E9</v>
      </c>
      <c r="X24" s="1">
        <v>1.081893247E9</v>
      </c>
      <c r="Y24" s="1" t="s">
        <v>60</v>
      </c>
      <c r="Z24" s="1" t="s">
        <v>61</v>
      </c>
      <c r="AA24" s="1">
        <v>891328.21</v>
      </c>
      <c r="AB24" s="1">
        <v>891328.21</v>
      </c>
      <c r="AC24" s="1">
        <v>0.0</v>
      </c>
      <c r="AD24" s="1">
        <v>20240.0</v>
      </c>
      <c r="AE24" s="1">
        <v>32403.33</v>
      </c>
      <c r="AF24" s="1">
        <v>0.0</v>
      </c>
      <c r="AG24" s="1">
        <v>0.0</v>
      </c>
      <c r="AH24" s="1">
        <v>0.0</v>
      </c>
      <c r="AI24" s="1">
        <v>0.0</v>
      </c>
      <c r="AJ24" s="1">
        <v>891328.21</v>
      </c>
      <c r="AK24" s="1">
        <v>2500616.32</v>
      </c>
      <c r="AL24" s="1">
        <v>3.0</v>
      </c>
      <c r="AM24" s="1">
        <v>184710.24</v>
      </c>
      <c r="AN24" s="1">
        <v>0.0</v>
      </c>
      <c r="AO24" s="1" t="s">
        <v>62</v>
      </c>
      <c r="AP24" s="1" t="s">
        <v>62</v>
      </c>
      <c r="AQ24" s="1" t="s">
        <v>62</v>
      </c>
      <c r="AR24" s="1" t="s">
        <v>62</v>
      </c>
      <c r="AS24" s="11" t="str">
        <f>VLOOKUP(C24,'mayo-26'!B:AS,44,0)</f>
        <v>NAROHE10@HOTMAIL.COM</v>
      </c>
      <c r="AT24" s="12" t="str">
        <f>VLOOKUP(C24,'mayo-26'!B:AT,45,0)</f>
        <v>CORREO ELECTRONICO CERTIFICADO 472</v>
      </c>
    </row>
    <row r="25" ht="14.25" customHeight="1">
      <c r="A25" s="1" t="s">
        <v>124</v>
      </c>
      <c r="B25" s="1">
        <v>605804.0</v>
      </c>
      <c r="C25" s="1">
        <v>502000.0</v>
      </c>
      <c r="D25" s="9">
        <v>557773.0</v>
      </c>
      <c r="E25" s="1" t="s">
        <v>62</v>
      </c>
      <c r="F25" s="1" t="s">
        <v>62</v>
      </c>
      <c r="G25" s="1">
        <v>9.01951147E8</v>
      </c>
      <c r="H25" s="1" t="s">
        <v>125</v>
      </c>
      <c r="I25" s="1" t="str">
        <f>VLOOKUP(C25,'mayo-26'!B:H,7,0)</f>
        <v>#N/A</v>
      </c>
      <c r="J25" s="1" t="e">
        <v>#N/A</v>
      </c>
      <c r="K25" s="10" t="s">
        <v>51</v>
      </c>
      <c r="L25" s="10" t="s">
        <v>51</v>
      </c>
      <c r="M25" s="1" t="s">
        <v>52</v>
      </c>
      <c r="N25" s="1" t="s">
        <v>89</v>
      </c>
      <c r="O25" s="1" t="s">
        <v>54</v>
      </c>
      <c r="P25" s="1" t="s">
        <v>126</v>
      </c>
      <c r="Q25" s="1" t="s">
        <v>56</v>
      </c>
      <c r="R25" s="1" t="s">
        <v>90</v>
      </c>
      <c r="S25" s="1" t="s">
        <v>58</v>
      </c>
      <c r="T25" s="1" t="s">
        <v>59</v>
      </c>
      <c r="U25" s="1">
        <v>2026.0</v>
      </c>
      <c r="V25" s="1">
        <v>6.0</v>
      </c>
      <c r="W25" s="1">
        <v>1.081884177E9</v>
      </c>
      <c r="X25" s="1">
        <v>1.08190267E9</v>
      </c>
      <c r="Y25" s="1" t="s">
        <v>60</v>
      </c>
      <c r="Z25" s="1" t="s">
        <v>61</v>
      </c>
      <c r="AA25" s="1">
        <v>4405399.0</v>
      </c>
      <c r="AB25" s="1">
        <v>4405399.0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4405387.87</v>
      </c>
      <c r="AK25" s="1">
        <v>4405387.87</v>
      </c>
      <c r="AL25" s="1">
        <v>0.0</v>
      </c>
      <c r="AM25" s="1">
        <v>1284158.0</v>
      </c>
      <c r="AN25" s="1">
        <v>0.0</v>
      </c>
      <c r="AO25" s="1" t="s">
        <v>62</v>
      </c>
      <c r="AP25" s="1" t="s">
        <v>62</v>
      </c>
      <c r="AQ25" s="1">
        <v>11.13</v>
      </c>
      <c r="AR25" s="1" t="s">
        <v>62</v>
      </c>
      <c r="AS25" s="11" t="str">
        <f>VLOOKUP(C25,'mayo-26'!B:AS,44,0)</f>
        <v>#N/A</v>
      </c>
      <c r="AT25" s="12" t="str">
        <f>VLOOKUP(C25,'mayo-26'!B:AT,45,0)</f>
        <v>#N/A</v>
      </c>
    </row>
    <row r="26" ht="14.25" customHeight="1">
      <c r="A26" s="15" t="s">
        <v>127</v>
      </c>
      <c r="B26" s="16">
        <v>285191.0</v>
      </c>
      <c r="C26" s="16">
        <v>217711.0</v>
      </c>
      <c r="D26" s="16">
        <v>217711.0</v>
      </c>
      <c r="E26" s="16">
        <v>40520.0</v>
      </c>
      <c r="F26" s="16">
        <v>40520.0</v>
      </c>
      <c r="G26" s="16">
        <v>9.00276962E8</v>
      </c>
      <c r="H26" s="15" t="s">
        <v>128</v>
      </c>
      <c r="I26" s="1" t="str">
        <f>VLOOKUP(C26,'mayo-26'!B:H,7,0)</f>
        <v>KDX 73-2 1116</v>
      </c>
      <c r="J26" s="1" t="s">
        <v>129</v>
      </c>
      <c r="K26" s="10" t="str">
        <f>VLOOKUP(C26,'mayo-26'!B:J,9,0)</f>
        <v>NO</v>
      </c>
      <c r="L26" s="1" t="str">
        <f>VLOOKUP(C26,'mayo-26'!B:K,10,0)</f>
        <v>D1</v>
      </c>
      <c r="M26" s="15" t="s">
        <v>52</v>
      </c>
      <c r="N26" s="15" t="s">
        <v>89</v>
      </c>
      <c r="O26" s="15" t="s">
        <v>130</v>
      </c>
      <c r="P26" s="15" t="s">
        <v>126</v>
      </c>
      <c r="Q26" s="15" t="s">
        <v>131</v>
      </c>
      <c r="R26" s="15" t="s">
        <v>132</v>
      </c>
      <c r="S26" s="15" t="s">
        <v>133</v>
      </c>
      <c r="T26" s="15" t="s">
        <v>59</v>
      </c>
      <c r="U26" s="16">
        <v>2026.0</v>
      </c>
      <c r="V26" s="16">
        <v>6.0</v>
      </c>
      <c r="W26" s="16">
        <v>1.081875085E9</v>
      </c>
      <c r="X26" s="16">
        <v>1.081893557E9</v>
      </c>
      <c r="Y26" s="17">
        <v>46182.0</v>
      </c>
      <c r="Z26" s="17">
        <v>46207.0</v>
      </c>
      <c r="AA26" s="16">
        <v>113128.5</v>
      </c>
      <c r="AB26" s="16">
        <v>113128.5</v>
      </c>
      <c r="AC26" s="16">
        <v>37709.5</v>
      </c>
      <c r="AD26" s="16">
        <v>0.0</v>
      </c>
      <c r="AE26" s="16">
        <v>0.0</v>
      </c>
      <c r="AF26" s="16">
        <v>0.0</v>
      </c>
      <c r="AG26" s="16">
        <v>0.0</v>
      </c>
      <c r="AH26" s="16">
        <v>0.0</v>
      </c>
      <c r="AI26" s="16">
        <v>0.0</v>
      </c>
      <c r="AJ26" s="16">
        <v>113128.5</v>
      </c>
      <c r="AK26" s="16">
        <v>113128.5</v>
      </c>
      <c r="AL26" s="16">
        <v>0.0</v>
      </c>
      <c r="AM26" s="16">
        <v>376.2</v>
      </c>
      <c r="AN26" s="16">
        <v>0.0</v>
      </c>
      <c r="AO26" s="18"/>
      <c r="AP26" s="18"/>
      <c r="AQ26" s="18"/>
      <c r="AR26" s="18"/>
      <c r="AS26" s="11" t="str">
        <f>VLOOKUP(C26,'mayo-26'!B:AS,44,0)</f>
        <v>ALBA.CELIS@D1.COM.CO;CARMEN.DAVILA@D1.COM.CO</v>
      </c>
      <c r="AT26" s="12" t="str">
        <f>VLOOKUP(C26,'mayo-26'!B:AT,45,0)</f>
        <v>CORREO ELECTRONICO CERTIFICADO 472</v>
      </c>
      <c r="AU26" s="16"/>
      <c r="AV26" s="16"/>
      <c r="AW26" s="16"/>
    </row>
    <row r="27" ht="14.25" customHeight="1">
      <c r="A27" s="15" t="s">
        <v>134</v>
      </c>
      <c r="B27" s="16">
        <v>297.0</v>
      </c>
      <c r="C27" s="16">
        <v>223223.0</v>
      </c>
      <c r="D27" s="16">
        <v>223223.0</v>
      </c>
      <c r="E27" s="16">
        <v>46258.0</v>
      </c>
      <c r="F27" s="16">
        <v>46258.0</v>
      </c>
      <c r="G27" s="15" t="s">
        <v>135</v>
      </c>
      <c r="H27" s="15" t="s">
        <v>136</v>
      </c>
      <c r="I27" s="1" t="str">
        <f>VLOOKUP(C27,'mayo-26'!B:H,7,0)</f>
        <v>AVE 4 17-89 - 0239431</v>
      </c>
      <c r="J27" s="1" t="s">
        <v>137</v>
      </c>
      <c r="K27" s="10" t="str">
        <f>VLOOKUP(C27,'mayo-26'!B:J,9,0)</f>
        <v>NO</v>
      </c>
      <c r="L27" s="1" t="str">
        <f>VLOOKUP(C27,'mayo-26'!B:K,10,0)</f>
        <v>IMSALUD</v>
      </c>
      <c r="M27" s="15" t="s">
        <v>52</v>
      </c>
      <c r="N27" s="15" t="s">
        <v>138</v>
      </c>
      <c r="O27" s="15" t="s">
        <v>130</v>
      </c>
      <c r="P27" s="15" t="s">
        <v>126</v>
      </c>
      <c r="Q27" s="15" t="s">
        <v>131</v>
      </c>
      <c r="R27" s="15" t="s">
        <v>139</v>
      </c>
      <c r="S27" s="15" t="s">
        <v>133</v>
      </c>
      <c r="T27" s="15" t="s">
        <v>59</v>
      </c>
      <c r="U27" s="16">
        <v>2026.0</v>
      </c>
      <c r="V27" s="16">
        <v>6.0</v>
      </c>
      <c r="W27" s="16">
        <v>1.081875089E9</v>
      </c>
      <c r="X27" s="16">
        <v>1.081893561E9</v>
      </c>
      <c r="Y27" s="17">
        <v>46182.0</v>
      </c>
      <c r="Z27" s="17">
        <v>46207.0</v>
      </c>
      <c r="AA27" s="16">
        <v>62832.0</v>
      </c>
      <c r="AB27" s="16">
        <v>62832.0</v>
      </c>
      <c r="AC27" s="16">
        <v>0.0</v>
      </c>
      <c r="AD27" s="16">
        <v>0.0</v>
      </c>
      <c r="AE27" s="16">
        <v>0.0</v>
      </c>
      <c r="AF27" s="16">
        <v>0.0</v>
      </c>
      <c r="AG27" s="16">
        <v>0.0</v>
      </c>
      <c r="AH27" s="16">
        <v>0.0</v>
      </c>
      <c r="AI27" s="16">
        <v>0.0</v>
      </c>
      <c r="AJ27" s="16">
        <v>62832.0</v>
      </c>
      <c r="AK27" s="16">
        <v>62832.0</v>
      </c>
      <c r="AL27" s="16">
        <v>0.0</v>
      </c>
      <c r="AM27" s="16">
        <v>250.8</v>
      </c>
      <c r="AN27" s="16">
        <v>0.0</v>
      </c>
      <c r="AO27" s="18"/>
      <c r="AP27" s="18"/>
      <c r="AQ27" s="18"/>
      <c r="AR27" s="18"/>
      <c r="AS27" s="11" t="str">
        <f>VLOOKUP(C27,'mayo-26'!B:AS,44,0)</f>
        <v>SUBFINANCIERA@IMSALUD.GOV.CO</v>
      </c>
      <c r="AT27" s="12" t="str">
        <f>VLOOKUP(C27,'mayo-26'!B:AT,45,0)</f>
        <v>CORREO ELECTRONICO CERTIFICADO 472</v>
      </c>
      <c r="AU27" s="16"/>
      <c r="AV27" s="16"/>
      <c r="AW27" s="16"/>
    </row>
    <row r="28" ht="14.25" customHeight="1">
      <c r="A28" s="15" t="s">
        <v>140</v>
      </c>
      <c r="B28" s="16">
        <v>699.0</v>
      </c>
      <c r="C28" s="16">
        <v>225199.0</v>
      </c>
      <c r="D28" s="16">
        <v>225199.0</v>
      </c>
      <c r="E28" s="16">
        <v>48272.0</v>
      </c>
      <c r="F28" s="16">
        <v>48272.0</v>
      </c>
      <c r="G28" s="16">
        <v>9.00480569E8</v>
      </c>
      <c r="H28" s="15" t="s">
        <v>141</v>
      </c>
      <c r="I28" s="1" t="str">
        <f>VLOOKUP(C28,'mayo-26'!B:H,7,0)</f>
        <v>CLL 12 4-52 CENTRO</v>
      </c>
      <c r="J28" s="1" t="s">
        <v>142</v>
      </c>
      <c r="K28" s="10" t="str">
        <f>VLOOKUP(C28,'mayo-26'!B:J,9,0)</f>
        <v>NO</v>
      </c>
      <c r="L28" s="1" t="str">
        <f>VLOOKUP(C28,'mayo-26'!B:K,10,0)</f>
        <v>ARA CUCUTA</v>
      </c>
      <c r="M28" s="15" t="s">
        <v>52</v>
      </c>
      <c r="N28" s="15" t="s">
        <v>138</v>
      </c>
      <c r="O28" s="15" t="s">
        <v>130</v>
      </c>
      <c r="P28" s="15" t="s">
        <v>126</v>
      </c>
      <c r="Q28" s="15" t="s">
        <v>56</v>
      </c>
      <c r="R28" s="15" t="s">
        <v>90</v>
      </c>
      <c r="S28" s="15" t="s">
        <v>143</v>
      </c>
      <c r="T28" s="15" t="s">
        <v>59</v>
      </c>
      <c r="U28" s="16">
        <v>2026.0</v>
      </c>
      <c r="V28" s="16">
        <v>6.0</v>
      </c>
      <c r="W28" s="16">
        <v>1.081875094E9</v>
      </c>
      <c r="X28" s="16">
        <v>1.081893566E9</v>
      </c>
      <c r="Y28" s="17">
        <v>46182.0</v>
      </c>
      <c r="Z28" s="17">
        <v>46207.0</v>
      </c>
      <c r="AA28" s="16">
        <v>679277.47</v>
      </c>
      <c r="AB28" s="16">
        <v>679277.47</v>
      </c>
      <c r="AC28" s="16">
        <v>226425.83</v>
      </c>
      <c r="AD28" s="16">
        <v>2188.0</v>
      </c>
      <c r="AE28" s="16">
        <v>0.0</v>
      </c>
      <c r="AF28" s="16">
        <v>0.0</v>
      </c>
      <c r="AG28" s="16">
        <v>0.0</v>
      </c>
      <c r="AH28" s="16">
        <v>0.0</v>
      </c>
      <c r="AI28" s="16">
        <v>0.0</v>
      </c>
      <c r="AJ28" s="16">
        <v>679277.47</v>
      </c>
      <c r="AK28" s="16">
        <v>1359480.18</v>
      </c>
      <c r="AL28" s="16">
        <v>1.0</v>
      </c>
      <c r="AM28" s="16">
        <v>376.2</v>
      </c>
      <c r="AN28" s="16">
        <v>0.0</v>
      </c>
      <c r="AO28" s="18"/>
      <c r="AP28" s="18"/>
      <c r="AQ28" s="18"/>
      <c r="AR28" s="18"/>
      <c r="AS28" s="11" t="str">
        <f>VLOOKUP(C28,'mayo-26'!B:AS,44,0)</f>
        <v>COORDINADOR.OPERACIONES.R11@JERONIMO-MARTINS.COM</v>
      </c>
      <c r="AT28" s="12" t="str">
        <f>VLOOKUP(C28,'mayo-26'!B:AT,45,0)</f>
        <v>CORREO ELECTRONICO CERTIFICADO 472</v>
      </c>
      <c r="AU28" s="16"/>
      <c r="AV28" s="16"/>
      <c r="AW28" s="16"/>
    </row>
    <row r="29" ht="14.25" customHeight="1">
      <c r="A29" s="15" t="s">
        <v>144</v>
      </c>
      <c r="B29" s="16">
        <v>141.0</v>
      </c>
      <c r="C29" s="16">
        <v>237851.0</v>
      </c>
      <c r="D29" s="16">
        <v>237851.0</v>
      </c>
      <c r="E29" s="16">
        <v>307920.0</v>
      </c>
      <c r="F29" s="16">
        <v>307920.0</v>
      </c>
      <c r="G29" s="16">
        <v>8.90500514E8</v>
      </c>
      <c r="H29" s="15" t="s">
        <v>145</v>
      </c>
      <c r="I29" s="1" t="str">
        <f>VLOOKUP(C29,'mayo-26'!B:H,7,0)</f>
        <v>AV 2 CALLE 39 LIBERTAD</v>
      </c>
      <c r="J29" s="1" t="s">
        <v>146</v>
      </c>
      <c r="K29" s="10" t="str">
        <f>VLOOKUP(C29,'mayo-26'!B:J,9,0)</f>
        <v>NO</v>
      </c>
      <c r="L29" s="1" t="str">
        <f>VLOOKUP(C29,'mayo-26'!B:K,10,0)</f>
        <v>CENS</v>
      </c>
      <c r="M29" s="15" t="s">
        <v>52</v>
      </c>
      <c r="N29" s="15" t="s">
        <v>138</v>
      </c>
      <c r="O29" s="15" t="s">
        <v>130</v>
      </c>
      <c r="P29" s="15" t="s">
        <v>126</v>
      </c>
      <c r="Q29" s="15" t="s">
        <v>56</v>
      </c>
      <c r="R29" s="15" t="s">
        <v>90</v>
      </c>
      <c r="S29" s="15" t="s">
        <v>58</v>
      </c>
      <c r="T29" s="15" t="s">
        <v>59</v>
      </c>
      <c r="U29" s="16">
        <v>2026.0</v>
      </c>
      <c r="V29" s="16">
        <v>6.0</v>
      </c>
      <c r="W29" s="16">
        <v>1.081875098E9</v>
      </c>
      <c r="X29" s="16">
        <v>1.08189357E9</v>
      </c>
      <c r="Y29" s="17">
        <v>46182.0</v>
      </c>
      <c r="Z29" s="17">
        <v>46207.0</v>
      </c>
      <c r="AA29" s="16">
        <v>728415.9</v>
      </c>
      <c r="AB29" s="16">
        <v>728415.9</v>
      </c>
      <c r="AC29" s="16">
        <v>242805.31</v>
      </c>
      <c r="AD29" s="16">
        <v>2360.63</v>
      </c>
      <c r="AE29" s="16">
        <v>0.0</v>
      </c>
      <c r="AF29" s="16">
        <v>0.0</v>
      </c>
      <c r="AG29" s="16">
        <v>0.0</v>
      </c>
      <c r="AH29" s="16">
        <v>0.0</v>
      </c>
      <c r="AI29" s="16">
        <v>0.0</v>
      </c>
      <c r="AJ29" s="16">
        <v>728415.9</v>
      </c>
      <c r="AK29" s="16">
        <v>728415.9</v>
      </c>
      <c r="AL29" s="16">
        <v>0.0</v>
      </c>
      <c r="AM29" s="16">
        <v>376.2</v>
      </c>
      <c r="AN29" s="16">
        <v>0.0</v>
      </c>
      <c r="AO29" s="18"/>
      <c r="AP29" s="18"/>
      <c r="AQ29" s="18"/>
      <c r="AR29" s="18"/>
      <c r="AS29" s="11" t="str">
        <f>VLOOKUP(C29,'mayo-26'!B:AS,44,0)</f>
        <v>FACTURAELECTRONICACENS@GRUPO-EPM.COM</v>
      </c>
      <c r="AT29" s="12" t="str">
        <f>VLOOKUP(C29,'mayo-26'!B:AT,45,0)</f>
        <v>CORREO ELECTRONICO CERTIFICADO 472</v>
      </c>
      <c r="AU29" s="16"/>
      <c r="AV29" s="16"/>
      <c r="AW29" s="16"/>
    </row>
    <row r="30" ht="14.25" customHeight="1">
      <c r="A30" s="15" t="s">
        <v>147</v>
      </c>
      <c r="B30" s="16">
        <v>455370.0</v>
      </c>
      <c r="C30" s="16">
        <v>267583.0</v>
      </c>
      <c r="D30" s="16">
        <v>267583.0</v>
      </c>
      <c r="E30" s="16">
        <v>661467.0</v>
      </c>
      <c r="F30" s="16">
        <v>661467.0</v>
      </c>
      <c r="G30" s="15" t="s">
        <v>148</v>
      </c>
      <c r="H30" s="15" t="s">
        <v>149</v>
      </c>
      <c r="I30" s="1" t="str">
        <f>VLOOKUP(C30,'mayo-26'!B:H,7,0)</f>
        <v>CALLE 10 NO 0E-16 EDF CENTRO EMPRESARIAL BLOQUE B HOTEL TONCHALA</v>
      </c>
      <c r="J30" s="1" t="s">
        <v>150</v>
      </c>
      <c r="K30" s="10" t="str">
        <f>VLOOKUP(C30,'mayo-26'!B:J,9,0)</f>
        <v>NO</v>
      </c>
      <c r="L30" s="1" t="str">
        <f>VLOOKUP(C30,'mayo-26'!B:K,10,0)</f>
        <v>COLEGIOS ZONA NORTE</v>
      </c>
      <c r="M30" s="15" t="s">
        <v>52</v>
      </c>
      <c r="N30" s="15" t="s">
        <v>138</v>
      </c>
      <c r="O30" s="15" t="s">
        <v>130</v>
      </c>
      <c r="P30" s="15" t="s">
        <v>126</v>
      </c>
      <c r="Q30" s="15" t="s">
        <v>131</v>
      </c>
      <c r="R30" s="15" t="s">
        <v>151</v>
      </c>
      <c r="S30" s="15" t="s">
        <v>133</v>
      </c>
      <c r="T30" s="15" t="s">
        <v>59</v>
      </c>
      <c r="U30" s="16">
        <v>2026.0</v>
      </c>
      <c r="V30" s="16">
        <v>6.0</v>
      </c>
      <c r="W30" s="16">
        <v>1.081875102E9</v>
      </c>
      <c r="X30" s="16">
        <v>1.081893574E9</v>
      </c>
      <c r="Y30" s="17">
        <v>46182.0</v>
      </c>
      <c r="Z30" s="17">
        <v>46207.0</v>
      </c>
      <c r="AA30" s="16">
        <v>75419.0</v>
      </c>
      <c r="AB30" s="16">
        <v>75419.0</v>
      </c>
      <c r="AC30" s="16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6">
        <v>0.0</v>
      </c>
      <c r="AJ30" s="16">
        <v>75419.0</v>
      </c>
      <c r="AK30" s="16">
        <v>82922.0</v>
      </c>
      <c r="AL30" s="16">
        <v>1.0</v>
      </c>
      <c r="AM30" s="16">
        <v>250.8</v>
      </c>
      <c r="AN30" s="16">
        <v>0.0</v>
      </c>
      <c r="AO30" s="18"/>
      <c r="AP30" s="18"/>
      <c r="AQ30" s="18"/>
      <c r="AR30" s="18"/>
      <c r="AS30" s="11" t="str">
        <f>VLOOKUP(C30,'mayo-26'!B:AS,44,0)</f>
        <v>AREAFINANCIERA@SEMCUCUTA.GOV.CO</v>
      </c>
      <c r="AT30" s="12" t="str">
        <f>VLOOKUP(C30,'mayo-26'!B:AT,45,0)</f>
        <v>CARTERA</v>
      </c>
      <c r="AU30" s="16"/>
      <c r="AV30" s="16"/>
      <c r="AW30" s="16"/>
    </row>
    <row r="31" ht="14.25" customHeight="1">
      <c r="A31" s="15" t="s">
        <v>152</v>
      </c>
      <c r="B31" s="16">
        <v>269532.0</v>
      </c>
      <c r="C31" s="16">
        <v>269531.0</v>
      </c>
      <c r="D31" s="16">
        <v>269531.0</v>
      </c>
      <c r="E31" s="16">
        <v>676425.0</v>
      </c>
      <c r="F31" s="16">
        <v>676425.0</v>
      </c>
      <c r="G31" s="15" t="s">
        <v>153</v>
      </c>
      <c r="H31" s="15" t="s">
        <v>154</v>
      </c>
      <c r="I31" s="1" t="str">
        <f>VLOOKUP(C31,'mayo-26'!B:H,7,0)</f>
        <v>CERRO TASAJERO- VIA SAN FAUSTINO</v>
      </c>
      <c r="J31" s="1" t="s">
        <v>155</v>
      </c>
      <c r="K31" s="10" t="str">
        <f>VLOOKUP(C31,'mayo-26'!B:J,9,0)</f>
        <v>NO</v>
      </c>
      <c r="L31" s="1" t="str">
        <f>VLOOKUP(C31,'mayo-26'!B:K,10,0)</f>
        <v>NO</v>
      </c>
      <c r="M31" s="15" t="s">
        <v>52</v>
      </c>
      <c r="N31" s="15" t="s">
        <v>89</v>
      </c>
      <c r="O31" s="15" t="s">
        <v>130</v>
      </c>
      <c r="P31" s="15" t="s">
        <v>126</v>
      </c>
      <c r="Q31" s="15" t="s">
        <v>131</v>
      </c>
      <c r="R31" s="15" t="s">
        <v>132</v>
      </c>
      <c r="S31" s="15" t="s">
        <v>133</v>
      </c>
      <c r="T31" s="15" t="s">
        <v>59</v>
      </c>
      <c r="U31" s="16">
        <v>2026.0</v>
      </c>
      <c r="V31" s="16">
        <v>6.0</v>
      </c>
      <c r="W31" s="16">
        <v>1.081875106E9</v>
      </c>
      <c r="X31" s="16">
        <v>1.081893578E9</v>
      </c>
      <c r="Y31" s="17">
        <v>46182.0</v>
      </c>
      <c r="Z31" s="17">
        <v>46207.0</v>
      </c>
      <c r="AA31" s="16">
        <v>113128.5</v>
      </c>
      <c r="AB31" s="16">
        <v>113128.5</v>
      </c>
      <c r="AC31" s="16">
        <v>37709.5</v>
      </c>
      <c r="AD31" s="16">
        <v>0.0</v>
      </c>
      <c r="AE31" s="16">
        <v>0.0</v>
      </c>
      <c r="AF31" s="16">
        <v>0.0</v>
      </c>
      <c r="AG31" s="16">
        <v>0.0</v>
      </c>
      <c r="AH31" s="16">
        <v>0.0</v>
      </c>
      <c r="AI31" s="16">
        <v>0.0</v>
      </c>
      <c r="AJ31" s="16">
        <v>113128.5</v>
      </c>
      <c r="AK31" s="16">
        <v>113128.5</v>
      </c>
      <c r="AL31" s="16">
        <v>0.0</v>
      </c>
      <c r="AM31" s="16">
        <v>376.2</v>
      </c>
      <c r="AN31" s="16">
        <v>0.0</v>
      </c>
      <c r="AO31" s="18"/>
      <c r="AP31" s="18"/>
      <c r="AQ31" s="18"/>
      <c r="AR31" s="18"/>
      <c r="AS31" s="11" t="str">
        <f>VLOOKUP(C31,'mayo-26'!B:AS,44,0)</f>
        <v>FACTURACIONEMNFC@HOTMAIL.COM</v>
      </c>
      <c r="AT31" s="12" t="str">
        <f>VLOOKUP(C31,'mayo-26'!B:AT,45,0)</f>
        <v>CORREO ELECTRONICO CERTIFICADO 472</v>
      </c>
      <c r="AU31" s="16"/>
      <c r="AV31" s="16"/>
      <c r="AW31" s="16"/>
    </row>
    <row r="32" ht="14.25" customHeight="1">
      <c r="A32" s="15" t="s">
        <v>156</v>
      </c>
      <c r="B32" s="16">
        <v>699.0</v>
      </c>
      <c r="C32" s="16">
        <v>274211.0</v>
      </c>
      <c r="D32" s="16">
        <v>274211.0</v>
      </c>
      <c r="E32" s="16">
        <v>1731.0</v>
      </c>
      <c r="F32" s="16">
        <v>1731.0</v>
      </c>
      <c r="G32" s="16">
        <v>9.00480569E8</v>
      </c>
      <c r="H32" s="15" t="s">
        <v>141</v>
      </c>
      <c r="I32" s="1" t="str">
        <f>VLOOKUP(C32,'mayo-26'!B:H,7,0)</f>
        <v>CLL 12 4-52 CENTRO</v>
      </c>
      <c r="J32" s="1" t="s">
        <v>157</v>
      </c>
      <c r="K32" s="10" t="str">
        <f>VLOOKUP(C32,'mayo-26'!B:J,9,0)</f>
        <v>NO</v>
      </c>
      <c r="L32" s="1" t="str">
        <f>VLOOKUP(C32,'mayo-26'!B:K,10,0)</f>
        <v>ARA CUCUTA</v>
      </c>
      <c r="M32" s="15" t="s">
        <v>52</v>
      </c>
      <c r="N32" s="15" t="s">
        <v>138</v>
      </c>
      <c r="O32" s="15" t="s">
        <v>130</v>
      </c>
      <c r="P32" s="15" t="s">
        <v>126</v>
      </c>
      <c r="Q32" s="15" t="s">
        <v>56</v>
      </c>
      <c r="R32" s="15" t="s">
        <v>90</v>
      </c>
      <c r="S32" s="15" t="s">
        <v>143</v>
      </c>
      <c r="T32" s="15" t="s">
        <v>59</v>
      </c>
      <c r="U32" s="16">
        <v>2026.0</v>
      </c>
      <c r="V32" s="16">
        <v>6.0</v>
      </c>
      <c r="W32" s="16">
        <v>1.081875109E9</v>
      </c>
      <c r="X32" s="16">
        <v>1.081893581E9</v>
      </c>
      <c r="Y32" s="17">
        <v>46182.0</v>
      </c>
      <c r="Z32" s="17">
        <v>46207.0</v>
      </c>
      <c r="AA32" s="16">
        <v>484707.7</v>
      </c>
      <c r="AB32" s="16">
        <v>484707.7</v>
      </c>
      <c r="AC32" s="16">
        <v>158774.97</v>
      </c>
      <c r="AD32" s="16">
        <v>1475.0</v>
      </c>
      <c r="AE32" s="16">
        <v>8382.82</v>
      </c>
      <c r="AF32" s="16">
        <v>0.0</v>
      </c>
      <c r="AG32" s="16">
        <v>0.0</v>
      </c>
      <c r="AH32" s="16">
        <v>0.0</v>
      </c>
      <c r="AI32" s="16">
        <v>0.0</v>
      </c>
      <c r="AJ32" s="16">
        <v>484707.7</v>
      </c>
      <c r="AK32" s="16">
        <v>961907.56</v>
      </c>
      <c r="AL32" s="16">
        <v>1.0</v>
      </c>
      <c r="AM32" s="16">
        <v>376.2</v>
      </c>
      <c r="AN32" s="16">
        <v>0.0</v>
      </c>
      <c r="AO32" s="18"/>
      <c r="AP32" s="18"/>
      <c r="AQ32" s="18"/>
      <c r="AR32" s="18"/>
      <c r="AS32" s="11" t="str">
        <f>VLOOKUP(C32,'mayo-26'!B:AS,44,0)</f>
        <v>COORDINADOR.OPERACIONES.R11@JERONIMO-MARTINS.COM</v>
      </c>
      <c r="AT32" s="12" t="str">
        <f>VLOOKUP(C32,'mayo-26'!B:AT,45,0)</f>
        <v>CORREO ELECTRONICO CERTIFICADO 472</v>
      </c>
      <c r="AU32" s="16"/>
      <c r="AV32" s="16"/>
      <c r="AW32" s="16"/>
    </row>
    <row r="33" ht="14.25" customHeight="1">
      <c r="A33" s="15" t="s">
        <v>158</v>
      </c>
      <c r="B33" s="16">
        <v>699.0</v>
      </c>
      <c r="C33" s="16">
        <v>276691.0</v>
      </c>
      <c r="D33" s="16">
        <v>276691.0</v>
      </c>
      <c r="E33" s="16">
        <v>18151.0</v>
      </c>
      <c r="F33" s="16">
        <v>18151.0</v>
      </c>
      <c r="G33" s="16">
        <v>9.00480569E8</v>
      </c>
      <c r="H33" s="15" t="s">
        <v>141</v>
      </c>
      <c r="I33" s="1" t="str">
        <f>VLOOKUP(C33,'mayo-26'!B:H,7,0)</f>
        <v>CLL 12 4-52 CENTRO</v>
      </c>
      <c r="J33" s="1" t="s">
        <v>159</v>
      </c>
      <c r="K33" s="10" t="str">
        <f>VLOOKUP(C33,'mayo-26'!B:J,9,0)</f>
        <v>NO</v>
      </c>
      <c r="L33" s="1" t="str">
        <f>VLOOKUP(C33,'mayo-26'!B:K,10,0)</f>
        <v>ARA CUCUTA</v>
      </c>
      <c r="M33" s="15" t="s">
        <v>52</v>
      </c>
      <c r="N33" s="15" t="s">
        <v>138</v>
      </c>
      <c r="O33" s="15" t="s">
        <v>130</v>
      </c>
      <c r="P33" s="15" t="s">
        <v>126</v>
      </c>
      <c r="Q33" s="15" t="s">
        <v>56</v>
      </c>
      <c r="R33" s="15" t="s">
        <v>90</v>
      </c>
      <c r="S33" s="15" t="s">
        <v>143</v>
      </c>
      <c r="T33" s="15" t="s">
        <v>59</v>
      </c>
      <c r="U33" s="16">
        <v>2026.0</v>
      </c>
      <c r="V33" s="16">
        <v>6.0</v>
      </c>
      <c r="W33" s="16">
        <v>1.081875115E9</v>
      </c>
      <c r="X33" s="16">
        <v>1.081893587E9</v>
      </c>
      <c r="Y33" s="17">
        <v>46182.0</v>
      </c>
      <c r="Z33" s="17">
        <v>46207.0</v>
      </c>
      <c r="AA33" s="16">
        <v>359246.29</v>
      </c>
      <c r="AB33" s="16">
        <v>359246.29</v>
      </c>
      <c r="AC33" s="16">
        <v>119209.17</v>
      </c>
      <c r="AD33" s="16">
        <v>1058.0</v>
      </c>
      <c r="AE33" s="16">
        <v>1618.8</v>
      </c>
      <c r="AF33" s="16">
        <v>0.0</v>
      </c>
      <c r="AG33" s="16">
        <v>0.0</v>
      </c>
      <c r="AH33" s="16">
        <v>0.0</v>
      </c>
      <c r="AI33" s="16">
        <v>0.0</v>
      </c>
      <c r="AJ33" s="16">
        <v>359246.29</v>
      </c>
      <c r="AK33" s="16">
        <v>717719.36</v>
      </c>
      <c r="AL33" s="16">
        <v>1.0</v>
      </c>
      <c r="AM33" s="16">
        <v>376.2</v>
      </c>
      <c r="AN33" s="16">
        <v>0.0</v>
      </c>
      <c r="AO33" s="18"/>
      <c r="AP33" s="18"/>
      <c r="AQ33" s="18"/>
      <c r="AR33" s="18"/>
      <c r="AS33" s="11" t="str">
        <f>VLOOKUP(C33,'mayo-26'!B:AS,44,0)</f>
        <v>COORDINADOR.OPERACIONES.R11@JERONIMO-MARTINS.COM</v>
      </c>
      <c r="AT33" s="12" t="str">
        <f>VLOOKUP(C33,'mayo-26'!B:AT,45,0)</f>
        <v>CORREO ELECTRONICO CERTIFICADO 472</v>
      </c>
      <c r="AU33" s="16"/>
      <c r="AV33" s="16"/>
      <c r="AW33" s="16"/>
    </row>
    <row r="34" ht="14.25" customHeight="1">
      <c r="A34" s="15" t="s">
        <v>160</v>
      </c>
      <c r="B34" s="16">
        <v>280920.0</v>
      </c>
      <c r="C34" s="16">
        <v>279767.0</v>
      </c>
      <c r="D34" s="16">
        <v>279767.0</v>
      </c>
      <c r="E34" s="16">
        <v>24737.0</v>
      </c>
      <c r="F34" s="16">
        <v>24737.0</v>
      </c>
      <c r="G34" s="16">
        <v>9.00576569E8</v>
      </c>
      <c r="H34" s="15" t="s">
        <v>161</v>
      </c>
      <c r="I34" s="1" t="str">
        <f>VLOOKUP(C34,'mayo-26'!B:H,7,0)</f>
        <v>AVE 12 5AN-84 1142</v>
      </c>
      <c r="J34" s="1" t="s">
        <v>162</v>
      </c>
      <c r="K34" s="10" t="str">
        <f>VLOOKUP(C34,'mayo-26'!B:J,9,0)</f>
        <v>NO</v>
      </c>
      <c r="L34" s="1" t="str">
        <f>VLOOKUP(C34,'mayo-26'!B:K,10,0)</f>
        <v>BETEL</v>
      </c>
      <c r="M34" s="15" t="s">
        <v>52</v>
      </c>
      <c r="N34" s="15" t="s">
        <v>89</v>
      </c>
      <c r="O34" s="15" t="s">
        <v>130</v>
      </c>
      <c r="P34" s="15" t="s">
        <v>126</v>
      </c>
      <c r="Q34" s="15" t="s">
        <v>131</v>
      </c>
      <c r="R34" s="15" t="s">
        <v>132</v>
      </c>
      <c r="S34" s="15" t="s">
        <v>133</v>
      </c>
      <c r="T34" s="15" t="s">
        <v>163</v>
      </c>
      <c r="U34" s="16">
        <v>2026.0</v>
      </c>
      <c r="V34" s="16">
        <v>6.0</v>
      </c>
      <c r="W34" s="16">
        <v>1.08187512E9</v>
      </c>
      <c r="X34" s="16">
        <v>1.081893592E9</v>
      </c>
      <c r="Y34" s="17">
        <v>46182.0</v>
      </c>
      <c r="Z34" s="17">
        <v>46207.0</v>
      </c>
      <c r="AA34" s="16">
        <v>91936.97</v>
      </c>
      <c r="AB34" s="16">
        <v>91936.97</v>
      </c>
      <c r="AC34" s="16">
        <v>18616.0</v>
      </c>
      <c r="AD34" s="16">
        <v>0.0</v>
      </c>
      <c r="AE34" s="16">
        <v>36088.97</v>
      </c>
      <c r="AF34" s="16">
        <v>0.0</v>
      </c>
      <c r="AG34" s="16">
        <v>0.0</v>
      </c>
      <c r="AH34" s="16">
        <v>0.0</v>
      </c>
      <c r="AI34" s="16">
        <v>0.0</v>
      </c>
      <c r="AJ34" s="16">
        <v>91936.97</v>
      </c>
      <c r="AK34" s="16">
        <v>2133376.16</v>
      </c>
      <c r="AL34" s="16">
        <v>15.0</v>
      </c>
      <c r="AM34" s="16">
        <v>376.2</v>
      </c>
      <c r="AN34" s="16">
        <v>0.0</v>
      </c>
      <c r="AO34" s="18"/>
      <c r="AP34" s="18"/>
      <c r="AQ34" s="18"/>
      <c r="AR34" s="18"/>
      <c r="AS34" s="11" t="str">
        <f>VLOOKUP(C34,'mayo-26'!B:AS,44,0)</f>
        <v>COORDTESORERIASUPERBETEL@GMAIL.COM</v>
      </c>
      <c r="AT34" s="12" t="str">
        <f>VLOOKUP(C34,'mayo-26'!B:AT,45,0)</f>
        <v>CORREO ELECTRONICO CERTIFICADO 472</v>
      </c>
      <c r="AU34" s="16"/>
      <c r="AV34" s="16"/>
      <c r="AW34" s="16"/>
    </row>
    <row r="35" ht="14.25" customHeight="1">
      <c r="A35" s="15" t="s">
        <v>164</v>
      </c>
      <c r="B35" s="16">
        <v>280920.0</v>
      </c>
      <c r="C35" s="16">
        <v>280919.0</v>
      </c>
      <c r="D35" s="16">
        <v>280919.0</v>
      </c>
      <c r="E35" s="16">
        <v>29336.0</v>
      </c>
      <c r="F35" s="16">
        <v>29336.0</v>
      </c>
      <c r="G35" s="16">
        <v>9.00576569E8</v>
      </c>
      <c r="H35" s="15" t="s">
        <v>161</v>
      </c>
      <c r="I35" s="1" t="str">
        <f>VLOOKUP(C35,'mayo-26'!B:H,7,0)</f>
        <v>AVE 12 5AN-84 1142</v>
      </c>
      <c r="J35" s="1" t="s">
        <v>165</v>
      </c>
      <c r="K35" s="10" t="str">
        <f>VLOOKUP(C35,'mayo-26'!B:J,9,0)</f>
        <v>NO</v>
      </c>
      <c r="L35" s="1" t="str">
        <f>VLOOKUP(C35,'mayo-26'!B:K,10,0)</f>
        <v>BETEL</v>
      </c>
      <c r="M35" s="15" t="s">
        <v>52</v>
      </c>
      <c r="N35" s="15" t="s">
        <v>89</v>
      </c>
      <c r="O35" s="15" t="s">
        <v>130</v>
      </c>
      <c r="P35" s="15" t="s">
        <v>126</v>
      </c>
      <c r="Q35" s="15" t="s">
        <v>56</v>
      </c>
      <c r="R35" s="15" t="s">
        <v>90</v>
      </c>
      <c r="S35" s="15" t="s">
        <v>143</v>
      </c>
      <c r="T35" s="15" t="s">
        <v>59</v>
      </c>
      <c r="U35" s="16">
        <v>2026.0</v>
      </c>
      <c r="V35" s="16">
        <v>6.0</v>
      </c>
      <c r="W35" s="16">
        <v>1.081875126E9</v>
      </c>
      <c r="X35" s="16">
        <v>1.081893598E9</v>
      </c>
      <c r="Y35" s="17">
        <v>46182.0</v>
      </c>
      <c r="Z35" s="17">
        <v>46207.0</v>
      </c>
      <c r="AA35" s="16">
        <v>1647727.35</v>
      </c>
      <c r="AB35" s="16">
        <v>1647727.35</v>
      </c>
      <c r="AC35" s="16">
        <v>543284.27</v>
      </c>
      <c r="AD35" s="16">
        <v>5527.5</v>
      </c>
      <c r="AE35" s="16">
        <v>17874.57</v>
      </c>
      <c r="AF35" s="16">
        <v>0.0</v>
      </c>
      <c r="AG35" s="16">
        <v>0.0</v>
      </c>
      <c r="AH35" s="16">
        <v>0.0</v>
      </c>
      <c r="AI35" s="16">
        <v>0.0</v>
      </c>
      <c r="AJ35" s="16">
        <v>1647727.35</v>
      </c>
      <c r="AK35" s="16">
        <v>4957988.23</v>
      </c>
      <c r="AL35" s="16">
        <v>3.0</v>
      </c>
      <c r="AM35" s="16">
        <v>376.2</v>
      </c>
      <c r="AN35" s="16">
        <v>0.0</v>
      </c>
      <c r="AO35" s="18"/>
      <c r="AP35" s="18"/>
      <c r="AQ35" s="18"/>
      <c r="AR35" s="18"/>
      <c r="AS35" s="11" t="str">
        <f>VLOOKUP(C35,'mayo-26'!B:AS,44,0)</f>
        <v>COORDTESORERIASUPERBETEL@GMAIL.COM</v>
      </c>
      <c r="AT35" s="12" t="str">
        <f>VLOOKUP(C35,'mayo-26'!B:AT,45,0)</f>
        <v>CORREO ELECTRONICO CERTIFICADO 472</v>
      </c>
      <c r="AU35" s="16"/>
      <c r="AV35" s="16"/>
      <c r="AW35" s="16"/>
    </row>
    <row r="36" ht="14.25" customHeight="1">
      <c r="A36" s="15" t="s">
        <v>166</v>
      </c>
      <c r="B36" s="16">
        <v>297.0</v>
      </c>
      <c r="C36" s="16">
        <v>292435.0</v>
      </c>
      <c r="D36" s="16">
        <v>292435.0</v>
      </c>
      <c r="E36" s="16">
        <v>101989.0</v>
      </c>
      <c r="F36" s="16">
        <v>101989.0</v>
      </c>
      <c r="G36" s="15" t="s">
        <v>135</v>
      </c>
      <c r="H36" s="15" t="s">
        <v>136</v>
      </c>
      <c r="I36" s="1" t="str">
        <f>VLOOKUP(C36,'mayo-26'!B:H,7,0)</f>
        <v>AVE 4 17-89 - 0239431</v>
      </c>
      <c r="J36" s="1" t="s">
        <v>167</v>
      </c>
      <c r="K36" s="10" t="str">
        <f>VLOOKUP(C36,'mayo-26'!B:J,9,0)</f>
        <v>NO</v>
      </c>
      <c r="L36" s="1" t="str">
        <f>VLOOKUP(C36,'mayo-26'!B:K,10,0)</f>
        <v>IMSALUD</v>
      </c>
      <c r="M36" s="15" t="s">
        <v>52</v>
      </c>
      <c r="N36" s="15" t="s">
        <v>138</v>
      </c>
      <c r="O36" s="15" t="s">
        <v>130</v>
      </c>
      <c r="P36" s="15" t="s">
        <v>126</v>
      </c>
      <c r="Q36" s="15" t="s">
        <v>131</v>
      </c>
      <c r="R36" s="15" t="s">
        <v>151</v>
      </c>
      <c r="S36" s="15" t="s">
        <v>133</v>
      </c>
      <c r="T36" s="15" t="s">
        <v>59</v>
      </c>
      <c r="U36" s="16">
        <v>2026.0</v>
      </c>
      <c r="V36" s="16">
        <v>6.0</v>
      </c>
      <c r="W36" s="16">
        <v>1.08187513E9</v>
      </c>
      <c r="X36" s="16">
        <v>1.081893602E9</v>
      </c>
      <c r="Y36" s="17">
        <v>46182.0</v>
      </c>
      <c r="Z36" s="17">
        <v>46207.0</v>
      </c>
      <c r="AA36" s="16">
        <v>75419.0</v>
      </c>
      <c r="AB36" s="16">
        <v>75419.0</v>
      </c>
      <c r="AC36" s="16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0.0</v>
      </c>
      <c r="AI36" s="16">
        <v>0.0</v>
      </c>
      <c r="AJ36" s="16">
        <v>75419.0</v>
      </c>
      <c r="AK36" s="16">
        <v>75419.0</v>
      </c>
      <c r="AL36" s="16">
        <v>0.0</v>
      </c>
      <c r="AM36" s="16">
        <v>250.8</v>
      </c>
      <c r="AN36" s="16">
        <v>0.0</v>
      </c>
      <c r="AO36" s="18"/>
      <c r="AP36" s="18"/>
      <c r="AQ36" s="18"/>
      <c r="AR36" s="18"/>
      <c r="AS36" s="11" t="str">
        <f>VLOOKUP(C36,'mayo-26'!B:AS,44,0)</f>
        <v>SUBFINANCIERA@IMSALUD.GOV.CO</v>
      </c>
      <c r="AT36" s="12" t="str">
        <f>VLOOKUP(C36,'mayo-26'!B:AT,45,0)</f>
        <v>CORREO ELECTRONICO CERTIFICADO 472</v>
      </c>
      <c r="AU36" s="16"/>
      <c r="AV36" s="16"/>
      <c r="AW36" s="16"/>
    </row>
    <row r="37" ht="14.25" customHeight="1">
      <c r="A37" s="15" t="s">
        <v>168</v>
      </c>
      <c r="B37" s="16">
        <v>297.0</v>
      </c>
      <c r="C37" s="16">
        <v>292975.0</v>
      </c>
      <c r="D37" s="16">
        <v>292975.0</v>
      </c>
      <c r="E37" s="16">
        <v>155089.0</v>
      </c>
      <c r="F37" s="16">
        <v>155089.0</v>
      </c>
      <c r="G37" s="15" t="s">
        <v>135</v>
      </c>
      <c r="H37" s="15" t="s">
        <v>136</v>
      </c>
      <c r="I37" s="1" t="str">
        <f>VLOOKUP(C37,'mayo-26'!B:H,7,0)</f>
        <v>AVE 4 17-89 - 0239431</v>
      </c>
      <c r="J37" s="1" t="s">
        <v>165</v>
      </c>
      <c r="K37" s="10" t="str">
        <f>VLOOKUP(C37,'mayo-26'!B:J,9,0)</f>
        <v>NO</v>
      </c>
      <c r="L37" s="1" t="str">
        <f>VLOOKUP(C37,'mayo-26'!B:K,10,0)</f>
        <v>IMSALUD</v>
      </c>
      <c r="M37" s="15" t="s">
        <v>52</v>
      </c>
      <c r="N37" s="15" t="s">
        <v>138</v>
      </c>
      <c r="O37" s="15" t="s">
        <v>130</v>
      </c>
      <c r="P37" s="15" t="s">
        <v>126</v>
      </c>
      <c r="Q37" s="15" t="s">
        <v>131</v>
      </c>
      <c r="R37" s="15" t="s">
        <v>139</v>
      </c>
      <c r="S37" s="15" t="s">
        <v>133</v>
      </c>
      <c r="T37" s="15" t="s">
        <v>59</v>
      </c>
      <c r="U37" s="16">
        <v>2026.0</v>
      </c>
      <c r="V37" s="16">
        <v>6.0</v>
      </c>
      <c r="W37" s="16">
        <v>1.081875134E9</v>
      </c>
      <c r="X37" s="16">
        <v>1.081893606E9</v>
      </c>
      <c r="Y37" s="17">
        <v>46182.0</v>
      </c>
      <c r="Z37" s="17">
        <v>46207.0</v>
      </c>
      <c r="AA37" s="16">
        <v>62832.0</v>
      </c>
      <c r="AB37" s="16">
        <v>62832.0</v>
      </c>
      <c r="AC37" s="16">
        <v>0.0</v>
      </c>
      <c r="AD37" s="16">
        <v>0.0</v>
      </c>
      <c r="AE37" s="16">
        <v>0.0</v>
      </c>
      <c r="AF37" s="16">
        <v>0.0</v>
      </c>
      <c r="AG37" s="16">
        <v>0.0</v>
      </c>
      <c r="AH37" s="16">
        <v>0.0</v>
      </c>
      <c r="AI37" s="16">
        <v>0.0</v>
      </c>
      <c r="AJ37" s="16">
        <v>62832.0</v>
      </c>
      <c r="AK37" s="16">
        <v>62832.0</v>
      </c>
      <c r="AL37" s="16">
        <v>0.0</v>
      </c>
      <c r="AM37" s="16">
        <v>250.8</v>
      </c>
      <c r="AN37" s="16">
        <v>0.0</v>
      </c>
      <c r="AO37" s="18"/>
      <c r="AP37" s="18"/>
      <c r="AQ37" s="18"/>
      <c r="AR37" s="18"/>
      <c r="AS37" s="11" t="str">
        <f>VLOOKUP(C37,'mayo-26'!B:AS,44,0)</f>
        <v>SUBFINANCIERA@IMSALUD.GOV.CO</v>
      </c>
      <c r="AT37" s="12" t="str">
        <f>VLOOKUP(C37,'mayo-26'!B:AT,45,0)</f>
        <v>CORREO ELECTRONICO CERTIFICADO 472</v>
      </c>
      <c r="AU37" s="16"/>
      <c r="AV37" s="16"/>
      <c r="AW37" s="16"/>
    </row>
    <row r="38" ht="14.25" customHeight="1">
      <c r="A38" s="15" t="s">
        <v>169</v>
      </c>
      <c r="B38" s="16">
        <v>297.0</v>
      </c>
      <c r="C38" s="16">
        <v>295095.0</v>
      </c>
      <c r="D38" s="16">
        <v>295095.0</v>
      </c>
      <c r="E38" s="16">
        <v>186399.0</v>
      </c>
      <c r="F38" s="16">
        <v>186399.0</v>
      </c>
      <c r="G38" s="15" t="s">
        <v>135</v>
      </c>
      <c r="H38" s="15" t="s">
        <v>136</v>
      </c>
      <c r="I38" s="1" t="str">
        <f>VLOOKUP(C38,'mayo-26'!B:H,7,0)</f>
        <v>AVE 4 17-89 - 0239431</v>
      </c>
      <c r="J38" s="1" t="s">
        <v>146</v>
      </c>
      <c r="K38" s="10" t="str">
        <f>VLOOKUP(C38,'mayo-26'!B:J,9,0)</f>
        <v>NO</v>
      </c>
      <c r="L38" s="1" t="str">
        <f>VLOOKUP(C38,'mayo-26'!B:K,10,0)</f>
        <v>IMSALUD</v>
      </c>
      <c r="M38" s="15" t="s">
        <v>52</v>
      </c>
      <c r="N38" s="15" t="s">
        <v>138</v>
      </c>
      <c r="O38" s="15" t="s">
        <v>130</v>
      </c>
      <c r="P38" s="15" t="s">
        <v>126</v>
      </c>
      <c r="Q38" s="15" t="s">
        <v>56</v>
      </c>
      <c r="R38" s="15" t="s">
        <v>57</v>
      </c>
      <c r="S38" s="15" t="s">
        <v>143</v>
      </c>
      <c r="T38" s="15" t="s">
        <v>59</v>
      </c>
      <c r="U38" s="16">
        <v>2026.0</v>
      </c>
      <c r="V38" s="16">
        <v>6.0</v>
      </c>
      <c r="W38" s="16">
        <v>1.081875136E9</v>
      </c>
      <c r="X38" s="16">
        <v>1.081893608E9</v>
      </c>
      <c r="Y38" s="17">
        <v>46182.0</v>
      </c>
      <c r="Z38" s="17">
        <v>46207.0</v>
      </c>
      <c r="AA38" s="16">
        <v>104065.4</v>
      </c>
      <c r="AB38" s="16">
        <v>104065.4</v>
      </c>
      <c r="AC38" s="16">
        <v>0.0</v>
      </c>
      <c r="AD38" s="16">
        <v>350.0</v>
      </c>
      <c r="AE38" s="16">
        <v>0.0</v>
      </c>
      <c r="AF38" s="16">
        <v>0.0</v>
      </c>
      <c r="AG38" s="16">
        <v>0.0</v>
      </c>
      <c r="AH38" s="16">
        <v>0.0</v>
      </c>
      <c r="AI38" s="16">
        <v>0.0</v>
      </c>
      <c r="AJ38" s="16">
        <v>104065.4</v>
      </c>
      <c r="AK38" s="16">
        <v>104065.4</v>
      </c>
      <c r="AL38" s="16">
        <v>0.0</v>
      </c>
      <c r="AM38" s="16">
        <v>250.8</v>
      </c>
      <c r="AN38" s="16">
        <v>0.0</v>
      </c>
      <c r="AO38" s="18"/>
      <c r="AP38" s="18"/>
      <c r="AQ38" s="18"/>
      <c r="AR38" s="18"/>
      <c r="AS38" s="11" t="str">
        <f>VLOOKUP(C38,'mayo-26'!B:AS,44,0)</f>
        <v>SUBFINANCIERA@IMSALUD.GOV.CO</v>
      </c>
      <c r="AT38" s="12" t="str">
        <f>VLOOKUP(C38,'mayo-26'!B:AT,45,0)</f>
        <v>CORREO ELECTRONICO CERTIFICADO 472</v>
      </c>
      <c r="AU38" s="16"/>
      <c r="AV38" s="16"/>
      <c r="AW38" s="16"/>
    </row>
    <row r="39" ht="14.25" customHeight="1">
      <c r="A39" s="15" t="s">
        <v>170</v>
      </c>
      <c r="B39" s="16">
        <v>299352.0</v>
      </c>
      <c r="C39" s="16">
        <v>299351.0</v>
      </c>
      <c r="D39" s="16">
        <v>299351.0</v>
      </c>
      <c r="E39" s="16">
        <v>206188.0</v>
      </c>
      <c r="F39" s="16">
        <v>206188.0</v>
      </c>
      <c r="G39" s="16">
        <v>6.0353386E7</v>
      </c>
      <c r="H39" s="15" t="s">
        <v>171</v>
      </c>
      <c r="I39" s="1" t="str">
        <f>VLOOKUP(C39,'mayo-26'!B:H,7,0)</f>
        <v>AVE 6 17N-71 1219</v>
      </c>
      <c r="J39" s="1" t="s">
        <v>172</v>
      </c>
      <c r="K39" s="10" t="str">
        <f>VLOOKUP(C39,'mayo-26'!B:J,9,0)</f>
        <v>NO</v>
      </c>
      <c r="L39" s="1" t="str">
        <f>VLOOKUP(C39,'mayo-26'!B:K,10,0)</f>
        <v>NO</v>
      </c>
      <c r="M39" s="15" t="s">
        <v>52</v>
      </c>
      <c r="N39" s="15" t="s">
        <v>89</v>
      </c>
      <c r="O39" s="15" t="s">
        <v>130</v>
      </c>
      <c r="P39" s="15" t="s">
        <v>126</v>
      </c>
      <c r="Q39" s="15" t="s">
        <v>56</v>
      </c>
      <c r="R39" s="15" t="s">
        <v>72</v>
      </c>
      <c r="S39" s="15" t="s">
        <v>58</v>
      </c>
      <c r="T39" s="15" t="s">
        <v>59</v>
      </c>
      <c r="U39" s="16">
        <v>2026.0</v>
      </c>
      <c r="V39" s="16">
        <v>6.0</v>
      </c>
      <c r="W39" s="16">
        <v>1.081875139E9</v>
      </c>
      <c r="X39" s="16">
        <v>1.081893611E9</v>
      </c>
      <c r="Y39" s="17">
        <v>46182.0</v>
      </c>
      <c r="Z39" s="17">
        <v>46207.0</v>
      </c>
      <c r="AA39" s="16">
        <v>1100472.17</v>
      </c>
      <c r="AB39" s="16">
        <v>1100472.17</v>
      </c>
      <c r="AC39" s="16">
        <v>253955.11</v>
      </c>
      <c r="AD39" s="16">
        <v>4262.5</v>
      </c>
      <c r="AE39" s="16">
        <v>0.0</v>
      </c>
      <c r="AF39" s="16">
        <v>0.0</v>
      </c>
      <c r="AG39" s="16">
        <v>0.0</v>
      </c>
      <c r="AH39" s="16">
        <v>0.0</v>
      </c>
      <c r="AI39" s="16">
        <v>0.0</v>
      </c>
      <c r="AJ39" s="16">
        <v>1100472.17</v>
      </c>
      <c r="AK39" s="16">
        <v>2026413.78</v>
      </c>
      <c r="AL39" s="16">
        <v>1.0</v>
      </c>
      <c r="AM39" s="16">
        <v>326.04</v>
      </c>
      <c r="AN39" s="16">
        <v>0.0</v>
      </c>
      <c r="AO39" s="18"/>
      <c r="AP39" s="18"/>
      <c r="AQ39" s="18"/>
      <c r="AR39" s="18"/>
      <c r="AS39" s="11" t="str">
        <f>VLOOKUP(C39,'mayo-26'!B:AS,44,0)</f>
        <v>ADM.CARNEVALI@GMAIL.COM</v>
      </c>
      <c r="AT39" s="12" t="str">
        <f>VLOOKUP(C39,'mayo-26'!B:AT,45,0)</f>
        <v>CORREO ELECTRONICO CERTIFICADO 472</v>
      </c>
      <c r="AU39" s="16"/>
      <c r="AV39" s="16"/>
      <c r="AW39" s="16"/>
    </row>
    <row r="40" ht="14.25" customHeight="1">
      <c r="A40" s="15" t="s">
        <v>173</v>
      </c>
      <c r="B40" s="16">
        <v>297.0</v>
      </c>
      <c r="C40" s="16">
        <v>307735.0</v>
      </c>
      <c r="D40" s="16">
        <v>307735.0</v>
      </c>
      <c r="E40" s="16">
        <v>307162.0</v>
      </c>
      <c r="F40" s="16">
        <v>307162.0</v>
      </c>
      <c r="G40" s="15" t="s">
        <v>135</v>
      </c>
      <c r="H40" s="15" t="s">
        <v>136</v>
      </c>
      <c r="I40" s="1" t="str">
        <f>VLOOKUP(C40,'mayo-26'!B:H,7,0)</f>
        <v>AVE 4 17-89 - 0239431</v>
      </c>
      <c r="J40" s="1" t="s">
        <v>157</v>
      </c>
      <c r="K40" s="10" t="str">
        <f>VLOOKUP(C40,'mayo-26'!B:J,9,0)</f>
        <v>NO</v>
      </c>
      <c r="L40" s="1" t="str">
        <f>VLOOKUP(C40,'mayo-26'!B:K,10,0)</f>
        <v>IMSALUD</v>
      </c>
      <c r="M40" s="15" t="s">
        <v>52</v>
      </c>
      <c r="N40" s="15" t="s">
        <v>138</v>
      </c>
      <c r="O40" s="15" t="s">
        <v>130</v>
      </c>
      <c r="P40" s="15" t="s">
        <v>126</v>
      </c>
      <c r="Q40" s="15" t="s">
        <v>56</v>
      </c>
      <c r="R40" s="15" t="s">
        <v>57</v>
      </c>
      <c r="S40" s="15" t="s">
        <v>143</v>
      </c>
      <c r="T40" s="15" t="s">
        <v>59</v>
      </c>
      <c r="U40" s="16">
        <v>2026.0</v>
      </c>
      <c r="V40" s="16">
        <v>6.0</v>
      </c>
      <c r="W40" s="16">
        <v>1.081875143E9</v>
      </c>
      <c r="X40" s="16">
        <v>1.081893615E9</v>
      </c>
      <c r="Y40" s="17">
        <v>46182.0</v>
      </c>
      <c r="Z40" s="17">
        <v>46207.0</v>
      </c>
      <c r="AA40" s="16">
        <v>105963.04</v>
      </c>
      <c r="AB40" s="16">
        <v>105963.04</v>
      </c>
      <c r="AC40" s="16">
        <v>0.0</v>
      </c>
      <c r="AD40" s="16">
        <v>360.0</v>
      </c>
      <c r="AE40" s="16">
        <v>0.0</v>
      </c>
      <c r="AF40" s="16">
        <v>0.0</v>
      </c>
      <c r="AG40" s="16">
        <v>0.0</v>
      </c>
      <c r="AH40" s="16">
        <v>0.0</v>
      </c>
      <c r="AI40" s="16">
        <v>0.0</v>
      </c>
      <c r="AJ40" s="16">
        <v>105963.04</v>
      </c>
      <c r="AK40" s="16">
        <v>105963.04</v>
      </c>
      <c r="AL40" s="16">
        <v>0.0</v>
      </c>
      <c r="AM40" s="16">
        <v>250.8</v>
      </c>
      <c r="AN40" s="16">
        <v>0.0</v>
      </c>
      <c r="AO40" s="18"/>
      <c r="AP40" s="18"/>
      <c r="AQ40" s="18"/>
      <c r="AR40" s="18"/>
      <c r="AS40" s="11" t="str">
        <f>VLOOKUP(C40,'mayo-26'!B:AS,44,0)</f>
        <v>SUBFINANCIERA@IMSALUD.GOV.CO</v>
      </c>
      <c r="AT40" s="12" t="str">
        <f>VLOOKUP(C40,'mayo-26'!B:AT,45,0)</f>
        <v>CORREO ELECTRONICO CERTIFICADO 472</v>
      </c>
      <c r="AU40" s="16"/>
      <c r="AV40" s="16"/>
      <c r="AW40" s="16"/>
    </row>
    <row r="41" ht="14.25" customHeight="1">
      <c r="A41" s="15" t="s">
        <v>174</v>
      </c>
      <c r="B41" s="16">
        <v>297.0</v>
      </c>
      <c r="C41" s="16">
        <v>314723.0</v>
      </c>
      <c r="D41" s="16">
        <v>314723.0</v>
      </c>
      <c r="E41" s="16">
        <v>451064.0</v>
      </c>
      <c r="F41" s="16">
        <v>451064.0</v>
      </c>
      <c r="G41" s="15" t="s">
        <v>135</v>
      </c>
      <c r="H41" s="15" t="s">
        <v>136</v>
      </c>
      <c r="I41" s="1" t="str">
        <f>VLOOKUP(C41,'mayo-26'!B:H,7,0)</f>
        <v>AVE 4 17-89 - 0239431</v>
      </c>
      <c r="J41" s="1" t="s">
        <v>175</v>
      </c>
      <c r="K41" s="10" t="str">
        <f>VLOOKUP(C41,'mayo-26'!B:J,9,0)</f>
        <v>NO</v>
      </c>
      <c r="L41" s="1" t="str">
        <f>VLOOKUP(C41,'mayo-26'!B:K,10,0)</f>
        <v>IMSALUD</v>
      </c>
      <c r="M41" s="15" t="s">
        <v>52</v>
      </c>
      <c r="N41" s="15" t="s">
        <v>138</v>
      </c>
      <c r="O41" s="15" t="s">
        <v>130</v>
      </c>
      <c r="P41" s="15" t="s">
        <v>126</v>
      </c>
      <c r="Q41" s="15" t="s">
        <v>131</v>
      </c>
      <c r="R41" s="15" t="s">
        <v>139</v>
      </c>
      <c r="S41" s="15" t="s">
        <v>133</v>
      </c>
      <c r="T41" s="15" t="s">
        <v>59</v>
      </c>
      <c r="U41" s="16">
        <v>2026.0</v>
      </c>
      <c r="V41" s="16">
        <v>6.0</v>
      </c>
      <c r="W41" s="16">
        <v>1.081875145E9</v>
      </c>
      <c r="X41" s="16">
        <v>1.081893617E9</v>
      </c>
      <c r="Y41" s="17">
        <v>46182.0</v>
      </c>
      <c r="Z41" s="17">
        <v>46207.0</v>
      </c>
      <c r="AA41" s="16">
        <v>62832.0</v>
      </c>
      <c r="AB41" s="16">
        <v>62832.0</v>
      </c>
      <c r="AC41" s="16">
        <v>0.0</v>
      </c>
      <c r="AD41" s="16">
        <v>0.0</v>
      </c>
      <c r="AE41" s="16">
        <v>0.0</v>
      </c>
      <c r="AF41" s="16">
        <v>0.0</v>
      </c>
      <c r="AG41" s="16">
        <v>0.0</v>
      </c>
      <c r="AH41" s="16">
        <v>0.0</v>
      </c>
      <c r="AI41" s="16">
        <v>0.0</v>
      </c>
      <c r="AJ41" s="16">
        <v>62832.0</v>
      </c>
      <c r="AK41" s="16">
        <v>62832.0</v>
      </c>
      <c r="AL41" s="16">
        <v>0.0</v>
      </c>
      <c r="AM41" s="16">
        <v>250.8</v>
      </c>
      <c r="AN41" s="16">
        <v>0.0</v>
      </c>
      <c r="AO41" s="18"/>
      <c r="AP41" s="18"/>
      <c r="AQ41" s="18"/>
      <c r="AR41" s="18"/>
      <c r="AS41" s="11" t="str">
        <f>VLOOKUP(C41,'mayo-26'!B:AS,44,0)</f>
        <v>SUBFINANCIERA@IMSALUD.GOV.CO</v>
      </c>
      <c r="AT41" s="12" t="str">
        <f>VLOOKUP(C41,'mayo-26'!B:AT,45,0)</f>
        <v>CORREO ELECTRONICO CERTIFICADO 472</v>
      </c>
      <c r="AU41" s="16"/>
      <c r="AV41" s="16"/>
      <c r="AW41" s="16"/>
    </row>
    <row r="42" ht="14.25" customHeight="1">
      <c r="A42" s="15" t="s">
        <v>176</v>
      </c>
      <c r="B42" s="16">
        <v>3156.0</v>
      </c>
      <c r="C42" s="16">
        <v>3155.0</v>
      </c>
      <c r="D42" s="16">
        <v>3155.0</v>
      </c>
      <c r="E42" s="16">
        <v>8.0123481E7</v>
      </c>
      <c r="F42" s="16">
        <v>8.0123481E7</v>
      </c>
      <c r="G42" s="16">
        <v>8.00084244E8</v>
      </c>
      <c r="H42" s="15" t="s">
        <v>177</v>
      </c>
      <c r="I42" s="1" t="str">
        <f>VLOOKUP(C42,'mayo-26'!B:H,7,0)</f>
        <v>AV 4 7N-165 ZONA INDUSTRIAL</v>
      </c>
      <c r="J42" s="1" t="s">
        <v>172</v>
      </c>
      <c r="K42" s="10" t="str">
        <f>VLOOKUP(C42,'mayo-26'!B:J,9,0)</f>
        <v>NO</v>
      </c>
      <c r="L42" s="1" t="str">
        <f>VLOOKUP(C42,'mayo-26'!B:K,10,0)</f>
        <v>NO</v>
      </c>
      <c r="M42" s="15" t="s">
        <v>52</v>
      </c>
      <c r="N42" s="15" t="s">
        <v>89</v>
      </c>
      <c r="O42" s="15" t="s">
        <v>130</v>
      </c>
      <c r="P42" s="15" t="s">
        <v>126</v>
      </c>
      <c r="Q42" s="15" t="s">
        <v>56</v>
      </c>
      <c r="R42" s="15" t="s">
        <v>72</v>
      </c>
      <c r="S42" s="15" t="s">
        <v>143</v>
      </c>
      <c r="T42" s="15" t="s">
        <v>59</v>
      </c>
      <c r="U42" s="16">
        <v>2026.0</v>
      </c>
      <c r="V42" s="16">
        <v>6.0</v>
      </c>
      <c r="W42" s="16">
        <v>1.081874926E9</v>
      </c>
      <c r="X42" s="16">
        <v>1.081893398E9</v>
      </c>
      <c r="Y42" s="17">
        <v>46182.0</v>
      </c>
      <c r="Z42" s="17">
        <v>46207.0</v>
      </c>
      <c r="AA42" s="16">
        <v>114369.23</v>
      </c>
      <c r="AB42" s="16">
        <v>114369.23</v>
      </c>
      <c r="AC42" s="16">
        <v>26238.31</v>
      </c>
      <c r="AD42" s="16">
        <v>262.5</v>
      </c>
      <c r="AE42" s="16">
        <v>669.86</v>
      </c>
      <c r="AF42" s="16">
        <v>0.0</v>
      </c>
      <c r="AG42" s="16">
        <v>0.0</v>
      </c>
      <c r="AH42" s="16">
        <v>0.0</v>
      </c>
      <c r="AI42" s="16">
        <v>0.0</v>
      </c>
      <c r="AJ42" s="16">
        <v>114369.23</v>
      </c>
      <c r="AK42" s="16">
        <v>114369.23</v>
      </c>
      <c r="AL42" s="16">
        <v>0.0</v>
      </c>
      <c r="AM42" s="16">
        <v>326.04</v>
      </c>
      <c r="AN42" s="16">
        <v>0.0</v>
      </c>
      <c r="AO42" s="18"/>
      <c r="AP42" s="18"/>
      <c r="AQ42" s="18"/>
      <c r="AR42" s="18"/>
      <c r="AS42" s="11" t="str">
        <f>VLOOKUP(C42,'mayo-26'!B:AS,44,0)</f>
        <v>ADMINISTRACION@HIELOSLICORESOSOPOLAR.COM</v>
      </c>
      <c r="AT42" s="12" t="str">
        <f>VLOOKUP(C42,'mayo-26'!B:AT,45,0)</f>
        <v>CORREO ELECTRONICO CERTIFICADO 472</v>
      </c>
      <c r="AU42" s="16"/>
      <c r="AV42" s="16"/>
      <c r="AW42" s="16"/>
    </row>
    <row r="43" ht="14.25" customHeight="1">
      <c r="A43" s="15" t="s">
        <v>178</v>
      </c>
      <c r="B43" s="16">
        <v>147.0</v>
      </c>
      <c r="C43" s="16">
        <v>3159.0</v>
      </c>
      <c r="D43" s="16">
        <v>3159.0</v>
      </c>
      <c r="E43" s="16">
        <v>8.0123485E7</v>
      </c>
      <c r="F43" s="16">
        <v>8.0123485E7</v>
      </c>
      <c r="G43" s="15" t="s">
        <v>179</v>
      </c>
      <c r="H43" s="15" t="s">
        <v>180</v>
      </c>
      <c r="I43" s="1" t="str">
        <f>VLOOKUP(C43,'mayo-26'!B:H,7,0)</f>
        <v>AVE 3 CLL 24 GARITA # 1</v>
      </c>
      <c r="J43" s="1" t="s">
        <v>181</v>
      </c>
      <c r="K43" s="10" t="str">
        <f>VLOOKUP(C43,'mayo-26'!B:J,9,0)</f>
        <v>NO</v>
      </c>
      <c r="L43" s="1" t="str">
        <f>VLOOKUP(C43,'mayo-26'!B:K,10,0)</f>
        <v>POLICIA</v>
      </c>
      <c r="M43" s="15" t="s">
        <v>52</v>
      </c>
      <c r="N43" s="15" t="s">
        <v>89</v>
      </c>
      <c r="O43" s="15" t="s">
        <v>130</v>
      </c>
      <c r="P43" s="15" t="s">
        <v>126</v>
      </c>
      <c r="Q43" s="15" t="s">
        <v>56</v>
      </c>
      <c r="R43" s="15" t="s">
        <v>57</v>
      </c>
      <c r="S43" s="15" t="s">
        <v>143</v>
      </c>
      <c r="T43" s="15" t="s">
        <v>59</v>
      </c>
      <c r="U43" s="16">
        <v>2026.0</v>
      </c>
      <c r="V43" s="16">
        <v>6.0</v>
      </c>
      <c r="W43" s="16">
        <v>1.081874933E9</v>
      </c>
      <c r="X43" s="16">
        <v>1.081893405E9</v>
      </c>
      <c r="Y43" s="17">
        <v>46182.0</v>
      </c>
      <c r="Z43" s="17">
        <v>46207.0</v>
      </c>
      <c r="AA43" s="16">
        <v>287756.96</v>
      </c>
      <c r="AB43" s="16">
        <v>287756.96</v>
      </c>
      <c r="AC43" s="16">
        <v>0.0</v>
      </c>
      <c r="AD43" s="16">
        <v>1318.0</v>
      </c>
      <c r="AE43" s="16">
        <v>0.0</v>
      </c>
      <c r="AF43" s="16">
        <v>0.0</v>
      </c>
      <c r="AG43" s="16">
        <v>0.0</v>
      </c>
      <c r="AH43" s="16">
        <v>0.0</v>
      </c>
      <c r="AI43" s="16">
        <v>0.0</v>
      </c>
      <c r="AJ43" s="16">
        <v>287756.96</v>
      </c>
      <c r="AK43" s="16">
        <v>576090.32</v>
      </c>
      <c r="AL43" s="16">
        <v>2.0</v>
      </c>
      <c r="AM43" s="16">
        <v>250.8</v>
      </c>
      <c r="AN43" s="16">
        <v>0.0</v>
      </c>
      <c r="AO43" s="18"/>
      <c r="AP43" s="18"/>
      <c r="AQ43" s="18"/>
      <c r="AR43" s="18"/>
      <c r="AS43" s="11" t="str">
        <f>VLOOKUP(C43,'mayo-26'!B:AS,44,0)</f>
        <v>MECUC.GUBIR@POLICIA.GOV.CO</v>
      </c>
      <c r="AT43" s="12" t="str">
        <f>VLOOKUP(C43,'mayo-26'!B:AT,45,0)</f>
        <v>CORREO ELECTRONICO CERTIFICADO 472</v>
      </c>
      <c r="AU43" s="16"/>
      <c r="AV43" s="16"/>
      <c r="AW43" s="16"/>
    </row>
    <row r="44" ht="14.25" customHeight="1">
      <c r="A44" s="15" t="s">
        <v>182</v>
      </c>
      <c r="B44" s="16">
        <v>455370.0</v>
      </c>
      <c r="C44" s="16">
        <v>3163.0</v>
      </c>
      <c r="D44" s="16">
        <v>3163.0</v>
      </c>
      <c r="E44" s="16">
        <v>8.0123489E7</v>
      </c>
      <c r="F44" s="16">
        <v>8.0123489E7</v>
      </c>
      <c r="G44" s="15" t="s">
        <v>148</v>
      </c>
      <c r="H44" s="15" t="s">
        <v>149</v>
      </c>
      <c r="I44" s="1" t="str">
        <f>VLOOKUP(C44,'mayo-26'!B:H,7,0)</f>
        <v>CALLE 10 NO 0E-16 EDF CENTRO EMPRESARIAL BLOQUE B HOTEL TONCHALA</v>
      </c>
      <c r="J44" s="1" t="s">
        <v>183</v>
      </c>
      <c r="K44" s="10" t="str">
        <f>VLOOKUP(C44,'mayo-26'!B:J,9,0)</f>
        <v>NO</v>
      </c>
      <c r="L44" s="1" t="str">
        <f>VLOOKUP(C44,'mayo-26'!B:K,10,0)</f>
        <v>COLEGIOS ZONA NORTE</v>
      </c>
      <c r="M44" s="15" t="s">
        <v>52</v>
      </c>
      <c r="N44" s="15" t="s">
        <v>138</v>
      </c>
      <c r="O44" s="15" t="s">
        <v>130</v>
      </c>
      <c r="P44" s="15" t="s">
        <v>126</v>
      </c>
      <c r="Q44" s="15" t="s">
        <v>56</v>
      </c>
      <c r="R44" s="15" t="s">
        <v>57</v>
      </c>
      <c r="S44" s="15" t="s">
        <v>143</v>
      </c>
      <c r="T44" s="15" t="s">
        <v>59</v>
      </c>
      <c r="U44" s="16">
        <v>2026.0</v>
      </c>
      <c r="V44" s="16">
        <v>6.0</v>
      </c>
      <c r="W44" s="16">
        <v>1.081874937E9</v>
      </c>
      <c r="X44" s="16">
        <v>1.081893409E9</v>
      </c>
      <c r="Y44" s="17">
        <v>46182.0</v>
      </c>
      <c r="Z44" s="17">
        <v>46207.0</v>
      </c>
      <c r="AA44" s="16">
        <v>512058.0</v>
      </c>
      <c r="AB44" s="16">
        <v>512058.0</v>
      </c>
      <c r="AC44" s="16">
        <v>0.0</v>
      </c>
      <c r="AD44" s="16">
        <v>2500.0</v>
      </c>
      <c r="AE44" s="16">
        <v>0.0</v>
      </c>
      <c r="AF44" s="16">
        <v>0.0</v>
      </c>
      <c r="AG44" s="16">
        <v>0.0</v>
      </c>
      <c r="AH44" s="16">
        <v>0.0</v>
      </c>
      <c r="AI44" s="16">
        <v>0.0</v>
      </c>
      <c r="AJ44" s="16">
        <v>512058.0</v>
      </c>
      <c r="AK44" s="16">
        <v>1525959.7</v>
      </c>
      <c r="AL44" s="16">
        <v>3.0</v>
      </c>
      <c r="AM44" s="16">
        <v>250.8</v>
      </c>
      <c r="AN44" s="16">
        <v>0.0</v>
      </c>
      <c r="AO44" s="18"/>
      <c r="AP44" s="18"/>
      <c r="AQ44" s="18"/>
      <c r="AR44" s="18"/>
      <c r="AS44" s="11" t="str">
        <f>VLOOKUP(C44,'mayo-26'!B:AS,44,0)</f>
        <v>AREAFINANCIERA@SEMCUCUTA.GOV.CO</v>
      </c>
      <c r="AT44" s="12" t="str">
        <f>VLOOKUP(C44,'mayo-26'!B:AT,45,0)</f>
        <v>CARTERA</v>
      </c>
      <c r="AU44" s="16"/>
      <c r="AV44" s="16"/>
      <c r="AW44" s="16"/>
    </row>
    <row r="45" ht="14.25" customHeight="1">
      <c r="A45" s="15" t="s">
        <v>184</v>
      </c>
      <c r="B45" s="16">
        <v>455370.0</v>
      </c>
      <c r="C45" s="16">
        <v>3167.0</v>
      </c>
      <c r="D45" s="16">
        <v>3167.0</v>
      </c>
      <c r="E45" s="16">
        <v>8.0123493E7</v>
      </c>
      <c r="F45" s="16">
        <v>8.0123493E7</v>
      </c>
      <c r="G45" s="15" t="s">
        <v>148</v>
      </c>
      <c r="H45" s="15" t="s">
        <v>149</v>
      </c>
      <c r="I45" s="1" t="str">
        <f>VLOOKUP(C45,'mayo-26'!B:H,7,0)</f>
        <v>CALLE 10 NO 0E-16 EDF CENTRO EMPRESARIAL BLOQUE B HOTEL TONCHALA</v>
      </c>
      <c r="J45" s="1" t="s">
        <v>185</v>
      </c>
      <c r="K45" s="10" t="str">
        <f>VLOOKUP(C45,'mayo-26'!B:J,9,0)</f>
        <v>NO</v>
      </c>
      <c r="L45" s="1" t="str">
        <f>VLOOKUP(C45,'mayo-26'!B:K,10,0)</f>
        <v>COLEGIOS ZONA NORTE</v>
      </c>
      <c r="M45" s="15" t="s">
        <v>52</v>
      </c>
      <c r="N45" s="15" t="s">
        <v>138</v>
      </c>
      <c r="O45" s="15" t="s">
        <v>130</v>
      </c>
      <c r="P45" s="15" t="s">
        <v>126</v>
      </c>
      <c r="Q45" s="15" t="s">
        <v>56</v>
      </c>
      <c r="R45" s="15" t="s">
        <v>57</v>
      </c>
      <c r="S45" s="15" t="s">
        <v>143</v>
      </c>
      <c r="T45" s="15" t="s">
        <v>59</v>
      </c>
      <c r="U45" s="16">
        <v>2026.0</v>
      </c>
      <c r="V45" s="16">
        <v>6.0</v>
      </c>
      <c r="W45" s="16">
        <v>1.08187494E9</v>
      </c>
      <c r="X45" s="16">
        <v>1.081893412E9</v>
      </c>
      <c r="Y45" s="17">
        <v>46182.0</v>
      </c>
      <c r="Z45" s="17">
        <v>46207.0</v>
      </c>
      <c r="AA45" s="16">
        <v>189459.2</v>
      </c>
      <c r="AB45" s="16">
        <v>189459.2</v>
      </c>
      <c r="AC45" s="16">
        <v>0.0</v>
      </c>
      <c r="AD45" s="16">
        <v>800.0</v>
      </c>
      <c r="AE45" s="16">
        <v>0.0</v>
      </c>
      <c r="AF45" s="16">
        <v>0.0</v>
      </c>
      <c r="AG45" s="16">
        <v>0.0</v>
      </c>
      <c r="AH45" s="16">
        <v>0.0</v>
      </c>
      <c r="AI45" s="16">
        <v>0.0</v>
      </c>
      <c r="AJ45" s="16">
        <v>189459.2</v>
      </c>
      <c r="AK45" s="16">
        <v>565752.1</v>
      </c>
      <c r="AL45" s="16">
        <v>3.0</v>
      </c>
      <c r="AM45" s="16">
        <v>250.8</v>
      </c>
      <c r="AN45" s="16">
        <v>0.0</v>
      </c>
      <c r="AO45" s="18"/>
      <c r="AP45" s="18"/>
      <c r="AQ45" s="18"/>
      <c r="AR45" s="18"/>
      <c r="AS45" s="11" t="str">
        <f>VLOOKUP(C45,'mayo-26'!B:AS,44,0)</f>
        <v>AREAFINANCIERA@SEMCUCUTA.GOV.CO</v>
      </c>
      <c r="AT45" s="12" t="str">
        <f>VLOOKUP(C45,'mayo-26'!B:AT,45,0)</f>
        <v>CARTERA</v>
      </c>
      <c r="AU45" s="16"/>
      <c r="AV45" s="16"/>
      <c r="AW45" s="16"/>
    </row>
    <row r="46" ht="14.25" customHeight="1">
      <c r="A46" s="15" t="s">
        <v>186</v>
      </c>
      <c r="B46" s="16">
        <v>455370.0</v>
      </c>
      <c r="C46" s="16">
        <v>3171.0</v>
      </c>
      <c r="D46" s="16">
        <v>3171.0</v>
      </c>
      <c r="E46" s="16">
        <v>8.0123497E7</v>
      </c>
      <c r="F46" s="16">
        <v>8.0123497E7</v>
      </c>
      <c r="G46" s="15" t="s">
        <v>148</v>
      </c>
      <c r="H46" s="15" t="s">
        <v>149</v>
      </c>
      <c r="I46" s="1" t="str">
        <f>VLOOKUP(C46,'mayo-26'!B:H,7,0)</f>
        <v>CALLE 10 NO 0E-16 EDF CENTRO EMPRESARIAL BLOQUE B HOTEL TONCHALA</v>
      </c>
      <c r="J46" s="1" t="s">
        <v>187</v>
      </c>
      <c r="K46" s="10" t="str">
        <f>VLOOKUP(C46,'mayo-26'!B:J,9,0)</f>
        <v>NO</v>
      </c>
      <c r="L46" s="1" t="str">
        <f>VLOOKUP(C46,'mayo-26'!B:K,10,0)</f>
        <v>COLEGIOS ZONA NORTE</v>
      </c>
      <c r="M46" s="15" t="s">
        <v>52</v>
      </c>
      <c r="N46" s="15" t="s">
        <v>138</v>
      </c>
      <c r="O46" s="15" t="s">
        <v>130</v>
      </c>
      <c r="P46" s="15" t="s">
        <v>126</v>
      </c>
      <c r="Q46" s="15" t="s">
        <v>56</v>
      </c>
      <c r="R46" s="15" t="s">
        <v>57</v>
      </c>
      <c r="S46" s="15" t="s">
        <v>143</v>
      </c>
      <c r="T46" s="15" t="s">
        <v>59</v>
      </c>
      <c r="U46" s="16">
        <v>2026.0</v>
      </c>
      <c r="V46" s="16">
        <v>6.0</v>
      </c>
      <c r="W46" s="16">
        <v>1.081874944E9</v>
      </c>
      <c r="X46" s="16">
        <v>1.081893416E9</v>
      </c>
      <c r="Y46" s="17">
        <v>46182.0</v>
      </c>
      <c r="Z46" s="17">
        <v>46207.0</v>
      </c>
      <c r="AA46" s="16">
        <v>346014.51</v>
      </c>
      <c r="AB46" s="16">
        <v>346014.51</v>
      </c>
      <c r="AC46" s="16">
        <v>0.0</v>
      </c>
      <c r="AD46" s="16">
        <v>1625.0</v>
      </c>
      <c r="AE46" s="16">
        <v>0.0</v>
      </c>
      <c r="AF46" s="16">
        <v>0.0</v>
      </c>
      <c r="AG46" s="16">
        <v>0.0</v>
      </c>
      <c r="AH46" s="16">
        <v>0.0</v>
      </c>
      <c r="AI46" s="16">
        <v>0.0</v>
      </c>
      <c r="AJ46" s="16">
        <v>346014.51</v>
      </c>
      <c r="AK46" s="16">
        <v>1031735.22</v>
      </c>
      <c r="AL46" s="16">
        <v>3.0</v>
      </c>
      <c r="AM46" s="16">
        <v>250.8</v>
      </c>
      <c r="AN46" s="16">
        <v>0.0</v>
      </c>
      <c r="AO46" s="18"/>
      <c r="AP46" s="18"/>
      <c r="AQ46" s="18"/>
      <c r="AR46" s="18"/>
      <c r="AS46" s="11" t="str">
        <f>VLOOKUP(C46,'mayo-26'!B:AS,44,0)</f>
        <v>AREAFINANCIERA@SEMCUCUTA.GOV.CO</v>
      </c>
      <c r="AT46" s="12" t="str">
        <f>VLOOKUP(C46,'mayo-26'!B:AT,45,0)</f>
        <v>CARTERA</v>
      </c>
      <c r="AU46" s="16"/>
      <c r="AV46" s="16"/>
      <c r="AW46" s="16"/>
    </row>
    <row r="47" ht="14.25" customHeight="1">
      <c r="A47" s="15" t="s">
        <v>188</v>
      </c>
      <c r="B47" s="16">
        <v>455370.0</v>
      </c>
      <c r="C47" s="16">
        <v>3175.0</v>
      </c>
      <c r="D47" s="16">
        <v>3175.0</v>
      </c>
      <c r="E47" s="16">
        <v>8.0123501E7</v>
      </c>
      <c r="F47" s="16">
        <v>8.0123501E7</v>
      </c>
      <c r="G47" s="15" t="s">
        <v>148</v>
      </c>
      <c r="H47" s="15" t="s">
        <v>149</v>
      </c>
      <c r="I47" s="1" t="str">
        <f>VLOOKUP(C47,'mayo-26'!B:H,7,0)</f>
        <v>CALLE 10 NO 0E-16 EDF CENTRO EMPRESARIAL BLOQUE B HOTEL TONCHALA</v>
      </c>
      <c r="J47" s="1" t="s">
        <v>189</v>
      </c>
      <c r="K47" s="10" t="str">
        <f>VLOOKUP(C47,'mayo-26'!B:J,9,0)</f>
        <v>NO</v>
      </c>
      <c r="L47" s="1" t="str">
        <f>VLOOKUP(C47,'mayo-26'!B:K,10,0)</f>
        <v>COLEGIOS ZONA NORTE</v>
      </c>
      <c r="M47" s="15" t="s">
        <v>52</v>
      </c>
      <c r="N47" s="15" t="s">
        <v>138</v>
      </c>
      <c r="O47" s="15" t="s">
        <v>130</v>
      </c>
      <c r="P47" s="15" t="s">
        <v>126</v>
      </c>
      <c r="Q47" s="15" t="s">
        <v>56</v>
      </c>
      <c r="R47" s="15" t="s">
        <v>57</v>
      </c>
      <c r="S47" s="15" t="s">
        <v>143</v>
      </c>
      <c r="T47" s="15" t="s">
        <v>59</v>
      </c>
      <c r="U47" s="16">
        <v>2026.0</v>
      </c>
      <c r="V47" s="16">
        <v>6.0</v>
      </c>
      <c r="W47" s="16">
        <v>1.081874946E9</v>
      </c>
      <c r="X47" s="16">
        <v>1.081893418E9</v>
      </c>
      <c r="Y47" s="17">
        <v>46182.0</v>
      </c>
      <c r="Z47" s="17">
        <v>46207.0</v>
      </c>
      <c r="AA47" s="16">
        <v>338423.95</v>
      </c>
      <c r="AB47" s="16">
        <v>338423.95</v>
      </c>
      <c r="AC47" s="16">
        <v>0.0</v>
      </c>
      <c r="AD47" s="16">
        <v>1585.0</v>
      </c>
      <c r="AE47" s="16">
        <v>0.0</v>
      </c>
      <c r="AF47" s="16">
        <v>0.0</v>
      </c>
      <c r="AG47" s="16">
        <v>0.0</v>
      </c>
      <c r="AH47" s="16">
        <v>0.0</v>
      </c>
      <c r="AI47" s="16">
        <v>0.0</v>
      </c>
      <c r="AJ47" s="16">
        <v>338423.95</v>
      </c>
      <c r="AK47" s="16">
        <v>1009142.1</v>
      </c>
      <c r="AL47" s="16">
        <v>3.0</v>
      </c>
      <c r="AM47" s="16">
        <v>250.8</v>
      </c>
      <c r="AN47" s="16">
        <v>0.0</v>
      </c>
      <c r="AO47" s="18"/>
      <c r="AP47" s="18"/>
      <c r="AQ47" s="18"/>
      <c r="AR47" s="18"/>
      <c r="AS47" s="11" t="str">
        <f>VLOOKUP(C47,'mayo-26'!B:AS,44,0)</f>
        <v>AREAFINANCIERA@SEMCUCUTA.GOV.CO</v>
      </c>
      <c r="AT47" s="12" t="str">
        <f>VLOOKUP(C47,'mayo-26'!B:AT,45,0)</f>
        <v>CARTERA</v>
      </c>
      <c r="AU47" s="16"/>
      <c r="AV47" s="16"/>
      <c r="AW47" s="16"/>
    </row>
    <row r="48" ht="14.25" customHeight="1">
      <c r="A48" s="15" t="s">
        <v>190</v>
      </c>
      <c r="B48" s="16">
        <v>3180.0</v>
      </c>
      <c r="C48" s="16">
        <v>3179.0</v>
      </c>
      <c r="D48" s="16">
        <v>3179.0</v>
      </c>
      <c r="E48" s="16">
        <v>8.0123505E7</v>
      </c>
      <c r="F48" s="16">
        <v>8.0123505E7</v>
      </c>
      <c r="G48" s="16">
        <v>8.90502572E8</v>
      </c>
      <c r="H48" s="15" t="s">
        <v>191</v>
      </c>
      <c r="I48" s="1" t="str">
        <f>VLOOKUP(C48,'mayo-26'!B:H,7,0)</f>
        <v>AV 7 18N-67/77/87 VIA AEROPUER</v>
      </c>
      <c r="J48" s="1" t="s">
        <v>172</v>
      </c>
      <c r="K48" s="10" t="str">
        <f>VLOOKUP(C48,'mayo-26'!B:J,9,0)</f>
        <v>NO</v>
      </c>
      <c r="L48" s="1" t="str">
        <f>VLOOKUP(C48,'mayo-26'!B:K,10,0)</f>
        <v>NO</v>
      </c>
      <c r="M48" s="15" t="s">
        <v>52</v>
      </c>
      <c r="N48" s="15" t="s">
        <v>89</v>
      </c>
      <c r="O48" s="15" t="s">
        <v>130</v>
      </c>
      <c r="P48" s="15" t="s">
        <v>126</v>
      </c>
      <c r="Q48" s="15" t="s">
        <v>56</v>
      </c>
      <c r="R48" s="15" t="s">
        <v>72</v>
      </c>
      <c r="S48" s="15" t="s">
        <v>58</v>
      </c>
      <c r="T48" s="15" t="s">
        <v>59</v>
      </c>
      <c r="U48" s="16">
        <v>2026.0</v>
      </c>
      <c r="V48" s="16">
        <v>6.0</v>
      </c>
      <c r="W48" s="16">
        <v>1.081874949E9</v>
      </c>
      <c r="X48" s="16">
        <v>1.081893421E9</v>
      </c>
      <c r="Y48" s="17">
        <v>46182.0</v>
      </c>
      <c r="Z48" s="17">
        <v>46207.0</v>
      </c>
      <c r="AA48" s="16">
        <v>360392.57</v>
      </c>
      <c r="AB48" s="16">
        <v>360392.57</v>
      </c>
      <c r="AC48" s="16">
        <v>83167.51</v>
      </c>
      <c r="AD48" s="16">
        <v>1262.5</v>
      </c>
      <c r="AE48" s="16">
        <v>0.0</v>
      </c>
      <c r="AF48" s="16">
        <v>0.0</v>
      </c>
      <c r="AG48" s="16">
        <v>0.0</v>
      </c>
      <c r="AH48" s="16">
        <v>0.0</v>
      </c>
      <c r="AI48" s="16">
        <v>0.0</v>
      </c>
      <c r="AJ48" s="16">
        <v>360392.57</v>
      </c>
      <c r="AK48" s="16">
        <v>360392.57</v>
      </c>
      <c r="AL48" s="16">
        <v>0.0</v>
      </c>
      <c r="AM48" s="16">
        <v>326.04</v>
      </c>
      <c r="AN48" s="16">
        <v>0.0</v>
      </c>
      <c r="AO48" s="18"/>
      <c r="AP48" s="18"/>
      <c r="AQ48" s="18"/>
      <c r="AR48" s="18"/>
      <c r="AS48" s="11" t="str">
        <f>VLOOKUP(C48,'mayo-26'!B:AS,44,0)</f>
        <v>FACTURAELECTRONICA@ARROZGELVEZ.COM</v>
      </c>
      <c r="AT48" s="12" t="str">
        <f>VLOOKUP(C48,'mayo-26'!B:AT,45,0)</f>
        <v>CORREO ELECTRONICO CERTIFICADO 472</v>
      </c>
      <c r="AU48" s="16"/>
      <c r="AV48" s="16"/>
      <c r="AW48" s="16"/>
    </row>
    <row r="49" ht="14.25" customHeight="1">
      <c r="A49" s="15" t="s">
        <v>192</v>
      </c>
      <c r="B49" s="16">
        <v>232.0</v>
      </c>
      <c r="C49" s="16">
        <v>3183.0</v>
      </c>
      <c r="D49" s="16">
        <v>3183.0</v>
      </c>
      <c r="E49" s="16">
        <v>8.0123509E7</v>
      </c>
      <c r="F49" s="16">
        <v>8.0123509E7</v>
      </c>
      <c r="G49" s="16">
        <v>8.30122566E8</v>
      </c>
      <c r="H49" s="15" t="s">
        <v>193</v>
      </c>
      <c r="I49" s="1" t="str">
        <f>VLOOKUP(C49,'mayo-26'!B:H,7,0)</f>
        <v>AV 0 N 10-61</v>
      </c>
      <c r="J49" s="1" t="s">
        <v>194</v>
      </c>
      <c r="K49" s="10" t="str">
        <f>VLOOKUP(C49,'mayo-26'!B:J,9,0)</f>
        <v>NO</v>
      </c>
      <c r="L49" s="1" t="str">
        <f>VLOOKUP(C49,'mayo-26'!B:K,10,0)</f>
        <v>MOVISTAR</v>
      </c>
      <c r="M49" s="15" t="s">
        <v>52</v>
      </c>
      <c r="N49" s="15" t="s">
        <v>138</v>
      </c>
      <c r="O49" s="15" t="s">
        <v>130</v>
      </c>
      <c r="P49" s="15" t="s">
        <v>126</v>
      </c>
      <c r="Q49" s="15" t="s">
        <v>131</v>
      </c>
      <c r="R49" s="15" t="s">
        <v>132</v>
      </c>
      <c r="S49" s="15" t="s">
        <v>133</v>
      </c>
      <c r="T49" s="15" t="s">
        <v>59</v>
      </c>
      <c r="U49" s="16">
        <v>2026.0</v>
      </c>
      <c r="V49" s="16">
        <v>6.0</v>
      </c>
      <c r="W49" s="16">
        <v>1.081874956E9</v>
      </c>
      <c r="X49" s="16">
        <v>1.081893428E9</v>
      </c>
      <c r="Y49" s="17">
        <v>46182.0</v>
      </c>
      <c r="Z49" s="17">
        <v>46207.0</v>
      </c>
      <c r="AA49" s="16">
        <v>114389.91</v>
      </c>
      <c r="AB49" s="16">
        <v>114389.91</v>
      </c>
      <c r="AC49" s="16">
        <v>37709.5</v>
      </c>
      <c r="AD49" s="16">
        <v>0.0</v>
      </c>
      <c r="AE49" s="16">
        <v>1261.41</v>
      </c>
      <c r="AF49" s="16">
        <v>0.0</v>
      </c>
      <c r="AG49" s="16">
        <v>0.0</v>
      </c>
      <c r="AH49" s="16">
        <v>0.0</v>
      </c>
      <c r="AI49" s="16">
        <v>0.0</v>
      </c>
      <c r="AJ49" s="16">
        <v>114389.91</v>
      </c>
      <c r="AK49" s="16">
        <v>345405.28</v>
      </c>
      <c r="AL49" s="16">
        <v>2.0</v>
      </c>
      <c r="AM49" s="16">
        <v>376.2</v>
      </c>
      <c r="AN49" s="16">
        <v>0.0</v>
      </c>
      <c r="AO49" s="18"/>
      <c r="AP49" s="18"/>
      <c r="AQ49" s="18"/>
      <c r="AR49" s="18"/>
      <c r="AS49" s="11" t="str">
        <f>VLOOKUP(C49,'mayo-26'!B:AS,44,0)</f>
        <v>SERVICIOSPUBLICOS.TC@TELEFONICA.COM; D.CRUZ02@TELEFONICA.COM</v>
      </c>
      <c r="AT49" s="12" t="str">
        <f>VLOOKUP(C49,'mayo-26'!B:AT,45,0)</f>
        <v>CORREO ELECTRONICO CERTIFICADO 472</v>
      </c>
      <c r="AU49" s="16"/>
      <c r="AV49" s="16"/>
      <c r="AW49" s="16"/>
    </row>
    <row r="50" ht="14.25" customHeight="1">
      <c r="A50" s="15" t="s">
        <v>195</v>
      </c>
      <c r="B50" s="16">
        <v>455370.0</v>
      </c>
      <c r="C50" s="16">
        <v>3187.0</v>
      </c>
      <c r="D50" s="16">
        <v>3187.0</v>
      </c>
      <c r="E50" s="16">
        <v>8.0123513E7</v>
      </c>
      <c r="F50" s="16">
        <v>8.0123513E7</v>
      </c>
      <c r="G50" s="15" t="s">
        <v>148</v>
      </c>
      <c r="H50" s="15" t="s">
        <v>149</v>
      </c>
      <c r="I50" s="1" t="str">
        <f>VLOOKUP(C50,'mayo-26'!B:H,7,0)</f>
        <v>CALLE 10 NO 0E-16 EDF CENTRO EMPRESARIAL BLOQUE B HOTEL TONCHALA</v>
      </c>
      <c r="J50" s="1" t="s">
        <v>196</v>
      </c>
      <c r="K50" s="10" t="str">
        <f>VLOOKUP(C50,'mayo-26'!B:J,9,0)</f>
        <v>NO</v>
      </c>
      <c r="L50" s="1" t="str">
        <f>VLOOKUP(C50,'mayo-26'!B:K,10,0)</f>
        <v>COLEGIOS ZONA NORTE</v>
      </c>
      <c r="M50" s="15" t="s">
        <v>52</v>
      </c>
      <c r="N50" s="15" t="s">
        <v>138</v>
      </c>
      <c r="O50" s="15" t="s">
        <v>130</v>
      </c>
      <c r="P50" s="15" t="s">
        <v>126</v>
      </c>
      <c r="Q50" s="15" t="s">
        <v>56</v>
      </c>
      <c r="R50" s="15" t="s">
        <v>57</v>
      </c>
      <c r="S50" s="15" t="s">
        <v>143</v>
      </c>
      <c r="T50" s="15" t="s">
        <v>59</v>
      </c>
      <c r="U50" s="16">
        <v>2026.0</v>
      </c>
      <c r="V50" s="16">
        <v>6.0</v>
      </c>
      <c r="W50" s="16">
        <v>1.081874961E9</v>
      </c>
      <c r="X50" s="16">
        <v>1.081893433E9</v>
      </c>
      <c r="Y50" s="17">
        <v>46182.0</v>
      </c>
      <c r="Z50" s="17">
        <v>46207.0</v>
      </c>
      <c r="AA50" s="16">
        <v>200465.52</v>
      </c>
      <c r="AB50" s="16">
        <v>200465.52</v>
      </c>
      <c r="AC50" s="16">
        <v>0.0</v>
      </c>
      <c r="AD50" s="16">
        <v>858.0</v>
      </c>
      <c r="AE50" s="16">
        <v>0.0</v>
      </c>
      <c r="AF50" s="16">
        <v>0.0</v>
      </c>
      <c r="AG50" s="16">
        <v>0.0</v>
      </c>
      <c r="AH50" s="16">
        <v>0.0</v>
      </c>
      <c r="AI50" s="16">
        <v>0.0</v>
      </c>
      <c r="AJ50" s="16">
        <v>200465.52</v>
      </c>
      <c r="AK50" s="16">
        <v>598512.14</v>
      </c>
      <c r="AL50" s="16">
        <v>3.0</v>
      </c>
      <c r="AM50" s="16">
        <v>250.8</v>
      </c>
      <c r="AN50" s="16">
        <v>0.0</v>
      </c>
      <c r="AO50" s="18"/>
      <c r="AP50" s="18"/>
      <c r="AQ50" s="18"/>
      <c r="AR50" s="18"/>
      <c r="AS50" s="11" t="str">
        <f>VLOOKUP(C50,'mayo-26'!B:AS,44,0)</f>
        <v>AREAFINANCIERA@SEMCUCUTA.GOV.CO</v>
      </c>
      <c r="AT50" s="12" t="str">
        <f>VLOOKUP(C50,'mayo-26'!B:AT,45,0)</f>
        <v>CARTERA</v>
      </c>
      <c r="AU50" s="16"/>
      <c r="AV50" s="16"/>
      <c r="AW50" s="16"/>
    </row>
    <row r="51" ht="14.25" customHeight="1">
      <c r="A51" s="15" t="s">
        <v>197</v>
      </c>
      <c r="B51" s="16">
        <v>455370.0</v>
      </c>
      <c r="C51" s="16">
        <v>3191.0</v>
      </c>
      <c r="D51" s="16">
        <v>3191.0</v>
      </c>
      <c r="E51" s="16">
        <v>8.0123517E7</v>
      </c>
      <c r="F51" s="16">
        <v>8.0123517E7</v>
      </c>
      <c r="G51" s="15" t="s">
        <v>148</v>
      </c>
      <c r="H51" s="15" t="s">
        <v>149</v>
      </c>
      <c r="I51" s="1" t="str">
        <f>VLOOKUP(C51,'mayo-26'!B:H,7,0)</f>
        <v>CALLE 10 NO 0E-16 EDF CENTRO EMPRESARIAL BLOQUE B HOTEL TONCHALA</v>
      </c>
      <c r="J51" s="1" t="s">
        <v>198</v>
      </c>
      <c r="K51" s="10" t="str">
        <f>VLOOKUP(C51,'mayo-26'!B:J,9,0)</f>
        <v>NO</v>
      </c>
      <c r="L51" s="1" t="str">
        <f>VLOOKUP(C51,'mayo-26'!B:K,10,0)</f>
        <v>COLEGIOS ZONA NORTE</v>
      </c>
      <c r="M51" s="15" t="s">
        <v>52</v>
      </c>
      <c r="N51" s="15" t="s">
        <v>138</v>
      </c>
      <c r="O51" s="15" t="s">
        <v>130</v>
      </c>
      <c r="P51" s="15" t="s">
        <v>126</v>
      </c>
      <c r="Q51" s="15" t="s">
        <v>56</v>
      </c>
      <c r="R51" s="15" t="s">
        <v>57</v>
      </c>
      <c r="S51" s="15" t="s">
        <v>143</v>
      </c>
      <c r="T51" s="15" t="s">
        <v>59</v>
      </c>
      <c r="U51" s="16">
        <v>2026.0</v>
      </c>
      <c r="V51" s="16">
        <v>6.0</v>
      </c>
      <c r="W51" s="16">
        <v>1.081874965E9</v>
      </c>
      <c r="X51" s="16">
        <v>1.081893437E9</v>
      </c>
      <c r="Y51" s="17">
        <v>46182.0</v>
      </c>
      <c r="Z51" s="17">
        <v>46207.0</v>
      </c>
      <c r="AA51" s="16">
        <v>172380.44</v>
      </c>
      <c r="AB51" s="16">
        <v>172380.44</v>
      </c>
      <c r="AC51" s="16">
        <v>0.0</v>
      </c>
      <c r="AD51" s="16">
        <v>710.0</v>
      </c>
      <c r="AE51" s="16">
        <v>0.0</v>
      </c>
      <c r="AF51" s="16">
        <v>0.0</v>
      </c>
      <c r="AG51" s="16">
        <v>0.0</v>
      </c>
      <c r="AH51" s="16">
        <v>0.0</v>
      </c>
      <c r="AI51" s="16">
        <v>0.0</v>
      </c>
      <c r="AJ51" s="16">
        <v>172380.44</v>
      </c>
      <c r="AK51" s="16">
        <v>514917.58</v>
      </c>
      <c r="AL51" s="16">
        <v>3.0</v>
      </c>
      <c r="AM51" s="16">
        <v>250.8</v>
      </c>
      <c r="AN51" s="16">
        <v>0.0</v>
      </c>
      <c r="AO51" s="18"/>
      <c r="AP51" s="18"/>
      <c r="AQ51" s="18"/>
      <c r="AR51" s="18"/>
      <c r="AS51" s="11" t="str">
        <f>VLOOKUP(C51,'mayo-26'!B:AS,44,0)</f>
        <v>AREAFINANCIERA@SEMCUCUTA.GOV.CO</v>
      </c>
      <c r="AT51" s="12" t="str">
        <f>VLOOKUP(C51,'mayo-26'!B:AT,45,0)</f>
        <v>CARTERA</v>
      </c>
      <c r="AU51" s="16"/>
      <c r="AV51" s="16"/>
      <c r="AW51" s="16"/>
    </row>
    <row r="52" ht="14.25" customHeight="1">
      <c r="A52" s="15" t="s">
        <v>199</v>
      </c>
      <c r="B52" s="16">
        <v>232.0</v>
      </c>
      <c r="C52" s="16">
        <v>3195.0</v>
      </c>
      <c r="D52" s="16">
        <v>3195.0</v>
      </c>
      <c r="E52" s="16">
        <v>8.0123521E7</v>
      </c>
      <c r="F52" s="16">
        <v>8.0123521E7</v>
      </c>
      <c r="G52" s="16">
        <v>8.30122566E8</v>
      </c>
      <c r="H52" s="15" t="s">
        <v>193</v>
      </c>
      <c r="I52" s="1" t="str">
        <f>VLOOKUP(C52,'mayo-26'!B:H,7,0)</f>
        <v>AV 0 N 10-61</v>
      </c>
      <c r="J52" s="1" t="s">
        <v>200</v>
      </c>
      <c r="K52" s="10" t="str">
        <f>VLOOKUP(C52,'mayo-26'!B:J,9,0)</f>
        <v>NO</v>
      </c>
      <c r="L52" s="1" t="str">
        <f>VLOOKUP(C52,'mayo-26'!B:K,10,0)</f>
        <v>MOVISTAR</v>
      </c>
      <c r="M52" s="15" t="s">
        <v>52</v>
      </c>
      <c r="N52" s="15" t="s">
        <v>138</v>
      </c>
      <c r="O52" s="15" t="s">
        <v>130</v>
      </c>
      <c r="P52" s="15" t="s">
        <v>126</v>
      </c>
      <c r="Q52" s="15" t="s">
        <v>131</v>
      </c>
      <c r="R52" s="15" t="s">
        <v>132</v>
      </c>
      <c r="S52" s="15" t="s">
        <v>133</v>
      </c>
      <c r="T52" s="15" t="s">
        <v>59</v>
      </c>
      <c r="U52" s="16">
        <v>2026.0</v>
      </c>
      <c r="V52" s="16">
        <v>6.0</v>
      </c>
      <c r="W52" s="16">
        <v>1.08187497E9</v>
      </c>
      <c r="X52" s="16">
        <v>1.081893442E9</v>
      </c>
      <c r="Y52" s="17">
        <v>46182.0</v>
      </c>
      <c r="Z52" s="17">
        <v>46207.0</v>
      </c>
      <c r="AA52" s="16">
        <v>114389.91</v>
      </c>
      <c r="AB52" s="16">
        <v>114389.91</v>
      </c>
      <c r="AC52" s="16">
        <v>37709.5</v>
      </c>
      <c r="AD52" s="16">
        <v>0.0</v>
      </c>
      <c r="AE52" s="16">
        <v>1261.41</v>
      </c>
      <c r="AF52" s="16">
        <v>0.0</v>
      </c>
      <c r="AG52" s="16">
        <v>0.0</v>
      </c>
      <c r="AH52" s="16">
        <v>0.0</v>
      </c>
      <c r="AI52" s="16">
        <v>0.0</v>
      </c>
      <c r="AJ52" s="16">
        <v>114389.91</v>
      </c>
      <c r="AK52" s="16">
        <v>346896.43</v>
      </c>
      <c r="AL52" s="16">
        <v>2.0</v>
      </c>
      <c r="AM52" s="16">
        <v>376.2</v>
      </c>
      <c r="AN52" s="16">
        <v>0.0</v>
      </c>
      <c r="AO52" s="18"/>
      <c r="AP52" s="18"/>
      <c r="AQ52" s="18"/>
      <c r="AR52" s="18"/>
      <c r="AS52" s="11" t="str">
        <f>VLOOKUP(C52,'mayo-26'!B:AS,44,0)</f>
        <v>SERVICIOSPUBLICOS.TC@TELEFONICA.COM; D.CRUZ02@TELEFONICA.COM</v>
      </c>
      <c r="AT52" s="12" t="str">
        <f>VLOOKUP(C52,'mayo-26'!B:AT,45,0)</f>
        <v>CORREO ELECTRONICO CERTIFICADO 472</v>
      </c>
      <c r="AU52" s="16"/>
      <c r="AV52" s="16"/>
      <c r="AW52" s="16"/>
    </row>
    <row r="53" ht="14.25" customHeight="1">
      <c r="A53" s="15" t="s">
        <v>201</v>
      </c>
      <c r="B53" s="16">
        <v>455370.0</v>
      </c>
      <c r="C53" s="16">
        <v>3199.0</v>
      </c>
      <c r="D53" s="16">
        <v>3199.0</v>
      </c>
      <c r="E53" s="16">
        <v>8.0123525E7</v>
      </c>
      <c r="F53" s="16">
        <v>8.0123525E7</v>
      </c>
      <c r="G53" s="15" t="s">
        <v>148</v>
      </c>
      <c r="H53" s="15" t="s">
        <v>149</v>
      </c>
      <c r="I53" s="1" t="str">
        <f>VLOOKUP(C53,'mayo-26'!B:H,7,0)</f>
        <v>CALLE 10 NO 0E-16 EDF CENTRO EMPRESARIAL BLOQUE B HOTEL TONCHALA</v>
      </c>
      <c r="J53" s="1" t="s">
        <v>202</v>
      </c>
      <c r="K53" s="10" t="str">
        <f>VLOOKUP(C53,'mayo-26'!B:J,9,0)</f>
        <v>NO</v>
      </c>
      <c r="L53" s="1" t="str">
        <f>VLOOKUP(C53,'mayo-26'!B:K,10,0)</f>
        <v>COLEGIOS ZONA NORTE</v>
      </c>
      <c r="M53" s="15" t="s">
        <v>52</v>
      </c>
      <c r="N53" s="15" t="s">
        <v>138</v>
      </c>
      <c r="O53" s="15" t="s">
        <v>130</v>
      </c>
      <c r="P53" s="15" t="s">
        <v>126</v>
      </c>
      <c r="Q53" s="15" t="s">
        <v>56</v>
      </c>
      <c r="R53" s="15" t="s">
        <v>57</v>
      </c>
      <c r="S53" s="15" t="s">
        <v>143</v>
      </c>
      <c r="T53" s="15" t="s">
        <v>59</v>
      </c>
      <c r="U53" s="16">
        <v>2026.0</v>
      </c>
      <c r="V53" s="16">
        <v>6.0</v>
      </c>
      <c r="W53" s="16">
        <v>1.081874974E9</v>
      </c>
      <c r="X53" s="16">
        <v>1.081893446E9</v>
      </c>
      <c r="Y53" s="17">
        <v>46182.0</v>
      </c>
      <c r="Z53" s="17">
        <v>46207.0</v>
      </c>
      <c r="AA53" s="16">
        <v>354174.36</v>
      </c>
      <c r="AB53" s="16">
        <v>354174.36</v>
      </c>
      <c r="AC53" s="16">
        <v>0.0</v>
      </c>
      <c r="AD53" s="16">
        <v>1668.0</v>
      </c>
      <c r="AE53" s="16">
        <v>0.0</v>
      </c>
      <c r="AF53" s="16">
        <v>0.0</v>
      </c>
      <c r="AG53" s="16">
        <v>0.0</v>
      </c>
      <c r="AH53" s="16">
        <v>0.0</v>
      </c>
      <c r="AI53" s="16">
        <v>0.0</v>
      </c>
      <c r="AJ53" s="16">
        <v>354174.36</v>
      </c>
      <c r="AK53" s="16">
        <v>1056022.82</v>
      </c>
      <c r="AL53" s="16">
        <v>3.0</v>
      </c>
      <c r="AM53" s="16">
        <v>250.8</v>
      </c>
      <c r="AN53" s="16">
        <v>0.0</v>
      </c>
      <c r="AO53" s="18"/>
      <c r="AP53" s="18"/>
      <c r="AQ53" s="18"/>
      <c r="AR53" s="18"/>
      <c r="AS53" s="11" t="str">
        <f>VLOOKUP(C53,'mayo-26'!B:AS,44,0)</f>
        <v>AREAFINANCIERA@SEMCUCUTA.GOV.CO</v>
      </c>
      <c r="AT53" s="12" t="str">
        <f>VLOOKUP(C53,'mayo-26'!B:AT,45,0)</f>
        <v>CARTERA</v>
      </c>
      <c r="AU53" s="16"/>
      <c r="AV53" s="16"/>
      <c r="AW53" s="16"/>
    </row>
    <row r="54" ht="14.25" customHeight="1">
      <c r="A54" s="19" t="s">
        <v>203</v>
      </c>
      <c r="B54" s="16">
        <v>3204.0</v>
      </c>
      <c r="C54" s="16">
        <v>3203.0</v>
      </c>
      <c r="D54" s="16">
        <v>3203.0</v>
      </c>
      <c r="E54" s="16">
        <v>8.0123529E7</v>
      </c>
      <c r="F54" s="16">
        <v>8.0123529E7</v>
      </c>
      <c r="G54" s="16">
        <v>9.0119939E8</v>
      </c>
      <c r="H54" s="15" t="s">
        <v>204</v>
      </c>
      <c r="I54" s="1" t="str">
        <f>VLOOKUP(C54,'mayo-26'!B:H,7,0)</f>
        <v>AV LIBERTADORES ENTRE CALLES 3 Y 5 FRENTE AL RELOJ DE SOL</v>
      </c>
      <c r="J54" s="1" t="s">
        <v>205</v>
      </c>
      <c r="K54" s="10" t="str">
        <f>VLOOKUP(C54,'mayo-26'!B:J,9,0)</f>
        <v>ZONA NORTE</v>
      </c>
      <c r="L54" s="1" t="str">
        <f>VLOOKUP(C54,'mayo-26'!B:K,10,0)</f>
        <v>NO</v>
      </c>
      <c r="M54" s="15" t="s">
        <v>52</v>
      </c>
      <c r="N54" s="15" t="s">
        <v>89</v>
      </c>
      <c r="O54" s="15" t="s">
        <v>130</v>
      </c>
      <c r="P54" s="15" t="s">
        <v>126</v>
      </c>
      <c r="Q54" s="15" t="s">
        <v>56</v>
      </c>
      <c r="R54" s="15" t="s">
        <v>90</v>
      </c>
      <c r="S54" s="15" t="s">
        <v>143</v>
      </c>
      <c r="T54" s="15" t="s">
        <v>59</v>
      </c>
      <c r="U54" s="16">
        <v>2026.0</v>
      </c>
      <c r="V54" s="16">
        <v>6.0</v>
      </c>
      <c r="W54" s="16">
        <v>1.081874976E9</v>
      </c>
      <c r="X54" s="16">
        <v>1.081893448E9</v>
      </c>
      <c r="Y54" s="17">
        <v>46182.0</v>
      </c>
      <c r="Z54" s="17">
        <v>46207.0</v>
      </c>
      <c r="AA54" s="16">
        <v>198795.0</v>
      </c>
      <c r="AB54" s="16">
        <v>198795.0</v>
      </c>
      <c r="AC54" s="16">
        <v>66265.0</v>
      </c>
      <c r="AD54" s="16">
        <v>500.0</v>
      </c>
      <c r="AE54" s="16">
        <v>0.0</v>
      </c>
      <c r="AF54" s="16">
        <v>0.0</v>
      </c>
      <c r="AG54" s="16">
        <v>0.0</v>
      </c>
      <c r="AH54" s="16">
        <v>0.0</v>
      </c>
      <c r="AI54" s="16">
        <v>0.0</v>
      </c>
      <c r="AJ54" s="16">
        <v>198795.0</v>
      </c>
      <c r="AK54" s="16">
        <v>398396.25</v>
      </c>
      <c r="AL54" s="16">
        <v>1.0</v>
      </c>
      <c r="AM54" s="16">
        <v>376.2</v>
      </c>
      <c r="AN54" s="16">
        <v>0.0</v>
      </c>
      <c r="AO54" s="18"/>
      <c r="AP54" s="18"/>
      <c r="AQ54" s="18"/>
      <c r="AR54" s="18"/>
      <c r="AS54" s="11" t="str">
        <f>VLOOKUP(C54,'mayo-26'!B:AS,44,0)</f>
        <v>GERENTE@ZONAFRANCACUCUTA.COM</v>
      </c>
      <c r="AT54" s="12" t="str">
        <f>VLOOKUP(C54,'mayo-26'!B:AT,45,0)</f>
        <v>VERIFICADOR</v>
      </c>
      <c r="AU54" s="16"/>
      <c r="AV54" s="16"/>
      <c r="AW54" s="16"/>
    </row>
    <row r="55" ht="14.25" customHeight="1">
      <c r="A55" s="15" t="s">
        <v>206</v>
      </c>
      <c r="B55" s="16">
        <v>3208.0</v>
      </c>
      <c r="C55" s="16">
        <v>3207.0</v>
      </c>
      <c r="D55" s="16">
        <v>3207.0</v>
      </c>
      <c r="E55" s="16">
        <v>8.0127923E7</v>
      </c>
      <c r="F55" s="16">
        <v>8.0127923E7</v>
      </c>
      <c r="G55" s="16">
        <v>9.01134015E8</v>
      </c>
      <c r="H55" s="15" t="s">
        <v>207</v>
      </c>
      <c r="I55" s="1" t="str">
        <f>VLOOKUP(C55,'mayo-26'!B:H,7,0)</f>
        <v>KDX 70-B 305016 1116</v>
      </c>
      <c r="J55" s="1" t="s">
        <v>208</v>
      </c>
      <c r="K55" s="10" t="str">
        <f>VLOOKUP(C55,'mayo-26'!B:J,9,0)</f>
        <v>NO</v>
      </c>
      <c r="L55" s="1" t="str">
        <f>VLOOKUP(C55,'mayo-26'!B:K,10,0)</f>
        <v>NO</v>
      </c>
      <c r="M55" s="15" t="s">
        <v>52</v>
      </c>
      <c r="N55" s="15" t="s">
        <v>89</v>
      </c>
      <c r="O55" s="15" t="s">
        <v>130</v>
      </c>
      <c r="P55" s="15" t="s">
        <v>126</v>
      </c>
      <c r="Q55" s="15" t="s">
        <v>56</v>
      </c>
      <c r="R55" s="15" t="s">
        <v>90</v>
      </c>
      <c r="S55" s="15" t="s">
        <v>143</v>
      </c>
      <c r="T55" s="15" t="s">
        <v>59</v>
      </c>
      <c r="U55" s="16">
        <v>2026.0</v>
      </c>
      <c r="V55" s="16">
        <v>6.0</v>
      </c>
      <c r="W55" s="16">
        <v>1.08187498E9</v>
      </c>
      <c r="X55" s="16">
        <v>1.081893452E9</v>
      </c>
      <c r="Y55" s="17">
        <v>46182.0</v>
      </c>
      <c r="Z55" s="17">
        <v>46207.0</v>
      </c>
      <c r="AA55" s="16">
        <v>128487.44</v>
      </c>
      <c r="AB55" s="16">
        <v>128487.44</v>
      </c>
      <c r="AC55" s="16">
        <v>42829.15</v>
      </c>
      <c r="AD55" s="16">
        <v>253.0</v>
      </c>
      <c r="AE55" s="16">
        <v>0.0</v>
      </c>
      <c r="AF55" s="16">
        <v>0.0</v>
      </c>
      <c r="AG55" s="16">
        <v>0.0</v>
      </c>
      <c r="AH55" s="16">
        <v>0.0</v>
      </c>
      <c r="AI55" s="16">
        <v>0.0</v>
      </c>
      <c r="AJ55" s="16">
        <v>128487.44</v>
      </c>
      <c r="AK55" s="16">
        <v>128487.44</v>
      </c>
      <c r="AL55" s="16">
        <v>0.0</v>
      </c>
      <c r="AM55" s="16">
        <v>376.2</v>
      </c>
      <c r="AN55" s="16">
        <v>0.0</v>
      </c>
      <c r="AO55" s="18"/>
      <c r="AP55" s="18"/>
      <c r="AQ55" s="18"/>
      <c r="AR55" s="18"/>
      <c r="AS55" s="11" t="str">
        <f>VLOOKUP(C55,'mayo-26'!B:AS,44,0)</f>
        <v>CONTABILIDAD@TUBOSDELORIENTE.COM</v>
      </c>
      <c r="AT55" s="12" t="str">
        <f>VLOOKUP(C55,'mayo-26'!B:AT,45,0)</f>
        <v>CORREO ELECTRONICO CERTIFICADO 472</v>
      </c>
      <c r="AU55" s="16"/>
      <c r="AV55" s="16"/>
      <c r="AW55" s="16"/>
    </row>
    <row r="56" ht="14.25" customHeight="1">
      <c r="A56" s="15" t="s">
        <v>209</v>
      </c>
      <c r="B56" s="16">
        <v>3212.0</v>
      </c>
      <c r="C56" s="16">
        <v>3211.0</v>
      </c>
      <c r="D56" s="16">
        <v>3211.0</v>
      </c>
      <c r="E56" s="16">
        <v>8.0195803E7</v>
      </c>
      <c r="F56" s="16">
        <v>8.0195803E7</v>
      </c>
      <c r="G56" s="16">
        <v>8.6001664E8</v>
      </c>
      <c r="H56" s="15" t="s">
        <v>210</v>
      </c>
      <c r="I56" s="1" t="str">
        <f>VLOOKUP(C56,'mayo-26'!B:H,7,0)</f>
        <v>AVE 8 0-195 1092</v>
      </c>
      <c r="J56" s="1" t="s">
        <v>181</v>
      </c>
      <c r="K56" s="10" t="str">
        <f>VLOOKUP(C56,'mayo-26'!B:J,9,0)</f>
        <v>NO</v>
      </c>
      <c r="L56" s="1" t="str">
        <f>VLOOKUP(C56,'mayo-26'!B:K,10,0)</f>
        <v>NO</v>
      </c>
      <c r="M56" s="15" t="s">
        <v>52</v>
      </c>
      <c r="N56" s="15" t="s">
        <v>89</v>
      </c>
      <c r="O56" s="15" t="s">
        <v>130</v>
      </c>
      <c r="P56" s="15" t="s">
        <v>126</v>
      </c>
      <c r="Q56" s="15" t="s">
        <v>56</v>
      </c>
      <c r="R56" s="15" t="s">
        <v>90</v>
      </c>
      <c r="S56" s="15" t="s">
        <v>58</v>
      </c>
      <c r="T56" s="15" t="s">
        <v>59</v>
      </c>
      <c r="U56" s="16">
        <v>2026.0</v>
      </c>
      <c r="V56" s="16">
        <v>6.0</v>
      </c>
      <c r="W56" s="16">
        <v>1.081874985E9</v>
      </c>
      <c r="X56" s="16">
        <v>1.081893457E9</v>
      </c>
      <c r="Y56" s="17">
        <v>46182.0</v>
      </c>
      <c r="Z56" s="17">
        <v>46207.0</v>
      </c>
      <c r="AA56" s="16">
        <v>540370.2</v>
      </c>
      <c r="AB56" s="16">
        <v>540370.2</v>
      </c>
      <c r="AC56" s="16">
        <v>180123.4</v>
      </c>
      <c r="AD56" s="16">
        <v>1700.0</v>
      </c>
      <c r="AE56" s="16">
        <v>0.0</v>
      </c>
      <c r="AF56" s="16">
        <v>0.0</v>
      </c>
      <c r="AG56" s="16">
        <v>0.0</v>
      </c>
      <c r="AH56" s="16">
        <v>0.0</v>
      </c>
      <c r="AI56" s="16">
        <v>0.0</v>
      </c>
      <c r="AJ56" s="16">
        <v>540370.2</v>
      </c>
      <c r="AK56" s="16">
        <v>540370.2</v>
      </c>
      <c r="AL56" s="16">
        <v>0.0</v>
      </c>
      <c r="AM56" s="16">
        <v>376.2</v>
      </c>
      <c r="AN56" s="16">
        <v>0.0</v>
      </c>
      <c r="AO56" s="18"/>
      <c r="AP56" s="18"/>
      <c r="AQ56" s="18"/>
      <c r="AR56" s="18"/>
      <c r="AS56" s="11" t="str">
        <f>VLOOKUP(C56,'mayo-26'!B:AS,44,0)</f>
        <v>AIFLOREZ@TCC.COM.CO</v>
      </c>
      <c r="AT56" s="12" t="str">
        <f>VLOOKUP(C56,'mayo-26'!B:AT,45,0)</f>
        <v>CORREO ELECTRONICO CERTIFICADO 472</v>
      </c>
      <c r="AU56" s="16"/>
      <c r="AV56" s="16"/>
      <c r="AW56" s="16"/>
    </row>
    <row r="57" ht="14.25" customHeight="1">
      <c r="A57" s="15" t="s">
        <v>211</v>
      </c>
      <c r="B57" s="16">
        <v>670.0</v>
      </c>
      <c r="C57" s="16">
        <v>3215.0</v>
      </c>
      <c r="D57" s="16">
        <v>3215.0</v>
      </c>
      <c r="E57" s="16">
        <v>8.0204161E7</v>
      </c>
      <c r="F57" s="16">
        <v>8.0204161E7</v>
      </c>
      <c r="G57" s="15" t="s">
        <v>212</v>
      </c>
      <c r="H57" s="15" t="s">
        <v>213</v>
      </c>
      <c r="I57" s="1" t="str">
        <f>VLOOKUP(C57,'mayo-26'!B:H,7,0)</f>
        <v>A11 CC JARDIN PLAZA</v>
      </c>
      <c r="J57" s="1" t="s">
        <v>214</v>
      </c>
      <c r="K57" s="10" t="str">
        <f>VLOOKUP(C57,'mayo-26'!B:J,9,0)</f>
        <v>NO</v>
      </c>
      <c r="L57" s="1" t="str">
        <f>VLOOKUP(C57,'mayo-26'!B:K,10,0)</f>
        <v>NO</v>
      </c>
      <c r="M57" s="15" t="s">
        <v>52</v>
      </c>
      <c r="N57" s="15" t="s">
        <v>138</v>
      </c>
      <c r="O57" s="15" t="s">
        <v>130</v>
      </c>
      <c r="P57" s="15" t="s">
        <v>126</v>
      </c>
      <c r="Q57" s="15" t="s">
        <v>56</v>
      </c>
      <c r="R57" s="15" t="s">
        <v>90</v>
      </c>
      <c r="S57" s="15" t="s">
        <v>143</v>
      </c>
      <c r="T57" s="15" t="s">
        <v>59</v>
      </c>
      <c r="U57" s="16">
        <v>2026.0</v>
      </c>
      <c r="V57" s="16">
        <v>6.0</v>
      </c>
      <c r="W57" s="16">
        <v>1.081874989E9</v>
      </c>
      <c r="X57" s="16">
        <v>1.081893461E9</v>
      </c>
      <c r="Y57" s="17">
        <v>46182.0</v>
      </c>
      <c r="Z57" s="17">
        <v>46207.0</v>
      </c>
      <c r="AA57" s="16">
        <v>262840.37</v>
      </c>
      <c r="AB57" s="16">
        <v>262840.37</v>
      </c>
      <c r="AC57" s="16">
        <v>87613.46</v>
      </c>
      <c r="AD57" s="16">
        <v>725.0</v>
      </c>
      <c r="AE57" s="16">
        <v>0.0</v>
      </c>
      <c r="AF57" s="16">
        <v>0.0</v>
      </c>
      <c r="AG57" s="16">
        <v>0.0</v>
      </c>
      <c r="AH57" s="16">
        <v>0.0</v>
      </c>
      <c r="AI57" s="16">
        <v>0.0</v>
      </c>
      <c r="AJ57" s="16">
        <v>262840.37</v>
      </c>
      <c r="AK57" s="16">
        <v>262840.37</v>
      </c>
      <c r="AL57" s="16">
        <v>0.0</v>
      </c>
      <c r="AM57" s="16">
        <v>376.2</v>
      </c>
      <c r="AN57" s="16">
        <v>0.0</v>
      </c>
      <c r="AO57" s="18"/>
      <c r="AP57" s="18"/>
      <c r="AQ57" s="18"/>
      <c r="AR57" s="18"/>
      <c r="AS57" s="11" t="str">
        <f>VLOOKUP(C57,'mayo-26'!B:AS,44,0)</f>
        <v>MULTICINEJARDINPLAZACUCUTA@ROYAL.FILMS.COM; serviciospublicos@royal-films.com</v>
      </c>
      <c r="AT57" s="12" t="str">
        <f>VLOOKUP(C57,'mayo-26'!B:AT,45,0)</f>
        <v>CORREO ELECTRONICO CERTIFICADO 472</v>
      </c>
      <c r="AU57" s="16"/>
      <c r="AV57" s="16"/>
      <c r="AW57" s="16"/>
    </row>
    <row r="58" ht="14.25" customHeight="1">
      <c r="A58" s="15" t="s">
        <v>215</v>
      </c>
      <c r="B58" s="16">
        <v>3220.0</v>
      </c>
      <c r="C58" s="16">
        <v>3219.0</v>
      </c>
      <c r="D58" s="16">
        <v>3219.0</v>
      </c>
      <c r="E58" s="16">
        <v>8.0205197E7</v>
      </c>
      <c r="F58" s="16">
        <v>8.0205197E7</v>
      </c>
      <c r="G58" s="16">
        <v>9.00069828E8</v>
      </c>
      <c r="H58" s="15" t="s">
        <v>216</v>
      </c>
      <c r="I58" s="1" t="str">
        <f>VLOOKUP(C58,'mayo-26'!B:H,7,0)</f>
        <v>CLL 14AN 4-81 TORRE 1</v>
      </c>
      <c r="J58" s="1" t="s">
        <v>217</v>
      </c>
      <c r="K58" s="10" t="str">
        <f>VLOOKUP(C58,'mayo-26'!B:J,9,0)</f>
        <v>CR PORTACHUELO</v>
      </c>
      <c r="L58" s="1" t="str">
        <f>VLOOKUP(C58,'mayo-26'!B:K,10,0)</f>
        <v>CR PORTACHUELO</v>
      </c>
      <c r="M58" s="15" t="s">
        <v>52</v>
      </c>
      <c r="N58" s="15" t="s">
        <v>89</v>
      </c>
      <c r="O58" s="15" t="s">
        <v>130</v>
      </c>
      <c r="P58" s="15" t="s">
        <v>126</v>
      </c>
      <c r="Q58" s="15" t="s">
        <v>218</v>
      </c>
      <c r="R58" s="15" t="s">
        <v>219</v>
      </c>
      <c r="S58" s="15" t="s">
        <v>133</v>
      </c>
      <c r="T58" s="15" t="s">
        <v>59</v>
      </c>
      <c r="U58" s="16">
        <v>2026.0</v>
      </c>
      <c r="V58" s="16">
        <v>6.0</v>
      </c>
      <c r="W58" s="16">
        <v>1.081874993E9</v>
      </c>
      <c r="X58" s="16">
        <v>1.081893465E9</v>
      </c>
      <c r="Y58" s="17">
        <v>46182.0</v>
      </c>
      <c r="Z58" s="17">
        <v>46207.0</v>
      </c>
      <c r="AA58" s="16">
        <v>416258.3</v>
      </c>
      <c r="AB58" s="16">
        <v>49934.3</v>
      </c>
      <c r="AC58" s="16">
        <v>-1650.7</v>
      </c>
      <c r="AD58" s="16">
        <v>0.0</v>
      </c>
      <c r="AE58" s="16">
        <v>0.0</v>
      </c>
      <c r="AF58" s="16">
        <v>1831620.0</v>
      </c>
      <c r="AG58" s="16">
        <v>366324.0</v>
      </c>
      <c r="AH58" s="16">
        <v>0.0</v>
      </c>
      <c r="AI58" s="16">
        <v>0.0</v>
      </c>
      <c r="AJ58" s="16">
        <v>416258.3</v>
      </c>
      <c r="AK58" s="16">
        <v>416258.3</v>
      </c>
      <c r="AL58" s="16">
        <v>0.0</v>
      </c>
      <c r="AM58" s="16">
        <v>242.77</v>
      </c>
      <c r="AN58" s="16">
        <v>0.0</v>
      </c>
      <c r="AO58" s="18"/>
      <c r="AP58" s="18"/>
      <c r="AQ58" s="18"/>
      <c r="AR58" s="18"/>
      <c r="AS58" s="11" t="str">
        <f>VLOOKUP(C58,'mayo-26'!B:AS,44,0)</f>
        <v>CONJUNTOPORTACHUELORESERVADO@GMAIL.COM</v>
      </c>
      <c r="AT58" s="12" t="str">
        <f>VLOOKUP(C58,'mayo-26'!B:AT,45,0)</f>
        <v>VERIFICADOR</v>
      </c>
      <c r="AU58" s="16"/>
      <c r="AV58" s="16"/>
      <c r="AW58" s="16"/>
    </row>
    <row r="59" ht="14.25" customHeight="1">
      <c r="A59" s="15" t="s">
        <v>220</v>
      </c>
      <c r="B59" s="16">
        <v>455370.0</v>
      </c>
      <c r="C59" s="16">
        <v>3223.0</v>
      </c>
      <c r="D59" s="16">
        <v>3223.0</v>
      </c>
      <c r="E59" s="16">
        <v>8.0206517E7</v>
      </c>
      <c r="F59" s="16">
        <v>8.0206517E7</v>
      </c>
      <c r="G59" s="15" t="s">
        <v>148</v>
      </c>
      <c r="H59" s="15" t="s">
        <v>149</v>
      </c>
      <c r="I59" s="1" t="str">
        <f>VLOOKUP(C59,'mayo-26'!B:H,7,0)</f>
        <v>CALLE 10 NO 0E-16 EDF CENTRO EMPRESARIAL BLOQUE B HOTEL TONCHALA</v>
      </c>
      <c r="J59" s="1" t="s">
        <v>106</v>
      </c>
      <c r="K59" s="10" t="str">
        <f>VLOOKUP(C59,'mayo-26'!B:J,9,0)</f>
        <v>NO</v>
      </c>
      <c r="L59" s="1" t="str">
        <f>VLOOKUP(C59,'mayo-26'!B:K,10,0)</f>
        <v>COLEGIOS ZONA NORTE</v>
      </c>
      <c r="M59" s="15" t="s">
        <v>52</v>
      </c>
      <c r="N59" s="15" t="s">
        <v>138</v>
      </c>
      <c r="O59" s="15" t="s">
        <v>130</v>
      </c>
      <c r="P59" s="15" t="s">
        <v>126</v>
      </c>
      <c r="Q59" s="15" t="s">
        <v>56</v>
      </c>
      <c r="R59" s="15" t="s">
        <v>57</v>
      </c>
      <c r="S59" s="15" t="s">
        <v>143</v>
      </c>
      <c r="T59" s="15" t="s">
        <v>59</v>
      </c>
      <c r="U59" s="16">
        <v>2026.0</v>
      </c>
      <c r="V59" s="16">
        <v>6.0</v>
      </c>
      <c r="W59" s="16">
        <v>1.081874998E9</v>
      </c>
      <c r="X59" s="16">
        <v>1.08189347E9</v>
      </c>
      <c r="Y59" s="17">
        <v>46182.0</v>
      </c>
      <c r="Z59" s="17">
        <v>46207.0</v>
      </c>
      <c r="AA59" s="16">
        <v>236520.68</v>
      </c>
      <c r="AB59" s="16">
        <v>236520.68</v>
      </c>
      <c r="AC59" s="16">
        <v>0.0</v>
      </c>
      <c r="AD59" s="16">
        <v>1048.0</v>
      </c>
      <c r="AE59" s="16">
        <v>0.0</v>
      </c>
      <c r="AF59" s="16">
        <v>0.0</v>
      </c>
      <c r="AG59" s="16">
        <v>0.0</v>
      </c>
      <c r="AH59" s="16">
        <v>0.0</v>
      </c>
      <c r="AI59" s="16">
        <v>0.0</v>
      </c>
      <c r="AJ59" s="16">
        <v>236520.68</v>
      </c>
      <c r="AK59" s="16">
        <v>705829.46</v>
      </c>
      <c r="AL59" s="16">
        <v>3.0</v>
      </c>
      <c r="AM59" s="16">
        <v>250.8</v>
      </c>
      <c r="AN59" s="16">
        <v>0.0</v>
      </c>
      <c r="AO59" s="18"/>
      <c r="AP59" s="18"/>
      <c r="AQ59" s="18"/>
      <c r="AR59" s="18"/>
      <c r="AS59" s="11" t="str">
        <f>VLOOKUP(C59,'mayo-26'!B:AS,44,0)</f>
        <v>AREAFINANCIERA@SEMCUCUTA.GOV.CO</v>
      </c>
      <c r="AT59" s="12" t="str">
        <f>VLOOKUP(C59,'mayo-26'!B:AT,45,0)</f>
        <v>CARTERA</v>
      </c>
      <c r="AU59" s="16"/>
      <c r="AV59" s="16"/>
      <c r="AW59" s="16"/>
    </row>
    <row r="60" ht="14.25" customHeight="1">
      <c r="A60" s="15" t="s">
        <v>221</v>
      </c>
      <c r="B60" s="16">
        <v>455370.0</v>
      </c>
      <c r="C60" s="16">
        <v>3227.0</v>
      </c>
      <c r="D60" s="16">
        <v>3227.0</v>
      </c>
      <c r="E60" s="16">
        <v>8.0206521E7</v>
      </c>
      <c r="F60" s="16">
        <v>8.0206521E7</v>
      </c>
      <c r="G60" s="15" t="s">
        <v>148</v>
      </c>
      <c r="H60" s="15" t="s">
        <v>149</v>
      </c>
      <c r="I60" s="1" t="str">
        <f>VLOOKUP(C60,'mayo-26'!B:H,7,0)</f>
        <v>CALLE 10 NO 0E-16 EDF CENTRO EMPRESARIAL BLOQUE B HOTEL TONCHALA</v>
      </c>
      <c r="J60" s="1" t="s">
        <v>222</v>
      </c>
      <c r="K60" s="10" t="str">
        <f>VLOOKUP(C60,'mayo-26'!B:J,9,0)</f>
        <v>NO</v>
      </c>
      <c r="L60" s="1" t="str">
        <f>VLOOKUP(C60,'mayo-26'!B:K,10,0)</f>
        <v>COLEGIOS ZONA NORTE</v>
      </c>
      <c r="M60" s="15" t="s">
        <v>52</v>
      </c>
      <c r="N60" s="15" t="s">
        <v>138</v>
      </c>
      <c r="O60" s="15" t="s">
        <v>130</v>
      </c>
      <c r="P60" s="15" t="s">
        <v>126</v>
      </c>
      <c r="Q60" s="15" t="s">
        <v>56</v>
      </c>
      <c r="R60" s="15" t="s">
        <v>57</v>
      </c>
      <c r="S60" s="15" t="s">
        <v>143</v>
      </c>
      <c r="T60" s="15" t="s">
        <v>59</v>
      </c>
      <c r="U60" s="16">
        <v>2026.0</v>
      </c>
      <c r="V60" s="16">
        <v>6.0</v>
      </c>
      <c r="W60" s="16">
        <v>1.081875002E9</v>
      </c>
      <c r="X60" s="16">
        <v>1.081893474E9</v>
      </c>
      <c r="Y60" s="17">
        <v>46182.0</v>
      </c>
      <c r="Z60" s="17">
        <v>46207.0</v>
      </c>
      <c r="AA60" s="16">
        <v>238418.32</v>
      </c>
      <c r="AB60" s="16">
        <v>238418.32</v>
      </c>
      <c r="AC60" s="16">
        <v>0.0</v>
      </c>
      <c r="AD60" s="16">
        <v>1058.0</v>
      </c>
      <c r="AE60" s="16">
        <v>0.0</v>
      </c>
      <c r="AF60" s="16">
        <v>0.0</v>
      </c>
      <c r="AG60" s="16">
        <v>0.0</v>
      </c>
      <c r="AH60" s="16">
        <v>0.0</v>
      </c>
      <c r="AI60" s="16">
        <v>0.0</v>
      </c>
      <c r="AJ60" s="16">
        <v>238418.32</v>
      </c>
      <c r="AK60" s="16">
        <v>711477.74</v>
      </c>
      <c r="AL60" s="16">
        <v>3.0</v>
      </c>
      <c r="AM60" s="16">
        <v>250.8</v>
      </c>
      <c r="AN60" s="16">
        <v>0.0</v>
      </c>
      <c r="AO60" s="18"/>
      <c r="AP60" s="18"/>
      <c r="AQ60" s="18"/>
      <c r="AR60" s="18"/>
      <c r="AS60" s="11" t="str">
        <f>VLOOKUP(C60,'mayo-26'!B:AS,44,0)</f>
        <v>AREAFINANCIERA@SEMCUCUTA.GOV.CO</v>
      </c>
      <c r="AT60" s="12" t="str">
        <f>VLOOKUP(C60,'mayo-26'!B:AT,45,0)</f>
        <v>CARTERA</v>
      </c>
      <c r="AU60" s="16"/>
      <c r="AV60" s="16"/>
      <c r="AW60" s="16"/>
    </row>
    <row r="61" ht="14.25" customHeight="1">
      <c r="A61" s="15" t="s">
        <v>223</v>
      </c>
      <c r="B61" s="16">
        <v>455370.0</v>
      </c>
      <c r="C61" s="16">
        <v>3231.0</v>
      </c>
      <c r="D61" s="16">
        <v>3231.0</v>
      </c>
      <c r="E61" s="16">
        <v>8.0206525E7</v>
      </c>
      <c r="F61" s="16">
        <v>8.0206525E7</v>
      </c>
      <c r="G61" s="15" t="s">
        <v>148</v>
      </c>
      <c r="H61" s="15" t="s">
        <v>149</v>
      </c>
      <c r="I61" s="1" t="str">
        <f>VLOOKUP(C61,'mayo-26'!B:H,7,0)</f>
        <v>CALLE 10 NO 0E-16 EDF CENTRO EMPRESARIAL BLOQUE B HOTEL TONCHALA</v>
      </c>
      <c r="J61" s="1" t="s">
        <v>224</v>
      </c>
      <c r="K61" s="10" t="str">
        <f>VLOOKUP(C61,'mayo-26'!B:J,9,0)</f>
        <v>NO</v>
      </c>
      <c r="L61" s="1" t="str">
        <f>VLOOKUP(C61,'mayo-26'!B:K,10,0)</f>
        <v>COLEGIOS ZONA NORTE</v>
      </c>
      <c r="M61" s="15" t="s">
        <v>52</v>
      </c>
      <c r="N61" s="15" t="s">
        <v>138</v>
      </c>
      <c r="O61" s="15" t="s">
        <v>130</v>
      </c>
      <c r="P61" s="15" t="s">
        <v>126</v>
      </c>
      <c r="Q61" s="15" t="s">
        <v>56</v>
      </c>
      <c r="R61" s="15" t="s">
        <v>57</v>
      </c>
      <c r="S61" s="15" t="s">
        <v>143</v>
      </c>
      <c r="T61" s="15" t="s">
        <v>59</v>
      </c>
      <c r="U61" s="16">
        <v>2026.0</v>
      </c>
      <c r="V61" s="16">
        <v>6.0</v>
      </c>
      <c r="W61" s="16">
        <v>1.081875006E9</v>
      </c>
      <c r="X61" s="16">
        <v>1.081893478E9</v>
      </c>
      <c r="Y61" s="17">
        <v>46182.0</v>
      </c>
      <c r="Z61" s="17">
        <v>46207.0</v>
      </c>
      <c r="AA61" s="16">
        <v>986468.0</v>
      </c>
      <c r="AB61" s="16">
        <v>986468.0</v>
      </c>
      <c r="AC61" s="16">
        <v>0.0</v>
      </c>
      <c r="AD61" s="16">
        <v>5000.0</v>
      </c>
      <c r="AE61" s="16">
        <v>0.0</v>
      </c>
      <c r="AF61" s="16">
        <v>0.0</v>
      </c>
      <c r="AG61" s="16">
        <v>0.0</v>
      </c>
      <c r="AH61" s="16">
        <v>0.0</v>
      </c>
      <c r="AI61" s="16">
        <v>0.0</v>
      </c>
      <c r="AJ61" s="16">
        <v>986468.0</v>
      </c>
      <c r="AK61" s="16">
        <v>2938029.7</v>
      </c>
      <c r="AL61" s="16">
        <v>3.0</v>
      </c>
      <c r="AM61" s="16">
        <v>250.8</v>
      </c>
      <c r="AN61" s="16">
        <v>0.0</v>
      </c>
      <c r="AO61" s="18"/>
      <c r="AP61" s="18"/>
      <c r="AQ61" s="18"/>
      <c r="AR61" s="18"/>
      <c r="AS61" s="11" t="str">
        <f>VLOOKUP(C61,'mayo-26'!B:AS,44,0)</f>
        <v>AREAFINANCIERA@SEMCUCUTA.GOV.CO</v>
      </c>
      <c r="AT61" s="12" t="str">
        <f>VLOOKUP(C61,'mayo-26'!B:AT,45,0)</f>
        <v>CARTERA</v>
      </c>
      <c r="AU61" s="16"/>
      <c r="AV61" s="16"/>
      <c r="AW61" s="16"/>
    </row>
    <row r="62" ht="14.25" customHeight="1">
      <c r="A62" s="15" t="s">
        <v>225</v>
      </c>
      <c r="B62" s="16">
        <v>3236.0</v>
      </c>
      <c r="C62" s="16">
        <v>3235.0</v>
      </c>
      <c r="D62" s="16">
        <v>3235.0</v>
      </c>
      <c r="E62" s="16">
        <v>8.0211584E7</v>
      </c>
      <c r="F62" s="16">
        <v>8.0211584E7</v>
      </c>
      <c r="G62" s="16">
        <v>8.00083514E8</v>
      </c>
      <c r="H62" s="15" t="s">
        <v>226</v>
      </c>
      <c r="I62" s="1" t="str">
        <f>VLOOKUP(C62,'mayo-26'!B:H,7,0)</f>
        <v>CLL 7N 5-31 ZONA INDUSTRIAL</v>
      </c>
      <c r="J62" s="1" t="s">
        <v>172</v>
      </c>
      <c r="K62" s="10" t="str">
        <f>VLOOKUP(C62,'mayo-26'!B:J,9,0)</f>
        <v>NO</v>
      </c>
      <c r="L62" s="1" t="str">
        <f>VLOOKUP(C62,'mayo-26'!B:K,10,0)</f>
        <v>NO</v>
      </c>
      <c r="M62" s="15" t="s">
        <v>52</v>
      </c>
      <c r="N62" s="15" t="s">
        <v>89</v>
      </c>
      <c r="O62" s="15" t="s">
        <v>130</v>
      </c>
      <c r="P62" s="15" t="s">
        <v>126</v>
      </c>
      <c r="Q62" s="15" t="s">
        <v>56</v>
      </c>
      <c r="R62" s="15" t="s">
        <v>72</v>
      </c>
      <c r="S62" s="15" t="s">
        <v>143</v>
      </c>
      <c r="T62" s="15" t="s">
        <v>59</v>
      </c>
      <c r="U62" s="16">
        <v>2026.0</v>
      </c>
      <c r="V62" s="16">
        <v>6.0</v>
      </c>
      <c r="W62" s="16">
        <v>1.081875011E9</v>
      </c>
      <c r="X62" s="16">
        <v>1.081893483E9</v>
      </c>
      <c r="Y62" s="17">
        <v>46182.0</v>
      </c>
      <c r="Z62" s="17">
        <v>46207.0</v>
      </c>
      <c r="AA62" s="16">
        <v>111232.45</v>
      </c>
      <c r="AB62" s="16">
        <v>111232.45</v>
      </c>
      <c r="AC62" s="16">
        <v>25669.03</v>
      </c>
      <c r="AD62" s="16">
        <v>252.5</v>
      </c>
      <c r="AE62" s="16">
        <v>0.0</v>
      </c>
      <c r="AF62" s="16">
        <v>0.0</v>
      </c>
      <c r="AG62" s="16">
        <v>0.0</v>
      </c>
      <c r="AH62" s="16">
        <v>0.0</v>
      </c>
      <c r="AI62" s="16">
        <v>0.0</v>
      </c>
      <c r="AJ62" s="16">
        <v>111232.45</v>
      </c>
      <c r="AK62" s="16">
        <v>111232.45</v>
      </c>
      <c r="AL62" s="16">
        <v>0.0</v>
      </c>
      <c r="AM62" s="16">
        <v>326.04</v>
      </c>
      <c r="AN62" s="16">
        <v>0.0</v>
      </c>
      <c r="AO62" s="18"/>
      <c r="AP62" s="18"/>
      <c r="AQ62" s="18"/>
      <c r="AR62" s="18"/>
      <c r="AS62" s="11" t="str">
        <f>VLOOKUP(C62,'mayo-26'!B:AS,44,0)</f>
        <v>ARROCERASSANVALENTIN@HOTMAIL.COM</v>
      </c>
      <c r="AT62" s="12" t="str">
        <f>VLOOKUP(C62,'mayo-26'!B:AT,45,0)</f>
        <v>CORREO ELECTRONICO CERTIFICADO 472</v>
      </c>
      <c r="AU62" s="16"/>
      <c r="AV62" s="16"/>
      <c r="AW62" s="16"/>
    </row>
    <row r="63" ht="14.25" customHeight="1">
      <c r="A63" s="15" t="s">
        <v>227</v>
      </c>
      <c r="B63" s="16">
        <v>455370.0</v>
      </c>
      <c r="C63" s="16">
        <v>3239.0</v>
      </c>
      <c r="D63" s="16">
        <v>3239.0</v>
      </c>
      <c r="E63" s="16">
        <v>8.0212697E7</v>
      </c>
      <c r="F63" s="16">
        <v>8.0212697E7</v>
      </c>
      <c r="G63" s="15" t="s">
        <v>148</v>
      </c>
      <c r="H63" s="15" t="s">
        <v>149</v>
      </c>
      <c r="I63" s="1" t="str">
        <f>VLOOKUP(C63,'mayo-26'!B:H,7,0)</f>
        <v>CALLE 10 NO 0E-16 EDF CENTRO EMPRESARIAL BLOQUE B HOTEL TONCHALA</v>
      </c>
      <c r="J63" s="1" t="s">
        <v>228</v>
      </c>
      <c r="K63" s="10" t="str">
        <f>VLOOKUP(C63,'mayo-26'!B:J,9,0)</f>
        <v>NO</v>
      </c>
      <c r="L63" s="1" t="str">
        <f>VLOOKUP(C63,'mayo-26'!B:K,10,0)</f>
        <v>COLEGIOS ZONA NORTE</v>
      </c>
      <c r="M63" s="15" t="s">
        <v>52</v>
      </c>
      <c r="N63" s="15" t="s">
        <v>138</v>
      </c>
      <c r="O63" s="15" t="s">
        <v>130</v>
      </c>
      <c r="P63" s="15" t="s">
        <v>126</v>
      </c>
      <c r="Q63" s="15" t="s">
        <v>56</v>
      </c>
      <c r="R63" s="15" t="s">
        <v>57</v>
      </c>
      <c r="S63" s="15" t="s">
        <v>143</v>
      </c>
      <c r="T63" s="15" t="s">
        <v>59</v>
      </c>
      <c r="U63" s="16">
        <v>2026.0</v>
      </c>
      <c r="V63" s="16">
        <v>6.0</v>
      </c>
      <c r="W63" s="16">
        <v>1.081875015E9</v>
      </c>
      <c r="X63" s="16">
        <v>1.081893487E9</v>
      </c>
      <c r="Y63" s="17">
        <v>46182.0</v>
      </c>
      <c r="Z63" s="17">
        <v>46207.0</v>
      </c>
      <c r="AA63" s="16">
        <v>132530.0</v>
      </c>
      <c r="AB63" s="16">
        <v>132530.0</v>
      </c>
      <c r="AC63" s="16">
        <v>0.0</v>
      </c>
      <c r="AD63" s="16">
        <v>500.0</v>
      </c>
      <c r="AE63" s="16">
        <v>0.0</v>
      </c>
      <c r="AF63" s="16">
        <v>0.0</v>
      </c>
      <c r="AG63" s="16">
        <v>0.0</v>
      </c>
      <c r="AH63" s="16">
        <v>0.0</v>
      </c>
      <c r="AI63" s="16">
        <v>0.0</v>
      </c>
      <c r="AJ63" s="16">
        <v>132530.0</v>
      </c>
      <c r="AK63" s="16">
        <v>396303.7</v>
      </c>
      <c r="AL63" s="16">
        <v>3.0</v>
      </c>
      <c r="AM63" s="16">
        <v>250.8</v>
      </c>
      <c r="AN63" s="16">
        <v>0.0</v>
      </c>
      <c r="AO63" s="18"/>
      <c r="AP63" s="18"/>
      <c r="AQ63" s="18"/>
      <c r="AR63" s="18"/>
      <c r="AS63" s="11" t="str">
        <f>VLOOKUP(C63,'mayo-26'!B:AS,44,0)</f>
        <v>AREAFINANCIERA@SEMCUCUTA.GOV.CO</v>
      </c>
      <c r="AT63" s="12" t="str">
        <f>VLOOKUP(C63,'mayo-26'!B:AT,45,0)</f>
        <v>CARTERA</v>
      </c>
      <c r="AU63" s="16"/>
      <c r="AV63" s="16"/>
      <c r="AW63" s="16"/>
    </row>
    <row r="64" ht="14.25" customHeight="1">
      <c r="A64" s="15" t="s">
        <v>229</v>
      </c>
      <c r="B64" s="16">
        <v>455370.0</v>
      </c>
      <c r="C64" s="16">
        <v>3243.0</v>
      </c>
      <c r="D64" s="16">
        <v>3243.0</v>
      </c>
      <c r="E64" s="16">
        <v>8.0212701E7</v>
      </c>
      <c r="F64" s="16">
        <v>8.0212701E7</v>
      </c>
      <c r="G64" s="15" t="s">
        <v>148</v>
      </c>
      <c r="H64" s="15" t="s">
        <v>149</v>
      </c>
      <c r="I64" s="1" t="str">
        <f>VLOOKUP(C64,'mayo-26'!B:H,7,0)</f>
        <v>CALLE 10 NO 0E-16 EDF CENTRO EMPRESARIAL BLOQUE B HOTEL TONCHALA</v>
      </c>
      <c r="J64" s="1" t="s">
        <v>230</v>
      </c>
      <c r="K64" s="10" t="str">
        <f>VLOOKUP(C64,'mayo-26'!B:J,9,0)</f>
        <v>NO</v>
      </c>
      <c r="L64" s="1" t="str">
        <f>VLOOKUP(C64,'mayo-26'!B:K,10,0)</f>
        <v>COLEGIOS ZONA NORTE</v>
      </c>
      <c r="M64" s="15" t="s">
        <v>52</v>
      </c>
      <c r="N64" s="15" t="s">
        <v>138</v>
      </c>
      <c r="O64" s="15" t="s">
        <v>130</v>
      </c>
      <c r="P64" s="15" t="s">
        <v>126</v>
      </c>
      <c r="Q64" s="15" t="s">
        <v>56</v>
      </c>
      <c r="R64" s="15" t="s">
        <v>57</v>
      </c>
      <c r="S64" s="15" t="s">
        <v>143</v>
      </c>
      <c r="T64" s="15" t="s">
        <v>59</v>
      </c>
      <c r="U64" s="16">
        <v>2026.0</v>
      </c>
      <c r="V64" s="16">
        <v>6.0</v>
      </c>
      <c r="W64" s="16">
        <v>1.081875019E9</v>
      </c>
      <c r="X64" s="16">
        <v>1.081893491E9</v>
      </c>
      <c r="Y64" s="17">
        <v>46182.0</v>
      </c>
      <c r="Z64" s="17">
        <v>46207.0</v>
      </c>
      <c r="AA64" s="16">
        <v>190977.32</v>
      </c>
      <c r="AB64" s="16">
        <v>190977.32</v>
      </c>
      <c r="AC64" s="16">
        <v>0.0</v>
      </c>
      <c r="AD64" s="16">
        <v>808.0</v>
      </c>
      <c r="AE64" s="16">
        <v>0.0</v>
      </c>
      <c r="AF64" s="16">
        <v>0.0</v>
      </c>
      <c r="AG64" s="16">
        <v>0.0</v>
      </c>
      <c r="AH64" s="16">
        <v>0.0</v>
      </c>
      <c r="AI64" s="16">
        <v>0.0</v>
      </c>
      <c r="AJ64" s="16">
        <v>190977.32</v>
      </c>
      <c r="AK64" s="16">
        <v>570270.74</v>
      </c>
      <c r="AL64" s="16">
        <v>3.0</v>
      </c>
      <c r="AM64" s="16">
        <v>250.8</v>
      </c>
      <c r="AN64" s="16">
        <v>0.0</v>
      </c>
      <c r="AO64" s="18"/>
      <c r="AP64" s="18"/>
      <c r="AQ64" s="18"/>
      <c r="AR64" s="18"/>
      <c r="AS64" s="11" t="str">
        <f>VLOOKUP(C64,'mayo-26'!B:AS,44,0)</f>
        <v>AREAFINANCIERA@SEMCUCUTA.GOV.CO</v>
      </c>
      <c r="AT64" s="12" t="str">
        <f>VLOOKUP(C64,'mayo-26'!B:AT,45,0)</f>
        <v>CARTERA</v>
      </c>
      <c r="AU64" s="16"/>
      <c r="AV64" s="16"/>
      <c r="AW64" s="16"/>
    </row>
    <row r="65" ht="14.25" customHeight="1">
      <c r="A65" s="15" t="s">
        <v>231</v>
      </c>
      <c r="B65" s="16">
        <v>455370.0</v>
      </c>
      <c r="C65" s="16">
        <v>3247.0</v>
      </c>
      <c r="D65" s="16">
        <v>3247.0</v>
      </c>
      <c r="E65" s="16">
        <v>8.0212705E7</v>
      </c>
      <c r="F65" s="16">
        <v>8.0212705E7</v>
      </c>
      <c r="G65" s="15" t="s">
        <v>148</v>
      </c>
      <c r="H65" s="15" t="s">
        <v>149</v>
      </c>
      <c r="I65" s="1" t="str">
        <f>VLOOKUP(C65,'mayo-26'!B:H,7,0)</f>
        <v>CALLE 10 NO 0E-16 EDF CENTRO EMPRESARIAL BLOQUE B HOTEL TONCHALA</v>
      </c>
      <c r="J65" s="1" t="s">
        <v>232</v>
      </c>
      <c r="K65" s="10" t="str">
        <f>VLOOKUP(C65,'mayo-26'!B:J,9,0)</f>
        <v>NO</v>
      </c>
      <c r="L65" s="1" t="str">
        <f>VLOOKUP(C65,'mayo-26'!B:K,10,0)</f>
        <v>COLEGIOS ZONA NORTE</v>
      </c>
      <c r="M65" s="15" t="s">
        <v>52</v>
      </c>
      <c r="N65" s="15" t="s">
        <v>138</v>
      </c>
      <c r="O65" s="15" t="s">
        <v>130</v>
      </c>
      <c r="P65" s="15" t="s">
        <v>126</v>
      </c>
      <c r="Q65" s="15" t="s">
        <v>56</v>
      </c>
      <c r="R65" s="15" t="s">
        <v>57</v>
      </c>
      <c r="S65" s="15" t="s">
        <v>143</v>
      </c>
      <c r="T65" s="15" t="s">
        <v>59</v>
      </c>
      <c r="U65" s="16">
        <v>2026.0</v>
      </c>
      <c r="V65" s="16">
        <v>6.0</v>
      </c>
      <c r="W65" s="16">
        <v>1.081875024E9</v>
      </c>
      <c r="X65" s="16">
        <v>1.081893496E9</v>
      </c>
      <c r="Y65" s="17">
        <v>46182.0</v>
      </c>
      <c r="Z65" s="17">
        <v>46207.0</v>
      </c>
      <c r="AA65" s="16">
        <v>199896.23</v>
      </c>
      <c r="AB65" s="16">
        <v>199896.23</v>
      </c>
      <c r="AC65" s="16">
        <v>0.0</v>
      </c>
      <c r="AD65" s="16">
        <v>855.0</v>
      </c>
      <c r="AE65" s="16">
        <v>0.0</v>
      </c>
      <c r="AF65" s="16">
        <v>0.0</v>
      </c>
      <c r="AG65" s="16">
        <v>0.0</v>
      </c>
      <c r="AH65" s="16">
        <v>0.0</v>
      </c>
      <c r="AI65" s="16">
        <v>0.0</v>
      </c>
      <c r="AJ65" s="16">
        <v>199896.23</v>
      </c>
      <c r="AK65" s="16">
        <v>596817.66</v>
      </c>
      <c r="AL65" s="16">
        <v>3.0</v>
      </c>
      <c r="AM65" s="16">
        <v>250.8</v>
      </c>
      <c r="AN65" s="16">
        <v>0.0</v>
      </c>
      <c r="AO65" s="18"/>
      <c r="AP65" s="18"/>
      <c r="AQ65" s="18"/>
      <c r="AR65" s="18"/>
      <c r="AS65" s="11" t="str">
        <f>VLOOKUP(C65,'mayo-26'!B:AS,44,0)</f>
        <v>AREAFINANCIERA@SEMCUCUTA.GOV.CO</v>
      </c>
      <c r="AT65" s="12" t="str">
        <f>VLOOKUP(C65,'mayo-26'!B:AT,45,0)</f>
        <v>CARTERA</v>
      </c>
      <c r="AU65" s="16"/>
      <c r="AV65" s="16"/>
      <c r="AW65" s="16"/>
    </row>
    <row r="66" ht="14.25" customHeight="1">
      <c r="A66" s="15" t="s">
        <v>233</v>
      </c>
      <c r="B66" s="16">
        <v>455370.0</v>
      </c>
      <c r="C66" s="16">
        <v>3251.0</v>
      </c>
      <c r="D66" s="16">
        <v>3251.0</v>
      </c>
      <c r="E66" s="16">
        <v>8.0212709E7</v>
      </c>
      <c r="F66" s="16">
        <v>8.0212709E7</v>
      </c>
      <c r="G66" s="15" t="s">
        <v>148</v>
      </c>
      <c r="H66" s="15" t="s">
        <v>149</v>
      </c>
      <c r="I66" s="1" t="str">
        <f>VLOOKUP(C66,'mayo-26'!B:H,7,0)</f>
        <v>CALLE 10 NO 0E-16 EDF CENTRO EMPRESARIAL BLOQUE B HOTEL TONCHALA</v>
      </c>
      <c r="J66" s="1" t="s">
        <v>185</v>
      </c>
      <c r="K66" s="10" t="str">
        <f>VLOOKUP(C66,'mayo-26'!B:J,9,0)</f>
        <v>NO</v>
      </c>
      <c r="L66" s="1" t="str">
        <f>VLOOKUP(C66,'mayo-26'!B:K,10,0)</f>
        <v>COLEGIOS ZONA NORTE</v>
      </c>
      <c r="M66" s="15" t="s">
        <v>52</v>
      </c>
      <c r="N66" s="15" t="s">
        <v>138</v>
      </c>
      <c r="O66" s="15" t="s">
        <v>130</v>
      </c>
      <c r="P66" s="15" t="s">
        <v>126</v>
      </c>
      <c r="Q66" s="15" t="s">
        <v>56</v>
      </c>
      <c r="R66" s="15" t="s">
        <v>57</v>
      </c>
      <c r="S66" s="15" t="s">
        <v>143</v>
      </c>
      <c r="T66" s="15" t="s">
        <v>59</v>
      </c>
      <c r="U66" s="16">
        <v>2026.0</v>
      </c>
      <c r="V66" s="16">
        <v>6.0</v>
      </c>
      <c r="W66" s="16">
        <v>1.081875026E9</v>
      </c>
      <c r="X66" s="16">
        <v>1.081893498E9</v>
      </c>
      <c r="Y66" s="17">
        <v>46182.0</v>
      </c>
      <c r="Z66" s="17">
        <v>46207.0</v>
      </c>
      <c r="AA66" s="16">
        <v>134048.12</v>
      </c>
      <c r="AB66" s="16">
        <v>134048.12</v>
      </c>
      <c r="AC66" s="16">
        <v>0.0</v>
      </c>
      <c r="AD66" s="16">
        <v>508.0</v>
      </c>
      <c r="AE66" s="16">
        <v>0.0</v>
      </c>
      <c r="AF66" s="16">
        <v>0.0</v>
      </c>
      <c r="AG66" s="16">
        <v>0.0</v>
      </c>
      <c r="AH66" s="16">
        <v>0.0</v>
      </c>
      <c r="AI66" s="16">
        <v>0.0</v>
      </c>
      <c r="AJ66" s="16">
        <v>134048.12</v>
      </c>
      <c r="AK66" s="16">
        <v>400822.34</v>
      </c>
      <c r="AL66" s="16">
        <v>3.0</v>
      </c>
      <c r="AM66" s="16">
        <v>250.8</v>
      </c>
      <c r="AN66" s="16">
        <v>0.0</v>
      </c>
      <c r="AO66" s="18"/>
      <c r="AP66" s="18"/>
      <c r="AQ66" s="18"/>
      <c r="AR66" s="18"/>
      <c r="AS66" s="11" t="str">
        <f>VLOOKUP(C66,'mayo-26'!B:AS,44,0)</f>
        <v>AREAFINANCIERA@SEMCUCUTA.GOV.CO</v>
      </c>
      <c r="AT66" s="12" t="str">
        <f>VLOOKUP(C66,'mayo-26'!B:AT,45,0)</f>
        <v>CARTERA</v>
      </c>
      <c r="AU66" s="16"/>
      <c r="AV66" s="16"/>
      <c r="AW66" s="16"/>
    </row>
    <row r="67" ht="14.25" customHeight="1">
      <c r="A67" s="15" t="s">
        <v>234</v>
      </c>
      <c r="B67" s="16">
        <v>328522.0</v>
      </c>
      <c r="C67" s="16">
        <v>325715.0</v>
      </c>
      <c r="D67" s="16">
        <v>325715.0</v>
      </c>
      <c r="E67" s="16">
        <v>572351.0</v>
      </c>
      <c r="F67" s="16">
        <v>572351.0</v>
      </c>
      <c r="G67" s="16">
        <v>9.01959258E8</v>
      </c>
      <c r="H67" s="15" t="s">
        <v>235</v>
      </c>
      <c r="I67" s="1" t="str">
        <f>VLOOKUP(C67,'mayo-26'!B:H,7,0)</f>
        <v>AVE 7N 4 - 62</v>
      </c>
      <c r="J67" s="1" t="s">
        <v>172</v>
      </c>
      <c r="K67" s="10" t="str">
        <f>VLOOKUP(C67,'mayo-26'!B:J,9,0)</f>
        <v>ZONA NORTE</v>
      </c>
      <c r="L67" s="1" t="str">
        <f>VLOOKUP(C67,'mayo-26'!B:K,10,0)</f>
        <v>CARIBE</v>
      </c>
      <c r="M67" s="15" t="s">
        <v>52</v>
      </c>
      <c r="N67" s="15" t="s">
        <v>89</v>
      </c>
      <c r="O67" s="15" t="s">
        <v>130</v>
      </c>
      <c r="P67" s="15" t="s">
        <v>126</v>
      </c>
      <c r="Q67" s="15" t="s">
        <v>131</v>
      </c>
      <c r="R67" s="15" t="s">
        <v>132</v>
      </c>
      <c r="S67" s="15" t="s">
        <v>133</v>
      </c>
      <c r="T67" s="15" t="s">
        <v>59</v>
      </c>
      <c r="U67" s="16">
        <v>2026.0</v>
      </c>
      <c r="V67" s="16">
        <v>6.0</v>
      </c>
      <c r="W67" s="16">
        <v>1.081875149E9</v>
      </c>
      <c r="X67" s="16">
        <v>1.081893621E9</v>
      </c>
      <c r="Y67" s="17">
        <v>46182.0</v>
      </c>
      <c r="Z67" s="17">
        <v>46207.0</v>
      </c>
      <c r="AA67" s="16">
        <v>113128.5</v>
      </c>
      <c r="AB67" s="16">
        <v>113128.5</v>
      </c>
      <c r="AC67" s="16">
        <v>37709.5</v>
      </c>
      <c r="AD67" s="16">
        <v>0.0</v>
      </c>
      <c r="AE67" s="16">
        <v>0.0</v>
      </c>
      <c r="AF67" s="16">
        <v>0.0</v>
      </c>
      <c r="AG67" s="16">
        <v>0.0</v>
      </c>
      <c r="AH67" s="16">
        <v>0.0</v>
      </c>
      <c r="AI67" s="16">
        <v>0.0</v>
      </c>
      <c r="AJ67" s="16">
        <v>113128.5</v>
      </c>
      <c r="AK67" s="16">
        <v>113128.5</v>
      </c>
      <c r="AL67" s="16">
        <v>0.0</v>
      </c>
      <c r="AM67" s="16">
        <v>376.2</v>
      </c>
      <c r="AN67" s="16">
        <v>0.0</v>
      </c>
      <c r="AO67" s="18"/>
      <c r="AP67" s="18"/>
      <c r="AQ67" s="18"/>
      <c r="AR67" s="18"/>
      <c r="AS67" s="11" t="str">
        <f>VLOOKUP(C67,'mayo-26'!B:AS,44,0)</f>
        <v>PRINTPACKCARIBE@HOTMAIL.COM</v>
      </c>
      <c r="AT67" s="12" t="str">
        <f>VLOOKUP(C67,'mayo-26'!B:AT,45,0)</f>
        <v>CORREO ELECTRONICO CERTIFICADO 472-VERIFICADOR</v>
      </c>
      <c r="AU67" s="16"/>
      <c r="AV67" s="16"/>
      <c r="AW67" s="16"/>
    </row>
    <row r="68" ht="14.25" customHeight="1">
      <c r="A68" s="15" t="s">
        <v>236</v>
      </c>
      <c r="B68" s="16">
        <v>455370.0</v>
      </c>
      <c r="C68" s="16">
        <v>3259.0</v>
      </c>
      <c r="D68" s="16">
        <v>3259.0</v>
      </c>
      <c r="E68" s="16">
        <v>8.0212717E7</v>
      </c>
      <c r="F68" s="16">
        <v>8.0212717E7</v>
      </c>
      <c r="G68" s="15" t="s">
        <v>148</v>
      </c>
      <c r="H68" s="15" t="s">
        <v>149</v>
      </c>
      <c r="I68" s="1" t="str">
        <f>VLOOKUP(C68,'mayo-26'!B:H,7,0)</f>
        <v>CALLE 10 NO 0E-16 EDF CENTRO EMPRESARIAL BLOQUE B HOTEL TONCHALA</v>
      </c>
      <c r="J68" s="1" t="s">
        <v>196</v>
      </c>
      <c r="K68" s="10" t="str">
        <f>VLOOKUP(C68,'mayo-26'!B:J,9,0)</f>
        <v>NO</v>
      </c>
      <c r="L68" s="1" t="str">
        <f>VLOOKUP(C68,'mayo-26'!B:K,10,0)</f>
        <v>COLEGIOS ZONA NORTE</v>
      </c>
      <c r="M68" s="15" t="s">
        <v>52</v>
      </c>
      <c r="N68" s="15" t="s">
        <v>138</v>
      </c>
      <c r="O68" s="15" t="s">
        <v>130</v>
      </c>
      <c r="P68" s="15" t="s">
        <v>126</v>
      </c>
      <c r="Q68" s="15" t="s">
        <v>56</v>
      </c>
      <c r="R68" s="15" t="s">
        <v>57</v>
      </c>
      <c r="S68" s="15" t="s">
        <v>143</v>
      </c>
      <c r="T68" s="15" t="s">
        <v>59</v>
      </c>
      <c r="U68" s="16">
        <v>2026.0</v>
      </c>
      <c r="V68" s="16">
        <v>6.0</v>
      </c>
      <c r="W68" s="16">
        <v>1.08187503E9</v>
      </c>
      <c r="X68" s="16">
        <v>1.081893502E9</v>
      </c>
      <c r="Y68" s="17">
        <v>46182.0</v>
      </c>
      <c r="Z68" s="17">
        <v>46207.0</v>
      </c>
      <c r="AA68" s="16">
        <v>301040.44</v>
      </c>
      <c r="AB68" s="16">
        <v>301040.44</v>
      </c>
      <c r="AC68" s="16">
        <v>0.0</v>
      </c>
      <c r="AD68" s="16">
        <v>1388.0</v>
      </c>
      <c r="AE68" s="16">
        <v>0.0</v>
      </c>
      <c r="AF68" s="16">
        <v>0.0</v>
      </c>
      <c r="AG68" s="16">
        <v>0.0</v>
      </c>
      <c r="AH68" s="16">
        <v>0.0</v>
      </c>
      <c r="AI68" s="16">
        <v>0.0</v>
      </c>
      <c r="AJ68" s="16">
        <v>301040.44</v>
      </c>
      <c r="AK68" s="16">
        <v>897870.98</v>
      </c>
      <c r="AL68" s="16">
        <v>3.0</v>
      </c>
      <c r="AM68" s="16">
        <v>250.8</v>
      </c>
      <c r="AN68" s="16">
        <v>0.0</v>
      </c>
      <c r="AO68" s="18"/>
      <c r="AP68" s="18"/>
      <c r="AQ68" s="18"/>
      <c r="AR68" s="18"/>
      <c r="AS68" s="11" t="str">
        <f>VLOOKUP(C68,'mayo-26'!B:AS,44,0)</f>
        <v>AREAFINANCIERA@SEMCUCUTA.GOV.CO</v>
      </c>
      <c r="AT68" s="12" t="str">
        <f>VLOOKUP(C68,'mayo-26'!B:AT,45,0)</f>
        <v>CARTERA</v>
      </c>
      <c r="AU68" s="16"/>
      <c r="AV68" s="16"/>
      <c r="AW68" s="16"/>
    </row>
    <row r="69" ht="14.25" customHeight="1">
      <c r="A69" s="15" t="s">
        <v>237</v>
      </c>
      <c r="B69" s="16">
        <v>455370.0</v>
      </c>
      <c r="C69" s="16">
        <v>3263.0</v>
      </c>
      <c r="D69" s="16">
        <v>3263.0</v>
      </c>
      <c r="E69" s="16">
        <v>8.0212721E7</v>
      </c>
      <c r="F69" s="16">
        <v>8.0212721E7</v>
      </c>
      <c r="G69" s="15" t="s">
        <v>148</v>
      </c>
      <c r="H69" s="15" t="s">
        <v>149</v>
      </c>
      <c r="I69" s="1" t="str">
        <f>VLOOKUP(C69,'mayo-26'!B:H,7,0)</f>
        <v>CALLE 10 NO 0E-16 EDF CENTRO EMPRESARIAL BLOQUE B HOTEL TONCHALA</v>
      </c>
      <c r="J69" s="1" t="s">
        <v>238</v>
      </c>
      <c r="K69" s="10" t="str">
        <f>VLOOKUP(C69,'mayo-26'!B:J,9,0)</f>
        <v>NO</v>
      </c>
      <c r="L69" s="1" t="str">
        <f>VLOOKUP(C69,'mayo-26'!B:K,10,0)</f>
        <v>COLEGIOS ZONA NORTE</v>
      </c>
      <c r="M69" s="15" t="s">
        <v>52</v>
      </c>
      <c r="N69" s="15" t="s">
        <v>138</v>
      </c>
      <c r="O69" s="15" t="s">
        <v>130</v>
      </c>
      <c r="P69" s="15" t="s">
        <v>126</v>
      </c>
      <c r="Q69" s="15" t="s">
        <v>56</v>
      </c>
      <c r="R69" s="15" t="s">
        <v>57</v>
      </c>
      <c r="S69" s="15" t="s">
        <v>143</v>
      </c>
      <c r="T69" s="15" t="s">
        <v>59</v>
      </c>
      <c r="U69" s="16">
        <v>2026.0</v>
      </c>
      <c r="V69" s="16">
        <v>6.0</v>
      </c>
      <c r="W69" s="16">
        <v>1.081875034E9</v>
      </c>
      <c r="X69" s="16">
        <v>1.081893506E9</v>
      </c>
      <c r="Y69" s="17">
        <v>46182.0</v>
      </c>
      <c r="Z69" s="17">
        <v>46207.0</v>
      </c>
      <c r="AA69" s="16">
        <v>165359.17</v>
      </c>
      <c r="AB69" s="16">
        <v>165359.17</v>
      </c>
      <c r="AC69" s="16">
        <v>0.0</v>
      </c>
      <c r="AD69" s="16">
        <v>673.0</v>
      </c>
      <c r="AE69" s="16">
        <v>0.0</v>
      </c>
      <c r="AF69" s="16">
        <v>0.0</v>
      </c>
      <c r="AG69" s="16">
        <v>0.0</v>
      </c>
      <c r="AH69" s="16">
        <v>0.0</v>
      </c>
      <c r="AI69" s="16">
        <v>0.0</v>
      </c>
      <c r="AJ69" s="16">
        <v>165359.17</v>
      </c>
      <c r="AK69" s="16">
        <v>494018.94</v>
      </c>
      <c r="AL69" s="16">
        <v>3.0</v>
      </c>
      <c r="AM69" s="16">
        <v>250.8</v>
      </c>
      <c r="AN69" s="16">
        <v>0.0</v>
      </c>
      <c r="AO69" s="18"/>
      <c r="AP69" s="18"/>
      <c r="AQ69" s="18"/>
      <c r="AR69" s="18"/>
      <c r="AS69" s="11" t="str">
        <f>VLOOKUP(C69,'mayo-26'!B:AS,44,0)</f>
        <v>AREAFINANCIERA@SEMCUCUTA.GOV.CO</v>
      </c>
      <c r="AT69" s="12" t="str">
        <f>VLOOKUP(C69,'mayo-26'!B:AT,45,0)</f>
        <v>CARTERA</v>
      </c>
      <c r="AU69" s="16"/>
      <c r="AV69" s="16"/>
      <c r="AW69" s="16"/>
    </row>
    <row r="70" ht="14.25" customHeight="1">
      <c r="A70" s="15" t="s">
        <v>239</v>
      </c>
      <c r="B70" s="16">
        <v>455370.0</v>
      </c>
      <c r="C70" s="16">
        <v>3267.0</v>
      </c>
      <c r="D70" s="16">
        <v>3267.0</v>
      </c>
      <c r="E70" s="16">
        <v>8.0212725E7</v>
      </c>
      <c r="F70" s="16">
        <v>8.0212725E7</v>
      </c>
      <c r="G70" s="15" t="s">
        <v>148</v>
      </c>
      <c r="H70" s="15" t="s">
        <v>149</v>
      </c>
      <c r="I70" s="1" t="str">
        <f>VLOOKUP(C70,'mayo-26'!B:H,7,0)</f>
        <v>CALLE 10 NO 0E-16 EDF CENTRO EMPRESARIAL BLOQUE B HOTEL TONCHALA</v>
      </c>
      <c r="J70" s="1" t="s">
        <v>167</v>
      </c>
      <c r="K70" s="10" t="str">
        <f>VLOOKUP(C70,'mayo-26'!B:J,9,0)</f>
        <v>NO</v>
      </c>
      <c r="L70" s="1" t="str">
        <f>VLOOKUP(C70,'mayo-26'!B:K,10,0)</f>
        <v>COLEGIOS ZONA NORTE</v>
      </c>
      <c r="M70" s="15" t="s">
        <v>52</v>
      </c>
      <c r="N70" s="15" t="s">
        <v>138</v>
      </c>
      <c r="O70" s="15" t="s">
        <v>130</v>
      </c>
      <c r="P70" s="15" t="s">
        <v>126</v>
      </c>
      <c r="Q70" s="15" t="s">
        <v>56</v>
      </c>
      <c r="R70" s="15" t="s">
        <v>57</v>
      </c>
      <c r="S70" s="15" t="s">
        <v>143</v>
      </c>
      <c r="T70" s="15" t="s">
        <v>59</v>
      </c>
      <c r="U70" s="16">
        <v>2026.0</v>
      </c>
      <c r="V70" s="16">
        <v>6.0</v>
      </c>
      <c r="W70" s="16">
        <v>1.081875038E9</v>
      </c>
      <c r="X70" s="16">
        <v>1.08189351E9</v>
      </c>
      <c r="Y70" s="17">
        <v>46182.0</v>
      </c>
      <c r="Z70" s="17">
        <v>46207.0</v>
      </c>
      <c r="AA70" s="16">
        <v>417176.0</v>
      </c>
      <c r="AB70" s="16">
        <v>417176.0</v>
      </c>
      <c r="AC70" s="16">
        <v>0.0</v>
      </c>
      <c r="AD70" s="16">
        <v>2000.0</v>
      </c>
      <c r="AE70" s="16">
        <v>0.0</v>
      </c>
      <c r="AF70" s="16">
        <v>0.0</v>
      </c>
      <c r="AG70" s="16">
        <v>0.0</v>
      </c>
      <c r="AH70" s="16">
        <v>0.0</v>
      </c>
      <c r="AI70" s="16">
        <v>0.0</v>
      </c>
      <c r="AJ70" s="16">
        <v>417176.0</v>
      </c>
      <c r="AK70" s="16">
        <v>1243545.7</v>
      </c>
      <c r="AL70" s="16">
        <v>3.0</v>
      </c>
      <c r="AM70" s="16">
        <v>250.8</v>
      </c>
      <c r="AN70" s="16">
        <v>0.0</v>
      </c>
      <c r="AO70" s="18"/>
      <c r="AP70" s="18"/>
      <c r="AQ70" s="18"/>
      <c r="AR70" s="18"/>
      <c r="AS70" s="11" t="str">
        <f>VLOOKUP(C70,'mayo-26'!B:AS,44,0)</f>
        <v>AREAFINANCIERA@SEMCUCUTA.GOV.CO</v>
      </c>
      <c r="AT70" s="12" t="str">
        <f>VLOOKUP(C70,'mayo-26'!B:AT,45,0)</f>
        <v>CARTERA</v>
      </c>
      <c r="AU70" s="16"/>
      <c r="AV70" s="16"/>
      <c r="AW70" s="16"/>
    </row>
    <row r="71" ht="14.25" customHeight="1">
      <c r="A71" s="15" t="s">
        <v>240</v>
      </c>
      <c r="B71" s="16">
        <v>326716.0</v>
      </c>
      <c r="C71" s="16">
        <v>326715.0</v>
      </c>
      <c r="D71" s="16">
        <v>326715.0</v>
      </c>
      <c r="E71" s="16">
        <v>590022.0</v>
      </c>
      <c r="F71" s="16">
        <v>590022.0</v>
      </c>
      <c r="G71" s="16">
        <v>8.60010973E8</v>
      </c>
      <c r="H71" s="15" t="s">
        <v>241</v>
      </c>
      <c r="I71" s="1" t="str">
        <f>VLOOKUP(C71,'mayo-26'!B:H,7,0)</f>
        <v>CLL 2 6 - 59 1001</v>
      </c>
      <c r="J71" s="1" t="s">
        <v>162</v>
      </c>
      <c r="K71" s="10" t="str">
        <f>VLOOKUP(C71,'mayo-26'!B:J,9,0)</f>
        <v>NO</v>
      </c>
      <c r="L71" s="1" t="str">
        <f>VLOOKUP(C71,'mayo-26'!B:K,10,0)</f>
        <v>NO</v>
      </c>
      <c r="M71" s="15" t="s">
        <v>52</v>
      </c>
      <c r="N71" s="15" t="s">
        <v>89</v>
      </c>
      <c r="O71" s="15" t="s">
        <v>130</v>
      </c>
      <c r="P71" s="15" t="s">
        <v>126</v>
      </c>
      <c r="Q71" s="15" t="s">
        <v>56</v>
      </c>
      <c r="R71" s="15" t="s">
        <v>72</v>
      </c>
      <c r="S71" s="15" t="s">
        <v>143</v>
      </c>
      <c r="T71" s="15" t="s">
        <v>59</v>
      </c>
      <c r="U71" s="16">
        <v>2026.0</v>
      </c>
      <c r="V71" s="16">
        <v>6.0</v>
      </c>
      <c r="W71" s="16">
        <v>1.081875154E9</v>
      </c>
      <c r="X71" s="16">
        <v>1.081893626E9</v>
      </c>
      <c r="Y71" s="17">
        <v>46182.0</v>
      </c>
      <c r="Z71" s="17">
        <v>46207.0</v>
      </c>
      <c r="AA71" s="16">
        <v>126650.77</v>
      </c>
      <c r="AB71" s="16">
        <v>126650.77</v>
      </c>
      <c r="AC71" s="16">
        <v>29227.1</v>
      </c>
      <c r="AD71" s="16">
        <v>315.0</v>
      </c>
      <c r="AE71" s="16">
        <v>0.0</v>
      </c>
      <c r="AF71" s="16">
        <v>0.0</v>
      </c>
      <c r="AG71" s="16">
        <v>0.0</v>
      </c>
      <c r="AH71" s="16">
        <v>0.0</v>
      </c>
      <c r="AI71" s="16">
        <v>0.0</v>
      </c>
      <c r="AJ71" s="16">
        <v>126590.79</v>
      </c>
      <c r="AK71" s="16">
        <v>126590.79</v>
      </c>
      <c r="AL71" s="16">
        <v>0.0</v>
      </c>
      <c r="AM71" s="16">
        <v>326.04</v>
      </c>
      <c r="AN71" s="16">
        <v>0.0</v>
      </c>
      <c r="AO71" s="18"/>
      <c r="AP71" s="18"/>
      <c r="AQ71" s="16">
        <v>59.98</v>
      </c>
      <c r="AR71" s="18"/>
      <c r="AS71" s="11" t="str">
        <f>VLOOKUP(C71,'mayo-26'!B:AS,44,0)</f>
        <v>CUCUTA.ALMACAFE@ALMACAFE.COM.CO</v>
      </c>
      <c r="AT71" s="12" t="str">
        <f>VLOOKUP(C71,'mayo-26'!B:AT,45,0)</f>
        <v>CORREO ELECTRONICO CERTIFICADO 472</v>
      </c>
      <c r="AU71" s="16"/>
      <c r="AV71" s="16"/>
      <c r="AW71" s="16"/>
    </row>
    <row r="72" ht="14.25" customHeight="1">
      <c r="A72" s="19" t="s">
        <v>242</v>
      </c>
      <c r="B72" s="16">
        <v>326728.0</v>
      </c>
      <c r="C72" s="16">
        <v>326727.0</v>
      </c>
      <c r="D72" s="16">
        <v>326727.0</v>
      </c>
      <c r="E72" s="16">
        <v>590147.0</v>
      </c>
      <c r="F72" s="16">
        <v>590147.0</v>
      </c>
      <c r="G72" s="15" t="s">
        <v>243</v>
      </c>
      <c r="H72" s="15" t="s">
        <v>244</v>
      </c>
      <c r="I72" s="1" t="str">
        <f>VLOOKUP(C72,'mayo-26'!B:H,7,0)</f>
        <v>CALLE 18 5-107 ZONA INDUSTRIAL</v>
      </c>
      <c r="J72" s="1" t="s">
        <v>172</v>
      </c>
      <c r="K72" s="10" t="str">
        <f>VLOOKUP(C72,'mayo-26'!B:J,9,0)</f>
        <v>NO</v>
      </c>
      <c r="L72" s="1" t="str">
        <f>VLOOKUP(C72,'mayo-26'!B:K,10,0)</f>
        <v>GRUPO NOVA</v>
      </c>
      <c r="M72" s="15" t="s">
        <v>52</v>
      </c>
      <c r="N72" s="15" t="s">
        <v>138</v>
      </c>
      <c r="O72" s="15" t="s">
        <v>130</v>
      </c>
      <c r="P72" s="15" t="s">
        <v>126</v>
      </c>
      <c r="Q72" s="15" t="s">
        <v>56</v>
      </c>
      <c r="R72" s="15" t="s">
        <v>72</v>
      </c>
      <c r="S72" s="15" t="s">
        <v>143</v>
      </c>
      <c r="T72" s="15" t="s">
        <v>59</v>
      </c>
      <c r="U72" s="16">
        <v>2026.0</v>
      </c>
      <c r="V72" s="16">
        <v>6.0</v>
      </c>
      <c r="W72" s="16">
        <v>1.081875158E9</v>
      </c>
      <c r="X72" s="16">
        <v>1.08189363E9</v>
      </c>
      <c r="Y72" s="17">
        <v>46182.0</v>
      </c>
      <c r="Z72" s="17">
        <v>46207.0</v>
      </c>
      <c r="AA72" s="16">
        <v>111232.45</v>
      </c>
      <c r="AB72" s="16">
        <v>111232.45</v>
      </c>
      <c r="AC72" s="16">
        <v>25669.03</v>
      </c>
      <c r="AD72" s="16">
        <v>252.5</v>
      </c>
      <c r="AE72" s="16">
        <v>0.0</v>
      </c>
      <c r="AF72" s="16">
        <v>0.0</v>
      </c>
      <c r="AG72" s="16">
        <v>0.0</v>
      </c>
      <c r="AH72" s="16">
        <v>0.0</v>
      </c>
      <c r="AI72" s="16">
        <v>0.0</v>
      </c>
      <c r="AJ72" s="16">
        <v>111232.45</v>
      </c>
      <c r="AK72" s="16">
        <v>111232.45</v>
      </c>
      <c r="AL72" s="16">
        <v>0.0</v>
      </c>
      <c r="AM72" s="16">
        <v>326.04</v>
      </c>
      <c r="AN72" s="16">
        <v>0.0</v>
      </c>
      <c r="AO72" s="18"/>
      <c r="AP72" s="18"/>
      <c r="AQ72" s="18"/>
      <c r="AR72" s="18"/>
      <c r="AS72" s="11" t="str">
        <f>VLOOKUP(C72,'mayo-26'!B:AS,44,0)</f>
        <v>800092777@FACTUREINBOX.CO</v>
      </c>
      <c r="AT72" s="12" t="str">
        <f>VLOOKUP(C72,'mayo-26'!B:AT,45,0)</f>
        <v>CORREO ELECTRONICO CERTIFICADO 472</v>
      </c>
      <c r="AU72" s="16"/>
      <c r="AV72" s="16"/>
      <c r="AW72" s="16"/>
    </row>
    <row r="73" ht="14.25" customHeight="1">
      <c r="A73" s="15" t="s">
        <v>245</v>
      </c>
      <c r="B73" s="16">
        <v>326736.0</v>
      </c>
      <c r="C73" s="16">
        <v>326735.0</v>
      </c>
      <c r="D73" s="16">
        <v>326735.0</v>
      </c>
      <c r="E73" s="16">
        <v>590264.0</v>
      </c>
      <c r="F73" s="16">
        <v>590264.0</v>
      </c>
      <c r="G73" s="15" t="s">
        <v>246</v>
      </c>
      <c r="H73" s="15" t="s">
        <v>247</v>
      </c>
      <c r="I73" s="1" t="str">
        <f>VLOOKUP(C73,'mayo-26'!B:H,7,0)</f>
        <v>CLL 8N 4 - 61 1219</v>
      </c>
      <c r="J73" s="1" t="s">
        <v>172</v>
      </c>
      <c r="K73" s="10" t="str">
        <f>VLOOKUP(C73,'mayo-26'!B:J,9,0)</f>
        <v>NO</v>
      </c>
      <c r="L73" s="1" t="str">
        <f>VLOOKUP(C73,'mayo-26'!B:K,10,0)</f>
        <v>NO</v>
      </c>
      <c r="M73" s="15" t="s">
        <v>52</v>
      </c>
      <c r="N73" s="15" t="s">
        <v>89</v>
      </c>
      <c r="O73" s="15" t="s">
        <v>130</v>
      </c>
      <c r="P73" s="15" t="s">
        <v>126</v>
      </c>
      <c r="Q73" s="15" t="s">
        <v>56</v>
      </c>
      <c r="R73" s="15" t="s">
        <v>72</v>
      </c>
      <c r="S73" s="15" t="s">
        <v>143</v>
      </c>
      <c r="T73" s="15" t="s">
        <v>59</v>
      </c>
      <c r="U73" s="16">
        <v>2026.0</v>
      </c>
      <c r="V73" s="16">
        <v>6.0</v>
      </c>
      <c r="W73" s="16">
        <v>1.081875161E9</v>
      </c>
      <c r="X73" s="16">
        <v>1.081893633E9</v>
      </c>
      <c r="Y73" s="17">
        <v>46182.0</v>
      </c>
      <c r="Z73" s="17">
        <v>46207.0</v>
      </c>
      <c r="AA73" s="16">
        <v>142685.81</v>
      </c>
      <c r="AB73" s="16">
        <v>142685.81</v>
      </c>
      <c r="AC73" s="16">
        <v>32927.49</v>
      </c>
      <c r="AD73" s="16">
        <v>380.0</v>
      </c>
      <c r="AE73" s="16">
        <v>0.0</v>
      </c>
      <c r="AF73" s="16">
        <v>0.0</v>
      </c>
      <c r="AG73" s="16">
        <v>0.0</v>
      </c>
      <c r="AH73" s="16">
        <v>0.0</v>
      </c>
      <c r="AI73" s="16">
        <v>0.0</v>
      </c>
      <c r="AJ73" s="16">
        <v>142685.81</v>
      </c>
      <c r="AK73" s="16">
        <v>142685.81</v>
      </c>
      <c r="AL73" s="16">
        <v>0.0</v>
      </c>
      <c r="AM73" s="16">
        <v>326.04</v>
      </c>
      <c r="AN73" s="16">
        <v>0.0</v>
      </c>
      <c r="AO73" s="18"/>
      <c r="AP73" s="18"/>
      <c r="AQ73" s="18"/>
      <c r="AR73" s="18"/>
      <c r="AS73" s="11" t="str">
        <f>VLOOKUP(C73,'mayo-26'!B:AS,44,0)</f>
        <v>JEMAPROJECTSAS@GMAIL.COM</v>
      </c>
      <c r="AT73" s="12" t="str">
        <f>VLOOKUP(C73,'mayo-26'!B:AT,45,0)</f>
        <v>CORREO ELECTRONICO CERTIFICADO 472</v>
      </c>
      <c r="AU73" s="16"/>
      <c r="AV73" s="16"/>
      <c r="AW73" s="16"/>
    </row>
    <row r="74" ht="14.25" customHeight="1">
      <c r="A74" s="15" t="s">
        <v>248</v>
      </c>
      <c r="B74" s="16">
        <v>326740.0</v>
      </c>
      <c r="C74" s="16">
        <v>326739.0</v>
      </c>
      <c r="D74" s="16">
        <v>326739.0</v>
      </c>
      <c r="E74" s="16">
        <v>590298.0</v>
      </c>
      <c r="F74" s="16">
        <v>590298.0</v>
      </c>
      <c r="G74" s="15" t="s">
        <v>249</v>
      </c>
      <c r="H74" s="15" t="s">
        <v>250</v>
      </c>
      <c r="I74" s="1" t="str">
        <f>VLOOKUP(C74,'mayo-26'!B:H,7,0)</f>
        <v>CLL 8N 4 - 13 1219</v>
      </c>
      <c r="J74" s="1" t="s">
        <v>172</v>
      </c>
      <c r="K74" s="10" t="str">
        <f>VLOOKUP(C74,'mayo-26'!B:J,9,0)</f>
        <v>NO</v>
      </c>
      <c r="L74" s="1" t="str">
        <f>VLOOKUP(C74,'mayo-26'!B:K,10,0)</f>
        <v>NO</v>
      </c>
      <c r="M74" s="15" t="s">
        <v>52</v>
      </c>
      <c r="N74" s="15" t="s">
        <v>89</v>
      </c>
      <c r="O74" s="15" t="s">
        <v>130</v>
      </c>
      <c r="P74" s="15" t="s">
        <v>126</v>
      </c>
      <c r="Q74" s="15" t="s">
        <v>56</v>
      </c>
      <c r="R74" s="15" t="s">
        <v>72</v>
      </c>
      <c r="S74" s="15" t="s">
        <v>143</v>
      </c>
      <c r="T74" s="15" t="s">
        <v>59</v>
      </c>
      <c r="U74" s="16">
        <v>2026.0</v>
      </c>
      <c r="V74" s="16">
        <v>6.0</v>
      </c>
      <c r="W74" s="16">
        <v>1.081875164E9</v>
      </c>
      <c r="X74" s="16">
        <v>1.081893636E9</v>
      </c>
      <c r="Y74" s="17">
        <v>46182.0</v>
      </c>
      <c r="Z74" s="17">
        <v>46207.0</v>
      </c>
      <c r="AA74" s="16">
        <v>205592.6</v>
      </c>
      <c r="AB74" s="16">
        <v>205592.6</v>
      </c>
      <c r="AC74" s="16">
        <v>47444.45</v>
      </c>
      <c r="AD74" s="16">
        <v>635.0</v>
      </c>
      <c r="AE74" s="16">
        <v>0.0</v>
      </c>
      <c r="AF74" s="16">
        <v>0.0</v>
      </c>
      <c r="AG74" s="16">
        <v>0.0</v>
      </c>
      <c r="AH74" s="16">
        <v>0.0</v>
      </c>
      <c r="AI74" s="16">
        <v>0.0</v>
      </c>
      <c r="AJ74" s="16">
        <v>205592.6</v>
      </c>
      <c r="AK74" s="16">
        <v>205592.6</v>
      </c>
      <c r="AL74" s="16">
        <v>0.0</v>
      </c>
      <c r="AM74" s="16">
        <v>326.04</v>
      </c>
      <c r="AN74" s="16">
        <v>0.0</v>
      </c>
      <c r="AO74" s="18"/>
      <c r="AP74" s="18"/>
      <c r="AQ74" s="18"/>
      <c r="AR74" s="18"/>
      <c r="AS74" s="11" t="str">
        <f>VLOOKUP(C74,'mayo-26'!B:AS,44,0)</f>
        <v>CONTABILIDADTRAPEROSELMEJOR@GMAIL.COM</v>
      </c>
      <c r="AT74" s="12" t="str">
        <f>VLOOKUP(C74,'mayo-26'!B:AT,45,0)</f>
        <v>CORREO ELECTRONICO CERTIFICADO 472</v>
      </c>
      <c r="AU74" s="16"/>
      <c r="AV74" s="16"/>
      <c r="AW74" s="16"/>
    </row>
    <row r="75" ht="14.25" customHeight="1">
      <c r="A75" s="15" t="s">
        <v>251</v>
      </c>
      <c r="B75" s="16">
        <v>455370.0</v>
      </c>
      <c r="C75" s="16">
        <v>3271.0</v>
      </c>
      <c r="D75" s="16">
        <v>3271.0</v>
      </c>
      <c r="E75" s="16">
        <v>8.0212729E7</v>
      </c>
      <c r="F75" s="16">
        <v>8.0212729E7</v>
      </c>
      <c r="G75" s="15" t="s">
        <v>148</v>
      </c>
      <c r="H75" s="15" t="s">
        <v>149</v>
      </c>
      <c r="I75" s="1" t="str">
        <f>VLOOKUP(C75,'mayo-26'!B:H,7,0)</f>
        <v>CALLE 10 NO 0E-16 EDF CENTRO EMPRESARIAL BLOQUE B HOTEL TONCHALA</v>
      </c>
      <c r="J75" s="1" t="s">
        <v>146</v>
      </c>
      <c r="K75" s="10" t="str">
        <f>VLOOKUP(C75,'mayo-26'!B:J,9,0)</f>
        <v>NO</v>
      </c>
      <c r="L75" s="1" t="str">
        <f>VLOOKUP(C75,'mayo-26'!B:K,10,0)</f>
        <v>COLEGIOS ZONA NORTE</v>
      </c>
      <c r="M75" s="15" t="s">
        <v>52</v>
      </c>
      <c r="N75" s="15" t="s">
        <v>138</v>
      </c>
      <c r="O75" s="15" t="s">
        <v>130</v>
      </c>
      <c r="P75" s="15" t="s">
        <v>126</v>
      </c>
      <c r="Q75" s="15" t="s">
        <v>56</v>
      </c>
      <c r="R75" s="15" t="s">
        <v>57</v>
      </c>
      <c r="S75" s="15" t="s">
        <v>143</v>
      </c>
      <c r="T75" s="15" t="s">
        <v>59</v>
      </c>
      <c r="U75" s="16">
        <v>2026.0</v>
      </c>
      <c r="V75" s="16">
        <v>6.0</v>
      </c>
      <c r="W75" s="16">
        <v>1.081875042E9</v>
      </c>
      <c r="X75" s="16">
        <v>1.081893514E9</v>
      </c>
      <c r="Y75" s="17">
        <v>46182.0</v>
      </c>
      <c r="Z75" s="17">
        <v>46207.0</v>
      </c>
      <c r="AA75" s="16">
        <v>199896.23</v>
      </c>
      <c r="AB75" s="16">
        <v>199896.23</v>
      </c>
      <c r="AC75" s="16">
        <v>0.0</v>
      </c>
      <c r="AD75" s="16">
        <v>855.0</v>
      </c>
      <c r="AE75" s="16">
        <v>0.0</v>
      </c>
      <c r="AF75" s="16">
        <v>0.0</v>
      </c>
      <c r="AG75" s="16">
        <v>0.0</v>
      </c>
      <c r="AH75" s="16">
        <v>0.0</v>
      </c>
      <c r="AI75" s="16">
        <v>0.0</v>
      </c>
      <c r="AJ75" s="16">
        <v>199896.23</v>
      </c>
      <c r="AK75" s="16">
        <v>596817.66</v>
      </c>
      <c r="AL75" s="16">
        <v>3.0</v>
      </c>
      <c r="AM75" s="16">
        <v>250.8</v>
      </c>
      <c r="AN75" s="16">
        <v>0.0</v>
      </c>
      <c r="AO75" s="18"/>
      <c r="AP75" s="18"/>
      <c r="AQ75" s="18"/>
      <c r="AR75" s="18"/>
      <c r="AS75" s="11" t="str">
        <f>VLOOKUP(C75,'mayo-26'!B:AS,44,0)</f>
        <v>AREAFINANCIERA@SEMCUCUTA.GOV.CO</v>
      </c>
      <c r="AT75" s="12" t="str">
        <f>VLOOKUP(C75,'mayo-26'!B:AT,45,0)</f>
        <v>CARTERA</v>
      </c>
      <c r="AU75" s="16"/>
      <c r="AV75" s="16"/>
      <c r="AW75" s="16"/>
    </row>
    <row r="76" ht="14.25" customHeight="1">
      <c r="A76" s="15" t="s">
        <v>252</v>
      </c>
      <c r="B76" s="16">
        <v>455370.0</v>
      </c>
      <c r="C76" s="16">
        <v>3275.0</v>
      </c>
      <c r="D76" s="16">
        <v>3275.0</v>
      </c>
      <c r="E76" s="16">
        <v>8.0212733E7</v>
      </c>
      <c r="F76" s="16">
        <v>8.0212733E7</v>
      </c>
      <c r="G76" s="15" t="s">
        <v>148</v>
      </c>
      <c r="H76" s="15" t="s">
        <v>149</v>
      </c>
      <c r="I76" s="1" t="str">
        <f>VLOOKUP(C76,'mayo-26'!B:H,7,0)</f>
        <v>CALLE 10 NO 0E-16 EDF CENTRO EMPRESARIAL BLOQUE B HOTEL TONCHALA</v>
      </c>
      <c r="J76" s="1" t="s">
        <v>253</v>
      </c>
      <c r="K76" s="10" t="str">
        <f>VLOOKUP(C76,'mayo-26'!B:J,9,0)</f>
        <v>NO</v>
      </c>
      <c r="L76" s="1" t="str">
        <f>VLOOKUP(C76,'mayo-26'!B:K,10,0)</f>
        <v>COLEGIOS ZONA NORTE</v>
      </c>
      <c r="M76" s="15" t="s">
        <v>52</v>
      </c>
      <c r="N76" s="15" t="s">
        <v>138</v>
      </c>
      <c r="O76" s="15" t="s">
        <v>130</v>
      </c>
      <c r="P76" s="15" t="s">
        <v>126</v>
      </c>
      <c r="Q76" s="15" t="s">
        <v>56</v>
      </c>
      <c r="R76" s="15" t="s">
        <v>57</v>
      </c>
      <c r="S76" s="15" t="s">
        <v>143</v>
      </c>
      <c r="T76" s="15" t="s">
        <v>59</v>
      </c>
      <c r="U76" s="16">
        <v>2026.0</v>
      </c>
      <c r="V76" s="16">
        <v>6.0</v>
      </c>
      <c r="W76" s="16">
        <v>1.081875045E9</v>
      </c>
      <c r="X76" s="16">
        <v>1.081893517E9</v>
      </c>
      <c r="Y76" s="17">
        <v>46182.0</v>
      </c>
      <c r="Z76" s="17">
        <v>46207.0</v>
      </c>
      <c r="AA76" s="16">
        <v>178642.65</v>
      </c>
      <c r="AB76" s="16">
        <v>178642.65</v>
      </c>
      <c r="AC76" s="16">
        <v>0.0</v>
      </c>
      <c r="AD76" s="16">
        <v>743.0</v>
      </c>
      <c r="AE76" s="16">
        <v>0.0</v>
      </c>
      <c r="AF76" s="16">
        <v>0.0</v>
      </c>
      <c r="AG76" s="16">
        <v>0.0</v>
      </c>
      <c r="AH76" s="16">
        <v>0.0</v>
      </c>
      <c r="AI76" s="16">
        <v>0.0</v>
      </c>
      <c r="AJ76" s="16">
        <v>178642.65</v>
      </c>
      <c r="AK76" s="16">
        <v>533556.9</v>
      </c>
      <c r="AL76" s="16">
        <v>3.0</v>
      </c>
      <c r="AM76" s="16">
        <v>250.8</v>
      </c>
      <c r="AN76" s="16">
        <v>0.0</v>
      </c>
      <c r="AO76" s="18"/>
      <c r="AP76" s="18"/>
      <c r="AQ76" s="18"/>
      <c r="AR76" s="18"/>
      <c r="AS76" s="11" t="str">
        <f>VLOOKUP(C76,'mayo-26'!B:AS,44,0)</f>
        <v>AREAFINANCIERA@SEMCUCUTA.GOV.CO</v>
      </c>
      <c r="AT76" s="12" t="str">
        <f>VLOOKUP(C76,'mayo-26'!B:AT,45,0)</f>
        <v>CARTERA</v>
      </c>
      <c r="AU76" s="16"/>
      <c r="AV76" s="16"/>
      <c r="AW76" s="16"/>
    </row>
    <row r="77" ht="14.25" customHeight="1">
      <c r="A77" s="15" t="s">
        <v>254</v>
      </c>
      <c r="B77" s="16">
        <v>455370.0</v>
      </c>
      <c r="C77" s="16">
        <v>3279.0</v>
      </c>
      <c r="D77" s="16">
        <v>3279.0</v>
      </c>
      <c r="E77" s="16">
        <v>8.0212737E7</v>
      </c>
      <c r="F77" s="16">
        <v>8.0212737E7</v>
      </c>
      <c r="G77" s="15" t="s">
        <v>148</v>
      </c>
      <c r="H77" s="15" t="s">
        <v>149</v>
      </c>
      <c r="I77" s="1" t="str">
        <f>VLOOKUP(C77,'mayo-26'!B:H,7,0)</f>
        <v>CALLE 10 NO 0E-16 EDF CENTRO EMPRESARIAL BLOQUE B HOTEL TONCHALA</v>
      </c>
      <c r="J77" s="1" t="s">
        <v>255</v>
      </c>
      <c r="K77" s="10" t="str">
        <f>VLOOKUP(C77,'mayo-26'!B:J,9,0)</f>
        <v>NO</v>
      </c>
      <c r="L77" s="1" t="str">
        <f>VLOOKUP(C77,'mayo-26'!B:K,10,0)</f>
        <v>COLEGIOS ZONA NORTE</v>
      </c>
      <c r="M77" s="15" t="s">
        <v>52</v>
      </c>
      <c r="N77" s="15" t="s">
        <v>138</v>
      </c>
      <c r="O77" s="15" t="s">
        <v>130</v>
      </c>
      <c r="P77" s="15" t="s">
        <v>126</v>
      </c>
      <c r="Q77" s="15" t="s">
        <v>56</v>
      </c>
      <c r="R77" s="15" t="s">
        <v>57</v>
      </c>
      <c r="S77" s="15" t="s">
        <v>143</v>
      </c>
      <c r="T77" s="15" t="s">
        <v>59</v>
      </c>
      <c r="U77" s="16">
        <v>2026.0</v>
      </c>
      <c r="V77" s="16">
        <v>6.0</v>
      </c>
      <c r="W77" s="16">
        <v>1.081875051E9</v>
      </c>
      <c r="X77" s="16">
        <v>1.081893523E9</v>
      </c>
      <c r="Y77" s="17">
        <v>46182.0</v>
      </c>
      <c r="Z77" s="17">
        <v>46207.0</v>
      </c>
      <c r="AA77" s="16">
        <v>286238.84</v>
      </c>
      <c r="AB77" s="16">
        <v>286238.84</v>
      </c>
      <c r="AC77" s="16">
        <v>0.0</v>
      </c>
      <c r="AD77" s="16">
        <v>1310.0</v>
      </c>
      <c r="AE77" s="16">
        <v>0.0</v>
      </c>
      <c r="AF77" s="16">
        <v>0.0</v>
      </c>
      <c r="AG77" s="16">
        <v>0.0</v>
      </c>
      <c r="AH77" s="16">
        <v>0.0</v>
      </c>
      <c r="AI77" s="16">
        <v>0.0</v>
      </c>
      <c r="AJ77" s="16">
        <v>286238.84</v>
      </c>
      <c r="AK77" s="16">
        <v>853814.38</v>
      </c>
      <c r="AL77" s="16">
        <v>3.0</v>
      </c>
      <c r="AM77" s="16">
        <v>250.8</v>
      </c>
      <c r="AN77" s="16">
        <v>0.0</v>
      </c>
      <c r="AO77" s="18"/>
      <c r="AP77" s="18"/>
      <c r="AQ77" s="18"/>
      <c r="AR77" s="18"/>
      <c r="AS77" s="11" t="str">
        <f>VLOOKUP(C77,'mayo-26'!B:AS,44,0)</f>
        <v>AREAFINANCIERA@SEMCUCUTA.GOV.CO</v>
      </c>
      <c r="AT77" s="12" t="str">
        <f>VLOOKUP(C77,'mayo-26'!B:AT,45,0)</f>
        <v>CARTERA</v>
      </c>
      <c r="AU77" s="16"/>
      <c r="AV77" s="16"/>
      <c r="AW77" s="16"/>
    </row>
    <row r="78" ht="14.25" customHeight="1">
      <c r="A78" s="15" t="s">
        <v>256</v>
      </c>
      <c r="B78" s="16">
        <v>455370.0</v>
      </c>
      <c r="C78" s="16">
        <v>3283.0</v>
      </c>
      <c r="D78" s="16">
        <v>3283.0</v>
      </c>
      <c r="E78" s="16">
        <v>8.0215347E7</v>
      </c>
      <c r="F78" s="16">
        <v>8.0215347E7</v>
      </c>
      <c r="G78" s="15" t="s">
        <v>148</v>
      </c>
      <c r="H78" s="15" t="s">
        <v>149</v>
      </c>
      <c r="I78" s="1" t="str">
        <f>VLOOKUP(C78,'mayo-26'!B:H,7,0)</f>
        <v>CALLE 10 NO 0E-16 EDF CENTRO EMPRESARIAL BLOQUE B HOTEL TONCHALA</v>
      </c>
      <c r="J78" s="1" t="s">
        <v>224</v>
      </c>
      <c r="K78" s="10" t="str">
        <f>VLOOKUP(C78,'mayo-26'!B:J,9,0)</f>
        <v>NO</v>
      </c>
      <c r="L78" s="1" t="str">
        <f>VLOOKUP(C78,'mayo-26'!B:K,10,0)</f>
        <v>COLEGIOS ZONA NORTE</v>
      </c>
      <c r="M78" s="15" t="s">
        <v>52</v>
      </c>
      <c r="N78" s="15" t="s">
        <v>138</v>
      </c>
      <c r="O78" s="15" t="s">
        <v>130</v>
      </c>
      <c r="P78" s="15" t="s">
        <v>126</v>
      </c>
      <c r="Q78" s="15" t="s">
        <v>56</v>
      </c>
      <c r="R78" s="15" t="s">
        <v>57</v>
      </c>
      <c r="S78" s="15" t="s">
        <v>143</v>
      </c>
      <c r="T78" s="15" t="s">
        <v>59</v>
      </c>
      <c r="U78" s="16">
        <v>2026.0</v>
      </c>
      <c r="V78" s="16">
        <v>6.0</v>
      </c>
      <c r="W78" s="16">
        <v>1.081875055E9</v>
      </c>
      <c r="X78" s="16">
        <v>1.081893527E9</v>
      </c>
      <c r="Y78" s="17">
        <v>46182.0</v>
      </c>
      <c r="Z78" s="17">
        <v>46207.0</v>
      </c>
      <c r="AA78" s="16">
        <v>85658.29</v>
      </c>
      <c r="AB78" s="16">
        <v>85658.29</v>
      </c>
      <c r="AC78" s="16">
        <v>0.0</v>
      </c>
      <c r="AD78" s="16">
        <v>253.0</v>
      </c>
      <c r="AE78" s="16">
        <v>0.0</v>
      </c>
      <c r="AF78" s="16">
        <v>0.0</v>
      </c>
      <c r="AG78" s="16">
        <v>0.0</v>
      </c>
      <c r="AH78" s="16">
        <v>0.0</v>
      </c>
      <c r="AI78" s="16">
        <v>0.0</v>
      </c>
      <c r="AJ78" s="16">
        <v>85658.29</v>
      </c>
      <c r="AK78" s="16">
        <v>256791.18</v>
      </c>
      <c r="AL78" s="16">
        <v>3.0</v>
      </c>
      <c r="AM78" s="16">
        <v>250.8</v>
      </c>
      <c r="AN78" s="16">
        <v>0.0</v>
      </c>
      <c r="AO78" s="18"/>
      <c r="AP78" s="18"/>
      <c r="AQ78" s="18"/>
      <c r="AR78" s="18"/>
      <c r="AS78" s="11" t="str">
        <f>VLOOKUP(C78,'mayo-26'!B:AS,44,0)</f>
        <v>AREAFINANCIERA@SEMCUCUTA.GOV.CO</v>
      </c>
      <c r="AT78" s="12" t="str">
        <f>VLOOKUP(C78,'mayo-26'!B:AT,45,0)</f>
        <v>CARTERA</v>
      </c>
      <c r="AU78" s="16"/>
      <c r="AV78" s="16"/>
      <c r="AW78" s="16"/>
    </row>
    <row r="79" ht="14.25" customHeight="1">
      <c r="A79" s="15" t="s">
        <v>257</v>
      </c>
      <c r="B79" s="16">
        <v>503.0</v>
      </c>
      <c r="C79" s="16">
        <v>3287.0</v>
      </c>
      <c r="D79" s="16">
        <v>3287.0</v>
      </c>
      <c r="E79" s="16">
        <v>8.0217312E7</v>
      </c>
      <c r="F79" s="16">
        <v>8.0217312E7</v>
      </c>
      <c r="G79" s="15" t="s">
        <v>258</v>
      </c>
      <c r="H79" s="15" t="s">
        <v>259</v>
      </c>
      <c r="I79" s="1" t="str">
        <f>VLOOKUP(C79,'mayo-26'!B:H,7,0)</f>
        <v>CLL 10 0E-51 SUB 4 ARM 8 LOCAL 1</v>
      </c>
      <c r="J79" s="1" t="s">
        <v>214</v>
      </c>
      <c r="K79" s="10" t="str">
        <f>VLOOKUP(C79,'mayo-26'!B:J,9,0)</f>
        <v>NO</v>
      </c>
      <c r="L79" s="1" t="str">
        <f>VLOOKUP(C79,'mayo-26'!B:K,10,0)</f>
        <v>VERTEBRA</v>
      </c>
      <c r="M79" s="15" t="s">
        <v>52</v>
      </c>
      <c r="N79" s="15" t="s">
        <v>89</v>
      </c>
      <c r="O79" s="15" t="s">
        <v>130</v>
      </c>
      <c r="P79" s="15" t="s">
        <v>126</v>
      </c>
      <c r="Q79" s="15" t="s">
        <v>56</v>
      </c>
      <c r="R79" s="15" t="s">
        <v>90</v>
      </c>
      <c r="S79" s="15" t="s">
        <v>143</v>
      </c>
      <c r="T79" s="15" t="s">
        <v>59</v>
      </c>
      <c r="U79" s="16">
        <v>2026.0</v>
      </c>
      <c r="V79" s="16">
        <v>6.0</v>
      </c>
      <c r="W79" s="16">
        <v>1.081875058E9</v>
      </c>
      <c r="X79" s="16">
        <v>1.08189353E9</v>
      </c>
      <c r="Y79" s="17">
        <v>46182.0</v>
      </c>
      <c r="Z79" s="17">
        <v>46207.0</v>
      </c>
      <c r="AA79" s="16">
        <v>262840.37</v>
      </c>
      <c r="AB79" s="16">
        <v>262840.37</v>
      </c>
      <c r="AC79" s="16">
        <v>87613.46</v>
      </c>
      <c r="AD79" s="16">
        <v>725.0</v>
      </c>
      <c r="AE79" s="16">
        <v>0.0</v>
      </c>
      <c r="AF79" s="16">
        <v>0.0</v>
      </c>
      <c r="AG79" s="16">
        <v>0.0</v>
      </c>
      <c r="AH79" s="16">
        <v>0.0</v>
      </c>
      <c r="AI79" s="16">
        <v>0.0</v>
      </c>
      <c r="AJ79" s="16">
        <v>262840.37</v>
      </c>
      <c r="AK79" s="16">
        <v>262840.37</v>
      </c>
      <c r="AL79" s="16">
        <v>0.0</v>
      </c>
      <c r="AM79" s="16">
        <v>376.2</v>
      </c>
      <c r="AN79" s="16">
        <v>0.0</v>
      </c>
      <c r="AO79" s="18"/>
      <c r="AP79" s="18"/>
      <c r="AQ79" s="18"/>
      <c r="AR79" s="18"/>
      <c r="AS79" s="11" t="str">
        <f>VLOOKUP(C79,'mayo-26'!B:AS,44,0)</f>
        <v>FACTURAS@VERTEBRA.TECH</v>
      </c>
      <c r="AT79" s="12" t="str">
        <f>VLOOKUP(C79,'mayo-26'!B:AT,45,0)</f>
        <v>CORREO ELECTRONICO CERTIFICADO 472</v>
      </c>
      <c r="AU79" s="16"/>
      <c r="AV79" s="16"/>
      <c r="AW79" s="16"/>
    </row>
    <row r="80" ht="14.25" customHeight="1">
      <c r="A80" s="15" t="s">
        <v>260</v>
      </c>
      <c r="B80" s="16">
        <v>455370.0</v>
      </c>
      <c r="C80" s="16">
        <v>3291.0</v>
      </c>
      <c r="D80" s="16">
        <v>3291.0</v>
      </c>
      <c r="E80" s="16">
        <v>8.0218483E7</v>
      </c>
      <c r="F80" s="16">
        <v>8.0218483E7</v>
      </c>
      <c r="G80" s="15" t="s">
        <v>148</v>
      </c>
      <c r="H80" s="15" t="s">
        <v>149</v>
      </c>
      <c r="I80" s="1" t="str">
        <f>VLOOKUP(C80,'mayo-26'!B:H,7,0)</f>
        <v>CALLE 10 NO 0E-16 EDF CENTRO EMPRESARIAL BLOQUE B HOTEL TONCHALA</v>
      </c>
      <c r="J80" s="1" t="s">
        <v>261</v>
      </c>
      <c r="K80" s="10" t="str">
        <f>VLOOKUP(C80,'mayo-26'!B:J,9,0)</f>
        <v>NO</v>
      </c>
      <c r="L80" s="1" t="str">
        <f>VLOOKUP(C80,'mayo-26'!B:K,10,0)</f>
        <v>COLEGIOS ZONA NORTE</v>
      </c>
      <c r="M80" s="15" t="s">
        <v>52</v>
      </c>
      <c r="N80" s="15" t="s">
        <v>138</v>
      </c>
      <c r="O80" s="15" t="s">
        <v>130</v>
      </c>
      <c r="P80" s="15" t="s">
        <v>126</v>
      </c>
      <c r="Q80" s="15" t="s">
        <v>56</v>
      </c>
      <c r="R80" s="15" t="s">
        <v>57</v>
      </c>
      <c r="S80" s="15" t="s">
        <v>143</v>
      </c>
      <c r="T80" s="15" t="s">
        <v>59</v>
      </c>
      <c r="U80" s="16">
        <v>2026.0</v>
      </c>
      <c r="V80" s="16">
        <v>6.0</v>
      </c>
      <c r="W80" s="16">
        <v>1.081875061E9</v>
      </c>
      <c r="X80" s="16">
        <v>1.081893533E9</v>
      </c>
      <c r="Y80" s="17">
        <v>46182.0</v>
      </c>
      <c r="Z80" s="17">
        <v>46207.0</v>
      </c>
      <c r="AA80" s="16">
        <v>568987.2</v>
      </c>
      <c r="AB80" s="16">
        <v>568987.2</v>
      </c>
      <c r="AC80" s="16">
        <v>0.0</v>
      </c>
      <c r="AD80" s="16">
        <v>2800.0</v>
      </c>
      <c r="AE80" s="16">
        <v>0.0</v>
      </c>
      <c r="AF80" s="16">
        <v>0.0</v>
      </c>
      <c r="AG80" s="16">
        <v>0.0</v>
      </c>
      <c r="AH80" s="16">
        <v>0.0</v>
      </c>
      <c r="AI80" s="16">
        <v>0.0</v>
      </c>
      <c r="AJ80" s="16">
        <v>568987.2</v>
      </c>
      <c r="AK80" s="16">
        <v>1695408.1</v>
      </c>
      <c r="AL80" s="16">
        <v>3.0</v>
      </c>
      <c r="AM80" s="16">
        <v>250.8</v>
      </c>
      <c r="AN80" s="16">
        <v>0.0</v>
      </c>
      <c r="AO80" s="18"/>
      <c r="AP80" s="18"/>
      <c r="AQ80" s="18"/>
      <c r="AR80" s="18"/>
      <c r="AS80" s="11" t="str">
        <f>VLOOKUP(C80,'mayo-26'!B:AS,44,0)</f>
        <v>AREAFINANCIERA@SEMCUCUTA.GOV.CO</v>
      </c>
      <c r="AT80" s="12" t="str">
        <f>VLOOKUP(C80,'mayo-26'!B:AT,45,0)</f>
        <v>CARTERA</v>
      </c>
      <c r="AU80" s="16"/>
      <c r="AV80" s="16"/>
      <c r="AW80" s="16"/>
    </row>
    <row r="81" ht="14.25" customHeight="1">
      <c r="A81" s="15" t="s">
        <v>262</v>
      </c>
      <c r="B81" s="16">
        <v>3300.0</v>
      </c>
      <c r="C81" s="16">
        <v>3299.0</v>
      </c>
      <c r="D81" s="16">
        <v>3299.0</v>
      </c>
      <c r="E81" s="16">
        <v>8.0222486E7</v>
      </c>
      <c r="F81" s="16">
        <v>8.0222486E7</v>
      </c>
      <c r="G81" s="16">
        <v>8.99999239E8</v>
      </c>
      <c r="H81" s="15" t="s">
        <v>263</v>
      </c>
      <c r="I81" s="1" t="str">
        <f>VLOOKUP(C81,'mayo-26'!B:H,7,0)</f>
        <v>AV 6 1-105 KDX 46A INSULA</v>
      </c>
      <c r="J81" s="1" t="s">
        <v>208</v>
      </c>
      <c r="K81" s="10" t="str">
        <f>VLOOKUP(C81,'mayo-26'!B:J,9,0)</f>
        <v>NO</v>
      </c>
      <c r="L81" s="1" t="str">
        <f>VLOOKUP(C81,'mayo-26'!B:K,10,0)</f>
        <v>BIENESTAR FAMILIAR</v>
      </c>
      <c r="M81" s="15" t="s">
        <v>52</v>
      </c>
      <c r="N81" s="15" t="s">
        <v>89</v>
      </c>
      <c r="O81" s="15" t="s">
        <v>130</v>
      </c>
      <c r="P81" s="15" t="s">
        <v>126</v>
      </c>
      <c r="Q81" s="15" t="s">
        <v>56</v>
      </c>
      <c r="R81" s="15" t="s">
        <v>57</v>
      </c>
      <c r="S81" s="15" t="s">
        <v>143</v>
      </c>
      <c r="T81" s="15" t="s">
        <v>59</v>
      </c>
      <c r="U81" s="16">
        <v>2026.0</v>
      </c>
      <c r="V81" s="16">
        <v>6.0</v>
      </c>
      <c r="W81" s="16">
        <v>1.081875065E9</v>
      </c>
      <c r="X81" s="16">
        <v>1.081893537E9</v>
      </c>
      <c r="Y81" s="17">
        <v>46182.0</v>
      </c>
      <c r="Z81" s="17">
        <v>46207.0</v>
      </c>
      <c r="AA81" s="16">
        <v>85563.42</v>
      </c>
      <c r="AB81" s="16">
        <v>85563.42</v>
      </c>
      <c r="AC81" s="16">
        <v>0.0</v>
      </c>
      <c r="AD81" s="16">
        <v>252.5</v>
      </c>
      <c r="AE81" s="16">
        <v>0.0</v>
      </c>
      <c r="AF81" s="16">
        <v>0.0</v>
      </c>
      <c r="AG81" s="16">
        <v>0.0</v>
      </c>
      <c r="AH81" s="16">
        <v>0.0</v>
      </c>
      <c r="AI81" s="16">
        <v>0.0</v>
      </c>
      <c r="AJ81" s="16">
        <v>85563.42</v>
      </c>
      <c r="AK81" s="16">
        <v>85563.42</v>
      </c>
      <c r="AL81" s="16">
        <v>0.0</v>
      </c>
      <c r="AM81" s="16">
        <v>250.8</v>
      </c>
      <c r="AN81" s="16">
        <v>0.0</v>
      </c>
      <c r="AO81" s="18"/>
      <c r="AP81" s="18"/>
      <c r="AQ81" s="18"/>
      <c r="AR81" s="18"/>
      <c r="AS81" s="11" t="str">
        <f>VLOOKUP(C81,'mayo-26'!B:AS,44,0)</f>
        <v>MAYRA.SALCEDO@ICBF.GOV.CO</v>
      </c>
      <c r="AT81" s="12" t="str">
        <f>VLOOKUP(C81,'mayo-26'!B:AT,45,0)</f>
        <v>CORREO ELECTRONICO CERTIFICADO 472</v>
      </c>
      <c r="AU81" s="16"/>
      <c r="AV81" s="16"/>
      <c r="AW81" s="16"/>
    </row>
    <row r="82" ht="14.25" customHeight="1">
      <c r="A82" s="15" t="s">
        <v>264</v>
      </c>
      <c r="B82" s="16">
        <v>3304.0</v>
      </c>
      <c r="C82" s="16">
        <v>3303.0</v>
      </c>
      <c r="D82" s="16">
        <v>3303.0</v>
      </c>
      <c r="E82" s="16">
        <v>8.0223054E7</v>
      </c>
      <c r="F82" s="16">
        <v>8.0223054E7</v>
      </c>
      <c r="G82" s="16">
        <v>9.01447404E8</v>
      </c>
      <c r="H82" s="15" t="s">
        <v>265</v>
      </c>
      <c r="I82" s="1" t="str">
        <f>VLOOKUP(C82,'mayo-26'!B:H,7,0)</f>
        <v>AVE 5 8N-46 ZONA INDUSTRIAL</v>
      </c>
      <c r="J82" s="1" t="s">
        <v>172</v>
      </c>
      <c r="K82" s="10" t="str">
        <f>VLOOKUP(C82,'mayo-26'!B:J,9,0)</f>
        <v>NO</v>
      </c>
      <c r="L82" s="1" t="str">
        <f>VLOOKUP(C82,'mayo-26'!B:K,10,0)</f>
        <v>NO</v>
      </c>
      <c r="M82" s="15" t="s">
        <v>52</v>
      </c>
      <c r="N82" s="15" t="s">
        <v>89</v>
      </c>
      <c r="O82" s="15" t="s">
        <v>130</v>
      </c>
      <c r="P82" s="15" t="s">
        <v>126</v>
      </c>
      <c r="Q82" s="15" t="s">
        <v>131</v>
      </c>
      <c r="R82" s="15" t="s">
        <v>266</v>
      </c>
      <c r="S82" s="15" t="s">
        <v>133</v>
      </c>
      <c r="T82" s="15" t="s">
        <v>59</v>
      </c>
      <c r="U82" s="16">
        <v>2026.0</v>
      </c>
      <c r="V82" s="16">
        <v>6.0</v>
      </c>
      <c r="W82" s="16">
        <v>1.081875069E9</v>
      </c>
      <c r="X82" s="16">
        <v>1.081893541E9</v>
      </c>
      <c r="Y82" s="17">
        <v>46182.0</v>
      </c>
      <c r="Z82" s="17">
        <v>46207.0</v>
      </c>
      <c r="AA82" s="16">
        <v>98044.7</v>
      </c>
      <c r="AB82" s="16">
        <v>98044.7</v>
      </c>
      <c r="AC82" s="16">
        <v>22625.7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6">
        <v>0.0</v>
      </c>
      <c r="AJ82" s="16">
        <v>98044.7</v>
      </c>
      <c r="AK82" s="16">
        <v>196768.0</v>
      </c>
      <c r="AL82" s="16">
        <v>1.0</v>
      </c>
      <c r="AM82" s="16">
        <v>326.04</v>
      </c>
      <c r="AN82" s="16">
        <v>0.0</v>
      </c>
      <c r="AO82" s="18"/>
      <c r="AP82" s="18"/>
      <c r="AQ82" s="18"/>
      <c r="AR82" s="18"/>
      <c r="AS82" s="11" t="str">
        <f>VLOOKUP(C82,'mayo-26'!B:AS,44,0)</f>
        <v>IANCOMPANY03@GMAIL.COM</v>
      </c>
      <c r="AT82" s="12" t="str">
        <f>VLOOKUP(C82,'mayo-26'!B:AT,45,0)</f>
        <v>CORREO ELECTRONICO CERTIFICADO 472</v>
      </c>
      <c r="AU82" s="16"/>
      <c r="AV82" s="16"/>
      <c r="AW82" s="16"/>
    </row>
    <row r="83" ht="14.25" customHeight="1">
      <c r="A83" s="15" t="s">
        <v>267</v>
      </c>
      <c r="B83" s="16">
        <v>147.0</v>
      </c>
      <c r="C83" s="16">
        <v>3311.0</v>
      </c>
      <c r="D83" s="16">
        <v>3311.0</v>
      </c>
      <c r="E83" s="16">
        <v>8.023016E7</v>
      </c>
      <c r="F83" s="16">
        <v>8.023016E7</v>
      </c>
      <c r="G83" s="15" t="s">
        <v>179</v>
      </c>
      <c r="H83" s="15" t="s">
        <v>180</v>
      </c>
      <c r="I83" s="1" t="str">
        <f>VLOOKUP(C83,'mayo-26'!B:H,7,0)</f>
        <v>AVE 3 CLL 24 GARITA # 1</v>
      </c>
      <c r="J83" s="1" t="s">
        <v>268</v>
      </c>
      <c r="K83" s="10" t="str">
        <f>VLOOKUP(C83,'mayo-26'!B:J,9,0)</f>
        <v>NO</v>
      </c>
      <c r="L83" s="1" t="str">
        <f>VLOOKUP(C83,'mayo-26'!B:K,10,0)</f>
        <v>POLICIA</v>
      </c>
      <c r="M83" s="15" t="s">
        <v>52</v>
      </c>
      <c r="N83" s="15" t="s">
        <v>269</v>
      </c>
      <c r="O83" s="15" t="s">
        <v>130</v>
      </c>
      <c r="P83" s="15" t="s">
        <v>126</v>
      </c>
      <c r="Q83" s="15" t="s">
        <v>56</v>
      </c>
      <c r="R83" s="15" t="s">
        <v>57</v>
      </c>
      <c r="S83" s="15" t="s">
        <v>143</v>
      </c>
      <c r="T83" s="15" t="s">
        <v>59</v>
      </c>
      <c r="U83" s="16">
        <v>2026.0</v>
      </c>
      <c r="V83" s="16">
        <v>6.0</v>
      </c>
      <c r="W83" s="16">
        <v>1.081875073E9</v>
      </c>
      <c r="X83" s="16">
        <v>1.081893545E9</v>
      </c>
      <c r="Y83" s="17">
        <v>46182.0</v>
      </c>
      <c r="Z83" s="17">
        <v>46207.0</v>
      </c>
      <c r="AA83" s="16">
        <v>51712.42</v>
      </c>
      <c r="AB83" s="16">
        <v>51712.42</v>
      </c>
      <c r="AC83" s="16">
        <v>0.0</v>
      </c>
      <c r="AD83" s="16">
        <v>252.5</v>
      </c>
      <c r="AE83" s="16">
        <v>0.0</v>
      </c>
      <c r="AF83" s="16">
        <v>0.0</v>
      </c>
      <c r="AG83" s="16">
        <v>0.0</v>
      </c>
      <c r="AH83" s="16">
        <v>0.0</v>
      </c>
      <c r="AI83" s="16">
        <v>0.0</v>
      </c>
      <c r="AJ83" s="16">
        <v>51712.42</v>
      </c>
      <c r="AK83" s="16">
        <v>103438.11</v>
      </c>
      <c r="AL83" s="16">
        <v>2.0</v>
      </c>
      <c r="AM83" s="16">
        <v>250.8</v>
      </c>
      <c r="AN83" s="16">
        <v>0.0</v>
      </c>
      <c r="AO83" s="18"/>
      <c r="AP83" s="18"/>
      <c r="AQ83" s="18"/>
      <c r="AR83" s="18"/>
      <c r="AS83" s="11" t="str">
        <f>VLOOKUP(C83,'mayo-26'!B:AS,44,0)</f>
        <v>MECUC.GUBIR@POLICIA.GOV.CO</v>
      </c>
      <c r="AT83" s="12" t="str">
        <f>VLOOKUP(C83,'mayo-26'!B:AT,45,0)</f>
        <v>CORREO ELECTRONICO CERTIFICADO 472</v>
      </c>
      <c r="AU83" s="16"/>
      <c r="AV83" s="16"/>
      <c r="AW83" s="16"/>
    </row>
    <row r="84" ht="14.25" customHeight="1">
      <c r="A84" s="15" t="s">
        <v>270</v>
      </c>
      <c r="B84" s="16">
        <v>3320.0</v>
      </c>
      <c r="C84" s="16">
        <v>3319.0</v>
      </c>
      <c r="D84" s="16">
        <v>3319.0</v>
      </c>
      <c r="E84" s="16">
        <v>8.0231088E7</v>
      </c>
      <c r="F84" s="16">
        <v>8.0231088E7</v>
      </c>
      <c r="G84" s="15" t="s">
        <v>271</v>
      </c>
      <c r="H84" s="15" t="s">
        <v>272</v>
      </c>
      <c r="I84" s="1" t="str">
        <f>VLOOKUP(C84,'mayo-26'!B:H,7,0)</f>
        <v>AV 7 A 1 141 BRR PANAMERICANO BG UNO Y DOS</v>
      </c>
      <c r="J84" s="1" t="s">
        <v>230</v>
      </c>
      <c r="K84" s="10" t="str">
        <f>VLOOKUP(C84,'mayo-26'!B:J,9,0)</f>
        <v>NO</v>
      </c>
      <c r="L84" s="1" t="str">
        <f>VLOOKUP(C84,'mayo-26'!B:K,10,0)</f>
        <v>NO</v>
      </c>
      <c r="M84" s="15" t="s">
        <v>52</v>
      </c>
      <c r="N84" s="15" t="s">
        <v>89</v>
      </c>
      <c r="O84" s="15" t="s">
        <v>130</v>
      </c>
      <c r="P84" s="15" t="s">
        <v>126</v>
      </c>
      <c r="Q84" s="15" t="s">
        <v>56</v>
      </c>
      <c r="R84" s="15" t="s">
        <v>72</v>
      </c>
      <c r="S84" s="15" t="s">
        <v>143</v>
      </c>
      <c r="T84" s="15" t="s">
        <v>59</v>
      </c>
      <c r="U84" s="16">
        <v>2026.0</v>
      </c>
      <c r="V84" s="16">
        <v>6.0</v>
      </c>
      <c r="W84" s="16">
        <v>1.081875076E9</v>
      </c>
      <c r="X84" s="16">
        <v>1.081893548E9</v>
      </c>
      <c r="Y84" s="17">
        <v>46182.0</v>
      </c>
      <c r="Z84" s="17">
        <v>46207.0</v>
      </c>
      <c r="AA84" s="16">
        <v>1510599.62</v>
      </c>
      <c r="AB84" s="16">
        <v>1510599.62</v>
      </c>
      <c r="AC84" s="16">
        <v>348599.91</v>
      </c>
      <c r="AD84" s="16">
        <v>5925.0</v>
      </c>
      <c r="AE84" s="16">
        <v>0.0</v>
      </c>
      <c r="AF84" s="16">
        <v>0.0</v>
      </c>
      <c r="AG84" s="16">
        <v>0.0</v>
      </c>
      <c r="AH84" s="16">
        <v>0.0</v>
      </c>
      <c r="AI84" s="16">
        <v>0.0</v>
      </c>
      <c r="AJ84" s="16">
        <v>1510599.62</v>
      </c>
      <c r="AK84" s="16">
        <v>1510599.62</v>
      </c>
      <c r="AL84" s="16">
        <v>0.0</v>
      </c>
      <c r="AM84" s="16">
        <v>326.04</v>
      </c>
      <c r="AN84" s="16">
        <v>0.0</v>
      </c>
      <c r="AO84" s="18"/>
      <c r="AP84" s="18"/>
      <c r="AQ84" s="18"/>
      <c r="AR84" s="18"/>
      <c r="AS84" s="11" t="str">
        <f>VLOOKUP(C84,'mayo-26'!B:AS,44,0)</f>
        <v>CEXTERIOR@PLASTICOSFORMOSA.COM</v>
      </c>
      <c r="AT84" s="12" t="str">
        <f>VLOOKUP(C84,'mayo-26'!B:AT,45,0)</f>
        <v>CORREO ELECTRONICO CERTIFICADO 472</v>
      </c>
      <c r="AU84" s="16"/>
      <c r="AV84" s="16"/>
      <c r="AW84" s="16"/>
    </row>
    <row r="85" ht="14.25" customHeight="1">
      <c r="A85" s="15" t="s">
        <v>273</v>
      </c>
      <c r="B85" s="16">
        <v>3324.0</v>
      </c>
      <c r="C85" s="16">
        <v>3323.0</v>
      </c>
      <c r="D85" s="16">
        <v>3323.0</v>
      </c>
      <c r="E85" s="16">
        <v>8.0231294E7</v>
      </c>
      <c r="F85" s="16">
        <v>8.0231294E7</v>
      </c>
      <c r="G85" s="16">
        <v>9.01376551E8</v>
      </c>
      <c r="H85" s="15" t="s">
        <v>274</v>
      </c>
      <c r="I85" s="1" t="str">
        <f>VLOOKUP(C85,'mayo-26'!B:H,7,0)</f>
        <v>AVE 6 15 - 04 1114</v>
      </c>
      <c r="J85" s="1" t="s">
        <v>224</v>
      </c>
      <c r="K85" s="10" t="str">
        <f>VLOOKUP(C85,'mayo-26'!B:J,9,0)</f>
        <v>NO</v>
      </c>
      <c r="L85" s="1" t="str">
        <f>VLOOKUP(C85,'mayo-26'!B:K,10,0)</f>
        <v>NO</v>
      </c>
      <c r="M85" s="15" t="s">
        <v>52</v>
      </c>
      <c r="N85" s="15" t="s">
        <v>89</v>
      </c>
      <c r="O85" s="15" t="s">
        <v>130</v>
      </c>
      <c r="P85" s="15" t="s">
        <v>126</v>
      </c>
      <c r="Q85" s="15" t="s">
        <v>56</v>
      </c>
      <c r="R85" s="15" t="s">
        <v>72</v>
      </c>
      <c r="S85" s="15" t="s">
        <v>143</v>
      </c>
      <c r="T85" s="15" t="s">
        <v>59</v>
      </c>
      <c r="U85" s="16">
        <v>2026.0</v>
      </c>
      <c r="V85" s="16">
        <v>6.0</v>
      </c>
      <c r="W85" s="16">
        <v>1.08187508E9</v>
      </c>
      <c r="X85" s="16">
        <v>1.081893552E9</v>
      </c>
      <c r="Y85" s="17">
        <v>46182.0</v>
      </c>
      <c r="Z85" s="17">
        <v>46207.0</v>
      </c>
      <c r="AA85" s="16">
        <v>141452.37</v>
      </c>
      <c r="AB85" s="16">
        <v>141452.37</v>
      </c>
      <c r="AC85" s="16">
        <v>32642.86</v>
      </c>
      <c r="AD85" s="16">
        <v>375.0</v>
      </c>
      <c r="AE85" s="16">
        <v>0.0</v>
      </c>
      <c r="AF85" s="16">
        <v>0.0</v>
      </c>
      <c r="AG85" s="16">
        <v>0.0</v>
      </c>
      <c r="AH85" s="16">
        <v>0.0</v>
      </c>
      <c r="AI85" s="16">
        <v>0.0</v>
      </c>
      <c r="AJ85" s="16">
        <v>141452.37</v>
      </c>
      <c r="AK85" s="16">
        <v>141452.37</v>
      </c>
      <c r="AL85" s="16">
        <v>0.0</v>
      </c>
      <c r="AM85" s="16">
        <v>326.04</v>
      </c>
      <c r="AN85" s="16">
        <v>0.0</v>
      </c>
      <c r="AO85" s="18"/>
      <c r="AP85" s="18"/>
      <c r="AQ85" s="18"/>
      <c r="AR85" s="18"/>
      <c r="AS85" s="11" t="str">
        <f>VLOOKUP(C85,'mayo-26'!B:AS,44,0)</f>
        <v>INDUSTRIAS_DG@HOTMAIL.COM</v>
      </c>
      <c r="AT85" s="12" t="str">
        <f>VLOOKUP(C85,'mayo-26'!B:AT,45,0)</f>
        <v>CORREO ELECTRONICO CERTIFICADO 472</v>
      </c>
      <c r="AU85" s="16"/>
      <c r="AV85" s="16"/>
      <c r="AW85" s="16"/>
    </row>
    <row r="86" ht="14.25" customHeight="1">
      <c r="A86" s="15" t="s">
        <v>275</v>
      </c>
      <c r="B86" s="16">
        <v>379563.0</v>
      </c>
      <c r="C86" s="16">
        <v>3331.0</v>
      </c>
      <c r="D86" s="16">
        <v>3331.0</v>
      </c>
      <c r="E86" s="16">
        <v>8.0268022E7</v>
      </c>
      <c r="F86" s="16">
        <v>8.0268022E7</v>
      </c>
      <c r="G86" s="16">
        <v>8.05003626E8</v>
      </c>
      <c r="H86" s="15" t="s">
        <v>276</v>
      </c>
      <c r="I86" s="1" t="str">
        <f>VLOOKUP(C86,'mayo-26'!B:H,7,0)</f>
        <v>CC JARDIN PLAZA L65</v>
      </c>
      <c r="J86" s="1" t="s">
        <v>214</v>
      </c>
      <c r="K86" s="10" t="str">
        <f>VLOOKUP(C86,'mayo-26'!B:J,9,0)</f>
        <v>NO</v>
      </c>
      <c r="L86" s="1" t="str">
        <f>VLOOKUP(C86,'mayo-26'!B:K,10,0)</f>
        <v>VERTEBRA</v>
      </c>
      <c r="M86" s="15" t="s">
        <v>52</v>
      </c>
      <c r="N86" s="15" t="s">
        <v>138</v>
      </c>
      <c r="O86" s="15" t="s">
        <v>130</v>
      </c>
      <c r="P86" s="15" t="s">
        <v>126</v>
      </c>
      <c r="Q86" s="15" t="s">
        <v>56</v>
      </c>
      <c r="R86" s="15" t="s">
        <v>90</v>
      </c>
      <c r="S86" s="15" t="s">
        <v>143</v>
      </c>
      <c r="T86" s="15" t="s">
        <v>59</v>
      </c>
      <c r="U86" s="16">
        <v>2026.0</v>
      </c>
      <c r="V86" s="16">
        <v>6.0</v>
      </c>
      <c r="W86" s="16">
        <v>1.081875083E9</v>
      </c>
      <c r="X86" s="16">
        <v>1.081893555E9</v>
      </c>
      <c r="Y86" s="17">
        <v>46182.0</v>
      </c>
      <c r="Z86" s="17">
        <v>46207.0</v>
      </c>
      <c r="AA86" s="16">
        <v>262840.37</v>
      </c>
      <c r="AB86" s="16">
        <v>262840.37</v>
      </c>
      <c r="AC86" s="16">
        <v>87613.46</v>
      </c>
      <c r="AD86" s="16">
        <v>725.0</v>
      </c>
      <c r="AE86" s="16">
        <v>0.0</v>
      </c>
      <c r="AF86" s="16">
        <v>0.0</v>
      </c>
      <c r="AG86" s="16">
        <v>0.0</v>
      </c>
      <c r="AH86" s="16">
        <v>0.0</v>
      </c>
      <c r="AI86" s="16">
        <v>0.0</v>
      </c>
      <c r="AJ86" s="16">
        <v>262840.37</v>
      </c>
      <c r="AK86" s="16">
        <v>262840.37</v>
      </c>
      <c r="AL86" s="16">
        <v>0.0</v>
      </c>
      <c r="AM86" s="16">
        <v>376.2</v>
      </c>
      <c r="AN86" s="16">
        <v>0.0</v>
      </c>
      <c r="AO86" s="18"/>
      <c r="AP86" s="18"/>
      <c r="AQ86" s="18"/>
      <c r="AR86" s="18"/>
      <c r="AS86" s="11" t="str">
        <f>VLOOKUP(C86,'mayo-26'!B:AS,44,0)</f>
        <v>FACTURAS@VERTEBRA.TECH</v>
      </c>
      <c r="AT86" s="12" t="str">
        <f>VLOOKUP(C86,'mayo-26'!B:AT,45,0)</f>
        <v>CORREO ELECTRONICO CERTIFICADO 472</v>
      </c>
      <c r="AU86" s="16"/>
      <c r="AV86" s="16"/>
      <c r="AW86" s="16"/>
    </row>
    <row r="87" ht="14.25" customHeight="1">
      <c r="A87" s="15" t="s">
        <v>277</v>
      </c>
      <c r="B87" s="16">
        <v>341068.0</v>
      </c>
      <c r="C87" s="16">
        <v>341067.0</v>
      </c>
      <c r="D87" s="16">
        <v>341067.0</v>
      </c>
      <c r="E87" s="16">
        <v>134.0</v>
      </c>
      <c r="F87" s="16">
        <v>134.0</v>
      </c>
      <c r="G87" s="16">
        <v>8.90401958E8</v>
      </c>
      <c r="H87" s="15" t="s">
        <v>278</v>
      </c>
      <c r="I87" s="1" t="str">
        <f>VLOOKUP(C87,'mayo-26'!B:H,7,0)</f>
        <v>VIA A SAN FAUSTINO 443976</v>
      </c>
      <c r="J87" s="1" t="s">
        <v>279</v>
      </c>
      <c r="K87" s="10" t="str">
        <f>VLOOKUP(C87,'mayo-26'!B:J,9,0)</f>
        <v>NO</v>
      </c>
      <c r="L87" s="1" t="str">
        <f>VLOOKUP(C87,'mayo-26'!B:K,10,0)</f>
        <v>NO</v>
      </c>
      <c r="M87" s="15" t="s">
        <v>52</v>
      </c>
      <c r="N87" s="15" t="s">
        <v>89</v>
      </c>
      <c r="O87" s="15" t="s">
        <v>130</v>
      </c>
      <c r="P87" s="15" t="s">
        <v>126</v>
      </c>
      <c r="Q87" s="15" t="s">
        <v>56</v>
      </c>
      <c r="R87" s="15" t="s">
        <v>72</v>
      </c>
      <c r="S87" s="15" t="s">
        <v>143</v>
      </c>
      <c r="T87" s="15" t="s">
        <v>59</v>
      </c>
      <c r="U87" s="16">
        <v>2026.0</v>
      </c>
      <c r="V87" s="16">
        <v>6.0</v>
      </c>
      <c r="W87" s="16">
        <v>1.081875169E9</v>
      </c>
      <c r="X87" s="16">
        <v>1.081893641E9</v>
      </c>
      <c r="Y87" s="17">
        <v>46182.0</v>
      </c>
      <c r="Z87" s="17">
        <v>46207.0</v>
      </c>
      <c r="AA87" s="16">
        <v>727348.71</v>
      </c>
      <c r="AB87" s="16">
        <v>727348.71</v>
      </c>
      <c r="AC87" s="16">
        <v>167849.71</v>
      </c>
      <c r="AD87" s="16">
        <v>2750.0</v>
      </c>
      <c r="AE87" s="16">
        <v>0.0</v>
      </c>
      <c r="AF87" s="16">
        <v>0.0</v>
      </c>
      <c r="AG87" s="16">
        <v>0.0</v>
      </c>
      <c r="AH87" s="16">
        <v>0.0</v>
      </c>
      <c r="AI87" s="16">
        <v>0.0</v>
      </c>
      <c r="AJ87" s="16">
        <v>727348.71</v>
      </c>
      <c r="AK87" s="16">
        <v>730329.95</v>
      </c>
      <c r="AL87" s="16">
        <v>1.0</v>
      </c>
      <c r="AM87" s="16">
        <v>326.04</v>
      </c>
      <c r="AN87" s="16">
        <v>0.0</v>
      </c>
      <c r="AO87" s="18"/>
      <c r="AP87" s="18"/>
      <c r="AQ87" s="18"/>
      <c r="AR87" s="18"/>
      <c r="AS87" s="11" t="str">
        <f>VLOOKUP(C87,'mayo-26'!B:AS,44,0)</f>
        <v>FACTURAS@INCOLMINESA.COM;NELLY.LEON@INCOLMINESA.COM</v>
      </c>
      <c r="AT87" s="12" t="str">
        <f>VLOOKUP(C87,'mayo-26'!B:AT,45,0)</f>
        <v>CORREO ELECTRONICO CERTIFICADO 472</v>
      </c>
      <c r="AU87" s="16"/>
      <c r="AV87" s="16"/>
      <c r="AW87" s="16"/>
    </row>
    <row r="88" ht="14.25" customHeight="1">
      <c r="A88" s="19" t="s">
        <v>280</v>
      </c>
      <c r="B88" s="16">
        <v>699.0</v>
      </c>
      <c r="C88" s="16">
        <v>359375.0</v>
      </c>
      <c r="D88" s="16">
        <v>359814.0</v>
      </c>
      <c r="E88" s="16">
        <v>1032589.0</v>
      </c>
      <c r="F88" s="16">
        <v>1032589.0</v>
      </c>
      <c r="G88" s="16">
        <v>9.00480569E8</v>
      </c>
      <c r="H88" s="15" t="s">
        <v>141</v>
      </c>
      <c r="I88" s="1" t="str">
        <f>VLOOKUP(C88,'mayo-26'!B:H,7,0)</f>
        <v>CLL 12 4-52 CENTRO</v>
      </c>
      <c r="J88" s="1" t="s">
        <v>222</v>
      </c>
      <c r="K88" s="10" t="str">
        <f>VLOOKUP(C88,'mayo-26'!B:J,9,0)</f>
        <v>NO</v>
      </c>
      <c r="L88" s="1" t="str">
        <f>VLOOKUP(C88,'mayo-26'!B:K,10,0)</f>
        <v>ARA CUCUTA</v>
      </c>
      <c r="M88" s="15" t="s">
        <v>52</v>
      </c>
      <c r="N88" s="15" t="s">
        <v>138</v>
      </c>
      <c r="O88" s="15" t="s">
        <v>130</v>
      </c>
      <c r="P88" s="15" t="s">
        <v>126</v>
      </c>
      <c r="Q88" s="15" t="s">
        <v>56</v>
      </c>
      <c r="R88" s="15" t="s">
        <v>90</v>
      </c>
      <c r="S88" s="15" t="s">
        <v>143</v>
      </c>
      <c r="T88" s="15" t="s">
        <v>59</v>
      </c>
      <c r="U88" s="16">
        <v>2026.0</v>
      </c>
      <c r="V88" s="16">
        <v>6.0</v>
      </c>
      <c r="W88" s="16">
        <v>1.081875173E9</v>
      </c>
      <c r="X88" s="16">
        <v>1.081893645E9</v>
      </c>
      <c r="Y88" s="17">
        <v>46182.0</v>
      </c>
      <c r="Z88" s="17">
        <v>46207.0</v>
      </c>
      <c r="AA88" s="16">
        <v>439320.89</v>
      </c>
      <c r="AB88" s="16">
        <v>439320.89</v>
      </c>
      <c r="AC88" s="16">
        <v>146440.3</v>
      </c>
      <c r="AD88" s="16">
        <v>1345.0</v>
      </c>
      <c r="AE88" s="16">
        <v>0.0</v>
      </c>
      <c r="AF88" s="16">
        <v>0.0</v>
      </c>
      <c r="AG88" s="16">
        <v>0.0</v>
      </c>
      <c r="AH88" s="16">
        <v>0.0</v>
      </c>
      <c r="AI88" s="16">
        <v>0.0</v>
      </c>
      <c r="AJ88" s="16">
        <v>439320.89</v>
      </c>
      <c r="AK88" s="16">
        <v>879507.6</v>
      </c>
      <c r="AL88" s="16">
        <v>1.0</v>
      </c>
      <c r="AM88" s="16">
        <v>376.2</v>
      </c>
      <c r="AN88" s="16">
        <v>0.0</v>
      </c>
      <c r="AO88" s="18"/>
      <c r="AP88" s="18"/>
      <c r="AQ88" s="18"/>
      <c r="AR88" s="18"/>
      <c r="AS88" s="11" t="str">
        <f>VLOOKUP(C88,'mayo-26'!B:AS,44,0)</f>
        <v>COORDINADOR.OPERACIONES.R11@JERONIMO-MARTINS.COM</v>
      </c>
      <c r="AT88" s="12" t="str">
        <f>VLOOKUP(C88,'mayo-26'!B:AT,45,0)</f>
        <v>CORREO ELECTRONICO CERTIFICADO 472</v>
      </c>
      <c r="AU88" s="16"/>
      <c r="AV88" s="16"/>
      <c r="AW88" s="16"/>
    </row>
    <row r="89" ht="14.25" customHeight="1">
      <c r="A89" s="15" t="s">
        <v>281</v>
      </c>
      <c r="B89" s="16">
        <v>699.0</v>
      </c>
      <c r="C89" s="16">
        <v>384359.0</v>
      </c>
      <c r="D89" s="16">
        <v>398615.0</v>
      </c>
      <c r="E89" s="16">
        <v>1062121.0</v>
      </c>
      <c r="F89" s="16">
        <v>1062121.0</v>
      </c>
      <c r="G89" s="16">
        <v>9.00480569E8</v>
      </c>
      <c r="H89" s="15" t="s">
        <v>141</v>
      </c>
      <c r="I89" s="1" t="str">
        <f>VLOOKUP(C89,'mayo-26'!B:H,7,0)</f>
        <v>CLL 12 4-52 CENTRO</v>
      </c>
      <c r="J89" s="1" t="s">
        <v>183</v>
      </c>
      <c r="K89" s="10" t="str">
        <f>VLOOKUP(C89,'mayo-26'!B:J,9,0)</f>
        <v>NO</v>
      </c>
      <c r="L89" s="1" t="str">
        <f>VLOOKUP(C89,'mayo-26'!B:K,10,0)</f>
        <v>ARA CUCUTA</v>
      </c>
      <c r="M89" s="15" t="s">
        <v>52</v>
      </c>
      <c r="N89" s="15" t="s">
        <v>138</v>
      </c>
      <c r="O89" s="15" t="s">
        <v>130</v>
      </c>
      <c r="P89" s="15" t="s">
        <v>126</v>
      </c>
      <c r="Q89" s="15" t="s">
        <v>56</v>
      </c>
      <c r="R89" s="15" t="s">
        <v>90</v>
      </c>
      <c r="S89" s="15" t="s">
        <v>143</v>
      </c>
      <c r="T89" s="15" t="s">
        <v>59</v>
      </c>
      <c r="U89" s="16">
        <v>2026.0</v>
      </c>
      <c r="V89" s="16">
        <v>6.0</v>
      </c>
      <c r="W89" s="16">
        <v>1.081875177E9</v>
      </c>
      <c r="X89" s="16">
        <v>1.081893649E9</v>
      </c>
      <c r="Y89" s="17">
        <v>46182.0</v>
      </c>
      <c r="Z89" s="17">
        <v>46207.0</v>
      </c>
      <c r="AA89" s="16">
        <v>684116.47</v>
      </c>
      <c r="AB89" s="16">
        <v>684116.47</v>
      </c>
      <c r="AC89" s="16">
        <v>228038.82</v>
      </c>
      <c r="AD89" s="16">
        <v>2205.0</v>
      </c>
      <c r="AE89" s="16">
        <v>0.02</v>
      </c>
      <c r="AF89" s="16">
        <v>0.0</v>
      </c>
      <c r="AG89" s="16">
        <v>0.0</v>
      </c>
      <c r="AH89" s="16">
        <v>0.0</v>
      </c>
      <c r="AI89" s="16">
        <v>0.0</v>
      </c>
      <c r="AJ89" s="16">
        <v>684116.47</v>
      </c>
      <c r="AK89" s="16">
        <v>1369160.75</v>
      </c>
      <c r="AL89" s="16">
        <v>2.0</v>
      </c>
      <c r="AM89" s="16">
        <v>376.2</v>
      </c>
      <c r="AN89" s="16">
        <v>0.0</v>
      </c>
      <c r="AO89" s="18"/>
      <c r="AP89" s="18"/>
      <c r="AQ89" s="18"/>
      <c r="AR89" s="18"/>
      <c r="AS89" s="11" t="str">
        <f>VLOOKUP(C89,'mayo-26'!B:AS,44,0)</f>
        <v>COORDINADOR.OPERACIONES.R11@JERONIMO-MARTINS.COM</v>
      </c>
      <c r="AT89" s="12" t="str">
        <f>VLOOKUP(C89,'mayo-26'!B:AT,45,0)</f>
        <v>CORREO ELECTRONICO CERTIFICADO 472</v>
      </c>
      <c r="AU89" s="16"/>
      <c r="AV89" s="16"/>
      <c r="AW89" s="16"/>
    </row>
    <row r="90" ht="14.25" customHeight="1">
      <c r="A90" s="15" t="s">
        <v>282</v>
      </c>
      <c r="B90" s="16">
        <v>699.0</v>
      </c>
      <c r="C90" s="16">
        <v>424607.0</v>
      </c>
      <c r="D90" s="16">
        <v>440248.0</v>
      </c>
      <c r="E90" s="16">
        <v>1040382.0</v>
      </c>
      <c r="F90" s="16">
        <v>1040382.0</v>
      </c>
      <c r="G90" s="16">
        <v>9.00480569E8</v>
      </c>
      <c r="H90" s="15" t="s">
        <v>141</v>
      </c>
      <c r="I90" s="1" t="str">
        <f>VLOOKUP(C90,'mayo-26'!B:H,7,0)</f>
        <v>CLL 12 4-52 CENTRO</v>
      </c>
      <c r="J90" s="1" t="s">
        <v>214</v>
      </c>
      <c r="K90" s="10" t="str">
        <f>VLOOKUP(C90,'mayo-26'!B:J,9,0)</f>
        <v>NO</v>
      </c>
      <c r="L90" s="1" t="str">
        <f>VLOOKUP(C90,'mayo-26'!B:K,10,0)</f>
        <v>ARA CUCUTA</v>
      </c>
      <c r="M90" s="15" t="s">
        <v>52</v>
      </c>
      <c r="N90" s="15" t="s">
        <v>138</v>
      </c>
      <c r="O90" s="15" t="s">
        <v>130</v>
      </c>
      <c r="P90" s="15" t="s">
        <v>126</v>
      </c>
      <c r="Q90" s="15" t="s">
        <v>56</v>
      </c>
      <c r="R90" s="15" t="s">
        <v>90</v>
      </c>
      <c r="S90" s="15" t="s">
        <v>143</v>
      </c>
      <c r="T90" s="15" t="s">
        <v>59</v>
      </c>
      <c r="U90" s="16">
        <v>2026.0</v>
      </c>
      <c r="V90" s="16">
        <v>6.0</v>
      </c>
      <c r="W90" s="16">
        <v>1.081875181E9</v>
      </c>
      <c r="X90" s="16">
        <v>1.081893653E9</v>
      </c>
      <c r="Y90" s="17">
        <v>46182.0</v>
      </c>
      <c r="Z90" s="17">
        <v>46207.0</v>
      </c>
      <c r="AA90" s="16">
        <v>675577.08</v>
      </c>
      <c r="AB90" s="16">
        <v>675577.08</v>
      </c>
      <c r="AC90" s="16">
        <v>225192.37</v>
      </c>
      <c r="AD90" s="16">
        <v>2175.0</v>
      </c>
      <c r="AE90" s="16">
        <v>0.0</v>
      </c>
      <c r="AF90" s="16">
        <v>0.0</v>
      </c>
      <c r="AG90" s="16">
        <v>0.0</v>
      </c>
      <c r="AH90" s="16">
        <v>0.0</v>
      </c>
      <c r="AI90" s="16">
        <v>0.0</v>
      </c>
      <c r="AJ90" s="16">
        <v>675577.08</v>
      </c>
      <c r="AK90" s="16">
        <v>675577.08</v>
      </c>
      <c r="AL90" s="16">
        <v>0.0</v>
      </c>
      <c r="AM90" s="16">
        <v>376.2</v>
      </c>
      <c r="AN90" s="16">
        <v>0.0</v>
      </c>
      <c r="AO90" s="18"/>
      <c r="AP90" s="18"/>
      <c r="AQ90" s="18"/>
      <c r="AR90" s="18"/>
      <c r="AS90" s="11" t="str">
        <f>VLOOKUP(C90,'mayo-26'!B:AS,44,0)</f>
        <v>COORDINADOR.OPERACIONES.R11@JERONIMO-MARTINS.COM</v>
      </c>
      <c r="AT90" s="12" t="str">
        <f>VLOOKUP(C90,'mayo-26'!B:AT,45,0)</f>
        <v>CORREO ELECTRONICO CERTIFICADO 472</v>
      </c>
      <c r="AU90" s="16"/>
      <c r="AV90" s="16"/>
      <c r="AW90" s="16"/>
    </row>
    <row r="91" ht="14.25" customHeight="1">
      <c r="A91" s="15" t="s">
        <v>283</v>
      </c>
      <c r="B91" s="16">
        <v>551414.0</v>
      </c>
      <c r="C91" s="16">
        <v>476095.0</v>
      </c>
      <c r="D91" s="16">
        <v>517335.0</v>
      </c>
      <c r="E91" s="18"/>
      <c r="F91" s="18"/>
      <c r="G91" s="16">
        <v>9.01461238E8</v>
      </c>
      <c r="H91" s="15" t="s">
        <v>284</v>
      </c>
      <c r="I91" s="1" t="str">
        <f>VLOOKUP(C91,'mayo-26'!B:H,7,0)</f>
        <v>CORREGIMIENTO SAN FAUSTINO</v>
      </c>
      <c r="J91" s="1" t="s">
        <v>76</v>
      </c>
      <c r="K91" s="10" t="str">
        <f>VLOOKUP(C91,'mayo-26'!B:J,9,0)</f>
        <v>NO</v>
      </c>
      <c r="L91" s="1" t="str">
        <f>VLOOKUP(C91,'mayo-26'!B:K,10,0)</f>
        <v>NO</v>
      </c>
      <c r="M91" s="15" t="s">
        <v>52</v>
      </c>
      <c r="N91" s="15" t="s">
        <v>89</v>
      </c>
      <c r="O91" s="15" t="s">
        <v>130</v>
      </c>
      <c r="P91" s="15" t="s">
        <v>126</v>
      </c>
      <c r="Q91" s="15" t="s">
        <v>56</v>
      </c>
      <c r="R91" s="15" t="s">
        <v>90</v>
      </c>
      <c r="S91" s="15" t="s">
        <v>143</v>
      </c>
      <c r="T91" s="15" t="s">
        <v>59</v>
      </c>
      <c r="U91" s="16">
        <v>2026.0</v>
      </c>
      <c r="V91" s="16">
        <v>6.0</v>
      </c>
      <c r="W91" s="16">
        <v>1.081875183E9</v>
      </c>
      <c r="X91" s="16">
        <v>1.081893655E9</v>
      </c>
      <c r="Y91" s="17">
        <v>46182.0</v>
      </c>
      <c r="Z91" s="17">
        <v>46207.0</v>
      </c>
      <c r="AA91" s="16">
        <v>229789.2</v>
      </c>
      <c r="AB91" s="16">
        <v>229789.2</v>
      </c>
      <c r="AC91" s="16">
        <v>66265.0</v>
      </c>
      <c r="AD91" s="16">
        <v>500.0</v>
      </c>
      <c r="AE91" s="16">
        <v>30994.2</v>
      </c>
      <c r="AF91" s="16">
        <v>0.0</v>
      </c>
      <c r="AG91" s="16">
        <v>0.0</v>
      </c>
      <c r="AH91" s="16">
        <v>0.0</v>
      </c>
      <c r="AI91" s="16">
        <v>0.0</v>
      </c>
      <c r="AJ91" s="16">
        <v>229789.2</v>
      </c>
      <c r="AK91" s="16">
        <v>2173440.67</v>
      </c>
      <c r="AL91" s="16">
        <v>10.0</v>
      </c>
      <c r="AM91" s="16">
        <v>376.2</v>
      </c>
      <c r="AN91" s="16">
        <v>0.0</v>
      </c>
      <c r="AO91" s="18"/>
      <c r="AP91" s="18"/>
      <c r="AQ91" s="18"/>
      <c r="AR91" s="18"/>
      <c r="AS91" s="11" t="str">
        <f>VLOOKUP(C91,'mayo-26'!B:AS,44,0)</f>
        <v>CARBONESMINERALESBC@GMAIL.COM</v>
      </c>
      <c r="AT91" s="12" t="str">
        <f>VLOOKUP(C91,'mayo-26'!B:AT,45,0)</f>
        <v>CORREO ELECTRONICO CERTIFICADO 472</v>
      </c>
      <c r="AU91" s="16"/>
      <c r="AV91" s="16"/>
      <c r="AW91" s="16"/>
    </row>
    <row r="92" ht="14.25" customHeight="1">
      <c r="A92" s="15" t="s">
        <v>285</v>
      </c>
      <c r="B92" s="16">
        <v>595130.0</v>
      </c>
      <c r="C92" s="16">
        <v>498511.0</v>
      </c>
      <c r="D92" s="16">
        <v>551616.0</v>
      </c>
      <c r="E92" s="18"/>
      <c r="F92" s="18"/>
      <c r="G92" s="16">
        <v>1254988.0</v>
      </c>
      <c r="H92" s="15" t="s">
        <v>286</v>
      </c>
      <c r="I92" s="1" t="str">
        <f>VLOOKUP(C92,'mayo-26'!B:H,7,0)</f>
        <v>CLL 14AN 4A-81 TORRE 1 APTO 104</v>
      </c>
      <c r="J92" s="1" t="s">
        <v>217</v>
      </c>
      <c r="K92" s="10" t="str">
        <f>VLOOKUP(C92,'mayo-26'!B:J,9,0)</f>
        <v>CR PORTACHUELO</v>
      </c>
      <c r="L92" s="1" t="str">
        <f>VLOOKUP(C92,'mayo-26'!B:K,10,0)</f>
        <v>CR PORTACHUELO</v>
      </c>
      <c r="M92" s="15" t="s">
        <v>52</v>
      </c>
      <c r="N92" s="15" t="s">
        <v>89</v>
      </c>
      <c r="O92" s="15" t="s">
        <v>130</v>
      </c>
      <c r="P92" s="15" t="s">
        <v>126</v>
      </c>
      <c r="Q92" s="15" t="s">
        <v>218</v>
      </c>
      <c r="R92" s="15" t="s">
        <v>219</v>
      </c>
      <c r="S92" s="15" t="s">
        <v>133</v>
      </c>
      <c r="T92" s="15" t="s">
        <v>59</v>
      </c>
      <c r="U92" s="16">
        <v>2026.0</v>
      </c>
      <c r="V92" s="16">
        <v>6.0</v>
      </c>
      <c r="W92" s="16">
        <v>1.081875188E9</v>
      </c>
      <c r="X92" s="16">
        <v>1.08189366E9</v>
      </c>
      <c r="Y92" s="17">
        <v>46182.0</v>
      </c>
      <c r="Z92" s="17">
        <v>46207.0</v>
      </c>
      <c r="AA92" s="16">
        <v>49934.3</v>
      </c>
      <c r="AB92" s="16">
        <v>49934.3</v>
      </c>
      <c r="AC92" s="16">
        <v>-1650.7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6">
        <v>0.0</v>
      </c>
      <c r="AJ92" s="16">
        <v>49934.3</v>
      </c>
      <c r="AK92" s="16">
        <v>49935.06</v>
      </c>
      <c r="AL92" s="16">
        <v>1.0</v>
      </c>
      <c r="AM92" s="16">
        <v>242.77</v>
      </c>
      <c r="AN92" s="16">
        <v>0.0</v>
      </c>
      <c r="AO92" s="18"/>
      <c r="AP92" s="18"/>
      <c r="AQ92" s="18"/>
      <c r="AR92" s="18"/>
      <c r="AS92" s="11" t="str">
        <f>VLOOKUP(C92,'mayo-26'!B:AS,44,0)</f>
        <v/>
      </c>
      <c r="AT92" s="12" t="str">
        <f>VLOOKUP(C92,'mayo-26'!B:AT,45,0)</f>
        <v>VERIFICADOR</v>
      </c>
      <c r="AU92" s="16"/>
      <c r="AV92" s="16"/>
      <c r="AW92" s="16"/>
    </row>
    <row r="93" ht="14.25" customHeight="1">
      <c r="A93" s="15" t="s">
        <v>287</v>
      </c>
      <c r="B93" s="16">
        <v>595134.0</v>
      </c>
      <c r="C93" s="16">
        <v>498515.0</v>
      </c>
      <c r="D93" s="16">
        <v>551620.0</v>
      </c>
      <c r="E93" s="18"/>
      <c r="F93" s="18"/>
      <c r="G93" s="16">
        <v>1254992.0</v>
      </c>
      <c r="H93" s="15" t="s">
        <v>288</v>
      </c>
      <c r="I93" s="1" t="str">
        <f>VLOOKUP(C93,'mayo-26'!B:H,7,0)</f>
        <v>CLL 14AN 4A-81 TORRE 1 APTO 204</v>
      </c>
      <c r="J93" s="1" t="s">
        <v>217</v>
      </c>
      <c r="K93" s="10" t="str">
        <f>VLOOKUP(C93,'mayo-26'!B:J,9,0)</f>
        <v>CR PORTACHUELO</v>
      </c>
      <c r="L93" s="1" t="str">
        <f>VLOOKUP(C93,'mayo-26'!B:K,10,0)</f>
        <v>CR PORTACHUELO</v>
      </c>
      <c r="M93" s="15" t="s">
        <v>52</v>
      </c>
      <c r="N93" s="15" t="s">
        <v>89</v>
      </c>
      <c r="O93" s="15" t="s">
        <v>130</v>
      </c>
      <c r="P93" s="15" t="s">
        <v>126</v>
      </c>
      <c r="Q93" s="15" t="s">
        <v>218</v>
      </c>
      <c r="R93" s="15" t="s">
        <v>219</v>
      </c>
      <c r="S93" s="15" t="s">
        <v>133</v>
      </c>
      <c r="T93" s="15" t="s">
        <v>59</v>
      </c>
      <c r="U93" s="16">
        <v>2026.0</v>
      </c>
      <c r="V93" s="16">
        <v>6.0</v>
      </c>
      <c r="W93" s="16">
        <v>1.081875192E9</v>
      </c>
      <c r="X93" s="16">
        <v>1.081893664E9</v>
      </c>
      <c r="Y93" s="17">
        <v>46182.0</v>
      </c>
      <c r="Z93" s="17">
        <v>46207.0</v>
      </c>
      <c r="AA93" s="16">
        <v>49934.3</v>
      </c>
      <c r="AB93" s="16">
        <v>49934.3</v>
      </c>
      <c r="AC93" s="16">
        <v>-1650.7</v>
      </c>
      <c r="AD93" s="16">
        <v>0.0</v>
      </c>
      <c r="AE93" s="16">
        <v>0.0</v>
      </c>
      <c r="AF93" s="16">
        <v>0.0</v>
      </c>
      <c r="AG93" s="16">
        <v>0.0</v>
      </c>
      <c r="AH93" s="16">
        <v>0.0</v>
      </c>
      <c r="AI93" s="16">
        <v>0.0</v>
      </c>
      <c r="AJ93" s="16">
        <v>49934.3</v>
      </c>
      <c r="AK93" s="16">
        <v>49934.3</v>
      </c>
      <c r="AL93" s="16">
        <v>0.0</v>
      </c>
      <c r="AM93" s="16">
        <v>242.77</v>
      </c>
      <c r="AN93" s="16">
        <v>0.0</v>
      </c>
      <c r="AO93" s="18"/>
      <c r="AP93" s="18"/>
      <c r="AQ93" s="18"/>
      <c r="AR93" s="18"/>
      <c r="AS93" s="11" t="str">
        <f>VLOOKUP(C93,'mayo-26'!B:AS,44,0)</f>
        <v/>
      </c>
      <c r="AT93" s="12" t="str">
        <f>VLOOKUP(C93,'mayo-26'!B:AT,45,0)</f>
        <v>VERIFICADOR</v>
      </c>
      <c r="AU93" s="16"/>
      <c r="AV93" s="16"/>
      <c r="AW93" s="16"/>
    </row>
    <row r="94" ht="14.25" customHeight="1">
      <c r="A94" s="15" t="s">
        <v>289</v>
      </c>
      <c r="B94" s="16">
        <v>595138.0</v>
      </c>
      <c r="C94" s="16">
        <v>498519.0</v>
      </c>
      <c r="D94" s="16">
        <v>551624.0</v>
      </c>
      <c r="E94" s="18"/>
      <c r="F94" s="18"/>
      <c r="G94" s="16">
        <v>1254996.0</v>
      </c>
      <c r="H94" s="15" t="s">
        <v>290</v>
      </c>
      <c r="I94" s="1" t="str">
        <f>VLOOKUP(C94,'mayo-26'!B:H,7,0)</f>
        <v>CLL 14AN 4A-81 TORRE 1 APTO 304</v>
      </c>
      <c r="J94" s="1" t="s">
        <v>217</v>
      </c>
      <c r="K94" s="10" t="str">
        <f>VLOOKUP(C94,'mayo-26'!B:J,9,0)</f>
        <v>CR PORTACHUELO</v>
      </c>
      <c r="L94" s="1" t="str">
        <f>VLOOKUP(C94,'mayo-26'!B:K,10,0)</f>
        <v>CR PORTACHUELO</v>
      </c>
      <c r="M94" s="15" t="s">
        <v>52</v>
      </c>
      <c r="N94" s="15" t="s">
        <v>89</v>
      </c>
      <c r="O94" s="15" t="s">
        <v>130</v>
      </c>
      <c r="P94" s="15" t="s">
        <v>126</v>
      </c>
      <c r="Q94" s="15" t="s">
        <v>218</v>
      </c>
      <c r="R94" s="15" t="s">
        <v>219</v>
      </c>
      <c r="S94" s="15" t="s">
        <v>133</v>
      </c>
      <c r="T94" s="15" t="s">
        <v>59</v>
      </c>
      <c r="U94" s="16">
        <v>2026.0</v>
      </c>
      <c r="V94" s="16">
        <v>6.0</v>
      </c>
      <c r="W94" s="16">
        <v>1.081875196E9</v>
      </c>
      <c r="X94" s="16">
        <v>1.081893668E9</v>
      </c>
      <c r="Y94" s="17">
        <v>46182.0</v>
      </c>
      <c r="Z94" s="17">
        <v>46207.0</v>
      </c>
      <c r="AA94" s="16">
        <v>50495.66</v>
      </c>
      <c r="AB94" s="16">
        <v>50495.66</v>
      </c>
      <c r="AC94" s="16">
        <v>-1650.7</v>
      </c>
      <c r="AD94" s="16">
        <v>0.0</v>
      </c>
      <c r="AE94" s="16">
        <v>561.36</v>
      </c>
      <c r="AF94" s="16">
        <v>0.0</v>
      </c>
      <c r="AG94" s="16">
        <v>0.0</v>
      </c>
      <c r="AH94" s="16">
        <v>0.0</v>
      </c>
      <c r="AI94" s="16">
        <v>0.0</v>
      </c>
      <c r="AJ94" s="16">
        <v>50495.66</v>
      </c>
      <c r="AK94" s="16">
        <v>151248.59</v>
      </c>
      <c r="AL94" s="16">
        <v>3.0</v>
      </c>
      <c r="AM94" s="16">
        <v>242.77</v>
      </c>
      <c r="AN94" s="16">
        <v>0.0</v>
      </c>
      <c r="AO94" s="18"/>
      <c r="AP94" s="18"/>
      <c r="AQ94" s="18"/>
      <c r="AR94" s="18"/>
      <c r="AS94" s="11" t="str">
        <f>VLOOKUP(C94,'mayo-26'!B:AS,44,0)</f>
        <v/>
      </c>
      <c r="AT94" s="12" t="str">
        <f>VLOOKUP(C94,'mayo-26'!B:AT,45,0)</f>
        <v>VERIFICADOR</v>
      </c>
      <c r="AU94" s="16"/>
      <c r="AV94" s="16"/>
      <c r="AW94" s="16"/>
    </row>
    <row r="95" ht="14.25" customHeight="1">
      <c r="A95" s="15" t="s">
        <v>291</v>
      </c>
      <c r="B95" s="16">
        <v>595142.0</v>
      </c>
      <c r="C95" s="16">
        <v>498523.0</v>
      </c>
      <c r="D95" s="16">
        <v>551628.0</v>
      </c>
      <c r="E95" s="18"/>
      <c r="F95" s="18"/>
      <c r="G95" s="16">
        <v>1255000.0</v>
      </c>
      <c r="H95" s="15" t="s">
        <v>292</v>
      </c>
      <c r="I95" s="1" t="str">
        <f>VLOOKUP(C95,'mayo-26'!B:H,7,0)</f>
        <v>CLL 14AN 4A-81 TORRE 1 APTO 404</v>
      </c>
      <c r="J95" s="1" t="s">
        <v>217</v>
      </c>
      <c r="K95" s="10" t="str">
        <f>VLOOKUP(C95,'mayo-26'!B:J,9,0)</f>
        <v>CR PORTACHUELO</v>
      </c>
      <c r="L95" s="1" t="str">
        <f>VLOOKUP(C95,'mayo-26'!B:K,10,0)</f>
        <v>CR PORTACHUELO</v>
      </c>
      <c r="M95" s="15" t="s">
        <v>52</v>
      </c>
      <c r="N95" s="15" t="s">
        <v>89</v>
      </c>
      <c r="O95" s="15" t="s">
        <v>130</v>
      </c>
      <c r="P95" s="15" t="s">
        <v>126</v>
      </c>
      <c r="Q95" s="15" t="s">
        <v>218</v>
      </c>
      <c r="R95" s="15" t="s">
        <v>219</v>
      </c>
      <c r="S95" s="15" t="s">
        <v>133</v>
      </c>
      <c r="T95" s="15" t="s">
        <v>59</v>
      </c>
      <c r="U95" s="16">
        <v>2026.0</v>
      </c>
      <c r="V95" s="16">
        <v>6.0</v>
      </c>
      <c r="W95" s="16">
        <v>1.081875199E9</v>
      </c>
      <c r="X95" s="16">
        <v>1.081893671E9</v>
      </c>
      <c r="Y95" s="17">
        <v>46182.0</v>
      </c>
      <c r="Z95" s="17">
        <v>46207.0</v>
      </c>
      <c r="AA95" s="16">
        <v>53994.58</v>
      </c>
      <c r="AB95" s="16">
        <v>53994.58</v>
      </c>
      <c r="AC95" s="16">
        <v>-1650.7</v>
      </c>
      <c r="AD95" s="16">
        <v>0.0</v>
      </c>
      <c r="AE95" s="16">
        <v>4060.28</v>
      </c>
      <c r="AF95" s="16">
        <v>0.0</v>
      </c>
      <c r="AG95" s="16">
        <v>0.0</v>
      </c>
      <c r="AH95" s="16">
        <v>0.0</v>
      </c>
      <c r="AI95" s="16">
        <v>0.0</v>
      </c>
      <c r="AJ95" s="16">
        <v>53993.7</v>
      </c>
      <c r="AK95" s="16">
        <v>53993.7</v>
      </c>
      <c r="AL95" s="16">
        <v>0.0</v>
      </c>
      <c r="AM95" s="16">
        <v>242.77</v>
      </c>
      <c r="AN95" s="16">
        <v>0.0</v>
      </c>
      <c r="AO95" s="18"/>
      <c r="AP95" s="18"/>
      <c r="AQ95" s="16">
        <v>0.88</v>
      </c>
      <c r="AR95" s="18"/>
      <c r="AS95" s="11" t="str">
        <f>VLOOKUP(C95,'mayo-26'!B:AS,44,0)</f>
        <v/>
      </c>
      <c r="AT95" s="12" t="str">
        <f>VLOOKUP(C95,'mayo-26'!B:AT,45,0)</f>
        <v>VERIFICADOR</v>
      </c>
      <c r="AU95" s="16"/>
      <c r="AV95" s="16"/>
      <c r="AW95" s="16"/>
    </row>
    <row r="96" ht="14.25" customHeight="1">
      <c r="A96" s="15" t="s">
        <v>293</v>
      </c>
      <c r="B96" s="16">
        <v>595146.0</v>
      </c>
      <c r="C96" s="16">
        <v>498527.0</v>
      </c>
      <c r="D96" s="16">
        <v>551632.0</v>
      </c>
      <c r="E96" s="18"/>
      <c r="F96" s="18"/>
      <c r="G96" s="16">
        <v>1255004.0</v>
      </c>
      <c r="H96" s="15" t="s">
        <v>294</v>
      </c>
      <c r="I96" s="1" t="str">
        <f>VLOOKUP(C96,'mayo-26'!B:H,7,0)</f>
        <v>CLL 14AN 4A-81 TORRE 2 APTO 104</v>
      </c>
      <c r="J96" s="1" t="s">
        <v>217</v>
      </c>
      <c r="K96" s="10" t="str">
        <f>VLOOKUP(C96,'mayo-26'!B:J,9,0)</f>
        <v>CR PORTACHUELO</v>
      </c>
      <c r="L96" s="1" t="str">
        <f>VLOOKUP(C96,'mayo-26'!B:K,10,0)</f>
        <v>CR PORTACHUELO</v>
      </c>
      <c r="M96" s="15" t="s">
        <v>52</v>
      </c>
      <c r="N96" s="15" t="s">
        <v>89</v>
      </c>
      <c r="O96" s="15" t="s">
        <v>130</v>
      </c>
      <c r="P96" s="15" t="s">
        <v>126</v>
      </c>
      <c r="Q96" s="15" t="s">
        <v>218</v>
      </c>
      <c r="R96" s="15" t="s">
        <v>219</v>
      </c>
      <c r="S96" s="15" t="s">
        <v>133</v>
      </c>
      <c r="T96" s="15" t="s">
        <v>59</v>
      </c>
      <c r="U96" s="16">
        <v>2026.0</v>
      </c>
      <c r="V96" s="16">
        <v>6.0</v>
      </c>
      <c r="W96" s="16">
        <v>1.081875203E9</v>
      </c>
      <c r="X96" s="16">
        <v>1.081893675E9</v>
      </c>
      <c r="Y96" s="17">
        <v>46182.0</v>
      </c>
      <c r="Z96" s="17">
        <v>46207.0</v>
      </c>
      <c r="AA96" s="16">
        <v>53994.58</v>
      </c>
      <c r="AB96" s="16">
        <v>53994.58</v>
      </c>
      <c r="AC96" s="16">
        <v>-1650.7</v>
      </c>
      <c r="AD96" s="16">
        <v>0.0</v>
      </c>
      <c r="AE96" s="16">
        <v>4060.28</v>
      </c>
      <c r="AF96" s="16">
        <v>0.0</v>
      </c>
      <c r="AG96" s="16">
        <v>0.0</v>
      </c>
      <c r="AH96" s="16">
        <v>0.0</v>
      </c>
      <c r="AI96" s="16">
        <v>0.0</v>
      </c>
      <c r="AJ96" s="16">
        <v>53994.58</v>
      </c>
      <c r="AK96" s="16">
        <v>337498.7</v>
      </c>
      <c r="AL96" s="16">
        <v>6.0</v>
      </c>
      <c r="AM96" s="16">
        <v>242.77</v>
      </c>
      <c r="AN96" s="16">
        <v>0.0</v>
      </c>
      <c r="AO96" s="18"/>
      <c r="AP96" s="18"/>
      <c r="AQ96" s="18"/>
      <c r="AR96" s="18"/>
      <c r="AS96" s="11" t="str">
        <f>VLOOKUP(C96,'mayo-26'!B:AS,44,0)</f>
        <v/>
      </c>
      <c r="AT96" s="12" t="str">
        <f>VLOOKUP(C96,'mayo-26'!B:AT,45,0)</f>
        <v>VERIFICADOR</v>
      </c>
      <c r="AU96" s="16"/>
      <c r="AV96" s="16"/>
      <c r="AW96" s="16"/>
    </row>
    <row r="97" ht="14.25" customHeight="1">
      <c r="A97" s="15" t="s">
        <v>295</v>
      </c>
      <c r="B97" s="16">
        <v>595150.0</v>
      </c>
      <c r="C97" s="16">
        <v>498531.0</v>
      </c>
      <c r="D97" s="16">
        <v>551636.0</v>
      </c>
      <c r="E97" s="18"/>
      <c r="F97" s="18"/>
      <c r="G97" s="16">
        <v>1255008.0</v>
      </c>
      <c r="H97" s="15" t="s">
        <v>296</v>
      </c>
      <c r="I97" s="1" t="str">
        <f>VLOOKUP(C97,'mayo-26'!B:H,7,0)</f>
        <v>CLL 14AN 4A-81 TORRE 2 APTO 204</v>
      </c>
      <c r="J97" s="1" t="s">
        <v>217</v>
      </c>
      <c r="K97" s="10" t="str">
        <f>VLOOKUP(C97,'mayo-26'!B:J,9,0)</f>
        <v>CR PORTACHUELO</v>
      </c>
      <c r="L97" s="1" t="str">
        <f>VLOOKUP(C97,'mayo-26'!B:K,10,0)</f>
        <v>CR PORTACHUELO</v>
      </c>
      <c r="M97" s="15" t="s">
        <v>52</v>
      </c>
      <c r="N97" s="15" t="s">
        <v>89</v>
      </c>
      <c r="O97" s="15" t="s">
        <v>130</v>
      </c>
      <c r="P97" s="15" t="s">
        <v>126</v>
      </c>
      <c r="Q97" s="15" t="s">
        <v>218</v>
      </c>
      <c r="R97" s="15" t="s">
        <v>219</v>
      </c>
      <c r="S97" s="15" t="s">
        <v>133</v>
      </c>
      <c r="T97" s="15" t="s">
        <v>59</v>
      </c>
      <c r="U97" s="16">
        <v>2026.0</v>
      </c>
      <c r="V97" s="16">
        <v>6.0</v>
      </c>
      <c r="W97" s="16">
        <v>1.081875206E9</v>
      </c>
      <c r="X97" s="16">
        <v>1.081893678E9</v>
      </c>
      <c r="Y97" s="17">
        <v>46182.0</v>
      </c>
      <c r="Z97" s="17">
        <v>46207.0</v>
      </c>
      <c r="AA97" s="16">
        <v>50494.66</v>
      </c>
      <c r="AB97" s="16">
        <v>50494.66</v>
      </c>
      <c r="AC97" s="16">
        <v>-1650.7</v>
      </c>
      <c r="AD97" s="16">
        <v>0.0</v>
      </c>
      <c r="AE97" s="16">
        <v>560.36</v>
      </c>
      <c r="AF97" s="16">
        <v>0.0</v>
      </c>
      <c r="AG97" s="16">
        <v>0.0</v>
      </c>
      <c r="AH97" s="16">
        <v>0.0</v>
      </c>
      <c r="AI97" s="16">
        <v>0.0</v>
      </c>
      <c r="AJ97" s="16">
        <v>50494.66</v>
      </c>
      <c r="AK97" s="16">
        <v>151196.14</v>
      </c>
      <c r="AL97" s="16">
        <v>2.0</v>
      </c>
      <c r="AM97" s="16">
        <v>242.77</v>
      </c>
      <c r="AN97" s="16">
        <v>0.0</v>
      </c>
      <c r="AO97" s="18"/>
      <c r="AP97" s="18"/>
      <c r="AQ97" s="18"/>
      <c r="AR97" s="18"/>
      <c r="AS97" s="11" t="str">
        <f>VLOOKUP(C97,'mayo-26'!B:AS,44,0)</f>
        <v/>
      </c>
      <c r="AT97" s="12" t="str">
        <f>VLOOKUP(C97,'mayo-26'!B:AT,45,0)</f>
        <v>VERIFICADOR</v>
      </c>
      <c r="AU97" s="16"/>
      <c r="AV97" s="16"/>
      <c r="AW97" s="16"/>
    </row>
    <row r="98" ht="14.25" customHeight="1">
      <c r="A98" s="15" t="s">
        <v>297</v>
      </c>
      <c r="B98" s="16">
        <v>595154.0</v>
      </c>
      <c r="C98" s="16">
        <v>498535.0</v>
      </c>
      <c r="D98" s="16">
        <v>551640.0</v>
      </c>
      <c r="E98" s="18"/>
      <c r="F98" s="18"/>
      <c r="G98" s="16">
        <v>1255012.0</v>
      </c>
      <c r="H98" s="15" t="s">
        <v>298</v>
      </c>
      <c r="I98" s="1" t="str">
        <f>VLOOKUP(C98,'mayo-26'!B:H,7,0)</f>
        <v>CLL 14AN 4A-81 TORRE 2 APTO 304</v>
      </c>
      <c r="J98" s="1" t="s">
        <v>217</v>
      </c>
      <c r="K98" s="10" t="str">
        <f>VLOOKUP(C98,'mayo-26'!B:J,9,0)</f>
        <v>CR PORTACHUELO</v>
      </c>
      <c r="L98" s="1" t="str">
        <f>VLOOKUP(C98,'mayo-26'!B:K,10,0)</f>
        <v>CR PORTACHUELO</v>
      </c>
      <c r="M98" s="15" t="s">
        <v>52</v>
      </c>
      <c r="N98" s="15" t="s">
        <v>89</v>
      </c>
      <c r="O98" s="15" t="s">
        <v>130</v>
      </c>
      <c r="P98" s="15" t="s">
        <v>126</v>
      </c>
      <c r="Q98" s="15" t="s">
        <v>218</v>
      </c>
      <c r="R98" s="15" t="s">
        <v>219</v>
      </c>
      <c r="S98" s="15" t="s">
        <v>133</v>
      </c>
      <c r="T98" s="15" t="s">
        <v>59</v>
      </c>
      <c r="U98" s="16">
        <v>2026.0</v>
      </c>
      <c r="V98" s="16">
        <v>6.0</v>
      </c>
      <c r="W98" s="16">
        <v>1.081875208E9</v>
      </c>
      <c r="X98" s="16">
        <v>1.08189368E9</v>
      </c>
      <c r="Y98" s="17">
        <v>46182.0</v>
      </c>
      <c r="Z98" s="17">
        <v>46207.0</v>
      </c>
      <c r="AA98" s="16">
        <v>53994.58</v>
      </c>
      <c r="AB98" s="16">
        <v>53994.58</v>
      </c>
      <c r="AC98" s="16">
        <v>-1650.7</v>
      </c>
      <c r="AD98" s="16">
        <v>0.0</v>
      </c>
      <c r="AE98" s="16">
        <v>4060.28</v>
      </c>
      <c r="AF98" s="16">
        <v>0.0</v>
      </c>
      <c r="AG98" s="16">
        <v>0.0</v>
      </c>
      <c r="AH98" s="16">
        <v>0.0</v>
      </c>
      <c r="AI98" s="16">
        <v>0.0</v>
      </c>
      <c r="AJ98" s="16">
        <v>53994.58</v>
      </c>
      <c r="AK98" s="16">
        <v>337498.7</v>
      </c>
      <c r="AL98" s="16">
        <v>6.0</v>
      </c>
      <c r="AM98" s="16">
        <v>242.77</v>
      </c>
      <c r="AN98" s="16">
        <v>0.0</v>
      </c>
      <c r="AO98" s="18"/>
      <c r="AP98" s="18"/>
      <c r="AQ98" s="18"/>
      <c r="AR98" s="18"/>
      <c r="AS98" s="11" t="str">
        <f>VLOOKUP(C98,'mayo-26'!B:AS,44,0)</f>
        <v/>
      </c>
      <c r="AT98" s="12" t="str">
        <f>VLOOKUP(C98,'mayo-26'!B:AT,45,0)</f>
        <v>VERIFICADOR</v>
      </c>
      <c r="AU98" s="16"/>
      <c r="AV98" s="16"/>
      <c r="AW98" s="16"/>
    </row>
    <row r="99" ht="14.25" customHeight="1">
      <c r="A99" s="15" t="s">
        <v>299</v>
      </c>
      <c r="B99" s="16">
        <v>595158.0</v>
      </c>
      <c r="C99" s="16">
        <v>498539.0</v>
      </c>
      <c r="D99" s="16">
        <v>551644.0</v>
      </c>
      <c r="E99" s="18"/>
      <c r="F99" s="18"/>
      <c r="G99" s="16">
        <v>1255016.0</v>
      </c>
      <c r="H99" s="15" t="s">
        <v>300</v>
      </c>
      <c r="I99" s="1" t="str">
        <f>VLOOKUP(C99,'mayo-26'!B:H,7,0)</f>
        <v>CLL 14AN 4A-81 TORRE 2 APTO 404</v>
      </c>
      <c r="J99" s="1" t="s">
        <v>217</v>
      </c>
      <c r="K99" s="10" t="str">
        <f>VLOOKUP(C99,'mayo-26'!B:J,9,0)</f>
        <v>CR PORTACHUELO</v>
      </c>
      <c r="L99" s="1" t="str">
        <f>VLOOKUP(C99,'mayo-26'!B:K,10,0)</f>
        <v>CR PORTACHUELO</v>
      </c>
      <c r="M99" s="15" t="s">
        <v>52</v>
      </c>
      <c r="N99" s="15" t="s">
        <v>89</v>
      </c>
      <c r="O99" s="15" t="s">
        <v>130</v>
      </c>
      <c r="P99" s="15" t="s">
        <v>126</v>
      </c>
      <c r="Q99" s="15" t="s">
        <v>218</v>
      </c>
      <c r="R99" s="15" t="s">
        <v>219</v>
      </c>
      <c r="S99" s="15" t="s">
        <v>133</v>
      </c>
      <c r="T99" s="15" t="s">
        <v>59</v>
      </c>
      <c r="U99" s="16">
        <v>2026.0</v>
      </c>
      <c r="V99" s="16">
        <v>6.0</v>
      </c>
      <c r="W99" s="16">
        <v>1.081875212E9</v>
      </c>
      <c r="X99" s="16">
        <v>1.081893684E9</v>
      </c>
      <c r="Y99" s="17">
        <v>46182.0</v>
      </c>
      <c r="Z99" s="17">
        <v>46207.0</v>
      </c>
      <c r="AA99" s="16">
        <v>53994.58</v>
      </c>
      <c r="AB99" s="16">
        <v>53994.58</v>
      </c>
      <c r="AC99" s="16">
        <v>-1650.7</v>
      </c>
      <c r="AD99" s="16">
        <v>0.0</v>
      </c>
      <c r="AE99" s="16">
        <v>4060.28</v>
      </c>
      <c r="AF99" s="16">
        <v>0.0</v>
      </c>
      <c r="AG99" s="16">
        <v>0.0</v>
      </c>
      <c r="AH99" s="16">
        <v>0.0</v>
      </c>
      <c r="AI99" s="16">
        <v>0.0</v>
      </c>
      <c r="AJ99" s="16">
        <v>53994.58</v>
      </c>
      <c r="AK99" s="16">
        <v>337498.7</v>
      </c>
      <c r="AL99" s="16">
        <v>6.0</v>
      </c>
      <c r="AM99" s="16">
        <v>242.77</v>
      </c>
      <c r="AN99" s="16">
        <v>0.0</v>
      </c>
      <c r="AO99" s="18"/>
      <c r="AP99" s="18"/>
      <c r="AQ99" s="18"/>
      <c r="AR99" s="18"/>
      <c r="AS99" s="11" t="str">
        <f>VLOOKUP(C99,'mayo-26'!B:AS,44,0)</f>
        <v/>
      </c>
      <c r="AT99" s="12" t="str">
        <f>VLOOKUP(C99,'mayo-26'!B:AT,45,0)</f>
        <v>VERIFICADOR</v>
      </c>
      <c r="AU99" s="16"/>
      <c r="AV99" s="16"/>
      <c r="AW99" s="16"/>
    </row>
    <row r="100" ht="14.25" customHeight="1">
      <c r="A100" s="15" t="s">
        <v>301</v>
      </c>
      <c r="B100" s="16">
        <v>595162.0</v>
      </c>
      <c r="C100" s="16">
        <v>498543.0</v>
      </c>
      <c r="D100" s="16">
        <v>551648.0</v>
      </c>
      <c r="E100" s="18"/>
      <c r="F100" s="18"/>
      <c r="G100" s="16">
        <v>1255020.0</v>
      </c>
      <c r="H100" s="15" t="s">
        <v>302</v>
      </c>
      <c r="I100" s="1" t="str">
        <f>VLOOKUP(C100,'mayo-26'!B:H,7,0)</f>
        <v>CLL 14AN 4A-81 TORRE 3 APTO 104</v>
      </c>
      <c r="J100" s="1" t="s">
        <v>217</v>
      </c>
      <c r="K100" s="10" t="str">
        <f>VLOOKUP(C100,'mayo-26'!B:J,9,0)</f>
        <v>CR PORTACHUELO</v>
      </c>
      <c r="L100" s="1" t="str">
        <f>VLOOKUP(C100,'mayo-26'!B:K,10,0)</f>
        <v>CR PORTACHUELO</v>
      </c>
      <c r="M100" s="15" t="s">
        <v>52</v>
      </c>
      <c r="N100" s="15" t="s">
        <v>89</v>
      </c>
      <c r="O100" s="15" t="s">
        <v>130</v>
      </c>
      <c r="P100" s="15" t="s">
        <v>126</v>
      </c>
      <c r="Q100" s="15" t="s">
        <v>218</v>
      </c>
      <c r="R100" s="15" t="s">
        <v>219</v>
      </c>
      <c r="S100" s="15" t="s">
        <v>133</v>
      </c>
      <c r="T100" s="15" t="s">
        <v>59</v>
      </c>
      <c r="U100" s="16">
        <v>2026.0</v>
      </c>
      <c r="V100" s="16">
        <v>6.0</v>
      </c>
      <c r="W100" s="16">
        <v>1.081875217E9</v>
      </c>
      <c r="X100" s="16">
        <v>1.081893689E9</v>
      </c>
      <c r="Y100" s="17">
        <v>46182.0</v>
      </c>
      <c r="Z100" s="17">
        <v>46207.0</v>
      </c>
      <c r="AA100" s="16">
        <v>49934.3</v>
      </c>
      <c r="AB100" s="16">
        <v>49934.3</v>
      </c>
      <c r="AC100" s="16">
        <v>-1650.7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6">
        <v>0.0</v>
      </c>
      <c r="AJ100" s="16">
        <v>49934.3</v>
      </c>
      <c r="AK100" s="16">
        <v>49934.3</v>
      </c>
      <c r="AL100" s="16">
        <v>0.0</v>
      </c>
      <c r="AM100" s="16">
        <v>242.77</v>
      </c>
      <c r="AN100" s="16">
        <v>0.0</v>
      </c>
      <c r="AO100" s="18"/>
      <c r="AP100" s="18"/>
      <c r="AQ100" s="18"/>
      <c r="AR100" s="18"/>
      <c r="AS100" s="11" t="str">
        <f>VLOOKUP(C100,'mayo-26'!B:AS,44,0)</f>
        <v/>
      </c>
      <c r="AT100" s="12" t="str">
        <f>VLOOKUP(C100,'mayo-26'!B:AT,45,0)</f>
        <v>VERIFICADOR</v>
      </c>
      <c r="AU100" s="16"/>
      <c r="AV100" s="16"/>
      <c r="AW100" s="16"/>
    </row>
    <row r="101" ht="14.25" customHeight="1">
      <c r="A101" s="15" t="s">
        <v>303</v>
      </c>
      <c r="B101" s="16">
        <v>595166.0</v>
      </c>
      <c r="C101" s="16">
        <v>498547.0</v>
      </c>
      <c r="D101" s="16">
        <v>551652.0</v>
      </c>
      <c r="E101" s="18"/>
      <c r="F101" s="18"/>
      <c r="G101" s="16">
        <v>1255024.0</v>
      </c>
      <c r="H101" s="15" t="s">
        <v>304</v>
      </c>
      <c r="I101" s="1" t="str">
        <f>VLOOKUP(C101,'mayo-26'!B:H,7,0)</f>
        <v>CLL 14AN 4A-81 TORRE 3 APTO 204</v>
      </c>
      <c r="J101" s="1" t="s">
        <v>217</v>
      </c>
      <c r="K101" s="10" t="str">
        <f>VLOOKUP(C101,'mayo-26'!B:J,9,0)</f>
        <v>CR PORTACHUELO</v>
      </c>
      <c r="L101" s="1" t="str">
        <f>VLOOKUP(C101,'mayo-26'!B:K,10,0)</f>
        <v>CR PORTACHUELO</v>
      </c>
      <c r="M101" s="15" t="s">
        <v>52</v>
      </c>
      <c r="N101" s="15" t="s">
        <v>89</v>
      </c>
      <c r="O101" s="15" t="s">
        <v>130</v>
      </c>
      <c r="P101" s="15" t="s">
        <v>126</v>
      </c>
      <c r="Q101" s="15" t="s">
        <v>218</v>
      </c>
      <c r="R101" s="15" t="s">
        <v>219</v>
      </c>
      <c r="S101" s="15" t="s">
        <v>133</v>
      </c>
      <c r="T101" s="15" t="s">
        <v>59</v>
      </c>
      <c r="U101" s="16">
        <v>2026.0</v>
      </c>
      <c r="V101" s="16">
        <v>6.0</v>
      </c>
      <c r="W101" s="16">
        <v>1.08187522E9</v>
      </c>
      <c r="X101" s="16">
        <v>1.081893692E9</v>
      </c>
      <c r="Y101" s="17">
        <v>46182.0</v>
      </c>
      <c r="Z101" s="17">
        <v>46207.0</v>
      </c>
      <c r="AA101" s="16">
        <v>53994.58</v>
      </c>
      <c r="AB101" s="16">
        <v>53994.58</v>
      </c>
      <c r="AC101" s="16">
        <v>-1650.7</v>
      </c>
      <c r="AD101" s="16">
        <v>0.0</v>
      </c>
      <c r="AE101" s="16">
        <v>4060.28</v>
      </c>
      <c r="AF101" s="16">
        <v>0.0</v>
      </c>
      <c r="AG101" s="16">
        <v>0.0</v>
      </c>
      <c r="AH101" s="16">
        <v>0.0</v>
      </c>
      <c r="AI101" s="16">
        <v>0.0</v>
      </c>
      <c r="AJ101" s="16">
        <v>53994.58</v>
      </c>
      <c r="AK101" s="16">
        <v>337498.7</v>
      </c>
      <c r="AL101" s="16">
        <v>6.0</v>
      </c>
      <c r="AM101" s="16">
        <v>242.77</v>
      </c>
      <c r="AN101" s="16">
        <v>0.0</v>
      </c>
      <c r="AO101" s="18"/>
      <c r="AP101" s="18"/>
      <c r="AQ101" s="18"/>
      <c r="AR101" s="18"/>
      <c r="AS101" s="11" t="str">
        <f>VLOOKUP(C101,'mayo-26'!B:AS,44,0)</f>
        <v/>
      </c>
      <c r="AT101" s="12" t="str">
        <f>VLOOKUP(C101,'mayo-26'!B:AT,45,0)</f>
        <v>VERIFICADOR</v>
      </c>
      <c r="AU101" s="16"/>
      <c r="AV101" s="16"/>
      <c r="AW101" s="16"/>
    </row>
    <row r="102" ht="14.25" customHeight="1">
      <c r="A102" s="15" t="s">
        <v>305</v>
      </c>
      <c r="B102" s="16">
        <v>595170.0</v>
      </c>
      <c r="C102" s="16">
        <v>498551.0</v>
      </c>
      <c r="D102" s="16">
        <v>551656.0</v>
      </c>
      <c r="E102" s="18"/>
      <c r="F102" s="18"/>
      <c r="G102" s="16">
        <v>1255028.0</v>
      </c>
      <c r="H102" s="15" t="s">
        <v>306</v>
      </c>
      <c r="I102" s="1" t="str">
        <f>VLOOKUP(C102,'mayo-26'!B:H,7,0)</f>
        <v>CLL 14AN 4A-81 TORRE 3 APTO 304</v>
      </c>
      <c r="J102" s="1" t="s">
        <v>217</v>
      </c>
      <c r="K102" s="10" t="str">
        <f>VLOOKUP(C102,'mayo-26'!B:J,9,0)</f>
        <v>CR PORTACHUELO</v>
      </c>
      <c r="L102" s="1" t="str">
        <f>VLOOKUP(C102,'mayo-26'!B:K,10,0)</f>
        <v>CR PORTACHUELO</v>
      </c>
      <c r="M102" s="15" t="s">
        <v>52</v>
      </c>
      <c r="N102" s="15" t="s">
        <v>89</v>
      </c>
      <c r="O102" s="15" t="s">
        <v>130</v>
      </c>
      <c r="P102" s="15" t="s">
        <v>126</v>
      </c>
      <c r="Q102" s="15" t="s">
        <v>218</v>
      </c>
      <c r="R102" s="15" t="s">
        <v>219</v>
      </c>
      <c r="S102" s="15" t="s">
        <v>133</v>
      </c>
      <c r="T102" s="15" t="s">
        <v>59</v>
      </c>
      <c r="U102" s="16">
        <v>2026.0</v>
      </c>
      <c r="V102" s="16">
        <v>6.0</v>
      </c>
      <c r="W102" s="16">
        <v>1.081875224E9</v>
      </c>
      <c r="X102" s="16">
        <v>1.081893696E9</v>
      </c>
      <c r="Y102" s="17">
        <v>46182.0</v>
      </c>
      <c r="Z102" s="17">
        <v>46207.0</v>
      </c>
      <c r="AA102" s="16">
        <v>50495.64</v>
      </c>
      <c r="AB102" s="16">
        <v>50495.64</v>
      </c>
      <c r="AC102" s="16">
        <v>-1650.7</v>
      </c>
      <c r="AD102" s="16">
        <v>0.0</v>
      </c>
      <c r="AE102" s="16">
        <v>561.34</v>
      </c>
      <c r="AF102" s="16">
        <v>0.0</v>
      </c>
      <c r="AG102" s="16">
        <v>0.0</v>
      </c>
      <c r="AH102" s="16">
        <v>0.0</v>
      </c>
      <c r="AI102" s="16">
        <v>0.0</v>
      </c>
      <c r="AJ102" s="16">
        <v>50495.64</v>
      </c>
      <c r="AK102" s="16">
        <v>150960.53</v>
      </c>
      <c r="AL102" s="16">
        <v>2.0</v>
      </c>
      <c r="AM102" s="16">
        <v>242.77</v>
      </c>
      <c r="AN102" s="16">
        <v>0.0</v>
      </c>
      <c r="AO102" s="18"/>
      <c r="AP102" s="18"/>
      <c r="AQ102" s="18"/>
      <c r="AR102" s="18"/>
      <c r="AS102" s="11" t="str">
        <f>VLOOKUP(C102,'mayo-26'!B:AS,44,0)</f>
        <v/>
      </c>
      <c r="AT102" s="12" t="str">
        <f>VLOOKUP(C102,'mayo-26'!B:AT,45,0)</f>
        <v>VERIFICADOR</v>
      </c>
      <c r="AU102" s="16"/>
      <c r="AV102" s="16"/>
      <c r="AW102" s="16"/>
    </row>
    <row r="103" ht="14.25" customHeight="1">
      <c r="A103" s="15" t="s">
        <v>307</v>
      </c>
      <c r="B103" s="16">
        <v>595174.0</v>
      </c>
      <c r="C103" s="16">
        <v>498555.0</v>
      </c>
      <c r="D103" s="16">
        <v>551660.0</v>
      </c>
      <c r="E103" s="18"/>
      <c r="F103" s="18"/>
      <c r="G103" s="16">
        <v>1255032.0</v>
      </c>
      <c r="H103" s="15" t="s">
        <v>308</v>
      </c>
      <c r="I103" s="1" t="str">
        <f>VLOOKUP(C103,'mayo-26'!B:H,7,0)</f>
        <v>CLL 14AN 4A-81 TORRE 3 APTO 404</v>
      </c>
      <c r="J103" s="1" t="s">
        <v>217</v>
      </c>
      <c r="K103" s="10" t="str">
        <f>VLOOKUP(C103,'mayo-26'!B:J,9,0)</f>
        <v>CR PORTACHUELO</v>
      </c>
      <c r="L103" s="1" t="str">
        <f>VLOOKUP(C103,'mayo-26'!B:K,10,0)</f>
        <v>CR PORTACHUELO</v>
      </c>
      <c r="M103" s="15" t="s">
        <v>52</v>
      </c>
      <c r="N103" s="15" t="s">
        <v>89</v>
      </c>
      <c r="O103" s="15" t="s">
        <v>130</v>
      </c>
      <c r="P103" s="15" t="s">
        <v>126</v>
      </c>
      <c r="Q103" s="15" t="s">
        <v>218</v>
      </c>
      <c r="R103" s="15" t="s">
        <v>219</v>
      </c>
      <c r="S103" s="15" t="s">
        <v>133</v>
      </c>
      <c r="T103" s="15" t="s">
        <v>59</v>
      </c>
      <c r="U103" s="16">
        <v>2026.0</v>
      </c>
      <c r="V103" s="16">
        <v>6.0</v>
      </c>
      <c r="W103" s="16">
        <v>1.081875228E9</v>
      </c>
      <c r="X103" s="16">
        <v>1.0818937E9</v>
      </c>
      <c r="Y103" s="17">
        <v>46182.0</v>
      </c>
      <c r="Z103" s="17">
        <v>46207.0</v>
      </c>
      <c r="AA103" s="16">
        <v>49934.3</v>
      </c>
      <c r="AB103" s="16">
        <v>49934.3</v>
      </c>
      <c r="AC103" s="16">
        <v>-1650.7</v>
      </c>
      <c r="AD103" s="16">
        <v>0.0</v>
      </c>
      <c r="AE103" s="16">
        <v>0.0</v>
      </c>
      <c r="AF103" s="16">
        <v>0.0</v>
      </c>
      <c r="AG103" s="16">
        <v>0.0</v>
      </c>
      <c r="AH103" s="16">
        <v>0.0</v>
      </c>
      <c r="AI103" s="16">
        <v>0.0</v>
      </c>
      <c r="AJ103" s="16">
        <v>49934.3</v>
      </c>
      <c r="AK103" s="16">
        <v>49934.3</v>
      </c>
      <c r="AL103" s="16">
        <v>0.0</v>
      </c>
      <c r="AM103" s="16">
        <v>242.77</v>
      </c>
      <c r="AN103" s="16">
        <v>0.0</v>
      </c>
      <c r="AO103" s="18"/>
      <c r="AP103" s="18"/>
      <c r="AQ103" s="18"/>
      <c r="AR103" s="18"/>
      <c r="AS103" s="11" t="str">
        <f>VLOOKUP(C103,'mayo-26'!B:AS,44,0)</f>
        <v/>
      </c>
      <c r="AT103" s="12" t="str">
        <f>VLOOKUP(C103,'mayo-26'!B:AT,45,0)</f>
        <v>VERIFICADOR</v>
      </c>
      <c r="AU103" s="16"/>
      <c r="AV103" s="16"/>
      <c r="AW103" s="16"/>
    </row>
    <row r="104" ht="14.25" customHeight="1">
      <c r="A104" s="15" t="s">
        <v>309</v>
      </c>
      <c r="B104" s="16">
        <v>595178.0</v>
      </c>
      <c r="C104" s="16">
        <v>498559.0</v>
      </c>
      <c r="D104" s="16">
        <v>551664.0</v>
      </c>
      <c r="E104" s="18"/>
      <c r="F104" s="18"/>
      <c r="G104" s="16">
        <v>1255036.0</v>
      </c>
      <c r="H104" s="15" t="s">
        <v>310</v>
      </c>
      <c r="I104" s="1" t="str">
        <f>VLOOKUP(C104,'mayo-26'!B:H,7,0)</f>
        <v>CLL 14AN 4A-81 TORRE 4 APTO 104</v>
      </c>
      <c r="J104" s="1" t="s">
        <v>217</v>
      </c>
      <c r="K104" s="10" t="str">
        <f>VLOOKUP(C104,'mayo-26'!B:J,9,0)</f>
        <v>CR PORTACHUELO</v>
      </c>
      <c r="L104" s="1" t="str">
        <f>VLOOKUP(C104,'mayo-26'!B:K,10,0)</f>
        <v>CR PORTACHUELO</v>
      </c>
      <c r="M104" s="15" t="s">
        <v>52</v>
      </c>
      <c r="N104" s="15" t="s">
        <v>89</v>
      </c>
      <c r="O104" s="15" t="s">
        <v>130</v>
      </c>
      <c r="P104" s="15" t="s">
        <v>126</v>
      </c>
      <c r="Q104" s="15" t="s">
        <v>218</v>
      </c>
      <c r="R104" s="15" t="s">
        <v>219</v>
      </c>
      <c r="S104" s="15" t="s">
        <v>133</v>
      </c>
      <c r="T104" s="15" t="s">
        <v>59</v>
      </c>
      <c r="U104" s="16">
        <v>2026.0</v>
      </c>
      <c r="V104" s="16">
        <v>6.0</v>
      </c>
      <c r="W104" s="16">
        <v>1.081875232E9</v>
      </c>
      <c r="X104" s="16">
        <v>1.081893704E9</v>
      </c>
      <c r="Y104" s="17">
        <v>46182.0</v>
      </c>
      <c r="Z104" s="17">
        <v>46207.0</v>
      </c>
      <c r="AA104" s="16">
        <v>49934.3</v>
      </c>
      <c r="AB104" s="16">
        <v>49934.3</v>
      </c>
      <c r="AC104" s="16">
        <v>-1650.7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6">
        <v>0.0</v>
      </c>
      <c r="AJ104" s="16">
        <v>49934.3</v>
      </c>
      <c r="AK104" s="16">
        <v>49935.06</v>
      </c>
      <c r="AL104" s="16">
        <v>1.0</v>
      </c>
      <c r="AM104" s="16">
        <v>242.77</v>
      </c>
      <c r="AN104" s="16">
        <v>0.0</v>
      </c>
      <c r="AO104" s="18"/>
      <c r="AP104" s="18"/>
      <c r="AQ104" s="18"/>
      <c r="AR104" s="18"/>
      <c r="AS104" s="11" t="str">
        <f>VLOOKUP(C104,'mayo-26'!B:AS,44,0)</f>
        <v/>
      </c>
      <c r="AT104" s="12" t="str">
        <f>VLOOKUP(C104,'mayo-26'!B:AT,45,0)</f>
        <v>VERIFICADOR</v>
      </c>
      <c r="AU104" s="16"/>
      <c r="AV104" s="16"/>
      <c r="AW104" s="16"/>
    </row>
    <row r="105" ht="14.25" customHeight="1">
      <c r="A105" s="15" t="s">
        <v>311</v>
      </c>
      <c r="B105" s="16">
        <v>595182.0</v>
      </c>
      <c r="C105" s="16">
        <v>498563.0</v>
      </c>
      <c r="D105" s="16">
        <v>551668.0</v>
      </c>
      <c r="E105" s="18"/>
      <c r="F105" s="18"/>
      <c r="G105" s="16">
        <v>1255040.0</v>
      </c>
      <c r="H105" s="15" t="s">
        <v>312</v>
      </c>
      <c r="I105" s="1" t="str">
        <f>VLOOKUP(C105,'mayo-26'!B:H,7,0)</f>
        <v>CLL 14AN 4A-81 TORRE 4 APTO 204</v>
      </c>
      <c r="J105" s="1" t="s">
        <v>217</v>
      </c>
      <c r="K105" s="10" t="str">
        <f>VLOOKUP(C105,'mayo-26'!B:J,9,0)</f>
        <v>CR PORTACHUELO</v>
      </c>
      <c r="L105" s="1" t="str">
        <f>VLOOKUP(C105,'mayo-26'!B:K,10,0)</f>
        <v>CR PORTACHUELO</v>
      </c>
      <c r="M105" s="15" t="s">
        <v>52</v>
      </c>
      <c r="N105" s="15" t="s">
        <v>89</v>
      </c>
      <c r="O105" s="15" t="s">
        <v>130</v>
      </c>
      <c r="P105" s="15" t="s">
        <v>126</v>
      </c>
      <c r="Q105" s="15" t="s">
        <v>218</v>
      </c>
      <c r="R105" s="15" t="s">
        <v>219</v>
      </c>
      <c r="S105" s="15" t="s">
        <v>133</v>
      </c>
      <c r="T105" s="15" t="s">
        <v>59</v>
      </c>
      <c r="U105" s="16">
        <v>2026.0</v>
      </c>
      <c r="V105" s="16">
        <v>6.0</v>
      </c>
      <c r="W105" s="16">
        <v>1.081875236E9</v>
      </c>
      <c r="X105" s="16">
        <v>1.081893708E9</v>
      </c>
      <c r="Y105" s="17">
        <v>46182.0</v>
      </c>
      <c r="Z105" s="17">
        <v>46207.0</v>
      </c>
      <c r="AA105" s="16">
        <v>49934.31</v>
      </c>
      <c r="AB105" s="16">
        <v>49934.31</v>
      </c>
      <c r="AC105" s="16">
        <v>-1650.7</v>
      </c>
      <c r="AD105" s="16">
        <v>0.0</v>
      </c>
      <c r="AE105" s="16">
        <v>0.01</v>
      </c>
      <c r="AF105" s="16">
        <v>0.0</v>
      </c>
      <c r="AG105" s="16">
        <v>0.0</v>
      </c>
      <c r="AH105" s="16">
        <v>0.0</v>
      </c>
      <c r="AI105" s="16">
        <v>0.0</v>
      </c>
      <c r="AJ105" s="16">
        <v>49934.31</v>
      </c>
      <c r="AK105" s="16">
        <v>101940.84</v>
      </c>
      <c r="AL105" s="16">
        <v>1.0</v>
      </c>
      <c r="AM105" s="16">
        <v>242.77</v>
      </c>
      <c r="AN105" s="16">
        <v>0.0</v>
      </c>
      <c r="AO105" s="18"/>
      <c r="AP105" s="18"/>
      <c r="AQ105" s="18"/>
      <c r="AR105" s="18"/>
      <c r="AS105" s="11" t="str">
        <f>VLOOKUP(C105,'mayo-26'!B:AS,44,0)</f>
        <v/>
      </c>
      <c r="AT105" s="12" t="str">
        <f>VLOOKUP(C105,'mayo-26'!B:AT,45,0)</f>
        <v>VERIFICADOR</v>
      </c>
      <c r="AU105" s="16"/>
      <c r="AV105" s="16"/>
      <c r="AW105" s="16"/>
    </row>
    <row r="106" ht="14.25" customHeight="1">
      <c r="A106" s="15" t="s">
        <v>313</v>
      </c>
      <c r="B106" s="16">
        <v>595186.0</v>
      </c>
      <c r="C106" s="16">
        <v>498567.0</v>
      </c>
      <c r="D106" s="16">
        <v>551672.0</v>
      </c>
      <c r="E106" s="18"/>
      <c r="F106" s="18"/>
      <c r="G106" s="16">
        <v>1255044.0</v>
      </c>
      <c r="H106" s="15" t="s">
        <v>314</v>
      </c>
      <c r="I106" s="1" t="str">
        <f>VLOOKUP(C106,'mayo-26'!B:H,7,0)</f>
        <v>CLL 14AN 4A-81 TORRE 4 APTO 304</v>
      </c>
      <c r="J106" s="1" t="s">
        <v>217</v>
      </c>
      <c r="K106" s="10" t="str">
        <f>VLOOKUP(C106,'mayo-26'!B:J,9,0)</f>
        <v>CR PORTACHUELO</v>
      </c>
      <c r="L106" s="1" t="str">
        <f>VLOOKUP(C106,'mayo-26'!B:K,10,0)</f>
        <v>CR PORTACHUELO</v>
      </c>
      <c r="M106" s="15" t="s">
        <v>52</v>
      </c>
      <c r="N106" s="15" t="s">
        <v>89</v>
      </c>
      <c r="O106" s="15" t="s">
        <v>130</v>
      </c>
      <c r="P106" s="15" t="s">
        <v>126</v>
      </c>
      <c r="Q106" s="15" t="s">
        <v>218</v>
      </c>
      <c r="R106" s="15" t="s">
        <v>219</v>
      </c>
      <c r="S106" s="15" t="s">
        <v>133</v>
      </c>
      <c r="T106" s="15" t="s">
        <v>59</v>
      </c>
      <c r="U106" s="16">
        <v>2026.0</v>
      </c>
      <c r="V106" s="16">
        <v>6.0</v>
      </c>
      <c r="W106" s="16">
        <v>1.08187524E9</v>
      </c>
      <c r="X106" s="16">
        <v>1.081893712E9</v>
      </c>
      <c r="Y106" s="17">
        <v>46182.0</v>
      </c>
      <c r="Z106" s="17">
        <v>46207.0</v>
      </c>
      <c r="AA106" s="16">
        <v>50009.69</v>
      </c>
      <c r="AB106" s="16">
        <v>50009.69</v>
      </c>
      <c r="AC106" s="16">
        <v>-1650.7</v>
      </c>
      <c r="AD106" s="16">
        <v>0.0</v>
      </c>
      <c r="AE106" s="16">
        <v>75.39</v>
      </c>
      <c r="AF106" s="16">
        <v>0.0</v>
      </c>
      <c r="AG106" s="16">
        <v>0.0</v>
      </c>
      <c r="AH106" s="16">
        <v>0.0</v>
      </c>
      <c r="AI106" s="16">
        <v>0.0</v>
      </c>
      <c r="AJ106" s="16">
        <v>50009.69</v>
      </c>
      <c r="AK106" s="16">
        <v>107358.02</v>
      </c>
      <c r="AL106" s="16">
        <v>2.0</v>
      </c>
      <c r="AM106" s="16">
        <v>242.77</v>
      </c>
      <c r="AN106" s="16">
        <v>0.0</v>
      </c>
      <c r="AO106" s="18"/>
      <c r="AP106" s="18"/>
      <c r="AQ106" s="18"/>
      <c r="AR106" s="18"/>
      <c r="AS106" s="11" t="str">
        <f>VLOOKUP(C106,'mayo-26'!B:AS,44,0)</f>
        <v/>
      </c>
      <c r="AT106" s="12" t="str">
        <f>VLOOKUP(C106,'mayo-26'!B:AT,45,0)</f>
        <v>VERIFICADOR</v>
      </c>
      <c r="AU106" s="16"/>
      <c r="AV106" s="16"/>
      <c r="AW106" s="16"/>
    </row>
    <row r="107" ht="14.25" customHeight="1">
      <c r="A107" s="15" t="s">
        <v>315</v>
      </c>
      <c r="B107" s="16">
        <v>595190.0</v>
      </c>
      <c r="C107" s="16">
        <v>498571.0</v>
      </c>
      <c r="D107" s="16">
        <v>551676.0</v>
      </c>
      <c r="E107" s="18"/>
      <c r="F107" s="18"/>
      <c r="G107" s="16">
        <v>1255048.0</v>
      </c>
      <c r="H107" s="15" t="s">
        <v>316</v>
      </c>
      <c r="I107" s="1" t="str">
        <f>VLOOKUP(C107,'mayo-26'!B:H,7,0)</f>
        <v>CLL 14AN 4A-81 TORRE 4 APTO 404</v>
      </c>
      <c r="J107" s="1" t="s">
        <v>217</v>
      </c>
      <c r="K107" s="10" t="str">
        <f>VLOOKUP(C107,'mayo-26'!B:J,9,0)</f>
        <v>CR PORTACHUELO</v>
      </c>
      <c r="L107" s="1" t="str">
        <f>VLOOKUP(C107,'mayo-26'!B:K,10,0)</f>
        <v>CR PORTACHUELO</v>
      </c>
      <c r="M107" s="15" t="s">
        <v>52</v>
      </c>
      <c r="N107" s="15" t="s">
        <v>89</v>
      </c>
      <c r="O107" s="15" t="s">
        <v>130</v>
      </c>
      <c r="P107" s="15" t="s">
        <v>126</v>
      </c>
      <c r="Q107" s="15" t="s">
        <v>218</v>
      </c>
      <c r="R107" s="15" t="s">
        <v>219</v>
      </c>
      <c r="S107" s="15" t="s">
        <v>133</v>
      </c>
      <c r="T107" s="15" t="s">
        <v>59</v>
      </c>
      <c r="U107" s="16">
        <v>2026.0</v>
      </c>
      <c r="V107" s="16">
        <v>6.0</v>
      </c>
      <c r="W107" s="16">
        <v>1.081875244E9</v>
      </c>
      <c r="X107" s="16">
        <v>1.081893716E9</v>
      </c>
      <c r="Y107" s="17">
        <v>46182.0</v>
      </c>
      <c r="Z107" s="17">
        <v>46207.0</v>
      </c>
      <c r="AA107" s="16">
        <v>49934.3</v>
      </c>
      <c r="AB107" s="16">
        <v>49934.3</v>
      </c>
      <c r="AC107" s="16">
        <v>-1650.7</v>
      </c>
      <c r="AD107" s="16">
        <v>0.0</v>
      </c>
      <c r="AE107" s="16">
        <v>0.0</v>
      </c>
      <c r="AF107" s="16">
        <v>0.0</v>
      </c>
      <c r="AG107" s="16">
        <v>0.0</v>
      </c>
      <c r="AH107" s="16">
        <v>0.0</v>
      </c>
      <c r="AI107" s="16">
        <v>0.0</v>
      </c>
      <c r="AJ107" s="16">
        <v>49934.3</v>
      </c>
      <c r="AK107" s="16">
        <v>49934.3</v>
      </c>
      <c r="AL107" s="16">
        <v>0.0</v>
      </c>
      <c r="AM107" s="16">
        <v>242.77</v>
      </c>
      <c r="AN107" s="16">
        <v>0.0</v>
      </c>
      <c r="AO107" s="18"/>
      <c r="AP107" s="18"/>
      <c r="AQ107" s="18"/>
      <c r="AR107" s="18"/>
      <c r="AS107" s="11" t="str">
        <f>VLOOKUP(C107,'mayo-26'!B:AS,44,0)</f>
        <v/>
      </c>
      <c r="AT107" s="12" t="str">
        <f>VLOOKUP(C107,'mayo-26'!B:AT,45,0)</f>
        <v>VERIFICADOR</v>
      </c>
      <c r="AU107" s="16"/>
      <c r="AV107" s="16"/>
      <c r="AW107" s="16"/>
    </row>
    <row r="108" ht="14.25" customHeight="1">
      <c r="A108" s="15" t="s">
        <v>317</v>
      </c>
      <c r="B108" s="16">
        <v>595194.0</v>
      </c>
      <c r="C108" s="16">
        <v>498575.0</v>
      </c>
      <c r="D108" s="16">
        <v>551680.0</v>
      </c>
      <c r="E108" s="18"/>
      <c r="F108" s="18"/>
      <c r="G108" s="16">
        <v>1255052.0</v>
      </c>
      <c r="H108" s="15" t="s">
        <v>318</v>
      </c>
      <c r="I108" s="1" t="str">
        <f>VLOOKUP(C108,'mayo-26'!B:H,7,0)</f>
        <v>CLL 14AN 4A-81 TORRE 5 APTO 104</v>
      </c>
      <c r="J108" s="1" t="s">
        <v>217</v>
      </c>
      <c r="K108" s="10" t="str">
        <f>VLOOKUP(C108,'mayo-26'!B:J,9,0)</f>
        <v>CR PORTACHUELO</v>
      </c>
      <c r="L108" s="1" t="str">
        <f>VLOOKUP(C108,'mayo-26'!B:K,10,0)</f>
        <v>CR PORTACHUELO</v>
      </c>
      <c r="M108" s="15" t="s">
        <v>52</v>
      </c>
      <c r="N108" s="15" t="s">
        <v>89</v>
      </c>
      <c r="O108" s="15" t="s">
        <v>130</v>
      </c>
      <c r="P108" s="15" t="s">
        <v>126</v>
      </c>
      <c r="Q108" s="15" t="s">
        <v>218</v>
      </c>
      <c r="R108" s="15" t="s">
        <v>219</v>
      </c>
      <c r="S108" s="15" t="s">
        <v>133</v>
      </c>
      <c r="T108" s="15" t="s">
        <v>59</v>
      </c>
      <c r="U108" s="16">
        <v>2026.0</v>
      </c>
      <c r="V108" s="16">
        <v>6.0</v>
      </c>
      <c r="W108" s="16">
        <v>1.081875248E9</v>
      </c>
      <c r="X108" s="16">
        <v>1.08189372E9</v>
      </c>
      <c r="Y108" s="17">
        <v>46182.0</v>
      </c>
      <c r="Z108" s="17">
        <v>46207.0</v>
      </c>
      <c r="AA108" s="16">
        <v>51899.46</v>
      </c>
      <c r="AB108" s="16">
        <v>51899.46</v>
      </c>
      <c r="AC108" s="16">
        <v>-1650.7</v>
      </c>
      <c r="AD108" s="16">
        <v>0.0</v>
      </c>
      <c r="AE108" s="16">
        <v>1965.16</v>
      </c>
      <c r="AF108" s="16">
        <v>0.0</v>
      </c>
      <c r="AG108" s="16">
        <v>0.0</v>
      </c>
      <c r="AH108" s="16">
        <v>0.0</v>
      </c>
      <c r="AI108" s="16">
        <v>0.0</v>
      </c>
      <c r="AJ108" s="16">
        <v>51899.46</v>
      </c>
      <c r="AK108" s="16">
        <v>102333.57</v>
      </c>
      <c r="AL108" s="16">
        <v>1.0</v>
      </c>
      <c r="AM108" s="16">
        <v>242.77</v>
      </c>
      <c r="AN108" s="16">
        <v>0.0</v>
      </c>
      <c r="AO108" s="18"/>
      <c r="AP108" s="18"/>
      <c r="AQ108" s="18"/>
      <c r="AR108" s="18"/>
      <c r="AS108" s="11" t="str">
        <f>VLOOKUP(C108,'mayo-26'!B:AS,44,0)</f>
        <v/>
      </c>
      <c r="AT108" s="12" t="str">
        <f>VLOOKUP(C108,'mayo-26'!B:AT,45,0)</f>
        <v>VERIFICADOR</v>
      </c>
      <c r="AU108" s="16"/>
      <c r="AV108" s="16"/>
      <c r="AW108" s="16"/>
    </row>
    <row r="109" ht="14.25" customHeight="1">
      <c r="A109" s="15" t="s">
        <v>319</v>
      </c>
      <c r="B109" s="16">
        <v>595198.0</v>
      </c>
      <c r="C109" s="16">
        <v>498579.0</v>
      </c>
      <c r="D109" s="16">
        <v>551684.0</v>
      </c>
      <c r="E109" s="18"/>
      <c r="F109" s="18"/>
      <c r="G109" s="16">
        <v>1255056.0</v>
      </c>
      <c r="H109" s="15" t="s">
        <v>320</v>
      </c>
      <c r="I109" s="1" t="str">
        <f>VLOOKUP(C109,'mayo-26'!B:H,7,0)</f>
        <v>CLL 14AN 4A-81 TORRE 5 APTO 204</v>
      </c>
      <c r="J109" s="1" t="s">
        <v>217</v>
      </c>
      <c r="K109" s="10" t="str">
        <f>VLOOKUP(C109,'mayo-26'!B:J,9,0)</f>
        <v>CR PORTACHUELO</v>
      </c>
      <c r="L109" s="1" t="str">
        <f>VLOOKUP(C109,'mayo-26'!B:K,10,0)</f>
        <v>CR PORTACHUELO</v>
      </c>
      <c r="M109" s="15" t="s">
        <v>52</v>
      </c>
      <c r="N109" s="15" t="s">
        <v>89</v>
      </c>
      <c r="O109" s="15" t="s">
        <v>130</v>
      </c>
      <c r="P109" s="15" t="s">
        <v>126</v>
      </c>
      <c r="Q109" s="15" t="s">
        <v>218</v>
      </c>
      <c r="R109" s="15" t="s">
        <v>219</v>
      </c>
      <c r="S109" s="15" t="s">
        <v>133</v>
      </c>
      <c r="T109" s="15" t="s">
        <v>59</v>
      </c>
      <c r="U109" s="16">
        <v>2026.0</v>
      </c>
      <c r="V109" s="16">
        <v>6.0</v>
      </c>
      <c r="W109" s="16">
        <v>1.081875253E9</v>
      </c>
      <c r="X109" s="16">
        <v>1.081893725E9</v>
      </c>
      <c r="Y109" s="17">
        <v>46182.0</v>
      </c>
      <c r="Z109" s="17">
        <v>46207.0</v>
      </c>
      <c r="AA109" s="16">
        <v>51063.38</v>
      </c>
      <c r="AB109" s="16">
        <v>51063.38</v>
      </c>
      <c r="AC109" s="16">
        <v>-1650.7</v>
      </c>
      <c r="AD109" s="16">
        <v>0.0</v>
      </c>
      <c r="AE109" s="16">
        <v>1129.08</v>
      </c>
      <c r="AF109" s="16">
        <v>0.0</v>
      </c>
      <c r="AG109" s="16">
        <v>0.0</v>
      </c>
      <c r="AH109" s="16">
        <v>0.0</v>
      </c>
      <c r="AI109" s="16">
        <v>0.0</v>
      </c>
      <c r="AJ109" s="16">
        <v>51063.38</v>
      </c>
      <c r="AK109" s="16">
        <v>51063.38</v>
      </c>
      <c r="AL109" s="16">
        <v>0.0</v>
      </c>
      <c r="AM109" s="16">
        <v>242.77</v>
      </c>
      <c r="AN109" s="16">
        <v>0.0</v>
      </c>
      <c r="AO109" s="18"/>
      <c r="AP109" s="18"/>
      <c r="AQ109" s="18"/>
      <c r="AR109" s="18"/>
      <c r="AS109" s="11" t="str">
        <f>VLOOKUP(C109,'mayo-26'!B:AS,44,0)</f>
        <v/>
      </c>
      <c r="AT109" s="12" t="str">
        <f>VLOOKUP(C109,'mayo-26'!B:AT,45,0)</f>
        <v>VERIFICADOR</v>
      </c>
      <c r="AU109" s="16"/>
      <c r="AV109" s="16"/>
      <c r="AW109" s="16"/>
    </row>
    <row r="110" ht="14.25" customHeight="1">
      <c r="A110" s="15" t="s">
        <v>321</v>
      </c>
      <c r="B110" s="16">
        <v>595202.0</v>
      </c>
      <c r="C110" s="16">
        <v>498583.0</v>
      </c>
      <c r="D110" s="16">
        <v>551688.0</v>
      </c>
      <c r="E110" s="18"/>
      <c r="F110" s="18"/>
      <c r="G110" s="16">
        <v>1255060.0</v>
      </c>
      <c r="H110" s="15" t="s">
        <v>322</v>
      </c>
      <c r="I110" s="1" t="str">
        <f>VLOOKUP(C110,'mayo-26'!B:H,7,0)</f>
        <v>CLL 14AN 4A-81 TORRE 5 APTO 304</v>
      </c>
      <c r="J110" s="1" t="s">
        <v>217</v>
      </c>
      <c r="K110" s="10" t="str">
        <f>VLOOKUP(C110,'mayo-26'!B:J,9,0)</f>
        <v>CR PORTACHUELO</v>
      </c>
      <c r="L110" s="1" t="str">
        <f>VLOOKUP(C110,'mayo-26'!B:K,10,0)</f>
        <v>CR PORTACHUELO</v>
      </c>
      <c r="M110" s="15" t="s">
        <v>52</v>
      </c>
      <c r="N110" s="15" t="s">
        <v>89</v>
      </c>
      <c r="O110" s="15" t="s">
        <v>130</v>
      </c>
      <c r="P110" s="15" t="s">
        <v>126</v>
      </c>
      <c r="Q110" s="15" t="s">
        <v>218</v>
      </c>
      <c r="R110" s="15" t="s">
        <v>219</v>
      </c>
      <c r="S110" s="15" t="s">
        <v>133</v>
      </c>
      <c r="T110" s="15" t="s">
        <v>59</v>
      </c>
      <c r="U110" s="16">
        <v>2026.0</v>
      </c>
      <c r="V110" s="16">
        <v>6.0</v>
      </c>
      <c r="W110" s="16">
        <v>1.081875256E9</v>
      </c>
      <c r="X110" s="16">
        <v>1.081893728E9</v>
      </c>
      <c r="Y110" s="17">
        <v>46182.0</v>
      </c>
      <c r="Z110" s="17">
        <v>46207.0</v>
      </c>
      <c r="AA110" s="16">
        <v>53994.58</v>
      </c>
      <c r="AB110" s="16">
        <v>53994.58</v>
      </c>
      <c r="AC110" s="16">
        <v>-1650.7</v>
      </c>
      <c r="AD110" s="16">
        <v>0.0</v>
      </c>
      <c r="AE110" s="16">
        <v>4060.28</v>
      </c>
      <c r="AF110" s="16">
        <v>0.0</v>
      </c>
      <c r="AG110" s="16">
        <v>0.0</v>
      </c>
      <c r="AH110" s="16">
        <v>0.0</v>
      </c>
      <c r="AI110" s="16">
        <v>0.0</v>
      </c>
      <c r="AJ110" s="16">
        <v>53994.58</v>
      </c>
      <c r="AK110" s="16">
        <v>337498.7</v>
      </c>
      <c r="AL110" s="16">
        <v>6.0</v>
      </c>
      <c r="AM110" s="16">
        <v>242.77</v>
      </c>
      <c r="AN110" s="16">
        <v>0.0</v>
      </c>
      <c r="AO110" s="18"/>
      <c r="AP110" s="18"/>
      <c r="AQ110" s="18"/>
      <c r="AR110" s="18"/>
      <c r="AS110" s="11" t="str">
        <f>VLOOKUP(C110,'mayo-26'!B:AS,44,0)</f>
        <v/>
      </c>
      <c r="AT110" s="12" t="str">
        <f>VLOOKUP(C110,'mayo-26'!B:AT,45,0)</f>
        <v>VERIFICADOR</v>
      </c>
      <c r="AU110" s="16"/>
      <c r="AV110" s="16"/>
      <c r="AW110" s="16"/>
    </row>
    <row r="111" ht="14.25" customHeight="1">
      <c r="A111" s="15" t="s">
        <v>323</v>
      </c>
      <c r="B111" s="16">
        <v>595206.0</v>
      </c>
      <c r="C111" s="16">
        <v>498587.0</v>
      </c>
      <c r="D111" s="16">
        <v>551692.0</v>
      </c>
      <c r="E111" s="18"/>
      <c r="F111" s="18"/>
      <c r="G111" s="16">
        <v>1255064.0</v>
      </c>
      <c r="H111" s="15" t="s">
        <v>324</v>
      </c>
      <c r="I111" s="1" t="str">
        <f>VLOOKUP(C111,'mayo-26'!B:H,7,0)</f>
        <v>CLL 14AN 4A-81 TORRE 5 APTO 404</v>
      </c>
      <c r="J111" s="1" t="s">
        <v>217</v>
      </c>
      <c r="K111" s="10" t="str">
        <f>VLOOKUP(C111,'mayo-26'!B:J,9,0)</f>
        <v>CR PORTACHUELO</v>
      </c>
      <c r="L111" s="1" t="str">
        <f>VLOOKUP(C111,'mayo-26'!B:K,10,0)</f>
        <v>CR PORTACHUELO</v>
      </c>
      <c r="M111" s="15" t="s">
        <v>52</v>
      </c>
      <c r="N111" s="15" t="s">
        <v>89</v>
      </c>
      <c r="O111" s="15" t="s">
        <v>130</v>
      </c>
      <c r="P111" s="15" t="s">
        <v>126</v>
      </c>
      <c r="Q111" s="15" t="s">
        <v>218</v>
      </c>
      <c r="R111" s="15" t="s">
        <v>219</v>
      </c>
      <c r="S111" s="15" t="s">
        <v>133</v>
      </c>
      <c r="T111" s="15" t="s">
        <v>59</v>
      </c>
      <c r="U111" s="16">
        <v>2026.0</v>
      </c>
      <c r="V111" s="16">
        <v>6.0</v>
      </c>
      <c r="W111" s="16">
        <v>1.081875261E9</v>
      </c>
      <c r="X111" s="16">
        <v>1.081893733E9</v>
      </c>
      <c r="Y111" s="17">
        <v>46182.0</v>
      </c>
      <c r="Z111" s="17">
        <v>46207.0</v>
      </c>
      <c r="AA111" s="16">
        <v>49934.3</v>
      </c>
      <c r="AB111" s="16">
        <v>49934.3</v>
      </c>
      <c r="AC111" s="16">
        <v>-1650.7</v>
      </c>
      <c r="AD111" s="16">
        <v>0.0</v>
      </c>
      <c r="AE111" s="16">
        <v>0.0</v>
      </c>
      <c r="AF111" s="16">
        <v>0.0</v>
      </c>
      <c r="AG111" s="16">
        <v>0.0</v>
      </c>
      <c r="AH111" s="16">
        <v>0.0</v>
      </c>
      <c r="AI111" s="16">
        <v>0.0</v>
      </c>
      <c r="AJ111" s="16">
        <v>49934.3</v>
      </c>
      <c r="AK111" s="16">
        <v>49934.3</v>
      </c>
      <c r="AL111" s="16">
        <v>0.0</v>
      </c>
      <c r="AM111" s="16">
        <v>242.77</v>
      </c>
      <c r="AN111" s="16">
        <v>0.0</v>
      </c>
      <c r="AO111" s="18"/>
      <c r="AP111" s="18"/>
      <c r="AQ111" s="18"/>
      <c r="AR111" s="18"/>
      <c r="AS111" s="11" t="str">
        <f>VLOOKUP(C111,'mayo-26'!B:AS,44,0)</f>
        <v/>
      </c>
      <c r="AT111" s="12" t="str">
        <f>VLOOKUP(C111,'mayo-26'!B:AT,45,0)</f>
        <v>VERIFICADOR</v>
      </c>
      <c r="AU111" s="16"/>
      <c r="AV111" s="16"/>
      <c r="AW111" s="16"/>
    </row>
    <row r="112" ht="14.25" customHeight="1">
      <c r="A112" s="15" t="s">
        <v>325</v>
      </c>
      <c r="B112" s="16">
        <v>595210.0</v>
      </c>
      <c r="C112" s="16">
        <v>498591.0</v>
      </c>
      <c r="D112" s="16">
        <v>551696.0</v>
      </c>
      <c r="E112" s="18"/>
      <c r="F112" s="18"/>
      <c r="G112" s="16">
        <v>1255068.0</v>
      </c>
      <c r="H112" s="15" t="s">
        <v>286</v>
      </c>
      <c r="I112" s="1" t="str">
        <f>VLOOKUP(C112,'mayo-26'!B:H,7,0)</f>
        <v>CLL 14AN 4A-81 TORRE 6 APTO 104</v>
      </c>
      <c r="J112" s="1" t="s">
        <v>217</v>
      </c>
      <c r="K112" s="10" t="str">
        <f>VLOOKUP(C112,'mayo-26'!B:J,9,0)</f>
        <v>CR PORTACHUELO</v>
      </c>
      <c r="L112" s="1" t="str">
        <f>VLOOKUP(C112,'mayo-26'!B:K,10,0)</f>
        <v>CR PORTACHUELO</v>
      </c>
      <c r="M112" s="15" t="s">
        <v>52</v>
      </c>
      <c r="N112" s="15" t="s">
        <v>89</v>
      </c>
      <c r="O112" s="15" t="s">
        <v>130</v>
      </c>
      <c r="P112" s="15" t="s">
        <v>126</v>
      </c>
      <c r="Q112" s="15" t="s">
        <v>218</v>
      </c>
      <c r="R112" s="15" t="s">
        <v>219</v>
      </c>
      <c r="S112" s="15" t="s">
        <v>133</v>
      </c>
      <c r="T112" s="15" t="s">
        <v>59</v>
      </c>
      <c r="U112" s="16">
        <v>2026.0</v>
      </c>
      <c r="V112" s="16">
        <v>6.0</v>
      </c>
      <c r="W112" s="16">
        <v>1.081875265E9</v>
      </c>
      <c r="X112" s="16">
        <v>1.081893737E9</v>
      </c>
      <c r="Y112" s="17">
        <v>46182.0</v>
      </c>
      <c r="Z112" s="17">
        <v>46207.0</v>
      </c>
      <c r="AA112" s="16">
        <v>49934.3</v>
      </c>
      <c r="AB112" s="16">
        <v>49934.3</v>
      </c>
      <c r="AC112" s="16">
        <v>-1650.7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6">
        <v>0.0</v>
      </c>
      <c r="AJ112" s="16">
        <v>49934.3</v>
      </c>
      <c r="AK112" s="16">
        <v>49935.06</v>
      </c>
      <c r="AL112" s="16">
        <v>1.0</v>
      </c>
      <c r="AM112" s="16">
        <v>242.77</v>
      </c>
      <c r="AN112" s="16">
        <v>0.0</v>
      </c>
      <c r="AO112" s="18"/>
      <c r="AP112" s="18"/>
      <c r="AQ112" s="18"/>
      <c r="AR112" s="18"/>
      <c r="AS112" s="11" t="str">
        <f>VLOOKUP(C112,'mayo-26'!B:AS,44,0)</f>
        <v/>
      </c>
      <c r="AT112" s="12" t="str">
        <f>VLOOKUP(C112,'mayo-26'!B:AT,45,0)</f>
        <v>VERIFICADOR</v>
      </c>
      <c r="AU112" s="16"/>
      <c r="AV112" s="16"/>
      <c r="AW112" s="16"/>
    </row>
    <row r="113" ht="14.25" customHeight="1">
      <c r="A113" s="15" t="s">
        <v>326</v>
      </c>
      <c r="B113" s="16">
        <v>595214.0</v>
      </c>
      <c r="C113" s="16">
        <v>498595.0</v>
      </c>
      <c r="D113" s="16">
        <v>551700.0</v>
      </c>
      <c r="E113" s="18"/>
      <c r="F113" s="18"/>
      <c r="G113" s="16">
        <v>1255072.0</v>
      </c>
      <c r="H113" s="15" t="s">
        <v>327</v>
      </c>
      <c r="I113" s="1" t="str">
        <f>VLOOKUP(C113,'mayo-26'!B:H,7,0)</f>
        <v>CLL 14AN 4A-81 TORRE 6 APTO 204</v>
      </c>
      <c r="J113" s="1" t="s">
        <v>217</v>
      </c>
      <c r="K113" s="10" t="str">
        <f>VLOOKUP(C113,'mayo-26'!B:J,9,0)</f>
        <v>CR PORTACHUELO</v>
      </c>
      <c r="L113" s="1" t="str">
        <f>VLOOKUP(C113,'mayo-26'!B:K,10,0)</f>
        <v>CR PORTACHUELO</v>
      </c>
      <c r="M113" s="15" t="s">
        <v>52</v>
      </c>
      <c r="N113" s="15" t="s">
        <v>89</v>
      </c>
      <c r="O113" s="15" t="s">
        <v>130</v>
      </c>
      <c r="P113" s="15" t="s">
        <v>126</v>
      </c>
      <c r="Q113" s="15" t="s">
        <v>218</v>
      </c>
      <c r="R113" s="15" t="s">
        <v>219</v>
      </c>
      <c r="S113" s="15" t="s">
        <v>133</v>
      </c>
      <c r="T113" s="15" t="s">
        <v>59</v>
      </c>
      <c r="U113" s="16">
        <v>2026.0</v>
      </c>
      <c r="V113" s="16">
        <v>6.0</v>
      </c>
      <c r="W113" s="16">
        <v>1.081875269E9</v>
      </c>
      <c r="X113" s="16">
        <v>1.081893741E9</v>
      </c>
      <c r="Y113" s="17">
        <v>46182.0</v>
      </c>
      <c r="Z113" s="17">
        <v>46207.0</v>
      </c>
      <c r="AA113" s="16">
        <v>50495.64</v>
      </c>
      <c r="AB113" s="16">
        <v>50495.64</v>
      </c>
      <c r="AC113" s="16">
        <v>-1650.7</v>
      </c>
      <c r="AD113" s="16">
        <v>0.0</v>
      </c>
      <c r="AE113" s="16">
        <v>561.34</v>
      </c>
      <c r="AF113" s="16">
        <v>0.0</v>
      </c>
      <c r="AG113" s="16">
        <v>0.0</v>
      </c>
      <c r="AH113" s="16">
        <v>0.0</v>
      </c>
      <c r="AI113" s="16">
        <v>0.0</v>
      </c>
      <c r="AJ113" s="16">
        <v>50495.64</v>
      </c>
      <c r="AK113" s="16">
        <v>152784.46</v>
      </c>
      <c r="AL113" s="16">
        <v>2.0</v>
      </c>
      <c r="AM113" s="16">
        <v>242.77</v>
      </c>
      <c r="AN113" s="16">
        <v>0.0</v>
      </c>
      <c r="AO113" s="18"/>
      <c r="AP113" s="18"/>
      <c r="AQ113" s="18"/>
      <c r="AR113" s="18"/>
      <c r="AS113" s="11" t="str">
        <f>VLOOKUP(C113,'mayo-26'!B:AS,44,0)</f>
        <v/>
      </c>
      <c r="AT113" s="12" t="str">
        <f>VLOOKUP(C113,'mayo-26'!B:AT,45,0)</f>
        <v>VERIFICADOR</v>
      </c>
      <c r="AU113" s="16"/>
      <c r="AV113" s="16"/>
      <c r="AW113" s="16"/>
    </row>
    <row r="114" ht="14.25" customHeight="1">
      <c r="A114" s="15" t="s">
        <v>328</v>
      </c>
      <c r="B114" s="16">
        <v>595218.0</v>
      </c>
      <c r="C114" s="16">
        <v>498599.0</v>
      </c>
      <c r="D114" s="16">
        <v>551704.0</v>
      </c>
      <c r="E114" s="18"/>
      <c r="F114" s="18"/>
      <c r="G114" s="16">
        <v>1255076.0</v>
      </c>
      <c r="H114" s="15" t="s">
        <v>329</v>
      </c>
      <c r="I114" s="1" t="str">
        <f>VLOOKUP(C114,'mayo-26'!B:H,7,0)</f>
        <v>CLL 14AN 4A-81 TORRE 6 APTO 304</v>
      </c>
      <c r="J114" s="1" t="s">
        <v>217</v>
      </c>
      <c r="K114" s="10" t="str">
        <f>VLOOKUP(C114,'mayo-26'!B:J,9,0)</f>
        <v>CR PORTACHUELO</v>
      </c>
      <c r="L114" s="1" t="str">
        <f>VLOOKUP(C114,'mayo-26'!B:K,10,0)</f>
        <v>CR PORTACHUELO</v>
      </c>
      <c r="M114" s="15" t="s">
        <v>52</v>
      </c>
      <c r="N114" s="15" t="s">
        <v>89</v>
      </c>
      <c r="O114" s="15" t="s">
        <v>130</v>
      </c>
      <c r="P114" s="15" t="s">
        <v>126</v>
      </c>
      <c r="Q114" s="15" t="s">
        <v>218</v>
      </c>
      <c r="R114" s="15" t="s">
        <v>219</v>
      </c>
      <c r="S114" s="15" t="s">
        <v>133</v>
      </c>
      <c r="T114" s="15" t="s">
        <v>59</v>
      </c>
      <c r="U114" s="16">
        <v>2026.0</v>
      </c>
      <c r="V114" s="16">
        <v>6.0</v>
      </c>
      <c r="W114" s="16">
        <v>1.081875273E9</v>
      </c>
      <c r="X114" s="16">
        <v>1.081893745E9</v>
      </c>
      <c r="Y114" s="17">
        <v>46182.0</v>
      </c>
      <c r="Z114" s="17">
        <v>46207.0</v>
      </c>
      <c r="AA114" s="16">
        <v>53994.58</v>
      </c>
      <c r="AB114" s="16">
        <v>53994.58</v>
      </c>
      <c r="AC114" s="16">
        <v>-1650.7</v>
      </c>
      <c r="AD114" s="16">
        <v>0.0</v>
      </c>
      <c r="AE114" s="16">
        <v>4060.28</v>
      </c>
      <c r="AF114" s="16">
        <v>0.0</v>
      </c>
      <c r="AG114" s="16">
        <v>0.0</v>
      </c>
      <c r="AH114" s="16">
        <v>0.0</v>
      </c>
      <c r="AI114" s="16">
        <v>0.0</v>
      </c>
      <c r="AJ114" s="16">
        <v>53994.58</v>
      </c>
      <c r="AK114" s="16">
        <v>53994.58</v>
      </c>
      <c r="AL114" s="16">
        <v>0.0</v>
      </c>
      <c r="AM114" s="16">
        <v>242.77</v>
      </c>
      <c r="AN114" s="16">
        <v>0.0</v>
      </c>
      <c r="AO114" s="18"/>
      <c r="AP114" s="18"/>
      <c r="AQ114" s="18"/>
      <c r="AR114" s="18"/>
      <c r="AS114" s="11" t="str">
        <f>VLOOKUP(C114,'mayo-26'!B:AS,44,0)</f>
        <v/>
      </c>
      <c r="AT114" s="12" t="str">
        <f>VLOOKUP(C114,'mayo-26'!B:AT,45,0)</f>
        <v>VERIFICADOR</v>
      </c>
      <c r="AU114" s="16"/>
      <c r="AV114" s="16"/>
      <c r="AW114" s="16"/>
    </row>
    <row r="115" ht="14.25" customHeight="1">
      <c r="A115" s="15" t="s">
        <v>330</v>
      </c>
      <c r="B115" s="16">
        <v>595222.0</v>
      </c>
      <c r="C115" s="16">
        <v>498603.0</v>
      </c>
      <c r="D115" s="16">
        <v>551708.0</v>
      </c>
      <c r="E115" s="18"/>
      <c r="F115" s="18"/>
      <c r="G115" s="16">
        <v>1255080.0</v>
      </c>
      <c r="H115" s="15" t="s">
        <v>331</v>
      </c>
      <c r="I115" s="1" t="str">
        <f>VLOOKUP(C115,'mayo-26'!B:H,7,0)</f>
        <v>CLL 14AN 4A-81 TORRE 6 APTO 404</v>
      </c>
      <c r="J115" s="1" t="s">
        <v>217</v>
      </c>
      <c r="K115" s="10" t="str">
        <f>VLOOKUP(C115,'mayo-26'!B:J,9,0)</f>
        <v>CR PORTACHUELO</v>
      </c>
      <c r="L115" s="1" t="str">
        <f>VLOOKUP(C115,'mayo-26'!B:K,10,0)</f>
        <v>CR PORTACHUELO</v>
      </c>
      <c r="M115" s="15" t="s">
        <v>52</v>
      </c>
      <c r="N115" s="15" t="s">
        <v>89</v>
      </c>
      <c r="O115" s="15" t="s">
        <v>130</v>
      </c>
      <c r="P115" s="15" t="s">
        <v>126</v>
      </c>
      <c r="Q115" s="15" t="s">
        <v>218</v>
      </c>
      <c r="R115" s="15" t="s">
        <v>219</v>
      </c>
      <c r="S115" s="15" t="s">
        <v>133</v>
      </c>
      <c r="T115" s="15" t="s">
        <v>59</v>
      </c>
      <c r="U115" s="16">
        <v>2026.0</v>
      </c>
      <c r="V115" s="16">
        <v>6.0</v>
      </c>
      <c r="W115" s="16">
        <v>1.081875277E9</v>
      </c>
      <c r="X115" s="16">
        <v>1.081893749E9</v>
      </c>
      <c r="Y115" s="17">
        <v>46182.0</v>
      </c>
      <c r="Z115" s="17">
        <v>46207.0</v>
      </c>
      <c r="AA115" s="16">
        <v>50495.65</v>
      </c>
      <c r="AB115" s="16">
        <v>50495.65</v>
      </c>
      <c r="AC115" s="16">
        <v>-1650.7</v>
      </c>
      <c r="AD115" s="16">
        <v>0.0</v>
      </c>
      <c r="AE115" s="16">
        <v>561.35</v>
      </c>
      <c r="AF115" s="16">
        <v>0.0</v>
      </c>
      <c r="AG115" s="16">
        <v>0.0</v>
      </c>
      <c r="AH115" s="16">
        <v>0.0</v>
      </c>
      <c r="AI115" s="16">
        <v>0.0</v>
      </c>
      <c r="AJ115" s="16">
        <v>50495.65</v>
      </c>
      <c r="AK115" s="16">
        <v>152203.79</v>
      </c>
      <c r="AL115" s="16">
        <v>3.0</v>
      </c>
      <c r="AM115" s="16">
        <v>242.77</v>
      </c>
      <c r="AN115" s="16">
        <v>0.0</v>
      </c>
      <c r="AO115" s="18"/>
      <c r="AP115" s="18"/>
      <c r="AQ115" s="18"/>
      <c r="AR115" s="18"/>
      <c r="AS115" s="11" t="str">
        <f>VLOOKUP(C115,'mayo-26'!B:AS,44,0)</f>
        <v/>
      </c>
      <c r="AT115" s="12" t="str">
        <f>VLOOKUP(C115,'mayo-26'!B:AT,45,0)</f>
        <v>VERIFICADOR</v>
      </c>
      <c r="AU115" s="16"/>
      <c r="AV115" s="16"/>
      <c r="AW115" s="16"/>
    </row>
    <row r="116" ht="14.25" customHeight="1">
      <c r="A116" s="15" t="s">
        <v>332</v>
      </c>
      <c r="B116" s="16">
        <v>595226.0</v>
      </c>
      <c r="C116" s="16">
        <v>498607.0</v>
      </c>
      <c r="D116" s="16">
        <v>551712.0</v>
      </c>
      <c r="E116" s="18"/>
      <c r="F116" s="18"/>
      <c r="G116" s="16">
        <v>1255084.0</v>
      </c>
      <c r="H116" s="15" t="s">
        <v>333</v>
      </c>
      <c r="I116" s="1" t="str">
        <f>VLOOKUP(C116,'mayo-26'!B:H,7,0)</f>
        <v>CLL 14AN 4A-81 TORRE 7 APTO 104</v>
      </c>
      <c r="J116" s="1" t="s">
        <v>217</v>
      </c>
      <c r="K116" s="10" t="str">
        <f>VLOOKUP(C116,'mayo-26'!B:J,9,0)</f>
        <v>CR PORTACHUELO</v>
      </c>
      <c r="L116" s="1" t="str">
        <f>VLOOKUP(C116,'mayo-26'!B:K,10,0)</f>
        <v>CR PORTACHUELO</v>
      </c>
      <c r="M116" s="15" t="s">
        <v>52</v>
      </c>
      <c r="N116" s="15" t="s">
        <v>89</v>
      </c>
      <c r="O116" s="15" t="s">
        <v>130</v>
      </c>
      <c r="P116" s="15" t="s">
        <v>126</v>
      </c>
      <c r="Q116" s="15" t="s">
        <v>218</v>
      </c>
      <c r="R116" s="15" t="s">
        <v>219</v>
      </c>
      <c r="S116" s="15" t="s">
        <v>133</v>
      </c>
      <c r="T116" s="15" t="s">
        <v>59</v>
      </c>
      <c r="U116" s="16">
        <v>2026.0</v>
      </c>
      <c r="V116" s="16">
        <v>6.0</v>
      </c>
      <c r="W116" s="16">
        <v>1.081875282E9</v>
      </c>
      <c r="X116" s="16">
        <v>1.081893754E9</v>
      </c>
      <c r="Y116" s="17">
        <v>46182.0</v>
      </c>
      <c r="Z116" s="17">
        <v>46207.0</v>
      </c>
      <c r="AA116" s="16">
        <v>53994.58</v>
      </c>
      <c r="AB116" s="16">
        <v>53994.58</v>
      </c>
      <c r="AC116" s="16">
        <v>-1650.7</v>
      </c>
      <c r="AD116" s="16">
        <v>0.0</v>
      </c>
      <c r="AE116" s="16">
        <v>4060.28</v>
      </c>
      <c r="AF116" s="16">
        <v>0.0</v>
      </c>
      <c r="AG116" s="16">
        <v>0.0</v>
      </c>
      <c r="AH116" s="16">
        <v>0.0</v>
      </c>
      <c r="AI116" s="16">
        <v>0.0</v>
      </c>
      <c r="AJ116" s="16">
        <v>53994.58</v>
      </c>
      <c r="AK116" s="16">
        <v>337498.7</v>
      </c>
      <c r="AL116" s="16">
        <v>6.0</v>
      </c>
      <c r="AM116" s="16">
        <v>242.77</v>
      </c>
      <c r="AN116" s="16">
        <v>0.0</v>
      </c>
      <c r="AO116" s="18"/>
      <c r="AP116" s="18"/>
      <c r="AQ116" s="18"/>
      <c r="AR116" s="18"/>
      <c r="AS116" s="11" t="str">
        <f>VLOOKUP(C116,'mayo-26'!B:AS,44,0)</f>
        <v/>
      </c>
      <c r="AT116" s="12" t="str">
        <f>VLOOKUP(C116,'mayo-26'!B:AT,45,0)</f>
        <v>VERIFICADOR</v>
      </c>
      <c r="AU116" s="16"/>
      <c r="AV116" s="16"/>
      <c r="AW116" s="16"/>
    </row>
    <row r="117" ht="14.25" customHeight="1">
      <c r="A117" s="15" t="s">
        <v>334</v>
      </c>
      <c r="B117" s="16">
        <v>595230.0</v>
      </c>
      <c r="C117" s="16">
        <v>498611.0</v>
      </c>
      <c r="D117" s="16">
        <v>551716.0</v>
      </c>
      <c r="E117" s="18"/>
      <c r="F117" s="18"/>
      <c r="G117" s="16">
        <v>1255088.0</v>
      </c>
      <c r="H117" s="15" t="s">
        <v>335</v>
      </c>
      <c r="I117" s="1" t="str">
        <f>VLOOKUP(C117,'mayo-26'!B:H,7,0)</f>
        <v>CLL 14AN 4A-81 TORRE 7 APTO 204</v>
      </c>
      <c r="J117" s="1" t="s">
        <v>217</v>
      </c>
      <c r="K117" s="10" t="str">
        <f>VLOOKUP(C117,'mayo-26'!B:J,9,0)</f>
        <v>CR PORTACHUELO</v>
      </c>
      <c r="L117" s="1" t="str">
        <f>VLOOKUP(C117,'mayo-26'!B:K,10,0)</f>
        <v>CR PORTACHUELO</v>
      </c>
      <c r="M117" s="15" t="s">
        <v>52</v>
      </c>
      <c r="N117" s="15" t="s">
        <v>89</v>
      </c>
      <c r="O117" s="15" t="s">
        <v>130</v>
      </c>
      <c r="P117" s="15" t="s">
        <v>126</v>
      </c>
      <c r="Q117" s="15" t="s">
        <v>218</v>
      </c>
      <c r="R117" s="15" t="s">
        <v>219</v>
      </c>
      <c r="S117" s="15" t="s">
        <v>133</v>
      </c>
      <c r="T117" s="15" t="s">
        <v>59</v>
      </c>
      <c r="U117" s="16">
        <v>2026.0</v>
      </c>
      <c r="V117" s="16">
        <v>6.0</v>
      </c>
      <c r="W117" s="16">
        <v>1.081875286E9</v>
      </c>
      <c r="X117" s="16">
        <v>1.081893758E9</v>
      </c>
      <c r="Y117" s="17">
        <v>46182.0</v>
      </c>
      <c r="Z117" s="17">
        <v>46207.0</v>
      </c>
      <c r="AA117" s="16">
        <v>53994.58</v>
      </c>
      <c r="AB117" s="16">
        <v>53994.58</v>
      </c>
      <c r="AC117" s="16">
        <v>-1650.7</v>
      </c>
      <c r="AD117" s="16">
        <v>0.0</v>
      </c>
      <c r="AE117" s="16">
        <v>4060.28</v>
      </c>
      <c r="AF117" s="16">
        <v>0.0</v>
      </c>
      <c r="AG117" s="16">
        <v>0.0</v>
      </c>
      <c r="AH117" s="16">
        <v>0.0</v>
      </c>
      <c r="AI117" s="16">
        <v>0.0</v>
      </c>
      <c r="AJ117" s="16">
        <v>53994.58</v>
      </c>
      <c r="AK117" s="16">
        <v>337498.7</v>
      </c>
      <c r="AL117" s="16">
        <v>6.0</v>
      </c>
      <c r="AM117" s="16">
        <v>242.77</v>
      </c>
      <c r="AN117" s="16">
        <v>0.0</v>
      </c>
      <c r="AO117" s="18"/>
      <c r="AP117" s="18"/>
      <c r="AQ117" s="18"/>
      <c r="AR117" s="18"/>
      <c r="AS117" s="11" t="str">
        <f>VLOOKUP(C117,'mayo-26'!B:AS,44,0)</f>
        <v/>
      </c>
      <c r="AT117" s="12" t="str">
        <f>VLOOKUP(C117,'mayo-26'!B:AT,45,0)</f>
        <v>VERIFICADOR</v>
      </c>
      <c r="AU117" s="16"/>
      <c r="AV117" s="16"/>
      <c r="AW117" s="16"/>
    </row>
    <row r="118" ht="14.25" customHeight="1">
      <c r="A118" s="15" t="s">
        <v>336</v>
      </c>
      <c r="B118" s="16">
        <v>595234.0</v>
      </c>
      <c r="C118" s="16">
        <v>498615.0</v>
      </c>
      <c r="D118" s="16">
        <v>551720.0</v>
      </c>
      <c r="E118" s="18"/>
      <c r="F118" s="18"/>
      <c r="G118" s="16">
        <v>1255092.0</v>
      </c>
      <c r="H118" s="15" t="s">
        <v>337</v>
      </c>
      <c r="I118" s="1" t="str">
        <f>VLOOKUP(C118,'mayo-26'!B:H,7,0)</f>
        <v>CLL 14AN 4A-81 TORRE 7 APTO 304</v>
      </c>
      <c r="J118" s="1" t="s">
        <v>217</v>
      </c>
      <c r="K118" s="10" t="str">
        <f>VLOOKUP(C118,'mayo-26'!B:J,9,0)</f>
        <v>CR PORTACHUELO</v>
      </c>
      <c r="L118" s="1" t="str">
        <f>VLOOKUP(C118,'mayo-26'!B:K,10,0)</f>
        <v>CR PORTACHUELO</v>
      </c>
      <c r="M118" s="15" t="s">
        <v>52</v>
      </c>
      <c r="N118" s="15" t="s">
        <v>89</v>
      </c>
      <c r="O118" s="15" t="s">
        <v>130</v>
      </c>
      <c r="P118" s="15" t="s">
        <v>126</v>
      </c>
      <c r="Q118" s="15" t="s">
        <v>218</v>
      </c>
      <c r="R118" s="15" t="s">
        <v>219</v>
      </c>
      <c r="S118" s="15" t="s">
        <v>133</v>
      </c>
      <c r="T118" s="15" t="s">
        <v>59</v>
      </c>
      <c r="U118" s="16">
        <v>2026.0</v>
      </c>
      <c r="V118" s="16">
        <v>6.0</v>
      </c>
      <c r="W118" s="16">
        <v>1.08187529E9</v>
      </c>
      <c r="X118" s="16">
        <v>1.081893762E9</v>
      </c>
      <c r="Y118" s="17">
        <v>46182.0</v>
      </c>
      <c r="Z118" s="17">
        <v>46207.0</v>
      </c>
      <c r="AA118" s="16">
        <v>50495.65</v>
      </c>
      <c r="AB118" s="16">
        <v>50495.65</v>
      </c>
      <c r="AC118" s="16">
        <v>-1650.7</v>
      </c>
      <c r="AD118" s="16">
        <v>0.0</v>
      </c>
      <c r="AE118" s="16">
        <v>561.35</v>
      </c>
      <c r="AF118" s="16">
        <v>0.0</v>
      </c>
      <c r="AG118" s="16">
        <v>0.0</v>
      </c>
      <c r="AH118" s="16">
        <v>0.0</v>
      </c>
      <c r="AI118" s="16">
        <v>0.0</v>
      </c>
      <c r="AJ118" s="16">
        <v>50495.65</v>
      </c>
      <c r="AK118" s="16">
        <v>150961.21</v>
      </c>
      <c r="AL118" s="16">
        <v>3.0</v>
      </c>
      <c r="AM118" s="16">
        <v>242.77</v>
      </c>
      <c r="AN118" s="16">
        <v>0.0</v>
      </c>
      <c r="AO118" s="18"/>
      <c r="AP118" s="18"/>
      <c r="AQ118" s="18"/>
      <c r="AR118" s="18"/>
      <c r="AS118" s="11" t="str">
        <f>VLOOKUP(C118,'mayo-26'!B:AS,44,0)</f>
        <v/>
      </c>
      <c r="AT118" s="12" t="str">
        <f>VLOOKUP(C118,'mayo-26'!B:AT,45,0)</f>
        <v>VERIFICADOR</v>
      </c>
      <c r="AU118" s="16"/>
      <c r="AV118" s="16"/>
      <c r="AW118" s="16"/>
    </row>
    <row r="119" ht="14.25" customHeight="1">
      <c r="A119" s="15" t="s">
        <v>338</v>
      </c>
      <c r="B119" s="16">
        <v>595238.0</v>
      </c>
      <c r="C119" s="16">
        <v>498619.0</v>
      </c>
      <c r="D119" s="16">
        <v>551724.0</v>
      </c>
      <c r="E119" s="18"/>
      <c r="F119" s="18"/>
      <c r="G119" s="16">
        <v>1255096.0</v>
      </c>
      <c r="H119" s="15" t="s">
        <v>339</v>
      </c>
      <c r="I119" s="1" t="str">
        <f>VLOOKUP(C119,'mayo-26'!B:H,7,0)</f>
        <v>CLL 14AN 4A-81 TORRE 7 APTO 404</v>
      </c>
      <c r="J119" s="1" t="s">
        <v>217</v>
      </c>
      <c r="K119" s="10" t="str">
        <f>VLOOKUP(C119,'mayo-26'!B:J,9,0)</f>
        <v>CR PORTACHUELO</v>
      </c>
      <c r="L119" s="1" t="str">
        <f>VLOOKUP(C119,'mayo-26'!B:K,10,0)</f>
        <v>CR PORTACHUELO</v>
      </c>
      <c r="M119" s="15" t="s">
        <v>52</v>
      </c>
      <c r="N119" s="15" t="s">
        <v>89</v>
      </c>
      <c r="O119" s="15" t="s">
        <v>130</v>
      </c>
      <c r="P119" s="15" t="s">
        <v>126</v>
      </c>
      <c r="Q119" s="15" t="s">
        <v>218</v>
      </c>
      <c r="R119" s="15" t="s">
        <v>219</v>
      </c>
      <c r="S119" s="15" t="s">
        <v>133</v>
      </c>
      <c r="T119" s="15" t="s">
        <v>59</v>
      </c>
      <c r="U119" s="16">
        <v>2026.0</v>
      </c>
      <c r="V119" s="16">
        <v>6.0</v>
      </c>
      <c r="W119" s="16">
        <v>1.081875294E9</v>
      </c>
      <c r="X119" s="16">
        <v>1.081893766E9</v>
      </c>
      <c r="Y119" s="17">
        <v>46182.0</v>
      </c>
      <c r="Z119" s="17">
        <v>46207.0</v>
      </c>
      <c r="AA119" s="16">
        <v>53994.58</v>
      </c>
      <c r="AB119" s="16">
        <v>53994.58</v>
      </c>
      <c r="AC119" s="16">
        <v>-1650.7</v>
      </c>
      <c r="AD119" s="16">
        <v>0.0</v>
      </c>
      <c r="AE119" s="16">
        <v>4060.28</v>
      </c>
      <c r="AF119" s="16">
        <v>0.0</v>
      </c>
      <c r="AG119" s="16">
        <v>0.0</v>
      </c>
      <c r="AH119" s="16">
        <v>0.0</v>
      </c>
      <c r="AI119" s="16">
        <v>0.0</v>
      </c>
      <c r="AJ119" s="16">
        <v>53994.58</v>
      </c>
      <c r="AK119" s="16">
        <v>337498.7</v>
      </c>
      <c r="AL119" s="16">
        <v>6.0</v>
      </c>
      <c r="AM119" s="16">
        <v>242.77</v>
      </c>
      <c r="AN119" s="16">
        <v>0.0</v>
      </c>
      <c r="AO119" s="18"/>
      <c r="AP119" s="18"/>
      <c r="AQ119" s="18"/>
      <c r="AR119" s="18"/>
      <c r="AS119" s="11" t="str">
        <f>VLOOKUP(C119,'mayo-26'!B:AS,44,0)</f>
        <v/>
      </c>
      <c r="AT119" s="12" t="str">
        <f>VLOOKUP(C119,'mayo-26'!B:AT,45,0)</f>
        <v>VERIFICADOR</v>
      </c>
      <c r="AU119" s="16"/>
      <c r="AV119" s="16"/>
      <c r="AW119" s="16"/>
    </row>
    <row r="120" ht="14.25" customHeight="1">
      <c r="A120" s="15" t="s">
        <v>340</v>
      </c>
      <c r="B120" s="16">
        <v>125141.0</v>
      </c>
      <c r="C120" s="16">
        <v>125140.0</v>
      </c>
      <c r="D120" s="16">
        <v>125140.0</v>
      </c>
      <c r="E120" s="16">
        <v>590301.0</v>
      </c>
      <c r="F120" s="16">
        <v>590301.0</v>
      </c>
      <c r="G120" s="15" t="s">
        <v>341</v>
      </c>
      <c r="H120" s="15" t="s">
        <v>342</v>
      </c>
      <c r="I120" s="1" t="str">
        <f>VLOOKUP(C120,'mayo-26'!B:H,7,0)</f>
        <v>AVE 3 # 13-82</v>
      </c>
      <c r="J120" s="1" t="s">
        <v>343</v>
      </c>
      <c r="K120" s="10" t="str">
        <f>VLOOKUP(C120,'mayo-26'!B:J,9,0)</f>
        <v>NO</v>
      </c>
      <c r="L120" s="1" t="str">
        <f>VLOOKUP(C120,'mayo-26'!B:K,10,0)</f>
        <v>NO</v>
      </c>
      <c r="M120" s="15" t="s">
        <v>52</v>
      </c>
      <c r="N120" s="15" t="s">
        <v>89</v>
      </c>
      <c r="O120" s="15" t="s">
        <v>130</v>
      </c>
      <c r="P120" s="15" t="s">
        <v>126</v>
      </c>
      <c r="Q120" s="15" t="s">
        <v>131</v>
      </c>
      <c r="R120" s="15" t="s">
        <v>132</v>
      </c>
      <c r="S120" s="15" t="s">
        <v>133</v>
      </c>
      <c r="T120" s="15" t="s">
        <v>59</v>
      </c>
      <c r="U120" s="16">
        <v>2026.0</v>
      </c>
      <c r="V120" s="16">
        <v>6.0</v>
      </c>
      <c r="W120" s="16">
        <v>1.081875091E9</v>
      </c>
      <c r="X120" s="16">
        <v>1.081893563E9</v>
      </c>
      <c r="Y120" s="17">
        <v>46182.0</v>
      </c>
      <c r="Z120" s="17">
        <v>46207.0</v>
      </c>
      <c r="AA120" s="16">
        <v>113276.9</v>
      </c>
      <c r="AB120" s="16">
        <v>113276.9</v>
      </c>
      <c r="AC120" s="16">
        <v>37709.5</v>
      </c>
      <c r="AD120" s="16">
        <v>0.0</v>
      </c>
      <c r="AE120" s="16">
        <v>148.4</v>
      </c>
      <c r="AF120" s="16">
        <v>0.0</v>
      </c>
      <c r="AG120" s="16">
        <v>0.0</v>
      </c>
      <c r="AH120" s="16">
        <v>0.0</v>
      </c>
      <c r="AI120" s="16">
        <v>0.0</v>
      </c>
      <c r="AJ120" s="16">
        <v>113276.9</v>
      </c>
      <c r="AK120" s="16">
        <v>113276.9</v>
      </c>
      <c r="AL120" s="16">
        <v>0.0</v>
      </c>
      <c r="AM120" s="16">
        <v>376.2</v>
      </c>
      <c r="AN120" s="16">
        <v>0.0</v>
      </c>
      <c r="AO120" s="18"/>
      <c r="AP120" s="18"/>
      <c r="AQ120" s="18"/>
      <c r="AR120" s="18"/>
      <c r="AS120" s="11" t="str">
        <f>VLOOKUP(C120,'mayo-26'!B:AS,44,0)</f>
        <v>facturaelectronicacucuta@unisimon.edu.co; 890104633_201@FACTURENINBOX.CO</v>
      </c>
      <c r="AT120" s="12" t="str">
        <f>VLOOKUP(C120,'mayo-26'!B:AT,45,0)</f>
        <v>CORREO ELECTRONICO CERTIFICADO 472</v>
      </c>
      <c r="AU120" s="16"/>
      <c r="AV120" s="16"/>
      <c r="AW120" s="16"/>
    </row>
    <row r="121" ht="14.25" customHeight="1">
      <c r="A121" s="15" t="s">
        <v>344</v>
      </c>
      <c r="B121" s="16">
        <v>699.0</v>
      </c>
      <c r="C121" s="16">
        <v>210448.0</v>
      </c>
      <c r="D121" s="16">
        <v>210448.0</v>
      </c>
      <c r="E121" s="16">
        <v>32901.0</v>
      </c>
      <c r="F121" s="16">
        <v>32901.0</v>
      </c>
      <c r="G121" s="16">
        <v>9.00480569E8</v>
      </c>
      <c r="H121" s="15" t="s">
        <v>141</v>
      </c>
      <c r="I121" s="1" t="str">
        <f>VLOOKUP(C121,'mayo-26'!B:H,7,0)</f>
        <v>CLL 12 4-52 CENTRO</v>
      </c>
      <c r="J121" s="1" t="s">
        <v>196</v>
      </c>
      <c r="K121" s="10" t="str">
        <f>VLOOKUP(C121,'mayo-26'!B:J,9,0)</f>
        <v>NO</v>
      </c>
      <c r="L121" s="1" t="str">
        <f>VLOOKUP(C121,'mayo-26'!B:K,10,0)</f>
        <v>ARA CUCUTA</v>
      </c>
      <c r="M121" s="15" t="s">
        <v>52</v>
      </c>
      <c r="N121" s="15" t="s">
        <v>138</v>
      </c>
      <c r="O121" s="15" t="s">
        <v>130</v>
      </c>
      <c r="P121" s="15" t="s">
        <v>126</v>
      </c>
      <c r="Q121" s="15" t="s">
        <v>56</v>
      </c>
      <c r="R121" s="15" t="s">
        <v>90</v>
      </c>
      <c r="S121" s="15" t="s">
        <v>143</v>
      </c>
      <c r="T121" s="15" t="s">
        <v>59</v>
      </c>
      <c r="U121" s="16">
        <v>2026.0</v>
      </c>
      <c r="V121" s="16">
        <v>6.0</v>
      </c>
      <c r="W121" s="16">
        <v>1.081875097E9</v>
      </c>
      <c r="X121" s="16">
        <v>1.081893569E9</v>
      </c>
      <c r="Y121" s="17">
        <v>46182.0</v>
      </c>
      <c r="Z121" s="17">
        <v>46207.0</v>
      </c>
      <c r="AA121" s="16">
        <v>571111.99</v>
      </c>
      <c r="AB121" s="16">
        <v>571111.99</v>
      </c>
      <c r="AC121" s="16">
        <v>190370.67</v>
      </c>
      <c r="AD121" s="16">
        <v>1808.0</v>
      </c>
      <c r="AE121" s="16">
        <v>0.0</v>
      </c>
      <c r="AF121" s="16">
        <v>0.0</v>
      </c>
      <c r="AG121" s="16">
        <v>0.0</v>
      </c>
      <c r="AH121" s="16">
        <v>0.0</v>
      </c>
      <c r="AI121" s="16">
        <v>0.0</v>
      </c>
      <c r="AJ121" s="16">
        <v>571111.99</v>
      </c>
      <c r="AK121" s="16">
        <v>1143122.43</v>
      </c>
      <c r="AL121" s="16">
        <v>1.0</v>
      </c>
      <c r="AM121" s="16">
        <v>376.2</v>
      </c>
      <c r="AN121" s="16">
        <v>0.0</v>
      </c>
      <c r="AO121" s="18"/>
      <c r="AP121" s="18"/>
      <c r="AQ121" s="18"/>
      <c r="AR121" s="18"/>
      <c r="AS121" s="11" t="str">
        <f>VLOOKUP(C121,'mayo-26'!B:AS,44,0)</f>
        <v>COORDINADOR.OPERACIONES.R11@JERONIMO-MARTINS.COM</v>
      </c>
      <c r="AT121" s="12" t="str">
        <f>VLOOKUP(C121,'mayo-26'!B:AT,45,0)</f>
        <v>CORREO ELECTRONICO CERTIFICADO 472</v>
      </c>
      <c r="AU121" s="16"/>
      <c r="AV121" s="16"/>
      <c r="AW121" s="16"/>
    </row>
    <row r="122" ht="14.25" customHeight="1">
      <c r="A122" s="15" t="s">
        <v>345</v>
      </c>
      <c r="B122" s="16">
        <v>699.0</v>
      </c>
      <c r="C122" s="16">
        <v>217824.0</v>
      </c>
      <c r="D122" s="16">
        <v>217824.0</v>
      </c>
      <c r="E122" s="16">
        <v>40634.0</v>
      </c>
      <c r="F122" s="16">
        <v>40634.0</v>
      </c>
      <c r="G122" s="16">
        <v>9.00480569E8</v>
      </c>
      <c r="H122" s="15" t="s">
        <v>141</v>
      </c>
      <c r="I122" s="1" t="str">
        <f>VLOOKUP(C122,'mayo-26'!B:H,7,0)</f>
        <v>CLL 12 4-52 CENTRO</v>
      </c>
      <c r="J122" s="1" t="s">
        <v>253</v>
      </c>
      <c r="K122" s="10" t="str">
        <f>VLOOKUP(C122,'mayo-26'!B:J,9,0)</f>
        <v>NO</v>
      </c>
      <c r="L122" s="1" t="str">
        <f>VLOOKUP(C122,'mayo-26'!B:K,10,0)</f>
        <v>ARA CUCUTA</v>
      </c>
      <c r="M122" s="15" t="s">
        <v>52</v>
      </c>
      <c r="N122" s="15" t="s">
        <v>138</v>
      </c>
      <c r="O122" s="15" t="s">
        <v>130</v>
      </c>
      <c r="P122" s="15" t="s">
        <v>126</v>
      </c>
      <c r="Q122" s="15" t="s">
        <v>56</v>
      </c>
      <c r="R122" s="15" t="s">
        <v>90</v>
      </c>
      <c r="S122" s="15" t="s">
        <v>143</v>
      </c>
      <c r="T122" s="15" t="s">
        <v>59</v>
      </c>
      <c r="U122" s="16">
        <v>2026.0</v>
      </c>
      <c r="V122" s="16">
        <v>6.0</v>
      </c>
      <c r="W122" s="16">
        <v>1.081875101E9</v>
      </c>
      <c r="X122" s="16">
        <v>1.081893573E9</v>
      </c>
      <c r="Y122" s="17">
        <v>46182.0</v>
      </c>
      <c r="Z122" s="17">
        <v>46207.0</v>
      </c>
      <c r="AA122" s="16">
        <v>390361.76</v>
      </c>
      <c r="AB122" s="16">
        <v>390361.76</v>
      </c>
      <c r="AC122" s="16">
        <v>130120.59</v>
      </c>
      <c r="AD122" s="16">
        <v>1173.0</v>
      </c>
      <c r="AE122" s="16">
        <v>0.0</v>
      </c>
      <c r="AF122" s="16">
        <v>0.0</v>
      </c>
      <c r="AG122" s="16">
        <v>0.0</v>
      </c>
      <c r="AH122" s="16">
        <v>0.0</v>
      </c>
      <c r="AI122" s="16">
        <v>0.0</v>
      </c>
      <c r="AJ122" s="16">
        <v>390361.76</v>
      </c>
      <c r="AK122" s="16">
        <v>781577.22</v>
      </c>
      <c r="AL122" s="16">
        <v>1.0</v>
      </c>
      <c r="AM122" s="16">
        <v>376.2</v>
      </c>
      <c r="AN122" s="16">
        <v>0.0</v>
      </c>
      <c r="AO122" s="18"/>
      <c r="AP122" s="18"/>
      <c r="AQ122" s="18"/>
      <c r="AR122" s="18"/>
      <c r="AS122" s="11" t="str">
        <f>VLOOKUP(C122,'mayo-26'!B:AS,44,0)</f>
        <v>COORDINADOR.OPERACIONES.R11@JERONIMO-MARTINS.COM</v>
      </c>
      <c r="AT122" s="12" t="str">
        <f>VLOOKUP(C122,'mayo-26'!B:AT,45,0)</f>
        <v>CORREO ELECTRONICO CERTIFICADO 472</v>
      </c>
      <c r="AU122" s="16"/>
      <c r="AV122" s="16"/>
      <c r="AW122" s="16"/>
    </row>
    <row r="123" ht="14.25" customHeight="1">
      <c r="A123" s="15" t="s">
        <v>346</v>
      </c>
      <c r="B123" s="16">
        <v>297.0</v>
      </c>
      <c r="C123" s="16">
        <v>221700.0</v>
      </c>
      <c r="D123" s="16">
        <v>221700.0</v>
      </c>
      <c r="E123" s="16">
        <v>44643.0</v>
      </c>
      <c r="F123" s="16">
        <v>44643.0</v>
      </c>
      <c r="G123" s="15" t="s">
        <v>135</v>
      </c>
      <c r="H123" s="15" t="s">
        <v>136</v>
      </c>
      <c r="I123" s="1" t="str">
        <f>VLOOKUP(C123,'mayo-26'!B:H,7,0)</f>
        <v>AVE 4 17-89 - 0239431</v>
      </c>
      <c r="J123" s="1" t="s">
        <v>198</v>
      </c>
      <c r="K123" s="10" t="str">
        <f>VLOOKUP(C123,'mayo-26'!B:J,9,0)</f>
        <v>NO</v>
      </c>
      <c r="L123" s="1" t="str">
        <f>VLOOKUP(C123,'mayo-26'!B:K,10,0)</f>
        <v>IMSALUD</v>
      </c>
      <c r="M123" s="15" t="s">
        <v>52</v>
      </c>
      <c r="N123" s="15" t="s">
        <v>138</v>
      </c>
      <c r="O123" s="15" t="s">
        <v>130</v>
      </c>
      <c r="P123" s="15" t="s">
        <v>126</v>
      </c>
      <c r="Q123" s="15" t="s">
        <v>131</v>
      </c>
      <c r="R123" s="15" t="s">
        <v>151</v>
      </c>
      <c r="S123" s="15" t="s">
        <v>133</v>
      </c>
      <c r="T123" s="15" t="s">
        <v>59</v>
      </c>
      <c r="U123" s="16">
        <v>2026.0</v>
      </c>
      <c r="V123" s="16">
        <v>6.0</v>
      </c>
      <c r="W123" s="16">
        <v>1.081875105E9</v>
      </c>
      <c r="X123" s="16">
        <v>1.081893577E9</v>
      </c>
      <c r="Y123" s="17">
        <v>46182.0</v>
      </c>
      <c r="Z123" s="17">
        <v>46207.0</v>
      </c>
      <c r="AA123" s="16">
        <v>75419.0</v>
      </c>
      <c r="AB123" s="16">
        <v>75419.0</v>
      </c>
      <c r="AC123" s="16">
        <v>0.0</v>
      </c>
      <c r="AD123" s="16">
        <v>0.0</v>
      </c>
      <c r="AE123" s="16">
        <v>0.0</v>
      </c>
      <c r="AF123" s="16">
        <v>0.0</v>
      </c>
      <c r="AG123" s="16">
        <v>0.0</v>
      </c>
      <c r="AH123" s="16">
        <v>0.0</v>
      </c>
      <c r="AI123" s="16">
        <v>0.0</v>
      </c>
      <c r="AJ123" s="16">
        <v>75419.0</v>
      </c>
      <c r="AK123" s="16">
        <v>75419.0</v>
      </c>
      <c r="AL123" s="16">
        <v>0.0</v>
      </c>
      <c r="AM123" s="16">
        <v>250.8</v>
      </c>
      <c r="AN123" s="16">
        <v>0.0</v>
      </c>
      <c r="AO123" s="18"/>
      <c r="AP123" s="18"/>
      <c r="AQ123" s="18"/>
      <c r="AR123" s="18"/>
      <c r="AS123" s="11" t="str">
        <f>VLOOKUP(C123,'mayo-26'!B:AS,44,0)</f>
        <v>SUBFINANCIERA@IMSALUD.GOV.CO</v>
      </c>
      <c r="AT123" s="12" t="str">
        <f>VLOOKUP(C123,'mayo-26'!B:AT,45,0)</f>
        <v>CORREO ELECTRONICO CERTIFICADO 472</v>
      </c>
      <c r="AU123" s="16"/>
      <c r="AV123" s="16"/>
      <c r="AW123" s="16"/>
    </row>
    <row r="124" ht="14.25" customHeight="1">
      <c r="A124" s="15" t="s">
        <v>347</v>
      </c>
      <c r="B124" s="16">
        <v>280920.0</v>
      </c>
      <c r="C124" s="16">
        <v>223224.0</v>
      </c>
      <c r="D124" s="16">
        <v>223224.0</v>
      </c>
      <c r="E124" s="16">
        <v>46259.0</v>
      </c>
      <c r="F124" s="16">
        <v>46259.0</v>
      </c>
      <c r="G124" s="16">
        <v>9.00576569E8</v>
      </c>
      <c r="H124" s="15" t="s">
        <v>161</v>
      </c>
      <c r="I124" s="1" t="str">
        <f>VLOOKUP(C124,'mayo-26'!B:H,7,0)</f>
        <v>AVE 12 5AN-84 1142</v>
      </c>
      <c r="J124" s="1" t="s">
        <v>137</v>
      </c>
      <c r="K124" s="10" t="str">
        <f>VLOOKUP(C124,'mayo-26'!B:J,9,0)</f>
        <v>NO</v>
      </c>
      <c r="L124" s="1" t="str">
        <f>VLOOKUP(C124,'mayo-26'!B:K,10,0)</f>
        <v>BETEL</v>
      </c>
      <c r="M124" s="15" t="s">
        <v>52</v>
      </c>
      <c r="N124" s="15" t="s">
        <v>89</v>
      </c>
      <c r="O124" s="15" t="s">
        <v>130</v>
      </c>
      <c r="P124" s="15" t="s">
        <v>126</v>
      </c>
      <c r="Q124" s="15" t="s">
        <v>131</v>
      </c>
      <c r="R124" s="15" t="s">
        <v>132</v>
      </c>
      <c r="S124" s="15" t="s">
        <v>133</v>
      </c>
      <c r="T124" s="15" t="s">
        <v>59</v>
      </c>
      <c r="U124" s="16">
        <v>2026.0</v>
      </c>
      <c r="V124" s="16">
        <v>6.0</v>
      </c>
      <c r="W124" s="16">
        <v>1.081875112E9</v>
      </c>
      <c r="X124" s="16">
        <v>1.081893584E9</v>
      </c>
      <c r="Y124" s="17">
        <v>46182.0</v>
      </c>
      <c r="Z124" s="17">
        <v>46207.0</v>
      </c>
      <c r="AA124" s="16">
        <v>125758.24</v>
      </c>
      <c r="AB124" s="16">
        <v>125758.24</v>
      </c>
      <c r="AC124" s="16">
        <v>37709.5</v>
      </c>
      <c r="AD124" s="16">
        <v>0.0</v>
      </c>
      <c r="AE124" s="16">
        <v>12629.74</v>
      </c>
      <c r="AF124" s="16">
        <v>0.0</v>
      </c>
      <c r="AG124" s="16">
        <v>0.0</v>
      </c>
      <c r="AH124" s="16">
        <v>0.0</v>
      </c>
      <c r="AI124" s="16">
        <v>0.0</v>
      </c>
      <c r="AJ124" s="16">
        <v>125758.24</v>
      </c>
      <c r="AK124" s="16">
        <v>892235.33</v>
      </c>
      <c r="AL124" s="16">
        <v>8.0</v>
      </c>
      <c r="AM124" s="16">
        <v>376.2</v>
      </c>
      <c r="AN124" s="16">
        <v>0.0</v>
      </c>
      <c r="AO124" s="18"/>
      <c r="AP124" s="18"/>
      <c r="AQ124" s="18"/>
      <c r="AR124" s="18"/>
      <c r="AS124" s="11" t="str">
        <f>VLOOKUP(C124,'mayo-26'!B:AS,44,0)</f>
        <v>COORDTESORERIASUPERBETEL@GMAIL.COM</v>
      </c>
      <c r="AT124" s="12" t="str">
        <f>VLOOKUP(C124,'mayo-26'!B:AT,45,0)</f>
        <v>CORREO ELECTRONICO CERTIFICADO 472</v>
      </c>
      <c r="AU124" s="16"/>
      <c r="AV124" s="16"/>
      <c r="AW124" s="16"/>
    </row>
    <row r="125" ht="14.25" customHeight="1">
      <c r="A125" s="15" t="s">
        <v>348</v>
      </c>
      <c r="B125" s="16">
        <v>228357.0</v>
      </c>
      <c r="C125" s="16">
        <v>228356.0</v>
      </c>
      <c r="D125" s="16">
        <v>228356.0</v>
      </c>
      <c r="E125" s="16">
        <v>154946.0</v>
      </c>
      <c r="F125" s="16">
        <v>154946.0</v>
      </c>
      <c r="G125" s="15" t="s">
        <v>349</v>
      </c>
      <c r="H125" s="15" t="s">
        <v>350</v>
      </c>
      <c r="I125" s="1" t="str">
        <f>VLOOKUP(C125,'mayo-26'!B:H,7,0)</f>
        <v>AVE 5 2N-80 1077</v>
      </c>
      <c r="J125" s="1" t="s">
        <v>106</v>
      </c>
      <c r="K125" s="10" t="str">
        <f>VLOOKUP(C125,'mayo-26'!B:J,9,0)</f>
        <v>NO</v>
      </c>
      <c r="L125" s="1" t="str">
        <f>VLOOKUP(C125,'mayo-26'!B:K,10,0)</f>
        <v>NO</v>
      </c>
      <c r="M125" s="15" t="s">
        <v>52</v>
      </c>
      <c r="N125" s="15" t="s">
        <v>89</v>
      </c>
      <c r="O125" s="15" t="s">
        <v>130</v>
      </c>
      <c r="P125" s="15" t="s">
        <v>126</v>
      </c>
      <c r="Q125" s="15" t="s">
        <v>56</v>
      </c>
      <c r="R125" s="15" t="s">
        <v>57</v>
      </c>
      <c r="S125" s="15" t="s">
        <v>58</v>
      </c>
      <c r="T125" s="15" t="s">
        <v>59</v>
      </c>
      <c r="U125" s="16">
        <v>2026.0</v>
      </c>
      <c r="V125" s="16">
        <v>6.0</v>
      </c>
      <c r="W125" s="16">
        <v>1.081875114E9</v>
      </c>
      <c r="X125" s="16">
        <v>1.081893586E9</v>
      </c>
      <c r="Y125" s="17">
        <v>46182.0</v>
      </c>
      <c r="Z125" s="17">
        <v>46207.0</v>
      </c>
      <c r="AA125" s="16">
        <v>3534049.71</v>
      </c>
      <c r="AB125" s="16">
        <v>3534049.71</v>
      </c>
      <c r="AC125" s="16">
        <v>0.0</v>
      </c>
      <c r="AD125" s="16">
        <v>18425.0</v>
      </c>
      <c r="AE125" s="16">
        <v>0.0</v>
      </c>
      <c r="AF125" s="16">
        <v>0.0</v>
      </c>
      <c r="AG125" s="16">
        <v>0.0</v>
      </c>
      <c r="AH125" s="16">
        <v>0.0</v>
      </c>
      <c r="AI125" s="16">
        <v>0.0</v>
      </c>
      <c r="AJ125" s="16">
        <v>3534049.71</v>
      </c>
      <c r="AK125" s="16">
        <v>3534049.71</v>
      </c>
      <c r="AL125" s="16">
        <v>0.0</v>
      </c>
      <c r="AM125" s="16">
        <v>250.8</v>
      </c>
      <c r="AN125" s="16">
        <v>0.0</v>
      </c>
      <c r="AO125" s="18"/>
      <c r="AP125" s="18"/>
      <c r="AQ125" s="18"/>
      <c r="AR125" s="18"/>
      <c r="AS125" s="11" t="str">
        <f>VLOOKUP(C125,'mayo-26'!B:AS,44,0)</f>
        <v>jayalar@sena.edu.co</v>
      </c>
      <c r="AT125" s="12" t="str">
        <f>VLOOKUP(C125,'mayo-26'!B:AT,45,0)</f>
        <v>CORREO ELECTRONICO CERTIFICADO 472</v>
      </c>
      <c r="AU125" s="16"/>
      <c r="AV125" s="16"/>
      <c r="AW125" s="16"/>
    </row>
    <row r="126" ht="14.25" customHeight="1">
      <c r="A126" s="15" t="s">
        <v>351</v>
      </c>
      <c r="B126" s="16">
        <v>297.0</v>
      </c>
      <c r="C126" s="16">
        <v>231632.0</v>
      </c>
      <c r="D126" s="16">
        <v>231632.0</v>
      </c>
      <c r="E126" s="16">
        <v>206717.0</v>
      </c>
      <c r="F126" s="16">
        <v>206717.0</v>
      </c>
      <c r="G126" s="15" t="s">
        <v>135</v>
      </c>
      <c r="H126" s="15" t="s">
        <v>136</v>
      </c>
      <c r="I126" s="1" t="str">
        <f>VLOOKUP(C126,'mayo-26'!B:H,7,0)</f>
        <v>AVE 4 17-89 - 0239431</v>
      </c>
      <c r="J126" s="1" t="s">
        <v>137</v>
      </c>
      <c r="K126" s="10" t="str">
        <f>VLOOKUP(C126,'mayo-26'!B:J,9,0)</f>
        <v>NO</v>
      </c>
      <c r="L126" s="1" t="str">
        <f>VLOOKUP(C126,'mayo-26'!B:K,10,0)</f>
        <v>IMSALUD</v>
      </c>
      <c r="M126" s="15" t="s">
        <v>52</v>
      </c>
      <c r="N126" s="15" t="s">
        <v>138</v>
      </c>
      <c r="O126" s="15" t="s">
        <v>130</v>
      </c>
      <c r="P126" s="15" t="s">
        <v>126</v>
      </c>
      <c r="Q126" s="15" t="s">
        <v>56</v>
      </c>
      <c r="R126" s="15" t="s">
        <v>57</v>
      </c>
      <c r="S126" s="15" t="s">
        <v>143</v>
      </c>
      <c r="T126" s="15" t="s">
        <v>59</v>
      </c>
      <c r="U126" s="16">
        <v>2026.0</v>
      </c>
      <c r="V126" s="16">
        <v>6.0</v>
      </c>
      <c r="W126" s="16">
        <v>1.081875117E9</v>
      </c>
      <c r="X126" s="16">
        <v>1.081893589E9</v>
      </c>
      <c r="Y126" s="17">
        <v>46182.0</v>
      </c>
      <c r="Z126" s="17">
        <v>46207.0</v>
      </c>
      <c r="AA126" s="16">
        <v>104065.4</v>
      </c>
      <c r="AB126" s="16">
        <v>104065.4</v>
      </c>
      <c r="AC126" s="16">
        <v>0.0</v>
      </c>
      <c r="AD126" s="16">
        <v>350.0</v>
      </c>
      <c r="AE126" s="16">
        <v>0.0</v>
      </c>
      <c r="AF126" s="16">
        <v>0.0</v>
      </c>
      <c r="AG126" s="16">
        <v>0.0</v>
      </c>
      <c r="AH126" s="16">
        <v>0.0</v>
      </c>
      <c r="AI126" s="16">
        <v>0.0</v>
      </c>
      <c r="AJ126" s="16">
        <v>104065.4</v>
      </c>
      <c r="AK126" s="16">
        <v>104065.4</v>
      </c>
      <c r="AL126" s="16">
        <v>0.0</v>
      </c>
      <c r="AM126" s="16">
        <v>250.8</v>
      </c>
      <c r="AN126" s="16">
        <v>0.0</v>
      </c>
      <c r="AO126" s="18"/>
      <c r="AP126" s="18"/>
      <c r="AQ126" s="18"/>
      <c r="AR126" s="18"/>
      <c r="AS126" s="11" t="str">
        <f>VLOOKUP(C126,'mayo-26'!B:AS,44,0)</f>
        <v>SUBFINANCIERA@IMSALUD.GOV.CO</v>
      </c>
      <c r="AT126" s="12" t="str">
        <f>VLOOKUP(C126,'mayo-26'!B:AT,45,0)</f>
        <v>CORREO ELECTRONICO CERTIFICADO 472</v>
      </c>
      <c r="AU126" s="16"/>
      <c r="AV126" s="16"/>
      <c r="AW126" s="16"/>
    </row>
    <row r="127" ht="14.25" customHeight="1">
      <c r="A127" s="15" t="s">
        <v>352</v>
      </c>
      <c r="B127" s="16">
        <v>297.0</v>
      </c>
      <c r="C127" s="16">
        <v>232416.0</v>
      </c>
      <c r="D127" s="16">
        <v>232416.0</v>
      </c>
      <c r="E127" s="16">
        <v>215210.0</v>
      </c>
      <c r="F127" s="16">
        <v>215210.0</v>
      </c>
      <c r="G127" s="15" t="s">
        <v>135</v>
      </c>
      <c r="H127" s="15" t="s">
        <v>136</v>
      </c>
      <c r="I127" s="1" t="str">
        <f>VLOOKUP(C127,'mayo-26'!B:H,7,0)</f>
        <v>AVE 4 17-89 - 0239431</v>
      </c>
      <c r="J127" s="1" t="s">
        <v>353</v>
      </c>
      <c r="K127" s="10" t="str">
        <f>VLOOKUP(C127,'mayo-26'!B:J,9,0)</f>
        <v>NO</v>
      </c>
      <c r="L127" s="1" t="str">
        <f>VLOOKUP(C127,'mayo-26'!B:K,10,0)</f>
        <v>IMSALUD</v>
      </c>
      <c r="M127" s="15" t="s">
        <v>52</v>
      </c>
      <c r="N127" s="15" t="s">
        <v>138</v>
      </c>
      <c r="O127" s="15" t="s">
        <v>130</v>
      </c>
      <c r="P127" s="15" t="s">
        <v>126</v>
      </c>
      <c r="Q127" s="15" t="s">
        <v>56</v>
      </c>
      <c r="R127" s="15" t="s">
        <v>57</v>
      </c>
      <c r="S127" s="15" t="s">
        <v>143</v>
      </c>
      <c r="T127" s="15" t="s">
        <v>59</v>
      </c>
      <c r="U127" s="16">
        <v>2026.0</v>
      </c>
      <c r="V127" s="16">
        <v>6.0</v>
      </c>
      <c r="W127" s="16">
        <v>1.081875121E9</v>
      </c>
      <c r="X127" s="16">
        <v>1.081893593E9</v>
      </c>
      <c r="Y127" s="17">
        <v>46182.0</v>
      </c>
      <c r="Z127" s="17">
        <v>46207.0</v>
      </c>
      <c r="AA127" s="16">
        <v>105963.04</v>
      </c>
      <c r="AB127" s="16">
        <v>105963.04</v>
      </c>
      <c r="AC127" s="16">
        <v>0.0</v>
      </c>
      <c r="AD127" s="16">
        <v>360.0</v>
      </c>
      <c r="AE127" s="16">
        <v>0.0</v>
      </c>
      <c r="AF127" s="16">
        <v>0.0</v>
      </c>
      <c r="AG127" s="16">
        <v>0.0</v>
      </c>
      <c r="AH127" s="16">
        <v>0.0</v>
      </c>
      <c r="AI127" s="16">
        <v>0.0</v>
      </c>
      <c r="AJ127" s="16">
        <v>105963.04</v>
      </c>
      <c r="AK127" s="16">
        <v>105963.04</v>
      </c>
      <c r="AL127" s="16">
        <v>0.0</v>
      </c>
      <c r="AM127" s="16">
        <v>250.8</v>
      </c>
      <c r="AN127" s="16">
        <v>0.0</v>
      </c>
      <c r="AO127" s="18"/>
      <c r="AP127" s="18"/>
      <c r="AQ127" s="18"/>
      <c r="AR127" s="18"/>
      <c r="AS127" s="11" t="str">
        <f>VLOOKUP(C127,'mayo-26'!B:AS,44,0)</f>
        <v>SUBFINANCIERA@IMSALUD.GOV.CO</v>
      </c>
      <c r="AT127" s="12" t="str">
        <f>VLOOKUP(C127,'mayo-26'!B:AT,45,0)</f>
        <v>CORREO ELECTRONICO CERTIFICADO 472</v>
      </c>
      <c r="AU127" s="16"/>
      <c r="AV127" s="16"/>
      <c r="AW127" s="16"/>
    </row>
    <row r="128" ht="14.25" customHeight="1">
      <c r="A128" s="15" t="s">
        <v>354</v>
      </c>
      <c r="B128" s="16">
        <v>141.0</v>
      </c>
      <c r="C128" s="16">
        <v>238452.0</v>
      </c>
      <c r="D128" s="16">
        <v>238452.0</v>
      </c>
      <c r="E128" s="16">
        <v>313539.0</v>
      </c>
      <c r="F128" s="16">
        <v>313539.0</v>
      </c>
      <c r="G128" s="16">
        <v>8.90500514E8</v>
      </c>
      <c r="H128" s="15" t="s">
        <v>145</v>
      </c>
      <c r="I128" s="1" t="str">
        <f>VLOOKUP(C128,'mayo-26'!B:H,7,0)</f>
        <v>AV 2 CALLE 39 LIBERTAD</v>
      </c>
      <c r="J128" s="1" t="s">
        <v>157</v>
      </c>
      <c r="K128" s="10" t="str">
        <f>VLOOKUP(C128,'mayo-26'!B:J,9,0)</f>
        <v>NO</v>
      </c>
      <c r="L128" s="1" t="str">
        <f>VLOOKUP(C128,'mayo-26'!B:K,10,0)</f>
        <v>CENS</v>
      </c>
      <c r="M128" s="15" t="s">
        <v>52</v>
      </c>
      <c r="N128" s="15" t="s">
        <v>138</v>
      </c>
      <c r="O128" s="15" t="s">
        <v>130</v>
      </c>
      <c r="P128" s="15" t="s">
        <v>126</v>
      </c>
      <c r="Q128" s="15" t="s">
        <v>56</v>
      </c>
      <c r="R128" s="15" t="s">
        <v>90</v>
      </c>
      <c r="S128" s="15" t="s">
        <v>143</v>
      </c>
      <c r="T128" s="15" t="s">
        <v>59</v>
      </c>
      <c r="U128" s="16">
        <v>2026.0</v>
      </c>
      <c r="V128" s="16">
        <v>6.0</v>
      </c>
      <c r="W128" s="16">
        <v>1.081875124E9</v>
      </c>
      <c r="X128" s="16">
        <v>1.081893596E9</v>
      </c>
      <c r="Y128" s="17">
        <v>46182.0</v>
      </c>
      <c r="Z128" s="17">
        <v>46207.0</v>
      </c>
      <c r="AA128" s="16">
        <v>226690.33</v>
      </c>
      <c r="AB128" s="16">
        <v>226690.33</v>
      </c>
      <c r="AC128" s="16">
        <v>75563.45</v>
      </c>
      <c r="AD128" s="16">
        <v>598.0</v>
      </c>
      <c r="AE128" s="16">
        <v>0.0</v>
      </c>
      <c r="AF128" s="16">
        <v>0.0</v>
      </c>
      <c r="AG128" s="16">
        <v>0.0</v>
      </c>
      <c r="AH128" s="16">
        <v>0.0</v>
      </c>
      <c r="AI128" s="16">
        <v>0.0</v>
      </c>
      <c r="AJ128" s="16">
        <v>226690.33</v>
      </c>
      <c r="AK128" s="16">
        <v>226690.33</v>
      </c>
      <c r="AL128" s="16">
        <v>0.0</v>
      </c>
      <c r="AM128" s="16">
        <v>376.2</v>
      </c>
      <c r="AN128" s="16">
        <v>0.0</v>
      </c>
      <c r="AO128" s="18"/>
      <c r="AP128" s="18"/>
      <c r="AQ128" s="18"/>
      <c r="AR128" s="18"/>
      <c r="AS128" s="11" t="str">
        <f>VLOOKUP(C128,'mayo-26'!B:AS,44,0)</f>
        <v>FACTURAELECTRONICACENS@GRUPO-EPM.COM</v>
      </c>
      <c r="AT128" s="12" t="str">
        <f>VLOOKUP(C128,'mayo-26'!B:AT,45,0)</f>
        <v>CORREO ELECTRONICO CERTIFICADO 472</v>
      </c>
      <c r="AU128" s="16"/>
      <c r="AV128" s="16"/>
      <c r="AW128" s="16"/>
    </row>
    <row r="129" ht="14.25" customHeight="1">
      <c r="A129" s="15" t="s">
        <v>355</v>
      </c>
      <c r="B129" s="16">
        <v>699.0</v>
      </c>
      <c r="C129" s="16">
        <v>24176.0</v>
      </c>
      <c r="D129" s="16">
        <v>24176.0</v>
      </c>
      <c r="E129" s="16">
        <v>207240.0</v>
      </c>
      <c r="F129" s="16">
        <v>207240.0</v>
      </c>
      <c r="G129" s="16">
        <v>9.00480569E8</v>
      </c>
      <c r="H129" s="15" t="s">
        <v>141</v>
      </c>
      <c r="I129" s="1" t="str">
        <f>VLOOKUP(C129,'mayo-26'!B:H,7,0)</f>
        <v>CLL 12 4-52 CENTRO</v>
      </c>
      <c r="J129" s="1" t="s">
        <v>356</v>
      </c>
      <c r="K129" s="10" t="str">
        <f>VLOOKUP(C129,'mayo-26'!B:J,9,0)</f>
        <v>NO</v>
      </c>
      <c r="L129" s="1" t="str">
        <f>VLOOKUP(C129,'mayo-26'!B:K,10,0)</f>
        <v>ARA CUCUTA</v>
      </c>
      <c r="M129" s="15" t="s">
        <v>52</v>
      </c>
      <c r="N129" s="15" t="s">
        <v>53</v>
      </c>
      <c r="O129" s="15" t="s">
        <v>130</v>
      </c>
      <c r="P129" s="15" t="s">
        <v>126</v>
      </c>
      <c r="Q129" s="15" t="s">
        <v>56</v>
      </c>
      <c r="R129" s="15" t="s">
        <v>90</v>
      </c>
      <c r="S129" s="15" t="s">
        <v>143</v>
      </c>
      <c r="T129" s="15" t="s">
        <v>59</v>
      </c>
      <c r="U129" s="16">
        <v>2026.0</v>
      </c>
      <c r="V129" s="16">
        <v>6.0</v>
      </c>
      <c r="W129" s="16">
        <v>1.081875088E9</v>
      </c>
      <c r="X129" s="16">
        <v>1.08189356E9</v>
      </c>
      <c r="Y129" s="17">
        <v>46182.0</v>
      </c>
      <c r="Z129" s="17">
        <v>46207.0</v>
      </c>
      <c r="AA129" s="16">
        <v>206875.96</v>
      </c>
      <c r="AB129" s="16">
        <v>206875.96</v>
      </c>
      <c r="AC129" s="16">
        <v>66265.0</v>
      </c>
      <c r="AD129" s="16">
        <v>500.0</v>
      </c>
      <c r="AE129" s="16">
        <v>8080.96</v>
      </c>
      <c r="AF129" s="16">
        <v>0.0</v>
      </c>
      <c r="AG129" s="16">
        <v>0.0</v>
      </c>
      <c r="AH129" s="16">
        <v>0.0</v>
      </c>
      <c r="AI129" s="16">
        <v>0.0</v>
      </c>
      <c r="AJ129" s="16">
        <v>206875.96</v>
      </c>
      <c r="AK129" s="16">
        <v>620378.7</v>
      </c>
      <c r="AL129" s="16">
        <v>2.0</v>
      </c>
      <c r="AM129" s="16">
        <v>376.2</v>
      </c>
      <c r="AN129" s="16">
        <v>0.0</v>
      </c>
      <c r="AO129" s="18"/>
      <c r="AP129" s="18"/>
      <c r="AQ129" s="18"/>
      <c r="AR129" s="18"/>
      <c r="AS129" s="11" t="str">
        <f>VLOOKUP(C129,'mayo-26'!B:AS,44,0)</f>
        <v>COORDINADOR.OPERACIONES.R11@JERONIMO-MARTINS.COM</v>
      </c>
      <c r="AT129" s="12" t="str">
        <f>VLOOKUP(C129,'mayo-26'!B:AT,45,0)</f>
        <v>CORREO ELECTRONICO CERTIFICADO 472</v>
      </c>
      <c r="AU129" s="16"/>
      <c r="AV129" s="16"/>
      <c r="AW129" s="16"/>
    </row>
    <row r="130" ht="14.25" customHeight="1">
      <c r="A130" s="15" t="s">
        <v>357</v>
      </c>
      <c r="B130" s="16">
        <v>285191.0</v>
      </c>
      <c r="C130" s="16">
        <v>248380.0</v>
      </c>
      <c r="D130" s="16">
        <v>248380.0</v>
      </c>
      <c r="E130" s="16">
        <v>533675.0</v>
      </c>
      <c r="F130" s="16">
        <v>533675.0</v>
      </c>
      <c r="G130" s="16">
        <v>9.00276962E8</v>
      </c>
      <c r="H130" s="15" t="s">
        <v>128</v>
      </c>
      <c r="I130" s="1" t="str">
        <f>VLOOKUP(C130,'mayo-26'!B:H,7,0)</f>
        <v>KDX 73-2 1116</v>
      </c>
      <c r="J130" s="1" t="s">
        <v>142</v>
      </c>
      <c r="K130" s="10" t="str">
        <f>VLOOKUP(C130,'mayo-26'!B:J,9,0)</f>
        <v>NO</v>
      </c>
      <c r="L130" s="1" t="str">
        <f>VLOOKUP(C130,'mayo-26'!B:K,10,0)</f>
        <v>D1</v>
      </c>
      <c r="M130" s="15" t="s">
        <v>52</v>
      </c>
      <c r="N130" s="15" t="s">
        <v>89</v>
      </c>
      <c r="O130" s="15" t="s">
        <v>130</v>
      </c>
      <c r="P130" s="15" t="s">
        <v>126</v>
      </c>
      <c r="Q130" s="15" t="s">
        <v>131</v>
      </c>
      <c r="R130" s="15" t="s">
        <v>132</v>
      </c>
      <c r="S130" s="15" t="s">
        <v>133</v>
      </c>
      <c r="T130" s="15" t="s">
        <v>59</v>
      </c>
      <c r="U130" s="16">
        <v>2026.0</v>
      </c>
      <c r="V130" s="16">
        <v>6.0</v>
      </c>
      <c r="W130" s="16">
        <v>1.081875127E9</v>
      </c>
      <c r="X130" s="16">
        <v>1.081893599E9</v>
      </c>
      <c r="Y130" s="17">
        <v>46182.0</v>
      </c>
      <c r="Z130" s="17">
        <v>46207.0</v>
      </c>
      <c r="AA130" s="16">
        <v>113128.5</v>
      </c>
      <c r="AB130" s="16">
        <v>113128.5</v>
      </c>
      <c r="AC130" s="16">
        <v>37709.5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6">
        <v>0.0</v>
      </c>
      <c r="AJ130" s="16">
        <v>113128.5</v>
      </c>
      <c r="AK130" s="16">
        <v>113128.5</v>
      </c>
      <c r="AL130" s="16">
        <v>0.0</v>
      </c>
      <c r="AM130" s="16">
        <v>376.2</v>
      </c>
      <c r="AN130" s="16">
        <v>0.0</v>
      </c>
      <c r="AO130" s="18"/>
      <c r="AP130" s="18"/>
      <c r="AQ130" s="18"/>
      <c r="AR130" s="18"/>
      <c r="AS130" s="11" t="str">
        <f>VLOOKUP(C130,'mayo-26'!B:AS,44,0)</f>
        <v>ALBA.CELIS@D1.COM.CO;CARMEN.DAVILA@D1.COM.CO</v>
      </c>
      <c r="AT130" s="12" t="str">
        <f>VLOOKUP(C130,'mayo-26'!B:AT,45,0)</f>
        <v>CORREO ELECTRONICO CERTIFICADO 472</v>
      </c>
      <c r="AU130" s="16"/>
      <c r="AV130" s="16"/>
      <c r="AW130" s="16"/>
    </row>
    <row r="131" ht="14.25" customHeight="1">
      <c r="A131" s="15" t="s">
        <v>358</v>
      </c>
      <c r="B131" s="16">
        <v>285191.0</v>
      </c>
      <c r="C131" s="16">
        <v>255284.0</v>
      </c>
      <c r="D131" s="16">
        <v>255284.0</v>
      </c>
      <c r="E131" s="16">
        <v>577190.0</v>
      </c>
      <c r="F131" s="16">
        <v>577190.0</v>
      </c>
      <c r="G131" s="16">
        <v>9.00276962E8</v>
      </c>
      <c r="H131" s="15" t="s">
        <v>128</v>
      </c>
      <c r="I131" s="1" t="str">
        <f>VLOOKUP(C131,'mayo-26'!B:H,7,0)</f>
        <v>KDX 73-2 1116</v>
      </c>
      <c r="J131" s="1" t="s">
        <v>196</v>
      </c>
      <c r="K131" s="10" t="str">
        <f>VLOOKUP(C131,'mayo-26'!B:J,9,0)</f>
        <v>NO</v>
      </c>
      <c r="L131" s="1" t="str">
        <f>VLOOKUP(C131,'mayo-26'!B:K,10,0)</f>
        <v>D1</v>
      </c>
      <c r="M131" s="15" t="s">
        <v>52</v>
      </c>
      <c r="N131" s="15" t="s">
        <v>89</v>
      </c>
      <c r="O131" s="15" t="s">
        <v>130</v>
      </c>
      <c r="P131" s="15" t="s">
        <v>126</v>
      </c>
      <c r="Q131" s="15" t="s">
        <v>131</v>
      </c>
      <c r="R131" s="15" t="s">
        <v>132</v>
      </c>
      <c r="S131" s="15" t="s">
        <v>133</v>
      </c>
      <c r="T131" s="15" t="s">
        <v>59</v>
      </c>
      <c r="U131" s="16">
        <v>2026.0</v>
      </c>
      <c r="V131" s="16">
        <v>6.0</v>
      </c>
      <c r="W131" s="16">
        <v>1.081875132E9</v>
      </c>
      <c r="X131" s="16">
        <v>1.081893604E9</v>
      </c>
      <c r="Y131" s="17">
        <v>46182.0</v>
      </c>
      <c r="Z131" s="17">
        <v>46207.0</v>
      </c>
      <c r="AA131" s="16">
        <v>113128.5</v>
      </c>
      <c r="AB131" s="16">
        <v>113128.5</v>
      </c>
      <c r="AC131" s="16">
        <v>37709.5</v>
      </c>
      <c r="AD131" s="16">
        <v>0.0</v>
      </c>
      <c r="AE131" s="16">
        <v>0.0</v>
      </c>
      <c r="AF131" s="16">
        <v>0.0</v>
      </c>
      <c r="AG131" s="16">
        <v>0.0</v>
      </c>
      <c r="AH131" s="16">
        <v>0.0</v>
      </c>
      <c r="AI131" s="16">
        <v>0.0</v>
      </c>
      <c r="AJ131" s="16">
        <v>113128.5</v>
      </c>
      <c r="AK131" s="16">
        <v>113128.5</v>
      </c>
      <c r="AL131" s="16">
        <v>0.0</v>
      </c>
      <c r="AM131" s="16">
        <v>376.2</v>
      </c>
      <c r="AN131" s="16">
        <v>0.0</v>
      </c>
      <c r="AO131" s="18"/>
      <c r="AP131" s="18"/>
      <c r="AQ131" s="18"/>
      <c r="AR131" s="18"/>
      <c r="AS131" s="11" t="str">
        <f>VLOOKUP(C131,'mayo-26'!B:AS,44,0)</f>
        <v>ALBA.CELIS@D1.COM.CO;CARMEN.DAVILA@D1.COM.CO</v>
      </c>
      <c r="AT131" s="12" t="str">
        <f>VLOOKUP(C131,'mayo-26'!B:AT,45,0)</f>
        <v>CORREO ELECTRONICO CERTIFICADO 472</v>
      </c>
      <c r="AU131" s="16"/>
      <c r="AV131" s="16"/>
      <c r="AW131" s="16"/>
    </row>
    <row r="132" ht="14.25" customHeight="1">
      <c r="A132" s="15" t="s">
        <v>359</v>
      </c>
      <c r="B132" s="16">
        <v>271157.0</v>
      </c>
      <c r="C132" s="16">
        <v>271156.0</v>
      </c>
      <c r="D132" s="16">
        <v>271156.0</v>
      </c>
      <c r="E132" s="16">
        <v>689156.0</v>
      </c>
      <c r="F132" s="16">
        <v>689156.0</v>
      </c>
      <c r="G132" s="15" t="s">
        <v>360</v>
      </c>
      <c r="H132" s="15" t="s">
        <v>361</v>
      </c>
      <c r="I132" s="1" t="str">
        <f>VLOOKUP(C132,'mayo-26'!B:H,7,0)</f>
        <v>AVD AEROPUERTO CAMILO DAZA</v>
      </c>
      <c r="J132" s="1" t="s">
        <v>362</v>
      </c>
      <c r="K132" s="10" t="str">
        <f>VLOOKUP(C132,'mayo-26'!B:J,9,0)</f>
        <v>ZONA NORTE</v>
      </c>
      <c r="L132" s="1" t="str">
        <f>VLOOKUP(C132,'mayo-26'!B:K,10,0)</f>
        <v>NO</v>
      </c>
      <c r="M132" s="15" t="s">
        <v>52</v>
      </c>
      <c r="N132" s="15" t="s">
        <v>89</v>
      </c>
      <c r="O132" s="15" t="s">
        <v>130</v>
      </c>
      <c r="P132" s="15" t="s">
        <v>126</v>
      </c>
      <c r="Q132" s="15" t="s">
        <v>131</v>
      </c>
      <c r="R132" s="15" t="s">
        <v>363</v>
      </c>
      <c r="S132" s="15" t="s">
        <v>133</v>
      </c>
      <c r="T132" s="15" t="s">
        <v>59</v>
      </c>
      <c r="U132" s="16">
        <v>2026.0</v>
      </c>
      <c r="V132" s="16">
        <v>6.0</v>
      </c>
      <c r="W132" s="16">
        <v>1.081875135E9</v>
      </c>
      <c r="X132" s="16">
        <v>1.081893607E9</v>
      </c>
      <c r="Y132" s="17">
        <v>46182.0</v>
      </c>
      <c r="Z132" s="17">
        <v>46207.0</v>
      </c>
      <c r="AA132" s="16">
        <v>77191.12</v>
      </c>
      <c r="AB132" s="16">
        <v>77191.12</v>
      </c>
      <c r="AC132" s="16">
        <v>25122.0</v>
      </c>
      <c r="AD132" s="16">
        <v>0.0</v>
      </c>
      <c r="AE132" s="16">
        <v>1825.12</v>
      </c>
      <c r="AF132" s="16">
        <v>0.0</v>
      </c>
      <c r="AG132" s="16">
        <v>0.0</v>
      </c>
      <c r="AH132" s="16">
        <v>0.0</v>
      </c>
      <c r="AI132" s="16">
        <v>0.0</v>
      </c>
      <c r="AJ132" s="16">
        <v>77191.12</v>
      </c>
      <c r="AK132" s="16">
        <v>209313.8</v>
      </c>
      <c r="AL132" s="16">
        <v>2.0</v>
      </c>
      <c r="AM132" s="16">
        <v>376.2</v>
      </c>
      <c r="AN132" s="16">
        <v>0.0</v>
      </c>
      <c r="AO132" s="18"/>
      <c r="AP132" s="18"/>
      <c r="AQ132" s="18"/>
      <c r="AR132" s="18"/>
      <c r="AS132" s="11" t="str">
        <f>VLOOKUP(C132,'mayo-26'!B:AS,44,0)</f>
        <v>CARLOS.PICON@AEROORIENTE.COM.CO</v>
      </c>
      <c r="AT132" s="12" t="str">
        <f>VLOOKUP(C132,'mayo-26'!B:AT,45,0)</f>
        <v>VERIFICADOR</v>
      </c>
      <c r="AU132" s="16"/>
      <c r="AV132" s="16"/>
      <c r="AW132" s="16"/>
    </row>
    <row r="133" ht="14.25" customHeight="1">
      <c r="A133" s="15" t="s">
        <v>364</v>
      </c>
      <c r="B133" s="16">
        <v>285477.0</v>
      </c>
      <c r="C133" s="16">
        <v>285476.0</v>
      </c>
      <c r="D133" s="16">
        <v>285476.0</v>
      </c>
      <c r="E133" s="16">
        <v>60519.0</v>
      </c>
      <c r="F133" s="16">
        <v>60519.0</v>
      </c>
      <c r="G133" s="16">
        <v>60519.0</v>
      </c>
      <c r="H133" s="15" t="s">
        <v>365</v>
      </c>
      <c r="I133" s="1" t="str">
        <f>VLOOKUP(C133,'mayo-26'!B:H,7,0)</f>
        <v>KDX 175 (AVE 7 4-49)</v>
      </c>
      <c r="J133" s="1" t="s">
        <v>230</v>
      </c>
      <c r="K133" s="10" t="str">
        <f>VLOOKUP(C133,'mayo-26'!B:J,9,0)</f>
        <v>ZONA NORTE</v>
      </c>
      <c r="L133" s="1" t="str">
        <f>VLOOKUP(C133,'mayo-26'!B:K,10,0)</f>
        <v>NO</v>
      </c>
      <c r="M133" s="15" t="s">
        <v>52</v>
      </c>
      <c r="N133" s="15" t="s">
        <v>138</v>
      </c>
      <c r="O133" s="15" t="s">
        <v>130</v>
      </c>
      <c r="P133" s="15" t="s">
        <v>126</v>
      </c>
      <c r="Q133" s="15" t="s">
        <v>131</v>
      </c>
      <c r="R133" s="15" t="s">
        <v>266</v>
      </c>
      <c r="S133" s="15" t="s">
        <v>133</v>
      </c>
      <c r="T133" s="15" t="s">
        <v>59</v>
      </c>
      <c r="U133" s="16">
        <v>2026.0</v>
      </c>
      <c r="V133" s="16">
        <v>6.0</v>
      </c>
      <c r="W133" s="16">
        <v>1.08187514E9</v>
      </c>
      <c r="X133" s="16">
        <v>1.081893612E9</v>
      </c>
      <c r="Y133" s="17">
        <v>46182.0</v>
      </c>
      <c r="Z133" s="17">
        <v>46207.0</v>
      </c>
      <c r="AA133" s="16">
        <v>98044.7</v>
      </c>
      <c r="AB133" s="16">
        <v>98044.7</v>
      </c>
      <c r="AC133" s="16">
        <v>22625.7</v>
      </c>
      <c r="AD133" s="16">
        <v>0.0</v>
      </c>
      <c r="AE133" s="16">
        <v>0.0</v>
      </c>
      <c r="AF133" s="16">
        <v>0.0</v>
      </c>
      <c r="AG133" s="16">
        <v>0.0</v>
      </c>
      <c r="AH133" s="16">
        <v>0.0</v>
      </c>
      <c r="AI133" s="16">
        <v>0.0</v>
      </c>
      <c r="AJ133" s="16">
        <v>98044.7</v>
      </c>
      <c r="AK133" s="16">
        <v>98044.7</v>
      </c>
      <c r="AL133" s="16">
        <v>0.0</v>
      </c>
      <c r="AM133" s="16">
        <v>326.04</v>
      </c>
      <c r="AN133" s="16">
        <v>0.0</v>
      </c>
      <c r="AO133" s="18"/>
      <c r="AP133" s="18"/>
      <c r="AQ133" s="18"/>
      <c r="AR133" s="18"/>
      <c r="AS133" s="11" t="str">
        <f>VLOOKUP(C133,'mayo-26'!B:AS,44,0)</f>
        <v>VILLAREALCONTABILIDAD@GMAIL.COM</v>
      </c>
      <c r="AT133" s="12" t="str">
        <f>VLOOKUP(C133,'mayo-26'!B:AT,45,0)</f>
        <v>VERIFICADOR</v>
      </c>
      <c r="AU133" s="16"/>
      <c r="AV133" s="16"/>
      <c r="AW133" s="16"/>
    </row>
    <row r="134" ht="14.25" customHeight="1">
      <c r="A134" s="15" t="s">
        <v>366</v>
      </c>
      <c r="B134" s="16">
        <v>297.0</v>
      </c>
      <c r="C134" s="16">
        <v>291584.0</v>
      </c>
      <c r="D134" s="16">
        <v>291584.0</v>
      </c>
      <c r="E134" s="16">
        <v>76578.0</v>
      </c>
      <c r="F134" s="16">
        <v>76578.0</v>
      </c>
      <c r="G134" s="15" t="s">
        <v>135</v>
      </c>
      <c r="H134" s="15" t="s">
        <v>136</v>
      </c>
      <c r="I134" s="1" t="str">
        <f>VLOOKUP(C134,'mayo-26'!B:H,7,0)</f>
        <v>AVE 4 17-89 - 0239431</v>
      </c>
      <c r="J134" s="1" t="s">
        <v>224</v>
      </c>
      <c r="K134" s="10" t="str">
        <f>VLOOKUP(C134,'mayo-26'!B:J,9,0)</f>
        <v>NO</v>
      </c>
      <c r="L134" s="1" t="str">
        <f>VLOOKUP(C134,'mayo-26'!B:K,10,0)</f>
        <v>IMSALUD</v>
      </c>
      <c r="M134" s="15" t="s">
        <v>52</v>
      </c>
      <c r="N134" s="15" t="s">
        <v>138</v>
      </c>
      <c r="O134" s="15" t="s">
        <v>130</v>
      </c>
      <c r="P134" s="15" t="s">
        <v>126</v>
      </c>
      <c r="Q134" s="15" t="s">
        <v>56</v>
      </c>
      <c r="R134" s="15" t="s">
        <v>57</v>
      </c>
      <c r="S134" s="15" t="s">
        <v>143</v>
      </c>
      <c r="T134" s="15" t="s">
        <v>59</v>
      </c>
      <c r="U134" s="16">
        <v>2026.0</v>
      </c>
      <c r="V134" s="16">
        <v>6.0</v>
      </c>
      <c r="W134" s="16">
        <v>1.081875146E9</v>
      </c>
      <c r="X134" s="16">
        <v>1.081893618E9</v>
      </c>
      <c r="Y134" s="17">
        <v>46182.0</v>
      </c>
      <c r="Z134" s="17">
        <v>46207.0</v>
      </c>
      <c r="AA134" s="16">
        <v>104065.4</v>
      </c>
      <c r="AB134" s="16">
        <v>104065.4</v>
      </c>
      <c r="AC134" s="16">
        <v>0.0</v>
      </c>
      <c r="AD134" s="16">
        <v>350.0</v>
      </c>
      <c r="AE134" s="16">
        <v>0.0</v>
      </c>
      <c r="AF134" s="16">
        <v>0.0</v>
      </c>
      <c r="AG134" s="16">
        <v>0.0</v>
      </c>
      <c r="AH134" s="16">
        <v>0.0</v>
      </c>
      <c r="AI134" s="16">
        <v>0.0</v>
      </c>
      <c r="AJ134" s="16">
        <v>104065.4</v>
      </c>
      <c r="AK134" s="16">
        <v>104065.4</v>
      </c>
      <c r="AL134" s="16">
        <v>0.0</v>
      </c>
      <c r="AM134" s="16">
        <v>250.8</v>
      </c>
      <c r="AN134" s="16">
        <v>0.0</v>
      </c>
      <c r="AO134" s="18"/>
      <c r="AP134" s="18"/>
      <c r="AQ134" s="18"/>
      <c r="AR134" s="18"/>
      <c r="AS134" s="11" t="str">
        <f>VLOOKUP(C134,'mayo-26'!B:AS,44,0)</f>
        <v>SUBFINANCIERA@IMSALUD.GOV.CO</v>
      </c>
      <c r="AT134" s="12" t="str">
        <f>VLOOKUP(C134,'mayo-26'!B:AT,45,0)</f>
        <v>CORREO ELECTRONICO CERTIFICADO 472</v>
      </c>
      <c r="AU134" s="16"/>
      <c r="AV134" s="16"/>
      <c r="AW134" s="16"/>
    </row>
    <row r="135" ht="14.25" customHeight="1">
      <c r="A135" s="15" t="s">
        <v>367</v>
      </c>
      <c r="B135" s="16">
        <v>297.0</v>
      </c>
      <c r="C135" s="16">
        <v>300728.0</v>
      </c>
      <c r="D135" s="16">
        <v>300728.0</v>
      </c>
      <c r="E135" s="16">
        <v>215903.0</v>
      </c>
      <c r="F135" s="16">
        <v>215903.0</v>
      </c>
      <c r="G135" s="15" t="s">
        <v>135</v>
      </c>
      <c r="H135" s="15" t="s">
        <v>136</v>
      </c>
      <c r="I135" s="1" t="str">
        <f>VLOOKUP(C135,'mayo-26'!B:H,7,0)</f>
        <v>AVE 4 17-89 - 0239431</v>
      </c>
      <c r="J135" s="1" t="s">
        <v>368</v>
      </c>
      <c r="K135" s="10" t="str">
        <f>VLOOKUP(C135,'mayo-26'!B:J,9,0)</f>
        <v>NO</v>
      </c>
      <c r="L135" s="1" t="str">
        <f>VLOOKUP(C135,'mayo-26'!B:K,10,0)</f>
        <v>IMSALUD</v>
      </c>
      <c r="M135" s="15" t="s">
        <v>52</v>
      </c>
      <c r="N135" s="15" t="s">
        <v>138</v>
      </c>
      <c r="O135" s="15" t="s">
        <v>130</v>
      </c>
      <c r="P135" s="15" t="s">
        <v>126</v>
      </c>
      <c r="Q135" s="15" t="s">
        <v>56</v>
      </c>
      <c r="R135" s="15" t="s">
        <v>57</v>
      </c>
      <c r="S135" s="15" t="s">
        <v>143</v>
      </c>
      <c r="T135" s="15" t="s">
        <v>59</v>
      </c>
      <c r="U135" s="16">
        <v>2026.0</v>
      </c>
      <c r="V135" s="16">
        <v>6.0</v>
      </c>
      <c r="W135" s="16">
        <v>1.08187515E9</v>
      </c>
      <c r="X135" s="16">
        <v>1.081893622E9</v>
      </c>
      <c r="Y135" s="17">
        <v>46182.0</v>
      </c>
      <c r="Z135" s="17">
        <v>46207.0</v>
      </c>
      <c r="AA135" s="16">
        <v>104065.4</v>
      </c>
      <c r="AB135" s="16">
        <v>104065.4</v>
      </c>
      <c r="AC135" s="16">
        <v>0.0</v>
      </c>
      <c r="AD135" s="16">
        <v>350.0</v>
      </c>
      <c r="AE135" s="16">
        <v>0.0</v>
      </c>
      <c r="AF135" s="16">
        <v>0.0</v>
      </c>
      <c r="AG135" s="16">
        <v>0.0</v>
      </c>
      <c r="AH135" s="16">
        <v>0.0</v>
      </c>
      <c r="AI135" s="16">
        <v>0.0</v>
      </c>
      <c r="AJ135" s="16">
        <v>104065.4</v>
      </c>
      <c r="AK135" s="16">
        <v>104065.4</v>
      </c>
      <c r="AL135" s="16">
        <v>0.0</v>
      </c>
      <c r="AM135" s="16">
        <v>250.8</v>
      </c>
      <c r="AN135" s="16">
        <v>0.0</v>
      </c>
      <c r="AO135" s="18"/>
      <c r="AP135" s="18"/>
      <c r="AQ135" s="18"/>
      <c r="AR135" s="18"/>
      <c r="AS135" s="11" t="str">
        <f>VLOOKUP(C135,'mayo-26'!B:AS,44,0)</f>
        <v>SUBFINANCIERA@IMSALUD.GOV.CO</v>
      </c>
      <c r="AT135" s="12" t="str">
        <f>VLOOKUP(C135,'mayo-26'!B:AT,45,0)</f>
        <v>CORREO ELECTRONICO CERTIFICADO 472</v>
      </c>
      <c r="AU135" s="16"/>
      <c r="AV135" s="16"/>
      <c r="AW135" s="16"/>
    </row>
    <row r="136" ht="14.25" customHeight="1">
      <c r="A136" s="15" t="s">
        <v>369</v>
      </c>
      <c r="B136" s="16">
        <v>297.0</v>
      </c>
      <c r="C136" s="16">
        <v>309204.0</v>
      </c>
      <c r="D136" s="16">
        <v>309204.0</v>
      </c>
      <c r="E136" s="16">
        <v>322755.0</v>
      </c>
      <c r="F136" s="16">
        <v>322755.0</v>
      </c>
      <c r="G136" s="15" t="s">
        <v>135</v>
      </c>
      <c r="H136" s="15" t="s">
        <v>136</v>
      </c>
      <c r="I136" s="1" t="str">
        <f>VLOOKUP(C136,'mayo-26'!B:H,7,0)</f>
        <v>AVE 4 17-89 - 0239431</v>
      </c>
      <c r="J136" s="1" t="s">
        <v>228</v>
      </c>
      <c r="K136" s="10" t="str">
        <f>VLOOKUP(C136,'mayo-26'!B:J,9,0)</f>
        <v>NO</v>
      </c>
      <c r="L136" s="1" t="str">
        <f>VLOOKUP(C136,'mayo-26'!B:K,10,0)</f>
        <v>IMSALUD</v>
      </c>
      <c r="M136" s="15" t="s">
        <v>52</v>
      </c>
      <c r="N136" s="15" t="s">
        <v>138</v>
      </c>
      <c r="O136" s="15" t="s">
        <v>130</v>
      </c>
      <c r="P136" s="15" t="s">
        <v>126</v>
      </c>
      <c r="Q136" s="15" t="s">
        <v>56</v>
      </c>
      <c r="R136" s="15" t="s">
        <v>57</v>
      </c>
      <c r="S136" s="15" t="s">
        <v>143</v>
      </c>
      <c r="T136" s="15" t="s">
        <v>59</v>
      </c>
      <c r="U136" s="16">
        <v>2026.0</v>
      </c>
      <c r="V136" s="16">
        <v>6.0</v>
      </c>
      <c r="W136" s="16">
        <v>1.081875153E9</v>
      </c>
      <c r="X136" s="16">
        <v>1.081893625E9</v>
      </c>
      <c r="Y136" s="17">
        <v>46182.0</v>
      </c>
      <c r="Z136" s="17">
        <v>46207.0</v>
      </c>
      <c r="AA136" s="16">
        <v>2055625.53</v>
      </c>
      <c r="AB136" s="16">
        <v>2055625.53</v>
      </c>
      <c r="AC136" s="16">
        <v>0.0</v>
      </c>
      <c r="AD136" s="16">
        <v>1663.0</v>
      </c>
      <c r="AE136" s="16">
        <v>0.0</v>
      </c>
      <c r="AF136" s="16">
        <v>0.0</v>
      </c>
      <c r="AG136" s="16">
        <v>0.0</v>
      </c>
      <c r="AH136" s="16">
        <v>0.0</v>
      </c>
      <c r="AI136" s="16">
        <v>0.0</v>
      </c>
      <c r="AJ136" s="16">
        <v>2055625.53</v>
      </c>
      <c r="AK136" s="16">
        <v>2055625.53</v>
      </c>
      <c r="AL136" s="16">
        <v>0.0</v>
      </c>
      <c r="AM136" s="16">
        <v>1702650.8</v>
      </c>
      <c r="AN136" s="16">
        <v>0.0</v>
      </c>
      <c r="AO136" s="18"/>
      <c r="AP136" s="18"/>
      <c r="AQ136" s="18"/>
      <c r="AR136" s="18"/>
      <c r="AS136" s="11" t="str">
        <f>VLOOKUP(C136,'mayo-26'!B:AS,44,0)</f>
        <v>SUBFINANCIERA@IMSALUD.GOV.CO</v>
      </c>
      <c r="AT136" s="12" t="str">
        <f>VLOOKUP(C136,'mayo-26'!B:AT,45,0)</f>
        <v>CORREO ELECTRONICO CERTIFICADO 472</v>
      </c>
      <c r="AU136" s="16"/>
      <c r="AV136" s="16"/>
      <c r="AW136" s="16"/>
    </row>
    <row r="137" ht="14.25" customHeight="1">
      <c r="A137" s="15" t="s">
        <v>370</v>
      </c>
      <c r="B137" s="16">
        <v>314877.0</v>
      </c>
      <c r="C137" s="16">
        <v>314876.0</v>
      </c>
      <c r="D137" s="16">
        <v>314876.0</v>
      </c>
      <c r="E137" s="16">
        <v>451976.0</v>
      </c>
      <c r="F137" s="16">
        <v>451976.0</v>
      </c>
      <c r="G137" s="16">
        <v>8.60503159E8</v>
      </c>
      <c r="H137" s="15" t="s">
        <v>371</v>
      </c>
      <c r="I137" s="1" t="str">
        <f>VLOOKUP(C137,'mayo-26'!B:H,7,0)</f>
        <v>AVE LIBERTADORES CANAL BOGOTA LOC 23 1079</v>
      </c>
      <c r="J137" s="1" t="s">
        <v>214</v>
      </c>
      <c r="K137" s="10" t="str">
        <f>VLOOKUP(C137,'mayo-26'!B:J,9,0)</f>
        <v>ZONA NORTE</v>
      </c>
      <c r="L137" s="1" t="str">
        <f>VLOOKUP(C137,'mayo-26'!B:K,10,0)</f>
        <v>PASH</v>
      </c>
      <c r="M137" s="15" t="s">
        <v>52</v>
      </c>
      <c r="N137" s="15" t="s">
        <v>89</v>
      </c>
      <c r="O137" s="15" t="s">
        <v>130</v>
      </c>
      <c r="P137" s="15" t="s">
        <v>126</v>
      </c>
      <c r="Q137" s="15" t="s">
        <v>56</v>
      </c>
      <c r="R137" s="15" t="s">
        <v>90</v>
      </c>
      <c r="S137" s="15" t="s">
        <v>143</v>
      </c>
      <c r="T137" s="15" t="s">
        <v>59</v>
      </c>
      <c r="U137" s="16">
        <v>2026.0</v>
      </c>
      <c r="V137" s="16">
        <v>6.0</v>
      </c>
      <c r="W137" s="16">
        <v>1.081875156E9</v>
      </c>
      <c r="X137" s="16">
        <v>1.081893628E9</v>
      </c>
      <c r="Y137" s="17">
        <v>46182.0</v>
      </c>
      <c r="Z137" s="17">
        <v>46207.0</v>
      </c>
      <c r="AA137" s="16">
        <v>188832.41</v>
      </c>
      <c r="AB137" s="16">
        <v>188832.41</v>
      </c>
      <c r="AC137" s="16">
        <v>62944.14</v>
      </c>
      <c r="AD137" s="16">
        <v>465.0</v>
      </c>
      <c r="AE137" s="16">
        <v>0.0</v>
      </c>
      <c r="AF137" s="16">
        <v>0.0</v>
      </c>
      <c r="AG137" s="16">
        <v>0.0</v>
      </c>
      <c r="AH137" s="16">
        <v>0.0</v>
      </c>
      <c r="AI137" s="16">
        <v>0.0</v>
      </c>
      <c r="AJ137" s="16">
        <v>188832.41</v>
      </c>
      <c r="AK137" s="16">
        <v>188832.41</v>
      </c>
      <c r="AL137" s="16">
        <v>0.0</v>
      </c>
      <c r="AM137" s="16">
        <v>376.2</v>
      </c>
      <c r="AN137" s="16">
        <v>0.0</v>
      </c>
      <c r="AO137" s="18"/>
      <c r="AP137" s="18"/>
      <c r="AQ137" s="18"/>
      <c r="AR137" s="18"/>
      <c r="AS137" s="11" t="str">
        <f>VLOOKUP(C137,'mayo-26'!B:AS,44,0)</f>
        <v>SERVICIOSPUBLICOS@PASH.COM.CO; abayona@tekstelas.com; kguavita@tekstelas.com</v>
      </c>
      <c r="AT137" s="12" t="str">
        <f>VLOOKUP(C137,'mayo-26'!B:AT,45,0)</f>
        <v>VERIFICADOR</v>
      </c>
      <c r="AU137" s="16"/>
      <c r="AV137" s="16"/>
      <c r="AW137" s="16"/>
    </row>
    <row r="138" ht="14.25" customHeight="1">
      <c r="A138" s="15" t="s">
        <v>372</v>
      </c>
      <c r="B138" s="16">
        <v>232.0</v>
      </c>
      <c r="C138" s="16">
        <v>3156.0</v>
      </c>
      <c r="D138" s="16">
        <v>3156.0</v>
      </c>
      <c r="E138" s="16">
        <v>8.0123482E7</v>
      </c>
      <c r="F138" s="16">
        <v>8.0123482E7</v>
      </c>
      <c r="G138" s="16">
        <v>8.30122566E8</v>
      </c>
      <c r="H138" s="15" t="s">
        <v>193</v>
      </c>
      <c r="I138" s="1" t="str">
        <f>VLOOKUP(C138,'mayo-26'!B:H,7,0)</f>
        <v>AV 0 N 10-61</v>
      </c>
      <c r="J138" s="1" t="s">
        <v>172</v>
      </c>
      <c r="K138" s="10" t="str">
        <f>VLOOKUP(C138,'mayo-26'!B:J,9,0)</f>
        <v>NO</v>
      </c>
      <c r="L138" s="1" t="str">
        <f>VLOOKUP(C138,'mayo-26'!B:K,10,0)</f>
        <v>MOVISTAR</v>
      </c>
      <c r="M138" s="15" t="s">
        <v>52</v>
      </c>
      <c r="N138" s="15" t="s">
        <v>138</v>
      </c>
      <c r="O138" s="15" t="s">
        <v>130</v>
      </c>
      <c r="P138" s="15" t="s">
        <v>126</v>
      </c>
      <c r="Q138" s="15" t="s">
        <v>131</v>
      </c>
      <c r="R138" s="15" t="s">
        <v>132</v>
      </c>
      <c r="S138" s="15" t="s">
        <v>133</v>
      </c>
      <c r="T138" s="15" t="s">
        <v>59</v>
      </c>
      <c r="U138" s="16">
        <v>2026.0</v>
      </c>
      <c r="V138" s="16">
        <v>6.0</v>
      </c>
      <c r="W138" s="16">
        <v>1.081874928E9</v>
      </c>
      <c r="X138" s="16">
        <v>1.0818934E9</v>
      </c>
      <c r="Y138" s="17">
        <v>46182.0</v>
      </c>
      <c r="Z138" s="17">
        <v>46207.0</v>
      </c>
      <c r="AA138" s="16">
        <v>114389.91</v>
      </c>
      <c r="AB138" s="16">
        <v>114389.91</v>
      </c>
      <c r="AC138" s="16">
        <v>37709.5</v>
      </c>
      <c r="AD138" s="16">
        <v>0.0</v>
      </c>
      <c r="AE138" s="16">
        <v>1261.41</v>
      </c>
      <c r="AF138" s="16">
        <v>0.0</v>
      </c>
      <c r="AG138" s="16">
        <v>0.0</v>
      </c>
      <c r="AH138" s="16">
        <v>0.0</v>
      </c>
      <c r="AI138" s="16">
        <v>0.0</v>
      </c>
      <c r="AJ138" s="16">
        <v>114389.91</v>
      </c>
      <c r="AK138" s="16">
        <v>345405.28</v>
      </c>
      <c r="AL138" s="16">
        <v>2.0</v>
      </c>
      <c r="AM138" s="16">
        <v>376.2</v>
      </c>
      <c r="AN138" s="16">
        <v>0.0</v>
      </c>
      <c r="AO138" s="18"/>
      <c r="AP138" s="18"/>
      <c r="AQ138" s="18"/>
      <c r="AR138" s="18"/>
      <c r="AS138" s="11" t="str">
        <f>VLOOKUP(C138,'mayo-26'!B:AS,44,0)</f>
        <v>SERVICIOSPUBLICOS.TC@TELEFONICA.COM; D.CRUZ02@TELEFONICA.COM</v>
      </c>
      <c r="AT138" s="12" t="str">
        <f>VLOOKUP(C138,'mayo-26'!B:AT,45,0)</f>
        <v>CORREO ELECTRONICO CERTIFICADO 472</v>
      </c>
      <c r="AU138" s="16"/>
      <c r="AV138" s="16"/>
      <c r="AW138" s="16"/>
    </row>
    <row r="139" ht="14.25" customHeight="1">
      <c r="A139" s="15" t="s">
        <v>373</v>
      </c>
      <c r="B139" s="16">
        <v>232.0</v>
      </c>
      <c r="C139" s="16">
        <v>3160.0</v>
      </c>
      <c r="D139" s="16">
        <v>3160.0</v>
      </c>
      <c r="E139" s="16">
        <v>8.0123486E7</v>
      </c>
      <c r="F139" s="16">
        <v>8.0123486E7</v>
      </c>
      <c r="G139" s="16">
        <v>8.30122566E8</v>
      </c>
      <c r="H139" s="15" t="s">
        <v>193</v>
      </c>
      <c r="I139" s="1" t="str">
        <f>VLOOKUP(C139,'mayo-26'!B:H,7,0)</f>
        <v>AV 0 N 10-61</v>
      </c>
      <c r="J139" s="1" t="s">
        <v>230</v>
      </c>
      <c r="K139" s="10" t="str">
        <f>VLOOKUP(C139,'mayo-26'!B:J,9,0)</f>
        <v>NO</v>
      </c>
      <c r="L139" s="1" t="str">
        <f>VLOOKUP(C139,'mayo-26'!B:K,10,0)</f>
        <v>MOVISTAR</v>
      </c>
      <c r="M139" s="15" t="s">
        <v>52</v>
      </c>
      <c r="N139" s="15" t="s">
        <v>138</v>
      </c>
      <c r="O139" s="15" t="s">
        <v>130</v>
      </c>
      <c r="P139" s="15" t="s">
        <v>126</v>
      </c>
      <c r="Q139" s="15" t="s">
        <v>131</v>
      </c>
      <c r="R139" s="15" t="s">
        <v>132</v>
      </c>
      <c r="S139" s="15" t="s">
        <v>133</v>
      </c>
      <c r="T139" s="15" t="s">
        <v>59</v>
      </c>
      <c r="U139" s="16">
        <v>2026.0</v>
      </c>
      <c r="V139" s="16">
        <v>6.0</v>
      </c>
      <c r="W139" s="16">
        <v>1.081874932E9</v>
      </c>
      <c r="X139" s="16">
        <v>1.081893404E9</v>
      </c>
      <c r="Y139" s="17">
        <v>46182.0</v>
      </c>
      <c r="Z139" s="17">
        <v>46207.0</v>
      </c>
      <c r="AA139" s="16">
        <v>114389.91</v>
      </c>
      <c r="AB139" s="16">
        <v>114389.91</v>
      </c>
      <c r="AC139" s="16">
        <v>37709.5</v>
      </c>
      <c r="AD139" s="16">
        <v>0.0</v>
      </c>
      <c r="AE139" s="16">
        <v>1261.41</v>
      </c>
      <c r="AF139" s="16">
        <v>0.0</v>
      </c>
      <c r="AG139" s="16">
        <v>0.0</v>
      </c>
      <c r="AH139" s="16">
        <v>0.0</v>
      </c>
      <c r="AI139" s="16">
        <v>0.0</v>
      </c>
      <c r="AJ139" s="16">
        <v>114389.91</v>
      </c>
      <c r="AK139" s="16">
        <v>345405.28</v>
      </c>
      <c r="AL139" s="16">
        <v>2.0</v>
      </c>
      <c r="AM139" s="16">
        <v>376.2</v>
      </c>
      <c r="AN139" s="16">
        <v>0.0</v>
      </c>
      <c r="AO139" s="18"/>
      <c r="AP139" s="18"/>
      <c r="AQ139" s="18"/>
      <c r="AR139" s="18"/>
      <c r="AS139" s="11" t="str">
        <f>VLOOKUP(C139,'mayo-26'!B:AS,44,0)</f>
        <v>SERVICIOSPUBLICOS.TC@TELEFONICA.COM; D.CRUZ02@TELEFONICA.COM</v>
      </c>
      <c r="AT139" s="12" t="str">
        <f>VLOOKUP(C139,'mayo-26'!B:AT,45,0)</f>
        <v>CORREO ELECTRONICO CERTIFICADO 472</v>
      </c>
      <c r="AU139" s="16"/>
      <c r="AV139" s="16"/>
      <c r="AW139" s="16"/>
    </row>
    <row r="140" ht="14.25" customHeight="1">
      <c r="A140" s="15" t="s">
        <v>374</v>
      </c>
      <c r="B140" s="16">
        <v>3165.0</v>
      </c>
      <c r="C140" s="16">
        <v>3164.0</v>
      </c>
      <c r="D140" s="16">
        <v>3164.0</v>
      </c>
      <c r="E140" s="16">
        <v>8.012349E7</v>
      </c>
      <c r="F140" s="16">
        <v>8.012349E7</v>
      </c>
      <c r="G140" s="16">
        <v>8.00215546E8</v>
      </c>
      <c r="H140" s="15" t="s">
        <v>375</v>
      </c>
      <c r="I140" s="1" t="str">
        <f>VLOOKUP(C140,'mayo-26'!B:H,7,0)</f>
        <v>AV PANAMERICANA VIA SALADO</v>
      </c>
      <c r="J140" s="1" t="s">
        <v>376</v>
      </c>
      <c r="K140" s="10" t="str">
        <f>VLOOKUP(C140,'mayo-26'!B:J,9,0)</f>
        <v>NO</v>
      </c>
      <c r="L140" s="1" t="str">
        <f>VLOOKUP(C140,'mayo-26'!B:K,10,0)</f>
        <v>MODELO</v>
      </c>
      <c r="M140" s="15" t="s">
        <v>52</v>
      </c>
      <c r="N140" s="15" t="s">
        <v>89</v>
      </c>
      <c r="O140" s="15" t="s">
        <v>130</v>
      </c>
      <c r="P140" s="15" t="s">
        <v>126</v>
      </c>
      <c r="Q140" s="15" t="s">
        <v>56</v>
      </c>
      <c r="R140" s="15" t="s">
        <v>57</v>
      </c>
      <c r="S140" s="15" t="s">
        <v>58</v>
      </c>
      <c r="T140" s="15" t="s">
        <v>59</v>
      </c>
      <c r="U140" s="16">
        <v>2026.0</v>
      </c>
      <c r="V140" s="16">
        <v>6.0</v>
      </c>
      <c r="W140" s="16">
        <v>1.081874934E9</v>
      </c>
      <c r="X140" s="16">
        <v>1.081893406E9</v>
      </c>
      <c r="Y140" s="17">
        <v>46182.0</v>
      </c>
      <c r="Z140" s="17">
        <v>46207.0</v>
      </c>
      <c r="AA140" s="16">
        <v>1.363139215E7</v>
      </c>
      <c r="AB140" s="16">
        <v>1.363139215E7</v>
      </c>
      <c r="AC140" s="16">
        <v>0.0</v>
      </c>
      <c r="AD140" s="16">
        <v>71635.0</v>
      </c>
      <c r="AE140" s="16">
        <v>0.0</v>
      </c>
      <c r="AF140" s="16">
        <v>0.0</v>
      </c>
      <c r="AG140" s="16">
        <v>0.0</v>
      </c>
      <c r="AH140" s="16">
        <v>0.0</v>
      </c>
      <c r="AI140" s="16">
        <v>0.0</v>
      </c>
      <c r="AJ140" s="16">
        <v>1.363139215E7</v>
      </c>
      <c r="AK140" s="16">
        <v>1.363139215E7</v>
      </c>
      <c r="AL140" s="16">
        <v>0.0</v>
      </c>
      <c r="AM140" s="16">
        <v>250.8</v>
      </c>
      <c r="AN140" s="16">
        <v>0.0</v>
      </c>
      <c r="AO140" s="18"/>
      <c r="AP140" s="18"/>
      <c r="AQ140" s="18"/>
      <c r="AR140" s="18"/>
      <c r="AS140" s="11" t="str">
        <f>VLOOKUP(C140,'mayo-26'!B:AS,44,0)</f>
        <v>SERVICIOSPUBLICOS.ORIENTE@INPEC.GOV.CO</v>
      </c>
      <c r="AT140" s="12" t="str">
        <f>VLOOKUP(C140,'mayo-26'!B:AT,45,0)</f>
        <v>CORREO ELECTRONICO CERTIFICADO 472</v>
      </c>
      <c r="AU140" s="16"/>
      <c r="AV140" s="16"/>
      <c r="AW140" s="16"/>
    </row>
    <row r="141" ht="14.25" customHeight="1">
      <c r="A141" s="15" t="s">
        <v>377</v>
      </c>
      <c r="B141" s="16">
        <v>3169.0</v>
      </c>
      <c r="C141" s="16">
        <v>3168.0</v>
      </c>
      <c r="D141" s="16">
        <v>3168.0</v>
      </c>
      <c r="E141" s="16">
        <v>8.0123494E7</v>
      </c>
      <c r="F141" s="16">
        <v>8.0123494E7</v>
      </c>
      <c r="G141" s="16">
        <v>8070375.0</v>
      </c>
      <c r="H141" s="15" t="s">
        <v>378</v>
      </c>
      <c r="I141" s="1" t="str">
        <f>VLOOKUP(C141,'mayo-26'!B:H,7,0)</f>
        <v>AV 26 26 - 27</v>
      </c>
      <c r="J141" s="1" t="s">
        <v>157</v>
      </c>
      <c r="K141" s="10" t="str">
        <f>VLOOKUP(C141,'mayo-26'!B:J,9,0)</f>
        <v>NO</v>
      </c>
      <c r="L141" s="1" t="str">
        <f>VLOOKUP(C141,'mayo-26'!B:K,10,0)</f>
        <v>POLICIA</v>
      </c>
      <c r="M141" s="15" t="s">
        <v>52</v>
      </c>
      <c r="N141" s="15" t="s">
        <v>89</v>
      </c>
      <c r="O141" s="15" t="s">
        <v>130</v>
      </c>
      <c r="P141" s="15" t="s">
        <v>126</v>
      </c>
      <c r="Q141" s="15" t="s">
        <v>56</v>
      </c>
      <c r="R141" s="15" t="s">
        <v>57</v>
      </c>
      <c r="S141" s="15" t="s">
        <v>143</v>
      </c>
      <c r="T141" s="15" t="s">
        <v>59</v>
      </c>
      <c r="U141" s="16">
        <v>2026.0</v>
      </c>
      <c r="V141" s="16">
        <v>6.0</v>
      </c>
      <c r="W141" s="16">
        <v>1.081874938E9</v>
      </c>
      <c r="X141" s="16">
        <v>1.08189341E9</v>
      </c>
      <c r="Y141" s="17">
        <v>46182.0</v>
      </c>
      <c r="Z141" s="17">
        <v>46207.0</v>
      </c>
      <c r="AA141" s="16">
        <v>119246.52</v>
      </c>
      <c r="AB141" s="16">
        <v>119246.52</v>
      </c>
      <c r="AC141" s="16">
        <v>0.0</v>
      </c>
      <c r="AD141" s="16">
        <v>430.0</v>
      </c>
      <c r="AE141" s="16">
        <v>0.0</v>
      </c>
      <c r="AF141" s="16">
        <v>0.0</v>
      </c>
      <c r="AG141" s="16">
        <v>0.0</v>
      </c>
      <c r="AH141" s="16">
        <v>0.0</v>
      </c>
      <c r="AI141" s="16">
        <v>0.0</v>
      </c>
      <c r="AJ141" s="16">
        <v>119246.52</v>
      </c>
      <c r="AK141" s="16">
        <v>239027.04</v>
      </c>
      <c r="AL141" s="16">
        <v>1.0</v>
      </c>
      <c r="AM141" s="16">
        <v>250.8</v>
      </c>
      <c r="AN141" s="16">
        <v>0.0</v>
      </c>
      <c r="AO141" s="18"/>
      <c r="AP141" s="18"/>
      <c r="AQ141" s="18"/>
      <c r="AR141" s="18"/>
      <c r="AS141" s="11" t="str">
        <f>VLOOKUP(C141,'mayo-26'!B:AS,44,0)</f>
        <v>LUIS.GONZALEZ0973@CORREO.POLICIA.GOV.CO</v>
      </c>
      <c r="AT141" s="12" t="str">
        <f>VLOOKUP(C141,'mayo-26'!B:AT,45,0)</f>
        <v>CORREO ELECTRONICO CERTIFICADO 472</v>
      </c>
      <c r="AU141" s="16"/>
      <c r="AV141" s="16"/>
      <c r="AW141" s="16"/>
    </row>
    <row r="142" ht="14.25" customHeight="1">
      <c r="A142" s="15" t="s">
        <v>379</v>
      </c>
      <c r="B142" s="16">
        <v>3173.0</v>
      </c>
      <c r="C142" s="16">
        <v>3172.0</v>
      </c>
      <c r="D142" s="16">
        <v>3172.0</v>
      </c>
      <c r="E142" s="16">
        <v>8.0123498E7</v>
      </c>
      <c r="F142" s="16">
        <v>8.0123498E7</v>
      </c>
      <c r="G142" s="16">
        <v>8072589.0</v>
      </c>
      <c r="H142" s="15" t="s">
        <v>380</v>
      </c>
      <c r="I142" s="1" t="str">
        <f>VLOOKUP(C142,'mayo-26'!B:H,7,0)</f>
        <v>CLLE 31 # 31-60 LA DIVINA PASTORA</v>
      </c>
      <c r="J142" s="1" t="s">
        <v>381</v>
      </c>
      <c r="K142" s="10" t="str">
        <f>VLOOKUP(C142,'mayo-26'!B:J,9,0)</f>
        <v>NO</v>
      </c>
      <c r="L142" s="1" t="str">
        <f>VLOOKUP(C142,'mayo-26'!B:K,10,0)</f>
        <v>COLEGIOS ZONA NORTE</v>
      </c>
      <c r="M142" s="15" t="s">
        <v>52</v>
      </c>
      <c r="N142" s="15" t="s">
        <v>89</v>
      </c>
      <c r="O142" s="15" t="s">
        <v>130</v>
      </c>
      <c r="P142" s="15" t="s">
        <v>126</v>
      </c>
      <c r="Q142" s="15" t="s">
        <v>56</v>
      </c>
      <c r="R142" s="15" t="s">
        <v>57</v>
      </c>
      <c r="S142" s="15" t="s">
        <v>143</v>
      </c>
      <c r="T142" s="15" t="s">
        <v>59</v>
      </c>
      <c r="U142" s="16">
        <v>2026.0</v>
      </c>
      <c r="V142" s="16">
        <v>6.0</v>
      </c>
      <c r="W142" s="16">
        <v>1.081874943E9</v>
      </c>
      <c r="X142" s="16">
        <v>1.081893415E9</v>
      </c>
      <c r="Y142" s="17">
        <v>46182.0</v>
      </c>
      <c r="Z142" s="17">
        <v>46207.0</v>
      </c>
      <c r="AA142" s="16">
        <v>360246.8</v>
      </c>
      <c r="AB142" s="16">
        <v>360246.8</v>
      </c>
      <c r="AC142" s="16">
        <v>0.0</v>
      </c>
      <c r="AD142" s="16">
        <v>1700.0</v>
      </c>
      <c r="AE142" s="16">
        <v>0.0</v>
      </c>
      <c r="AF142" s="16">
        <v>0.0</v>
      </c>
      <c r="AG142" s="16">
        <v>0.0</v>
      </c>
      <c r="AH142" s="16">
        <v>0.0</v>
      </c>
      <c r="AI142" s="16">
        <v>0.0</v>
      </c>
      <c r="AJ142" s="16">
        <v>360246.8</v>
      </c>
      <c r="AK142" s="16">
        <v>1074097.3</v>
      </c>
      <c r="AL142" s="16">
        <v>3.0</v>
      </c>
      <c r="AM142" s="16">
        <v>250.8</v>
      </c>
      <c r="AN142" s="16">
        <v>0.0</v>
      </c>
      <c r="AO142" s="18"/>
      <c r="AP142" s="18"/>
      <c r="AQ142" s="18"/>
      <c r="AR142" s="18"/>
      <c r="AS142" s="11" t="str">
        <f>VLOOKUP(C142,'mayo-26'!B:AS,44,0)</f>
        <v>AREAFINANCIERA@SEMCUCUTA.GOV.CO</v>
      </c>
      <c r="AT142" s="12" t="str">
        <f>VLOOKUP(C142,'mayo-26'!B:AT,45,0)</f>
        <v>CARTERA</v>
      </c>
      <c r="AU142" s="16"/>
      <c r="AV142" s="16"/>
      <c r="AW142" s="16"/>
    </row>
    <row r="143" ht="14.25" customHeight="1">
      <c r="A143" s="15" t="s">
        <v>382</v>
      </c>
      <c r="B143" s="16">
        <v>455370.0</v>
      </c>
      <c r="C143" s="16">
        <v>3176.0</v>
      </c>
      <c r="D143" s="16">
        <v>3176.0</v>
      </c>
      <c r="E143" s="16">
        <v>8.0123502E7</v>
      </c>
      <c r="F143" s="16">
        <v>8.0123502E7</v>
      </c>
      <c r="G143" s="15" t="s">
        <v>148</v>
      </c>
      <c r="H143" s="15" t="s">
        <v>149</v>
      </c>
      <c r="I143" s="1" t="str">
        <f>VLOOKUP(C143,'mayo-26'!B:H,7,0)</f>
        <v>CALLE 10 NO 0E-16 EDF CENTRO EMPRESARIAL BLOQUE B HOTEL TONCHALA</v>
      </c>
      <c r="J143" s="1" t="s">
        <v>181</v>
      </c>
      <c r="K143" s="10" t="str">
        <f>VLOOKUP(C143,'mayo-26'!B:J,9,0)</f>
        <v>NO</v>
      </c>
      <c r="L143" s="1" t="str">
        <f>VLOOKUP(C143,'mayo-26'!B:K,10,0)</f>
        <v>COLEGIOS ZONA NORTE</v>
      </c>
      <c r="M143" s="15" t="s">
        <v>52</v>
      </c>
      <c r="N143" s="15" t="s">
        <v>138</v>
      </c>
      <c r="O143" s="15" t="s">
        <v>130</v>
      </c>
      <c r="P143" s="15" t="s">
        <v>126</v>
      </c>
      <c r="Q143" s="15" t="s">
        <v>56</v>
      </c>
      <c r="R143" s="15" t="s">
        <v>57</v>
      </c>
      <c r="S143" s="15" t="s">
        <v>143</v>
      </c>
      <c r="T143" s="15" t="s">
        <v>59</v>
      </c>
      <c r="U143" s="16">
        <v>2026.0</v>
      </c>
      <c r="V143" s="16">
        <v>6.0</v>
      </c>
      <c r="W143" s="16">
        <v>1.081874945E9</v>
      </c>
      <c r="X143" s="16">
        <v>1.081893417E9</v>
      </c>
      <c r="Y143" s="17">
        <v>46182.0</v>
      </c>
      <c r="Z143" s="17">
        <v>46207.0</v>
      </c>
      <c r="AA143" s="16">
        <v>354174.36</v>
      </c>
      <c r="AB143" s="16">
        <v>354174.36</v>
      </c>
      <c r="AC143" s="16">
        <v>0.0</v>
      </c>
      <c r="AD143" s="16">
        <v>1668.0</v>
      </c>
      <c r="AE143" s="16">
        <v>0.0</v>
      </c>
      <c r="AF143" s="16">
        <v>0.0</v>
      </c>
      <c r="AG143" s="16">
        <v>0.0</v>
      </c>
      <c r="AH143" s="16">
        <v>0.0</v>
      </c>
      <c r="AI143" s="16">
        <v>0.0</v>
      </c>
      <c r="AJ143" s="16">
        <v>354174.36</v>
      </c>
      <c r="AK143" s="16">
        <v>1056022.82</v>
      </c>
      <c r="AL143" s="16">
        <v>3.0</v>
      </c>
      <c r="AM143" s="16">
        <v>250.8</v>
      </c>
      <c r="AN143" s="16">
        <v>0.0</v>
      </c>
      <c r="AO143" s="18"/>
      <c r="AP143" s="18"/>
      <c r="AQ143" s="18"/>
      <c r="AR143" s="18"/>
      <c r="AS143" s="11" t="str">
        <f>VLOOKUP(C143,'mayo-26'!B:AS,44,0)</f>
        <v>AREAFINANCIERA@SEMCUCUTA.GOV.CO</v>
      </c>
      <c r="AT143" s="12" t="str">
        <f>VLOOKUP(C143,'mayo-26'!B:AT,45,0)</f>
        <v>CARTERA</v>
      </c>
      <c r="AU143" s="16"/>
      <c r="AV143" s="16"/>
      <c r="AW143" s="16"/>
    </row>
    <row r="144" ht="14.25" customHeight="1">
      <c r="A144" s="15" t="s">
        <v>383</v>
      </c>
      <c r="B144" s="16">
        <v>455370.0</v>
      </c>
      <c r="C144" s="16">
        <v>3184.0</v>
      </c>
      <c r="D144" s="16">
        <v>3184.0</v>
      </c>
      <c r="E144" s="16">
        <v>8.012351E7</v>
      </c>
      <c r="F144" s="16">
        <v>8.012351E7</v>
      </c>
      <c r="G144" s="15" t="s">
        <v>148</v>
      </c>
      <c r="H144" s="15" t="s">
        <v>149</v>
      </c>
      <c r="I144" s="1" t="str">
        <f>VLOOKUP(C144,'mayo-26'!B:H,7,0)</f>
        <v>CALLE 10 NO 0E-16 EDF CENTRO EMPRESARIAL BLOQUE B HOTEL TONCHALA</v>
      </c>
      <c r="J144" s="1" t="s">
        <v>384</v>
      </c>
      <c r="K144" s="10" t="str">
        <f>VLOOKUP(C144,'mayo-26'!B:J,9,0)</f>
        <v>NO</v>
      </c>
      <c r="L144" s="1" t="str">
        <f>VLOOKUP(C144,'mayo-26'!B:K,10,0)</f>
        <v>COLEGIOS ZONA NORTE</v>
      </c>
      <c r="M144" s="15" t="s">
        <v>52</v>
      </c>
      <c r="N144" s="15" t="s">
        <v>138</v>
      </c>
      <c r="O144" s="15" t="s">
        <v>130</v>
      </c>
      <c r="P144" s="15" t="s">
        <v>126</v>
      </c>
      <c r="Q144" s="15" t="s">
        <v>56</v>
      </c>
      <c r="R144" s="15" t="s">
        <v>57</v>
      </c>
      <c r="S144" s="15" t="s">
        <v>143</v>
      </c>
      <c r="T144" s="15" t="s">
        <v>59</v>
      </c>
      <c r="U144" s="16">
        <v>2026.0</v>
      </c>
      <c r="V144" s="16">
        <v>6.0</v>
      </c>
      <c r="W144" s="16">
        <v>1.08187495E9</v>
      </c>
      <c r="X144" s="16">
        <v>1.081893422E9</v>
      </c>
      <c r="Y144" s="17">
        <v>46182.0</v>
      </c>
      <c r="Z144" s="17">
        <v>46207.0</v>
      </c>
      <c r="AA144" s="16">
        <v>229309.64</v>
      </c>
      <c r="AB144" s="16">
        <v>229309.64</v>
      </c>
      <c r="AC144" s="16">
        <v>0.0</v>
      </c>
      <c r="AD144" s="16">
        <v>1010.0</v>
      </c>
      <c r="AE144" s="16">
        <v>0.0</v>
      </c>
      <c r="AF144" s="16">
        <v>0.0</v>
      </c>
      <c r="AG144" s="16">
        <v>0.0</v>
      </c>
      <c r="AH144" s="16">
        <v>0.0</v>
      </c>
      <c r="AI144" s="16">
        <v>0.0</v>
      </c>
      <c r="AJ144" s="16">
        <v>229309.64</v>
      </c>
      <c r="AK144" s="16">
        <v>684365.98</v>
      </c>
      <c r="AL144" s="16">
        <v>3.0</v>
      </c>
      <c r="AM144" s="16">
        <v>250.8</v>
      </c>
      <c r="AN144" s="16">
        <v>0.0</v>
      </c>
      <c r="AO144" s="18"/>
      <c r="AP144" s="18"/>
      <c r="AQ144" s="18"/>
      <c r="AR144" s="18"/>
      <c r="AS144" s="11" t="str">
        <f>VLOOKUP(C144,'mayo-26'!B:AS,44,0)</f>
        <v>AREAFINANCIERA@SEMCUCUTA.GOV.CO</v>
      </c>
      <c r="AT144" s="12" t="str">
        <f>VLOOKUP(C144,'mayo-26'!B:AT,45,0)</f>
        <v>CARTERA</v>
      </c>
      <c r="AU144" s="16"/>
      <c r="AV144" s="16"/>
      <c r="AW144" s="16"/>
    </row>
    <row r="145" ht="14.25" customHeight="1">
      <c r="A145" s="15" t="s">
        <v>385</v>
      </c>
      <c r="B145" s="16">
        <v>455370.0</v>
      </c>
      <c r="C145" s="16">
        <v>3188.0</v>
      </c>
      <c r="D145" s="16">
        <v>3188.0</v>
      </c>
      <c r="E145" s="16">
        <v>8.0123514E7</v>
      </c>
      <c r="F145" s="16">
        <v>8.0123514E7</v>
      </c>
      <c r="G145" s="15" t="s">
        <v>148</v>
      </c>
      <c r="H145" s="15" t="s">
        <v>149</v>
      </c>
      <c r="I145" s="1" t="str">
        <f>VLOOKUP(C145,'mayo-26'!B:H,7,0)</f>
        <v>CALLE 10 NO 0E-16 EDF CENTRO EMPRESARIAL BLOQUE B HOTEL TONCHALA</v>
      </c>
      <c r="J145" s="1" t="s">
        <v>386</v>
      </c>
      <c r="K145" s="10" t="str">
        <f>VLOOKUP(C145,'mayo-26'!B:J,9,0)</f>
        <v>NO</v>
      </c>
      <c r="L145" s="1" t="str">
        <f>VLOOKUP(C145,'mayo-26'!B:K,10,0)</f>
        <v>COLEGIOS ZONA NORTE</v>
      </c>
      <c r="M145" s="15" t="s">
        <v>52</v>
      </c>
      <c r="N145" s="15" t="s">
        <v>138</v>
      </c>
      <c r="O145" s="15" t="s">
        <v>130</v>
      </c>
      <c r="P145" s="15" t="s">
        <v>126</v>
      </c>
      <c r="Q145" s="15" t="s">
        <v>56</v>
      </c>
      <c r="R145" s="15" t="s">
        <v>57</v>
      </c>
      <c r="S145" s="15" t="s">
        <v>143</v>
      </c>
      <c r="T145" s="15" t="s">
        <v>59</v>
      </c>
      <c r="U145" s="16">
        <v>2026.0</v>
      </c>
      <c r="V145" s="16">
        <v>6.0</v>
      </c>
      <c r="W145" s="16">
        <v>1.081874953E9</v>
      </c>
      <c r="X145" s="16">
        <v>1.081893425E9</v>
      </c>
      <c r="Y145" s="17">
        <v>46182.0</v>
      </c>
      <c r="Z145" s="17">
        <v>46207.0</v>
      </c>
      <c r="AA145" s="16">
        <v>362144.44</v>
      </c>
      <c r="AB145" s="16">
        <v>362144.44</v>
      </c>
      <c r="AC145" s="16">
        <v>0.0</v>
      </c>
      <c r="AD145" s="16">
        <v>1710.0</v>
      </c>
      <c r="AE145" s="16">
        <v>0.0</v>
      </c>
      <c r="AF145" s="16">
        <v>0.0</v>
      </c>
      <c r="AG145" s="16">
        <v>0.0</v>
      </c>
      <c r="AH145" s="16">
        <v>0.0</v>
      </c>
      <c r="AI145" s="16">
        <v>0.0</v>
      </c>
      <c r="AJ145" s="16">
        <v>362144.44</v>
      </c>
      <c r="AK145" s="16">
        <v>1079745.58</v>
      </c>
      <c r="AL145" s="16">
        <v>3.0</v>
      </c>
      <c r="AM145" s="16">
        <v>250.8</v>
      </c>
      <c r="AN145" s="16">
        <v>0.0</v>
      </c>
      <c r="AO145" s="18"/>
      <c r="AP145" s="18"/>
      <c r="AQ145" s="18"/>
      <c r="AR145" s="18"/>
      <c r="AS145" s="11" t="str">
        <f>VLOOKUP(C145,'mayo-26'!B:AS,44,0)</f>
        <v>AREAFINANCIERA@SEMCUCUTA.GOV.CO</v>
      </c>
      <c r="AT145" s="12" t="str">
        <f>VLOOKUP(C145,'mayo-26'!B:AT,45,0)</f>
        <v>CARTERA</v>
      </c>
      <c r="AU145" s="16"/>
      <c r="AV145" s="16"/>
      <c r="AW145" s="16"/>
    </row>
    <row r="146" ht="14.25" customHeight="1">
      <c r="A146" s="15" t="s">
        <v>387</v>
      </c>
      <c r="B146" s="16">
        <v>455370.0</v>
      </c>
      <c r="C146" s="16">
        <v>3192.0</v>
      </c>
      <c r="D146" s="16">
        <v>3192.0</v>
      </c>
      <c r="E146" s="16">
        <v>8.0123518E7</v>
      </c>
      <c r="F146" s="16">
        <v>8.0123518E7</v>
      </c>
      <c r="G146" s="15" t="s">
        <v>148</v>
      </c>
      <c r="H146" s="15" t="s">
        <v>149</v>
      </c>
      <c r="I146" s="1" t="str">
        <f>VLOOKUP(C146,'mayo-26'!B:H,7,0)</f>
        <v>CALLE 10 NO 0E-16 EDF CENTRO EMPRESARIAL BLOQUE B HOTEL TONCHALA</v>
      </c>
      <c r="J146" s="1" t="s">
        <v>253</v>
      </c>
      <c r="K146" s="10" t="str">
        <f>VLOOKUP(C146,'mayo-26'!B:J,9,0)</f>
        <v>NO</v>
      </c>
      <c r="L146" s="1" t="str">
        <f>VLOOKUP(C146,'mayo-26'!B:K,10,0)</f>
        <v>COLEGIOS ZONA NORTE</v>
      </c>
      <c r="M146" s="15" t="s">
        <v>52</v>
      </c>
      <c r="N146" s="15" t="s">
        <v>138</v>
      </c>
      <c r="O146" s="15" t="s">
        <v>130</v>
      </c>
      <c r="P146" s="15" t="s">
        <v>126</v>
      </c>
      <c r="Q146" s="15" t="s">
        <v>56</v>
      </c>
      <c r="R146" s="15" t="s">
        <v>57</v>
      </c>
      <c r="S146" s="15" t="s">
        <v>143</v>
      </c>
      <c r="T146" s="15" t="s">
        <v>59</v>
      </c>
      <c r="U146" s="16">
        <v>2026.0</v>
      </c>
      <c r="V146" s="16">
        <v>6.0</v>
      </c>
      <c r="W146" s="16">
        <v>1.081874957E9</v>
      </c>
      <c r="X146" s="16">
        <v>1.081893429E9</v>
      </c>
      <c r="Y146" s="17">
        <v>46182.0</v>
      </c>
      <c r="Z146" s="17">
        <v>46207.0</v>
      </c>
      <c r="AA146" s="16">
        <v>255876.6</v>
      </c>
      <c r="AB146" s="16">
        <v>255876.6</v>
      </c>
      <c r="AC146" s="16">
        <v>0.0</v>
      </c>
      <c r="AD146" s="16">
        <v>1150.0</v>
      </c>
      <c r="AE146" s="16">
        <v>0.0</v>
      </c>
      <c r="AF146" s="16">
        <v>0.0</v>
      </c>
      <c r="AG146" s="16">
        <v>0.0</v>
      </c>
      <c r="AH146" s="16">
        <v>0.0</v>
      </c>
      <c r="AI146" s="16">
        <v>0.0</v>
      </c>
      <c r="AJ146" s="16">
        <v>255876.6</v>
      </c>
      <c r="AK146" s="16">
        <v>763441.9</v>
      </c>
      <c r="AL146" s="16">
        <v>3.0</v>
      </c>
      <c r="AM146" s="16">
        <v>250.8</v>
      </c>
      <c r="AN146" s="16">
        <v>0.0</v>
      </c>
      <c r="AO146" s="18"/>
      <c r="AP146" s="18"/>
      <c r="AQ146" s="18"/>
      <c r="AR146" s="18"/>
      <c r="AS146" s="11" t="str">
        <f>VLOOKUP(C146,'mayo-26'!B:AS,44,0)</f>
        <v>AREAFINANCIERA@SEMCUCUTA.GOV.CO</v>
      </c>
      <c r="AT146" s="12" t="str">
        <f>VLOOKUP(C146,'mayo-26'!B:AT,45,0)</f>
        <v>CARTERA</v>
      </c>
      <c r="AU146" s="16"/>
      <c r="AV146" s="16"/>
      <c r="AW146" s="16"/>
    </row>
    <row r="147" ht="14.25" customHeight="1">
      <c r="A147" s="15" t="s">
        <v>388</v>
      </c>
      <c r="B147" s="16">
        <v>455370.0</v>
      </c>
      <c r="C147" s="16">
        <v>3196.0</v>
      </c>
      <c r="D147" s="16">
        <v>3196.0</v>
      </c>
      <c r="E147" s="16">
        <v>8.0123522E7</v>
      </c>
      <c r="F147" s="16">
        <v>8.0123522E7</v>
      </c>
      <c r="G147" s="15" t="s">
        <v>148</v>
      </c>
      <c r="H147" s="15" t="s">
        <v>149</v>
      </c>
      <c r="I147" s="1" t="str">
        <f>VLOOKUP(C147,'mayo-26'!B:H,7,0)</f>
        <v>CALLE 10 NO 0E-16 EDF CENTRO EMPRESARIAL BLOQUE B HOTEL TONCHALA</v>
      </c>
      <c r="J147" s="1" t="s">
        <v>238</v>
      </c>
      <c r="K147" s="10" t="str">
        <f>VLOOKUP(C147,'mayo-26'!B:J,9,0)</f>
        <v>NO</v>
      </c>
      <c r="L147" s="1" t="str">
        <f>VLOOKUP(C147,'mayo-26'!B:K,10,0)</f>
        <v>COLEGIOS ZONA NORTE</v>
      </c>
      <c r="M147" s="15" t="s">
        <v>52</v>
      </c>
      <c r="N147" s="15" t="s">
        <v>138</v>
      </c>
      <c r="O147" s="15" t="s">
        <v>130</v>
      </c>
      <c r="P147" s="15" t="s">
        <v>126</v>
      </c>
      <c r="Q147" s="15" t="s">
        <v>56</v>
      </c>
      <c r="R147" s="15" t="s">
        <v>57</v>
      </c>
      <c r="S147" s="15" t="s">
        <v>143</v>
      </c>
      <c r="T147" s="15" t="s">
        <v>59</v>
      </c>
      <c r="U147" s="16">
        <v>2026.0</v>
      </c>
      <c r="V147" s="16">
        <v>6.0</v>
      </c>
      <c r="W147" s="16">
        <v>1.081874962E9</v>
      </c>
      <c r="X147" s="16">
        <v>1.081893434E9</v>
      </c>
      <c r="Y147" s="17">
        <v>46182.0</v>
      </c>
      <c r="Z147" s="17">
        <v>46207.0</v>
      </c>
      <c r="AA147" s="16">
        <v>305215.24</v>
      </c>
      <c r="AB147" s="16">
        <v>305215.24</v>
      </c>
      <c r="AC147" s="16">
        <v>0.0</v>
      </c>
      <c r="AD147" s="16">
        <v>1410.0</v>
      </c>
      <c r="AE147" s="16">
        <v>0.0</v>
      </c>
      <c r="AF147" s="16">
        <v>0.0</v>
      </c>
      <c r="AG147" s="16">
        <v>0.0</v>
      </c>
      <c r="AH147" s="16">
        <v>0.0</v>
      </c>
      <c r="AI147" s="16">
        <v>0.0</v>
      </c>
      <c r="AJ147" s="16">
        <v>305215.24</v>
      </c>
      <c r="AK147" s="16">
        <v>910297.18</v>
      </c>
      <c r="AL147" s="16">
        <v>3.0</v>
      </c>
      <c r="AM147" s="16">
        <v>250.8</v>
      </c>
      <c r="AN147" s="16">
        <v>0.0</v>
      </c>
      <c r="AO147" s="18"/>
      <c r="AP147" s="18"/>
      <c r="AQ147" s="18"/>
      <c r="AR147" s="18"/>
      <c r="AS147" s="11" t="str">
        <f>VLOOKUP(C147,'mayo-26'!B:AS,44,0)</f>
        <v>AREAFINANCIERA@SEMCUCUTA.GOV.CO</v>
      </c>
      <c r="AT147" s="12" t="str">
        <f>VLOOKUP(C147,'mayo-26'!B:AT,45,0)</f>
        <v>CARTERA</v>
      </c>
      <c r="AU147" s="16"/>
      <c r="AV147" s="16"/>
      <c r="AW147" s="16"/>
    </row>
    <row r="148" ht="14.25" customHeight="1">
      <c r="A148" s="15" t="s">
        <v>389</v>
      </c>
      <c r="B148" s="16">
        <v>455370.0</v>
      </c>
      <c r="C148" s="16">
        <v>3200.0</v>
      </c>
      <c r="D148" s="16">
        <v>3200.0</v>
      </c>
      <c r="E148" s="16">
        <v>8.0123526E7</v>
      </c>
      <c r="F148" s="16">
        <v>8.0123526E7</v>
      </c>
      <c r="G148" s="15" t="s">
        <v>148</v>
      </c>
      <c r="H148" s="15" t="s">
        <v>149</v>
      </c>
      <c r="I148" s="1" t="str">
        <f>VLOOKUP(C148,'mayo-26'!B:H,7,0)</f>
        <v>CALLE 10 NO 0E-16 EDF CENTRO EMPRESARIAL BLOQUE B HOTEL TONCHALA</v>
      </c>
      <c r="J148" s="1" t="s">
        <v>390</v>
      </c>
      <c r="K148" s="10" t="str">
        <f>VLOOKUP(C148,'mayo-26'!B:J,9,0)</f>
        <v>NO</v>
      </c>
      <c r="L148" s="1" t="str">
        <f>VLOOKUP(C148,'mayo-26'!B:K,10,0)</f>
        <v>COLEGIOS ZONA NORTE</v>
      </c>
      <c r="M148" s="15" t="s">
        <v>52</v>
      </c>
      <c r="N148" s="15" t="s">
        <v>138</v>
      </c>
      <c r="O148" s="15" t="s">
        <v>130</v>
      </c>
      <c r="P148" s="15" t="s">
        <v>126</v>
      </c>
      <c r="Q148" s="15" t="s">
        <v>56</v>
      </c>
      <c r="R148" s="15" t="s">
        <v>57</v>
      </c>
      <c r="S148" s="15" t="s">
        <v>143</v>
      </c>
      <c r="T148" s="15" t="s">
        <v>59</v>
      </c>
      <c r="U148" s="16">
        <v>2026.0</v>
      </c>
      <c r="V148" s="16">
        <v>6.0</v>
      </c>
      <c r="W148" s="16">
        <v>1.081874966E9</v>
      </c>
      <c r="X148" s="16">
        <v>1.081893438E9</v>
      </c>
      <c r="Y148" s="17">
        <v>46182.0</v>
      </c>
      <c r="Z148" s="17">
        <v>46207.0</v>
      </c>
      <c r="AA148" s="16">
        <v>464617.0</v>
      </c>
      <c r="AB148" s="16">
        <v>464617.0</v>
      </c>
      <c r="AC148" s="16">
        <v>0.0</v>
      </c>
      <c r="AD148" s="16">
        <v>2250.0</v>
      </c>
      <c r="AE148" s="16">
        <v>0.0</v>
      </c>
      <c r="AF148" s="16">
        <v>0.0</v>
      </c>
      <c r="AG148" s="16">
        <v>0.0</v>
      </c>
      <c r="AH148" s="16">
        <v>0.0</v>
      </c>
      <c r="AI148" s="16">
        <v>0.0</v>
      </c>
      <c r="AJ148" s="16">
        <v>464617.0</v>
      </c>
      <c r="AK148" s="16">
        <v>1384752.7</v>
      </c>
      <c r="AL148" s="16">
        <v>3.0</v>
      </c>
      <c r="AM148" s="16">
        <v>250.8</v>
      </c>
      <c r="AN148" s="16">
        <v>0.0</v>
      </c>
      <c r="AO148" s="18"/>
      <c r="AP148" s="18"/>
      <c r="AQ148" s="18"/>
      <c r="AR148" s="18"/>
      <c r="AS148" s="11" t="str">
        <f>VLOOKUP(C148,'mayo-26'!B:AS,44,0)</f>
        <v>AREAFINANCIERA@SEMCUCUTA.GOV.CO</v>
      </c>
      <c r="AT148" s="12" t="str">
        <f>VLOOKUP(C148,'mayo-26'!B:AT,45,0)</f>
        <v>CARTERA</v>
      </c>
      <c r="AU148" s="16"/>
      <c r="AV148" s="16"/>
      <c r="AW148" s="16"/>
    </row>
    <row r="149" ht="14.25" customHeight="1">
      <c r="A149" s="15" t="s">
        <v>391</v>
      </c>
      <c r="B149" s="16">
        <v>3205.0</v>
      </c>
      <c r="C149" s="16">
        <v>3204.0</v>
      </c>
      <c r="D149" s="16">
        <v>3204.0</v>
      </c>
      <c r="E149" s="16">
        <v>8.012353E7</v>
      </c>
      <c r="F149" s="16">
        <v>8.012353E7</v>
      </c>
      <c r="G149" s="15" t="s">
        <v>392</v>
      </c>
      <c r="H149" s="15" t="s">
        <v>393</v>
      </c>
      <c r="I149" s="1" t="str">
        <f>VLOOKUP(C149,'mayo-26'!B:H,7,0)</f>
        <v>SEC T-COMERCIO CENABASTOS OF 210 211 URB TASAJERO</v>
      </c>
      <c r="J149" s="1" t="s">
        <v>181</v>
      </c>
      <c r="K149" s="10" t="str">
        <f>VLOOKUP(C149,'mayo-26'!B:J,9,0)</f>
        <v>NO</v>
      </c>
      <c r="L149" s="1" t="str">
        <f>VLOOKUP(C149,'mayo-26'!B:K,10,0)</f>
        <v>NO</v>
      </c>
      <c r="M149" s="15" t="s">
        <v>52</v>
      </c>
      <c r="N149" s="15" t="s">
        <v>89</v>
      </c>
      <c r="O149" s="15" t="s">
        <v>130</v>
      </c>
      <c r="P149" s="15" t="s">
        <v>126</v>
      </c>
      <c r="Q149" s="15" t="s">
        <v>56</v>
      </c>
      <c r="R149" s="15" t="s">
        <v>57</v>
      </c>
      <c r="S149" s="15" t="s">
        <v>143</v>
      </c>
      <c r="T149" s="15" t="s">
        <v>59</v>
      </c>
      <c r="U149" s="16">
        <v>2026.0</v>
      </c>
      <c r="V149" s="16">
        <v>6.0</v>
      </c>
      <c r="W149" s="16">
        <v>1.081874969E9</v>
      </c>
      <c r="X149" s="16">
        <v>1.081893441E9</v>
      </c>
      <c r="Y149" s="17">
        <v>46182.0</v>
      </c>
      <c r="Z149" s="17">
        <v>46207.0</v>
      </c>
      <c r="AA149" s="16">
        <v>8007736.0</v>
      </c>
      <c r="AB149" s="16">
        <v>8007736.0</v>
      </c>
      <c r="AC149" s="16">
        <v>0.0</v>
      </c>
      <c r="AD149" s="16">
        <v>42000.0</v>
      </c>
      <c r="AE149" s="16">
        <v>0.0</v>
      </c>
      <c r="AF149" s="16">
        <v>0.0</v>
      </c>
      <c r="AG149" s="16">
        <v>0.0</v>
      </c>
      <c r="AH149" s="16">
        <v>0.0</v>
      </c>
      <c r="AI149" s="16">
        <v>0.0</v>
      </c>
      <c r="AJ149" s="16">
        <v>8007736.0</v>
      </c>
      <c r="AK149" s="16">
        <v>8007736.0</v>
      </c>
      <c r="AL149" s="16">
        <v>0.0</v>
      </c>
      <c r="AM149" s="16">
        <v>250.8</v>
      </c>
      <c r="AN149" s="16">
        <v>0.0</v>
      </c>
      <c r="AO149" s="18"/>
      <c r="AP149" s="18"/>
      <c r="AQ149" s="18"/>
      <c r="AR149" s="18"/>
      <c r="AS149" s="11" t="str">
        <f>VLOOKUP(C149,'mayo-26'!B:AS,44,0)</f>
        <v>CENABASTOSPH@HOTMAIL.COM</v>
      </c>
      <c r="AT149" s="12" t="str">
        <f>VLOOKUP(C149,'mayo-26'!B:AT,45,0)</f>
        <v>CORREO ELECTRONICO CERTIFICADO 472</v>
      </c>
      <c r="AU149" s="16"/>
      <c r="AV149" s="16"/>
      <c r="AW149" s="16"/>
    </row>
    <row r="150" ht="14.25" customHeight="1">
      <c r="A150" s="19" t="s">
        <v>394</v>
      </c>
      <c r="B150" s="16">
        <v>3209.0</v>
      </c>
      <c r="C150" s="16">
        <v>3208.0</v>
      </c>
      <c r="D150" s="16">
        <v>3208.0</v>
      </c>
      <c r="E150" s="16">
        <v>8.0127938E7</v>
      </c>
      <c r="F150" s="16">
        <v>8.0127938E7</v>
      </c>
      <c r="G150" s="16">
        <v>9.01375954E8</v>
      </c>
      <c r="H150" s="15" t="s">
        <v>395</v>
      </c>
      <c r="I150" s="1" t="str">
        <f>VLOOKUP(C150,'mayo-26'!B:H,7,0)</f>
        <v>AV 7 1 136 BRR LA INSULA</v>
      </c>
      <c r="J150" s="1" t="s">
        <v>208</v>
      </c>
      <c r="K150" s="10" t="str">
        <f>VLOOKUP(C150,'mayo-26'!B:J,9,0)</f>
        <v>NO</v>
      </c>
      <c r="L150" s="1" t="str">
        <f>VLOOKUP(C150,'mayo-26'!B:K,10,0)</f>
        <v>NO</v>
      </c>
      <c r="M150" s="15" t="s">
        <v>52</v>
      </c>
      <c r="N150" s="15" t="s">
        <v>89</v>
      </c>
      <c r="O150" s="15" t="s">
        <v>130</v>
      </c>
      <c r="P150" s="15" t="s">
        <v>126</v>
      </c>
      <c r="Q150" s="15" t="s">
        <v>56</v>
      </c>
      <c r="R150" s="15" t="s">
        <v>90</v>
      </c>
      <c r="S150" s="15" t="s">
        <v>143</v>
      </c>
      <c r="T150" s="15" t="s">
        <v>59</v>
      </c>
      <c r="U150" s="16">
        <v>2026.0</v>
      </c>
      <c r="V150" s="16">
        <v>6.0</v>
      </c>
      <c r="W150" s="16">
        <v>1.081874973E9</v>
      </c>
      <c r="X150" s="16">
        <v>1.081893445E9</v>
      </c>
      <c r="Y150" s="17">
        <v>46182.0</v>
      </c>
      <c r="Z150" s="17">
        <v>46207.0</v>
      </c>
      <c r="AA150" s="16">
        <v>128487.44</v>
      </c>
      <c r="AB150" s="16">
        <v>128487.44</v>
      </c>
      <c r="AC150" s="16">
        <v>42829.15</v>
      </c>
      <c r="AD150" s="16">
        <v>253.0</v>
      </c>
      <c r="AE150" s="16">
        <v>0.0</v>
      </c>
      <c r="AF150" s="16">
        <v>0.0</v>
      </c>
      <c r="AG150" s="16">
        <v>0.0</v>
      </c>
      <c r="AH150" s="16">
        <v>0.0</v>
      </c>
      <c r="AI150" s="16">
        <v>0.0</v>
      </c>
      <c r="AJ150" s="16">
        <v>128487.44</v>
      </c>
      <c r="AK150" s="16">
        <v>128487.44</v>
      </c>
      <c r="AL150" s="16">
        <v>0.0</v>
      </c>
      <c r="AM150" s="16">
        <v>376.2</v>
      </c>
      <c r="AN150" s="16">
        <v>0.0</v>
      </c>
      <c r="AO150" s="18"/>
      <c r="AP150" s="18"/>
      <c r="AQ150" s="18"/>
      <c r="AR150" s="18"/>
      <c r="AS150" s="11" t="str">
        <f>VLOOKUP(C150,'mayo-26'!B:AS,44,0)</f>
        <v>FACTURACION.ANDECOL@GMAIL.COM</v>
      </c>
      <c r="AT150" s="12" t="str">
        <f>VLOOKUP(C150,'mayo-26'!B:AT,45,0)</f>
        <v>CORREO ELECTRONICO CERTIFICADO 472</v>
      </c>
      <c r="AU150" s="16"/>
      <c r="AV150" s="16"/>
      <c r="AW150" s="16"/>
    </row>
    <row r="151" ht="14.25" customHeight="1">
      <c r="A151" s="15" t="s">
        <v>396</v>
      </c>
      <c r="B151" s="16">
        <v>3213.0</v>
      </c>
      <c r="C151" s="16">
        <v>3212.0</v>
      </c>
      <c r="D151" s="16">
        <v>3212.0</v>
      </c>
      <c r="E151" s="16">
        <v>8.020273E7</v>
      </c>
      <c r="F151" s="16">
        <v>8.020273E7</v>
      </c>
      <c r="G151" s="15" t="s">
        <v>397</v>
      </c>
      <c r="H151" s="15" t="s">
        <v>398</v>
      </c>
      <c r="I151" s="1" t="str">
        <f>VLOOKUP(C151,'mayo-26'!B:H,7,0)</f>
        <v>AVENIDA LIBERTADORES/CANAL BOGOTA</v>
      </c>
      <c r="J151" s="1" t="s">
        <v>214</v>
      </c>
      <c r="K151" s="10" t="str">
        <f>VLOOKUP(C151,'mayo-26'!B:J,9,0)</f>
        <v>NO</v>
      </c>
      <c r="L151" s="1" t="str">
        <f>VLOOKUP(C151,'mayo-26'!B:K,10,0)</f>
        <v>METRO</v>
      </c>
      <c r="M151" s="15" t="s">
        <v>52</v>
      </c>
      <c r="N151" s="15" t="s">
        <v>138</v>
      </c>
      <c r="O151" s="15" t="s">
        <v>130</v>
      </c>
      <c r="P151" s="15" t="s">
        <v>126</v>
      </c>
      <c r="Q151" s="15" t="s">
        <v>56</v>
      </c>
      <c r="R151" s="15" t="s">
        <v>90</v>
      </c>
      <c r="S151" s="15" t="s">
        <v>143</v>
      </c>
      <c r="T151" s="15" t="s">
        <v>59</v>
      </c>
      <c r="U151" s="16">
        <v>2026.0</v>
      </c>
      <c r="V151" s="16">
        <v>6.0</v>
      </c>
      <c r="W151" s="16">
        <v>1.081874978E9</v>
      </c>
      <c r="X151" s="16">
        <v>1.08189345E9</v>
      </c>
      <c r="Y151" s="17">
        <v>46182.0</v>
      </c>
      <c r="Z151" s="17">
        <v>46207.0</v>
      </c>
      <c r="AA151" s="16">
        <v>839248.51</v>
      </c>
      <c r="AB151" s="16">
        <v>839248.51</v>
      </c>
      <c r="AC151" s="16">
        <v>279749.51</v>
      </c>
      <c r="AD151" s="16">
        <v>2750.0</v>
      </c>
      <c r="AE151" s="16">
        <v>0.0</v>
      </c>
      <c r="AF151" s="16">
        <v>0.0</v>
      </c>
      <c r="AG151" s="16">
        <v>0.0</v>
      </c>
      <c r="AH151" s="16">
        <v>0.0</v>
      </c>
      <c r="AI151" s="16">
        <v>0.0</v>
      </c>
      <c r="AJ151" s="16">
        <v>839248.51</v>
      </c>
      <c r="AK151" s="16">
        <v>839248.51</v>
      </c>
      <c r="AL151" s="16">
        <v>0.0</v>
      </c>
      <c r="AM151" s="16">
        <v>376.2</v>
      </c>
      <c r="AN151" s="16">
        <v>0.0</v>
      </c>
      <c r="AO151" s="18"/>
      <c r="AP151" s="18"/>
      <c r="AQ151" s="18"/>
      <c r="AR151" s="18"/>
      <c r="AS151" s="11" t="str">
        <f>VLOOKUP(C151,'mayo-26'!B:AS,44,0)</f>
        <v>SERVICIOS_PUBLICOS_COLOMBIA@CENCOSUD.COM.CO; MariaAngela.SanchezRincon@cencosud.com.co</v>
      </c>
      <c r="AT151" s="12" t="str">
        <f>VLOOKUP(C151,'mayo-26'!B:AT,45,0)</f>
        <v>CORREO ELECTRONICO CERTIFICADO 472</v>
      </c>
      <c r="AU151" s="16"/>
      <c r="AV151" s="16"/>
      <c r="AW151" s="16"/>
    </row>
    <row r="152" ht="14.25" customHeight="1">
      <c r="A152" s="15" t="s">
        <v>399</v>
      </c>
      <c r="B152" s="16">
        <v>350.0</v>
      </c>
      <c r="C152" s="16">
        <v>3216.0</v>
      </c>
      <c r="D152" s="16">
        <v>3216.0</v>
      </c>
      <c r="E152" s="16">
        <v>8.0205194E7</v>
      </c>
      <c r="F152" s="16">
        <v>8.0205194E7</v>
      </c>
      <c r="G152" s="16">
        <v>9.00603041E8</v>
      </c>
      <c r="H152" s="15" t="s">
        <v>400</v>
      </c>
      <c r="I152" s="1" t="str">
        <f>VLOOKUP(C152,'mayo-26'!B:H,7,0)</f>
        <v>AVE 6 7-35 SUPERMERCADO</v>
      </c>
      <c r="J152" s="1" t="s">
        <v>401</v>
      </c>
      <c r="K152" s="10" t="str">
        <f>VLOOKUP(C152,'mayo-26'!B:J,9,0)</f>
        <v>NO</v>
      </c>
      <c r="L152" s="1" t="str">
        <f>VLOOKUP(C152,'mayo-26'!B:K,10,0)</f>
        <v>LOS MONTES</v>
      </c>
      <c r="M152" s="15" t="s">
        <v>52</v>
      </c>
      <c r="N152" s="15" t="s">
        <v>89</v>
      </c>
      <c r="O152" s="15" t="s">
        <v>130</v>
      </c>
      <c r="P152" s="15" t="s">
        <v>126</v>
      </c>
      <c r="Q152" s="15" t="s">
        <v>56</v>
      </c>
      <c r="R152" s="15" t="s">
        <v>90</v>
      </c>
      <c r="S152" s="15" t="s">
        <v>143</v>
      </c>
      <c r="T152" s="15" t="s">
        <v>59</v>
      </c>
      <c r="U152" s="16">
        <v>2026.0</v>
      </c>
      <c r="V152" s="16">
        <v>6.0</v>
      </c>
      <c r="W152" s="16">
        <v>1.081874981E9</v>
      </c>
      <c r="X152" s="16">
        <v>1.081893453E9</v>
      </c>
      <c r="Y152" s="17">
        <v>46182.0</v>
      </c>
      <c r="Z152" s="17">
        <v>46207.0</v>
      </c>
      <c r="AA152" s="16">
        <v>498123.39</v>
      </c>
      <c r="AB152" s="16">
        <v>498123.39</v>
      </c>
      <c r="AC152" s="16">
        <v>161147.0</v>
      </c>
      <c r="AD152" s="16">
        <v>1500.0</v>
      </c>
      <c r="AE152" s="16">
        <v>14682.39</v>
      </c>
      <c r="AF152" s="16">
        <v>0.0</v>
      </c>
      <c r="AG152" s="16">
        <v>0.0</v>
      </c>
      <c r="AH152" s="16">
        <v>0.0</v>
      </c>
      <c r="AI152" s="16">
        <v>0.0</v>
      </c>
      <c r="AJ152" s="16">
        <v>498123.39</v>
      </c>
      <c r="AK152" s="16">
        <v>973505.54</v>
      </c>
      <c r="AL152" s="16">
        <v>1.0</v>
      </c>
      <c r="AM152" s="16">
        <v>376.2</v>
      </c>
      <c r="AN152" s="16">
        <v>0.0</v>
      </c>
      <c r="AO152" s="18"/>
      <c r="AP152" s="18"/>
      <c r="AQ152" s="18"/>
      <c r="AR152" s="18"/>
      <c r="AS152" s="11" t="str">
        <f>VLOOKUP(C152,'mayo-26'!B:AS,44,0)</f>
        <v>GASTOS@SUPERLOSMONTES.CO;FACTURAELECTRONICA@SUPERLOSMONTES.CO</v>
      </c>
      <c r="AT152" s="12" t="str">
        <f>VLOOKUP(C152,'mayo-26'!B:AT,45,0)</f>
        <v>CORREO ELECTRONICO CERTIFICADO 472</v>
      </c>
      <c r="AU152" s="16"/>
      <c r="AV152" s="16"/>
      <c r="AW152" s="16"/>
    </row>
    <row r="153" ht="14.25" customHeight="1">
      <c r="A153" s="15" t="s">
        <v>402</v>
      </c>
      <c r="B153" s="16">
        <v>455370.0</v>
      </c>
      <c r="C153" s="16">
        <v>3228.0</v>
      </c>
      <c r="D153" s="16">
        <v>3228.0</v>
      </c>
      <c r="E153" s="16">
        <v>8.0206522E7</v>
      </c>
      <c r="F153" s="16">
        <v>8.0206522E7</v>
      </c>
      <c r="G153" s="15" t="s">
        <v>148</v>
      </c>
      <c r="H153" s="15" t="s">
        <v>149</v>
      </c>
      <c r="I153" s="1" t="str">
        <f>VLOOKUP(C153,'mayo-26'!B:H,7,0)</f>
        <v>CALLE 10 NO 0E-16 EDF CENTRO EMPRESARIAL BLOQUE B HOTEL TONCHALA</v>
      </c>
      <c r="J153" s="1" t="s">
        <v>129</v>
      </c>
      <c r="K153" s="10" t="str">
        <f>VLOOKUP(C153,'mayo-26'!B:J,9,0)</f>
        <v>NO</v>
      </c>
      <c r="L153" s="1" t="str">
        <f>VLOOKUP(C153,'mayo-26'!B:K,10,0)</f>
        <v>COLEGIOS ZONA NORTE</v>
      </c>
      <c r="M153" s="15" t="s">
        <v>52</v>
      </c>
      <c r="N153" s="15" t="s">
        <v>138</v>
      </c>
      <c r="O153" s="15" t="s">
        <v>130</v>
      </c>
      <c r="P153" s="15" t="s">
        <v>126</v>
      </c>
      <c r="Q153" s="15" t="s">
        <v>56</v>
      </c>
      <c r="R153" s="15" t="s">
        <v>57</v>
      </c>
      <c r="S153" s="15" t="s">
        <v>143</v>
      </c>
      <c r="T153" s="15" t="s">
        <v>59</v>
      </c>
      <c r="U153" s="16">
        <v>2026.0</v>
      </c>
      <c r="V153" s="16">
        <v>6.0</v>
      </c>
      <c r="W153" s="16">
        <v>1.081874983E9</v>
      </c>
      <c r="X153" s="16">
        <v>1.081893455E9</v>
      </c>
      <c r="Y153" s="17">
        <v>46182.0</v>
      </c>
      <c r="Z153" s="17">
        <v>46207.0</v>
      </c>
      <c r="AA153" s="16">
        <v>785887.45</v>
      </c>
      <c r="AB153" s="16">
        <v>785887.45</v>
      </c>
      <c r="AC153" s="16">
        <v>0.0</v>
      </c>
      <c r="AD153" s="16">
        <v>3943.0</v>
      </c>
      <c r="AE153" s="16">
        <v>0.0</v>
      </c>
      <c r="AF153" s="16">
        <v>0.0</v>
      </c>
      <c r="AG153" s="16">
        <v>0.0</v>
      </c>
      <c r="AH153" s="16">
        <v>0.0</v>
      </c>
      <c r="AI153" s="16">
        <v>0.0</v>
      </c>
      <c r="AJ153" s="16">
        <v>785887.45</v>
      </c>
      <c r="AK153" s="16">
        <v>2341006.5</v>
      </c>
      <c r="AL153" s="16">
        <v>3.0</v>
      </c>
      <c r="AM153" s="16">
        <v>250.8</v>
      </c>
      <c r="AN153" s="16">
        <v>0.0</v>
      </c>
      <c r="AO153" s="18"/>
      <c r="AP153" s="18"/>
      <c r="AQ153" s="18"/>
      <c r="AR153" s="18"/>
      <c r="AS153" s="11" t="str">
        <f>VLOOKUP(C153,'mayo-26'!B:AS,44,0)</f>
        <v>AREAFINANCIERA@SEMCUCUTA.GOV.CO</v>
      </c>
      <c r="AT153" s="12" t="str">
        <f>VLOOKUP(C153,'mayo-26'!B:AT,45,0)</f>
        <v>CARTERA</v>
      </c>
      <c r="AU153" s="16"/>
      <c r="AV153" s="16"/>
      <c r="AW153" s="16"/>
    </row>
    <row r="154" ht="14.25" customHeight="1">
      <c r="A154" s="15" t="s">
        <v>403</v>
      </c>
      <c r="B154" s="16">
        <v>323057.0</v>
      </c>
      <c r="C154" s="16">
        <v>323056.0</v>
      </c>
      <c r="D154" s="16">
        <v>323056.0</v>
      </c>
      <c r="E154" s="16">
        <v>536628.0</v>
      </c>
      <c r="F154" s="16">
        <v>536628.0</v>
      </c>
      <c r="G154" s="16">
        <v>8.9090005E8</v>
      </c>
      <c r="H154" s="15" t="s">
        <v>404</v>
      </c>
      <c r="I154" s="1" t="str">
        <f>VLOOKUP(C154,'mayo-26'!B:H,7,0)</f>
        <v>CL 17 N 5-101</v>
      </c>
      <c r="J154" s="1" t="s">
        <v>172</v>
      </c>
      <c r="K154" s="10" t="str">
        <f>VLOOKUP(C154,'mayo-26'!B:J,9,0)</f>
        <v>ZONA NORTE</v>
      </c>
      <c r="L154" s="1" t="str">
        <f>VLOOKUP(C154,'mayo-26'!B:K,10,0)</f>
        <v>NO</v>
      </c>
      <c r="M154" s="15" t="s">
        <v>52</v>
      </c>
      <c r="N154" s="15" t="s">
        <v>89</v>
      </c>
      <c r="O154" s="15" t="s">
        <v>130</v>
      </c>
      <c r="P154" s="15" t="s">
        <v>126</v>
      </c>
      <c r="Q154" s="15" t="s">
        <v>56</v>
      </c>
      <c r="R154" s="15" t="s">
        <v>90</v>
      </c>
      <c r="S154" s="15" t="s">
        <v>58</v>
      </c>
      <c r="T154" s="15" t="s">
        <v>59</v>
      </c>
      <c r="U154" s="16">
        <v>2026.0</v>
      </c>
      <c r="V154" s="16">
        <v>6.0</v>
      </c>
      <c r="W154" s="16">
        <v>1.08187516E9</v>
      </c>
      <c r="X154" s="16">
        <v>1.081893632E9</v>
      </c>
      <c r="Y154" s="17">
        <v>46182.0</v>
      </c>
      <c r="Z154" s="17">
        <v>46207.0</v>
      </c>
      <c r="AA154" s="16">
        <v>305568.49</v>
      </c>
      <c r="AB154" s="16">
        <v>305568.49</v>
      </c>
      <c r="AC154" s="16">
        <v>101845.77</v>
      </c>
      <c r="AD154" s="16">
        <v>875.0</v>
      </c>
      <c r="AE154" s="16">
        <v>31.21</v>
      </c>
      <c r="AF154" s="16">
        <v>0.0</v>
      </c>
      <c r="AG154" s="16">
        <v>0.0</v>
      </c>
      <c r="AH154" s="16">
        <v>0.0</v>
      </c>
      <c r="AI154" s="16">
        <v>0.0</v>
      </c>
      <c r="AJ154" s="16">
        <v>305568.49</v>
      </c>
      <c r="AK154" s="16">
        <v>319060.11</v>
      </c>
      <c r="AL154" s="16">
        <v>1.0</v>
      </c>
      <c r="AM154" s="16">
        <v>376.2</v>
      </c>
      <c r="AN154" s="16">
        <v>0.0</v>
      </c>
      <c r="AO154" s="18"/>
      <c r="AP154" s="18"/>
      <c r="AQ154" s="18"/>
      <c r="AR154" s="18"/>
      <c r="AS154" s="11" t="str">
        <f>VLOOKUP(C154,'mayo-26'!B:AS,44,0)</f>
        <v>LYCALDERON@COMERCIALNUTRESA.COM.CO</v>
      </c>
      <c r="AT154" s="12" t="str">
        <f>VLOOKUP(C154,'mayo-26'!B:AT,45,0)</f>
        <v>VERIFICADOR</v>
      </c>
      <c r="AU154" s="16"/>
      <c r="AV154" s="16"/>
      <c r="AW154" s="16"/>
    </row>
    <row r="155" ht="14.25" customHeight="1">
      <c r="A155" s="15" t="s">
        <v>405</v>
      </c>
      <c r="B155" s="16">
        <v>455370.0</v>
      </c>
      <c r="C155" s="16">
        <v>3232.0</v>
      </c>
      <c r="D155" s="16">
        <v>3232.0</v>
      </c>
      <c r="E155" s="16">
        <v>8.0206526E7</v>
      </c>
      <c r="F155" s="16">
        <v>8.0206526E7</v>
      </c>
      <c r="G155" s="15" t="s">
        <v>148</v>
      </c>
      <c r="H155" s="15" t="s">
        <v>149</v>
      </c>
      <c r="I155" s="1" t="str">
        <f>VLOOKUP(C155,'mayo-26'!B:H,7,0)</f>
        <v>CALLE 10 NO 0E-16 EDF CENTRO EMPRESARIAL BLOQUE B HOTEL TONCHALA</v>
      </c>
      <c r="J155" s="1" t="s">
        <v>137</v>
      </c>
      <c r="K155" s="10" t="str">
        <f>VLOOKUP(C155,'mayo-26'!B:J,9,0)</f>
        <v>NO</v>
      </c>
      <c r="L155" s="1" t="str">
        <f>VLOOKUP(C155,'mayo-26'!B:K,10,0)</f>
        <v>COLEGIOS ZONA NORTE</v>
      </c>
      <c r="M155" s="15" t="s">
        <v>52</v>
      </c>
      <c r="N155" s="15" t="s">
        <v>138</v>
      </c>
      <c r="O155" s="15" t="s">
        <v>130</v>
      </c>
      <c r="P155" s="15" t="s">
        <v>126</v>
      </c>
      <c r="Q155" s="15" t="s">
        <v>56</v>
      </c>
      <c r="R155" s="15" t="s">
        <v>57</v>
      </c>
      <c r="S155" s="15" t="s">
        <v>143</v>
      </c>
      <c r="T155" s="15" t="s">
        <v>59</v>
      </c>
      <c r="U155" s="16">
        <v>2026.0</v>
      </c>
      <c r="V155" s="16">
        <v>6.0</v>
      </c>
      <c r="W155" s="16">
        <v>1.081874987E9</v>
      </c>
      <c r="X155" s="16">
        <v>1.081893459E9</v>
      </c>
      <c r="Y155" s="17">
        <v>46182.0</v>
      </c>
      <c r="Z155" s="17">
        <v>46207.0</v>
      </c>
      <c r="AA155" s="16">
        <v>549061.99</v>
      </c>
      <c r="AB155" s="16">
        <v>549061.99</v>
      </c>
      <c r="AC155" s="16">
        <v>0.0</v>
      </c>
      <c r="AD155" s="16">
        <v>2695.0</v>
      </c>
      <c r="AE155" s="16">
        <v>0.0</v>
      </c>
      <c r="AF155" s="16">
        <v>0.0</v>
      </c>
      <c r="AG155" s="16">
        <v>0.0</v>
      </c>
      <c r="AH155" s="16">
        <v>0.0</v>
      </c>
      <c r="AI155" s="16">
        <v>0.0</v>
      </c>
      <c r="AJ155" s="16">
        <v>549061.99</v>
      </c>
      <c r="AK155" s="16">
        <v>1636101.18</v>
      </c>
      <c r="AL155" s="16">
        <v>3.0</v>
      </c>
      <c r="AM155" s="16">
        <v>250.8</v>
      </c>
      <c r="AN155" s="16">
        <v>0.0</v>
      </c>
      <c r="AO155" s="18"/>
      <c r="AP155" s="18"/>
      <c r="AQ155" s="18"/>
      <c r="AR155" s="18"/>
      <c r="AS155" s="11" t="str">
        <f>VLOOKUP(C155,'mayo-26'!B:AS,44,0)</f>
        <v>AREAFINANCIERA@SEMCUCUTA.GOV.CO</v>
      </c>
      <c r="AT155" s="12" t="str">
        <f>VLOOKUP(C155,'mayo-26'!B:AT,45,0)</f>
        <v>CARTERA</v>
      </c>
      <c r="AU155" s="16"/>
      <c r="AV155" s="16"/>
      <c r="AW155" s="16"/>
    </row>
    <row r="156" ht="14.25" customHeight="1">
      <c r="A156" s="15" t="s">
        <v>406</v>
      </c>
      <c r="B156" s="16">
        <v>573.0</v>
      </c>
      <c r="C156" s="16">
        <v>3236.0</v>
      </c>
      <c r="D156" s="16">
        <v>3236.0</v>
      </c>
      <c r="E156" s="16">
        <v>8.0212407E7</v>
      </c>
      <c r="F156" s="16">
        <v>8.0212407E7</v>
      </c>
      <c r="G156" s="16">
        <v>9.00144842E8</v>
      </c>
      <c r="H156" s="15" t="s">
        <v>407</v>
      </c>
      <c r="I156" s="1" t="str">
        <f>VLOOKUP(C156,'mayo-26'!B:H,7,0)</f>
        <v>BODEGA D1 -1 ZONA FRANCA</v>
      </c>
      <c r="J156" s="1" t="s">
        <v>205</v>
      </c>
      <c r="K156" s="10" t="str">
        <f>VLOOKUP(C156,'mayo-26'!B:J,9,0)</f>
        <v>NO</v>
      </c>
      <c r="L156" s="1" t="str">
        <f>VLOOKUP(C156,'mayo-26'!B:K,10,0)</f>
        <v>DEL BEN</v>
      </c>
      <c r="M156" s="15" t="s">
        <v>52</v>
      </c>
      <c r="N156" s="15" t="s">
        <v>89</v>
      </c>
      <c r="O156" s="15" t="s">
        <v>130</v>
      </c>
      <c r="P156" s="15" t="s">
        <v>126</v>
      </c>
      <c r="Q156" s="15" t="s">
        <v>56</v>
      </c>
      <c r="R156" s="15" t="s">
        <v>72</v>
      </c>
      <c r="S156" s="15" t="s">
        <v>143</v>
      </c>
      <c r="T156" s="15" t="s">
        <v>59</v>
      </c>
      <c r="U156" s="16">
        <v>2026.0</v>
      </c>
      <c r="V156" s="16">
        <v>6.0</v>
      </c>
      <c r="W156" s="16">
        <v>1.081874991E9</v>
      </c>
      <c r="X156" s="16">
        <v>1.081893463E9</v>
      </c>
      <c r="Y156" s="17">
        <v>46182.0</v>
      </c>
      <c r="Z156" s="17">
        <v>46207.0</v>
      </c>
      <c r="AA156" s="16">
        <v>112470.15</v>
      </c>
      <c r="AB156" s="16">
        <v>112470.15</v>
      </c>
      <c r="AC156" s="16">
        <v>25669.03</v>
      </c>
      <c r="AD156" s="16">
        <v>252.5</v>
      </c>
      <c r="AE156" s="16">
        <v>1237.7</v>
      </c>
      <c r="AF156" s="16">
        <v>0.0</v>
      </c>
      <c r="AG156" s="16">
        <v>0.0</v>
      </c>
      <c r="AH156" s="16">
        <v>0.0</v>
      </c>
      <c r="AI156" s="16">
        <v>0.0</v>
      </c>
      <c r="AJ156" s="16">
        <v>112470.15</v>
      </c>
      <c r="AK156" s="16">
        <v>336463.1</v>
      </c>
      <c r="AL156" s="16">
        <v>2.0</v>
      </c>
      <c r="AM156" s="16">
        <v>326.04</v>
      </c>
      <c r="AN156" s="16">
        <v>0.0</v>
      </c>
      <c r="AO156" s="18"/>
      <c r="AP156" s="18"/>
      <c r="AQ156" s="18"/>
      <c r="AR156" s="18"/>
      <c r="AS156" s="11" t="str">
        <f>VLOOKUP(C156,'mayo-26'!B:AS,44,0)</f>
        <v>CONTABILIDAD1@DELBEN.CO</v>
      </c>
      <c r="AT156" s="12" t="str">
        <f>VLOOKUP(C156,'mayo-26'!B:AT,45,0)</f>
        <v>CORREO ELECTRONICO CERTIFICADO 472</v>
      </c>
      <c r="AU156" s="16"/>
      <c r="AV156" s="16"/>
      <c r="AW156" s="16"/>
    </row>
    <row r="157" ht="14.25" customHeight="1">
      <c r="A157" s="15" t="s">
        <v>408</v>
      </c>
      <c r="B157" s="16">
        <v>455370.0</v>
      </c>
      <c r="C157" s="16">
        <v>3240.0</v>
      </c>
      <c r="D157" s="16">
        <v>3240.0</v>
      </c>
      <c r="E157" s="16">
        <v>8.0212698E7</v>
      </c>
      <c r="F157" s="16">
        <v>8.0212698E7</v>
      </c>
      <c r="G157" s="15" t="s">
        <v>148</v>
      </c>
      <c r="H157" s="15" t="s">
        <v>149</v>
      </c>
      <c r="I157" s="1" t="str">
        <f>VLOOKUP(C157,'mayo-26'!B:H,7,0)</f>
        <v>CALLE 10 NO 0E-16 EDF CENTRO EMPRESARIAL BLOQUE B HOTEL TONCHALA</v>
      </c>
      <c r="J157" s="1" t="s">
        <v>409</v>
      </c>
      <c r="K157" s="10" t="str">
        <f>VLOOKUP(C157,'mayo-26'!B:J,9,0)</f>
        <v>NO</v>
      </c>
      <c r="L157" s="1" t="str">
        <f>VLOOKUP(C157,'mayo-26'!B:K,10,0)</f>
        <v>COLEGIOS ZONA NORTE</v>
      </c>
      <c r="M157" s="15" t="s">
        <v>52</v>
      </c>
      <c r="N157" s="15" t="s">
        <v>138</v>
      </c>
      <c r="O157" s="15" t="s">
        <v>130</v>
      </c>
      <c r="P157" s="15" t="s">
        <v>126</v>
      </c>
      <c r="Q157" s="15" t="s">
        <v>56</v>
      </c>
      <c r="R157" s="15" t="s">
        <v>57</v>
      </c>
      <c r="S157" s="15" t="s">
        <v>143</v>
      </c>
      <c r="T157" s="15" t="s">
        <v>59</v>
      </c>
      <c r="U157" s="16">
        <v>2026.0</v>
      </c>
      <c r="V157" s="16">
        <v>6.0</v>
      </c>
      <c r="W157" s="16">
        <v>1.081874995E9</v>
      </c>
      <c r="X157" s="16">
        <v>1.081893467E9</v>
      </c>
      <c r="Y157" s="17">
        <v>46182.0</v>
      </c>
      <c r="Z157" s="17">
        <v>46207.0</v>
      </c>
      <c r="AA157" s="16">
        <v>132530.0</v>
      </c>
      <c r="AB157" s="16">
        <v>132530.0</v>
      </c>
      <c r="AC157" s="16">
        <v>0.0</v>
      </c>
      <c r="AD157" s="16">
        <v>500.0</v>
      </c>
      <c r="AE157" s="16">
        <v>0.0</v>
      </c>
      <c r="AF157" s="16">
        <v>0.0</v>
      </c>
      <c r="AG157" s="16">
        <v>0.0</v>
      </c>
      <c r="AH157" s="16">
        <v>0.0</v>
      </c>
      <c r="AI157" s="16">
        <v>0.0</v>
      </c>
      <c r="AJ157" s="16">
        <v>132530.0</v>
      </c>
      <c r="AK157" s="16">
        <v>396303.7</v>
      </c>
      <c r="AL157" s="16">
        <v>3.0</v>
      </c>
      <c r="AM157" s="16">
        <v>250.8</v>
      </c>
      <c r="AN157" s="16">
        <v>0.0</v>
      </c>
      <c r="AO157" s="18"/>
      <c r="AP157" s="18"/>
      <c r="AQ157" s="18"/>
      <c r="AR157" s="18"/>
      <c r="AS157" s="11" t="str">
        <f>VLOOKUP(C157,'mayo-26'!B:AS,44,0)</f>
        <v>AREAFINANCIERA@SEMCUCUTA.GOV.CO</v>
      </c>
      <c r="AT157" s="12" t="str">
        <f>VLOOKUP(C157,'mayo-26'!B:AT,45,0)</f>
        <v>CARTERA</v>
      </c>
      <c r="AU157" s="16"/>
      <c r="AV157" s="16"/>
      <c r="AW157" s="16"/>
    </row>
    <row r="158" ht="14.25" customHeight="1">
      <c r="A158" s="15" t="s">
        <v>410</v>
      </c>
      <c r="B158" s="16">
        <v>455370.0</v>
      </c>
      <c r="C158" s="16">
        <v>3248.0</v>
      </c>
      <c r="D158" s="16">
        <v>3248.0</v>
      </c>
      <c r="E158" s="16">
        <v>8.0212706E7</v>
      </c>
      <c r="F158" s="16">
        <v>8.0212706E7</v>
      </c>
      <c r="G158" s="15" t="s">
        <v>148</v>
      </c>
      <c r="H158" s="15" t="s">
        <v>149</v>
      </c>
      <c r="I158" s="1" t="str">
        <f>VLOOKUP(C158,'mayo-26'!B:H,7,0)</f>
        <v>CALLE 10 NO 0E-16 EDF CENTRO EMPRESARIAL BLOQUE B HOTEL TONCHALA</v>
      </c>
      <c r="J158" s="1" t="s">
        <v>411</v>
      </c>
      <c r="K158" s="10" t="str">
        <f>VLOOKUP(C158,'mayo-26'!B:J,9,0)</f>
        <v>NO</v>
      </c>
      <c r="L158" s="1" t="str">
        <f>VLOOKUP(C158,'mayo-26'!B:K,10,0)</f>
        <v>COLEGIOS ZONA NORTE</v>
      </c>
      <c r="M158" s="15" t="s">
        <v>52</v>
      </c>
      <c r="N158" s="15" t="s">
        <v>138</v>
      </c>
      <c r="O158" s="15" t="s">
        <v>130</v>
      </c>
      <c r="P158" s="15" t="s">
        <v>126</v>
      </c>
      <c r="Q158" s="15" t="s">
        <v>56</v>
      </c>
      <c r="R158" s="15" t="s">
        <v>57</v>
      </c>
      <c r="S158" s="15" t="s">
        <v>143</v>
      </c>
      <c r="T158" s="15" t="s">
        <v>59</v>
      </c>
      <c r="U158" s="16">
        <v>2026.0</v>
      </c>
      <c r="V158" s="16">
        <v>6.0</v>
      </c>
      <c r="W158" s="16">
        <v>1.081875E9</v>
      </c>
      <c r="X158" s="16">
        <v>1.081893472E9</v>
      </c>
      <c r="Y158" s="17">
        <v>46182.0</v>
      </c>
      <c r="Z158" s="17">
        <v>46207.0</v>
      </c>
      <c r="AA158" s="16">
        <v>132530.0</v>
      </c>
      <c r="AB158" s="16">
        <v>132530.0</v>
      </c>
      <c r="AC158" s="16">
        <v>0.0</v>
      </c>
      <c r="AD158" s="16">
        <v>500.0</v>
      </c>
      <c r="AE158" s="16">
        <v>0.0</v>
      </c>
      <c r="AF158" s="16">
        <v>0.0</v>
      </c>
      <c r="AG158" s="16">
        <v>0.0</v>
      </c>
      <c r="AH158" s="16">
        <v>0.0</v>
      </c>
      <c r="AI158" s="16">
        <v>0.0</v>
      </c>
      <c r="AJ158" s="16">
        <v>132530.0</v>
      </c>
      <c r="AK158" s="16">
        <v>396303.7</v>
      </c>
      <c r="AL158" s="16">
        <v>3.0</v>
      </c>
      <c r="AM158" s="16">
        <v>250.8</v>
      </c>
      <c r="AN158" s="16">
        <v>0.0</v>
      </c>
      <c r="AO158" s="18"/>
      <c r="AP158" s="18"/>
      <c r="AQ158" s="18"/>
      <c r="AR158" s="18"/>
      <c r="AS158" s="11" t="str">
        <f>VLOOKUP(C158,'mayo-26'!B:AS,44,0)</f>
        <v>AREAFINANCIERA@SEMCUCUTA.GOV.CO</v>
      </c>
      <c r="AT158" s="12" t="str">
        <f>VLOOKUP(C158,'mayo-26'!B:AT,45,0)</f>
        <v>CARTERA</v>
      </c>
      <c r="AU158" s="16"/>
      <c r="AV158" s="16"/>
      <c r="AW158" s="16"/>
    </row>
    <row r="159" ht="14.25" customHeight="1">
      <c r="A159" s="15" t="s">
        <v>412</v>
      </c>
      <c r="B159" s="16">
        <v>455370.0</v>
      </c>
      <c r="C159" s="16">
        <v>3252.0</v>
      </c>
      <c r="D159" s="16">
        <v>3252.0</v>
      </c>
      <c r="E159" s="16">
        <v>8.021271E7</v>
      </c>
      <c r="F159" s="16">
        <v>8.021271E7</v>
      </c>
      <c r="G159" s="15" t="s">
        <v>148</v>
      </c>
      <c r="H159" s="15" t="s">
        <v>149</v>
      </c>
      <c r="I159" s="1" t="str">
        <f>VLOOKUP(C159,'mayo-26'!B:H,7,0)</f>
        <v>CALLE 10 NO 0E-16 EDF CENTRO EMPRESARIAL BLOQUE B HOTEL TONCHALA</v>
      </c>
      <c r="J159" s="1" t="s">
        <v>159</v>
      </c>
      <c r="K159" s="10" t="str">
        <f>VLOOKUP(C159,'mayo-26'!B:J,9,0)</f>
        <v>NO</v>
      </c>
      <c r="L159" s="1" t="str">
        <f>VLOOKUP(C159,'mayo-26'!B:K,10,0)</f>
        <v>COLEGIOS ZONA NORTE</v>
      </c>
      <c r="M159" s="15" t="s">
        <v>52</v>
      </c>
      <c r="N159" s="15" t="s">
        <v>138</v>
      </c>
      <c r="O159" s="15" t="s">
        <v>130</v>
      </c>
      <c r="P159" s="15" t="s">
        <v>126</v>
      </c>
      <c r="Q159" s="15" t="s">
        <v>56</v>
      </c>
      <c r="R159" s="15" t="s">
        <v>57</v>
      </c>
      <c r="S159" s="15" t="s">
        <v>143</v>
      </c>
      <c r="T159" s="15" t="s">
        <v>59</v>
      </c>
      <c r="U159" s="16">
        <v>2026.0</v>
      </c>
      <c r="V159" s="16">
        <v>6.0</v>
      </c>
      <c r="W159" s="16">
        <v>1.081875004E9</v>
      </c>
      <c r="X159" s="16">
        <v>1.081893476E9</v>
      </c>
      <c r="Y159" s="17">
        <v>46182.0</v>
      </c>
      <c r="Z159" s="17">
        <v>46207.0</v>
      </c>
      <c r="AA159" s="16">
        <v>164410.36</v>
      </c>
      <c r="AB159" s="16">
        <v>164410.36</v>
      </c>
      <c r="AC159" s="16">
        <v>0.0</v>
      </c>
      <c r="AD159" s="16">
        <v>668.0</v>
      </c>
      <c r="AE159" s="16">
        <v>0.0</v>
      </c>
      <c r="AF159" s="16">
        <v>0.0</v>
      </c>
      <c r="AG159" s="16">
        <v>0.0</v>
      </c>
      <c r="AH159" s="16">
        <v>0.0</v>
      </c>
      <c r="AI159" s="16">
        <v>0.0</v>
      </c>
      <c r="AJ159" s="16">
        <v>164410.36</v>
      </c>
      <c r="AK159" s="16">
        <v>491194.82</v>
      </c>
      <c r="AL159" s="16">
        <v>3.0</v>
      </c>
      <c r="AM159" s="16">
        <v>250.8</v>
      </c>
      <c r="AN159" s="16">
        <v>0.0</v>
      </c>
      <c r="AO159" s="18"/>
      <c r="AP159" s="18"/>
      <c r="AQ159" s="18"/>
      <c r="AR159" s="18"/>
      <c r="AS159" s="11" t="str">
        <f>VLOOKUP(C159,'mayo-26'!B:AS,44,0)</f>
        <v>AREAFINANCIERA@SEMCUCUTA.GOV.CO</v>
      </c>
      <c r="AT159" s="12" t="str">
        <f>VLOOKUP(C159,'mayo-26'!B:AT,45,0)</f>
        <v>CARTERA</v>
      </c>
      <c r="AU159" s="16"/>
      <c r="AV159" s="16"/>
      <c r="AW159" s="16"/>
    </row>
    <row r="160" ht="14.25" customHeight="1">
      <c r="A160" s="15" t="s">
        <v>413</v>
      </c>
      <c r="B160" s="16">
        <v>455370.0</v>
      </c>
      <c r="C160" s="16">
        <v>3256.0</v>
      </c>
      <c r="D160" s="16">
        <v>3256.0</v>
      </c>
      <c r="E160" s="16">
        <v>8.0212714E7</v>
      </c>
      <c r="F160" s="16">
        <v>8.0212714E7</v>
      </c>
      <c r="G160" s="15" t="s">
        <v>148</v>
      </c>
      <c r="H160" s="15" t="s">
        <v>149</v>
      </c>
      <c r="I160" s="1" t="str">
        <f>VLOOKUP(C160,'mayo-26'!B:H,7,0)</f>
        <v>CALLE 10 NO 0E-16 EDF CENTRO EMPRESARIAL BLOQUE B HOTEL TONCHALA</v>
      </c>
      <c r="J160" s="1" t="s">
        <v>194</v>
      </c>
      <c r="K160" s="10" t="str">
        <f>VLOOKUP(C160,'mayo-26'!B:J,9,0)</f>
        <v>NO</v>
      </c>
      <c r="L160" s="1" t="str">
        <f>VLOOKUP(C160,'mayo-26'!B:K,10,0)</f>
        <v>COLEGIOS ZONA NORTE</v>
      </c>
      <c r="M160" s="15" t="s">
        <v>52</v>
      </c>
      <c r="N160" s="15" t="s">
        <v>138</v>
      </c>
      <c r="O160" s="15" t="s">
        <v>130</v>
      </c>
      <c r="P160" s="15" t="s">
        <v>126</v>
      </c>
      <c r="Q160" s="15" t="s">
        <v>56</v>
      </c>
      <c r="R160" s="15" t="s">
        <v>57</v>
      </c>
      <c r="S160" s="15" t="s">
        <v>143</v>
      </c>
      <c r="T160" s="15" t="s">
        <v>59</v>
      </c>
      <c r="U160" s="16">
        <v>2026.0</v>
      </c>
      <c r="V160" s="16">
        <v>6.0</v>
      </c>
      <c r="W160" s="16">
        <v>1.081875008E9</v>
      </c>
      <c r="X160" s="16">
        <v>1.08189348E9</v>
      </c>
      <c r="Y160" s="17">
        <v>46182.0</v>
      </c>
      <c r="Z160" s="17">
        <v>46207.0</v>
      </c>
      <c r="AA160" s="16">
        <v>463668.19</v>
      </c>
      <c r="AB160" s="16">
        <v>463668.19</v>
      </c>
      <c r="AC160" s="16">
        <v>0.0</v>
      </c>
      <c r="AD160" s="16">
        <v>2245.0</v>
      </c>
      <c r="AE160" s="16">
        <v>0.0</v>
      </c>
      <c r="AF160" s="16">
        <v>0.0</v>
      </c>
      <c r="AG160" s="16">
        <v>0.0</v>
      </c>
      <c r="AH160" s="16">
        <v>0.0</v>
      </c>
      <c r="AI160" s="16">
        <v>0.0</v>
      </c>
      <c r="AJ160" s="16">
        <v>463668.19</v>
      </c>
      <c r="AK160" s="16">
        <v>1381928.58</v>
      </c>
      <c r="AL160" s="16">
        <v>3.0</v>
      </c>
      <c r="AM160" s="16">
        <v>250.8</v>
      </c>
      <c r="AN160" s="16">
        <v>0.0</v>
      </c>
      <c r="AO160" s="18"/>
      <c r="AP160" s="18"/>
      <c r="AQ160" s="18"/>
      <c r="AR160" s="18"/>
      <c r="AS160" s="11" t="str">
        <f>VLOOKUP(C160,'mayo-26'!B:AS,44,0)</f>
        <v>AREAFINANCIERA@SEMCUCUTA.GOV.CO</v>
      </c>
      <c r="AT160" s="12" t="str">
        <f>VLOOKUP(C160,'mayo-26'!B:AT,45,0)</f>
        <v>CARTERA</v>
      </c>
      <c r="AU160" s="16"/>
      <c r="AV160" s="16"/>
      <c r="AW160" s="16"/>
    </row>
    <row r="161" ht="14.25" customHeight="1">
      <c r="A161" s="15" t="s">
        <v>414</v>
      </c>
      <c r="B161" s="16">
        <v>455370.0</v>
      </c>
      <c r="C161" s="16">
        <v>3260.0</v>
      </c>
      <c r="D161" s="16">
        <v>3260.0</v>
      </c>
      <c r="E161" s="16">
        <v>8.0212718E7</v>
      </c>
      <c r="F161" s="16">
        <v>8.0212718E7</v>
      </c>
      <c r="G161" s="15" t="s">
        <v>148</v>
      </c>
      <c r="H161" s="15" t="s">
        <v>149</v>
      </c>
      <c r="I161" s="1" t="str">
        <f>VLOOKUP(C161,'mayo-26'!B:H,7,0)</f>
        <v>CALLE 10 NO 0E-16 EDF CENTRO EMPRESARIAL BLOQUE B HOTEL TONCHALA</v>
      </c>
      <c r="J161" s="1" t="s">
        <v>415</v>
      </c>
      <c r="K161" s="10" t="str">
        <f>VLOOKUP(C161,'mayo-26'!B:J,9,0)</f>
        <v>NO</v>
      </c>
      <c r="L161" s="1" t="str">
        <f>VLOOKUP(C161,'mayo-26'!B:K,10,0)</f>
        <v>COLEGIOS ZONA NORTE</v>
      </c>
      <c r="M161" s="15" t="s">
        <v>52</v>
      </c>
      <c r="N161" s="15" t="s">
        <v>138</v>
      </c>
      <c r="O161" s="15" t="s">
        <v>130</v>
      </c>
      <c r="P161" s="15" t="s">
        <v>126</v>
      </c>
      <c r="Q161" s="15" t="s">
        <v>56</v>
      </c>
      <c r="R161" s="15" t="s">
        <v>57</v>
      </c>
      <c r="S161" s="15" t="s">
        <v>143</v>
      </c>
      <c r="T161" s="15" t="s">
        <v>59</v>
      </c>
      <c r="U161" s="16">
        <v>2026.0</v>
      </c>
      <c r="V161" s="16">
        <v>6.0</v>
      </c>
      <c r="W161" s="16">
        <v>1.081875013E9</v>
      </c>
      <c r="X161" s="16">
        <v>1.081893485E9</v>
      </c>
      <c r="Y161" s="17">
        <v>46182.0</v>
      </c>
      <c r="Z161" s="17">
        <v>46207.0</v>
      </c>
      <c r="AA161" s="16">
        <v>85658.29</v>
      </c>
      <c r="AB161" s="16">
        <v>85658.29</v>
      </c>
      <c r="AC161" s="16">
        <v>0.0</v>
      </c>
      <c r="AD161" s="16">
        <v>253.0</v>
      </c>
      <c r="AE161" s="16">
        <v>0.0</v>
      </c>
      <c r="AF161" s="16">
        <v>0.0</v>
      </c>
      <c r="AG161" s="16">
        <v>0.0</v>
      </c>
      <c r="AH161" s="16">
        <v>0.0</v>
      </c>
      <c r="AI161" s="16">
        <v>0.0</v>
      </c>
      <c r="AJ161" s="16">
        <v>85658.29</v>
      </c>
      <c r="AK161" s="16">
        <v>256791.18</v>
      </c>
      <c r="AL161" s="16">
        <v>3.0</v>
      </c>
      <c r="AM161" s="16">
        <v>250.8</v>
      </c>
      <c r="AN161" s="16">
        <v>0.0</v>
      </c>
      <c r="AO161" s="18"/>
      <c r="AP161" s="18"/>
      <c r="AQ161" s="18"/>
      <c r="AR161" s="18"/>
      <c r="AS161" s="11" t="str">
        <f>VLOOKUP(C161,'mayo-26'!B:AS,44,0)</f>
        <v>AREAFINANCIERA@SEMCUCUTA.GOV.CO</v>
      </c>
      <c r="AT161" s="12" t="str">
        <f>VLOOKUP(C161,'mayo-26'!B:AT,45,0)</f>
        <v>CARTERA</v>
      </c>
      <c r="AU161" s="16"/>
      <c r="AV161" s="16"/>
      <c r="AW161" s="16"/>
    </row>
    <row r="162" ht="14.25" customHeight="1">
      <c r="A162" s="15" t="s">
        <v>416</v>
      </c>
      <c r="B162" s="16">
        <v>455370.0</v>
      </c>
      <c r="C162" s="16">
        <v>3264.0</v>
      </c>
      <c r="D162" s="16">
        <v>3264.0</v>
      </c>
      <c r="E162" s="16">
        <v>8.0212722E7</v>
      </c>
      <c r="F162" s="16">
        <v>8.0212722E7</v>
      </c>
      <c r="G162" s="15" t="s">
        <v>148</v>
      </c>
      <c r="H162" s="15" t="s">
        <v>149</v>
      </c>
      <c r="I162" s="1" t="str">
        <f>VLOOKUP(C162,'mayo-26'!B:H,7,0)</f>
        <v>CALLE 10 NO 0E-16 EDF CENTRO EMPRESARIAL BLOQUE B HOTEL TONCHALA</v>
      </c>
      <c r="J162" s="1" t="s">
        <v>417</v>
      </c>
      <c r="K162" s="10" t="str">
        <f>VLOOKUP(C162,'mayo-26'!B:J,9,0)</f>
        <v>NO</v>
      </c>
      <c r="L162" s="1" t="str">
        <f>VLOOKUP(C162,'mayo-26'!B:K,10,0)</f>
        <v>COLEGIOS ZONA NORTE</v>
      </c>
      <c r="M162" s="15" t="s">
        <v>52</v>
      </c>
      <c r="N162" s="15" t="s">
        <v>138</v>
      </c>
      <c r="O162" s="15" t="s">
        <v>130</v>
      </c>
      <c r="P162" s="15" t="s">
        <v>126</v>
      </c>
      <c r="Q162" s="15" t="s">
        <v>56</v>
      </c>
      <c r="R162" s="15" t="s">
        <v>57</v>
      </c>
      <c r="S162" s="15" t="s">
        <v>143</v>
      </c>
      <c r="T162" s="15" t="s">
        <v>59</v>
      </c>
      <c r="U162" s="16">
        <v>2026.0</v>
      </c>
      <c r="V162" s="16">
        <v>6.0</v>
      </c>
      <c r="W162" s="16">
        <v>1.081875017E9</v>
      </c>
      <c r="X162" s="16">
        <v>1.081893489E9</v>
      </c>
      <c r="Y162" s="17">
        <v>46182.0</v>
      </c>
      <c r="Z162" s="17">
        <v>46207.0</v>
      </c>
      <c r="AA162" s="16">
        <v>319068.01</v>
      </c>
      <c r="AB162" s="16">
        <v>319068.01</v>
      </c>
      <c r="AC162" s="16">
        <v>0.0</v>
      </c>
      <c r="AD162" s="16">
        <v>1483.0</v>
      </c>
      <c r="AE162" s="16">
        <v>0.0</v>
      </c>
      <c r="AF162" s="16">
        <v>0.0</v>
      </c>
      <c r="AG162" s="16">
        <v>0.0</v>
      </c>
      <c r="AH162" s="16">
        <v>0.0</v>
      </c>
      <c r="AI162" s="16">
        <v>0.0</v>
      </c>
      <c r="AJ162" s="16">
        <v>319068.01</v>
      </c>
      <c r="AK162" s="16">
        <v>951528.6</v>
      </c>
      <c r="AL162" s="16">
        <v>2.0</v>
      </c>
      <c r="AM162" s="16">
        <v>250.8</v>
      </c>
      <c r="AN162" s="16">
        <v>0.0</v>
      </c>
      <c r="AO162" s="18"/>
      <c r="AP162" s="18"/>
      <c r="AQ162" s="18"/>
      <c r="AR162" s="18"/>
      <c r="AS162" s="11" t="str">
        <f>VLOOKUP(C162,'mayo-26'!B:AS,44,0)</f>
        <v>AREAFINANCIERA@SEMCUCUTA.GOV.CO</v>
      </c>
      <c r="AT162" s="12" t="str">
        <f>VLOOKUP(C162,'mayo-26'!B:AT,45,0)</f>
        <v>CARTERA</v>
      </c>
      <c r="AU162" s="16"/>
      <c r="AV162" s="16"/>
      <c r="AW162" s="16"/>
    </row>
    <row r="163" ht="14.25" customHeight="1">
      <c r="A163" s="15" t="s">
        <v>418</v>
      </c>
      <c r="B163" s="16">
        <v>326717.0</v>
      </c>
      <c r="C163" s="16">
        <v>326716.0</v>
      </c>
      <c r="D163" s="16">
        <v>326716.0</v>
      </c>
      <c r="E163" s="16">
        <v>590028.0</v>
      </c>
      <c r="F163" s="16">
        <v>590028.0</v>
      </c>
      <c r="G163" s="15" t="s">
        <v>419</v>
      </c>
      <c r="H163" s="15" t="s">
        <v>235</v>
      </c>
      <c r="I163" s="1" t="str">
        <f>VLOOKUP(C163,'mayo-26'!B:H,7,0)</f>
        <v>AVE 4 7N - 94 1219</v>
      </c>
      <c r="J163" s="1" t="s">
        <v>172</v>
      </c>
      <c r="K163" s="10" t="str">
        <f>VLOOKUP(C163,'mayo-26'!B:J,9,0)</f>
        <v>NO</v>
      </c>
      <c r="L163" s="1" t="str">
        <f>VLOOKUP(C163,'mayo-26'!B:K,10,0)</f>
        <v>CARIBE</v>
      </c>
      <c r="M163" s="15" t="s">
        <v>52</v>
      </c>
      <c r="N163" s="15" t="s">
        <v>89</v>
      </c>
      <c r="O163" s="15" t="s">
        <v>130</v>
      </c>
      <c r="P163" s="15" t="s">
        <v>126</v>
      </c>
      <c r="Q163" s="15" t="s">
        <v>56</v>
      </c>
      <c r="R163" s="15" t="s">
        <v>72</v>
      </c>
      <c r="S163" s="15" t="s">
        <v>143</v>
      </c>
      <c r="T163" s="15" t="s">
        <v>59</v>
      </c>
      <c r="U163" s="16">
        <v>2026.0</v>
      </c>
      <c r="V163" s="16">
        <v>6.0</v>
      </c>
      <c r="W163" s="16">
        <v>1.081875165E9</v>
      </c>
      <c r="X163" s="16">
        <v>1.081893637E9</v>
      </c>
      <c r="Y163" s="17">
        <v>46182.0</v>
      </c>
      <c r="Z163" s="17">
        <v>46207.0</v>
      </c>
      <c r="AA163" s="16">
        <v>204359.11</v>
      </c>
      <c r="AB163" s="16">
        <v>204359.11</v>
      </c>
      <c r="AC163" s="16">
        <v>47159.79</v>
      </c>
      <c r="AD163" s="16">
        <v>630.0</v>
      </c>
      <c r="AE163" s="16">
        <v>0.0</v>
      </c>
      <c r="AF163" s="16">
        <v>0.0</v>
      </c>
      <c r="AG163" s="16">
        <v>0.0</v>
      </c>
      <c r="AH163" s="16">
        <v>0.0</v>
      </c>
      <c r="AI163" s="16">
        <v>0.0</v>
      </c>
      <c r="AJ163" s="16">
        <v>204359.11</v>
      </c>
      <c r="AK163" s="16">
        <v>204359.11</v>
      </c>
      <c r="AL163" s="16">
        <v>0.0</v>
      </c>
      <c r="AM163" s="16">
        <v>326.04</v>
      </c>
      <c r="AN163" s="16">
        <v>0.0</v>
      </c>
      <c r="AO163" s="18"/>
      <c r="AP163" s="18"/>
      <c r="AQ163" s="18"/>
      <c r="AR163" s="18"/>
      <c r="AS163" s="11" t="str">
        <f>VLOOKUP(C163,'mayo-26'!B:AS,44,0)</f>
        <v>PRINTPACKCARIBE@HOTMAIL.COM</v>
      </c>
      <c r="AT163" s="12" t="str">
        <f>VLOOKUP(C163,'mayo-26'!B:AT,45,0)</f>
        <v>CORREO ELECTRONICO CERTIFICADO 472</v>
      </c>
      <c r="AU163" s="16"/>
      <c r="AV163" s="16"/>
      <c r="AW163" s="16"/>
    </row>
    <row r="164" ht="14.25" customHeight="1">
      <c r="A164" s="15" t="s">
        <v>420</v>
      </c>
      <c r="B164" s="16">
        <v>326729.0</v>
      </c>
      <c r="C164" s="16">
        <v>326728.0</v>
      </c>
      <c r="D164" s="16">
        <v>326728.0</v>
      </c>
      <c r="E164" s="16">
        <v>590149.0</v>
      </c>
      <c r="F164" s="16">
        <v>590149.0</v>
      </c>
      <c r="G164" s="16">
        <v>8.00092777E8</v>
      </c>
      <c r="H164" s="15" t="s">
        <v>421</v>
      </c>
      <c r="I164" s="1" t="str">
        <f>VLOOKUP(C164,'mayo-26'!B:H,7,0)</f>
        <v>CL 18 N 5 62 ZN INDUSTRIAL</v>
      </c>
      <c r="J164" s="1" t="s">
        <v>422</v>
      </c>
      <c r="K164" s="10" t="str">
        <f>VLOOKUP(C164,'mayo-26'!B:J,9,0)</f>
        <v>NO</v>
      </c>
      <c r="L164" s="1" t="str">
        <f>VLOOKUP(C164,'mayo-26'!B:K,10,0)</f>
        <v>GRUPO NOVA</v>
      </c>
      <c r="M164" s="15" t="s">
        <v>52</v>
      </c>
      <c r="N164" s="15" t="s">
        <v>89</v>
      </c>
      <c r="O164" s="15" t="s">
        <v>130</v>
      </c>
      <c r="P164" s="15" t="s">
        <v>126</v>
      </c>
      <c r="Q164" s="15" t="s">
        <v>56</v>
      </c>
      <c r="R164" s="15" t="s">
        <v>72</v>
      </c>
      <c r="S164" s="15" t="s">
        <v>58</v>
      </c>
      <c r="T164" s="15" t="s">
        <v>59</v>
      </c>
      <c r="U164" s="16">
        <v>2026.0</v>
      </c>
      <c r="V164" s="16">
        <v>6.0</v>
      </c>
      <c r="W164" s="16">
        <v>1.081875168E9</v>
      </c>
      <c r="X164" s="16">
        <v>1.08189364E9</v>
      </c>
      <c r="Y164" s="17">
        <v>46182.0</v>
      </c>
      <c r="Z164" s="17">
        <v>46207.0</v>
      </c>
      <c r="AA164" s="16">
        <v>3712336.43</v>
      </c>
      <c r="AB164" s="16">
        <v>3712336.43</v>
      </c>
      <c r="AC164" s="16">
        <v>856693.03</v>
      </c>
      <c r="AD164" s="16">
        <v>14850.0</v>
      </c>
      <c r="AE164" s="16">
        <v>0.0</v>
      </c>
      <c r="AF164" s="16">
        <v>0.0</v>
      </c>
      <c r="AG164" s="16">
        <v>0.0</v>
      </c>
      <c r="AH164" s="16">
        <v>0.0</v>
      </c>
      <c r="AI164" s="16">
        <v>0.0</v>
      </c>
      <c r="AJ164" s="16">
        <v>3712336.43</v>
      </c>
      <c r="AK164" s="16">
        <v>3712336.43</v>
      </c>
      <c r="AL164" s="16">
        <v>0.0</v>
      </c>
      <c r="AM164" s="16">
        <v>326.04</v>
      </c>
      <c r="AN164" s="16">
        <v>0.0</v>
      </c>
      <c r="AO164" s="18"/>
      <c r="AP164" s="18"/>
      <c r="AQ164" s="18"/>
      <c r="AR164" s="18"/>
      <c r="AS164" s="11" t="str">
        <f>VLOOKUP(C164,'mayo-26'!B:AS,44,0)</f>
        <v>800092777@FACTUREINBOX.CO</v>
      </c>
      <c r="AT164" s="12" t="str">
        <f>VLOOKUP(C164,'mayo-26'!B:AT,45,0)</f>
        <v>CORREO ELECTRONICO CERTIFICADO 472</v>
      </c>
      <c r="AU164" s="16"/>
      <c r="AV164" s="16"/>
      <c r="AW164" s="16"/>
    </row>
    <row r="165" ht="14.25" customHeight="1">
      <c r="A165" s="15" t="s">
        <v>423</v>
      </c>
      <c r="B165" s="16">
        <v>326737.0</v>
      </c>
      <c r="C165" s="16">
        <v>326736.0</v>
      </c>
      <c r="D165" s="16">
        <v>326736.0</v>
      </c>
      <c r="E165" s="16">
        <v>590265.0</v>
      </c>
      <c r="F165" s="16">
        <v>590265.0</v>
      </c>
      <c r="G165" s="15" t="s">
        <v>424</v>
      </c>
      <c r="H165" s="15" t="s">
        <v>425</v>
      </c>
      <c r="I165" s="1" t="str">
        <f>VLOOKUP(C165,'mayo-26'!B:H,7,0)</f>
        <v>AVE 4 7N - 160 519658</v>
      </c>
      <c r="J165" s="1" t="s">
        <v>172</v>
      </c>
      <c r="K165" s="10" t="str">
        <f>VLOOKUP(C165,'mayo-26'!B:J,9,0)</f>
        <v>NO</v>
      </c>
      <c r="L165" s="1" t="str">
        <f>VLOOKUP(C165,'mayo-26'!B:K,10,0)</f>
        <v>NO</v>
      </c>
      <c r="M165" s="15" t="s">
        <v>52</v>
      </c>
      <c r="N165" s="15" t="s">
        <v>89</v>
      </c>
      <c r="O165" s="15" t="s">
        <v>130</v>
      </c>
      <c r="P165" s="15" t="s">
        <v>126</v>
      </c>
      <c r="Q165" s="15" t="s">
        <v>56</v>
      </c>
      <c r="R165" s="15" t="s">
        <v>72</v>
      </c>
      <c r="S165" s="15" t="s">
        <v>143</v>
      </c>
      <c r="T165" s="15" t="s">
        <v>59</v>
      </c>
      <c r="U165" s="16">
        <v>2026.0</v>
      </c>
      <c r="V165" s="16">
        <v>6.0</v>
      </c>
      <c r="W165" s="16">
        <v>1.081875174E9</v>
      </c>
      <c r="X165" s="16">
        <v>1.081893646E9</v>
      </c>
      <c r="Y165" s="17">
        <v>46182.0</v>
      </c>
      <c r="Z165" s="17">
        <v>46207.0</v>
      </c>
      <c r="AA165" s="16">
        <v>318272.62</v>
      </c>
      <c r="AB165" s="16">
        <v>318272.62</v>
      </c>
      <c r="AC165" s="16">
        <v>39759.0</v>
      </c>
      <c r="AD165" s="16">
        <v>500.0</v>
      </c>
      <c r="AE165" s="16">
        <v>13683.62</v>
      </c>
      <c r="AF165" s="16">
        <v>0.0</v>
      </c>
      <c r="AG165" s="16">
        <v>0.0</v>
      </c>
      <c r="AH165" s="16">
        <v>0.0</v>
      </c>
      <c r="AI165" s="16">
        <v>0.0</v>
      </c>
      <c r="AJ165" s="16">
        <v>318272.62</v>
      </c>
      <c r="AK165" s="16">
        <v>1025278.97</v>
      </c>
      <c r="AL165" s="16">
        <v>3.0</v>
      </c>
      <c r="AM165" s="16">
        <v>132626.04</v>
      </c>
      <c r="AN165" s="16">
        <v>0.0</v>
      </c>
      <c r="AO165" s="18"/>
      <c r="AP165" s="18"/>
      <c r="AQ165" s="18"/>
      <c r="AR165" s="18"/>
      <c r="AS165" s="11" t="str">
        <f>VLOOKUP(C165,'mayo-26'!B:AS,44,0)</f>
        <v>CONTA.TEMGLASSCUCUTA@GMAIL.COM</v>
      </c>
      <c r="AT165" s="12" t="str">
        <f>VLOOKUP(C165,'mayo-26'!B:AT,45,0)</f>
        <v>CORREO ELECTRONICO CERTIFICADO 472</v>
      </c>
      <c r="AU165" s="16"/>
      <c r="AV165" s="16"/>
      <c r="AW165" s="16"/>
    </row>
    <row r="166" ht="14.25" customHeight="1">
      <c r="A166" s="15" t="s">
        <v>426</v>
      </c>
      <c r="B166" s="16">
        <v>455370.0</v>
      </c>
      <c r="C166" s="16">
        <v>3268.0</v>
      </c>
      <c r="D166" s="16">
        <v>3268.0</v>
      </c>
      <c r="E166" s="16">
        <v>8.0212726E7</v>
      </c>
      <c r="F166" s="16">
        <v>8.0212726E7</v>
      </c>
      <c r="G166" s="15" t="s">
        <v>148</v>
      </c>
      <c r="H166" s="15" t="s">
        <v>149</v>
      </c>
      <c r="I166" s="1" t="str">
        <f>VLOOKUP(C166,'mayo-26'!B:H,7,0)</f>
        <v>CALLE 10 NO 0E-16 EDF CENTRO EMPRESARIAL BLOQUE B HOTEL TONCHALA</v>
      </c>
      <c r="J166" s="1" t="s">
        <v>167</v>
      </c>
      <c r="K166" s="10" t="str">
        <f>VLOOKUP(C166,'mayo-26'!B:J,9,0)</f>
        <v>NO</v>
      </c>
      <c r="L166" s="1" t="str">
        <f>VLOOKUP(C166,'mayo-26'!B:K,10,0)</f>
        <v>COLEGIOS ZONA NORTE</v>
      </c>
      <c r="M166" s="15" t="s">
        <v>52</v>
      </c>
      <c r="N166" s="15" t="s">
        <v>138</v>
      </c>
      <c r="O166" s="15" t="s">
        <v>130</v>
      </c>
      <c r="P166" s="15" t="s">
        <v>126</v>
      </c>
      <c r="Q166" s="15" t="s">
        <v>56</v>
      </c>
      <c r="R166" s="15" t="s">
        <v>57</v>
      </c>
      <c r="S166" s="15" t="s">
        <v>143</v>
      </c>
      <c r="T166" s="15" t="s">
        <v>59</v>
      </c>
      <c r="U166" s="16">
        <v>2026.0</v>
      </c>
      <c r="V166" s="16">
        <v>6.0</v>
      </c>
      <c r="W166" s="16">
        <v>1.081875021E9</v>
      </c>
      <c r="X166" s="16">
        <v>1.081893493E9</v>
      </c>
      <c r="Y166" s="17">
        <v>46182.0</v>
      </c>
      <c r="Z166" s="17">
        <v>46207.0</v>
      </c>
      <c r="AA166" s="16">
        <v>132530.0</v>
      </c>
      <c r="AB166" s="16">
        <v>132530.0</v>
      </c>
      <c r="AC166" s="16">
        <v>0.0</v>
      </c>
      <c r="AD166" s="16">
        <v>500.0</v>
      </c>
      <c r="AE166" s="16">
        <v>0.0</v>
      </c>
      <c r="AF166" s="16">
        <v>0.0</v>
      </c>
      <c r="AG166" s="16">
        <v>0.0</v>
      </c>
      <c r="AH166" s="16">
        <v>0.0</v>
      </c>
      <c r="AI166" s="16">
        <v>0.0</v>
      </c>
      <c r="AJ166" s="16">
        <v>132530.0</v>
      </c>
      <c r="AK166" s="16">
        <v>396303.7</v>
      </c>
      <c r="AL166" s="16">
        <v>3.0</v>
      </c>
      <c r="AM166" s="16">
        <v>250.8</v>
      </c>
      <c r="AN166" s="16">
        <v>0.0</v>
      </c>
      <c r="AO166" s="18"/>
      <c r="AP166" s="18"/>
      <c r="AQ166" s="18"/>
      <c r="AR166" s="18"/>
      <c r="AS166" s="11" t="str">
        <f>VLOOKUP(C166,'mayo-26'!B:AS,44,0)</f>
        <v>AREAFINANCIERA@SEMCUCUTA.GOV.CO</v>
      </c>
      <c r="AT166" s="12" t="str">
        <f>VLOOKUP(C166,'mayo-26'!B:AT,45,0)</f>
        <v>CARTERA</v>
      </c>
      <c r="AU166" s="16"/>
      <c r="AV166" s="16"/>
      <c r="AW166" s="16"/>
    </row>
    <row r="167" ht="14.25" customHeight="1">
      <c r="A167" s="15" t="s">
        <v>427</v>
      </c>
      <c r="B167" s="16">
        <v>455370.0</v>
      </c>
      <c r="C167" s="16">
        <v>3272.0</v>
      </c>
      <c r="D167" s="16">
        <v>3272.0</v>
      </c>
      <c r="E167" s="16">
        <v>8.021273E7</v>
      </c>
      <c r="F167" s="16">
        <v>8.021273E7</v>
      </c>
      <c r="G167" s="15" t="s">
        <v>148</v>
      </c>
      <c r="H167" s="15" t="s">
        <v>149</v>
      </c>
      <c r="I167" s="1" t="str">
        <f>VLOOKUP(C167,'mayo-26'!B:H,7,0)</f>
        <v>CALLE 10 NO 0E-16 EDF CENTRO EMPRESARIAL BLOQUE B HOTEL TONCHALA</v>
      </c>
      <c r="J167" s="1" t="s">
        <v>146</v>
      </c>
      <c r="K167" s="10" t="str">
        <f>VLOOKUP(C167,'mayo-26'!B:J,9,0)</f>
        <v>NO</v>
      </c>
      <c r="L167" s="1" t="str">
        <f>VLOOKUP(C167,'mayo-26'!B:K,10,0)</f>
        <v>COLEGIOS ZONA NORTE</v>
      </c>
      <c r="M167" s="15" t="s">
        <v>52</v>
      </c>
      <c r="N167" s="15" t="s">
        <v>138</v>
      </c>
      <c r="O167" s="15" t="s">
        <v>130</v>
      </c>
      <c r="P167" s="15" t="s">
        <v>126</v>
      </c>
      <c r="Q167" s="15" t="s">
        <v>56</v>
      </c>
      <c r="R167" s="15" t="s">
        <v>57</v>
      </c>
      <c r="S167" s="15" t="s">
        <v>143</v>
      </c>
      <c r="T167" s="15" t="s">
        <v>59</v>
      </c>
      <c r="U167" s="16">
        <v>2026.0</v>
      </c>
      <c r="V167" s="16">
        <v>6.0</v>
      </c>
      <c r="W167" s="16">
        <v>1.081875025E9</v>
      </c>
      <c r="X167" s="16">
        <v>1.081893497E9</v>
      </c>
      <c r="Y167" s="17">
        <v>46182.0</v>
      </c>
      <c r="Z167" s="17">
        <v>46207.0</v>
      </c>
      <c r="AA167" s="16">
        <v>322294.0</v>
      </c>
      <c r="AB167" s="16">
        <v>322294.0</v>
      </c>
      <c r="AC167" s="16">
        <v>0.0</v>
      </c>
      <c r="AD167" s="16">
        <v>1500.0</v>
      </c>
      <c r="AE167" s="16">
        <v>0.0</v>
      </c>
      <c r="AF167" s="16">
        <v>0.0</v>
      </c>
      <c r="AG167" s="16">
        <v>0.0</v>
      </c>
      <c r="AH167" s="16">
        <v>0.0</v>
      </c>
      <c r="AI167" s="16">
        <v>0.0</v>
      </c>
      <c r="AJ167" s="16">
        <v>322294.0</v>
      </c>
      <c r="AK167" s="16">
        <v>961131.7</v>
      </c>
      <c r="AL167" s="16">
        <v>3.0</v>
      </c>
      <c r="AM167" s="16">
        <v>250.8</v>
      </c>
      <c r="AN167" s="16">
        <v>0.0</v>
      </c>
      <c r="AO167" s="18"/>
      <c r="AP167" s="18"/>
      <c r="AQ167" s="18"/>
      <c r="AR167" s="18"/>
      <c r="AS167" s="11" t="str">
        <f>VLOOKUP(C167,'mayo-26'!B:AS,44,0)</f>
        <v>AREAFINANCIERA@SEMCUCUTA.GOV.CO</v>
      </c>
      <c r="AT167" s="12" t="str">
        <f>VLOOKUP(C167,'mayo-26'!B:AT,45,0)</f>
        <v>CARTERA</v>
      </c>
      <c r="AU167" s="16"/>
      <c r="AV167" s="16"/>
      <c r="AW167" s="16"/>
    </row>
    <row r="168" ht="14.25" customHeight="1">
      <c r="A168" s="15" t="s">
        <v>428</v>
      </c>
      <c r="B168" s="16">
        <v>455370.0</v>
      </c>
      <c r="C168" s="16">
        <v>3276.0</v>
      </c>
      <c r="D168" s="16">
        <v>3276.0</v>
      </c>
      <c r="E168" s="16">
        <v>8.0212734E7</v>
      </c>
      <c r="F168" s="16">
        <v>8.0212734E7</v>
      </c>
      <c r="G168" s="15" t="s">
        <v>148</v>
      </c>
      <c r="H168" s="15" t="s">
        <v>149</v>
      </c>
      <c r="I168" s="1" t="str">
        <f>VLOOKUP(C168,'mayo-26'!B:H,7,0)</f>
        <v>CALLE 10 NO 0E-16 EDF CENTRO EMPRESARIAL BLOQUE B HOTEL TONCHALA</v>
      </c>
      <c r="J168" s="1" t="s">
        <v>202</v>
      </c>
      <c r="K168" s="10" t="str">
        <f>VLOOKUP(C168,'mayo-26'!B:J,9,0)</f>
        <v>NO</v>
      </c>
      <c r="L168" s="1" t="str">
        <f>VLOOKUP(C168,'mayo-26'!B:K,10,0)</f>
        <v>COLEGIOS ZONA NORTE</v>
      </c>
      <c r="M168" s="15" t="s">
        <v>52</v>
      </c>
      <c r="N168" s="15" t="s">
        <v>138</v>
      </c>
      <c r="O168" s="15" t="s">
        <v>130</v>
      </c>
      <c r="P168" s="15" t="s">
        <v>126</v>
      </c>
      <c r="Q168" s="15" t="s">
        <v>56</v>
      </c>
      <c r="R168" s="15" t="s">
        <v>57</v>
      </c>
      <c r="S168" s="15" t="s">
        <v>143</v>
      </c>
      <c r="T168" s="15" t="s">
        <v>59</v>
      </c>
      <c r="U168" s="16">
        <v>2026.0</v>
      </c>
      <c r="V168" s="16">
        <v>6.0</v>
      </c>
      <c r="W168" s="16">
        <v>1.081875029E9</v>
      </c>
      <c r="X168" s="16">
        <v>1.081893501E9</v>
      </c>
      <c r="Y168" s="17">
        <v>46182.0</v>
      </c>
      <c r="Z168" s="17">
        <v>46207.0</v>
      </c>
      <c r="AA168" s="16">
        <v>132530.0</v>
      </c>
      <c r="AB168" s="16">
        <v>132530.0</v>
      </c>
      <c r="AC168" s="16">
        <v>0.0</v>
      </c>
      <c r="AD168" s="16">
        <v>500.0</v>
      </c>
      <c r="AE168" s="16">
        <v>0.0</v>
      </c>
      <c r="AF168" s="16">
        <v>0.0</v>
      </c>
      <c r="AG168" s="16">
        <v>0.0</v>
      </c>
      <c r="AH168" s="16">
        <v>0.0</v>
      </c>
      <c r="AI168" s="16">
        <v>0.0</v>
      </c>
      <c r="AJ168" s="16">
        <v>132530.0</v>
      </c>
      <c r="AK168" s="16">
        <v>396303.7</v>
      </c>
      <c r="AL168" s="16">
        <v>3.0</v>
      </c>
      <c r="AM168" s="16">
        <v>250.8</v>
      </c>
      <c r="AN168" s="16">
        <v>0.0</v>
      </c>
      <c r="AO168" s="18"/>
      <c r="AP168" s="18"/>
      <c r="AQ168" s="18"/>
      <c r="AR168" s="18"/>
      <c r="AS168" s="11" t="str">
        <f>VLOOKUP(C168,'mayo-26'!B:AS,44,0)</f>
        <v>AREAFINANCIERA@SEMCUCUTA.GOV.CO</v>
      </c>
      <c r="AT168" s="12" t="str">
        <f>VLOOKUP(C168,'mayo-26'!B:AT,45,0)</f>
        <v>CARTERA</v>
      </c>
      <c r="AU168" s="16"/>
      <c r="AV168" s="16"/>
      <c r="AW168" s="16"/>
    </row>
    <row r="169" ht="14.25" customHeight="1">
      <c r="A169" s="15" t="s">
        <v>429</v>
      </c>
      <c r="B169" s="16">
        <v>455370.0</v>
      </c>
      <c r="C169" s="16">
        <v>3280.0</v>
      </c>
      <c r="D169" s="16">
        <v>3280.0</v>
      </c>
      <c r="E169" s="16">
        <v>8.0212738E7</v>
      </c>
      <c r="F169" s="16">
        <v>8.0212738E7</v>
      </c>
      <c r="G169" s="15" t="s">
        <v>148</v>
      </c>
      <c r="H169" s="15" t="s">
        <v>149</v>
      </c>
      <c r="I169" s="1" t="str">
        <f>VLOOKUP(C169,'mayo-26'!B:H,7,0)</f>
        <v>CALLE 10 NO 0E-16 EDF CENTRO EMPRESARIAL BLOQUE B HOTEL TONCHALA</v>
      </c>
      <c r="J169" s="1" t="s">
        <v>376</v>
      </c>
      <c r="K169" s="10" t="str">
        <f>VLOOKUP(C169,'mayo-26'!B:J,9,0)</f>
        <v>NO</v>
      </c>
      <c r="L169" s="1" t="str">
        <f>VLOOKUP(C169,'mayo-26'!B:K,10,0)</f>
        <v>COLEGIOS ZONA NORTE</v>
      </c>
      <c r="M169" s="15" t="s">
        <v>52</v>
      </c>
      <c r="N169" s="15" t="s">
        <v>138</v>
      </c>
      <c r="O169" s="15" t="s">
        <v>130</v>
      </c>
      <c r="P169" s="15" t="s">
        <v>126</v>
      </c>
      <c r="Q169" s="15" t="s">
        <v>56</v>
      </c>
      <c r="R169" s="15" t="s">
        <v>57</v>
      </c>
      <c r="S169" s="15" t="s">
        <v>143</v>
      </c>
      <c r="T169" s="15" t="s">
        <v>59</v>
      </c>
      <c r="U169" s="16">
        <v>2026.0</v>
      </c>
      <c r="V169" s="16">
        <v>6.0</v>
      </c>
      <c r="W169" s="16">
        <v>1.081875033E9</v>
      </c>
      <c r="X169" s="16">
        <v>1.081893505E9</v>
      </c>
      <c r="Y169" s="17">
        <v>46182.0</v>
      </c>
      <c r="Z169" s="17">
        <v>46207.0</v>
      </c>
      <c r="AA169" s="16">
        <v>105014.23</v>
      </c>
      <c r="AB169" s="16">
        <v>105014.23</v>
      </c>
      <c r="AC169" s="16">
        <v>0.0</v>
      </c>
      <c r="AD169" s="16">
        <v>355.0</v>
      </c>
      <c r="AE169" s="16">
        <v>0.0</v>
      </c>
      <c r="AF169" s="16">
        <v>0.0</v>
      </c>
      <c r="AG169" s="16">
        <v>0.0</v>
      </c>
      <c r="AH169" s="16">
        <v>0.0</v>
      </c>
      <c r="AI169" s="16">
        <v>0.0</v>
      </c>
      <c r="AJ169" s="16">
        <v>105014.23</v>
      </c>
      <c r="AK169" s="16">
        <v>314403.66</v>
      </c>
      <c r="AL169" s="16">
        <v>3.0</v>
      </c>
      <c r="AM169" s="16">
        <v>250.8</v>
      </c>
      <c r="AN169" s="16">
        <v>0.0</v>
      </c>
      <c r="AO169" s="18"/>
      <c r="AP169" s="18"/>
      <c r="AQ169" s="18"/>
      <c r="AR169" s="18"/>
      <c r="AS169" s="11" t="str">
        <f>VLOOKUP(C169,'mayo-26'!B:AS,44,0)</f>
        <v>AREAFINANCIERA@SEMCUCUTA.GOV.CO</v>
      </c>
      <c r="AT169" s="12" t="str">
        <f>VLOOKUP(C169,'mayo-26'!B:AT,45,0)</f>
        <v>CARTERA</v>
      </c>
      <c r="AU169" s="16"/>
      <c r="AV169" s="16"/>
      <c r="AW169" s="16"/>
    </row>
    <row r="170" ht="14.25" customHeight="1">
      <c r="A170" s="15" t="s">
        <v>430</v>
      </c>
      <c r="B170" s="16">
        <v>147.0</v>
      </c>
      <c r="C170" s="16">
        <v>3284.0</v>
      </c>
      <c r="D170" s="16">
        <v>3284.0</v>
      </c>
      <c r="E170" s="16">
        <v>8.0217309E7</v>
      </c>
      <c r="F170" s="16">
        <v>8.0217309E7</v>
      </c>
      <c r="G170" s="15" t="s">
        <v>179</v>
      </c>
      <c r="H170" s="15" t="s">
        <v>180</v>
      </c>
      <c r="I170" s="1" t="str">
        <f>VLOOKUP(C170,'mayo-26'!B:H,7,0)</f>
        <v>AVE 3 CLL 24 GARITA # 1</v>
      </c>
      <c r="J170" s="1" t="s">
        <v>224</v>
      </c>
      <c r="K170" s="10" t="str">
        <f>VLOOKUP(C170,'mayo-26'!B:J,9,0)</f>
        <v>NO</v>
      </c>
      <c r="L170" s="1" t="str">
        <f>VLOOKUP(C170,'mayo-26'!B:K,10,0)</f>
        <v>POLICIA</v>
      </c>
      <c r="M170" s="15" t="s">
        <v>52</v>
      </c>
      <c r="N170" s="15" t="s">
        <v>89</v>
      </c>
      <c r="O170" s="15" t="s">
        <v>130</v>
      </c>
      <c r="P170" s="15" t="s">
        <v>126</v>
      </c>
      <c r="Q170" s="15" t="s">
        <v>56</v>
      </c>
      <c r="R170" s="15" t="s">
        <v>57</v>
      </c>
      <c r="S170" s="15" t="s">
        <v>143</v>
      </c>
      <c r="T170" s="15" t="s">
        <v>59</v>
      </c>
      <c r="U170" s="16">
        <v>2026.0</v>
      </c>
      <c r="V170" s="16">
        <v>6.0</v>
      </c>
      <c r="W170" s="16">
        <v>1.081875037E9</v>
      </c>
      <c r="X170" s="16">
        <v>1.081893509E9</v>
      </c>
      <c r="Y170" s="17">
        <v>46182.0</v>
      </c>
      <c r="Z170" s="17">
        <v>46207.0</v>
      </c>
      <c r="AA170" s="16">
        <v>85563.42</v>
      </c>
      <c r="AB170" s="16">
        <v>85563.42</v>
      </c>
      <c r="AC170" s="16">
        <v>0.0</v>
      </c>
      <c r="AD170" s="16">
        <v>252.5</v>
      </c>
      <c r="AE170" s="16">
        <v>0.0</v>
      </c>
      <c r="AF170" s="16">
        <v>0.0</v>
      </c>
      <c r="AG170" s="16">
        <v>0.0</v>
      </c>
      <c r="AH170" s="16">
        <v>0.0</v>
      </c>
      <c r="AI170" s="16">
        <v>0.0</v>
      </c>
      <c r="AJ170" s="16">
        <v>85563.42</v>
      </c>
      <c r="AK170" s="16">
        <v>171653.11</v>
      </c>
      <c r="AL170" s="16">
        <v>2.0</v>
      </c>
      <c r="AM170" s="16">
        <v>250.8</v>
      </c>
      <c r="AN170" s="16">
        <v>0.0</v>
      </c>
      <c r="AO170" s="18"/>
      <c r="AP170" s="18"/>
      <c r="AQ170" s="18"/>
      <c r="AR170" s="18"/>
      <c r="AS170" s="11" t="str">
        <f>VLOOKUP(C170,'mayo-26'!B:AS,44,0)</f>
        <v>MECUC.GUBIR@POLICIA.GOV.CO</v>
      </c>
      <c r="AT170" s="12" t="str">
        <f>VLOOKUP(C170,'mayo-26'!B:AT,45,0)</f>
        <v>CORREO ELECTRONICO CERTIFICADO 472</v>
      </c>
      <c r="AU170" s="16"/>
      <c r="AV170" s="16"/>
      <c r="AW170" s="16"/>
    </row>
    <row r="171" ht="14.25" customHeight="1">
      <c r="A171" s="15" t="s">
        <v>431</v>
      </c>
      <c r="B171" s="16">
        <v>147.0</v>
      </c>
      <c r="C171" s="16">
        <v>3288.0</v>
      </c>
      <c r="D171" s="16">
        <v>3288.0</v>
      </c>
      <c r="E171" s="16">
        <v>8.0217313E7</v>
      </c>
      <c r="F171" s="16">
        <v>8.0217313E7</v>
      </c>
      <c r="G171" s="15" t="s">
        <v>179</v>
      </c>
      <c r="H171" s="15" t="s">
        <v>180</v>
      </c>
      <c r="I171" s="1" t="str">
        <f>VLOOKUP(C171,'mayo-26'!B:H,7,0)</f>
        <v>AVE 3 CLL 24 GARITA # 1</v>
      </c>
      <c r="J171" s="1" t="s">
        <v>432</v>
      </c>
      <c r="K171" s="10" t="str">
        <f>VLOOKUP(C171,'mayo-26'!B:J,9,0)</f>
        <v>NO</v>
      </c>
      <c r="L171" s="1" t="str">
        <f>VLOOKUP(C171,'mayo-26'!B:K,10,0)</f>
        <v>POLICIA</v>
      </c>
      <c r="M171" s="15" t="s">
        <v>52</v>
      </c>
      <c r="N171" s="15" t="s">
        <v>89</v>
      </c>
      <c r="O171" s="15" t="s">
        <v>130</v>
      </c>
      <c r="P171" s="15" t="s">
        <v>126</v>
      </c>
      <c r="Q171" s="15" t="s">
        <v>56</v>
      </c>
      <c r="R171" s="15" t="s">
        <v>57</v>
      </c>
      <c r="S171" s="15" t="s">
        <v>143</v>
      </c>
      <c r="T171" s="15" t="s">
        <v>59</v>
      </c>
      <c r="U171" s="16">
        <v>2026.0</v>
      </c>
      <c r="V171" s="16">
        <v>6.0</v>
      </c>
      <c r="W171" s="16">
        <v>1.081875041E9</v>
      </c>
      <c r="X171" s="16">
        <v>1.081893513E9</v>
      </c>
      <c r="Y171" s="17">
        <v>46182.0</v>
      </c>
      <c r="Z171" s="17">
        <v>46207.0</v>
      </c>
      <c r="AA171" s="16">
        <v>85563.42</v>
      </c>
      <c r="AB171" s="16">
        <v>85563.42</v>
      </c>
      <c r="AC171" s="16">
        <v>0.0</v>
      </c>
      <c r="AD171" s="16">
        <v>252.5</v>
      </c>
      <c r="AE171" s="16">
        <v>0.0</v>
      </c>
      <c r="AF171" s="16">
        <v>0.0</v>
      </c>
      <c r="AG171" s="16">
        <v>0.0</v>
      </c>
      <c r="AH171" s="16">
        <v>0.0</v>
      </c>
      <c r="AI171" s="16">
        <v>0.0</v>
      </c>
      <c r="AJ171" s="16">
        <v>85563.42</v>
      </c>
      <c r="AK171" s="16">
        <v>171653.11</v>
      </c>
      <c r="AL171" s="16">
        <v>2.0</v>
      </c>
      <c r="AM171" s="16">
        <v>250.8</v>
      </c>
      <c r="AN171" s="16">
        <v>0.0</v>
      </c>
      <c r="AO171" s="18"/>
      <c r="AP171" s="18"/>
      <c r="AQ171" s="18"/>
      <c r="AR171" s="18"/>
      <c r="AS171" s="11" t="str">
        <f>VLOOKUP(C171,'mayo-26'!B:AS,44,0)</f>
        <v>MECUC.GUBIR@POLICIA.GOV.CO</v>
      </c>
      <c r="AT171" s="12" t="str">
        <f>VLOOKUP(C171,'mayo-26'!B:AT,45,0)</f>
        <v>CORREO ELECTRONICO CERTIFICADO 472</v>
      </c>
      <c r="AU171" s="16"/>
      <c r="AV171" s="16"/>
      <c r="AW171" s="16"/>
    </row>
    <row r="172" ht="14.25" customHeight="1">
      <c r="A172" s="15" t="s">
        <v>433</v>
      </c>
      <c r="B172" s="16">
        <v>455370.0</v>
      </c>
      <c r="C172" s="16">
        <v>3292.0</v>
      </c>
      <c r="D172" s="16">
        <v>3292.0</v>
      </c>
      <c r="E172" s="16">
        <v>8.0218484E7</v>
      </c>
      <c r="F172" s="16">
        <v>8.0218484E7</v>
      </c>
      <c r="G172" s="15" t="s">
        <v>148</v>
      </c>
      <c r="H172" s="15" t="s">
        <v>149</v>
      </c>
      <c r="I172" s="1" t="str">
        <f>VLOOKUP(C172,'mayo-26'!B:H,7,0)</f>
        <v>CALLE 10 NO 0E-16 EDF CENTRO EMPRESARIAL BLOQUE B HOTEL TONCHALA</v>
      </c>
      <c r="J172" s="1" t="s">
        <v>434</v>
      </c>
      <c r="K172" s="10" t="str">
        <f>VLOOKUP(C172,'mayo-26'!B:J,9,0)</f>
        <v>NO</v>
      </c>
      <c r="L172" s="1" t="str">
        <f>VLOOKUP(C172,'mayo-26'!B:K,10,0)</f>
        <v>COLEGIOS ZONA NORTE</v>
      </c>
      <c r="M172" s="15" t="s">
        <v>52</v>
      </c>
      <c r="N172" s="15" t="s">
        <v>138</v>
      </c>
      <c r="O172" s="15" t="s">
        <v>130</v>
      </c>
      <c r="P172" s="15" t="s">
        <v>126</v>
      </c>
      <c r="Q172" s="15" t="s">
        <v>56</v>
      </c>
      <c r="R172" s="15" t="s">
        <v>57</v>
      </c>
      <c r="S172" s="15" t="s">
        <v>143</v>
      </c>
      <c r="T172" s="15" t="s">
        <v>59</v>
      </c>
      <c r="U172" s="16">
        <v>2026.0</v>
      </c>
      <c r="V172" s="16">
        <v>6.0</v>
      </c>
      <c r="W172" s="16">
        <v>1.081875044E9</v>
      </c>
      <c r="X172" s="16">
        <v>1.081893516E9</v>
      </c>
      <c r="Y172" s="17">
        <v>46182.0</v>
      </c>
      <c r="Z172" s="17">
        <v>46207.0</v>
      </c>
      <c r="AA172" s="16">
        <v>396871.25</v>
      </c>
      <c r="AB172" s="16">
        <v>396871.25</v>
      </c>
      <c r="AC172" s="16">
        <v>0.0</v>
      </c>
      <c r="AD172" s="16">
        <v>1893.0</v>
      </c>
      <c r="AE172" s="16">
        <v>0.0</v>
      </c>
      <c r="AF172" s="16">
        <v>0.0</v>
      </c>
      <c r="AG172" s="16">
        <v>0.0</v>
      </c>
      <c r="AH172" s="16">
        <v>0.0</v>
      </c>
      <c r="AI172" s="16">
        <v>0.0</v>
      </c>
      <c r="AJ172" s="16">
        <v>396871.25</v>
      </c>
      <c r="AK172" s="16">
        <v>1183109.1</v>
      </c>
      <c r="AL172" s="16">
        <v>3.0</v>
      </c>
      <c r="AM172" s="16">
        <v>250.8</v>
      </c>
      <c r="AN172" s="16">
        <v>0.0</v>
      </c>
      <c r="AO172" s="18"/>
      <c r="AP172" s="18"/>
      <c r="AQ172" s="18"/>
      <c r="AR172" s="18"/>
      <c r="AS172" s="11" t="str">
        <f>VLOOKUP(C172,'mayo-26'!B:AS,44,0)</f>
        <v>AREAFINANCIERA@SEMCUCUTA.GOV.CO</v>
      </c>
      <c r="AT172" s="12" t="str">
        <f>VLOOKUP(C172,'mayo-26'!B:AT,45,0)</f>
        <v>CARTERA</v>
      </c>
      <c r="AU172" s="16"/>
      <c r="AV172" s="16"/>
      <c r="AW172" s="16"/>
    </row>
    <row r="173" ht="14.25" customHeight="1">
      <c r="A173" s="15" t="s">
        <v>435</v>
      </c>
      <c r="B173" s="16">
        <v>455370.0</v>
      </c>
      <c r="C173" s="16">
        <v>3296.0</v>
      </c>
      <c r="D173" s="16">
        <v>3296.0</v>
      </c>
      <c r="E173" s="16">
        <v>8.0218697E7</v>
      </c>
      <c r="F173" s="16">
        <v>8.0218697E7</v>
      </c>
      <c r="G173" s="15" t="s">
        <v>148</v>
      </c>
      <c r="H173" s="15" t="s">
        <v>149</v>
      </c>
      <c r="I173" s="1" t="str">
        <f>VLOOKUP(C173,'mayo-26'!B:H,7,0)</f>
        <v>CALLE 10 NO 0E-16 EDF CENTRO EMPRESARIAL BLOQUE B HOTEL TONCHALA</v>
      </c>
      <c r="J173" s="1" t="s">
        <v>436</v>
      </c>
      <c r="K173" s="10" t="str">
        <f>VLOOKUP(C173,'mayo-26'!B:J,9,0)</f>
        <v>NO</v>
      </c>
      <c r="L173" s="1" t="str">
        <f>VLOOKUP(C173,'mayo-26'!B:K,10,0)</f>
        <v>COLEGIOS ZONA NORTE</v>
      </c>
      <c r="M173" s="15" t="s">
        <v>52</v>
      </c>
      <c r="N173" s="15" t="s">
        <v>138</v>
      </c>
      <c r="O173" s="15" t="s">
        <v>130</v>
      </c>
      <c r="P173" s="15" t="s">
        <v>126</v>
      </c>
      <c r="Q173" s="15" t="s">
        <v>56</v>
      </c>
      <c r="R173" s="15" t="s">
        <v>57</v>
      </c>
      <c r="S173" s="15" t="s">
        <v>143</v>
      </c>
      <c r="T173" s="15" t="s">
        <v>59</v>
      </c>
      <c r="U173" s="16">
        <v>2026.0</v>
      </c>
      <c r="V173" s="16">
        <v>6.0</v>
      </c>
      <c r="W173" s="16">
        <v>1.081875048E9</v>
      </c>
      <c r="X173" s="16">
        <v>1.08189352E9</v>
      </c>
      <c r="Y173" s="17">
        <v>46182.0</v>
      </c>
      <c r="Z173" s="17">
        <v>46207.0</v>
      </c>
      <c r="AA173" s="16">
        <v>85658.29</v>
      </c>
      <c r="AB173" s="16">
        <v>85658.29</v>
      </c>
      <c r="AC173" s="16">
        <v>0.0</v>
      </c>
      <c r="AD173" s="16">
        <v>253.0</v>
      </c>
      <c r="AE173" s="16">
        <v>0.0</v>
      </c>
      <c r="AF173" s="16">
        <v>0.0</v>
      </c>
      <c r="AG173" s="16">
        <v>0.0</v>
      </c>
      <c r="AH173" s="16">
        <v>0.0</v>
      </c>
      <c r="AI173" s="16">
        <v>0.0</v>
      </c>
      <c r="AJ173" s="16">
        <v>85658.29</v>
      </c>
      <c r="AK173" s="16">
        <v>256791.18</v>
      </c>
      <c r="AL173" s="16">
        <v>3.0</v>
      </c>
      <c r="AM173" s="16">
        <v>250.8</v>
      </c>
      <c r="AN173" s="16">
        <v>0.0</v>
      </c>
      <c r="AO173" s="18"/>
      <c r="AP173" s="18"/>
      <c r="AQ173" s="18"/>
      <c r="AR173" s="18"/>
      <c r="AS173" s="11" t="str">
        <f>VLOOKUP(C173,'mayo-26'!B:AS,44,0)</f>
        <v>AREAFINANCIERA@SEMCUCUTA.GOV.CO</v>
      </c>
      <c r="AT173" s="12" t="str">
        <f>VLOOKUP(C173,'mayo-26'!B:AT,45,0)</f>
        <v>CARTERA</v>
      </c>
      <c r="AU173" s="16"/>
      <c r="AV173" s="16"/>
      <c r="AW173" s="16"/>
    </row>
    <row r="174" ht="14.25" customHeight="1">
      <c r="A174" s="19" t="s">
        <v>437</v>
      </c>
      <c r="B174" s="16">
        <v>455370.0</v>
      </c>
      <c r="C174" s="16">
        <v>3300.0</v>
      </c>
      <c r="D174" s="16">
        <v>3300.0</v>
      </c>
      <c r="E174" s="16">
        <v>8.0222597E7</v>
      </c>
      <c r="F174" s="16">
        <v>8.0222597E7</v>
      </c>
      <c r="G174" s="15" t="s">
        <v>148</v>
      </c>
      <c r="H174" s="15" t="s">
        <v>149</v>
      </c>
      <c r="I174" s="1" t="str">
        <f>VLOOKUP(C174,'mayo-26'!B:H,7,0)</f>
        <v>CALLE 10 NO 0E-16 EDF CENTRO EMPRESARIAL BLOQUE B HOTEL TONCHALA</v>
      </c>
      <c r="J174" s="1" t="s">
        <v>181</v>
      </c>
      <c r="K174" s="10" t="str">
        <f>VLOOKUP(C174,'mayo-26'!B:J,9,0)</f>
        <v>NO</v>
      </c>
      <c r="L174" s="1" t="str">
        <f>VLOOKUP(C174,'mayo-26'!B:K,10,0)</f>
        <v>COLEGIOS ZONA NORTE</v>
      </c>
      <c r="M174" s="15" t="s">
        <v>52</v>
      </c>
      <c r="N174" s="15" t="s">
        <v>138</v>
      </c>
      <c r="O174" s="15" t="s">
        <v>130</v>
      </c>
      <c r="P174" s="15" t="s">
        <v>126</v>
      </c>
      <c r="Q174" s="15" t="s">
        <v>56</v>
      </c>
      <c r="R174" s="15" t="s">
        <v>57</v>
      </c>
      <c r="S174" s="15" t="s">
        <v>143</v>
      </c>
      <c r="T174" s="15" t="s">
        <v>59</v>
      </c>
      <c r="U174" s="16">
        <v>2026.0</v>
      </c>
      <c r="V174" s="16">
        <v>6.0</v>
      </c>
      <c r="W174" s="16">
        <v>1.08187505E9</v>
      </c>
      <c r="X174" s="16">
        <v>1.081893522E9</v>
      </c>
      <c r="Y174" s="17">
        <v>46182.0</v>
      </c>
      <c r="Z174" s="17">
        <v>46207.0</v>
      </c>
      <c r="AA174" s="16">
        <v>85658.29</v>
      </c>
      <c r="AB174" s="16">
        <v>85658.29</v>
      </c>
      <c r="AC174" s="16">
        <v>0.0</v>
      </c>
      <c r="AD174" s="16">
        <v>253.0</v>
      </c>
      <c r="AE174" s="16">
        <v>0.0</v>
      </c>
      <c r="AF174" s="16">
        <v>0.0</v>
      </c>
      <c r="AG174" s="16">
        <v>0.0</v>
      </c>
      <c r="AH174" s="16">
        <v>0.0</v>
      </c>
      <c r="AI174" s="16">
        <v>0.0</v>
      </c>
      <c r="AJ174" s="16">
        <v>85658.29</v>
      </c>
      <c r="AK174" s="16">
        <v>256791.18</v>
      </c>
      <c r="AL174" s="16">
        <v>3.0</v>
      </c>
      <c r="AM174" s="16">
        <v>250.8</v>
      </c>
      <c r="AN174" s="16">
        <v>0.0</v>
      </c>
      <c r="AO174" s="18"/>
      <c r="AP174" s="18"/>
      <c r="AQ174" s="18"/>
      <c r="AR174" s="18"/>
      <c r="AS174" s="11" t="str">
        <f>VLOOKUP(C174,'mayo-26'!B:AS,44,0)</f>
        <v>AREAFINANCIERA@SEMCUCUTA.GOV.CO</v>
      </c>
      <c r="AT174" s="12" t="str">
        <f>VLOOKUP(C174,'mayo-26'!B:AT,45,0)</f>
        <v>CARTERA</v>
      </c>
      <c r="AU174" s="16"/>
      <c r="AV174" s="16"/>
      <c r="AW174" s="16"/>
    </row>
    <row r="175" ht="14.25" customHeight="1">
      <c r="A175" s="15" t="s">
        <v>438</v>
      </c>
      <c r="B175" s="16">
        <v>3309.0</v>
      </c>
      <c r="C175" s="16">
        <v>3308.0</v>
      </c>
      <c r="D175" s="16">
        <v>3308.0</v>
      </c>
      <c r="E175" s="16">
        <v>8.0228953E7</v>
      </c>
      <c r="F175" s="16">
        <v>8.0228953E7</v>
      </c>
      <c r="G175" s="16">
        <v>8507015.0</v>
      </c>
      <c r="H175" s="15" t="s">
        <v>439</v>
      </c>
      <c r="I175" s="1" t="str">
        <f>VLOOKUP(C175,'mayo-26'!B:H,7,0)</f>
        <v>AV LIBERT CC UNICENTRO LOC 88</v>
      </c>
      <c r="J175" s="1" t="s">
        <v>214</v>
      </c>
      <c r="K175" s="10" t="str">
        <f>VLOOKUP(C175,'mayo-26'!B:J,9,0)</f>
        <v>NO</v>
      </c>
      <c r="L175" s="1" t="str">
        <f>VLOOKUP(C175,'mayo-26'!B:K,10,0)</f>
        <v>NO</v>
      </c>
      <c r="M175" s="15" t="s">
        <v>52</v>
      </c>
      <c r="N175" s="15" t="s">
        <v>89</v>
      </c>
      <c r="O175" s="15" t="s">
        <v>130</v>
      </c>
      <c r="P175" s="15" t="s">
        <v>126</v>
      </c>
      <c r="Q175" s="15" t="s">
        <v>56</v>
      </c>
      <c r="R175" s="15" t="s">
        <v>90</v>
      </c>
      <c r="S175" s="15" t="s">
        <v>143</v>
      </c>
      <c r="T175" s="15" t="s">
        <v>59</v>
      </c>
      <c r="U175" s="16">
        <v>2026.0</v>
      </c>
      <c r="V175" s="16">
        <v>6.0</v>
      </c>
      <c r="W175" s="16">
        <v>1.081875054E9</v>
      </c>
      <c r="X175" s="16">
        <v>1.081893526E9</v>
      </c>
      <c r="Y175" s="17">
        <v>46182.0</v>
      </c>
      <c r="Z175" s="17">
        <v>46207.0</v>
      </c>
      <c r="AA175" s="16">
        <v>419658.45</v>
      </c>
      <c r="AB175" s="16">
        <v>419658.45</v>
      </c>
      <c r="AC175" s="16">
        <v>87613.46</v>
      </c>
      <c r="AD175" s="16">
        <v>725.0</v>
      </c>
      <c r="AE175" s="16">
        <v>156818.08</v>
      </c>
      <c r="AF175" s="16">
        <v>0.0</v>
      </c>
      <c r="AG175" s="16">
        <v>0.0</v>
      </c>
      <c r="AH175" s="16">
        <v>0.0</v>
      </c>
      <c r="AI175" s="16">
        <v>0.0</v>
      </c>
      <c r="AJ175" s="16">
        <v>419658.45</v>
      </c>
      <c r="AK175" s="16">
        <v>1.157742453E7</v>
      </c>
      <c r="AL175" s="16">
        <v>37.0</v>
      </c>
      <c r="AM175" s="16">
        <v>376.2</v>
      </c>
      <c r="AN175" s="16">
        <v>0.0</v>
      </c>
      <c r="AO175" s="18"/>
      <c r="AP175" s="18"/>
      <c r="AQ175" s="18"/>
      <c r="AR175" s="18"/>
      <c r="AS175" s="11" t="str">
        <f>VLOOKUP(C175,'mayo-26'!B:AS,44,0)</f>
        <v>loysa88@yahoo.es</v>
      </c>
      <c r="AT175" s="12" t="str">
        <f>VLOOKUP(C175,'mayo-26'!B:AT,45,0)</f>
        <v>CORREO ELECTRONICO CERTIFICADO 472</v>
      </c>
      <c r="AU175" s="16"/>
      <c r="AV175" s="16"/>
      <c r="AW175" s="16"/>
    </row>
    <row r="176" ht="14.25" customHeight="1">
      <c r="A176" s="15" t="s">
        <v>440</v>
      </c>
      <c r="B176" s="16">
        <v>147.0</v>
      </c>
      <c r="C176" s="16">
        <v>3312.0</v>
      </c>
      <c r="D176" s="16">
        <v>3312.0</v>
      </c>
      <c r="E176" s="16">
        <v>8.0230161E7</v>
      </c>
      <c r="F176" s="16">
        <v>8.0230161E7</v>
      </c>
      <c r="G176" s="15" t="s">
        <v>179</v>
      </c>
      <c r="H176" s="15" t="s">
        <v>180</v>
      </c>
      <c r="I176" s="1" t="str">
        <f>VLOOKUP(C176,'mayo-26'!B:H,7,0)</f>
        <v>AVE 3 CLL 24 GARITA # 1</v>
      </c>
      <c r="J176" s="1" t="s">
        <v>401</v>
      </c>
      <c r="K176" s="10" t="str">
        <f>VLOOKUP(C176,'mayo-26'!B:J,9,0)</f>
        <v>NO</v>
      </c>
      <c r="L176" s="1" t="str">
        <f>VLOOKUP(C176,'mayo-26'!B:K,10,0)</f>
        <v>POLICIA</v>
      </c>
      <c r="M176" s="15" t="s">
        <v>52</v>
      </c>
      <c r="N176" s="15" t="s">
        <v>89</v>
      </c>
      <c r="O176" s="15" t="s">
        <v>130</v>
      </c>
      <c r="P176" s="15" t="s">
        <v>126</v>
      </c>
      <c r="Q176" s="15" t="s">
        <v>56</v>
      </c>
      <c r="R176" s="15" t="s">
        <v>57</v>
      </c>
      <c r="S176" s="15" t="s">
        <v>58</v>
      </c>
      <c r="T176" s="15" t="s">
        <v>59</v>
      </c>
      <c r="U176" s="16">
        <v>2026.0</v>
      </c>
      <c r="V176" s="16">
        <v>6.0</v>
      </c>
      <c r="W176" s="16">
        <v>1.081875062E9</v>
      </c>
      <c r="X176" s="16">
        <v>1.081893534E9</v>
      </c>
      <c r="Y176" s="17">
        <v>46182.0</v>
      </c>
      <c r="Z176" s="17">
        <v>46207.0</v>
      </c>
      <c r="AA176" s="16">
        <v>2108447.66</v>
      </c>
      <c r="AB176" s="16">
        <v>2108447.66</v>
      </c>
      <c r="AC176" s="16">
        <v>0.0</v>
      </c>
      <c r="AD176" s="16">
        <v>10912.5</v>
      </c>
      <c r="AE176" s="16">
        <v>0.0</v>
      </c>
      <c r="AF176" s="16">
        <v>0.0</v>
      </c>
      <c r="AG176" s="16">
        <v>0.0</v>
      </c>
      <c r="AH176" s="16">
        <v>0.0</v>
      </c>
      <c r="AI176" s="16">
        <v>0.0</v>
      </c>
      <c r="AJ176" s="16">
        <v>2108447.66</v>
      </c>
      <c r="AK176" s="16">
        <v>1.22746902E7</v>
      </c>
      <c r="AL176" s="16">
        <v>6.0</v>
      </c>
      <c r="AM176" s="16">
        <v>250.8</v>
      </c>
      <c r="AN176" s="16">
        <v>0.0</v>
      </c>
      <c r="AO176" s="18"/>
      <c r="AP176" s="18"/>
      <c r="AQ176" s="18"/>
      <c r="AR176" s="18"/>
      <c r="AS176" s="11" t="str">
        <f>VLOOKUP(C176,'mayo-26'!B:AS,44,0)</f>
        <v>MECUC.GUBIR@POLICIA.GOV.CO</v>
      </c>
      <c r="AT176" s="12" t="str">
        <f>VLOOKUP(C176,'mayo-26'!B:AT,45,0)</f>
        <v>CORREO ELECTRONICO CERTIFICADO 472</v>
      </c>
      <c r="AU176" s="16"/>
      <c r="AV176" s="16"/>
      <c r="AW176" s="16"/>
    </row>
    <row r="177" ht="14.25" customHeight="1">
      <c r="A177" s="15" t="s">
        <v>441</v>
      </c>
      <c r="B177" s="16">
        <v>3317.0</v>
      </c>
      <c r="C177" s="16">
        <v>3316.0</v>
      </c>
      <c r="D177" s="16">
        <v>3316.0</v>
      </c>
      <c r="E177" s="16">
        <v>8.0231078E7</v>
      </c>
      <c r="F177" s="16">
        <v>8.0231078E7</v>
      </c>
      <c r="G177" s="16">
        <v>9.01338746E8</v>
      </c>
      <c r="H177" s="15" t="s">
        <v>442</v>
      </c>
      <c r="I177" s="1" t="str">
        <f>VLOOKUP(C177,'mayo-26'!B:H,7,0)</f>
        <v>AVE 5 2 - 78 1007</v>
      </c>
      <c r="J177" s="1" t="s">
        <v>443</v>
      </c>
      <c r="K177" s="10" t="str">
        <f>VLOOKUP(C177,'mayo-26'!B:J,9,0)</f>
        <v>CENTRO</v>
      </c>
      <c r="L177" s="1" t="str">
        <f>VLOOKUP(C177,'mayo-26'!B:K,10,0)</f>
        <v>CENTRO</v>
      </c>
      <c r="M177" s="15" t="s">
        <v>52</v>
      </c>
      <c r="N177" s="15" t="s">
        <v>89</v>
      </c>
      <c r="O177" s="15" t="s">
        <v>130</v>
      </c>
      <c r="P177" s="15" t="s">
        <v>126</v>
      </c>
      <c r="Q177" s="15" t="s">
        <v>56</v>
      </c>
      <c r="R177" s="15" t="s">
        <v>72</v>
      </c>
      <c r="S177" s="15" t="s">
        <v>143</v>
      </c>
      <c r="T177" s="15" t="s">
        <v>59</v>
      </c>
      <c r="U177" s="16">
        <v>2026.0</v>
      </c>
      <c r="V177" s="16">
        <v>6.0</v>
      </c>
      <c r="W177" s="16">
        <v>1.081875066E9</v>
      </c>
      <c r="X177" s="16">
        <v>1.081893538E9</v>
      </c>
      <c r="Y177" s="17">
        <v>46182.0</v>
      </c>
      <c r="Z177" s="17">
        <v>46207.0</v>
      </c>
      <c r="AA177" s="16">
        <v>794272.85</v>
      </c>
      <c r="AB177" s="16">
        <v>794272.85</v>
      </c>
      <c r="AC177" s="16">
        <v>68223.6</v>
      </c>
      <c r="AD177" s="16">
        <v>1000.0</v>
      </c>
      <c r="AE177" s="16">
        <v>498637.25</v>
      </c>
      <c r="AF177" s="16">
        <v>0.0</v>
      </c>
      <c r="AG177" s="16">
        <v>0.0</v>
      </c>
      <c r="AH177" s="16">
        <v>0.0</v>
      </c>
      <c r="AI177" s="16">
        <v>0.0</v>
      </c>
      <c r="AJ177" s="16">
        <v>794272.85</v>
      </c>
      <c r="AK177" s="16">
        <v>5.112624126E7</v>
      </c>
      <c r="AL177" s="16">
        <v>126.0</v>
      </c>
      <c r="AM177" s="16">
        <v>326.04</v>
      </c>
      <c r="AN177" s="16">
        <v>0.0</v>
      </c>
      <c r="AO177" s="18"/>
      <c r="AP177" s="18"/>
      <c r="AQ177" s="18"/>
      <c r="AR177" s="18"/>
      <c r="AS177" s="11" t="str">
        <f>VLOOKUP(C177,'mayo-26'!B:AS,44,0)</f>
        <v>HIELOLASABANACUCUTALTDA@HOTMAIL.COM</v>
      </c>
      <c r="AT177" s="12" t="str">
        <f>VLOOKUP(C177,'mayo-26'!B:AT,45,0)</f>
        <v>VERIFICADOR</v>
      </c>
      <c r="AU177" s="16"/>
      <c r="AV177" s="16"/>
      <c r="AW177" s="16"/>
    </row>
    <row r="178" ht="14.25" customHeight="1">
      <c r="A178" s="15" t="s">
        <v>444</v>
      </c>
      <c r="B178" s="16">
        <v>3321.0</v>
      </c>
      <c r="C178" s="16">
        <v>3320.0</v>
      </c>
      <c r="D178" s="16">
        <v>3320.0</v>
      </c>
      <c r="E178" s="16">
        <v>8.0231096E7</v>
      </c>
      <c r="F178" s="16">
        <v>8.0231096E7</v>
      </c>
      <c r="G178" s="16">
        <v>590029.0</v>
      </c>
      <c r="H178" s="15" t="s">
        <v>445</v>
      </c>
      <c r="I178" s="1" t="str">
        <f>VLOOKUP(C178,'mayo-26'!B:H,7,0)</f>
        <v>AVE LIBERTADORES C.C UNICENTRO - LOCAL 1 1</v>
      </c>
      <c r="J178" s="1" t="s">
        <v>214</v>
      </c>
      <c r="K178" s="10" t="str">
        <f>VLOOKUP(C178,'mayo-26'!B:J,9,0)</f>
        <v>NO</v>
      </c>
      <c r="L178" s="1" t="str">
        <f>VLOOKUP(C178,'mayo-26'!B:K,10,0)</f>
        <v>NO</v>
      </c>
      <c r="M178" s="15" t="s">
        <v>52</v>
      </c>
      <c r="N178" s="15" t="s">
        <v>89</v>
      </c>
      <c r="O178" s="15" t="s">
        <v>130</v>
      </c>
      <c r="P178" s="15" t="s">
        <v>126</v>
      </c>
      <c r="Q178" s="15" t="s">
        <v>56</v>
      </c>
      <c r="R178" s="15" t="s">
        <v>90</v>
      </c>
      <c r="S178" s="15" t="s">
        <v>143</v>
      </c>
      <c r="T178" s="15" t="s">
        <v>59</v>
      </c>
      <c r="U178" s="16">
        <v>2026.0</v>
      </c>
      <c r="V178" s="16">
        <v>6.0</v>
      </c>
      <c r="W178" s="16">
        <v>1.081875078E9</v>
      </c>
      <c r="X178" s="16">
        <v>1.08189355E9</v>
      </c>
      <c r="Y178" s="17">
        <v>46182.0</v>
      </c>
      <c r="Z178" s="17">
        <v>46207.0</v>
      </c>
      <c r="AA178" s="16">
        <v>262840.37</v>
      </c>
      <c r="AB178" s="16">
        <v>262840.37</v>
      </c>
      <c r="AC178" s="16">
        <v>87613.46</v>
      </c>
      <c r="AD178" s="16">
        <v>725.0</v>
      </c>
      <c r="AE178" s="16">
        <v>0.0</v>
      </c>
      <c r="AF178" s="16">
        <v>0.0</v>
      </c>
      <c r="AG178" s="16">
        <v>0.0</v>
      </c>
      <c r="AH178" s="16">
        <v>0.0</v>
      </c>
      <c r="AI178" s="16">
        <v>0.0</v>
      </c>
      <c r="AJ178" s="16">
        <v>262840.37</v>
      </c>
      <c r="AK178" s="16">
        <v>262840.37</v>
      </c>
      <c r="AL178" s="16">
        <v>0.0</v>
      </c>
      <c r="AM178" s="16">
        <v>376.2</v>
      </c>
      <c r="AN178" s="16">
        <v>0.0</v>
      </c>
      <c r="AO178" s="18"/>
      <c r="AP178" s="18"/>
      <c r="AQ178" s="18"/>
      <c r="AR178" s="18"/>
      <c r="AS178" s="11" t="str">
        <f>VLOOKUP(C178,'mayo-26'!B:AS,44,0)</f>
        <v>FACTURACION@DIVERSIONESDELORIENTE.COM</v>
      </c>
      <c r="AT178" s="12" t="str">
        <f>VLOOKUP(C178,'mayo-26'!B:AT,45,0)</f>
        <v>CORREO ELECTRONICO CERTIFICADO 472</v>
      </c>
      <c r="AU178" s="16"/>
      <c r="AV178" s="16"/>
      <c r="AW178" s="16"/>
    </row>
    <row r="179" ht="14.25" customHeight="1">
      <c r="A179" s="15" t="s">
        <v>446</v>
      </c>
      <c r="B179" s="16">
        <v>3329.0</v>
      </c>
      <c r="C179" s="16">
        <v>3328.0</v>
      </c>
      <c r="D179" s="16">
        <v>3328.0</v>
      </c>
      <c r="E179" s="16">
        <v>8.0256518E7</v>
      </c>
      <c r="F179" s="16">
        <v>8.0256518E7</v>
      </c>
      <c r="G179" s="16">
        <v>9.00770019E8</v>
      </c>
      <c r="H179" s="15" t="s">
        <v>447</v>
      </c>
      <c r="I179" s="1" t="str">
        <f>VLOOKUP(C179,'mayo-26'!B:H,7,0)</f>
        <v>KDX 25 6-B (CALLE 0B 7A-131) PANAMERICANO</v>
      </c>
      <c r="J179" s="1" t="s">
        <v>230</v>
      </c>
      <c r="K179" s="10" t="str">
        <f>VLOOKUP(C179,'mayo-26'!B:J,9,0)</f>
        <v>NO</v>
      </c>
      <c r="L179" s="1" t="str">
        <f>VLOOKUP(C179,'mayo-26'!B:K,10,0)</f>
        <v>NO</v>
      </c>
      <c r="M179" s="15" t="s">
        <v>52</v>
      </c>
      <c r="N179" s="15" t="s">
        <v>89</v>
      </c>
      <c r="O179" s="15" t="s">
        <v>130</v>
      </c>
      <c r="P179" s="15" t="s">
        <v>126</v>
      </c>
      <c r="Q179" s="15" t="s">
        <v>56</v>
      </c>
      <c r="R179" s="15" t="s">
        <v>90</v>
      </c>
      <c r="S179" s="15" t="s">
        <v>58</v>
      </c>
      <c r="T179" s="15" t="s">
        <v>59</v>
      </c>
      <c r="U179" s="16">
        <v>2026.0</v>
      </c>
      <c r="V179" s="16">
        <v>6.0</v>
      </c>
      <c r="W179" s="16">
        <v>1.081875081E9</v>
      </c>
      <c r="X179" s="16">
        <v>1.081893553E9</v>
      </c>
      <c r="Y179" s="17">
        <v>46182.0</v>
      </c>
      <c r="Z179" s="17">
        <v>46207.0</v>
      </c>
      <c r="AA179" s="16">
        <v>535531.22</v>
      </c>
      <c r="AB179" s="16">
        <v>535531.22</v>
      </c>
      <c r="AC179" s="16">
        <v>178510.41</v>
      </c>
      <c r="AD179" s="16">
        <v>1683.0</v>
      </c>
      <c r="AE179" s="16">
        <v>0.0</v>
      </c>
      <c r="AF179" s="16">
        <v>0.0</v>
      </c>
      <c r="AG179" s="16">
        <v>0.0</v>
      </c>
      <c r="AH179" s="16">
        <v>0.0</v>
      </c>
      <c r="AI179" s="16">
        <v>0.0</v>
      </c>
      <c r="AJ179" s="16">
        <v>535531.22</v>
      </c>
      <c r="AK179" s="16">
        <v>535531.22</v>
      </c>
      <c r="AL179" s="16">
        <v>0.0</v>
      </c>
      <c r="AM179" s="16">
        <v>376.2</v>
      </c>
      <c r="AN179" s="16">
        <v>0.0</v>
      </c>
      <c r="AO179" s="18"/>
      <c r="AP179" s="18"/>
      <c r="AQ179" s="18"/>
      <c r="AR179" s="18"/>
      <c r="AS179" s="11" t="str">
        <f>VLOOKUP(C179,'mayo-26'!B:AS,44,0)</f>
        <v>FACTURACION@BOLSAGREEN.COM</v>
      </c>
      <c r="AT179" s="12" t="str">
        <f>VLOOKUP(C179,'mayo-26'!B:AT,45,0)</f>
        <v>CORREO ELECTRONICO CERTIFICADO 472</v>
      </c>
      <c r="AU179" s="16"/>
      <c r="AV179" s="16"/>
      <c r="AW179" s="16"/>
    </row>
    <row r="180" ht="14.25" customHeight="1">
      <c r="A180" s="15" t="s">
        <v>448</v>
      </c>
      <c r="B180" s="16">
        <v>147.0</v>
      </c>
      <c r="C180" s="16">
        <v>333928.0</v>
      </c>
      <c r="D180" s="16">
        <v>333928.0</v>
      </c>
      <c r="E180" s="16">
        <v>670211.0</v>
      </c>
      <c r="F180" s="16">
        <v>670211.0</v>
      </c>
      <c r="G180" s="15" t="s">
        <v>179</v>
      </c>
      <c r="H180" s="15" t="s">
        <v>180</v>
      </c>
      <c r="I180" s="1" t="str">
        <f>VLOOKUP(C180,'mayo-26'!B:H,7,0)</f>
        <v>AVE 3 CLL 24 GARITA # 1</v>
      </c>
      <c r="J180" s="1" t="s">
        <v>449</v>
      </c>
      <c r="K180" s="10" t="str">
        <f>VLOOKUP(C180,'mayo-26'!B:J,9,0)</f>
        <v>NO</v>
      </c>
      <c r="L180" s="1" t="str">
        <f>VLOOKUP(C180,'mayo-26'!B:K,10,0)</f>
        <v>POLICIA</v>
      </c>
      <c r="M180" s="15" t="s">
        <v>52</v>
      </c>
      <c r="N180" s="15" t="s">
        <v>89</v>
      </c>
      <c r="O180" s="15" t="s">
        <v>130</v>
      </c>
      <c r="P180" s="15" t="s">
        <v>126</v>
      </c>
      <c r="Q180" s="15" t="s">
        <v>56</v>
      </c>
      <c r="R180" s="15" t="s">
        <v>57</v>
      </c>
      <c r="S180" s="15" t="s">
        <v>58</v>
      </c>
      <c r="T180" s="15" t="s">
        <v>59</v>
      </c>
      <c r="U180" s="16">
        <v>2026.0</v>
      </c>
      <c r="V180" s="16">
        <v>6.0</v>
      </c>
      <c r="W180" s="16">
        <v>1.081875178E9</v>
      </c>
      <c r="X180" s="16">
        <v>1.08189365E9</v>
      </c>
      <c r="Y180" s="17">
        <v>46182.0</v>
      </c>
      <c r="Z180" s="17">
        <v>46207.0</v>
      </c>
      <c r="AA180" s="16">
        <v>559499.0</v>
      </c>
      <c r="AB180" s="16">
        <v>559499.0</v>
      </c>
      <c r="AC180" s="16">
        <v>0.0</v>
      </c>
      <c r="AD180" s="16">
        <v>2750.0</v>
      </c>
      <c r="AE180" s="16">
        <v>0.0</v>
      </c>
      <c r="AF180" s="16">
        <v>0.0</v>
      </c>
      <c r="AG180" s="16">
        <v>0.0</v>
      </c>
      <c r="AH180" s="16">
        <v>0.0</v>
      </c>
      <c r="AI180" s="16">
        <v>0.0</v>
      </c>
      <c r="AJ180" s="16">
        <v>559499.0</v>
      </c>
      <c r="AK180" s="16">
        <v>1224037.75</v>
      </c>
      <c r="AL180" s="16">
        <v>2.0</v>
      </c>
      <c r="AM180" s="16">
        <v>250.8</v>
      </c>
      <c r="AN180" s="16">
        <v>0.0</v>
      </c>
      <c r="AO180" s="18"/>
      <c r="AP180" s="18"/>
      <c r="AQ180" s="18"/>
      <c r="AR180" s="18"/>
      <c r="AS180" s="11" t="str">
        <f>VLOOKUP(C180,'mayo-26'!B:AS,44,0)</f>
        <v>MECUC.GUBIR@POLICIA.GOV.CO</v>
      </c>
      <c r="AT180" s="12" t="str">
        <f>VLOOKUP(C180,'mayo-26'!B:AT,45,0)</f>
        <v>CORREO ELECTRONICO CERTIFICADO 472</v>
      </c>
      <c r="AU180" s="16"/>
      <c r="AV180" s="16"/>
      <c r="AW180" s="16"/>
    </row>
    <row r="181" ht="14.25" customHeight="1">
      <c r="A181" s="15" t="s">
        <v>450</v>
      </c>
      <c r="B181" s="16">
        <v>334101.0</v>
      </c>
      <c r="C181" s="16">
        <v>334100.0</v>
      </c>
      <c r="D181" s="16">
        <v>334100.0</v>
      </c>
      <c r="E181" s="16">
        <v>674332.0</v>
      </c>
      <c r="F181" s="16">
        <v>674332.0</v>
      </c>
      <c r="G181" s="15" t="s">
        <v>451</v>
      </c>
      <c r="H181" s="15" t="s">
        <v>452</v>
      </c>
      <c r="I181" s="1" t="str">
        <f>VLOOKUP(C181,'mayo-26'!B:H,7,0)</f>
        <v>AVE 4 8AN - 79</v>
      </c>
      <c r="J181" s="1" t="s">
        <v>172</v>
      </c>
      <c r="K181" s="10" t="str">
        <f>VLOOKUP(C181,'mayo-26'!B:J,9,0)</f>
        <v>NO</v>
      </c>
      <c r="L181" s="1" t="str">
        <f>VLOOKUP(C181,'mayo-26'!B:K,10,0)</f>
        <v>CARIBE</v>
      </c>
      <c r="M181" s="15" t="s">
        <v>52</v>
      </c>
      <c r="N181" s="15" t="s">
        <v>89</v>
      </c>
      <c r="O181" s="15" t="s">
        <v>130</v>
      </c>
      <c r="P181" s="15" t="s">
        <v>126</v>
      </c>
      <c r="Q181" s="15" t="s">
        <v>56</v>
      </c>
      <c r="R181" s="15" t="s">
        <v>90</v>
      </c>
      <c r="S181" s="15" t="s">
        <v>143</v>
      </c>
      <c r="T181" s="15" t="s">
        <v>59</v>
      </c>
      <c r="U181" s="16">
        <v>2026.0</v>
      </c>
      <c r="V181" s="16">
        <v>6.0</v>
      </c>
      <c r="W181" s="16">
        <v>1.081875182E9</v>
      </c>
      <c r="X181" s="16">
        <v>1.081893654E9</v>
      </c>
      <c r="Y181" s="17">
        <v>46182.0</v>
      </c>
      <c r="Z181" s="17">
        <v>46207.0</v>
      </c>
      <c r="AA181" s="16">
        <v>148981.97</v>
      </c>
      <c r="AB181" s="16">
        <v>148981.97</v>
      </c>
      <c r="AC181" s="16">
        <v>49660.66</v>
      </c>
      <c r="AD181" s="16">
        <v>325.0</v>
      </c>
      <c r="AE181" s="16">
        <v>0.0</v>
      </c>
      <c r="AF181" s="16">
        <v>0.0</v>
      </c>
      <c r="AG181" s="16">
        <v>0.0</v>
      </c>
      <c r="AH181" s="16">
        <v>0.0</v>
      </c>
      <c r="AI181" s="16">
        <v>0.0</v>
      </c>
      <c r="AJ181" s="16">
        <v>148981.97</v>
      </c>
      <c r="AK181" s="16">
        <v>148981.97</v>
      </c>
      <c r="AL181" s="16">
        <v>0.0</v>
      </c>
      <c r="AM181" s="16">
        <v>376.2</v>
      </c>
      <c r="AN181" s="16">
        <v>0.0</v>
      </c>
      <c r="AO181" s="18"/>
      <c r="AP181" s="18"/>
      <c r="AQ181" s="18"/>
      <c r="AR181" s="18"/>
      <c r="AS181" s="11" t="str">
        <f>VLOOKUP(C181,'mayo-26'!B:AS,44,0)</f>
        <v>PRINTPACKCARIBE@HOTMAIL.COM</v>
      </c>
      <c r="AT181" s="12" t="str">
        <f>VLOOKUP(C181,'mayo-26'!B:AT,45,0)</f>
        <v>CORREO ELECTRONICO CERTIFICADO 472</v>
      </c>
      <c r="AU181" s="16"/>
      <c r="AV181" s="16"/>
      <c r="AW181" s="16"/>
    </row>
    <row r="182" ht="14.25" customHeight="1">
      <c r="A182" s="15" t="s">
        <v>453</v>
      </c>
      <c r="B182" s="16">
        <v>365543.0</v>
      </c>
      <c r="C182" s="16">
        <v>360848.0</v>
      </c>
      <c r="D182" s="16">
        <v>362426.0</v>
      </c>
      <c r="E182" s="16">
        <v>1035546.0</v>
      </c>
      <c r="F182" s="16">
        <v>1035546.0</v>
      </c>
      <c r="G182" s="16">
        <v>1.090525771E9</v>
      </c>
      <c r="H182" s="15" t="s">
        <v>454</v>
      </c>
      <c r="I182" s="1" t="str">
        <f>VLOOKUP(C182,'mayo-26'!B:H,7,0)</f>
        <v>MNZ D LTE 21 A LOC 6 274</v>
      </c>
      <c r="J182" s="1" t="s">
        <v>455</v>
      </c>
      <c r="K182" s="10" t="str">
        <f>VLOOKUP(C182,'mayo-26'!B:J,9,0)</f>
        <v>NO</v>
      </c>
      <c r="L182" s="1" t="str">
        <f>VLOOKUP(C182,'mayo-26'!B:K,10,0)</f>
        <v>NO</v>
      </c>
      <c r="M182" s="15" t="s">
        <v>52</v>
      </c>
      <c r="N182" s="15" t="s">
        <v>89</v>
      </c>
      <c r="O182" s="15" t="s">
        <v>130</v>
      </c>
      <c r="P182" s="15" t="s">
        <v>456</v>
      </c>
      <c r="Q182" s="15" t="s">
        <v>218</v>
      </c>
      <c r="R182" s="15" t="s">
        <v>457</v>
      </c>
      <c r="S182" s="15" t="s">
        <v>133</v>
      </c>
      <c r="T182" s="15" t="s">
        <v>59</v>
      </c>
      <c r="U182" s="16">
        <v>2026.0</v>
      </c>
      <c r="V182" s="16">
        <v>6.0</v>
      </c>
      <c r="W182" s="16">
        <v>1.081875185E9</v>
      </c>
      <c r="X182" s="16">
        <v>1.081893657E9</v>
      </c>
      <c r="Y182" s="17">
        <v>46182.0</v>
      </c>
      <c r="Z182" s="17">
        <v>46207.0</v>
      </c>
      <c r="AA182" s="16">
        <v>29685.04</v>
      </c>
      <c r="AB182" s="16">
        <v>29685.04</v>
      </c>
      <c r="AC182" s="16">
        <v>-8866.96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6">
        <v>0.0</v>
      </c>
      <c r="AJ182" s="16">
        <v>29607.86</v>
      </c>
      <c r="AK182" s="16">
        <v>29607.86</v>
      </c>
      <c r="AL182" s="16">
        <v>0.0</v>
      </c>
      <c r="AM182" s="16">
        <v>193.12</v>
      </c>
      <c r="AN182" s="16">
        <v>0.0</v>
      </c>
      <c r="AO182" s="18"/>
      <c r="AP182" s="18"/>
      <c r="AQ182" s="16">
        <v>77.18</v>
      </c>
      <c r="AR182" s="18"/>
      <c r="AS182" s="11" t="str">
        <f>VLOOKUP(C182,'mayo-26'!B:AS,44,0)</f>
        <v>SUPERMERCADOELBOON@GMAIL.COM; LEIDYCONTRERAS1994@GMAIL.COM</v>
      </c>
      <c r="AT182" s="12" t="str">
        <f>VLOOKUP(C182,'mayo-26'!B:AT,45,0)</f>
        <v>CORREO ELECTRONICO CERTIFICADO 472</v>
      </c>
      <c r="AU182" s="16"/>
      <c r="AV182" s="16"/>
      <c r="AW182" s="16"/>
    </row>
    <row r="183" ht="14.25" customHeight="1">
      <c r="A183" s="15" t="s">
        <v>458</v>
      </c>
      <c r="B183" s="16">
        <v>285191.0</v>
      </c>
      <c r="C183" s="16">
        <v>365836.0</v>
      </c>
      <c r="D183" s="16">
        <v>371462.0</v>
      </c>
      <c r="E183" s="16">
        <v>1043375.0</v>
      </c>
      <c r="F183" s="16">
        <v>1043375.0</v>
      </c>
      <c r="G183" s="16">
        <v>9.00276962E8</v>
      </c>
      <c r="H183" s="15" t="s">
        <v>128</v>
      </c>
      <c r="I183" s="1" t="str">
        <f>VLOOKUP(C183,'mayo-26'!B:H,7,0)</f>
        <v>KDX 73-2 1116</v>
      </c>
      <c r="J183" s="1" t="s">
        <v>401</v>
      </c>
      <c r="K183" s="10" t="str">
        <f>VLOOKUP(C183,'mayo-26'!B:J,9,0)</f>
        <v>NO</v>
      </c>
      <c r="L183" s="1" t="str">
        <f>VLOOKUP(C183,'mayo-26'!B:K,10,0)</f>
        <v>D1</v>
      </c>
      <c r="M183" s="15" t="s">
        <v>52</v>
      </c>
      <c r="N183" s="15" t="s">
        <v>89</v>
      </c>
      <c r="O183" s="15" t="s">
        <v>130</v>
      </c>
      <c r="P183" s="15" t="s">
        <v>126</v>
      </c>
      <c r="Q183" s="15" t="s">
        <v>131</v>
      </c>
      <c r="R183" s="15" t="s">
        <v>132</v>
      </c>
      <c r="S183" s="15" t="s">
        <v>133</v>
      </c>
      <c r="T183" s="15" t="s">
        <v>59</v>
      </c>
      <c r="U183" s="16">
        <v>2026.0</v>
      </c>
      <c r="V183" s="16">
        <v>6.0</v>
      </c>
      <c r="W183" s="16">
        <v>1.081875191E9</v>
      </c>
      <c r="X183" s="16">
        <v>1.081893663E9</v>
      </c>
      <c r="Y183" s="17">
        <v>46182.0</v>
      </c>
      <c r="Z183" s="17">
        <v>46207.0</v>
      </c>
      <c r="AA183" s="16">
        <v>113128.5</v>
      </c>
      <c r="AB183" s="16">
        <v>113128.5</v>
      </c>
      <c r="AC183" s="16">
        <v>37709.5</v>
      </c>
      <c r="AD183" s="16">
        <v>0.0</v>
      </c>
      <c r="AE183" s="16">
        <v>0.0</v>
      </c>
      <c r="AF183" s="16">
        <v>0.0</v>
      </c>
      <c r="AG183" s="16">
        <v>0.0</v>
      </c>
      <c r="AH183" s="16">
        <v>0.0</v>
      </c>
      <c r="AI183" s="16">
        <v>0.0</v>
      </c>
      <c r="AJ183" s="16">
        <v>113128.5</v>
      </c>
      <c r="AK183" s="16">
        <v>113128.5</v>
      </c>
      <c r="AL183" s="16">
        <v>0.0</v>
      </c>
      <c r="AM183" s="16">
        <v>376.2</v>
      </c>
      <c r="AN183" s="16">
        <v>0.0</v>
      </c>
      <c r="AO183" s="18"/>
      <c r="AP183" s="18"/>
      <c r="AQ183" s="18"/>
      <c r="AR183" s="18"/>
      <c r="AS183" s="11" t="str">
        <f>VLOOKUP(C183,'mayo-26'!B:AS,44,0)</f>
        <v>ALBA.CELIS@D1.COM.CO;CARMEN.DAVILA@D1.COM.CO</v>
      </c>
      <c r="AT183" s="12" t="str">
        <f>VLOOKUP(C183,'mayo-26'!B:AT,45,0)</f>
        <v>CORREO ELECTRONICO CERTIFICADO 472</v>
      </c>
      <c r="AU183" s="16"/>
      <c r="AV183" s="16"/>
      <c r="AW183" s="16"/>
    </row>
    <row r="184" ht="14.25" customHeight="1">
      <c r="A184" s="15" t="s">
        <v>459</v>
      </c>
      <c r="B184" s="16">
        <v>382325.0</v>
      </c>
      <c r="C184" s="16">
        <v>367988.0</v>
      </c>
      <c r="D184" s="16">
        <v>375272.0</v>
      </c>
      <c r="E184" s="16">
        <v>1036713.0</v>
      </c>
      <c r="F184" s="16">
        <v>1036713.0</v>
      </c>
      <c r="G184" s="16">
        <v>9.00495013E8</v>
      </c>
      <c r="H184" s="15" t="s">
        <v>460</v>
      </c>
      <c r="I184" s="1" t="str">
        <f>VLOOKUP(C184,'mayo-26'!B:H,7,0)</f>
        <v>AVE 9 0A-72 1219</v>
      </c>
      <c r="J184" s="1" t="s">
        <v>172</v>
      </c>
      <c r="K184" s="10" t="str">
        <f>VLOOKUP(C184,'mayo-26'!B:J,9,0)</f>
        <v>NO</v>
      </c>
      <c r="L184" s="1" t="str">
        <f>VLOOKUP(C184,'mayo-26'!B:K,10,0)</f>
        <v>NO</v>
      </c>
      <c r="M184" s="15" t="s">
        <v>52</v>
      </c>
      <c r="N184" s="15" t="s">
        <v>89</v>
      </c>
      <c r="O184" s="15" t="s">
        <v>130</v>
      </c>
      <c r="P184" s="15" t="s">
        <v>126</v>
      </c>
      <c r="Q184" s="15" t="s">
        <v>131</v>
      </c>
      <c r="R184" s="15" t="s">
        <v>132</v>
      </c>
      <c r="S184" s="15" t="s">
        <v>133</v>
      </c>
      <c r="T184" s="15" t="s">
        <v>59</v>
      </c>
      <c r="U184" s="16">
        <v>2026.0</v>
      </c>
      <c r="V184" s="16">
        <v>6.0</v>
      </c>
      <c r="W184" s="16">
        <v>1.081875193E9</v>
      </c>
      <c r="X184" s="16">
        <v>1.081893665E9</v>
      </c>
      <c r="Y184" s="17">
        <v>46182.0</v>
      </c>
      <c r="Z184" s="17">
        <v>46207.0</v>
      </c>
      <c r="AA184" s="16">
        <v>130304.46</v>
      </c>
      <c r="AB184" s="16">
        <v>130304.46</v>
      </c>
      <c r="AC184" s="16">
        <v>37709.5</v>
      </c>
      <c r="AD184" s="16">
        <v>0.0</v>
      </c>
      <c r="AE184" s="16">
        <v>17175.96</v>
      </c>
      <c r="AF184" s="16">
        <v>0.0</v>
      </c>
      <c r="AG184" s="16">
        <v>0.0</v>
      </c>
      <c r="AH184" s="16">
        <v>0.0</v>
      </c>
      <c r="AI184" s="16">
        <v>0.0</v>
      </c>
      <c r="AJ184" s="16">
        <v>130304.46</v>
      </c>
      <c r="AK184" s="16">
        <v>1208565.68</v>
      </c>
      <c r="AL184" s="16">
        <v>8.0</v>
      </c>
      <c r="AM184" s="16">
        <v>376.2</v>
      </c>
      <c r="AN184" s="16">
        <v>0.0</v>
      </c>
      <c r="AO184" s="18"/>
      <c r="AP184" s="18"/>
      <c r="AQ184" s="18"/>
      <c r="AR184" s="18"/>
      <c r="AS184" s="11" t="str">
        <f>VLOOKUP(C184,'mayo-26'!B:AS,44,0)</f>
        <v>NEBACCA@HOTMAIL.COM;TALENTOHUMANONEBACCA@GMAIL.COM</v>
      </c>
      <c r="AT184" s="12" t="str">
        <f>VLOOKUP(C184,'mayo-26'!B:AT,45,0)</f>
        <v>CORREO ELECTRONICO CERTIFICADO 472</v>
      </c>
      <c r="AU184" s="16"/>
      <c r="AV184" s="16"/>
      <c r="AW184" s="16"/>
    </row>
    <row r="185" ht="14.25" customHeight="1">
      <c r="A185" s="15" t="s">
        <v>461</v>
      </c>
      <c r="B185" s="16">
        <v>3209.0</v>
      </c>
      <c r="C185" s="16">
        <v>424660.0</v>
      </c>
      <c r="D185" s="16">
        <v>440301.0</v>
      </c>
      <c r="E185" s="16">
        <v>1033314.0</v>
      </c>
      <c r="F185" s="16">
        <v>1033314.0</v>
      </c>
      <c r="G185" s="16">
        <v>9.01375954E8</v>
      </c>
      <c r="H185" s="15" t="s">
        <v>395</v>
      </c>
      <c r="I185" s="1" t="str">
        <f>VLOOKUP(C185,'mayo-26'!B:H,7,0)</f>
        <v>AV 7 1 136 BRR LA INSULA</v>
      </c>
      <c r="J185" s="1" t="s">
        <v>208</v>
      </c>
      <c r="K185" s="10" t="str">
        <f>VLOOKUP(C185,'mayo-26'!B:J,9,0)</f>
        <v>ZONA NORTE</v>
      </c>
      <c r="L185" s="1" t="str">
        <f>VLOOKUP(C185,'mayo-26'!B:K,10,0)</f>
        <v>NO</v>
      </c>
      <c r="M185" s="15" t="s">
        <v>52</v>
      </c>
      <c r="N185" s="15" t="s">
        <v>89</v>
      </c>
      <c r="O185" s="15" t="s">
        <v>130</v>
      </c>
      <c r="P185" s="15" t="s">
        <v>126</v>
      </c>
      <c r="Q185" s="15" t="s">
        <v>131</v>
      </c>
      <c r="R185" s="15" t="s">
        <v>132</v>
      </c>
      <c r="S185" s="15" t="s">
        <v>133</v>
      </c>
      <c r="T185" s="15" t="s">
        <v>59</v>
      </c>
      <c r="U185" s="16">
        <v>2026.0</v>
      </c>
      <c r="V185" s="16">
        <v>6.0</v>
      </c>
      <c r="W185" s="16">
        <v>1.081875198E9</v>
      </c>
      <c r="X185" s="16">
        <v>1.08189367E9</v>
      </c>
      <c r="Y185" s="17">
        <v>46182.0</v>
      </c>
      <c r="Z185" s="17">
        <v>46207.0</v>
      </c>
      <c r="AA185" s="16">
        <v>113128.5</v>
      </c>
      <c r="AB185" s="16">
        <v>113128.5</v>
      </c>
      <c r="AC185" s="16">
        <v>37709.5</v>
      </c>
      <c r="AD185" s="16">
        <v>0.0</v>
      </c>
      <c r="AE185" s="16">
        <v>0.0</v>
      </c>
      <c r="AF185" s="16">
        <v>0.0</v>
      </c>
      <c r="AG185" s="16">
        <v>0.0</v>
      </c>
      <c r="AH185" s="16">
        <v>0.0</v>
      </c>
      <c r="AI185" s="16">
        <v>0.0</v>
      </c>
      <c r="AJ185" s="16">
        <v>113128.5</v>
      </c>
      <c r="AK185" s="16">
        <v>113128.5</v>
      </c>
      <c r="AL185" s="16">
        <v>0.0</v>
      </c>
      <c r="AM185" s="16">
        <v>376.2</v>
      </c>
      <c r="AN185" s="16">
        <v>0.0</v>
      </c>
      <c r="AO185" s="18"/>
      <c r="AP185" s="18"/>
      <c r="AQ185" s="18"/>
      <c r="AR185" s="18"/>
      <c r="AS185" s="11" t="str">
        <f>VLOOKUP(C185,'mayo-26'!B:AS,44,0)</f>
        <v>FACTURACION.ANDECOL@GMAIL.COM</v>
      </c>
      <c r="AT185" s="12" t="str">
        <f>VLOOKUP(C185,'mayo-26'!B:AT,45,0)</f>
        <v>VERIFICADOR</v>
      </c>
      <c r="AU185" s="16"/>
      <c r="AV185" s="16"/>
      <c r="AW185" s="16"/>
    </row>
    <row r="186" ht="14.25" customHeight="1">
      <c r="A186" s="15" t="s">
        <v>462</v>
      </c>
      <c r="B186" s="16">
        <v>699.0</v>
      </c>
      <c r="C186" s="16">
        <v>436688.0</v>
      </c>
      <c r="D186" s="16">
        <v>459905.0</v>
      </c>
      <c r="E186" s="16">
        <v>1092716.0</v>
      </c>
      <c r="F186" s="16">
        <v>1092716.0</v>
      </c>
      <c r="G186" s="16">
        <v>9.00480569E8</v>
      </c>
      <c r="H186" s="15" t="s">
        <v>141</v>
      </c>
      <c r="I186" s="1" t="str">
        <f>VLOOKUP(C186,'mayo-26'!B:H,7,0)</f>
        <v>CLL 12 4-52 CENTRO</v>
      </c>
      <c r="J186" s="1" t="s">
        <v>165</v>
      </c>
      <c r="K186" s="10" t="str">
        <f>VLOOKUP(C186,'mayo-26'!B:J,9,0)</f>
        <v>NO</v>
      </c>
      <c r="L186" s="1" t="str">
        <f>VLOOKUP(C186,'mayo-26'!B:K,10,0)</f>
        <v>ARA CUCUTA</v>
      </c>
      <c r="M186" s="15" t="s">
        <v>52</v>
      </c>
      <c r="N186" s="15" t="s">
        <v>138</v>
      </c>
      <c r="O186" s="15" t="s">
        <v>130</v>
      </c>
      <c r="P186" s="15" t="s">
        <v>126</v>
      </c>
      <c r="Q186" s="15" t="s">
        <v>131</v>
      </c>
      <c r="R186" s="15" t="s">
        <v>363</v>
      </c>
      <c r="S186" s="15" t="s">
        <v>133</v>
      </c>
      <c r="T186" s="15" t="s">
        <v>59</v>
      </c>
      <c r="U186" s="16">
        <v>2026.0</v>
      </c>
      <c r="V186" s="16">
        <v>6.0</v>
      </c>
      <c r="W186" s="16">
        <v>1.081875201E9</v>
      </c>
      <c r="X186" s="16">
        <v>1.081893673E9</v>
      </c>
      <c r="Y186" s="17">
        <v>46182.0</v>
      </c>
      <c r="Z186" s="17">
        <v>46207.0</v>
      </c>
      <c r="AA186" s="16">
        <v>76213.81</v>
      </c>
      <c r="AB186" s="16">
        <v>76213.81</v>
      </c>
      <c r="AC186" s="16">
        <v>25122.0</v>
      </c>
      <c r="AD186" s="16">
        <v>0.0</v>
      </c>
      <c r="AE186" s="16">
        <v>847.81</v>
      </c>
      <c r="AF186" s="16">
        <v>0.0</v>
      </c>
      <c r="AG186" s="16">
        <v>0.0</v>
      </c>
      <c r="AH186" s="16">
        <v>0.0</v>
      </c>
      <c r="AI186" s="16">
        <v>0.0</v>
      </c>
      <c r="AJ186" s="16">
        <v>76213.81</v>
      </c>
      <c r="AK186" s="16">
        <v>227917.81</v>
      </c>
      <c r="AL186" s="16">
        <v>2.0</v>
      </c>
      <c r="AM186" s="16">
        <v>376.2</v>
      </c>
      <c r="AN186" s="16">
        <v>0.0</v>
      </c>
      <c r="AO186" s="18"/>
      <c r="AP186" s="18"/>
      <c r="AQ186" s="18"/>
      <c r="AR186" s="18"/>
      <c r="AS186" s="11" t="str">
        <f>VLOOKUP(C186,'mayo-26'!B:AS,44,0)</f>
        <v>COORDINADOR.OPERACIONES.R11@JERONIMO-MARTINS.COM</v>
      </c>
      <c r="AT186" s="12" t="str">
        <f>VLOOKUP(C186,'mayo-26'!B:AT,45,0)</f>
        <v>CORREO ELECTRONICO CERTIFICADO 472</v>
      </c>
      <c r="AU186" s="16"/>
      <c r="AV186" s="16"/>
      <c r="AW186" s="16"/>
    </row>
    <row r="187" ht="14.25" customHeight="1">
      <c r="A187" s="15" t="s">
        <v>463</v>
      </c>
      <c r="B187" s="16">
        <v>595127.0</v>
      </c>
      <c r="C187" s="16">
        <v>498508.0</v>
      </c>
      <c r="D187" s="16">
        <v>551613.0</v>
      </c>
      <c r="E187" s="18"/>
      <c r="F187" s="18"/>
      <c r="G187" s="16">
        <v>1254985.0</v>
      </c>
      <c r="H187" s="15" t="s">
        <v>286</v>
      </c>
      <c r="I187" s="1" t="str">
        <f>VLOOKUP(C187,'mayo-26'!B:H,7,0)</f>
        <v>CLL 14AN 4A-81 TORRE 1 APTO 101</v>
      </c>
      <c r="J187" s="1" t="s">
        <v>217</v>
      </c>
      <c r="K187" s="10" t="str">
        <f>VLOOKUP(C187,'mayo-26'!B:J,9,0)</f>
        <v>CR PORTACHUELO</v>
      </c>
      <c r="L187" s="1" t="str">
        <f>VLOOKUP(C187,'mayo-26'!B:K,10,0)</f>
        <v>CR PORTACHUELO</v>
      </c>
      <c r="M187" s="15" t="s">
        <v>52</v>
      </c>
      <c r="N187" s="15" t="s">
        <v>89</v>
      </c>
      <c r="O187" s="15" t="s">
        <v>130</v>
      </c>
      <c r="P187" s="15" t="s">
        <v>126</v>
      </c>
      <c r="Q187" s="15" t="s">
        <v>218</v>
      </c>
      <c r="R187" s="15" t="s">
        <v>219</v>
      </c>
      <c r="S187" s="15" t="s">
        <v>133</v>
      </c>
      <c r="T187" s="15" t="s">
        <v>59</v>
      </c>
      <c r="U187" s="16">
        <v>2026.0</v>
      </c>
      <c r="V187" s="16">
        <v>6.0</v>
      </c>
      <c r="W187" s="16">
        <v>1.081875204E9</v>
      </c>
      <c r="X187" s="16">
        <v>1.081893676E9</v>
      </c>
      <c r="Y187" s="17">
        <v>46182.0</v>
      </c>
      <c r="Z187" s="17">
        <v>46207.0</v>
      </c>
      <c r="AA187" s="16">
        <v>49934.3</v>
      </c>
      <c r="AB187" s="16">
        <v>49934.3</v>
      </c>
      <c r="AC187" s="16">
        <v>-1650.7</v>
      </c>
      <c r="AD187" s="16">
        <v>0.0</v>
      </c>
      <c r="AE187" s="16">
        <v>0.0</v>
      </c>
      <c r="AF187" s="16">
        <v>0.0</v>
      </c>
      <c r="AG187" s="16">
        <v>0.0</v>
      </c>
      <c r="AH187" s="16">
        <v>0.0</v>
      </c>
      <c r="AI187" s="16">
        <v>0.0</v>
      </c>
      <c r="AJ187" s="16">
        <v>49934.3</v>
      </c>
      <c r="AK187" s="16">
        <v>49935.06</v>
      </c>
      <c r="AL187" s="16">
        <v>1.0</v>
      </c>
      <c r="AM187" s="16">
        <v>242.77</v>
      </c>
      <c r="AN187" s="16">
        <v>0.0</v>
      </c>
      <c r="AO187" s="18"/>
      <c r="AP187" s="18"/>
      <c r="AQ187" s="18"/>
      <c r="AR187" s="18"/>
      <c r="AS187" s="11" t="str">
        <f>VLOOKUP(C187,'mayo-26'!B:AS,44,0)</f>
        <v/>
      </c>
      <c r="AT187" s="12" t="str">
        <f>VLOOKUP(C187,'mayo-26'!B:AT,45,0)</f>
        <v>VERIFICADOR</v>
      </c>
      <c r="AU187" s="16"/>
      <c r="AV187" s="16"/>
      <c r="AW187" s="16"/>
    </row>
    <row r="188" ht="14.25" customHeight="1">
      <c r="A188" s="15" t="s">
        <v>464</v>
      </c>
      <c r="B188" s="16">
        <v>595131.0</v>
      </c>
      <c r="C188" s="16">
        <v>498512.0</v>
      </c>
      <c r="D188" s="16">
        <v>551617.0</v>
      </c>
      <c r="E188" s="18"/>
      <c r="F188" s="18"/>
      <c r="G188" s="16">
        <v>1254989.0</v>
      </c>
      <c r="H188" s="15" t="s">
        <v>286</v>
      </c>
      <c r="I188" s="1" t="str">
        <f>VLOOKUP(C188,'mayo-26'!B:H,7,0)</f>
        <v>CLL 14AN 4A-81 TORRE 1 APTO 201</v>
      </c>
      <c r="J188" s="1" t="s">
        <v>217</v>
      </c>
      <c r="K188" s="10" t="str">
        <f>VLOOKUP(C188,'mayo-26'!B:J,9,0)</f>
        <v>CR PORTACHUELO</v>
      </c>
      <c r="L188" s="1" t="str">
        <f>VLOOKUP(C188,'mayo-26'!B:K,10,0)</f>
        <v>CR PORTACHUELO</v>
      </c>
      <c r="M188" s="15" t="s">
        <v>52</v>
      </c>
      <c r="N188" s="15" t="s">
        <v>89</v>
      </c>
      <c r="O188" s="15" t="s">
        <v>130</v>
      </c>
      <c r="P188" s="15" t="s">
        <v>126</v>
      </c>
      <c r="Q188" s="15" t="s">
        <v>218</v>
      </c>
      <c r="R188" s="15" t="s">
        <v>219</v>
      </c>
      <c r="S188" s="15" t="s">
        <v>133</v>
      </c>
      <c r="T188" s="15" t="s">
        <v>59</v>
      </c>
      <c r="U188" s="16">
        <v>2026.0</v>
      </c>
      <c r="V188" s="16">
        <v>6.0</v>
      </c>
      <c r="W188" s="16">
        <v>1.081875209E9</v>
      </c>
      <c r="X188" s="16">
        <v>1.081893681E9</v>
      </c>
      <c r="Y188" s="17">
        <v>46182.0</v>
      </c>
      <c r="Z188" s="17">
        <v>46207.0</v>
      </c>
      <c r="AA188" s="16">
        <v>49934.3</v>
      </c>
      <c r="AB188" s="16">
        <v>49934.3</v>
      </c>
      <c r="AC188" s="16">
        <v>-1650.7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6">
        <v>0.0</v>
      </c>
      <c r="AJ188" s="16">
        <v>49934.3</v>
      </c>
      <c r="AK188" s="16">
        <v>49935.06</v>
      </c>
      <c r="AL188" s="16">
        <v>1.0</v>
      </c>
      <c r="AM188" s="16">
        <v>242.77</v>
      </c>
      <c r="AN188" s="16">
        <v>0.0</v>
      </c>
      <c r="AO188" s="18"/>
      <c r="AP188" s="18"/>
      <c r="AQ188" s="18"/>
      <c r="AR188" s="18"/>
      <c r="AS188" s="11" t="str">
        <f>VLOOKUP(C188,'mayo-26'!B:AS,44,0)</f>
        <v/>
      </c>
      <c r="AT188" s="12" t="str">
        <f>VLOOKUP(C188,'mayo-26'!B:AT,45,0)</f>
        <v>VERIFICADOR</v>
      </c>
      <c r="AU188" s="16"/>
      <c r="AV188" s="16"/>
      <c r="AW188" s="16"/>
    </row>
    <row r="189" ht="14.25" customHeight="1">
      <c r="A189" s="15" t="s">
        <v>465</v>
      </c>
      <c r="B189" s="16">
        <v>595135.0</v>
      </c>
      <c r="C189" s="16">
        <v>498516.0</v>
      </c>
      <c r="D189" s="16">
        <v>551621.0</v>
      </c>
      <c r="E189" s="18"/>
      <c r="F189" s="18"/>
      <c r="G189" s="16">
        <v>1254993.0</v>
      </c>
      <c r="H189" s="15" t="s">
        <v>466</v>
      </c>
      <c r="I189" s="1" t="str">
        <f>VLOOKUP(C189,'mayo-26'!B:H,7,0)</f>
        <v>CLL 14AN 4A-81 TORRE 1 APTO 301</v>
      </c>
      <c r="J189" s="1" t="s">
        <v>217</v>
      </c>
      <c r="K189" s="10" t="str">
        <f>VLOOKUP(C189,'mayo-26'!B:J,9,0)</f>
        <v>CR PORTACHUELO</v>
      </c>
      <c r="L189" s="1" t="str">
        <f>VLOOKUP(C189,'mayo-26'!B:K,10,0)</f>
        <v>CR PORTACHUELO</v>
      </c>
      <c r="M189" s="15" t="s">
        <v>52</v>
      </c>
      <c r="N189" s="15" t="s">
        <v>89</v>
      </c>
      <c r="O189" s="15" t="s">
        <v>130</v>
      </c>
      <c r="P189" s="15" t="s">
        <v>126</v>
      </c>
      <c r="Q189" s="15" t="s">
        <v>218</v>
      </c>
      <c r="R189" s="15" t="s">
        <v>219</v>
      </c>
      <c r="S189" s="15" t="s">
        <v>133</v>
      </c>
      <c r="T189" s="15" t="s">
        <v>59</v>
      </c>
      <c r="U189" s="16">
        <v>2026.0</v>
      </c>
      <c r="V189" s="16">
        <v>6.0</v>
      </c>
      <c r="W189" s="16">
        <v>1.081875213E9</v>
      </c>
      <c r="X189" s="16">
        <v>1.081893685E9</v>
      </c>
      <c r="Y189" s="17">
        <v>46182.0</v>
      </c>
      <c r="Z189" s="17">
        <v>46207.0</v>
      </c>
      <c r="AA189" s="16">
        <v>50750.72</v>
      </c>
      <c r="AB189" s="16">
        <v>50750.72</v>
      </c>
      <c r="AC189" s="16">
        <v>-1650.7</v>
      </c>
      <c r="AD189" s="16">
        <v>0.0</v>
      </c>
      <c r="AE189" s="16">
        <v>816.42</v>
      </c>
      <c r="AF189" s="16">
        <v>0.0</v>
      </c>
      <c r="AG189" s="16">
        <v>0.0</v>
      </c>
      <c r="AH189" s="16">
        <v>0.0</v>
      </c>
      <c r="AI189" s="16">
        <v>0.0</v>
      </c>
      <c r="AJ189" s="16">
        <v>50750.72</v>
      </c>
      <c r="AK189" s="16">
        <v>101185.48</v>
      </c>
      <c r="AL189" s="16">
        <v>1.0</v>
      </c>
      <c r="AM189" s="16">
        <v>242.77</v>
      </c>
      <c r="AN189" s="16">
        <v>0.0</v>
      </c>
      <c r="AO189" s="18"/>
      <c r="AP189" s="18"/>
      <c r="AQ189" s="18"/>
      <c r="AR189" s="18"/>
      <c r="AS189" s="11" t="str">
        <f>VLOOKUP(C189,'mayo-26'!B:AS,44,0)</f>
        <v/>
      </c>
      <c r="AT189" s="12" t="str">
        <f>VLOOKUP(C189,'mayo-26'!B:AT,45,0)</f>
        <v>VERIFICADOR</v>
      </c>
      <c r="AU189" s="16"/>
      <c r="AV189" s="16"/>
      <c r="AW189" s="16"/>
    </row>
    <row r="190" ht="14.25" customHeight="1">
      <c r="A190" s="15" t="s">
        <v>467</v>
      </c>
      <c r="B190" s="16">
        <v>595139.0</v>
      </c>
      <c r="C190" s="16">
        <v>498520.0</v>
      </c>
      <c r="D190" s="16">
        <v>551625.0</v>
      </c>
      <c r="E190" s="18"/>
      <c r="F190" s="18"/>
      <c r="G190" s="16">
        <v>1254997.0</v>
      </c>
      <c r="H190" s="15" t="s">
        <v>468</v>
      </c>
      <c r="I190" s="1" t="str">
        <f>VLOOKUP(C190,'mayo-26'!B:H,7,0)</f>
        <v>CLL 14AN 4A-81 TORRE 1 APTO 401</v>
      </c>
      <c r="J190" s="1" t="s">
        <v>217</v>
      </c>
      <c r="K190" s="10" t="str">
        <f>VLOOKUP(C190,'mayo-26'!B:J,9,0)</f>
        <v>CR PORTACHUELO</v>
      </c>
      <c r="L190" s="1" t="str">
        <f>VLOOKUP(C190,'mayo-26'!B:K,10,0)</f>
        <v>CR PORTACHUELO</v>
      </c>
      <c r="M190" s="15" t="s">
        <v>52</v>
      </c>
      <c r="N190" s="15" t="s">
        <v>89</v>
      </c>
      <c r="O190" s="15" t="s">
        <v>130</v>
      </c>
      <c r="P190" s="15" t="s">
        <v>126</v>
      </c>
      <c r="Q190" s="15" t="s">
        <v>218</v>
      </c>
      <c r="R190" s="15" t="s">
        <v>219</v>
      </c>
      <c r="S190" s="15" t="s">
        <v>133</v>
      </c>
      <c r="T190" s="15" t="s">
        <v>59</v>
      </c>
      <c r="U190" s="16">
        <v>2026.0</v>
      </c>
      <c r="V190" s="16">
        <v>6.0</v>
      </c>
      <c r="W190" s="16">
        <v>1.081875216E9</v>
      </c>
      <c r="X190" s="16">
        <v>1.081893688E9</v>
      </c>
      <c r="Y190" s="17">
        <v>46182.0</v>
      </c>
      <c r="Z190" s="17">
        <v>46207.0</v>
      </c>
      <c r="AA190" s="16">
        <v>50495.64</v>
      </c>
      <c r="AB190" s="16">
        <v>50495.64</v>
      </c>
      <c r="AC190" s="16">
        <v>-1650.7</v>
      </c>
      <c r="AD190" s="16">
        <v>0.0</v>
      </c>
      <c r="AE190" s="16">
        <v>561.34</v>
      </c>
      <c r="AF190" s="16">
        <v>0.0</v>
      </c>
      <c r="AG190" s="16">
        <v>0.0</v>
      </c>
      <c r="AH190" s="16">
        <v>0.0</v>
      </c>
      <c r="AI190" s="16">
        <v>0.0</v>
      </c>
      <c r="AJ190" s="16">
        <v>50495.64</v>
      </c>
      <c r="AK190" s="16">
        <v>151438.47</v>
      </c>
      <c r="AL190" s="16">
        <v>2.0</v>
      </c>
      <c r="AM190" s="16">
        <v>242.77</v>
      </c>
      <c r="AN190" s="16">
        <v>0.0</v>
      </c>
      <c r="AO190" s="18"/>
      <c r="AP190" s="18"/>
      <c r="AQ190" s="18"/>
      <c r="AR190" s="18"/>
      <c r="AS190" s="11" t="str">
        <f>VLOOKUP(C190,'mayo-26'!B:AS,44,0)</f>
        <v/>
      </c>
      <c r="AT190" s="12" t="str">
        <f>VLOOKUP(C190,'mayo-26'!B:AT,45,0)</f>
        <v>VERIFICADOR</v>
      </c>
      <c r="AU190" s="16"/>
      <c r="AV190" s="16"/>
      <c r="AW190" s="16"/>
    </row>
    <row r="191" ht="14.25" customHeight="1">
      <c r="A191" s="15" t="s">
        <v>469</v>
      </c>
      <c r="B191" s="16">
        <v>595143.0</v>
      </c>
      <c r="C191" s="16">
        <v>498524.0</v>
      </c>
      <c r="D191" s="16">
        <v>551629.0</v>
      </c>
      <c r="E191" s="18"/>
      <c r="F191" s="18"/>
      <c r="G191" s="16">
        <v>1255001.0</v>
      </c>
      <c r="H191" s="15" t="s">
        <v>470</v>
      </c>
      <c r="I191" s="1" t="str">
        <f>VLOOKUP(C191,'mayo-26'!B:H,7,0)</f>
        <v>CLL 14AN 4A-81 TORRE 2 APTO 101</v>
      </c>
      <c r="J191" s="1" t="s">
        <v>217</v>
      </c>
      <c r="K191" s="10" t="str">
        <f>VLOOKUP(C191,'mayo-26'!B:J,9,0)</f>
        <v>CR PORTACHUELO</v>
      </c>
      <c r="L191" s="1" t="str">
        <f>VLOOKUP(C191,'mayo-26'!B:K,10,0)</f>
        <v>CR PORTACHUELO</v>
      </c>
      <c r="M191" s="15" t="s">
        <v>52</v>
      </c>
      <c r="N191" s="15" t="s">
        <v>89</v>
      </c>
      <c r="O191" s="15" t="s">
        <v>130</v>
      </c>
      <c r="P191" s="15" t="s">
        <v>126</v>
      </c>
      <c r="Q191" s="15" t="s">
        <v>218</v>
      </c>
      <c r="R191" s="15" t="s">
        <v>219</v>
      </c>
      <c r="S191" s="15" t="s">
        <v>133</v>
      </c>
      <c r="T191" s="15" t="s">
        <v>59</v>
      </c>
      <c r="U191" s="16">
        <v>2026.0</v>
      </c>
      <c r="V191" s="16">
        <v>6.0</v>
      </c>
      <c r="W191" s="16">
        <v>1.081875219E9</v>
      </c>
      <c r="X191" s="16">
        <v>1.081893691E9</v>
      </c>
      <c r="Y191" s="17">
        <v>46182.0</v>
      </c>
      <c r="Z191" s="17">
        <v>46207.0</v>
      </c>
      <c r="AA191" s="16">
        <v>49934.3</v>
      </c>
      <c r="AB191" s="16">
        <v>49934.3</v>
      </c>
      <c r="AC191" s="16">
        <v>-1650.7</v>
      </c>
      <c r="AD191" s="16">
        <v>0.0</v>
      </c>
      <c r="AE191" s="16">
        <v>0.0</v>
      </c>
      <c r="AF191" s="16">
        <v>0.0</v>
      </c>
      <c r="AG191" s="16">
        <v>0.0</v>
      </c>
      <c r="AH191" s="16">
        <v>0.0</v>
      </c>
      <c r="AI191" s="16">
        <v>0.0</v>
      </c>
      <c r="AJ191" s="16">
        <v>49934.3</v>
      </c>
      <c r="AK191" s="16">
        <v>49934.3</v>
      </c>
      <c r="AL191" s="16">
        <v>0.0</v>
      </c>
      <c r="AM191" s="16">
        <v>242.77</v>
      </c>
      <c r="AN191" s="16">
        <v>0.0</v>
      </c>
      <c r="AO191" s="18"/>
      <c r="AP191" s="18"/>
      <c r="AQ191" s="18"/>
      <c r="AR191" s="18"/>
      <c r="AS191" s="11" t="str">
        <f>VLOOKUP(C191,'mayo-26'!B:AS,44,0)</f>
        <v/>
      </c>
      <c r="AT191" s="12" t="str">
        <f>VLOOKUP(C191,'mayo-26'!B:AT,45,0)</f>
        <v>VERIFICADOR</v>
      </c>
      <c r="AU191" s="16"/>
      <c r="AV191" s="16"/>
      <c r="AW191" s="16"/>
    </row>
    <row r="192" ht="14.25" customHeight="1">
      <c r="A192" s="15" t="s">
        <v>471</v>
      </c>
      <c r="B192" s="16">
        <v>595147.0</v>
      </c>
      <c r="C192" s="16">
        <v>498528.0</v>
      </c>
      <c r="D192" s="16">
        <v>551633.0</v>
      </c>
      <c r="E192" s="18"/>
      <c r="F192" s="18"/>
      <c r="G192" s="16">
        <v>1255005.0</v>
      </c>
      <c r="H192" s="15" t="s">
        <v>472</v>
      </c>
      <c r="I192" s="1" t="str">
        <f>VLOOKUP(C192,'mayo-26'!B:H,7,0)</f>
        <v>CLL 14AN 4A-81 TORRE 2 APTO 201</v>
      </c>
      <c r="J192" s="1" t="s">
        <v>217</v>
      </c>
      <c r="K192" s="10" t="str">
        <f>VLOOKUP(C192,'mayo-26'!B:J,9,0)</f>
        <v>CR PORTACHUELO</v>
      </c>
      <c r="L192" s="1" t="str">
        <f>VLOOKUP(C192,'mayo-26'!B:K,10,0)</f>
        <v>CR PORTACHUELO</v>
      </c>
      <c r="M192" s="15" t="s">
        <v>52</v>
      </c>
      <c r="N192" s="15" t="s">
        <v>89</v>
      </c>
      <c r="O192" s="15" t="s">
        <v>130</v>
      </c>
      <c r="P192" s="15" t="s">
        <v>126</v>
      </c>
      <c r="Q192" s="15" t="s">
        <v>218</v>
      </c>
      <c r="R192" s="15" t="s">
        <v>219</v>
      </c>
      <c r="S192" s="15" t="s">
        <v>133</v>
      </c>
      <c r="T192" s="15" t="s">
        <v>59</v>
      </c>
      <c r="U192" s="16">
        <v>2026.0</v>
      </c>
      <c r="V192" s="16">
        <v>6.0</v>
      </c>
      <c r="W192" s="16">
        <v>1.081875223E9</v>
      </c>
      <c r="X192" s="16">
        <v>1.081893695E9</v>
      </c>
      <c r="Y192" s="17">
        <v>46182.0</v>
      </c>
      <c r="Z192" s="17">
        <v>46207.0</v>
      </c>
      <c r="AA192" s="16">
        <v>53994.58</v>
      </c>
      <c r="AB192" s="16">
        <v>53994.58</v>
      </c>
      <c r="AC192" s="16">
        <v>-1650.7</v>
      </c>
      <c r="AD192" s="16">
        <v>0.0</v>
      </c>
      <c r="AE192" s="16">
        <v>4060.28</v>
      </c>
      <c r="AF192" s="16">
        <v>0.0</v>
      </c>
      <c r="AG192" s="16">
        <v>0.0</v>
      </c>
      <c r="AH192" s="16">
        <v>0.0</v>
      </c>
      <c r="AI192" s="16">
        <v>0.0</v>
      </c>
      <c r="AJ192" s="16">
        <v>53994.58</v>
      </c>
      <c r="AK192" s="16">
        <v>337498.7</v>
      </c>
      <c r="AL192" s="16">
        <v>6.0</v>
      </c>
      <c r="AM192" s="16">
        <v>242.77</v>
      </c>
      <c r="AN192" s="16">
        <v>0.0</v>
      </c>
      <c r="AO192" s="18"/>
      <c r="AP192" s="18"/>
      <c r="AQ192" s="18"/>
      <c r="AR192" s="18"/>
      <c r="AS192" s="11" t="str">
        <f>VLOOKUP(C192,'mayo-26'!B:AS,44,0)</f>
        <v/>
      </c>
      <c r="AT192" s="12" t="str">
        <f>VLOOKUP(C192,'mayo-26'!B:AT,45,0)</f>
        <v>VERIFICADOR</v>
      </c>
      <c r="AU192" s="16"/>
      <c r="AV192" s="16"/>
      <c r="AW192" s="16"/>
    </row>
    <row r="193" ht="14.25" customHeight="1">
      <c r="A193" s="15" t="s">
        <v>473</v>
      </c>
      <c r="B193" s="16">
        <v>595151.0</v>
      </c>
      <c r="C193" s="16">
        <v>498532.0</v>
      </c>
      <c r="D193" s="16">
        <v>551637.0</v>
      </c>
      <c r="E193" s="18"/>
      <c r="F193" s="18"/>
      <c r="G193" s="16">
        <v>1255009.0</v>
      </c>
      <c r="H193" s="15" t="s">
        <v>474</v>
      </c>
      <c r="I193" s="1" t="str">
        <f>VLOOKUP(C193,'mayo-26'!B:H,7,0)</f>
        <v>CLL 14AN 4A-81 TORRE 2 APTO 301</v>
      </c>
      <c r="J193" s="1" t="s">
        <v>217</v>
      </c>
      <c r="K193" s="10" t="str">
        <f>VLOOKUP(C193,'mayo-26'!B:J,9,0)</f>
        <v>CR PORTACHUELO</v>
      </c>
      <c r="L193" s="1" t="str">
        <f>VLOOKUP(C193,'mayo-26'!B:K,10,0)</f>
        <v>CR PORTACHUELO</v>
      </c>
      <c r="M193" s="15" t="s">
        <v>52</v>
      </c>
      <c r="N193" s="15" t="s">
        <v>89</v>
      </c>
      <c r="O193" s="15" t="s">
        <v>130</v>
      </c>
      <c r="P193" s="15" t="s">
        <v>126</v>
      </c>
      <c r="Q193" s="15" t="s">
        <v>218</v>
      </c>
      <c r="R193" s="15" t="s">
        <v>219</v>
      </c>
      <c r="S193" s="15" t="s">
        <v>133</v>
      </c>
      <c r="T193" s="15" t="s">
        <v>59</v>
      </c>
      <c r="U193" s="16">
        <v>2026.0</v>
      </c>
      <c r="V193" s="16">
        <v>6.0</v>
      </c>
      <c r="W193" s="16">
        <v>1.081875227E9</v>
      </c>
      <c r="X193" s="16">
        <v>1.081893699E9</v>
      </c>
      <c r="Y193" s="17">
        <v>46182.0</v>
      </c>
      <c r="Z193" s="17">
        <v>46207.0</v>
      </c>
      <c r="AA193" s="16">
        <v>49934.3</v>
      </c>
      <c r="AB193" s="16">
        <v>49934.3</v>
      </c>
      <c r="AC193" s="16">
        <v>-1650.7</v>
      </c>
      <c r="AD193" s="16">
        <v>0.0</v>
      </c>
      <c r="AE193" s="16">
        <v>0.0</v>
      </c>
      <c r="AF193" s="16">
        <v>0.0</v>
      </c>
      <c r="AG193" s="16">
        <v>0.0</v>
      </c>
      <c r="AH193" s="16">
        <v>0.0</v>
      </c>
      <c r="AI193" s="16">
        <v>0.0</v>
      </c>
      <c r="AJ193" s="16">
        <v>49934.3</v>
      </c>
      <c r="AK193" s="16">
        <v>49935.06</v>
      </c>
      <c r="AL193" s="16">
        <v>1.0</v>
      </c>
      <c r="AM193" s="16">
        <v>242.77</v>
      </c>
      <c r="AN193" s="16">
        <v>0.0</v>
      </c>
      <c r="AO193" s="18"/>
      <c r="AP193" s="18"/>
      <c r="AQ193" s="18"/>
      <c r="AR193" s="18"/>
      <c r="AS193" s="11" t="str">
        <f>VLOOKUP(C193,'mayo-26'!B:AS,44,0)</f>
        <v/>
      </c>
      <c r="AT193" s="12" t="str">
        <f>VLOOKUP(C193,'mayo-26'!B:AT,45,0)</f>
        <v>VERIFICADOR</v>
      </c>
      <c r="AU193" s="16"/>
      <c r="AV193" s="16"/>
      <c r="AW193" s="16"/>
    </row>
    <row r="194" ht="14.25" customHeight="1">
      <c r="A194" s="15" t="s">
        <v>475</v>
      </c>
      <c r="B194" s="16">
        <v>595155.0</v>
      </c>
      <c r="C194" s="16">
        <v>498536.0</v>
      </c>
      <c r="D194" s="16">
        <v>551641.0</v>
      </c>
      <c r="E194" s="18"/>
      <c r="F194" s="18"/>
      <c r="G194" s="16">
        <v>1255013.0</v>
      </c>
      <c r="H194" s="15" t="s">
        <v>476</v>
      </c>
      <c r="I194" s="1" t="str">
        <f>VLOOKUP(C194,'mayo-26'!B:H,7,0)</f>
        <v>CLL 14AN 4A-81 TORRE 2 APTO 401</v>
      </c>
      <c r="J194" s="1" t="s">
        <v>217</v>
      </c>
      <c r="K194" s="10" t="str">
        <f>VLOOKUP(C194,'mayo-26'!B:J,9,0)</f>
        <v>CR PORTACHUELO</v>
      </c>
      <c r="L194" s="1" t="str">
        <f>VLOOKUP(C194,'mayo-26'!B:K,10,0)</f>
        <v>CR PORTACHUELO</v>
      </c>
      <c r="M194" s="15" t="s">
        <v>52</v>
      </c>
      <c r="N194" s="15" t="s">
        <v>89</v>
      </c>
      <c r="O194" s="15" t="s">
        <v>130</v>
      </c>
      <c r="P194" s="15" t="s">
        <v>126</v>
      </c>
      <c r="Q194" s="15" t="s">
        <v>218</v>
      </c>
      <c r="R194" s="15" t="s">
        <v>219</v>
      </c>
      <c r="S194" s="15" t="s">
        <v>133</v>
      </c>
      <c r="T194" s="15" t="s">
        <v>59</v>
      </c>
      <c r="U194" s="16">
        <v>2026.0</v>
      </c>
      <c r="V194" s="16">
        <v>6.0</v>
      </c>
      <c r="W194" s="16">
        <v>1.081875231E9</v>
      </c>
      <c r="X194" s="16">
        <v>1.081893703E9</v>
      </c>
      <c r="Y194" s="17">
        <v>46182.0</v>
      </c>
      <c r="Z194" s="17">
        <v>46207.0</v>
      </c>
      <c r="AA194" s="16">
        <v>49934.3</v>
      </c>
      <c r="AB194" s="16">
        <v>49934.3</v>
      </c>
      <c r="AC194" s="16">
        <v>-1650.7</v>
      </c>
      <c r="AD194" s="16">
        <v>0.0</v>
      </c>
      <c r="AE194" s="16">
        <v>0.0</v>
      </c>
      <c r="AF194" s="16">
        <v>0.0</v>
      </c>
      <c r="AG194" s="16">
        <v>0.0</v>
      </c>
      <c r="AH194" s="16">
        <v>0.0</v>
      </c>
      <c r="AI194" s="16">
        <v>0.0</v>
      </c>
      <c r="AJ194" s="16">
        <v>49934.3</v>
      </c>
      <c r="AK194" s="16">
        <v>100369.06</v>
      </c>
      <c r="AL194" s="16">
        <v>1.0</v>
      </c>
      <c r="AM194" s="16">
        <v>242.77</v>
      </c>
      <c r="AN194" s="16">
        <v>0.0</v>
      </c>
      <c r="AO194" s="18"/>
      <c r="AP194" s="18"/>
      <c r="AQ194" s="18"/>
      <c r="AR194" s="18"/>
      <c r="AS194" s="11" t="str">
        <f>VLOOKUP(C194,'mayo-26'!B:AS,44,0)</f>
        <v/>
      </c>
      <c r="AT194" s="12" t="str">
        <f>VLOOKUP(C194,'mayo-26'!B:AT,45,0)</f>
        <v>VERIFICADOR</v>
      </c>
      <c r="AU194" s="16"/>
      <c r="AV194" s="16"/>
      <c r="AW194" s="16"/>
    </row>
    <row r="195" ht="14.25" customHeight="1">
      <c r="A195" s="19" t="s">
        <v>477</v>
      </c>
      <c r="B195" s="16">
        <v>595159.0</v>
      </c>
      <c r="C195" s="16">
        <v>498540.0</v>
      </c>
      <c r="D195" s="16">
        <v>551645.0</v>
      </c>
      <c r="E195" s="18"/>
      <c r="F195" s="18"/>
      <c r="G195" s="16">
        <v>1255017.0</v>
      </c>
      <c r="H195" s="15" t="s">
        <v>478</v>
      </c>
      <c r="I195" s="1" t="str">
        <f>VLOOKUP(C195,'mayo-26'!B:H,7,0)</f>
        <v>CLL 14AN 4A-81 TORRE 3 APTO 101</v>
      </c>
      <c r="J195" s="1" t="s">
        <v>217</v>
      </c>
      <c r="K195" s="10" t="str">
        <f>VLOOKUP(C195,'mayo-26'!B:J,9,0)</f>
        <v>CR PORTACHUELO</v>
      </c>
      <c r="L195" s="1" t="str">
        <f>VLOOKUP(C195,'mayo-26'!B:K,10,0)</f>
        <v>CR PORTACHUELO</v>
      </c>
      <c r="M195" s="15" t="s">
        <v>52</v>
      </c>
      <c r="N195" s="15" t="s">
        <v>89</v>
      </c>
      <c r="O195" s="15" t="s">
        <v>130</v>
      </c>
      <c r="P195" s="15" t="s">
        <v>126</v>
      </c>
      <c r="Q195" s="15" t="s">
        <v>218</v>
      </c>
      <c r="R195" s="15" t="s">
        <v>219</v>
      </c>
      <c r="S195" s="15" t="s">
        <v>133</v>
      </c>
      <c r="T195" s="15" t="s">
        <v>59</v>
      </c>
      <c r="U195" s="16">
        <v>2026.0</v>
      </c>
      <c r="V195" s="16">
        <v>6.0</v>
      </c>
      <c r="W195" s="16">
        <v>1.081875235E9</v>
      </c>
      <c r="X195" s="16">
        <v>1.081893707E9</v>
      </c>
      <c r="Y195" s="17">
        <v>46182.0</v>
      </c>
      <c r="Z195" s="17">
        <v>46207.0</v>
      </c>
      <c r="AA195" s="16">
        <v>50495.64</v>
      </c>
      <c r="AB195" s="16">
        <v>50495.64</v>
      </c>
      <c r="AC195" s="16">
        <v>-1650.7</v>
      </c>
      <c r="AD195" s="16">
        <v>0.0</v>
      </c>
      <c r="AE195" s="16">
        <v>561.34</v>
      </c>
      <c r="AF195" s="16">
        <v>0.0</v>
      </c>
      <c r="AG195" s="16">
        <v>0.0</v>
      </c>
      <c r="AH195" s="16">
        <v>0.0</v>
      </c>
      <c r="AI195" s="16">
        <v>0.0</v>
      </c>
      <c r="AJ195" s="16">
        <v>50495.64</v>
      </c>
      <c r="AK195" s="16">
        <v>150960.53</v>
      </c>
      <c r="AL195" s="16">
        <v>2.0</v>
      </c>
      <c r="AM195" s="16">
        <v>242.77</v>
      </c>
      <c r="AN195" s="16">
        <v>0.0</v>
      </c>
      <c r="AO195" s="18"/>
      <c r="AP195" s="18"/>
      <c r="AQ195" s="18"/>
      <c r="AR195" s="18"/>
      <c r="AS195" s="11" t="str">
        <f>VLOOKUP(C195,'mayo-26'!B:AS,44,0)</f>
        <v/>
      </c>
      <c r="AT195" s="12" t="str">
        <f>VLOOKUP(C195,'mayo-26'!B:AT,45,0)</f>
        <v>VERIFICADOR</v>
      </c>
      <c r="AU195" s="16"/>
      <c r="AV195" s="16"/>
      <c r="AW195" s="16"/>
    </row>
    <row r="196" ht="14.25" customHeight="1">
      <c r="A196" s="15" t="s">
        <v>479</v>
      </c>
      <c r="B196" s="16">
        <v>595163.0</v>
      </c>
      <c r="C196" s="16">
        <v>498544.0</v>
      </c>
      <c r="D196" s="16">
        <v>551649.0</v>
      </c>
      <c r="E196" s="18"/>
      <c r="F196" s="18"/>
      <c r="G196" s="16">
        <v>1255021.0</v>
      </c>
      <c r="H196" s="15" t="s">
        <v>480</v>
      </c>
      <c r="I196" s="1" t="str">
        <f>VLOOKUP(C196,'mayo-26'!B:H,7,0)</f>
        <v>CLL 14AN 4A-81 TORRE 3 APTO 201</v>
      </c>
      <c r="J196" s="1" t="s">
        <v>217</v>
      </c>
      <c r="K196" s="10" t="str">
        <f>VLOOKUP(C196,'mayo-26'!B:J,9,0)</f>
        <v>CR PORTACHUELO</v>
      </c>
      <c r="L196" s="1" t="str">
        <f>VLOOKUP(C196,'mayo-26'!B:K,10,0)</f>
        <v>CR PORTACHUELO</v>
      </c>
      <c r="M196" s="15" t="s">
        <v>52</v>
      </c>
      <c r="N196" s="15" t="s">
        <v>89</v>
      </c>
      <c r="O196" s="15" t="s">
        <v>130</v>
      </c>
      <c r="P196" s="15" t="s">
        <v>126</v>
      </c>
      <c r="Q196" s="15" t="s">
        <v>218</v>
      </c>
      <c r="R196" s="15" t="s">
        <v>219</v>
      </c>
      <c r="S196" s="15" t="s">
        <v>133</v>
      </c>
      <c r="T196" s="15" t="s">
        <v>59</v>
      </c>
      <c r="U196" s="16">
        <v>2026.0</v>
      </c>
      <c r="V196" s="16">
        <v>6.0</v>
      </c>
      <c r="W196" s="16">
        <v>1.081875239E9</v>
      </c>
      <c r="X196" s="16">
        <v>1.081893711E9</v>
      </c>
      <c r="Y196" s="17">
        <v>46182.0</v>
      </c>
      <c r="Z196" s="17">
        <v>46207.0</v>
      </c>
      <c r="AA196" s="16">
        <v>49934.3</v>
      </c>
      <c r="AB196" s="16">
        <v>49934.3</v>
      </c>
      <c r="AC196" s="16">
        <v>-1650.7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6">
        <v>0.0</v>
      </c>
      <c r="AJ196" s="16">
        <v>49934.3</v>
      </c>
      <c r="AK196" s="16">
        <v>49935.06</v>
      </c>
      <c r="AL196" s="16">
        <v>1.0</v>
      </c>
      <c r="AM196" s="16">
        <v>242.77</v>
      </c>
      <c r="AN196" s="16">
        <v>0.0</v>
      </c>
      <c r="AO196" s="18"/>
      <c r="AP196" s="18"/>
      <c r="AQ196" s="18"/>
      <c r="AR196" s="18"/>
      <c r="AS196" s="11" t="str">
        <f>VLOOKUP(C196,'mayo-26'!B:AS,44,0)</f>
        <v/>
      </c>
      <c r="AT196" s="12" t="str">
        <f>VLOOKUP(C196,'mayo-26'!B:AT,45,0)</f>
        <v>VERIFICADOR</v>
      </c>
      <c r="AU196" s="16"/>
      <c r="AV196" s="16"/>
      <c r="AW196" s="16"/>
    </row>
    <row r="197" ht="14.25" customHeight="1">
      <c r="A197" s="15" t="s">
        <v>481</v>
      </c>
      <c r="B197" s="16">
        <v>595167.0</v>
      </c>
      <c r="C197" s="16">
        <v>498548.0</v>
      </c>
      <c r="D197" s="16">
        <v>551653.0</v>
      </c>
      <c r="E197" s="18"/>
      <c r="F197" s="18"/>
      <c r="G197" s="16">
        <v>1255025.0</v>
      </c>
      <c r="H197" s="15" t="s">
        <v>482</v>
      </c>
      <c r="I197" s="1" t="str">
        <f>VLOOKUP(C197,'mayo-26'!B:H,7,0)</f>
        <v>CLL 14AN 4A-81 TORRE 3 APTO 301</v>
      </c>
      <c r="J197" s="1" t="s">
        <v>217</v>
      </c>
      <c r="K197" s="10" t="str">
        <f>VLOOKUP(C197,'mayo-26'!B:J,9,0)</f>
        <v>CR PORTACHUELO</v>
      </c>
      <c r="L197" s="1" t="str">
        <f>VLOOKUP(C197,'mayo-26'!B:K,10,0)</f>
        <v>CR PORTACHUELO</v>
      </c>
      <c r="M197" s="15" t="s">
        <v>52</v>
      </c>
      <c r="N197" s="15" t="s">
        <v>89</v>
      </c>
      <c r="O197" s="15" t="s">
        <v>130</v>
      </c>
      <c r="P197" s="15" t="s">
        <v>126</v>
      </c>
      <c r="Q197" s="15" t="s">
        <v>218</v>
      </c>
      <c r="R197" s="15" t="s">
        <v>219</v>
      </c>
      <c r="S197" s="15" t="s">
        <v>133</v>
      </c>
      <c r="T197" s="15" t="s">
        <v>59</v>
      </c>
      <c r="U197" s="16">
        <v>2026.0</v>
      </c>
      <c r="V197" s="16">
        <v>6.0</v>
      </c>
      <c r="W197" s="16">
        <v>1.081875243E9</v>
      </c>
      <c r="X197" s="16">
        <v>1.081893715E9</v>
      </c>
      <c r="Y197" s="17">
        <v>46182.0</v>
      </c>
      <c r="Z197" s="17">
        <v>46207.0</v>
      </c>
      <c r="AA197" s="16">
        <v>49934.3</v>
      </c>
      <c r="AB197" s="16">
        <v>49934.3</v>
      </c>
      <c r="AC197" s="16">
        <v>-1650.7</v>
      </c>
      <c r="AD197" s="16">
        <v>0.0</v>
      </c>
      <c r="AE197" s="16">
        <v>0.0</v>
      </c>
      <c r="AF197" s="16">
        <v>0.0</v>
      </c>
      <c r="AG197" s="16">
        <v>0.0</v>
      </c>
      <c r="AH197" s="16">
        <v>0.0</v>
      </c>
      <c r="AI197" s="16">
        <v>0.0</v>
      </c>
      <c r="AJ197" s="16">
        <v>49934.3</v>
      </c>
      <c r="AK197" s="16">
        <v>49934.3</v>
      </c>
      <c r="AL197" s="16">
        <v>0.0</v>
      </c>
      <c r="AM197" s="16">
        <v>242.77</v>
      </c>
      <c r="AN197" s="16">
        <v>0.0</v>
      </c>
      <c r="AO197" s="18"/>
      <c r="AP197" s="18"/>
      <c r="AQ197" s="18"/>
      <c r="AR197" s="18"/>
      <c r="AS197" s="11" t="str">
        <f>VLOOKUP(C197,'mayo-26'!B:AS,44,0)</f>
        <v/>
      </c>
      <c r="AT197" s="12" t="str">
        <f>VLOOKUP(C197,'mayo-26'!B:AT,45,0)</f>
        <v>VERIFICADOR</v>
      </c>
      <c r="AU197" s="16"/>
      <c r="AV197" s="16"/>
      <c r="AW197" s="16"/>
    </row>
    <row r="198" ht="14.25" customHeight="1">
      <c r="A198" s="15" t="s">
        <v>483</v>
      </c>
      <c r="B198" s="16">
        <v>595171.0</v>
      </c>
      <c r="C198" s="16">
        <v>498552.0</v>
      </c>
      <c r="D198" s="16">
        <v>551657.0</v>
      </c>
      <c r="E198" s="18"/>
      <c r="F198" s="18"/>
      <c r="G198" s="16">
        <v>1255029.0</v>
      </c>
      <c r="H198" s="15" t="s">
        <v>484</v>
      </c>
      <c r="I198" s="1" t="str">
        <f>VLOOKUP(C198,'mayo-26'!B:H,7,0)</f>
        <v>CLL 14AN 4A-81 TORRE 3 APTO 401</v>
      </c>
      <c r="J198" s="1" t="s">
        <v>217</v>
      </c>
      <c r="K198" s="10" t="str">
        <f>VLOOKUP(C198,'mayo-26'!B:J,9,0)</f>
        <v>CR PORTACHUELO</v>
      </c>
      <c r="L198" s="1" t="str">
        <f>VLOOKUP(C198,'mayo-26'!B:K,10,0)</f>
        <v>CR PORTACHUELO</v>
      </c>
      <c r="M198" s="15" t="s">
        <v>52</v>
      </c>
      <c r="N198" s="15" t="s">
        <v>89</v>
      </c>
      <c r="O198" s="15" t="s">
        <v>130</v>
      </c>
      <c r="P198" s="15" t="s">
        <v>126</v>
      </c>
      <c r="Q198" s="15" t="s">
        <v>218</v>
      </c>
      <c r="R198" s="15" t="s">
        <v>219</v>
      </c>
      <c r="S198" s="15" t="s">
        <v>133</v>
      </c>
      <c r="T198" s="15" t="s">
        <v>59</v>
      </c>
      <c r="U198" s="16">
        <v>2026.0</v>
      </c>
      <c r="V198" s="16">
        <v>6.0</v>
      </c>
      <c r="W198" s="16">
        <v>1.081875247E9</v>
      </c>
      <c r="X198" s="16">
        <v>1.081893719E9</v>
      </c>
      <c r="Y198" s="17">
        <v>46182.0</v>
      </c>
      <c r="Z198" s="17">
        <v>46207.0</v>
      </c>
      <c r="AA198" s="16">
        <v>53994.58</v>
      </c>
      <c r="AB198" s="16">
        <v>53994.58</v>
      </c>
      <c r="AC198" s="16">
        <v>-1650.7</v>
      </c>
      <c r="AD198" s="16">
        <v>0.0</v>
      </c>
      <c r="AE198" s="16">
        <v>4060.28</v>
      </c>
      <c r="AF198" s="16">
        <v>0.0</v>
      </c>
      <c r="AG198" s="16">
        <v>0.0</v>
      </c>
      <c r="AH198" s="16">
        <v>0.0</v>
      </c>
      <c r="AI198" s="16">
        <v>0.0</v>
      </c>
      <c r="AJ198" s="16">
        <v>53994.58</v>
      </c>
      <c r="AK198" s="16">
        <v>337498.7</v>
      </c>
      <c r="AL198" s="16">
        <v>6.0</v>
      </c>
      <c r="AM198" s="16">
        <v>242.77</v>
      </c>
      <c r="AN198" s="16">
        <v>0.0</v>
      </c>
      <c r="AO198" s="18"/>
      <c r="AP198" s="18"/>
      <c r="AQ198" s="18"/>
      <c r="AR198" s="18"/>
      <c r="AS198" s="11" t="str">
        <f>VLOOKUP(C198,'mayo-26'!B:AS,44,0)</f>
        <v/>
      </c>
      <c r="AT198" s="12" t="str">
        <f>VLOOKUP(C198,'mayo-26'!B:AT,45,0)</f>
        <v>VERIFICADOR</v>
      </c>
      <c r="AU198" s="16"/>
      <c r="AV198" s="16"/>
      <c r="AW198" s="16"/>
    </row>
    <row r="199" ht="14.25" customHeight="1">
      <c r="A199" s="15" t="s">
        <v>485</v>
      </c>
      <c r="B199" s="16">
        <v>595175.0</v>
      </c>
      <c r="C199" s="16">
        <v>498556.0</v>
      </c>
      <c r="D199" s="16">
        <v>551661.0</v>
      </c>
      <c r="E199" s="18"/>
      <c r="F199" s="18"/>
      <c r="G199" s="16">
        <v>1255033.0</v>
      </c>
      <c r="H199" s="15" t="s">
        <v>486</v>
      </c>
      <c r="I199" s="1" t="str">
        <f>VLOOKUP(C199,'mayo-26'!B:H,7,0)</f>
        <v>CLL 14AN 4A-81 TORRE 4 APTO 101</v>
      </c>
      <c r="J199" s="1" t="s">
        <v>217</v>
      </c>
      <c r="K199" s="10" t="str">
        <f>VLOOKUP(C199,'mayo-26'!B:J,9,0)</f>
        <v>CR PORTACHUELO</v>
      </c>
      <c r="L199" s="1" t="str">
        <f>VLOOKUP(C199,'mayo-26'!B:K,10,0)</f>
        <v>CR PORTACHUELO</v>
      </c>
      <c r="M199" s="15" t="s">
        <v>52</v>
      </c>
      <c r="N199" s="15" t="s">
        <v>89</v>
      </c>
      <c r="O199" s="15" t="s">
        <v>130</v>
      </c>
      <c r="P199" s="15" t="s">
        <v>126</v>
      </c>
      <c r="Q199" s="15" t="s">
        <v>218</v>
      </c>
      <c r="R199" s="15" t="s">
        <v>219</v>
      </c>
      <c r="S199" s="15" t="s">
        <v>133</v>
      </c>
      <c r="T199" s="15" t="s">
        <v>59</v>
      </c>
      <c r="U199" s="16">
        <v>2026.0</v>
      </c>
      <c r="V199" s="16">
        <v>6.0</v>
      </c>
      <c r="W199" s="16">
        <v>1.081875251E9</v>
      </c>
      <c r="X199" s="16">
        <v>1.081893723E9</v>
      </c>
      <c r="Y199" s="17">
        <v>46182.0</v>
      </c>
      <c r="Z199" s="17">
        <v>46207.0</v>
      </c>
      <c r="AA199" s="16">
        <v>49934.3</v>
      </c>
      <c r="AB199" s="16">
        <v>49934.3</v>
      </c>
      <c r="AC199" s="16">
        <v>-1650.7</v>
      </c>
      <c r="AD199" s="16">
        <v>0.0</v>
      </c>
      <c r="AE199" s="16">
        <v>0.0</v>
      </c>
      <c r="AF199" s="16">
        <v>0.0</v>
      </c>
      <c r="AG199" s="16">
        <v>0.0</v>
      </c>
      <c r="AH199" s="16">
        <v>0.0</v>
      </c>
      <c r="AI199" s="16">
        <v>0.0</v>
      </c>
      <c r="AJ199" s="16">
        <v>49934.3</v>
      </c>
      <c r="AK199" s="16">
        <v>49934.3</v>
      </c>
      <c r="AL199" s="16">
        <v>0.0</v>
      </c>
      <c r="AM199" s="16">
        <v>242.77</v>
      </c>
      <c r="AN199" s="16">
        <v>0.0</v>
      </c>
      <c r="AO199" s="18"/>
      <c r="AP199" s="18"/>
      <c r="AQ199" s="18"/>
      <c r="AR199" s="18"/>
      <c r="AS199" s="11" t="str">
        <f>VLOOKUP(C199,'mayo-26'!B:AS,44,0)</f>
        <v/>
      </c>
      <c r="AT199" s="12" t="str">
        <f>VLOOKUP(C199,'mayo-26'!B:AT,45,0)</f>
        <v>VERIFICADOR</v>
      </c>
      <c r="AU199" s="16"/>
      <c r="AV199" s="16"/>
      <c r="AW199" s="16"/>
    </row>
    <row r="200" ht="14.25" customHeight="1">
      <c r="A200" s="15" t="s">
        <v>487</v>
      </c>
      <c r="B200" s="16">
        <v>595179.0</v>
      </c>
      <c r="C200" s="16">
        <v>498560.0</v>
      </c>
      <c r="D200" s="16">
        <v>551665.0</v>
      </c>
      <c r="E200" s="18"/>
      <c r="F200" s="18"/>
      <c r="G200" s="16">
        <v>1255037.0</v>
      </c>
      <c r="H200" s="15" t="s">
        <v>488</v>
      </c>
      <c r="I200" s="1" t="str">
        <f>VLOOKUP(C200,'mayo-26'!B:H,7,0)</f>
        <v>CLL 14AN 4A-81 TORRE 4 APTO 201</v>
      </c>
      <c r="J200" s="1" t="s">
        <v>217</v>
      </c>
      <c r="K200" s="10" t="str">
        <f>VLOOKUP(C200,'mayo-26'!B:J,9,0)</f>
        <v>CR PORTACHUELO</v>
      </c>
      <c r="L200" s="1" t="str">
        <f>VLOOKUP(C200,'mayo-26'!B:K,10,0)</f>
        <v>CR PORTACHUELO</v>
      </c>
      <c r="M200" s="15" t="s">
        <v>52</v>
      </c>
      <c r="N200" s="15" t="s">
        <v>89</v>
      </c>
      <c r="O200" s="15" t="s">
        <v>130</v>
      </c>
      <c r="P200" s="15" t="s">
        <v>126</v>
      </c>
      <c r="Q200" s="15" t="s">
        <v>218</v>
      </c>
      <c r="R200" s="15" t="s">
        <v>219</v>
      </c>
      <c r="S200" s="15" t="s">
        <v>133</v>
      </c>
      <c r="T200" s="15" t="s">
        <v>59</v>
      </c>
      <c r="U200" s="16">
        <v>2026.0</v>
      </c>
      <c r="V200" s="16">
        <v>6.0</v>
      </c>
      <c r="W200" s="16">
        <v>1.081875255E9</v>
      </c>
      <c r="X200" s="16">
        <v>1.081893727E9</v>
      </c>
      <c r="Y200" s="17">
        <v>46182.0</v>
      </c>
      <c r="Z200" s="17">
        <v>46207.0</v>
      </c>
      <c r="AA200" s="16">
        <v>50309.38</v>
      </c>
      <c r="AB200" s="16">
        <v>50309.38</v>
      </c>
      <c r="AC200" s="16">
        <v>-1650.7</v>
      </c>
      <c r="AD200" s="16">
        <v>0.0</v>
      </c>
      <c r="AE200" s="16">
        <v>375.08</v>
      </c>
      <c r="AF200" s="16">
        <v>0.0</v>
      </c>
      <c r="AG200" s="16">
        <v>0.0</v>
      </c>
      <c r="AH200" s="16">
        <v>0.0</v>
      </c>
      <c r="AI200" s="16">
        <v>0.0</v>
      </c>
      <c r="AJ200" s="16">
        <v>50309.38</v>
      </c>
      <c r="AK200" s="16">
        <v>50309.38</v>
      </c>
      <c r="AL200" s="16">
        <v>0.0</v>
      </c>
      <c r="AM200" s="16">
        <v>242.77</v>
      </c>
      <c r="AN200" s="16">
        <v>0.0</v>
      </c>
      <c r="AO200" s="18"/>
      <c r="AP200" s="18"/>
      <c r="AQ200" s="18"/>
      <c r="AR200" s="18"/>
      <c r="AS200" s="11" t="str">
        <f>VLOOKUP(C200,'mayo-26'!B:AS,44,0)</f>
        <v>JDEROME66@HOTMAIL.COM</v>
      </c>
      <c r="AT200" s="12" t="str">
        <f>VLOOKUP(C200,'mayo-26'!B:AT,45,0)</f>
        <v>VERIFICADOR</v>
      </c>
      <c r="AU200" s="16"/>
      <c r="AV200" s="16"/>
      <c r="AW200" s="16"/>
    </row>
    <row r="201" ht="14.25" customHeight="1">
      <c r="A201" s="15" t="s">
        <v>489</v>
      </c>
      <c r="B201" s="16">
        <v>595183.0</v>
      </c>
      <c r="C201" s="16">
        <v>498564.0</v>
      </c>
      <c r="D201" s="16">
        <v>551669.0</v>
      </c>
      <c r="E201" s="18"/>
      <c r="F201" s="18"/>
      <c r="G201" s="16">
        <v>1255041.0</v>
      </c>
      <c r="H201" s="15" t="s">
        <v>490</v>
      </c>
      <c r="I201" s="1" t="str">
        <f>VLOOKUP(C201,'mayo-26'!B:H,7,0)</f>
        <v>CLL 14AN 4A-81 TORRE 4 APTO 301</v>
      </c>
      <c r="J201" s="1" t="s">
        <v>217</v>
      </c>
      <c r="K201" s="10" t="str">
        <f>VLOOKUP(C201,'mayo-26'!B:J,9,0)</f>
        <v>CR PORTACHUELO</v>
      </c>
      <c r="L201" s="1" t="str">
        <f>VLOOKUP(C201,'mayo-26'!B:K,10,0)</f>
        <v>CR PORTACHUELO</v>
      </c>
      <c r="M201" s="15" t="s">
        <v>52</v>
      </c>
      <c r="N201" s="15" t="s">
        <v>89</v>
      </c>
      <c r="O201" s="15" t="s">
        <v>130</v>
      </c>
      <c r="P201" s="15" t="s">
        <v>126</v>
      </c>
      <c r="Q201" s="15" t="s">
        <v>218</v>
      </c>
      <c r="R201" s="15" t="s">
        <v>219</v>
      </c>
      <c r="S201" s="15" t="s">
        <v>133</v>
      </c>
      <c r="T201" s="15" t="s">
        <v>59</v>
      </c>
      <c r="U201" s="16">
        <v>2026.0</v>
      </c>
      <c r="V201" s="16">
        <v>6.0</v>
      </c>
      <c r="W201" s="16">
        <v>1.081875259E9</v>
      </c>
      <c r="X201" s="16">
        <v>1.081893731E9</v>
      </c>
      <c r="Y201" s="17">
        <v>46182.0</v>
      </c>
      <c r="Z201" s="17">
        <v>46207.0</v>
      </c>
      <c r="AA201" s="16">
        <v>50495.64</v>
      </c>
      <c r="AB201" s="16">
        <v>50495.64</v>
      </c>
      <c r="AC201" s="16">
        <v>-1650.7</v>
      </c>
      <c r="AD201" s="16">
        <v>0.0</v>
      </c>
      <c r="AE201" s="16">
        <v>561.34</v>
      </c>
      <c r="AF201" s="16">
        <v>0.0</v>
      </c>
      <c r="AG201" s="16">
        <v>0.0</v>
      </c>
      <c r="AH201" s="16">
        <v>0.0</v>
      </c>
      <c r="AI201" s="16">
        <v>0.0</v>
      </c>
      <c r="AJ201" s="16">
        <v>50495.64</v>
      </c>
      <c r="AK201" s="16">
        <v>152661.42</v>
      </c>
      <c r="AL201" s="16">
        <v>2.0</v>
      </c>
      <c r="AM201" s="16">
        <v>242.77</v>
      </c>
      <c r="AN201" s="16">
        <v>0.0</v>
      </c>
      <c r="AO201" s="18"/>
      <c r="AP201" s="18"/>
      <c r="AQ201" s="18"/>
      <c r="AR201" s="18"/>
      <c r="AS201" s="11" t="str">
        <f>VLOOKUP(C201,'mayo-26'!B:AS,44,0)</f>
        <v/>
      </c>
      <c r="AT201" s="12" t="str">
        <f>VLOOKUP(C201,'mayo-26'!B:AT,45,0)</f>
        <v>VERIFICADOR</v>
      </c>
      <c r="AU201" s="16"/>
      <c r="AV201" s="16"/>
      <c r="AW201" s="16"/>
    </row>
    <row r="202" ht="14.25" customHeight="1">
      <c r="A202" s="15" t="s">
        <v>491</v>
      </c>
      <c r="B202" s="16">
        <v>595187.0</v>
      </c>
      <c r="C202" s="16">
        <v>498568.0</v>
      </c>
      <c r="D202" s="16">
        <v>551673.0</v>
      </c>
      <c r="E202" s="18"/>
      <c r="F202" s="18"/>
      <c r="G202" s="16">
        <v>1255045.0</v>
      </c>
      <c r="H202" s="15" t="s">
        <v>492</v>
      </c>
      <c r="I202" s="1" t="str">
        <f>VLOOKUP(C202,'mayo-26'!B:H,7,0)</f>
        <v>CLL 14AN 4A-81 TORRE 4 APTO 401</v>
      </c>
      <c r="J202" s="1" t="s">
        <v>217</v>
      </c>
      <c r="K202" s="10" t="str">
        <f>VLOOKUP(C202,'mayo-26'!B:J,9,0)</f>
        <v>CR PORTACHUELO</v>
      </c>
      <c r="L202" s="1" t="str">
        <f>VLOOKUP(C202,'mayo-26'!B:K,10,0)</f>
        <v>CR PORTACHUELO</v>
      </c>
      <c r="M202" s="15" t="s">
        <v>52</v>
      </c>
      <c r="N202" s="15" t="s">
        <v>89</v>
      </c>
      <c r="O202" s="15" t="s">
        <v>130</v>
      </c>
      <c r="P202" s="15" t="s">
        <v>126</v>
      </c>
      <c r="Q202" s="15" t="s">
        <v>218</v>
      </c>
      <c r="R202" s="15" t="s">
        <v>219</v>
      </c>
      <c r="S202" s="15" t="s">
        <v>133</v>
      </c>
      <c r="T202" s="15" t="s">
        <v>59</v>
      </c>
      <c r="U202" s="16">
        <v>2026.0</v>
      </c>
      <c r="V202" s="16">
        <v>6.0</v>
      </c>
      <c r="W202" s="16">
        <v>1.081875263E9</v>
      </c>
      <c r="X202" s="16">
        <v>1.081893735E9</v>
      </c>
      <c r="Y202" s="17">
        <v>46182.0</v>
      </c>
      <c r="Z202" s="17">
        <v>46207.0</v>
      </c>
      <c r="AA202" s="16">
        <v>49934.3</v>
      </c>
      <c r="AB202" s="16">
        <v>49934.3</v>
      </c>
      <c r="AC202" s="16">
        <v>-1650.7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6">
        <v>0.0</v>
      </c>
      <c r="AJ202" s="16">
        <v>49934.3</v>
      </c>
      <c r="AK202" s="16">
        <v>49934.3</v>
      </c>
      <c r="AL202" s="16">
        <v>0.0</v>
      </c>
      <c r="AM202" s="16">
        <v>242.77</v>
      </c>
      <c r="AN202" s="16">
        <v>0.0</v>
      </c>
      <c r="AO202" s="18"/>
      <c r="AP202" s="18"/>
      <c r="AQ202" s="18"/>
      <c r="AR202" s="18"/>
      <c r="AS202" s="11" t="str">
        <f>VLOOKUP(C202,'mayo-26'!B:AS,44,0)</f>
        <v/>
      </c>
      <c r="AT202" s="12" t="str">
        <f>VLOOKUP(C202,'mayo-26'!B:AT,45,0)</f>
        <v>VERIFICADOR</v>
      </c>
      <c r="AU202" s="16"/>
      <c r="AV202" s="16"/>
      <c r="AW202" s="16"/>
    </row>
    <row r="203" ht="14.25" customHeight="1">
      <c r="A203" s="15" t="s">
        <v>493</v>
      </c>
      <c r="B203" s="16">
        <v>595191.0</v>
      </c>
      <c r="C203" s="16">
        <v>498572.0</v>
      </c>
      <c r="D203" s="16">
        <v>551677.0</v>
      </c>
      <c r="E203" s="18"/>
      <c r="F203" s="18"/>
      <c r="G203" s="16">
        <v>1255049.0</v>
      </c>
      <c r="H203" s="15" t="s">
        <v>494</v>
      </c>
      <c r="I203" s="1" t="str">
        <f>VLOOKUP(C203,'mayo-26'!B:H,7,0)</f>
        <v>CLL 14AN 4A-81 TORRE 5 APTO 101</v>
      </c>
      <c r="J203" s="1" t="s">
        <v>217</v>
      </c>
      <c r="K203" s="10" t="str">
        <f>VLOOKUP(C203,'mayo-26'!B:J,9,0)</f>
        <v>CR PORTACHUELO</v>
      </c>
      <c r="L203" s="1" t="str">
        <f>VLOOKUP(C203,'mayo-26'!B:K,10,0)</f>
        <v>CR PORTACHUELO</v>
      </c>
      <c r="M203" s="15" t="s">
        <v>52</v>
      </c>
      <c r="N203" s="15" t="s">
        <v>89</v>
      </c>
      <c r="O203" s="15" t="s">
        <v>130</v>
      </c>
      <c r="P203" s="15" t="s">
        <v>126</v>
      </c>
      <c r="Q203" s="15" t="s">
        <v>218</v>
      </c>
      <c r="R203" s="15" t="s">
        <v>219</v>
      </c>
      <c r="S203" s="15" t="s">
        <v>133</v>
      </c>
      <c r="T203" s="15" t="s">
        <v>59</v>
      </c>
      <c r="U203" s="16">
        <v>2026.0</v>
      </c>
      <c r="V203" s="16">
        <v>6.0</v>
      </c>
      <c r="W203" s="16">
        <v>1.081875266E9</v>
      </c>
      <c r="X203" s="16">
        <v>1.081893738E9</v>
      </c>
      <c r="Y203" s="17">
        <v>46182.0</v>
      </c>
      <c r="Z203" s="17">
        <v>46207.0</v>
      </c>
      <c r="AA203" s="16">
        <v>49934.3</v>
      </c>
      <c r="AB203" s="16">
        <v>49934.3</v>
      </c>
      <c r="AC203" s="16">
        <v>-1650.7</v>
      </c>
      <c r="AD203" s="16">
        <v>0.0</v>
      </c>
      <c r="AE203" s="16">
        <v>0.0</v>
      </c>
      <c r="AF203" s="16">
        <v>0.0</v>
      </c>
      <c r="AG203" s="16">
        <v>0.0</v>
      </c>
      <c r="AH203" s="16">
        <v>0.0</v>
      </c>
      <c r="AI203" s="16">
        <v>0.0</v>
      </c>
      <c r="AJ203" s="16">
        <v>49934.3</v>
      </c>
      <c r="AK203" s="16">
        <v>100369.06</v>
      </c>
      <c r="AL203" s="16">
        <v>1.0</v>
      </c>
      <c r="AM203" s="16">
        <v>242.77</v>
      </c>
      <c r="AN203" s="16">
        <v>0.0</v>
      </c>
      <c r="AO203" s="18"/>
      <c r="AP203" s="18"/>
      <c r="AQ203" s="18"/>
      <c r="AR203" s="18"/>
      <c r="AS203" s="11" t="str">
        <f>VLOOKUP(C203,'mayo-26'!B:AS,44,0)</f>
        <v/>
      </c>
      <c r="AT203" s="12" t="str">
        <f>VLOOKUP(C203,'mayo-26'!B:AT,45,0)</f>
        <v>VERIFICADOR</v>
      </c>
      <c r="AU203" s="16"/>
      <c r="AV203" s="16"/>
      <c r="AW203" s="16"/>
    </row>
    <row r="204" ht="14.25" customHeight="1">
      <c r="A204" s="15" t="s">
        <v>495</v>
      </c>
      <c r="B204" s="16">
        <v>595195.0</v>
      </c>
      <c r="C204" s="16">
        <v>498576.0</v>
      </c>
      <c r="D204" s="16">
        <v>551681.0</v>
      </c>
      <c r="E204" s="18"/>
      <c r="F204" s="18"/>
      <c r="G204" s="16">
        <v>1255053.0</v>
      </c>
      <c r="H204" s="15" t="s">
        <v>496</v>
      </c>
      <c r="I204" s="1" t="str">
        <f>VLOOKUP(C204,'mayo-26'!B:H,7,0)</f>
        <v>CLL 14AN 4A-81 TORRE 5 APTO 201</v>
      </c>
      <c r="J204" s="1" t="s">
        <v>217</v>
      </c>
      <c r="K204" s="10" t="str">
        <f>VLOOKUP(C204,'mayo-26'!B:J,9,0)</f>
        <v>CR PORTACHUELO</v>
      </c>
      <c r="L204" s="1" t="str">
        <f>VLOOKUP(C204,'mayo-26'!B:K,10,0)</f>
        <v>CR PORTACHUELO</v>
      </c>
      <c r="M204" s="15" t="s">
        <v>52</v>
      </c>
      <c r="N204" s="15" t="s">
        <v>89</v>
      </c>
      <c r="O204" s="15" t="s">
        <v>130</v>
      </c>
      <c r="P204" s="15" t="s">
        <v>126</v>
      </c>
      <c r="Q204" s="15" t="s">
        <v>218</v>
      </c>
      <c r="R204" s="15" t="s">
        <v>219</v>
      </c>
      <c r="S204" s="15" t="s">
        <v>133</v>
      </c>
      <c r="T204" s="15" t="s">
        <v>59</v>
      </c>
      <c r="U204" s="16">
        <v>2026.0</v>
      </c>
      <c r="V204" s="16">
        <v>6.0</v>
      </c>
      <c r="W204" s="16">
        <v>1.08187527E9</v>
      </c>
      <c r="X204" s="16">
        <v>1.081893742E9</v>
      </c>
      <c r="Y204" s="17">
        <v>46182.0</v>
      </c>
      <c r="Z204" s="17">
        <v>46207.0</v>
      </c>
      <c r="AA204" s="16">
        <v>50495.64</v>
      </c>
      <c r="AB204" s="16">
        <v>50495.64</v>
      </c>
      <c r="AC204" s="16">
        <v>-1650.7</v>
      </c>
      <c r="AD204" s="16">
        <v>0.0</v>
      </c>
      <c r="AE204" s="16">
        <v>561.34</v>
      </c>
      <c r="AF204" s="16">
        <v>0.0</v>
      </c>
      <c r="AG204" s="16">
        <v>0.0</v>
      </c>
      <c r="AH204" s="16">
        <v>0.0</v>
      </c>
      <c r="AI204" s="16">
        <v>0.0</v>
      </c>
      <c r="AJ204" s="16">
        <v>50495.64</v>
      </c>
      <c r="AK204" s="16">
        <v>152389.37</v>
      </c>
      <c r="AL204" s="16">
        <v>2.0</v>
      </c>
      <c r="AM204" s="16">
        <v>242.77</v>
      </c>
      <c r="AN204" s="16">
        <v>0.0</v>
      </c>
      <c r="AO204" s="18"/>
      <c r="AP204" s="18"/>
      <c r="AQ204" s="18"/>
      <c r="AR204" s="18"/>
      <c r="AS204" s="11" t="str">
        <f>VLOOKUP(C204,'mayo-26'!B:AS,44,0)</f>
        <v/>
      </c>
      <c r="AT204" s="12" t="str">
        <f>VLOOKUP(C204,'mayo-26'!B:AT,45,0)</f>
        <v>VERIFICADOR</v>
      </c>
      <c r="AU204" s="16"/>
      <c r="AV204" s="16"/>
      <c r="AW204" s="16"/>
    </row>
    <row r="205" ht="14.25" customHeight="1">
      <c r="A205" s="15" t="s">
        <v>497</v>
      </c>
      <c r="B205" s="16">
        <v>595199.0</v>
      </c>
      <c r="C205" s="16">
        <v>498580.0</v>
      </c>
      <c r="D205" s="16">
        <v>551685.0</v>
      </c>
      <c r="E205" s="18"/>
      <c r="F205" s="18"/>
      <c r="G205" s="16">
        <v>1255057.0</v>
      </c>
      <c r="H205" s="15" t="s">
        <v>498</v>
      </c>
      <c r="I205" s="1" t="str">
        <f>VLOOKUP(C205,'mayo-26'!B:H,7,0)</f>
        <v>CLL 14AN 4A-81 TORRE 5 APTO 301</v>
      </c>
      <c r="J205" s="1" t="s">
        <v>217</v>
      </c>
      <c r="K205" s="10" t="str">
        <f>VLOOKUP(C205,'mayo-26'!B:J,9,0)</f>
        <v>CR PORTACHUELO</v>
      </c>
      <c r="L205" s="1" t="str">
        <f>VLOOKUP(C205,'mayo-26'!B:K,10,0)</f>
        <v>CR PORTACHUELO</v>
      </c>
      <c r="M205" s="15" t="s">
        <v>52</v>
      </c>
      <c r="N205" s="15" t="s">
        <v>89</v>
      </c>
      <c r="O205" s="15" t="s">
        <v>130</v>
      </c>
      <c r="P205" s="15" t="s">
        <v>126</v>
      </c>
      <c r="Q205" s="15" t="s">
        <v>218</v>
      </c>
      <c r="R205" s="15" t="s">
        <v>219</v>
      </c>
      <c r="S205" s="15" t="s">
        <v>133</v>
      </c>
      <c r="T205" s="15" t="s">
        <v>59</v>
      </c>
      <c r="U205" s="16">
        <v>2026.0</v>
      </c>
      <c r="V205" s="16">
        <v>6.0</v>
      </c>
      <c r="W205" s="16">
        <v>1.081875274E9</v>
      </c>
      <c r="X205" s="16">
        <v>1.081893746E9</v>
      </c>
      <c r="Y205" s="17">
        <v>46182.0</v>
      </c>
      <c r="Z205" s="17">
        <v>46207.0</v>
      </c>
      <c r="AA205" s="16">
        <v>53994.58</v>
      </c>
      <c r="AB205" s="16">
        <v>53994.58</v>
      </c>
      <c r="AC205" s="16">
        <v>-1650.7</v>
      </c>
      <c r="AD205" s="16">
        <v>0.0</v>
      </c>
      <c r="AE205" s="16">
        <v>4060.28</v>
      </c>
      <c r="AF205" s="16">
        <v>0.0</v>
      </c>
      <c r="AG205" s="16">
        <v>0.0</v>
      </c>
      <c r="AH205" s="16">
        <v>0.0</v>
      </c>
      <c r="AI205" s="16">
        <v>0.0</v>
      </c>
      <c r="AJ205" s="16">
        <v>53994.58</v>
      </c>
      <c r="AK205" s="16">
        <v>337498.7</v>
      </c>
      <c r="AL205" s="16">
        <v>6.0</v>
      </c>
      <c r="AM205" s="16">
        <v>242.77</v>
      </c>
      <c r="AN205" s="16">
        <v>0.0</v>
      </c>
      <c r="AO205" s="18"/>
      <c r="AP205" s="18"/>
      <c r="AQ205" s="18"/>
      <c r="AR205" s="18"/>
      <c r="AS205" s="11" t="str">
        <f>VLOOKUP(C205,'mayo-26'!B:AS,44,0)</f>
        <v/>
      </c>
      <c r="AT205" s="12" t="str">
        <f>VLOOKUP(C205,'mayo-26'!B:AT,45,0)</f>
        <v>VERIFICADOR</v>
      </c>
      <c r="AU205" s="16"/>
      <c r="AV205" s="16"/>
      <c r="AW205" s="16"/>
    </row>
    <row r="206" ht="14.25" customHeight="1">
      <c r="A206" s="15" t="s">
        <v>499</v>
      </c>
      <c r="B206" s="16">
        <v>595203.0</v>
      </c>
      <c r="C206" s="16">
        <v>498584.0</v>
      </c>
      <c r="D206" s="16">
        <v>551689.0</v>
      </c>
      <c r="E206" s="18"/>
      <c r="F206" s="18"/>
      <c r="G206" s="16">
        <v>1255061.0</v>
      </c>
      <c r="H206" s="15" t="s">
        <v>500</v>
      </c>
      <c r="I206" s="1" t="str">
        <f>VLOOKUP(C206,'mayo-26'!B:H,7,0)</f>
        <v>CLL 14AN 4A-81 TORRE 5 APTO 401</v>
      </c>
      <c r="J206" s="1" t="s">
        <v>217</v>
      </c>
      <c r="K206" s="10" t="str">
        <f>VLOOKUP(C206,'mayo-26'!B:J,9,0)</f>
        <v>CR PORTACHUELO</v>
      </c>
      <c r="L206" s="1" t="str">
        <f>VLOOKUP(C206,'mayo-26'!B:K,10,0)</f>
        <v>CR PORTACHUELO</v>
      </c>
      <c r="M206" s="15" t="s">
        <v>52</v>
      </c>
      <c r="N206" s="15" t="s">
        <v>89</v>
      </c>
      <c r="O206" s="15" t="s">
        <v>130</v>
      </c>
      <c r="P206" s="15" t="s">
        <v>126</v>
      </c>
      <c r="Q206" s="15" t="s">
        <v>218</v>
      </c>
      <c r="R206" s="15" t="s">
        <v>219</v>
      </c>
      <c r="S206" s="15" t="s">
        <v>133</v>
      </c>
      <c r="T206" s="15" t="s">
        <v>59</v>
      </c>
      <c r="U206" s="16">
        <v>2026.0</v>
      </c>
      <c r="V206" s="16">
        <v>6.0</v>
      </c>
      <c r="W206" s="16">
        <v>1.081875278E9</v>
      </c>
      <c r="X206" s="16">
        <v>1.08189375E9</v>
      </c>
      <c r="Y206" s="17">
        <v>46182.0</v>
      </c>
      <c r="Z206" s="17">
        <v>46207.0</v>
      </c>
      <c r="AA206" s="16">
        <v>50495.64</v>
      </c>
      <c r="AB206" s="16">
        <v>50495.64</v>
      </c>
      <c r="AC206" s="16">
        <v>-1650.7</v>
      </c>
      <c r="AD206" s="16">
        <v>0.0</v>
      </c>
      <c r="AE206" s="16">
        <v>561.34</v>
      </c>
      <c r="AF206" s="16">
        <v>0.0</v>
      </c>
      <c r="AG206" s="16">
        <v>0.0</v>
      </c>
      <c r="AH206" s="16">
        <v>0.0</v>
      </c>
      <c r="AI206" s="16">
        <v>0.0</v>
      </c>
      <c r="AJ206" s="16">
        <v>50495.64</v>
      </c>
      <c r="AK206" s="16">
        <v>151075.36</v>
      </c>
      <c r="AL206" s="16">
        <v>2.0</v>
      </c>
      <c r="AM206" s="16">
        <v>242.77</v>
      </c>
      <c r="AN206" s="16">
        <v>0.0</v>
      </c>
      <c r="AO206" s="18"/>
      <c r="AP206" s="18"/>
      <c r="AQ206" s="18"/>
      <c r="AR206" s="18"/>
      <c r="AS206" s="11" t="str">
        <f>VLOOKUP(C206,'mayo-26'!B:AS,44,0)</f>
        <v/>
      </c>
      <c r="AT206" s="12" t="str">
        <f>VLOOKUP(C206,'mayo-26'!B:AT,45,0)</f>
        <v>VERIFICADOR</v>
      </c>
      <c r="AU206" s="16"/>
      <c r="AV206" s="16"/>
      <c r="AW206" s="16"/>
    </row>
    <row r="207" ht="14.25" customHeight="1">
      <c r="A207" s="15" t="s">
        <v>501</v>
      </c>
      <c r="B207" s="16">
        <v>595207.0</v>
      </c>
      <c r="C207" s="16">
        <v>498588.0</v>
      </c>
      <c r="D207" s="16">
        <v>551693.0</v>
      </c>
      <c r="E207" s="18"/>
      <c r="F207" s="18"/>
      <c r="G207" s="16">
        <v>1255065.0</v>
      </c>
      <c r="H207" s="15" t="s">
        <v>286</v>
      </c>
      <c r="I207" s="1" t="str">
        <f>VLOOKUP(C207,'mayo-26'!B:H,7,0)</f>
        <v>CLL 14AN 4A-81 TORRE 6 APTO 101</v>
      </c>
      <c r="J207" s="1" t="s">
        <v>217</v>
      </c>
      <c r="K207" s="10" t="str">
        <f>VLOOKUP(C207,'mayo-26'!B:J,9,0)</f>
        <v>CR PORTACHUELO</v>
      </c>
      <c r="L207" s="1" t="str">
        <f>VLOOKUP(C207,'mayo-26'!B:K,10,0)</f>
        <v>CR PORTACHUELO</v>
      </c>
      <c r="M207" s="15" t="s">
        <v>52</v>
      </c>
      <c r="N207" s="15" t="s">
        <v>89</v>
      </c>
      <c r="O207" s="15" t="s">
        <v>130</v>
      </c>
      <c r="P207" s="15" t="s">
        <v>126</v>
      </c>
      <c r="Q207" s="15" t="s">
        <v>218</v>
      </c>
      <c r="R207" s="15" t="s">
        <v>219</v>
      </c>
      <c r="S207" s="15" t="s">
        <v>133</v>
      </c>
      <c r="T207" s="15" t="s">
        <v>59</v>
      </c>
      <c r="U207" s="16">
        <v>2026.0</v>
      </c>
      <c r="V207" s="16">
        <v>6.0</v>
      </c>
      <c r="W207" s="16">
        <v>1.081875281E9</v>
      </c>
      <c r="X207" s="16">
        <v>1.081893753E9</v>
      </c>
      <c r="Y207" s="17">
        <v>46182.0</v>
      </c>
      <c r="Z207" s="17">
        <v>46207.0</v>
      </c>
      <c r="AA207" s="16">
        <v>49934.3</v>
      </c>
      <c r="AB207" s="16">
        <v>49934.3</v>
      </c>
      <c r="AC207" s="16">
        <v>-1650.7</v>
      </c>
      <c r="AD207" s="16">
        <v>0.0</v>
      </c>
      <c r="AE207" s="16">
        <v>0.0</v>
      </c>
      <c r="AF207" s="16">
        <v>0.0</v>
      </c>
      <c r="AG207" s="16">
        <v>0.0</v>
      </c>
      <c r="AH207" s="16">
        <v>0.0</v>
      </c>
      <c r="AI207" s="16">
        <v>0.0</v>
      </c>
      <c r="AJ207" s="16">
        <v>49934.3</v>
      </c>
      <c r="AK207" s="16">
        <v>49935.06</v>
      </c>
      <c r="AL207" s="16">
        <v>1.0</v>
      </c>
      <c r="AM207" s="16">
        <v>242.77</v>
      </c>
      <c r="AN207" s="16">
        <v>0.0</v>
      </c>
      <c r="AO207" s="18"/>
      <c r="AP207" s="18"/>
      <c r="AQ207" s="18"/>
      <c r="AR207" s="18"/>
      <c r="AS207" s="11" t="str">
        <f>VLOOKUP(C207,'mayo-26'!B:AS,44,0)</f>
        <v/>
      </c>
      <c r="AT207" s="12" t="str">
        <f>VLOOKUP(C207,'mayo-26'!B:AT,45,0)</f>
        <v>VERIFICADOR</v>
      </c>
      <c r="AU207" s="16"/>
      <c r="AV207" s="16"/>
      <c r="AW207" s="16"/>
    </row>
    <row r="208" ht="14.25" customHeight="1">
      <c r="A208" s="15" t="s">
        <v>502</v>
      </c>
      <c r="B208" s="16">
        <v>595211.0</v>
      </c>
      <c r="C208" s="16">
        <v>498592.0</v>
      </c>
      <c r="D208" s="16">
        <v>551697.0</v>
      </c>
      <c r="E208" s="18"/>
      <c r="F208" s="18"/>
      <c r="G208" s="16">
        <v>1255069.0</v>
      </c>
      <c r="H208" s="15" t="s">
        <v>503</v>
      </c>
      <c r="I208" s="1" t="str">
        <f>VLOOKUP(C208,'mayo-26'!B:H,7,0)</f>
        <v>CLL 14AN 4A-81 TORRE 6 APTO 201</v>
      </c>
      <c r="J208" s="1" t="s">
        <v>217</v>
      </c>
      <c r="K208" s="10" t="str">
        <f>VLOOKUP(C208,'mayo-26'!B:J,9,0)</f>
        <v>CR PORTACHUELO</v>
      </c>
      <c r="L208" s="1" t="str">
        <f>VLOOKUP(C208,'mayo-26'!B:K,10,0)</f>
        <v>CR PORTACHUELO</v>
      </c>
      <c r="M208" s="15" t="s">
        <v>52</v>
      </c>
      <c r="N208" s="15" t="s">
        <v>89</v>
      </c>
      <c r="O208" s="15" t="s">
        <v>130</v>
      </c>
      <c r="P208" s="15" t="s">
        <v>126</v>
      </c>
      <c r="Q208" s="15" t="s">
        <v>218</v>
      </c>
      <c r="R208" s="15" t="s">
        <v>219</v>
      </c>
      <c r="S208" s="15" t="s">
        <v>133</v>
      </c>
      <c r="T208" s="15" t="s">
        <v>59</v>
      </c>
      <c r="U208" s="16">
        <v>2026.0</v>
      </c>
      <c r="V208" s="16">
        <v>6.0</v>
      </c>
      <c r="W208" s="16">
        <v>1.081875285E9</v>
      </c>
      <c r="X208" s="16">
        <v>1.081893757E9</v>
      </c>
      <c r="Y208" s="17">
        <v>46182.0</v>
      </c>
      <c r="Z208" s="17">
        <v>46207.0</v>
      </c>
      <c r="AA208" s="16">
        <v>49934.3</v>
      </c>
      <c r="AB208" s="16">
        <v>49934.3</v>
      </c>
      <c r="AC208" s="16">
        <v>-1650.7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6">
        <v>0.0</v>
      </c>
      <c r="AJ208" s="16">
        <v>49934.3</v>
      </c>
      <c r="AK208" s="16">
        <v>49934.3</v>
      </c>
      <c r="AL208" s="16">
        <v>0.0</v>
      </c>
      <c r="AM208" s="16">
        <v>242.77</v>
      </c>
      <c r="AN208" s="16">
        <v>0.0</v>
      </c>
      <c r="AO208" s="18"/>
      <c r="AP208" s="18"/>
      <c r="AQ208" s="18"/>
      <c r="AR208" s="18"/>
      <c r="AS208" s="11" t="str">
        <f>VLOOKUP(C208,'mayo-26'!B:AS,44,0)</f>
        <v/>
      </c>
      <c r="AT208" s="12" t="str">
        <f>VLOOKUP(C208,'mayo-26'!B:AT,45,0)</f>
        <v>VERIFICADOR</v>
      </c>
      <c r="AU208" s="16"/>
      <c r="AV208" s="16"/>
      <c r="AW208" s="16"/>
    </row>
    <row r="209" ht="14.25" customHeight="1">
      <c r="A209" s="15" t="s">
        <v>504</v>
      </c>
      <c r="B209" s="16">
        <v>595215.0</v>
      </c>
      <c r="C209" s="16">
        <v>498596.0</v>
      </c>
      <c r="D209" s="16">
        <v>551701.0</v>
      </c>
      <c r="E209" s="18"/>
      <c r="F209" s="18"/>
      <c r="G209" s="16">
        <v>1255073.0</v>
      </c>
      <c r="H209" s="15" t="s">
        <v>505</v>
      </c>
      <c r="I209" s="1" t="str">
        <f>VLOOKUP(C209,'mayo-26'!B:H,7,0)</f>
        <v>CLL 14AN 4A-81 TORRE 6 APTO 301</v>
      </c>
      <c r="J209" s="1" t="s">
        <v>217</v>
      </c>
      <c r="K209" s="10" t="str">
        <f>VLOOKUP(C209,'mayo-26'!B:J,9,0)</f>
        <v>CR PORTACHUELO</v>
      </c>
      <c r="L209" s="1" t="str">
        <f>VLOOKUP(C209,'mayo-26'!B:K,10,0)</f>
        <v>CR PORTACHUELO</v>
      </c>
      <c r="M209" s="15" t="s">
        <v>52</v>
      </c>
      <c r="N209" s="15" t="s">
        <v>89</v>
      </c>
      <c r="O209" s="15" t="s">
        <v>130</v>
      </c>
      <c r="P209" s="15" t="s">
        <v>126</v>
      </c>
      <c r="Q209" s="15" t="s">
        <v>218</v>
      </c>
      <c r="R209" s="15" t="s">
        <v>219</v>
      </c>
      <c r="S209" s="15" t="s">
        <v>133</v>
      </c>
      <c r="T209" s="15" t="s">
        <v>59</v>
      </c>
      <c r="U209" s="16">
        <v>2026.0</v>
      </c>
      <c r="V209" s="16">
        <v>6.0</v>
      </c>
      <c r="W209" s="16">
        <v>1.081875289E9</v>
      </c>
      <c r="X209" s="16">
        <v>1.081893761E9</v>
      </c>
      <c r="Y209" s="17">
        <v>46182.0</v>
      </c>
      <c r="Z209" s="17">
        <v>46207.0</v>
      </c>
      <c r="AA209" s="16">
        <v>49934.3</v>
      </c>
      <c r="AB209" s="16">
        <v>49934.3</v>
      </c>
      <c r="AC209" s="16">
        <v>-1650.7</v>
      </c>
      <c r="AD209" s="16">
        <v>0.0</v>
      </c>
      <c r="AE209" s="16">
        <v>0.0</v>
      </c>
      <c r="AF209" s="16">
        <v>0.0</v>
      </c>
      <c r="AG209" s="16">
        <v>0.0</v>
      </c>
      <c r="AH209" s="16">
        <v>0.0</v>
      </c>
      <c r="AI209" s="16">
        <v>0.0</v>
      </c>
      <c r="AJ209" s="16">
        <v>49934.3</v>
      </c>
      <c r="AK209" s="16">
        <v>100369.06</v>
      </c>
      <c r="AL209" s="16">
        <v>1.0</v>
      </c>
      <c r="AM209" s="16">
        <v>242.77</v>
      </c>
      <c r="AN209" s="16">
        <v>0.0</v>
      </c>
      <c r="AO209" s="18"/>
      <c r="AP209" s="18"/>
      <c r="AQ209" s="18"/>
      <c r="AR209" s="18"/>
      <c r="AS209" s="11" t="str">
        <f>VLOOKUP(C209,'mayo-26'!B:AS,44,0)</f>
        <v/>
      </c>
      <c r="AT209" s="12" t="str">
        <f>VLOOKUP(C209,'mayo-26'!B:AT,45,0)</f>
        <v>VERIFICADOR</v>
      </c>
      <c r="AU209" s="16"/>
      <c r="AV209" s="16"/>
      <c r="AW209" s="16"/>
    </row>
    <row r="210" ht="14.25" customHeight="1">
      <c r="A210" s="15" t="s">
        <v>506</v>
      </c>
      <c r="B210" s="16">
        <v>595219.0</v>
      </c>
      <c r="C210" s="16">
        <v>498600.0</v>
      </c>
      <c r="D210" s="16">
        <v>551705.0</v>
      </c>
      <c r="E210" s="18"/>
      <c r="F210" s="18"/>
      <c r="G210" s="16">
        <v>1255077.0</v>
      </c>
      <c r="H210" s="15" t="s">
        <v>507</v>
      </c>
      <c r="I210" s="1" t="str">
        <f>VLOOKUP(C210,'mayo-26'!B:H,7,0)</f>
        <v>CLL 14AN 4A-81 TORRE 6 APTO 401</v>
      </c>
      <c r="J210" s="1" t="s">
        <v>217</v>
      </c>
      <c r="K210" s="10" t="str">
        <f>VLOOKUP(C210,'mayo-26'!B:J,9,0)</f>
        <v>CR PORTACHUELO</v>
      </c>
      <c r="L210" s="1" t="str">
        <f>VLOOKUP(C210,'mayo-26'!B:K,10,0)</f>
        <v>CR PORTACHUELO</v>
      </c>
      <c r="M210" s="15" t="s">
        <v>52</v>
      </c>
      <c r="N210" s="15" t="s">
        <v>89</v>
      </c>
      <c r="O210" s="15" t="s">
        <v>130</v>
      </c>
      <c r="P210" s="15" t="s">
        <v>126</v>
      </c>
      <c r="Q210" s="15" t="s">
        <v>218</v>
      </c>
      <c r="R210" s="15" t="s">
        <v>219</v>
      </c>
      <c r="S210" s="15" t="s">
        <v>133</v>
      </c>
      <c r="T210" s="15" t="s">
        <v>59</v>
      </c>
      <c r="U210" s="16">
        <v>2026.0</v>
      </c>
      <c r="V210" s="16">
        <v>6.0</v>
      </c>
      <c r="W210" s="16">
        <v>1.081875292E9</v>
      </c>
      <c r="X210" s="16">
        <v>1.081893764E9</v>
      </c>
      <c r="Y210" s="17">
        <v>46182.0</v>
      </c>
      <c r="Z210" s="17">
        <v>46207.0</v>
      </c>
      <c r="AA210" s="16">
        <v>53994.58</v>
      </c>
      <c r="AB210" s="16">
        <v>53994.58</v>
      </c>
      <c r="AC210" s="16">
        <v>-1650.7</v>
      </c>
      <c r="AD210" s="16">
        <v>0.0</v>
      </c>
      <c r="AE210" s="16">
        <v>4060.28</v>
      </c>
      <c r="AF210" s="16">
        <v>0.0</v>
      </c>
      <c r="AG210" s="16">
        <v>0.0</v>
      </c>
      <c r="AH210" s="16">
        <v>0.0</v>
      </c>
      <c r="AI210" s="16">
        <v>0.0</v>
      </c>
      <c r="AJ210" s="16">
        <v>53994.58</v>
      </c>
      <c r="AK210" s="16">
        <v>337498.7</v>
      </c>
      <c r="AL210" s="16">
        <v>6.0</v>
      </c>
      <c r="AM210" s="16">
        <v>242.77</v>
      </c>
      <c r="AN210" s="16">
        <v>0.0</v>
      </c>
      <c r="AO210" s="18"/>
      <c r="AP210" s="18"/>
      <c r="AQ210" s="18"/>
      <c r="AR210" s="18"/>
      <c r="AS210" s="11" t="str">
        <f>VLOOKUP(C210,'mayo-26'!B:AS,44,0)</f>
        <v/>
      </c>
      <c r="AT210" s="12" t="str">
        <f>VLOOKUP(C210,'mayo-26'!B:AT,45,0)</f>
        <v>VERIFICADOR</v>
      </c>
      <c r="AU210" s="16"/>
      <c r="AV210" s="16"/>
      <c r="AW210" s="16"/>
    </row>
    <row r="211" ht="14.25" customHeight="1">
      <c r="A211" s="15" t="s">
        <v>508</v>
      </c>
      <c r="B211" s="16">
        <v>595223.0</v>
      </c>
      <c r="C211" s="16">
        <v>498604.0</v>
      </c>
      <c r="D211" s="16">
        <v>551709.0</v>
      </c>
      <c r="E211" s="18"/>
      <c r="F211" s="18"/>
      <c r="G211" s="16">
        <v>1255081.0</v>
      </c>
      <c r="H211" s="15" t="s">
        <v>509</v>
      </c>
      <c r="I211" s="1" t="str">
        <f>VLOOKUP(C211,'mayo-26'!B:H,7,0)</f>
        <v>CLL 14AN 4A-81 TORRE 7 APTO 101</v>
      </c>
      <c r="J211" s="1" t="s">
        <v>217</v>
      </c>
      <c r="K211" s="10" t="str">
        <f>VLOOKUP(C211,'mayo-26'!B:J,9,0)</f>
        <v>CR PORTACHUELO</v>
      </c>
      <c r="L211" s="1" t="str">
        <f>VLOOKUP(C211,'mayo-26'!B:K,10,0)</f>
        <v>CR PORTACHUELO</v>
      </c>
      <c r="M211" s="15" t="s">
        <v>52</v>
      </c>
      <c r="N211" s="15" t="s">
        <v>89</v>
      </c>
      <c r="O211" s="15" t="s">
        <v>130</v>
      </c>
      <c r="P211" s="15" t="s">
        <v>126</v>
      </c>
      <c r="Q211" s="15" t="s">
        <v>218</v>
      </c>
      <c r="R211" s="15" t="s">
        <v>219</v>
      </c>
      <c r="S211" s="15" t="s">
        <v>133</v>
      </c>
      <c r="T211" s="15" t="s">
        <v>59</v>
      </c>
      <c r="U211" s="16">
        <v>2026.0</v>
      </c>
      <c r="V211" s="16">
        <v>6.0</v>
      </c>
      <c r="W211" s="16">
        <v>1.081875296E9</v>
      </c>
      <c r="X211" s="16">
        <v>1.081893768E9</v>
      </c>
      <c r="Y211" s="17">
        <v>46182.0</v>
      </c>
      <c r="Z211" s="17">
        <v>46207.0</v>
      </c>
      <c r="AA211" s="16">
        <v>49934.3</v>
      </c>
      <c r="AB211" s="16">
        <v>49934.3</v>
      </c>
      <c r="AC211" s="16">
        <v>-1650.7</v>
      </c>
      <c r="AD211" s="16">
        <v>0.0</v>
      </c>
      <c r="AE211" s="16">
        <v>0.0</v>
      </c>
      <c r="AF211" s="16">
        <v>0.0</v>
      </c>
      <c r="AG211" s="16">
        <v>0.0</v>
      </c>
      <c r="AH211" s="16">
        <v>0.0</v>
      </c>
      <c r="AI211" s="16">
        <v>0.0</v>
      </c>
      <c r="AJ211" s="16">
        <v>49934.3</v>
      </c>
      <c r="AK211" s="16">
        <v>49934.3</v>
      </c>
      <c r="AL211" s="16">
        <v>0.0</v>
      </c>
      <c r="AM211" s="16">
        <v>242.77</v>
      </c>
      <c r="AN211" s="16">
        <v>0.0</v>
      </c>
      <c r="AO211" s="18"/>
      <c r="AP211" s="18"/>
      <c r="AQ211" s="18"/>
      <c r="AR211" s="18"/>
      <c r="AS211" s="11" t="str">
        <f>VLOOKUP(C211,'mayo-26'!B:AS,44,0)</f>
        <v/>
      </c>
      <c r="AT211" s="12" t="str">
        <f>VLOOKUP(C211,'mayo-26'!B:AT,45,0)</f>
        <v>VERIFICADOR</v>
      </c>
      <c r="AU211" s="16"/>
      <c r="AV211" s="16"/>
      <c r="AW211" s="16"/>
    </row>
    <row r="212" ht="14.25" customHeight="1">
      <c r="A212" s="15" t="s">
        <v>510</v>
      </c>
      <c r="B212" s="16">
        <v>595227.0</v>
      </c>
      <c r="C212" s="16">
        <v>498608.0</v>
      </c>
      <c r="D212" s="16">
        <v>551713.0</v>
      </c>
      <c r="E212" s="18"/>
      <c r="F212" s="18"/>
      <c r="G212" s="16">
        <v>1255085.0</v>
      </c>
      <c r="H212" s="15" t="s">
        <v>511</v>
      </c>
      <c r="I212" s="1" t="str">
        <f>VLOOKUP(C212,'mayo-26'!B:H,7,0)</f>
        <v>CLL 14AN 4A-81 TORRE 7 APTO 201</v>
      </c>
      <c r="J212" s="1" t="s">
        <v>217</v>
      </c>
      <c r="K212" s="10" t="str">
        <f>VLOOKUP(C212,'mayo-26'!B:J,9,0)</f>
        <v>CR PORTACHUELO</v>
      </c>
      <c r="L212" s="1" t="str">
        <f>VLOOKUP(C212,'mayo-26'!B:K,10,0)</f>
        <v>CR PORTACHUELO</v>
      </c>
      <c r="M212" s="15" t="s">
        <v>52</v>
      </c>
      <c r="N212" s="15" t="s">
        <v>89</v>
      </c>
      <c r="O212" s="15" t="s">
        <v>130</v>
      </c>
      <c r="P212" s="15" t="s">
        <v>126</v>
      </c>
      <c r="Q212" s="15" t="s">
        <v>218</v>
      </c>
      <c r="R212" s="15" t="s">
        <v>219</v>
      </c>
      <c r="S212" s="15" t="s">
        <v>133</v>
      </c>
      <c r="T212" s="15" t="s">
        <v>59</v>
      </c>
      <c r="U212" s="16">
        <v>2026.0</v>
      </c>
      <c r="V212" s="16">
        <v>6.0</v>
      </c>
      <c r="W212" s="16">
        <v>1.081875298E9</v>
      </c>
      <c r="X212" s="16">
        <v>1.08189377E9</v>
      </c>
      <c r="Y212" s="17">
        <v>46182.0</v>
      </c>
      <c r="Z212" s="17">
        <v>46207.0</v>
      </c>
      <c r="AA212" s="16">
        <v>53994.58</v>
      </c>
      <c r="AB212" s="16">
        <v>53994.58</v>
      </c>
      <c r="AC212" s="16">
        <v>-1650.7</v>
      </c>
      <c r="AD212" s="16">
        <v>0.0</v>
      </c>
      <c r="AE212" s="16">
        <v>4060.28</v>
      </c>
      <c r="AF212" s="16">
        <v>0.0</v>
      </c>
      <c r="AG212" s="16">
        <v>0.0</v>
      </c>
      <c r="AH212" s="16">
        <v>0.0</v>
      </c>
      <c r="AI212" s="16">
        <v>0.0</v>
      </c>
      <c r="AJ212" s="16">
        <v>53994.58</v>
      </c>
      <c r="AK212" s="16">
        <v>337498.7</v>
      </c>
      <c r="AL212" s="16">
        <v>6.0</v>
      </c>
      <c r="AM212" s="16">
        <v>242.77</v>
      </c>
      <c r="AN212" s="16">
        <v>0.0</v>
      </c>
      <c r="AO212" s="18"/>
      <c r="AP212" s="18"/>
      <c r="AQ212" s="18"/>
      <c r="AR212" s="18"/>
      <c r="AS212" s="11" t="str">
        <f>VLOOKUP(C212,'mayo-26'!B:AS,44,0)</f>
        <v/>
      </c>
      <c r="AT212" s="12" t="str">
        <f>VLOOKUP(C212,'mayo-26'!B:AT,45,0)</f>
        <v>VERIFICADOR</v>
      </c>
      <c r="AU212" s="16"/>
      <c r="AV212" s="16"/>
      <c r="AW212" s="16"/>
    </row>
    <row r="213" ht="14.25" customHeight="1">
      <c r="A213" s="15" t="s">
        <v>512</v>
      </c>
      <c r="B213" s="16">
        <v>595231.0</v>
      </c>
      <c r="C213" s="16">
        <v>498612.0</v>
      </c>
      <c r="D213" s="16">
        <v>551717.0</v>
      </c>
      <c r="E213" s="18"/>
      <c r="F213" s="18"/>
      <c r="G213" s="16">
        <v>1255089.0</v>
      </c>
      <c r="H213" s="15" t="s">
        <v>513</v>
      </c>
      <c r="I213" s="1" t="str">
        <f>VLOOKUP(C213,'mayo-26'!B:H,7,0)</f>
        <v>CLL 14AN 4A-81 TORRE 7 APTO 301</v>
      </c>
      <c r="J213" s="1" t="s">
        <v>217</v>
      </c>
      <c r="K213" s="10" t="str">
        <f>VLOOKUP(C213,'mayo-26'!B:J,9,0)</f>
        <v>CR PORTACHUELO</v>
      </c>
      <c r="L213" s="1" t="str">
        <f>VLOOKUP(C213,'mayo-26'!B:K,10,0)</f>
        <v>CR PORTACHUELO</v>
      </c>
      <c r="M213" s="15" t="s">
        <v>52</v>
      </c>
      <c r="N213" s="15" t="s">
        <v>89</v>
      </c>
      <c r="O213" s="15" t="s">
        <v>130</v>
      </c>
      <c r="P213" s="15" t="s">
        <v>126</v>
      </c>
      <c r="Q213" s="15" t="s">
        <v>218</v>
      </c>
      <c r="R213" s="15" t="s">
        <v>219</v>
      </c>
      <c r="S213" s="15" t="s">
        <v>133</v>
      </c>
      <c r="T213" s="15" t="s">
        <v>59</v>
      </c>
      <c r="U213" s="16">
        <v>2026.0</v>
      </c>
      <c r="V213" s="16">
        <v>6.0</v>
      </c>
      <c r="W213" s="16">
        <v>1.081875302E9</v>
      </c>
      <c r="X213" s="16">
        <v>1.081893774E9</v>
      </c>
      <c r="Y213" s="17">
        <v>46182.0</v>
      </c>
      <c r="Z213" s="17">
        <v>46207.0</v>
      </c>
      <c r="AA213" s="16">
        <v>49934.3</v>
      </c>
      <c r="AB213" s="16">
        <v>49934.3</v>
      </c>
      <c r="AC213" s="16">
        <v>-1650.7</v>
      </c>
      <c r="AD213" s="16">
        <v>0.0</v>
      </c>
      <c r="AE213" s="16">
        <v>0.0</v>
      </c>
      <c r="AF213" s="16">
        <v>0.0</v>
      </c>
      <c r="AG213" s="16">
        <v>0.0</v>
      </c>
      <c r="AH213" s="16">
        <v>0.0</v>
      </c>
      <c r="AI213" s="16">
        <v>0.0</v>
      </c>
      <c r="AJ213" s="16">
        <v>49934.3</v>
      </c>
      <c r="AK213" s="16">
        <v>49934.3</v>
      </c>
      <c r="AL213" s="16">
        <v>0.0</v>
      </c>
      <c r="AM213" s="16">
        <v>242.77</v>
      </c>
      <c r="AN213" s="16">
        <v>0.0</v>
      </c>
      <c r="AO213" s="18"/>
      <c r="AP213" s="18"/>
      <c r="AQ213" s="18"/>
      <c r="AR213" s="18"/>
      <c r="AS213" s="11" t="str">
        <f>VLOOKUP(C213,'mayo-26'!B:AS,44,0)</f>
        <v/>
      </c>
      <c r="AT213" s="12" t="str">
        <f>VLOOKUP(C213,'mayo-26'!B:AT,45,0)</f>
        <v>VERIFICADOR</v>
      </c>
      <c r="AU213" s="16"/>
      <c r="AV213" s="16"/>
      <c r="AW213" s="16"/>
    </row>
    <row r="214" ht="14.25" customHeight="1">
      <c r="A214" s="15" t="s">
        <v>514</v>
      </c>
      <c r="B214" s="16">
        <v>595235.0</v>
      </c>
      <c r="C214" s="16">
        <v>498616.0</v>
      </c>
      <c r="D214" s="16">
        <v>551721.0</v>
      </c>
      <c r="E214" s="18"/>
      <c r="F214" s="18"/>
      <c r="G214" s="16">
        <v>1255093.0</v>
      </c>
      <c r="H214" s="15" t="s">
        <v>515</v>
      </c>
      <c r="I214" s="1" t="str">
        <f>VLOOKUP(C214,'mayo-26'!B:H,7,0)</f>
        <v>CLL 14AN 4A-81 TORRE 7 APTO 401</v>
      </c>
      <c r="J214" s="1" t="s">
        <v>217</v>
      </c>
      <c r="K214" s="10" t="str">
        <f>VLOOKUP(C214,'mayo-26'!B:J,9,0)</f>
        <v>CR PORTACHUELO</v>
      </c>
      <c r="L214" s="1" t="str">
        <f>VLOOKUP(C214,'mayo-26'!B:K,10,0)</f>
        <v>CR PORTACHUELO</v>
      </c>
      <c r="M214" s="15" t="s">
        <v>52</v>
      </c>
      <c r="N214" s="15" t="s">
        <v>89</v>
      </c>
      <c r="O214" s="15" t="s">
        <v>130</v>
      </c>
      <c r="P214" s="15" t="s">
        <v>126</v>
      </c>
      <c r="Q214" s="15" t="s">
        <v>218</v>
      </c>
      <c r="R214" s="15" t="s">
        <v>219</v>
      </c>
      <c r="S214" s="15" t="s">
        <v>133</v>
      </c>
      <c r="T214" s="15" t="s">
        <v>59</v>
      </c>
      <c r="U214" s="16">
        <v>2026.0</v>
      </c>
      <c r="V214" s="16">
        <v>6.0</v>
      </c>
      <c r="W214" s="16">
        <v>1.081875305E9</v>
      </c>
      <c r="X214" s="16">
        <v>1.081893777E9</v>
      </c>
      <c r="Y214" s="17">
        <v>46182.0</v>
      </c>
      <c r="Z214" s="17">
        <v>46207.0</v>
      </c>
      <c r="AA214" s="16">
        <v>53994.58</v>
      </c>
      <c r="AB214" s="16">
        <v>53994.58</v>
      </c>
      <c r="AC214" s="16">
        <v>-1650.7</v>
      </c>
      <c r="AD214" s="16">
        <v>0.0</v>
      </c>
      <c r="AE214" s="16">
        <v>4060.28</v>
      </c>
      <c r="AF214" s="16">
        <v>0.0</v>
      </c>
      <c r="AG214" s="16">
        <v>0.0</v>
      </c>
      <c r="AH214" s="16">
        <v>0.0</v>
      </c>
      <c r="AI214" s="16">
        <v>0.0</v>
      </c>
      <c r="AJ214" s="16">
        <v>53994.58</v>
      </c>
      <c r="AK214" s="16">
        <v>337498.7</v>
      </c>
      <c r="AL214" s="16">
        <v>6.0</v>
      </c>
      <c r="AM214" s="16">
        <v>242.77</v>
      </c>
      <c r="AN214" s="16">
        <v>0.0</v>
      </c>
      <c r="AO214" s="18"/>
      <c r="AP214" s="18"/>
      <c r="AQ214" s="18"/>
      <c r="AR214" s="18"/>
      <c r="AS214" s="11" t="str">
        <f>VLOOKUP(C214,'mayo-26'!B:AS,44,0)</f>
        <v/>
      </c>
      <c r="AT214" s="12" t="str">
        <f>VLOOKUP(C214,'mayo-26'!B:AT,45,0)</f>
        <v>VERIFICADOR</v>
      </c>
      <c r="AU214" s="16"/>
      <c r="AV214" s="16"/>
      <c r="AW214" s="16"/>
    </row>
    <row r="215" ht="14.25" customHeight="1">
      <c r="A215" s="15" t="s">
        <v>516</v>
      </c>
      <c r="B215" s="16">
        <v>205535.0</v>
      </c>
      <c r="C215" s="16">
        <v>205534.0</v>
      </c>
      <c r="D215" s="16">
        <v>205534.0</v>
      </c>
      <c r="E215" s="16">
        <v>357.0</v>
      </c>
      <c r="F215" s="16">
        <v>357.0</v>
      </c>
      <c r="G215" s="16">
        <v>9.00844774E8</v>
      </c>
      <c r="H215" s="15" t="s">
        <v>517</v>
      </c>
      <c r="I215" s="1" t="str">
        <f>VLOOKUP(C215,'mayo-26'!B:H,7,0)</f>
        <v>CLL 7N 5-52 1219</v>
      </c>
      <c r="J215" s="1" t="s">
        <v>172</v>
      </c>
      <c r="K215" s="10" t="str">
        <f>VLOOKUP(C215,'mayo-26'!B:J,9,0)</f>
        <v>NO</v>
      </c>
      <c r="L215" s="1" t="str">
        <f>VLOOKUP(C215,'mayo-26'!B:K,10,0)</f>
        <v>NO</v>
      </c>
      <c r="M215" s="15" t="s">
        <v>52</v>
      </c>
      <c r="N215" s="15" t="s">
        <v>89</v>
      </c>
      <c r="O215" s="15" t="s">
        <v>130</v>
      </c>
      <c r="P215" s="15" t="s">
        <v>126</v>
      </c>
      <c r="Q215" s="15" t="s">
        <v>56</v>
      </c>
      <c r="R215" s="15" t="s">
        <v>90</v>
      </c>
      <c r="S215" s="15" t="s">
        <v>143</v>
      </c>
      <c r="T215" s="15" t="s">
        <v>59</v>
      </c>
      <c r="U215" s="16">
        <v>2026.0</v>
      </c>
      <c r="V215" s="16">
        <v>6.0</v>
      </c>
      <c r="W215" s="16">
        <v>1.081875093E9</v>
      </c>
      <c r="X215" s="16">
        <v>1.081893565E9</v>
      </c>
      <c r="Y215" s="17">
        <v>46182.0</v>
      </c>
      <c r="Z215" s="17">
        <v>46207.0</v>
      </c>
      <c r="AA215" s="16">
        <v>131333.9</v>
      </c>
      <c r="AB215" s="16">
        <v>131333.9</v>
      </c>
      <c r="AC215" s="16">
        <v>43777.97</v>
      </c>
      <c r="AD215" s="16">
        <v>263.0</v>
      </c>
      <c r="AE215" s="16">
        <v>0.0</v>
      </c>
      <c r="AF215" s="16">
        <v>0.0</v>
      </c>
      <c r="AG215" s="16">
        <v>0.0</v>
      </c>
      <c r="AH215" s="16">
        <v>0.0</v>
      </c>
      <c r="AI215" s="16">
        <v>0.0</v>
      </c>
      <c r="AJ215" s="16">
        <v>131333.9</v>
      </c>
      <c r="AK215" s="16">
        <v>263457.34</v>
      </c>
      <c r="AL215" s="16">
        <v>1.0</v>
      </c>
      <c r="AM215" s="16">
        <v>376.2</v>
      </c>
      <c r="AN215" s="16">
        <v>0.0</v>
      </c>
      <c r="AO215" s="18"/>
      <c r="AP215" s="18"/>
      <c r="AQ215" s="18"/>
      <c r="AR215" s="18"/>
      <c r="AS215" s="11" t="str">
        <f>VLOOKUP(C215,'mayo-26'!B:AS,44,0)</f>
        <v>POLINORTSAS@GMAIL.COM</v>
      </c>
      <c r="AT215" s="12" t="str">
        <f>VLOOKUP(C215,'mayo-26'!B:AT,45,0)</f>
        <v>CORREO ELECTRONICO CERTIFICADO 472</v>
      </c>
      <c r="AU215" s="16"/>
      <c r="AV215" s="16"/>
      <c r="AW215" s="16"/>
    </row>
    <row r="216" ht="14.25" customHeight="1">
      <c r="A216" s="15" t="s">
        <v>518</v>
      </c>
      <c r="B216" s="16">
        <v>699.0</v>
      </c>
      <c r="C216" s="16">
        <v>223418.0</v>
      </c>
      <c r="D216" s="16">
        <v>223418.0</v>
      </c>
      <c r="E216" s="16">
        <v>46462.0</v>
      </c>
      <c r="F216" s="16">
        <v>46462.0</v>
      </c>
      <c r="G216" s="16">
        <v>9.00480569E8</v>
      </c>
      <c r="H216" s="15" t="s">
        <v>141</v>
      </c>
      <c r="I216" s="1" t="str">
        <f>VLOOKUP(C216,'mayo-26'!B:H,7,0)</f>
        <v>CLL 12 4-52 CENTRO</v>
      </c>
      <c r="J216" s="1" t="s">
        <v>137</v>
      </c>
      <c r="K216" s="10" t="str">
        <f>VLOOKUP(C216,'mayo-26'!B:J,9,0)</f>
        <v>NO</v>
      </c>
      <c r="L216" s="1" t="str">
        <f>VLOOKUP(C216,'mayo-26'!B:K,10,0)</f>
        <v>ARA CUCUTA</v>
      </c>
      <c r="M216" s="15" t="s">
        <v>52</v>
      </c>
      <c r="N216" s="15" t="s">
        <v>138</v>
      </c>
      <c r="O216" s="15" t="s">
        <v>130</v>
      </c>
      <c r="P216" s="15" t="s">
        <v>126</v>
      </c>
      <c r="Q216" s="15" t="s">
        <v>56</v>
      </c>
      <c r="R216" s="15" t="s">
        <v>90</v>
      </c>
      <c r="S216" s="15" t="s">
        <v>143</v>
      </c>
      <c r="T216" s="15" t="s">
        <v>59</v>
      </c>
      <c r="U216" s="16">
        <v>2026.0</v>
      </c>
      <c r="V216" s="16">
        <v>6.0</v>
      </c>
      <c r="W216" s="16">
        <v>1.081875095E9</v>
      </c>
      <c r="X216" s="16">
        <v>1.081893567E9</v>
      </c>
      <c r="Y216" s="17">
        <v>46182.0</v>
      </c>
      <c r="Z216" s="17">
        <v>46207.0</v>
      </c>
      <c r="AA216" s="16">
        <v>566842.29</v>
      </c>
      <c r="AB216" s="16">
        <v>566842.29</v>
      </c>
      <c r="AC216" s="16">
        <v>188947.43</v>
      </c>
      <c r="AD216" s="16">
        <v>1793.0</v>
      </c>
      <c r="AE216" s="16">
        <v>0.01</v>
      </c>
      <c r="AF216" s="16">
        <v>0.0</v>
      </c>
      <c r="AG216" s="16">
        <v>0.0</v>
      </c>
      <c r="AH216" s="16">
        <v>0.0</v>
      </c>
      <c r="AI216" s="16">
        <v>0.0</v>
      </c>
      <c r="AJ216" s="16">
        <v>566842.29</v>
      </c>
      <c r="AK216" s="16">
        <v>1134582.85</v>
      </c>
      <c r="AL216" s="16">
        <v>2.0</v>
      </c>
      <c r="AM216" s="16">
        <v>376.2</v>
      </c>
      <c r="AN216" s="16">
        <v>0.0</v>
      </c>
      <c r="AO216" s="18"/>
      <c r="AP216" s="18"/>
      <c r="AQ216" s="18"/>
      <c r="AR216" s="18"/>
      <c r="AS216" s="11" t="str">
        <f>VLOOKUP(C216,'mayo-26'!B:AS,44,0)</f>
        <v>COORDINADOR.OPERACIONES.R11@JERONIMO-MARTINS.COM</v>
      </c>
      <c r="AT216" s="12" t="str">
        <f>VLOOKUP(C216,'mayo-26'!B:AT,45,0)</f>
        <v>CORREO ELECTRONICO CERTIFICADO 472</v>
      </c>
      <c r="AU216" s="16"/>
      <c r="AV216" s="16"/>
      <c r="AW216" s="16"/>
    </row>
    <row r="217" ht="14.25" customHeight="1">
      <c r="A217" s="19" t="s">
        <v>519</v>
      </c>
      <c r="B217" s="16">
        <v>297.0</v>
      </c>
      <c r="C217" s="16">
        <v>231546.0</v>
      </c>
      <c r="D217" s="16">
        <v>231546.0</v>
      </c>
      <c r="E217" s="16">
        <v>204768.0</v>
      </c>
      <c r="F217" s="16">
        <v>204768.0</v>
      </c>
      <c r="G217" s="15" t="s">
        <v>135</v>
      </c>
      <c r="H217" s="15" t="s">
        <v>136</v>
      </c>
      <c r="I217" s="1" t="str">
        <f>VLOOKUP(C217,'mayo-26'!B:H,7,0)</f>
        <v>AVE 4 17-89 - 0239431</v>
      </c>
      <c r="J217" s="1" t="s">
        <v>202</v>
      </c>
      <c r="K217" s="10" t="str">
        <f>VLOOKUP(C217,'mayo-26'!B:J,9,0)</f>
        <v>NO</v>
      </c>
      <c r="L217" s="1" t="str">
        <f>VLOOKUP(C217,'mayo-26'!B:K,10,0)</f>
        <v>IMSALUD</v>
      </c>
      <c r="M217" s="15" t="s">
        <v>52</v>
      </c>
      <c r="N217" s="15" t="s">
        <v>138</v>
      </c>
      <c r="O217" s="15" t="s">
        <v>130</v>
      </c>
      <c r="P217" s="15" t="s">
        <v>126</v>
      </c>
      <c r="Q217" s="15" t="s">
        <v>131</v>
      </c>
      <c r="R217" s="15" t="s">
        <v>151</v>
      </c>
      <c r="S217" s="15" t="s">
        <v>133</v>
      </c>
      <c r="T217" s="15" t="s">
        <v>59</v>
      </c>
      <c r="U217" s="16">
        <v>2026.0</v>
      </c>
      <c r="V217" s="16">
        <v>6.0</v>
      </c>
      <c r="W217" s="16">
        <v>1.0818751E9</v>
      </c>
      <c r="X217" s="16">
        <v>1.081893572E9</v>
      </c>
      <c r="Y217" s="17">
        <v>46182.0</v>
      </c>
      <c r="Z217" s="17">
        <v>46207.0</v>
      </c>
      <c r="AA217" s="16">
        <v>75419.0</v>
      </c>
      <c r="AB217" s="16">
        <v>75419.0</v>
      </c>
      <c r="AC217" s="16">
        <v>0.0</v>
      </c>
      <c r="AD217" s="16">
        <v>0.0</v>
      </c>
      <c r="AE217" s="16">
        <v>0.0</v>
      </c>
      <c r="AF217" s="16">
        <v>0.0</v>
      </c>
      <c r="AG217" s="16">
        <v>0.0</v>
      </c>
      <c r="AH217" s="16">
        <v>0.0</v>
      </c>
      <c r="AI217" s="16">
        <v>0.0</v>
      </c>
      <c r="AJ217" s="16">
        <v>75419.0</v>
      </c>
      <c r="AK217" s="16">
        <v>75419.0</v>
      </c>
      <c r="AL217" s="16">
        <v>0.0</v>
      </c>
      <c r="AM217" s="16">
        <v>250.8</v>
      </c>
      <c r="AN217" s="16">
        <v>0.0</v>
      </c>
      <c r="AO217" s="18"/>
      <c r="AP217" s="18"/>
      <c r="AQ217" s="18"/>
      <c r="AR217" s="18"/>
      <c r="AS217" s="11" t="str">
        <f>VLOOKUP(C217,'mayo-26'!B:AS,44,0)</f>
        <v>SUBFINANCIERA@IMSALUD.GOV.CO</v>
      </c>
      <c r="AT217" s="12" t="str">
        <f>VLOOKUP(C217,'mayo-26'!B:AT,45,0)</f>
        <v>CORREO ELECTRONICO CERTIFICADO 472</v>
      </c>
      <c r="AU217" s="16"/>
      <c r="AV217" s="16"/>
      <c r="AW217" s="16"/>
    </row>
    <row r="218" ht="14.25" customHeight="1">
      <c r="A218" s="15" t="s">
        <v>520</v>
      </c>
      <c r="B218" s="16">
        <v>297.0</v>
      </c>
      <c r="C218" s="16">
        <v>237126.0</v>
      </c>
      <c r="D218" s="16">
        <v>237126.0</v>
      </c>
      <c r="E218" s="16">
        <v>302764.0</v>
      </c>
      <c r="F218" s="16">
        <v>302764.0</v>
      </c>
      <c r="G218" s="15" t="s">
        <v>135</v>
      </c>
      <c r="H218" s="15" t="s">
        <v>136</v>
      </c>
      <c r="I218" s="1" t="str">
        <f>VLOOKUP(C218,'mayo-26'!B:H,7,0)</f>
        <v>AVE 4 17-89 - 0239431</v>
      </c>
      <c r="J218" s="1" t="s">
        <v>142</v>
      </c>
      <c r="K218" s="10" t="str">
        <f>VLOOKUP(C218,'mayo-26'!B:J,9,0)</f>
        <v>NO</v>
      </c>
      <c r="L218" s="1" t="str">
        <f>VLOOKUP(C218,'mayo-26'!B:K,10,0)</f>
        <v>IMSALUD</v>
      </c>
      <c r="M218" s="15" t="s">
        <v>52</v>
      </c>
      <c r="N218" s="15" t="s">
        <v>138</v>
      </c>
      <c r="O218" s="15" t="s">
        <v>130</v>
      </c>
      <c r="P218" s="15" t="s">
        <v>126</v>
      </c>
      <c r="Q218" s="15" t="s">
        <v>56</v>
      </c>
      <c r="R218" s="15" t="s">
        <v>57</v>
      </c>
      <c r="S218" s="15" t="s">
        <v>143</v>
      </c>
      <c r="T218" s="15" t="s">
        <v>59</v>
      </c>
      <c r="U218" s="16">
        <v>2026.0</v>
      </c>
      <c r="V218" s="16">
        <v>6.0</v>
      </c>
      <c r="W218" s="16">
        <v>1.081875104E9</v>
      </c>
      <c r="X218" s="16">
        <v>1.081893576E9</v>
      </c>
      <c r="Y218" s="17">
        <v>46182.0</v>
      </c>
      <c r="Z218" s="17">
        <v>46207.0</v>
      </c>
      <c r="AA218" s="16">
        <v>102642.18</v>
      </c>
      <c r="AB218" s="16">
        <v>102642.18</v>
      </c>
      <c r="AC218" s="16">
        <v>0.0</v>
      </c>
      <c r="AD218" s="16">
        <v>342.5</v>
      </c>
      <c r="AE218" s="16">
        <v>0.0</v>
      </c>
      <c r="AF218" s="16">
        <v>0.0</v>
      </c>
      <c r="AG218" s="16">
        <v>0.0</v>
      </c>
      <c r="AH218" s="16">
        <v>0.0</v>
      </c>
      <c r="AI218" s="16">
        <v>0.0</v>
      </c>
      <c r="AJ218" s="16">
        <v>102642.18</v>
      </c>
      <c r="AK218" s="16">
        <v>102642.18</v>
      </c>
      <c r="AL218" s="16">
        <v>0.0</v>
      </c>
      <c r="AM218" s="16">
        <v>250.8</v>
      </c>
      <c r="AN218" s="16">
        <v>0.0</v>
      </c>
      <c r="AO218" s="18"/>
      <c r="AP218" s="18"/>
      <c r="AQ218" s="18"/>
      <c r="AR218" s="18"/>
      <c r="AS218" s="11" t="str">
        <f>VLOOKUP(C218,'mayo-26'!B:AS,44,0)</f>
        <v>SUBFINANCIERA@IMSALUD.GOV.CO</v>
      </c>
      <c r="AT218" s="12" t="str">
        <f>VLOOKUP(C218,'mayo-26'!B:AT,45,0)</f>
        <v>CORREO ELECTRONICO CERTIFICADO 472</v>
      </c>
      <c r="AU218" s="16"/>
      <c r="AV218" s="16"/>
      <c r="AW218" s="16"/>
    </row>
    <row r="219" ht="14.25" customHeight="1">
      <c r="A219" s="15" t="s">
        <v>521</v>
      </c>
      <c r="B219" s="16">
        <v>297.0</v>
      </c>
      <c r="C219" s="16">
        <v>239762.0</v>
      </c>
      <c r="D219" s="16">
        <v>239762.0</v>
      </c>
      <c r="E219" s="16">
        <v>402470.0</v>
      </c>
      <c r="F219" s="16">
        <v>402470.0</v>
      </c>
      <c r="G219" s="15" t="s">
        <v>135</v>
      </c>
      <c r="H219" s="15" t="s">
        <v>136</v>
      </c>
      <c r="I219" s="1" t="str">
        <f>VLOOKUP(C219,'mayo-26'!B:H,7,0)</f>
        <v>AVE 4 17-89 - 0239431</v>
      </c>
      <c r="J219" s="1" t="s">
        <v>253</v>
      </c>
      <c r="K219" s="10" t="str">
        <f>VLOOKUP(C219,'mayo-26'!B:J,9,0)</f>
        <v>NO</v>
      </c>
      <c r="L219" s="1" t="str">
        <f>VLOOKUP(C219,'mayo-26'!B:K,10,0)</f>
        <v>IMSALUD</v>
      </c>
      <c r="M219" s="15" t="s">
        <v>52</v>
      </c>
      <c r="N219" s="15" t="s">
        <v>138</v>
      </c>
      <c r="O219" s="15" t="s">
        <v>130</v>
      </c>
      <c r="P219" s="15" t="s">
        <v>126</v>
      </c>
      <c r="Q219" s="15" t="s">
        <v>56</v>
      </c>
      <c r="R219" s="15" t="s">
        <v>57</v>
      </c>
      <c r="S219" s="15" t="s">
        <v>143</v>
      </c>
      <c r="T219" s="15" t="s">
        <v>59</v>
      </c>
      <c r="U219" s="16">
        <v>2026.0</v>
      </c>
      <c r="V219" s="16">
        <v>6.0</v>
      </c>
      <c r="W219" s="16">
        <v>1.081875107E9</v>
      </c>
      <c r="X219" s="16">
        <v>1.081893579E9</v>
      </c>
      <c r="Y219" s="17">
        <v>46182.0</v>
      </c>
      <c r="Z219" s="17">
        <v>46207.0</v>
      </c>
      <c r="AA219" s="16">
        <v>531508.82</v>
      </c>
      <c r="AB219" s="16">
        <v>531508.82</v>
      </c>
      <c r="AC219" s="16">
        <v>0.0</v>
      </c>
      <c r="AD219" s="16">
        <v>2602.5</v>
      </c>
      <c r="AE219" s="16">
        <v>0.0</v>
      </c>
      <c r="AF219" s="16">
        <v>0.0</v>
      </c>
      <c r="AG219" s="16">
        <v>0.0</v>
      </c>
      <c r="AH219" s="16">
        <v>0.0</v>
      </c>
      <c r="AI219" s="16">
        <v>0.0</v>
      </c>
      <c r="AJ219" s="16">
        <v>531508.82</v>
      </c>
      <c r="AK219" s="16">
        <v>531508.82</v>
      </c>
      <c r="AL219" s="16">
        <v>0.0</v>
      </c>
      <c r="AM219" s="16">
        <v>250.8</v>
      </c>
      <c r="AN219" s="16">
        <v>0.0</v>
      </c>
      <c r="AO219" s="18"/>
      <c r="AP219" s="18"/>
      <c r="AQ219" s="18"/>
      <c r="AR219" s="18"/>
      <c r="AS219" s="11" t="str">
        <f>VLOOKUP(C219,'mayo-26'!B:AS,44,0)</f>
        <v>SUBFINANCIERA@IMSALUD.GOV.CO</v>
      </c>
      <c r="AT219" s="12" t="str">
        <f>VLOOKUP(C219,'mayo-26'!B:AT,45,0)</f>
        <v>CORREO ELECTRONICO CERTIFICADO 472</v>
      </c>
      <c r="AU219" s="16"/>
      <c r="AV219" s="16"/>
      <c r="AW219" s="16"/>
    </row>
    <row r="220" ht="14.25" customHeight="1">
      <c r="A220" s="15" t="s">
        <v>522</v>
      </c>
      <c r="B220" s="16">
        <v>141.0</v>
      </c>
      <c r="C220" s="16">
        <v>240430.0</v>
      </c>
      <c r="D220" s="16">
        <v>240430.0</v>
      </c>
      <c r="E220" s="16">
        <v>413625.0</v>
      </c>
      <c r="F220" s="16">
        <v>413625.0</v>
      </c>
      <c r="G220" s="16">
        <v>8.90500514E8</v>
      </c>
      <c r="H220" s="15" t="s">
        <v>145</v>
      </c>
      <c r="I220" s="1" t="str">
        <f>VLOOKUP(C220,'mayo-26'!B:H,7,0)</f>
        <v>AV 2 CALLE 39 LIBERTAD</v>
      </c>
      <c r="J220" s="1" t="s">
        <v>523</v>
      </c>
      <c r="K220" s="10" t="str">
        <f>VLOOKUP(C220,'mayo-26'!B:J,9,0)</f>
        <v>NO</v>
      </c>
      <c r="L220" s="1" t="str">
        <f>VLOOKUP(C220,'mayo-26'!B:K,10,0)</f>
        <v>CENS</v>
      </c>
      <c r="M220" s="15" t="s">
        <v>52</v>
      </c>
      <c r="N220" s="15" t="s">
        <v>138</v>
      </c>
      <c r="O220" s="15" t="s">
        <v>130</v>
      </c>
      <c r="P220" s="15" t="s">
        <v>126</v>
      </c>
      <c r="Q220" s="15" t="s">
        <v>56</v>
      </c>
      <c r="R220" s="15" t="s">
        <v>90</v>
      </c>
      <c r="S220" s="15" t="s">
        <v>58</v>
      </c>
      <c r="T220" s="15" t="s">
        <v>59</v>
      </c>
      <c r="U220" s="16">
        <v>2026.0</v>
      </c>
      <c r="V220" s="16">
        <v>6.0</v>
      </c>
      <c r="W220" s="16">
        <v>1.08187511E9</v>
      </c>
      <c r="X220" s="16">
        <v>1.081893582E9</v>
      </c>
      <c r="Y220" s="17">
        <v>46182.0</v>
      </c>
      <c r="Z220" s="17">
        <v>46207.0</v>
      </c>
      <c r="AA220" s="16">
        <v>1995622.9</v>
      </c>
      <c r="AB220" s="16">
        <v>1995622.9</v>
      </c>
      <c r="AC220" s="16">
        <v>665207.64</v>
      </c>
      <c r="AD220" s="16">
        <v>6812.5</v>
      </c>
      <c r="AE220" s="16">
        <v>0.0</v>
      </c>
      <c r="AF220" s="16">
        <v>0.0</v>
      </c>
      <c r="AG220" s="16">
        <v>0.0</v>
      </c>
      <c r="AH220" s="16">
        <v>0.0</v>
      </c>
      <c r="AI220" s="16">
        <v>0.0</v>
      </c>
      <c r="AJ220" s="16">
        <v>1995622.9</v>
      </c>
      <c r="AK220" s="16">
        <v>1995622.9</v>
      </c>
      <c r="AL220" s="16">
        <v>0.0</v>
      </c>
      <c r="AM220" s="16">
        <v>376.2</v>
      </c>
      <c r="AN220" s="16">
        <v>0.0</v>
      </c>
      <c r="AO220" s="18"/>
      <c r="AP220" s="18"/>
      <c r="AQ220" s="18"/>
      <c r="AR220" s="18"/>
      <c r="AS220" s="11" t="str">
        <f>VLOOKUP(C220,'mayo-26'!B:AS,44,0)</f>
        <v>FACTURAELECTRONICACENS@GRUPO-EPM.COM</v>
      </c>
      <c r="AT220" s="12" t="str">
        <f>VLOOKUP(C220,'mayo-26'!B:AT,45,0)</f>
        <v>CORREO ELECTRONICO CERTIFICADO 472</v>
      </c>
      <c r="AU220" s="16"/>
      <c r="AV220" s="16"/>
      <c r="AW220" s="16"/>
    </row>
    <row r="221" ht="14.25" customHeight="1">
      <c r="A221" s="19" t="s">
        <v>524</v>
      </c>
      <c r="B221" s="16">
        <v>242563.0</v>
      </c>
      <c r="C221" s="16">
        <v>242562.0</v>
      </c>
      <c r="D221" s="16">
        <v>242562.0</v>
      </c>
      <c r="E221" s="16">
        <v>450742.0</v>
      </c>
      <c r="F221" s="16">
        <v>450742.0</v>
      </c>
      <c r="G221" s="16">
        <v>450742.0</v>
      </c>
      <c r="H221" s="15" t="s">
        <v>525</v>
      </c>
      <c r="I221" s="1" t="str">
        <f>VLOOKUP(C221,'mayo-26'!B:H,7,0)</f>
        <v>CLL 21 5-02-1 1153</v>
      </c>
      <c r="J221" s="1" t="s">
        <v>222</v>
      </c>
      <c r="K221" s="10" t="str">
        <f>VLOOKUP(C221,'mayo-26'!B:J,9,0)</f>
        <v>NO</v>
      </c>
      <c r="L221" s="1" t="str">
        <f>VLOOKUP(C221,'mayo-26'!B:K,10,0)</f>
        <v>D1</v>
      </c>
      <c r="M221" s="15" t="s">
        <v>52</v>
      </c>
      <c r="N221" s="15" t="s">
        <v>138</v>
      </c>
      <c r="O221" s="15" t="s">
        <v>130</v>
      </c>
      <c r="P221" s="15" t="s">
        <v>126</v>
      </c>
      <c r="Q221" s="15" t="s">
        <v>131</v>
      </c>
      <c r="R221" s="15" t="s">
        <v>132</v>
      </c>
      <c r="S221" s="15" t="s">
        <v>133</v>
      </c>
      <c r="T221" s="15" t="s">
        <v>59</v>
      </c>
      <c r="U221" s="16">
        <v>2026.0</v>
      </c>
      <c r="V221" s="16">
        <v>6.0</v>
      </c>
      <c r="W221" s="16">
        <v>1.081875113E9</v>
      </c>
      <c r="X221" s="16">
        <v>1.081893585E9</v>
      </c>
      <c r="Y221" s="17">
        <v>46182.0</v>
      </c>
      <c r="Z221" s="17">
        <v>46207.0</v>
      </c>
      <c r="AA221" s="16">
        <v>115257.0</v>
      </c>
      <c r="AB221" s="16">
        <v>115257.0</v>
      </c>
      <c r="AC221" s="16">
        <v>38419.0</v>
      </c>
      <c r="AD221" s="16">
        <v>0.0</v>
      </c>
      <c r="AE221" s="16">
        <v>0.0</v>
      </c>
      <c r="AF221" s="16">
        <v>0.0</v>
      </c>
      <c r="AG221" s="16">
        <v>0.0</v>
      </c>
      <c r="AH221" s="16">
        <v>0.0</v>
      </c>
      <c r="AI221" s="16">
        <v>0.0</v>
      </c>
      <c r="AJ221" s="16">
        <v>115257.0</v>
      </c>
      <c r="AK221" s="16">
        <v>450502.0</v>
      </c>
      <c r="AL221" s="16">
        <v>1.0</v>
      </c>
      <c r="AM221" s="16">
        <v>6420.0</v>
      </c>
      <c r="AN221" s="16">
        <v>0.0</v>
      </c>
      <c r="AO221" s="18"/>
      <c r="AP221" s="18"/>
      <c r="AQ221" s="18"/>
      <c r="AR221" s="18"/>
      <c r="AS221" s="11" t="str">
        <f>VLOOKUP(C221,'mayo-26'!B:AS,44,0)</f>
        <v>ALBA.CELIS@D1.COM.CO;CARMEN.DAVILA@D1.COM.CO</v>
      </c>
      <c r="AT221" s="12" t="str">
        <f>VLOOKUP(C221,'mayo-26'!B:AT,45,0)</f>
        <v>CORREO ELECTRONICO CERTIFICADO 472</v>
      </c>
      <c r="AU221" s="16"/>
      <c r="AV221" s="16"/>
      <c r="AW221" s="16"/>
    </row>
    <row r="222" ht="14.25" customHeight="1">
      <c r="A222" s="15" t="s">
        <v>526</v>
      </c>
      <c r="B222" s="16">
        <v>297.0</v>
      </c>
      <c r="C222" s="16">
        <v>245458.0</v>
      </c>
      <c r="D222" s="16">
        <v>245458.0</v>
      </c>
      <c r="E222" s="16">
        <v>494305.0</v>
      </c>
      <c r="F222" s="16">
        <v>494305.0</v>
      </c>
      <c r="G222" s="15" t="s">
        <v>135</v>
      </c>
      <c r="H222" s="15" t="s">
        <v>136</v>
      </c>
      <c r="I222" s="1" t="str">
        <f>VLOOKUP(C222,'mayo-26'!B:H,7,0)</f>
        <v>AVE 4 17-89 - 0239431</v>
      </c>
      <c r="J222" s="1" t="s">
        <v>255</v>
      </c>
      <c r="K222" s="10" t="str">
        <f>VLOOKUP(C222,'mayo-26'!B:J,9,0)</f>
        <v>NO</v>
      </c>
      <c r="L222" s="1" t="str">
        <f>VLOOKUP(C222,'mayo-26'!B:K,10,0)</f>
        <v>IMSALUD</v>
      </c>
      <c r="M222" s="15" t="s">
        <v>52</v>
      </c>
      <c r="N222" s="15" t="s">
        <v>138</v>
      </c>
      <c r="O222" s="15" t="s">
        <v>130</v>
      </c>
      <c r="P222" s="15" t="s">
        <v>126</v>
      </c>
      <c r="Q222" s="15" t="s">
        <v>131</v>
      </c>
      <c r="R222" s="15" t="s">
        <v>151</v>
      </c>
      <c r="S222" s="15" t="s">
        <v>133</v>
      </c>
      <c r="T222" s="15" t="s">
        <v>59</v>
      </c>
      <c r="U222" s="16">
        <v>2026.0</v>
      </c>
      <c r="V222" s="16">
        <v>6.0</v>
      </c>
      <c r="W222" s="16">
        <v>1.081875118E9</v>
      </c>
      <c r="X222" s="16">
        <v>1.08189359E9</v>
      </c>
      <c r="Y222" s="17">
        <v>46182.0</v>
      </c>
      <c r="Z222" s="17">
        <v>46207.0</v>
      </c>
      <c r="AA222" s="16">
        <v>75419.0</v>
      </c>
      <c r="AB222" s="16">
        <v>75419.0</v>
      </c>
      <c r="AC222" s="16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6">
        <v>0.0</v>
      </c>
      <c r="AJ222" s="16">
        <v>75419.0</v>
      </c>
      <c r="AK222" s="16">
        <v>75419.0</v>
      </c>
      <c r="AL222" s="16">
        <v>0.0</v>
      </c>
      <c r="AM222" s="16">
        <v>250.8</v>
      </c>
      <c r="AN222" s="16">
        <v>0.0</v>
      </c>
      <c r="AO222" s="18"/>
      <c r="AP222" s="18"/>
      <c r="AQ222" s="18"/>
      <c r="AR222" s="18"/>
      <c r="AS222" s="11" t="str">
        <f>VLOOKUP(C222,'mayo-26'!B:AS,44,0)</f>
        <v>SUBFINANCIERA@IMSALUD.GOV.CO</v>
      </c>
      <c r="AT222" s="12" t="str">
        <f>VLOOKUP(C222,'mayo-26'!B:AT,45,0)</f>
        <v>CORREO ELECTRONICO CERTIFICADO 472</v>
      </c>
      <c r="AU222" s="16"/>
      <c r="AV222" s="16"/>
      <c r="AW222" s="16"/>
    </row>
    <row r="223" ht="14.25" customHeight="1">
      <c r="A223" s="15" t="s">
        <v>527</v>
      </c>
      <c r="B223" s="16">
        <v>141.0</v>
      </c>
      <c r="C223" s="16">
        <v>247246.0</v>
      </c>
      <c r="D223" s="16">
        <v>247246.0</v>
      </c>
      <c r="E223" s="16">
        <v>517200.0</v>
      </c>
      <c r="F223" s="16">
        <v>517200.0</v>
      </c>
      <c r="G223" s="16">
        <v>8.90500514E8</v>
      </c>
      <c r="H223" s="15" t="s">
        <v>145</v>
      </c>
      <c r="I223" s="1" t="str">
        <f>VLOOKUP(C223,'mayo-26'!B:H,7,0)</f>
        <v>AV 2 CALLE 39 LIBERTAD</v>
      </c>
      <c r="J223" s="1" t="s">
        <v>528</v>
      </c>
      <c r="K223" s="10" t="str">
        <f>VLOOKUP(C223,'mayo-26'!B:J,9,0)</f>
        <v>NO</v>
      </c>
      <c r="L223" s="1" t="str">
        <f>VLOOKUP(C223,'mayo-26'!B:K,10,0)</f>
        <v>CENS</v>
      </c>
      <c r="M223" s="15" t="s">
        <v>52</v>
      </c>
      <c r="N223" s="15" t="s">
        <v>138</v>
      </c>
      <c r="O223" s="15" t="s">
        <v>130</v>
      </c>
      <c r="P223" s="15" t="s">
        <v>126</v>
      </c>
      <c r="Q223" s="15" t="s">
        <v>56</v>
      </c>
      <c r="R223" s="15" t="s">
        <v>90</v>
      </c>
      <c r="S223" s="15" t="s">
        <v>143</v>
      </c>
      <c r="T223" s="15" t="s">
        <v>59</v>
      </c>
      <c r="U223" s="16">
        <v>2026.0</v>
      </c>
      <c r="V223" s="16">
        <v>6.0</v>
      </c>
      <c r="W223" s="16">
        <v>1.081875122E9</v>
      </c>
      <c r="X223" s="16">
        <v>1.081893594E9</v>
      </c>
      <c r="Y223" s="17">
        <v>46182.0</v>
      </c>
      <c r="Z223" s="17">
        <v>46207.0</v>
      </c>
      <c r="AA223" s="16">
        <v>128345.14</v>
      </c>
      <c r="AB223" s="16">
        <v>128345.14</v>
      </c>
      <c r="AC223" s="16">
        <v>42781.72</v>
      </c>
      <c r="AD223" s="16">
        <v>252.5</v>
      </c>
      <c r="AE223" s="16">
        <v>0.0</v>
      </c>
      <c r="AF223" s="16">
        <v>0.0</v>
      </c>
      <c r="AG223" s="16">
        <v>0.0</v>
      </c>
      <c r="AH223" s="16">
        <v>0.0</v>
      </c>
      <c r="AI223" s="16">
        <v>0.0</v>
      </c>
      <c r="AJ223" s="16">
        <v>128345.14</v>
      </c>
      <c r="AK223" s="16">
        <v>128345.14</v>
      </c>
      <c r="AL223" s="16">
        <v>0.0</v>
      </c>
      <c r="AM223" s="16">
        <v>376.2</v>
      </c>
      <c r="AN223" s="16">
        <v>0.0</v>
      </c>
      <c r="AO223" s="18"/>
      <c r="AP223" s="18"/>
      <c r="AQ223" s="18"/>
      <c r="AR223" s="18"/>
      <c r="AS223" s="11" t="str">
        <f>VLOOKUP(C223,'mayo-26'!B:AS,44,0)</f>
        <v>FACTURAELECTRONICACENS@GRUPO-EPM.COM</v>
      </c>
      <c r="AT223" s="12" t="str">
        <f>VLOOKUP(C223,'mayo-26'!B:AT,45,0)</f>
        <v>CORREO ELECTRONICO CERTIFICADO 472</v>
      </c>
      <c r="AU223" s="16"/>
      <c r="AV223" s="16"/>
      <c r="AW223" s="16"/>
    </row>
    <row r="224" ht="14.25" customHeight="1">
      <c r="A224" s="15" t="s">
        <v>529</v>
      </c>
      <c r="B224" s="16">
        <v>147.0</v>
      </c>
      <c r="C224" s="16">
        <v>266826.0</v>
      </c>
      <c r="D224" s="16">
        <v>266826.0</v>
      </c>
      <c r="E224" s="16">
        <v>657379.0</v>
      </c>
      <c r="F224" s="16">
        <v>657379.0</v>
      </c>
      <c r="G224" s="15" t="s">
        <v>179</v>
      </c>
      <c r="H224" s="15" t="s">
        <v>180</v>
      </c>
      <c r="I224" s="1" t="str">
        <f>VLOOKUP(C224,'mayo-26'!B:H,7,0)</f>
        <v>AVE 3 CLL 24 GARITA # 1</v>
      </c>
      <c r="J224" s="1" t="s">
        <v>530</v>
      </c>
      <c r="K224" s="10" t="str">
        <f>VLOOKUP(C224,'mayo-26'!B:J,9,0)</f>
        <v>NO</v>
      </c>
      <c r="L224" s="1" t="str">
        <f>VLOOKUP(C224,'mayo-26'!B:K,10,0)</f>
        <v>POLICIA</v>
      </c>
      <c r="M224" s="15" t="s">
        <v>52</v>
      </c>
      <c r="N224" s="15" t="s">
        <v>89</v>
      </c>
      <c r="O224" s="15" t="s">
        <v>130</v>
      </c>
      <c r="P224" s="15" t="s">
        <v>126</v>
      </c>
      <c r="Q224" s="15" t="s">
        <v>56</v>
      </c>
      <c r="R224" s="15" t="s">
        <v>57</v>
      </c>
      <c r="S224" s="15" t="s">
        <v>143</v>
      </c>
      <c r="T224" s="15" t="s">
        <v>59</v>
      </c>
      <c r="U224" s="16">
        <v>2026.0</v>
      </c>
      <c r="V224" s="16">
        <v>6.0</v>
      </c>
      <c r="W224" s="16">
        <v>1.081875125E9</v>
      </c>
      <c r="X224" s="16">
        <v>1.081893597E9</v>
      </c>
      <c r="Y224" s="17">
        <v>46182.0</v>
      </c>
      <c r="Z224" s="17">
        <v>46207.0</v>
      </c>
      <c r="AA224" s="16">
        <v>85658.29</v>
      </c>
      <c r="AB224" s="16">
        <v>85658.29</v>
      </c>
      <c r="AC224" s="16">
        <v>0.0</v>
      </c>
      <c r="AD224" s="16">
        <v>253.0</v>
      </c>
      <c r="AE224" s="16">
        <v>0.0</v>
      </c>
      <c r="AF224" s="16">
        <v>0.0</v>
      </c>
      <c r="AG224" s="16">
        <v>0.0</v>
      </c>
      <c r="AH224" s="16">
        <v>0.0</v>
      </c>
      <c r="AI224" s="16">
        <v>0.0</v>
      </c>
      <c r="AJ224" s="16">
        <v>85658.29</v>
      </c>
      <c r="AK224" s="16">
        <v>171842.48</v>
      </c>
      <c r="AL224" s="16">
        <v>2.0</v>
      </c>
      <c r="AM224" s="16">
        <v>250.8</v>
      </c>
      <c r="AN224" s="16">
        <v>0.0</v>
      </c>
      <c r="AO224" s="18"/>
      <c r="AP224" s="18"/>
      <c r="AQ224" s="18"/>
      <c r="AR224" s="18"/>
      <c r="AS224" s="11" t="str">
        <f>VLOOKUP(C224,'mayo-26'!B:AS,44,0)</f>
        <v>MECUC.GUBIR@POLICIA.GOV.CO</v>
      </c>
      <c r="AT224" s="12" t="str">
        <f>VLOOKUP(C224,'mayo-26'!B:AT,45,0)</f>
        <v>CORREO ELECTRONICO CERTIFICADO 472</v>
      </c>
      <c r="AU224" s="16"/>
      <c r="AV224" s="16"/>
      <c r="AW224" s="16"/>
    </row>
    <row r="225" ht="14.25" customHeight="1">
      <c r="A225" s="15" t="s">
        <v>531</v>
      </c>
      <c r="B225" s="16">
        <v>285031.0</v>
      </c>
      <c r="C225" s="16">
        <v>285030.0</v>
      </c>
      <c r="D225" s="16">
        <v>285030.0</v>
      </c>
      <c r="E225" s="16">
        <v>59981.0</v>
      </c>
      <c r="F225" s="16">
        <v>59981.0</v>
      </c>
      <c r="G225" s="16">
        <v>9.01141621E8</v>
      </c>
      <c r="H225" s="15" t="s">
        <v>532</v>
      </c>
      <c r="I225" s="1" t="str">
        <f>VLOOKUP(C225,'mayo-26'!B:H,7,0)</f>
        <v>AVE 5 7N-86 1219</v>
      </c>
      <c r="J225" s="1" t="s">
        <v>172</v>
      </c>
      <c r="K225" s="10" t="str">
        <f>VLOOKUP(C225,'mayo-26'!B:J,9,0)</f>
        <v>NO</v>
      </c>
      <c r="L225" s="1" t="str">
        <f>VLOOKUP(C225,'mayo-26'!B:K,10,0)</f>
        <v>NO</v>
      </c>
      <c r="M225" s="15" t="s">
        <v>52</v>
      </c>
      <c r="N225" s="15" t="s">
        <v>89</v>
      </c>
      <c r="O225" s="15" t="s">
        <v>130</v>
      </c>
      <c r="P225" s="15" t="s">
        <v>126</v>
      </c>
      <c r="Q225" s="15" t="s">
        <v>56</v>
      </c>
      <c r="R225" s="15" t="s">
        <v>90</v>
      </c>
      <c r="S225" s="15" t="s">
        <v>143</v>
      </c>
      <c r="T225" s="15" t="s">
        <v>59</v>
      </c>
      <c r="U225" s="16">
        <v>2026.0</v>
      </c>
      <c r="V225" s="16">
        <v>6.0</v>
      </c>
      <c r="W225" s="16">
        <v>1.081875129E9</v>
      </c>
      <c r="X225" s="16">
        <v>1.081893601E9</v>
      </c>
      <c r="Y225" s="17">
        <v>46182.0</v>
      </c>
      <c r="Z225" s="17">
        <v>46207.0</v>
      </c>
      <c r="AA225" s="16">
        <v>141865.8</v>
      </c>
      <c r="AB225" s="16">
        <v>141865.8</v>
      </c>
      <c r="AC225" s="16">
        <v>47288.6</v>
      </c>
      <c r="AD225" s="16">
        <v>300.0</v>
      </c>
      <c r="AE225" s="16">
        <v>0.0</v>
      </c>
      <c r="AF225" s="16">
        <v>0.0</v>
      </c>
      <c r="AG225" s="16">
        <v>0.0</v>
      </c>
      <c r="AH225" s="16">
        <v>0.0</v>
      </c>
      <c r="AI225" s="16">
        <v>0.0</v>
      </c>
      <c r="AJ225" s="16">
        <v>141865.8</v>
      </c>
      <c r="AK225" s="16">
        <v>141865.8</v>
      </c>
      <c r="AL225" s="16">
        <v>0.0</v>
      </c>
      <c r="AM225" s="16">
        <v>376.2</v>
      </c>
      <c r="AN225" s="16">
        <v>0.0</v>
      </c>
      <c r="AO225" s="18"/>
      <c r="AP225" s="18"/>
      <c r="AQ225" s="18"/>
      <c r="AR225" s="18"/>
      <c r="AS225" s="11" t="str">
        <f>VLOOKUP(C225,'mayo-26'!B:AS,44,0)</f>
        <v>ADMIN@GEXA.COM.CO</v>
      </c>
      <c r="AT225" s="12" t="str">
        <f>VLOOKUP(C225,'mayo-26'!B:AT,45,0)</f>
        <v>CORREO ELECTRONICO CERTIFICADO 472</v>
      </c>
      <c r="AU225" s="16"/>
      <c r="AV225" s="16"/>
      <c r="AW225" s="16"/>
    </row>
    <row r="226" ht="14.25" customHeight="1">
      <c r="A226" s="15" t="s">
        <v>533</v>
      </c>
      <c r="B226" s="16">
        <v>285191.0</v>
      </c>
      <c r="C226" s="16">
        <v>285190.0</v>
      </c>
      <c r="D226" s="16">
        <v>285190.0</v>
      </c>
      <c r="E226" s="16">
        <v>60203.0</v>
      </c>
      <c r="F226" s="16">
        <v>60203.0</v>
      </c>
      <c r="G226" s="16">
        <v>9.00276962E8</v>
      </c>
      <c r="H226" s="15" t="s">
        <v>128</v>
      </c>
      <c r="I226" s="1" t="str">
        <f>VLOOKUP(C226,'mayo-26'!B:H,7,0)</f>
        <v>KDX 73-2 1116</v>
      </c>
      <c r="J226" s="1" t="s">
        <v>208</v>
      </c>
      <c r="K226" s="10" t="str">
        <f>VLOOKUP(C226,'mayo-26'!B:J,9,0)</f>
        <v>NO</v>
      </c>
      <c r="L226" s="1" t="str">
        <f>VLOOKUP(C226,'mayo-26'!B:K,10,0)</f>
        <v>D1</v>
      </c>
      <c r="M226" s="15" t="s">
        <v>52</v>
      </c>
      <c r="N226" s="15" t="s">
        <v>89</v>
      </c>
      <c r="O226" s="15" t="s">
        <v>130</v>
      </c>
      <c r="P226" s="15" t="s">
        <v>126</v>
      </c>
      <c r="Q226" s="15" t="s">
        <v>56</v>
      </c>
      <c r="R226" s="15" t="s">
        <v>72</v>
      </c>
      <c r="S226" s="15" t="s">
        <v>143</v>
      </c>
      <c r="T226" s="15" t="s">
        <v>59</v>
      </c>
      <c r="U226" s="16">
        <v>2026.0</v>
      </c>
      <c r="V226" s="16">
        <v>6.0</v>
      </c>
      <c r="W226" s="16">
        <v>1.081875133E9</v>
      </c>
      <c r="X226" s="16">
        <v>1.081893605E9</v>
      </c>
      <c r="Y226" s="17">
        <v>46182.0</v>
      </c>
      <c r="Z226" s="17">
        <v>46207.0</v>
      </c>
      <c r="AA226" s="16">
        <v>111355.77</v>
      </c>
      <c r="AB226" s="16">
        <v>111355.77</v>
      </c>
      <c r="AC226" s="16">
        <v>25697.48</v>
      </c>
      <c r="AD226" s="16">
        <v>253.0</v>
      </c>
      <c r="AE226" s="16">
        <v>0.0</v>
      </c>
      <c r="AF226" s="16">
        <v>0.0</v>
      </c>
      <c r="AG226" s="16">
        <v>0.0</v>
      </c>
      <c r="AH226" s="16">
        <v>0.0</v>
      </c>
      <c r="AI226" s="16">
        <v>0.0</v>
      </c>
      <c r="AJ226" s="16">
        <v>111355.77</v>
      </c>
      <c r="AK226" s="16">
        <v>111355.77</v>
      </c>
      <c r="AL226" s="16">
        <v>0.0</v>
      </c>
      <c r="AM226" s="16">
        <v>326.04</v>
      </c>
      <c r="AN226" s="16">
        <v>0.0</v>
      </c>
      <c r="AO226" s="18"/>
      <c r="AP226" s="18"/>
      <c r="AQ226" s="18"/>
      <c r="AR226" s="18"/>
      <c r="AS226" s="11" t="str">
        <f>VLOOKUP(C226,'mayo-26'!B:AS,44,0)</f>
        <v>ALBA.CELIS@D1.COM.CO;CARMEN.DAVILA@D1.COM.CO</v>
      </c>
      <c r="AT226" s="12" t="str">
        <f>VLOOKUP(C226,'mayo-26'!B:AT,45,0)</f>
        <v>CORREO ELECTRONICO CERTIFICADO 472</v>
      </c>
      <c r="AU226" s="16"/>
      <c r="AV226" s="16"/>
      <c r="AW226" s="16"/>
    </row>
    <row r="227" ht="14.25" customHeight="1">
      <c r="A227" s="15" t="s">
        <v>534</v>
      </c>
      <c r="B227" s="16">
        <v>286975.0</v>
      </c>
      <c r="C227" s="16">
        <v>286974.0</v>
      </c>
      <c r="D227" s="16">
        <v>286974.0</v>
      </c>
      <c r="E227" s="16">
        <v>62130.0</v>
      </c>
      <c r="F227" s="16">
        <v>62130.0</v>
      </c>
      <c r="G227" s="16">
        <v>62130.0</v>
      </c>
      <c r="H227" s="15" t="s">
        <v>535</v>
      </c>
      <c r="I227" s="1" t="str">
        <f>VLOOKUP(C227,'mayo-26'!B:H,7,0)</f>
        <v>CLL 5N 5-117 1221</v>
      </c>
      <c r="J227" s="1" t="s">
        <v>523</v>
      </c>
      <c r="K227" s="10" t="str">
        <f>VLOOKUP(C227,'mayo-26'!B:J,9,0)</f>
        <v>NO</v>
      </c>
      <c r="L227" s="1" t="str">
        <f>VLOOKUP(C227,'mayo-26'!B:K,10,0)</f>
        <v>D1</v>
      </c>
      <c r="M227" s="15" t="s">
        <v>52</v>
      </c>
      <c r="N227" s="15" t="s">
        <v>138</v>
      </c>
      <c r="O227" s="15" t="s">
        <v>130</v>
      </c>
      <c r="P227" s="15" t="s">
        <v>126</v>
      </c>
      <c r="Q227" s="15" t="s">
        <v>131</v>
      </c>
      <c r="R227" s="15" t="s">
        <v>132</v>
      </c>
      <c r="S227" s="15" t="s">
        <v>133</v>
      </c>
      <c r="T227" s="15" t="s">
        <v>59</v>
      </c>
      <c r="U227" s="16">
        <v>2026.0</v>
      </c>
      <c r="V227" s="16">
        <v>6.0</v>
      </c>
      <c r="W227" s="16">
        <v>1.081875138E9</v>
      </c>
      <c r="X227" s="16">
        <v>1.08189361E9</v>
      </c>
      <c r="Y227" s="17">
        <v>46182.0</v>
      </c>
      <c r="Z227" s="17">
        <v>46207.0</v>
      </c>
      <c r="AA227" s="16">
        <v>115257.0</v>
      </c>
      <c r="AB227" s="16">
        <v>115257.0</v>
      </c>
      <c r="AC227" s="16">
        <v>38419.0</v>
      </c>
      <c r="AD227" s="16">
        <v>0.0</v>
      </c>
      <c r="AE227" s="16">
        <v>0.0</v>
      </c>
      <c r="AF227" s="16">
        <v>0.0</v>
      </c>
      <c r="AG227" s="16">
        <v>0.0</v>
      </c>
      <c r="AH227" s="16">
        <v>0.0</v>
      </c>
      <c r="AI227" s="16">
        <v>0.0</v>
      </c>
      <c r="AJ227" s="16">
        <v>115257.0</v>
      </c>
      <c r="AK227" s="16">
        <v>282537.0</v>
      </c>
      <c r="AL227" s="16">
        <v>1.0</v>
      </c>
      <c r="AM227" s="16">
        <v>6420.0</v>
      </c>
      <c r="AN227" s="16">
        <v>0.0</v>
      </c>
      <c r="AO227" s="18"/>
      <c r="AP227" s="18"/>
      <c r="AQ227" s="18"/>
      <c r="AR227" s="18"/>
      <c r="AS227" s="11" t="str">
        <f>VLOOKUP(C227,'mayo-26'!B:AS,44,0)</f>
        <v>ALBA.CELIS@D1.COM.CO;CARMEN.DAVILA@D1.COM.CO</v>
      </c>
      <c r="AT227" s="12" t="str">
        <f>VLOOKUP(C227,'mayo-26'!B:AT,45,0)</f>
        <v>CORREO ELECTRONICO CERTIFICADO 472</v>
      </c>
      <c r="AU227" s="16"/>
      <c r="AV227" s="16"/>
      <c r="AW227" s="16"/>
    </row>
    <row r="228" ht="14.25" customHeight="1">
      <c r="A228" s="15" t="s">
        <v>536</v>
      </c>
      <c r="B228" s="16">
        <v>287151.0</v>
      </c>
      <c r="C228" s="16">
        <v>287150.0</v>
      </c>
      <c r="D228" s="16">
        <v>287150.0</v>
      </c>
      <c r="E228" s="16">
        <v>62319.0</v>
      </c>
      <c r="F228" s="16">
        <v>62319.0</v>
      </c>
      <c r="G228" s="16">
        <v>9.00688317E8</v>
      </c>
      <c r="H228" s="15" t="s">
        <v>537</v>
      </c>
      <c r="I228" s="1" t="str">
        <f>VLOOKUP(C228,'mayo-26'!B:H,7,0)</f>
        <v>AVE 3 7N-60 1219</v>
      </c>
      <c r="J228" s="1" t="s">
        <v>172</v>
      </c>
      <c r="K228" s="10" t="str">
        <f>VLOOKUP(C228,'mayo-26'!B:J,9,0)</f>
        <v>NO</v>
      </c>
      <c r="L228" s="1" t="str">
        <f>VLOOKUP(C228,'mayo-26'!B:K,10,0)</f>
        <v>NO</v>
      </c>
      <c r="M228" s="15" t="s">
        <v>52</v>
      </c>
      <c r="N228" s="15" t="s">
        <v>89</v>
      </c>
      <c r="O228" s="15" t="s">
        <v>130</v>
      </c>
      <c r="P228" s="15" t="s">
        <v>126</v>
      </c>
      <c r="Q228" s="15" t="s">
        <v>131</v>
      </c>
      <c r="R228" s="15" t="s">
        <v>538</v>
      </c>
      <c r="S228" s="15" t="s">
        <v>133</v>
      </c>
      <c r="T228" s="15" t="s">
        <v>59</v>
      </c>
      <c r="U228" s="16">
        <v>2026.0</v>
      </c>
      <c r="V228" s="16">
        <v>6.0</v>
      </c>
      <c r="W228" s="16">
        <v>1.081875141E9</v>
      </c>
      <c r="X228" s="16">
        <v>1.081893613E9</v>
      </c>
      <c r="Y228" s="17">
        <v>46182.0</v>
      </c>
      <c r="Z228" s="17">
        <v>46207.0</v>
      </c>
      <c r="AA228" s="16">
        <v>103634.05</v>
      </c>
      <c r="AB228" s="16">
        <v>103634.05</v>
      </c>
      <c r="AC228" s="16">
        <v>31416.0</v>
      </c>
      <c r="AD228" s="16">
        <v>0.0</v>
      </c>
      <c r="AE228" s="16">
        <v>9386.05</v>
      </c>
      <c r="AF228" s="16">
        <v>0.0</v>
      </c>
      <c r="AG228" s="16">
        <v>0.0</v>
      </c>
      <c r="AH228" s="16">
        <v>0.0</v>
      </c>
      <c r="AI228" s="16">
        <v>0.0</v>
      </c>
      <c r="AJ228" s="16">
        <v>103634.05</v>
      </c>
      <c r="AK228" s="16">
        <v>732119.18</v>
      </c>
      <c r="AL228" s="16">
        <v>7.0</v>
      </c>
      <c r="AM228" s="16">
        <v>376.2</v>
      </c>
      <c r="AN228" s="16">
        <v>0.0</v>
      </c>
      <c r="AO228" s="18"/>
      <c r="AP228" s="18"/>
      <c r="AQ228" s="18"/>
      <c r="AR228" s="18"/>
      <c r="AS228" s="11" t="str">
        <f>VLOOKUP(C228,'mayo-26'!B:AS,44,0)</f>
        <v>DISTRIBUIDORABETMANSAS@GMAIL.COM</v>
      </c>
      <c r="AT228" s="12" t="str">
        <f>VLOOKUP(C228,'mayo-26'!B:AT,45,0)</f>
        <v>CORREO ELECTRONICO CERTIFICADO 472</v>
      </c>
      <c r="AU228" s="16"/>
      <c r="AV228" s="16"/>
      <c r="AW228" s="16"/>
    </row>
    <row r="229" ht="14.25" customHeight="1">
      <c r="A229" s="15" t="s">
        <v>539</v>
      </c>
      <c r="B229" s="16">
        <v>328522.0</v>
      </c>
      <c r="C229" s="16">
        <v>287174.0</v>
      </c>
      <c r="D229" s="16">
        <v>287174.0</v>
      </c>
      <c r="E229" s="16">
        <v>62354.0</v>
      </c>
      <c r="F229" s="16">
        <v>62354.0</v>
      </c>
      <c r="G229" s="16">
        <v>9.01959258E8</v>
      </c>
      <c r="H229" s="15" t="s">
        <v>235</v>
      </c>
      <c r="I229" s="1" t="str">
        <f>VLOOKUP(C229,'mayo-26'!B:H,7,0)</f>
        <v>AVE 7N 4 - 62</v>
      </c>
      <c r="J229" s="1" t="s">
        <v>172</v>
      </c>
      <c r="K229" s="10" t="str">
        <f>VLOOKUP(C229,'mayo-26'!B:J,9,0)</f>
        <v>NO</v>
      </c>
      <c r="L229" s="1" t="str">
        <f>VLOOKUP(C229,'mayo-26'!B:K,10,0)</f>
        <v>CARIBE</v>
      </c>
      <c r="M229" s="15" t="s">
        <v>52</v>
      </c>
      <c r="N229" s="15" t="s">
        <v>89</v>
      </c>
      <c r="O229" s="15" t="s">
        <v>130</v>
      </c>
      <c r="P229" s="15" t="s">
        <v>126</v>
      </c>
      <c r="Q229" s="15" t="s">
        <v>56</v>
      </c>
      <c r="R229" s="15" t="s">
        <v>72</v>
      </c>
      <c r="S229" s="15" t="s">
        <v>143</v>
      </c>
      <c r="T229" s="15" t="s">
        <v>59</v>
      </c>
      <c r="U229" s="16">
        <v>2026.0</v>
      </c>
      <c r="V229" s="16">
        <v>6.0</v>
      </c>
      <c r="W229" s="16">
        <v>1.081875144E9</v>
      </c>
      <c r="X229" s="16">
        <v>1.081893616E9</v>
      </c>
      <c r="Y229" s="17">
        <v>46182.0</v>
      </c>
      <c r="Z229" s="17">
        <v>46207.0</v>
      </c>
      <c r="AA229" s="16">
        <v>221134.27</v>
      </c>
      <c r="AB229" s="16">
        <v>221134.27</v>
      </c>
      <c r="AC229" s="16">
        <v>51030.99</v>
      </c>
      <c r="AD229" s="16">
        <v>698.0</v>
      </c>
      <c r="AE229" s="16">
        <v>0.0</v>
      </c>
      <c r="AF229" s="16">
        <v>0.0</v>
      </c>
      <c r="AG229" s="16">
        <v>0.0</v>
      </c>
      <c r="AH229" s="16">
        <v>0.0</v>
      </c>
      <c r="AI229" s="16">
        <v>0.0</v>
      </c>
      <c r="AJ229" s="16">
        <v>221134.27</v>
      </c>
      <c r="AK229" s="16">
        <v>221134.27</v>
      </c>
      <c r="AL229" s="16">
        <v>0.0</v>
      </c>
      <c r="AM229" s="16">
        <v>326.04</v>
      </c>
      <c r="AN229" s="16">
        <v>0.0</v>
      </c>
      <c r="AO229" s="18"/>
      <c r="AP229" s="18"/>
      <c r="AQ229" s="18"/>
      <c r="AR229" s="18"/>
      <c r="AS229" s="11" t="str">
        <f>VLOOKUP(C229,'mayo-26'!B:AS,44,0)</f>
        <v>PRINTPACKCARIBE@HOTMAIL.COM</v>
      </c>
      <c r="AT229" s="12" t="str">
        <f>VLOOKUP(C229,'mayo-26'!B:AT,45,0)</f>
        <v>CORREO ELECTRONICO CERTIFICADO 472</v>
      </c>
      <c r="AU229" s="16"/>
      <c r="AV229" s="16"/>
      <c r="AW229" s="16"/>
    </row>
    <row r="230" ht="14.25" customHeight="1">
      <c r="A230" s="15" t="s">
        <v>540</v>
      </c>
      <c r="B230" s="16">
        <v>287191.0</v>
      </c>
      <c r="C230" s="16">
        <v>287190.0</v>
      </c>
      <c r="D230" s="16">
        <v>287190.0</v>
      </c>
      <c r="E230" s="16">
        <v>62381.0</v>
      </c>
      <c r="F230" s="16">
        <v>62381.0</v>
      </c>
      <c r="G230" s="16">
        <v>8.90800718E8</v>
      </c>
      <c r="H230" s="15" t="s">
        <v>541</v>
      </c>
      <c r="I230" s="1" t="str">
        <f>VLOOKUP(C230,'mayo-26'!B:H,7,0)</f>
        <v>CLL 8N 3-120 1219</v>
      </c>
      <c r="J230" s="1" t="s">
        <v>172</v>
      </c>
      <c r="K230" s="10" t="str">
        <f>VLOOKUP(C230,'mayo-26'!B:J,9,0)</f>
        <v>NO</v>
      </c>
      <c r="L230" s="1" t="str">
        <f>VLOOKUP(C230,'mayo-26'!B:K,10,0)</f>
        <v>NO</v>
      </c>
      <c r="M230" s="15" t="s">
        <v>52</v>
      </c>
      <c r="N230" s="15" t="s">
        <v>89</v>
      </c>
      <c r="O230" s="15" t="s">
        <v>130</v>
      </c>
      <c r="P230" s="15" t="s">
        <v>126</v>
      </c>
      <c r="Q230" s="15" t="s">
        <v>56</v>
      </c>
      <c r="R230" s="15" t="s">
        <v>90</v>
      </c>
      <c r="S230" s="15" t="s">
        <v>143</v>
      </c>
      <c r="T230" s="15" t="s">
        <v>59</v>
      </c>
      <c r="U230" s="16">
        <v>2026.0</v>
      </c>
      <c r="V230" s="16">
        <v>6.0</v>
      </c>
      <c r="W230" s="16">
        <v>1.081875148E9</v>
      </c>
      <c r="X230" s="16">
        <v>1.08189362E9</v>
      </c>
      <c r="Y230" s="17">
        <v>46182.0</v>
      </c>
      <c r="Z230" s="17">
        <v>46207.0</v>
      </c>
      <c r="AA230" s="16">
        <v>152682.37</v>
      </c>
      <c r="AB230" s="16">
        <v>152682.37</v>
      </c>
      <c r="AC230" s="16">
        <v>50894.13</v>
      </c>
      <c r="AD230" s="16">
        <v>338.0</v>
      </c>
      <c r="AE230" s="16">
        <v>0.0</v>
      </c>
      <c r="AF230" s="16">
        <v>0.0</v>
      </c>
      <c r="AG230" s="16">
        <v>0.0</v>
      </c>
      <c r="AH230" s="16">
        <v>0.0</v>
      </c>
      <c r="AI230" s="16">
        <v>0.0</v>
      </c>
      <c r="AJ230" s="16">
        <v>152682.37</v>
      </c>
      <c r="AK230" s="16">
        <v>152682.37</v>
      </c>
      <c r="AL230" s="16">
        <v>0.0</v>
      </c>
      <c r="AM230" s="16">
        <v>376.2</v>
      </c>
      <c r="AN230" s="16">
        <v>0.0</v>
      </c>
      <c r="AO230" s="18"/>
      <c r="AP230" s="18"/>
      <c r="AQ230" s="18"/>
      <c r="AR230" s="18"/>
      <c r="AS230" s="11" t="str">
        <f>VLOOKUP(C230,'mayo-26'!B:AS,44,0)</f>
        <v>IMPUESTOS@CASALUKER.COM.CO</v>
      </c>
      <c r="AT230" s="12" t="str">
        <f>VLOOKUP(C230,'mayo-26'!B:AT,45,0)</f>
        <v>CORREO ELECTRONICO CERTIFICADO 472</v>
      </c>
      <c r="AU230" s="16"/>
      <c r="AV230" s="16"/>
      <c r="AW230" s="16"/>
    </row>
    <row r="231" ht="14.25" customHeight="1">
      <c r="A231" s="15" t="s">
        <v>542</v>
      </c>
      <c r="B231" s="16">
        <v>287459.0</v>
      </c>
      <c r="C231" s="16">
        <v>287458.0</v>
      </c>
      <c r="D231" s="16">
        <v>287458.0</v>
      </c>
      <c r="E231" s="16">
        <v>62663.0</v>
      </c>
      <c r="F231" s="16">
        <v>62663.0</v>
      </c>
      <c r="G231" s="15" t="s">
        <v>543</v>
      </c>
      <c r="H231" s="15" t="s">
        <v>544</v>
      </c>
      <c r="I231" s="1" t="str">
        <f>VLOOKUP(C231,'mayo-26'!B:H,7,0)</f>
        <v>CLL 0 # 1-10</v>
      </c>
      <c r="J231" s="1">
        <v>0.0</v>
      </c>
      <c r="K231" s="10" t="str">
        <f>VLOOKUP(C231,'mayo-26'!B:J,9,0)</f>
        <v>ZONA NORTE</v>
      </c>
      <c r="L231" s="1" t="str">
        <f>VLOOKUP(C231,'mayo-26'!B:K,10,0)</f>
        <v>NO</v>
      </c>
      <c r="M231" s="15" t="s">
        <v>52</v>
      </c>
      <c r="N231" s="15" t="s">
        <v>89</v>
      </c>
      <c r="O231" s="15" t="s">
        <v>130</v>
      </c>
      <c r="P231" s="15" t="s">
        <v>126</v>
      </c>
      <c r="Q231" s="15" t="s">
        <v>56</v>
      </c>
      <c r="R231" s="15" t="s">
        <v>90</v>
      </c>
      <c r="S231" s="15" t="s">
        <v>143</v>
      </c>
      <c r="T231" s="15" t="s">
        <v>59</v>
      </c>
      <c r="U231" s="16">
        <v>2026.0</v>
      </c>
      <c r="V231" s="16">
        <v>6.0</v>
      </c>
      <c r="W231" s="16">
        <v>1.081875152E9</v>
      </c>
      <c r="X231" s="16">
        <v>1.081893624E9</v>
      </c>
      <c r="Y231" s="17">
        <v>46182.0</v>
      </c>
      <c r="Z231" s="17">
        <v>46207.0</v>
      </c>
      <c r="AA231" s="16">
        <v>171184.34</v>
      </c>
      <c r="AB231" s="16">
        <v>171184.34</v>
      </c>
      <c r="AC231" s="16">
        <v>57061.45</v>
      </c>
      <c r="AD231" s="16">
        <v>403.0</v>
      </c>
      <c r="AE231" s="16">
        <v>0.0</v>
      </c>
      <c r="AF231" s="16">
        <v>0.0</v>
      </c>
      <c r="AG231" s="16">
        <v>0.0</v>
      </c>
      <c r="AH231" s="16">
        <v>0.0</v>
      </c>
      <c r="AI231" s="16">
        <v>0.0</v>
      </c>
      <c r="AJ231" s="16">
        <v>171184.34</v>
      </c>
      <c r="AK231" s="16">
        <v>171184.93</v>
      </c>
      <c r="AL231" s="16">
        <v>1.0</v>
      </c>
      <c r="AM231" s="16">
        <v>376.2</v>
      </c>
      <c r="AN231" s="16">
        <v>0.0</v>
      </c>
      <c r="AO231" s="18"/>
      <c r="AP231" s="18"/>
      <c r="AQ231" s="18"/>
      <c r="AR231" s="18"/>
      <c r="AS231" s="11" t="str">
        <f>VLOOKUP(C231,'mayo-26'!B:AS,44,0)</f>
        <v>CAJERABUC@COORDINADORA.COM</v>
      </c>
      <c r="AT231" s="12" t="str">
        <f>VLOOKUP(C231,'mayo-26'!B:AT,45,0)</f>
        <v>VERIFICADOR</v>
      </c>
      <c r="AU231" s="16"/>
      <c r="AV231" s="16"/>
      <c r="AW231" s="16"/>
    </row>
    <row r="232" ht="14.25" customHeight="1">
      <c r="A232" s="15" t="s">
        <v>545</v>
      </c>
      <c r="B232" s="16">
        <v>291863.0</v>
      </c>
      <c r="C232" s="16">
        <v>291862.0</v>
      </c>
      <c r="D232" s="16">
        <v>291862.0</v>
      </c>
      <c r="E232" s="16">
        <v>76895.0</v>
      </c>
      <c r="F232" s="16">
        <v>76895.0</v>
      </c>
      <c r="G232" s="16">
        <v>76895.0</v>
      </c>
      <c r="H232" s="15" t="s">
        <v>546</v>
      </c>
      <c r="I232" s="1" t="str">
        <f>VLOOKUP(C232,'mayo-26'!B:H,7,0)</f>
        <v>KDX B-4 1127</v>
      </c>
      <c r="J232" s="1" t="s">
        <v>376</v>
      </c>
      <c r="K232" s="10" t="str">
        <f>VLOOKUP(C232,'mayo-26'!B:J,9,0)</f>
        <v>NO</v>
      </c>
      <c r="L232" s="1" t="str">
        <f>VLOOKUP(C232,'mayo-26'!B:K,10,0)</f>
        <v>NO</v>
      </c>
      <c r="M232" s="15" t="s">
        <v>52</v>
      </c>
      <c r="N232" s="15" t="s">
        <v>89</v>
      </c>
      <c r="O232" s="15" t="s">
        <v>130</v>
      </c>
      <c r="P232" s="15" t="s">
        <v>126</v>
      </c>
      <c r="Q232" s="15" t="s">
        <v>56</v>
      </c>
      <c r="R232" s="15" t="s">
        <v>72</v>
      </c>
      <c r="S232" s="15" t="s">
        <v>143</v>
      </c>
      <c r="T232" s="15" t="s">
        <v>59</v>
      </c>
      <c r="U232" s="16">
        <v>2026.0</v>
      </c>
      <c r="V232" s="16">
        <v>6.0</v>
      </c>
      <c r="W232" s="16">
        <v>1.081875157E9</v>
      </c>
      <c r="X232" s="16">
        <v>1.081893629E9</v>
      </c>
      <c r="Y232" s="17">
        <v>46182.0</v>
      </c>
      <c r="Z232" s="17">
        <v>46207.0</v>
      </c>
      <c r="AA232" s="16">
        <v>111355.77</v>
      </c>
      <c r="AB232" s="16">
        <v>111355.77</v>
      </c>
      <c r="AC232" s="16">
        <v>25697.48</v>
      </c>
      <c r="AD232" s="16">
        <v>253.0</v>
      </c>
      <c r="AE232" s="16">
        <v>0.0</v>
      </c>
      <c r="AF232" s="16">
        <v>0.0</v>
      </c>
      <c r="AG232" s="16">
        <v>0.0</v>
      </c>
      <c r="AH232" s="16">
        <v>0.0</v>
      </c>
      <c r="AI232" s="16">
        <v>0.0</v>
      </c>
      <c r="AJ232" s="16">
        <v>111355.77</v>
      </c>
      <c r="AK232" s="16">
        <v>111355.77</v>
      </c>
      <c r="AL232" s="16">
        <v>0.0</v>
      </c>
      <c r="AM232" s="16">
        <v>326.04</v>
      </c>
      <c r="AN232" s="16">
        <v>0.0</v>
      </c>
      <c r="AO232" s="18"/>
      <c r="AP232" s="18"/>
      <c r="AQ232" s="18"/>
      <c r="AR232" s="18"/>
      <c r="AS232" s="11" t="str">
        <f>VLOOKUP(C232,'mayo-26'!B:AS,44,0)</f>
        <v>SUELASYMOLDESCUCUTA@HOTMAIL.COM</v>
      </c>
      <c r="AT232" s="12" t="str">
        <f>VLOOKUP(C232,'mayo-26'!B:AT,45,0)</f>
        <v>CORREO ELECTRONICO CERTIFICADO 472</v>
      </c>
      <c r="AU232" s="16"/>
      <c r="AV232" s="16"/>
      <c r="AW232" s="16"/>
    </row>
    <row r="233" ht="14.25" customHeight="1">
      <c r="A233" s="15" t="s">
        <v>547</v>
      </c>
      <c r="B233" s="16">
        <v>297.0</v>
      </c>
      <c r="C233" s="16">
        <v>296290.0</v>
      </c>
      <c r="D233" s="16">
        <v>296290.0</v>
      </c>
      <c r="E233" s="16">
        <v>191156.0</v>
      </c>
      <c r="F233" s="16">
        <v>191156.0</v>
      </c>
      <c r="G233" s="15" t="s">
        <v>135</v>
      </c>
      <c r="H233" s="15" t="s">
        <v>136</v>
      </c>
      <c r="I233" s="1" t="str">
        <f>VLOOKUP(C233,'mayo-26'!B:H,7,0)</f>
        <v>AVE 4 17-89 - 0239431</v>
      </c>
      <c r="J233" s="1" t="s">
        <v>381</v>
      </c>
      <c r="K233" s="10" t="str">
        <f>VLOOKUP(C233,'mayo-26'!B:J,9,0)</f>
        <v>NO</v>
      </c>
      <c r="L233" s="1" t="str">
        <f>VLOOKUP(C233,'mayo-26'!B:K,10,0)</f>
        <v>IMSALUD</v>
      </c>
      <c r="M233" s="15" t="s">
        <v>52</v>
      </c>
      <c r="N233" s="15" t="s">
        <v>138</v>
      </c>
      <c r="O233" s="15" t="s">
        <v>130</v>
      </c>
      <c r="P233" s="15" t="s">
        <v>126</v>
      </c>
      <c r="Q233" s="15" t="s">
        <v>131</v>
      </c>
      <c r="R233" s="15" t="s">
        <v>139</v>
      </c>
      <c r="S233" s="15" t="s">
        <v>133</v>
      </c>
      <c r="T233" s="15" t="s">
        <v>59</v>
      </c>
      <c r="U233" s="16">
        <v>2026.0</v>
      </c>
      <c r="V233" s="16">
        <v>6.0</v>
      </c>
      <c r="W233" s="16">
        <v>1.081875162E9</v>
      </c>
      <c r="X233" s="16">
        <v>1.081893634E9</v>
      </c>
      <c r="Y233" s="17">
        <v>46182.0</v>
      </c>
      <c r="Z233" s="17">
        <v>46207.0</v>
      </c>
      <c r="AA233" s="16">
        <v>62832.0</v>
      </c>
      <c r="AB233" s="16">
        <v>62832.0</v>
      </c>
      <c r="AC233" s="16">
        <v>0.0</v>
      </c>
      <c r="AD233" s="16">
        <v>0.0</v>
      </c>
      <c r="AE233" s="16">
        <v>0.0</v>
      </c>
      <c r="AF233" s="16">
        <v>0.0</v>
      </c>
      <c r="AG233" s="16">
        <v>0.0</v>
      </c>
      <c r="AH233" s="16">
        <v>0.0</v>
      </c>
      <c r="AI233" s="16">
        <v>0.0</v>
      </c>
      <c r="AJ233" s="16">
        <v>62832.0</v>
      </c>
      <c r="AK233" s="16">
        <v>62832.0</v>
      </c>
      <c r="AL233" s="16">
        <v>0.0</v>
      </c>
      <c r="AM233" s="16">
        <v>250.8</v>
      </c>
      <c r="AN233" s="16">
        <v>0.0</v>
      </c>
      <c r="AO233" s="18"/>
      <c r="AP233" s="18"/>
      <c r="AQ233" s="18"/>
      <c r="AR233" s="18"/>
      <c r="AS233" s="11" t="str">
        <f>VLOOKUP(C233,'mayo-26'!B:AS,44,0)</f>
        <v>SUBFINANCIERA@IMSALUD.GOV.CO</v>
      </c>
      <c r="AT233" s="12" t="str">
        <f>VLOOKUP(C233,'mayo-26'!B:AT,45,0)</f>
        <v>CORREO ELECTRONICO CERTIFICADO 472</v>
      </c>
      <c r="AU233" s="16"/>
      <c r="AV233" s="16"/>
      <c r="AW233" s="16"/>
    </row>
    <row r="234" ht="14.25" customHeight="1">
      <c r="A234" s="15" t="s">
        <v>548</v>
      </c>
      <c r="B234" s="16">
        <v>350.0</v>
      </c>
      <c r="C234" s="16">
        <v>300314.0</v>
      </c>
      <c r="D234" s="16">
        <v>300314.0</v>
      </c>
      <c r="E234" s="16">
        <v>212494.0</v>
      </c>
      <c r="F234" s="16">
        <v>212494.0</v>
      </c>
      <c r="G234" s="16">
        <v>9.00603041E8</v>
      </c>
      <c r="H234" s="15" t="s">
        <v>400</v>
      </c>
      <c r="I234" s="1" t="str">
        <f>VLOOKUP(C234,'mayo-26'!B:H,7,0)</f>
        <v>AVE 6 7-35 SUPERMERCADO</v>
      </c>
      <c r="J234" s="1" t="s">
        <v>549</v>
      </c>
      <c r="K234" s="10" t="str">
        <f>VLOOKUP(C234,'mayo-26'!B:J,9,0)</f>
        <v>NO</v>
      </c>
      <c r="L234" s="1" t="str">
        <f>VLOOKUP(C234,'mayo-26'!B:K,10,0)</f>
        <v>LOS MONTES</v>
      </c>
      <c r="M234" s="15" t="s">
        <v>52</v>
      </c>
      <c r="N234" s="15" t="s">
        <v>138</v>
      </c>
      <c r="O234" s="15" t="s">
        <v>130</v>
      </c>
      <c r="P234" s="15" t="s">
        <v>126</v>
      </c>
      <c r="Q234" s="15" t="s">
        <v>56</v>
      </c>
      <c r="R234" s="15" t="s">
        <v>90</v>
      </c>
      <c r="S234" s="15" t="s">
        <v>143</v>
      </c>
      <c r="T234" s="15" t="s">
        <v>59</v>
      </c>
      <c r="U234" s="16">
        <v>2026.0</v>
      </c>
      <c r="V234" s="16">
        <v>6.0</v>
      </c>
      <c r="W234" s="16">
        <v>1.081875166E9</v>
      </c>
      <c r="X234" s="16">
        <v>1.081893638E9</v>
      </c>
      <c r="Y234" s="17">
        <v>46182.0</v>
      </c>
      <c r="Z234" s="17">
        <v>46207.0</v>
      </c>
      <c r="AA234" s="16">
        <v>1157947.04</v>
      </c>
      <c r="AB234" s="16">
        <v>1157947.04</v>
      </c>
      <c r="AC234" s="16">
        <v>374631.51</v>
      </c>
      <c r="AD234" s="16">
        <v>3750.0</v>
      </c>
      <c r="AE234" s="16">
        <v>34052.53</v>
      </c>
      <c r="AF234" s="16">
        <v>0.0</v>
      </c>
      <c r="AG234" s="16">
        <v>0.0</v>
      </c>
      <c r="AH234" s="16">
        <v>0.0</v>
      </c>
      <c r="AI234" s="16">
        <v>0.0</v>
      </c>
      <c r="AJ234" s="16">
        <v>1157947.04</v>
      </c>
      <c r="AK234" s="16">
        <v>2257113.6</v>
      </c>
      <c r="AL234" s="16">
        <v>1.0</v>
      </c>
      <c r="AM234" s="16">
        <v>376.2</v>
      </c>
      <c r="AN234" s="16">
        <v>0.0</v>
      </c>
      <c r="AO234" s="18"/>
      <c r="AP234" s="18"/>
      <c r="AQ234" s="18"/>
      <c r="AR234" s="18"/>
      <c r="AS234" s="11" t="str">
        <f>VLOOKUP(C234,'mayo-26'!B:AS,44,0)</f>
        <v>GASTOS@SUPERLOSMONTES.CO;FACTURAELECTRONICA@SUPERLOSMONTES.CO</v>
      </c>
      <c r="AT234" s="12" t="str">
        <f>VLOOKUP(C234,'mayo-26'!B:AT,45,0)</f>
        <v>CORREO ELECTRONICO CERTIFICADO 472</v>
      </c>
      <c r="AU234" s="16"/>
      <c r="AV234" s="16"/>
      <c r="AW234" s="16"/>
    </row>
    <row r="235" ht="14.25" customHeight="1">
      <c r="A235" s="15" t="s">
        <v>550</v>
      </c>
      <c r="B235" s="16">
        <v>297.0</v>
      </c>
      <c r="C235" s="16">
        <v>309014.0</v>
      </c>
      <c r="D235" s="16">
        <v>309014.0</v>
      </c>
      <c r="E235" s="16">
        <v>320571.0</v>
      </c>
      <c r="F235" s="16">
        <v>320571.0</v>
      </c>
      <c r="G235" s="15" t="s">
        <v>135</v>
      </c>
      <c r="H235" s="15" t="s">
        <v>136</v>
      </c>
      <c r="I235" s="1" t="str">
        <f>VLOOKUP(C235,'mayo-26'!B:H,7,0)</f>
        <v>AVE 4 17-89 - 0239431</v>
      </c>
      <c r="J235" s="1" t="s">
        <v>189</v>
      </c>
      <c r="K235" s="10" t="str">
        <f>VLOOKUP(C235,'mayo-26'!B:J,9,0)</f>
        <v>NO</v>
      </c>
      <c r="L235" s="1" t="str">
        <f>VLOOKUP(C235,'mayo-26'!B:K,10,0)</f>
        <v>IMSALUD</v>
      </c>
      <c r="M235" s="15" t="s">
        <v>52</v>
      </c>
      <c r="N235" s="15" t="s">
        <v>138</v>
      </c>
      <c r="O235" s="15" t="s">
        <v>130</v>
      </c>
      <c r="P235" s="15" t="s">
        <v>126</v>
      </c>
      <c r="Q235" s="15" t="s">
        <v>56</v>
      </c>
      <c r="R235" s="15" t="s">
        <v>57</v>
      </c>
      <c r="S235" s="15" t="s">
        <v>143</v>
      </c>
      <c r="T235" s="15" t="s">
        <v>59</v>
      </c>
      <c r="U235" s="16">
        <v>2026.0</v>
      </c>
      <c r="V235" s="16">
        <v>6.0</v>
      </c>
      <c r="W235" s="16">
        <v>1.08187517E9</v>
      </c>
      <c r="X235" s="16">
        <v>1.081893642E9</v>
      </c>
      <c r="Y235" s="17">
        <v>46182.0</v>
      </c>
      <c r="Z235" s="17">
        <v>46207.0</v>
      </c>
      <c r="AA235" s="16">
        <v>104065.4</v>
      </c>
      <c r="AB235" s="16">
        <v>104065.4</v>
      </c>
      <c r="AC235" s="16">
        <v>0.0</v>
      </c>
      <c r="AD235" s="16">
        <v>350.0</v>
      </c>
      <c r="AE235" s="16">
        <v>0.0</v>
      </c>
      <c r="AF235" s="16">
        <v>0.0</v>
      </c>
      <c r="AG235" s="16">
        <v>0.0</v>
      </c>
      <c r="AH235" s="16">
        <v>0.0</v>
      </c>
      <c r="AI235" s="16">
        <v>0.0</v>
      </c>
      <c r="AJ235" s="16">
        <v>104065.4</v>
      </c>
      <c r="AK235" s="16">
        <v>104065.4</v>
      </c>
      <c r="AL235" s="16">
        <v>0.0</v>
      </c>
      <c r="AM235" s="16">
        <v>250.8</v>
      </c>
      <c r="AN235" s="16">
        <v>0.0</v>
      </c>
      <c r="AO235" s="18"/>
      <c r="AP235" s="18"/>
      <c r="AQ235" s="18"/>
      <c r="AR235" s="18"/>
      <c r="AS235" s="11" t="str">
        <f>VLOOKUP(C235,'mayo-26'!B:AS,44,0)</f>
        <v>SUBFINANCIERA@IMSALUD.GOV.CO</v>
      </c>
      <c r="AT235" s="12" t="str">
        <f>VLOOKUP(C235,'mayo-26'!B:AT,45,0)</f>
        <v>CORREO ELECTRONICO CERTIFICADO 472</v>
      </c>
      <c r="AU235" s="16"/>
      <c r="AV235" s="16"/>
      <c r="AW235" s="16"/>
    </row>
    <row r="236" ht="14.25" customHeight="1">
      <c r="A236" s="15" t="s">
        <v>551</v>
      </c>
      <c r="B236" s="16">
        <v>297.0</v>
      </c>
      <c r="C236" s="16">
        <v>312078.0</v>
      </c>
      <c r="D236" s="16">
        <v>312078.0</v>
      </c>
      <c r="E236" s="16">
        <v>424806.0</v>
      </c>
      <c r="F236" s="16">
        <v>424806.0</v>
      </c>
      <c r="G236" s="15" t="s">
        <v>135</v>
      </c>
      <c r="H236" s="15" t="s">
        <v>136</v>
      </c>
      <c r="I236" s="1" t="str">
        <f>VLOOKUP(C236,'mayo-26'!B:H,7,0)</f>
        <v>AVE 4 17-89 - 0239431</v>
      </c>
      <c r="J236" s="1" t="s">
        <v>183</v>
      </c>
      <c r="K236" s="10" t="str">
        <f>VLOOKUP(C236,'mayo-26'!B:J,9,0)</f>
        <v>NO</v>
      </c>
      <c r="L236" s="1" t="str">
        <f>VLOOKUP(C236,'mayo-26'!B:K,10,0)</f>
        <v>IMSALUD</v>
      </c>
      <c r="M236" s="15" t="s">
        <v>52</v>
      </c>
      <c r="N236" s="15" t="s">
        <v>138</v>
      </c>
      <c r="O236" s="15" t="s">
        <v>130</v>
      </c>
      <c r="P236" s="15" t="s">
        <v>126</v>
      </c>
      <c r="Q236" s="15" t="s">
        <v>131</v>
      </c>
      <c r="R236" s="15" t="s">
        <v>139</v>
      </c>
      <c r="S236" s="15" t="s">
        <v>133</v>
      </c>
      <c r="T236" s="15" t="s">
        <v>59</v>
      </c>
      <c r="U236" s="16">
        <v>2026.0</v>
      </c>
      <c r="V236" s="16">
        <v>6.0</v>
      </c>
      <c r="W236" s="16">
        <v>1.081875172E9</v>
      </c>
      <c r="X236" s="16">
        <v>1.081893644E9</v>
      </c>
      <c r="Y236" s="17">
        <v>46182.0</v>
      </c>
      <c r="Z236" s="17">
        <v>46207.0</v>
      </c>
      <c r="AA236" s="16">
        <v>62832.0</v>
      </c>
      <c r="AB236" s="16">
        <v>62832.0</v>
      </c>
      <c r="AC236" s="16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6">
        <v>0.0</v>
      </c>
      <c r="AJ236" s="16">
        <v>62832.0</v>
      </c>
      <c r="AK236" s="16">
        <v>62832.0</v>
      </c>
      <c r="AL236" s="16">
        <v>0.0</v>
      </c>
      <c r="AM236" s="16">
        <v>250.8</v>
      </c>
      <c r="AN236" s="16">
        <v>0.0</v>
      </c>
      <c r="AO236" s="18"/>
      <c r="AP236" s="18"/>
      <c r="AQ236" s="18"/>
      <c r="AR236" s="18"/>
      <c r="AS236" s="11" t="str">
        <f>VLOOKUP(C236,'mayo-26'!B:AS,44,0)</f>
        <v>SUBFINANCIERA@IMSALUD.GOV.CO</v>
      </c>
      <c r="AT236" s="12" t="str">
        <f>VLOOKUP(C236,'mayo-26'!B:AT,45,0)</f>
        <v>CORREO ELECTRONICO CERTIFICADO 472</v>
      </c>
      <c r="AU236" s="16"/>
      <c r="AV236" s="16"/>
      <c r="AW236" s="16"/>
    </row>
    <row r="237" ht="14.25" customHeight="1">
      <c r="A237" s="15" t="s">
        <v>552</v>
      </c>
      <c r="B237" s="16">
        <v>699.0</v>
      </c>
      <c r="C237" s="16">
        <v>313426.0</v>
      </c>
      <c r="D237" s="16">
        <v>313426.0</v>
      </c>
      <c r="E237" s="16">
        <v>440188.0</v>
      </c>
      <c r="F237" s="16">
        <v>440188.0</v>
      </c>
      <c r="G237" s="16">
        <v>9.00480569E8</v>
      </c>
      <c r="H237" s="15" t="s">
        <v>141</v>
      </c>
      <c r="I237" s="1" t="str">
        <f>VLOOKUP(C237,'mayo-26'!B:H,7,0)</f>
        <v>CLL 12 4-52 CENTRO</v>
      </c>
      <c r="J237" s="1" t="s">
        <v>224</v>
      </c>
      <c r="K237" s="10" t="str">
        <f>VLOOKUP(C237,'mayo-26'!B:J,9,0)</f>
        <v>NO</v>
      </c>
      <c r="L237" s="1" t="str">
        <f>VLOOKUP(C237,'mayo-26'!B:K,10,0)</f>
        <v>ARA CUCUTA</v>
      </c>
      <c r="M237" s="15" t="s">
        <v>52</v>
      </c>
      <c r="N237" s="15" t="s">
        <v>138</v>
      </c>
      <c r="O237" s="15" t="s">
        <v>130</v>
      </c>
      <c r="P237" s="15" t="s">
        <v>126</v>
      </c>
      <c r="Q237" s="15" t="s">
        <v>131</v>
      </c>
      <c r="R237" s="15" t="s">
        <v>132</v>
      </c>
      <c r="S237" s="15" t="s">
        <v>133</v>
      </c>
      <c r="T237" s="15" t="s">
        <v>59</v>
      </c>
      <c r="U237" s="16">
        <v>2026.0</v>
      </c>
      <c r="V237" s="16">
        <v>6.0</v>
      </c>
      <c r="W237" s="16">
        <v>1.081875175E9</v>
      </c>
      <c r="X237" s="16">
        <v>1.081893647E9</v>
      </c>
      <c r="Y237" s="17">
        <v>46182.0</v>
      </c>
      <c r="Z237" s="17">
        <v>46207.0</v>
      </c>
      <c r="AA237" s="16">
        <v>113128.5</v>
      </c>
      <c r="AB237" s="16">
        <v>113128.5</v>
      </c>
      <c r="AC237" s="16">
        <v>37709.5</v>
      </c>
      <c r="AD237" s="16">
        <v>0.0</v>
      </c>
      <c r="AE237" s="16">
        <v>0.0</v>
      </c>
      <c r="AF237" s="16">
        <v>0.0</v>
      </c>
      <c r="AG237" s="16">
        <v>0.0</v>
      </c>
      <c r="AH237" s="16">
        <v>0.0</v>
      </c>
      <c r="AI237" s="16">
        <v>0.0</v>
      </c>
      <c r="AJ237" s="16">
        <v>113128.5</v>
      </c>
      <c r="AK237" s="16">
        <v>233227.18</v>
      </c>
      <c r="AL237" s="16">
        <v>1.0</v>
      </c>
      <c r="AM237" s="16">
        <v>376.2</v>
      </c>
      <c r="AN237" s="16">
        <v>0.0</v>
      </c>
      <c r="AO237" s="18"/>
      <c r="AP237" s="18"/>
      <c r="AQ237" s="18"/>
      <c r="AR237" s="18"/>
      <c r="AS237" s="11" t="str">
        <f>VLOOKUP(C237,'mayo-26'!B:AS,44,0)</f>
        <v>COORDINADOR.OPERACIONES.R11@JERONIMO-MARTINS.COM</v>
      </c>
      <c r="AT237" s="12" t="str">
        <f>VLOOKUP(C237,'mayo-26'!B:AT,45,0)</f>
        <v>CORREO ELECTRONICO CERTIFICADO 472</v>
      </c>
      <c r="AU237" s="16"/>
      <c r="AV237" s="16"/>
      <c r="AW237" s="16"/>
    </row>
    <row r="238" ht="14.25" customHeight="1">
      <c r="A238" s="19" t="s">
        <v>553</v>
      </c>
      <c r="B238" s="16">
        <v>3159.0</v>
      </c>
      <c r="C238" s="16">
        <v>3158.0</v>
      </c>
      <c r="D238" s="16">
        <v>3158.0</v>
      </c>
      <c r="E238" s="16">
        <v>8.0123484E7</v>
      </c>
      <c r="F238" s="16">
        <v>8.0123484E7</v>
      </c>
      <c r="G238" s="16">
        <v>8.60013798E8</v>
      </c>
      <c r="H238" s="15" t="s">
        <v>554</v>
      </c>
      <c r="I238" s="1" t="str">
        <f>VLOOKUP(C238,'mayo-26'!B:H,7,0)</f>
        <v>AV.4A 12N - 81</v>
      </c>
      <c r="J238" s="1" t="s">
        <v>181</v>
      </c>
      <c r="K238" s="10" t="str">
        <f>VLOOKUP(C238,'mayo-26'!B:J,9,0)</f>
        <v>NO</v>
      </c>
      <c r="L238" s="1" t="str">
        <f>VLOOKUP(C238,'mayo-26'!B:K,10,0)</f>
        <v>NO</v>
      </c>
      <c r="M238" s="15" t="s">
        <v>52</v>
      </c>
      <c r="N238" s="15" t="s">
        <v>89</v>
      </c>
      <c r="O238" s="15" t="s">
        <v>130</v>
      </c>
      <c r="P238" s="15" t="s">
        <v>126</v>
      </c>
      <c r="Q238" s="15" t="s">
        <v>56</v>
      </c>
      <c r="R238" s="15" t="s">
        <v>90</v>
      </c>
      <c r="S238" s="15" t="s">
        <v>58</v>
      </c>
      <c r="T238" s="15" t="s">
        <v>59</v>
      </c>
      <c r="U238" s="16">
        <v>2026.0</v>
      </c>
      <c r="V238" s="16">
        <v>6.0</v>
      </c>
      <c r="W238" s="16">
        <v>1.081874927E9</v>
      </c>
      <c r="X238" s="16">
        <v>1.081893399E9</v>
      </c>
      <c r="Y238" s="17">
        <v>46182.0</v>
      </c>
      <c r="Z238" s="17">
        <v>46207.0</v>
      </c>
      <c r="AA238" s="16">
        <v>2874467.4</v>
      </c>
      <c r="AB238" s="16">
        <v>2874467.4</v>
      </c>
      <c r="AC238" s="16">
        <v>958155.8</v>
      </c>
      <c r="AD238" s="16">
        <v>9900.0</v>
      </c>
      <c r="AE238" s="16">
        <v>0.0</v>
      </c>
      <c r="AF238" s="16">
        <v>0.0</v>
      </c>
      <c r="AG238" s="16">
        <v>0.0</v>
      </c>
      <c r="AH238" s="16">
        <v>0.0</v>
      </c>
      <c r="AI238" s="16">
        <v>0.0</v>
      </c>
      <c r="AJ238" s="16">
        <v>2874467.4</v>
      </c>
      <c r="AK238" s="16">
        <v>2874467.4</v>
      </c>
      <c r="AL238" s="16">
        <v>0.0</v>
      </c>
      <c r="AM238" s="16">
        <v>376.2</v>
      </c>
      <c r="AN238" s="16">
        <v>0.0</v>
      </c>
      <c r="AO238" s="18"/>
      <c r="AP238" s="18"/>
      <c r="AQ238" s="18"/>
      <c r="AR238" s="18"/>
      <c r="AS238" s="11" t="str">
        <f>VLOOKUP(C238,'mayo-26'!B:AS,44,0)</f>
        <v>PROVEFACTU.CUC@UNILIBRE.EDU.CO</v>
      </c>
      <c r="AT238" s="12" t="str">
        <f>VLOOKUP(C238,'mayo-26'!B:AT,45,0)</f>
        <v>CORREO ELECTRONICO CERTIFICADO 472</v>
      </c>
      <c r="AU238" s="16"/>
      <c r="AV238" s="16"/>
      <c r="AW238" s="16"/>
    </row>
    <row r="239" ht="14.25" customHeight="1">
      <c r="A239" s="15" t="s">
        <v>555</v>
      </c>
      <c r="B239" s="16">
        <v>455370.0</v>
      </c>
      <c r="C239" s="16">
        <v>3162.0</v>
      </c>
      <c r="D239" s="16">
        <v>3162.0</v>
      </c>
      <c r="E239" s="16">
        <v>8.0123488E7</v>
      </c>
      <c r="F239" s="16">
        <v>8.0123488E7</v>
      </c>
      <c r="G239" s="15" t="s">
        <v>148</v>
      </c>
      <c r="H239" s="15" t="s">
        <v>149</v>
      </c>
      <c r="I239" s="1" t="str">
        <f>VLOOKUP(C239,'mayo-26'!B:H,7,0)</f>
        <v>CALLE 10 NO 0E-16 EDF CENTRO EMPRESARIAL BLOQUE B HOTEL TONCHALA</v>
      </c>
      <c r="J239" s="1" t="s">
        <v>362</v>
      </c>
      <c r="K239" s="10" t="str">
        <f>VLOOKUP(C239,'mayo-26'!B:J,9,0)</f>
        <v>NO</v>
      </c>
      <c r="L239" s="1" t="str">
        <f>VLOOKUP(C239,'mayo-26'!B:K,10,0)</f>
        <v>COLEGIOS ZONA NORTE</v>
      </c>
      <c r="M239" s="15" t="s">
        <v>52</v>
      </c>
      <c r="N239" s="15" t="s">
        <v>138</v>
      </c>
      <c r="O239" s="15" t="s">
        <v>130</v>
      </c>
      <c r="P239" s="15" t="s">
        <v>126</v>
      </c>
      <c r="Q239" s="15" t="s">
        <v>56</v>
      </c>
      <c r="R239" s="15" t="s">
        <v>57</v>
      </c>
      <c r="S239" s="15" t="s">
        <v>143</v>
      </c>
      <c r="T239" s="15" t="s">
        <v>59</v>
      </c>
      <c r="U239" s="16">
        <v>2026.0</v>
      </c>
      <c r="V239" s="16">
        <v>6.0</v>
      </c>
      <c r="W239" s="16">
        <v>1.08187493E9</v>
      </c>
      <c r="X239" s="16">
        <v>1.081893402E9</v>
      </c>
      <c r="Y239" s="17">
        <v>46182.0</v>
      </c>
      <c r="Z239" s="17">
        <v>46207.0</v>
      </c>
      <c r="AA239" s="16">
        <v>151506.4</v>
      </c>
      <c r="AB239" s="16">
        <v>151506.4</v>
      </c>
      <c r="AC239" s="16">
        <v>0.0</v>
      </c>
      <c r="AD239" s="16">
        <v>600.0</v>
      </c>
      <c r="AE239" s="16">
        <v>0.0</v>
      </c>
      <c r="AF239" s="16">
        <v>0.0</v>
      </c>
      <c r="AG239" s="16">
        <v>0.0</v>
      </c>
      <c r="AH239" s="16">
        <v>0.0</v>
      </c>
      <c r="AI239" s="16">
        <v>0.0</v>
      </c>
      <c r="AJ239" s="16">
        <v>151506.4</v>
      </c>
      <c r="AK239" s="16">
        <v>452786.5</v>
      </c>
      <c r="AL239" s="16">
        <v>3.0</v>
      </c>
      <c r="AM239" s="16">
        <v>250.8</v>
      </c>
      <c r="AN239" s="16">
        <v>0.0</v>
      </c>
      <c r="AO239" s="18"/>
      <c r="AP239" s="18"/>
      <c r="AQ239" s="18"/>
      <c r="AR239" s="18"/>
      <c r="AS239" s="11" t="str">
        <f>VLOOKUP(C239,'mayo-26'!B:AS,44,0)</f>
        <v>AREAFINANCIERA@SEMCUCUTA.GOV.CO</v>
      </c>
      <c r="AT239" s="12" t="str">
        <f>VLOOKUP(C239,'mayo-26'!B:AT,45,0)</f>
        <v>CARTERA</v>
      </c>
      <c r="AU239" s="16"/>
      <c r="AV239" s="16"/>
      <c r="AW239" s="16"/>
    </row>
    <row r="240" ht="14.25" customHeight="1">
      <c r="A240" s="15" t="s">
        <v>556</v>
      </c>
      <c r="B240" s="16">
        <v>455370.0</v>
      </c>
      <c r="C240" s="16">
        <v>3170.0</v>
      </c>
      <c r="D240" s="16">
        <v>3170.0</v>
      </c>
      <c r="E240" s="16">
        <v>8.0123496E7</v>
      </c>
      <c r="F240" s="16">
        <v>8.0123496E7</v>
      </c>
      <c r="G240" s="15" t="s">
        <v>148</v>
      </c>
      <c r="H240" s="15" t="s">
        <v>149</v>
      </c>
      <c r="I240" s="1" t="str">
        <f>VLOOKUP(C240,'mayo-26'!B:H,7,0)</f>
        <v>CALLE 10 NO 0E-16 EDF CENTRO EMPRESARIAL BLOQUE B HOTEL TONCHALA</v>
      </c>
      <c r="J240" s="1" t="s">
        <v>157</v>
      </c>
      <c r="K240" s="10" t="str">
        <f>VLOOKUP(C240,'mayo-26'!B:J,9,0)</f>
        <v>NO</v>
      </c>
      <c r="L240" s="1" t="str">
        <f>VLOOKUP(C240,'mayo-26'!B:K,10,0)</f>
        <v>COLEGIOS ZONA NORTE</v>
      </c>
      <c r="M240" s="15" t="s">
        <v>52</v>
      </c>
      <c r="N240" s="15" t="s">
        <v>138</v>
      </c>
      <c r="O240" s="15" t="s">
        <v>130</v>
      </c>
      <c r="P240" s="15" t="s">
        <v>126</v>
      </c>
      <c r="Q240" s="15" t="s">
        <v>56</v>
      </c>
      <c r="R240" s="15" t="s">
        <v>57</v>
      </c>
      <c r="S240" s="15" t="s">
        <v>143</v>
      </c>
      <c r="T240" s="15" t="s">
        <v>59</v>
      </c>
      <c r="U240" s="16">
        <v>2026.0</v>
      </c>
      <c r="V240" s="16">
        <v>6.0</v>
      </c>
      <c r="W240" s="16">
        <v>1.081874935E9</v>
      </c>
      <c r="X240" s="16">
        <v>1.081893407E9</v>
      </c>
      <c r="Y240" s="17">
        <v>46182.0</v>
      </c>
      <c r="Z240" s="17">
        <v>46207.0</v>
      </c>
      <c r="AA240" s="16">
        <v>421540.57</v>
      </c>
      <c r="AB240" s="16">
        <v>421540.57</v>
      </c>
      <c r="AC240" s="16">
        <v>0.0</v>
      </c>
      <c r="AD240" s="16">
        <v>2023.0</v>
      </c>
      <c r="AE240" s="16">
        <v>0.0</v>
      </c>
      <c r="AF240" s="16">
        <v>0.0</v>
      </c>
      <c r="AG240" s="16">
        <v>0.0</v>
      </c>
      <c r="AH240" s="16">
        <v>0.0</v>
      </c>
      <c r="AI240" s="16">
        <v>0.0</v>
      </c>
      <c r="AJ240" s="16">
        <v>421540.57</v>
      </c>
      <c r="AK240" s="16">
        <v>1256536.74</v>
      </c>
      <c r="AL240" s="16">
        <v>3.0</v>
      </c>
      <c r="AM240" s="16">
        <v>250.8</v>
      </c>
      <c r="AN240" s="16">
        <v>0.0</v>
      </c>
      <c r="AO240" s="18"/>
      <c r="AP240" s="18"/>
      <c r="AQ240" s="18"/>
      <c r="AR240" s="18"/>
      <c r="AS240" s="11" t="str">
        <f>VLOOKUP(C240,'mayo-26'!B:AS,44,0)</f>
        <v>AREAFINANCIERA@SEMCUCUTA.GOV.CO</v>
      </c>
      <c r="AT240" s="12" t="str">
        <f>VLOOKUP(C240,'mayo-26'!B:AT,45,0)</f>
        <v>CARTERA</v>
      </c>
      <c r="AU240" s="16"/>
      <c r="AV240" s="16"/>
      <c r="AW240" s="16"/>
    </row>
    <row r="241" ht="14.25" customHeight="1">
      <c r="A241" s="19" t="s">
        <v>557</v>
      </c>
      <c r="B241" s="16">
        <v>455370.0</v>
      </c>
      <c r="C241" s="16">
        <v>3174.0</v>
      </c>
      <c r="D241" s="16">
        <v>3174.0</v>
      </c>
      <c r="E241" s="16">
        <v>8.01235E7</v>
      </c>
      <c r="F241" s="16">
        <v>8.01235E7</v>
      </c>
      <c r="G241" s="15" t="s">
        <v>148</v>
      </c>
      <c r="H241" s="15" t="s">
        <v>149</v>
      </c>
      <c r="I241" s="1" t="str">
        <f>VLOOKUP(C241,'mayo-26'!B:H,7,0)</f>
        <v>CALLE 10 NO 0E-16 EDF CENTRO EMPRESARIAL BLOQUE B HOTEL TONCHALA</v>
      </c>
      <c r="J241" s="1" t="s">
        <v>409</v>
      </c>
      <c r="K241" s="10" t="str">
        <f>VLOOKUP(C241,'mayo-26'!B:J,9,0)</f>
        <v>NO</v>
      </c>
      <c r="L241" s="1" t="str">
        <f>VLOOKUP(C241,'mayo-26'!B:K,10,0)</f>
        <v>COLEGIOS ZONA NORTE</v>
      </c>
      <c r="M241" s="15" t="s">
        <v>52</v>
      </c>
      <c r="N241" s="15" t="s">
        <v>138</v>
      </c>
      <c r="O241" s="15" t="s">
        <v>130</v>
      </c>
      <c r="P241" s="15" t="s">
        <v>126</v>
      </c>
      <c r="Q241" s="15" t="s">
        <v>56</v>
      </c>
      <c r="R241" s="15" t="s">
        <v>57</v>
      </c>
      <c r="S241" s="15" t="s">
        <v>143</v>
      </c>
      <c r="T241" s="15" t="s">
        <v>59</v>
      </c>
      <c r="U241" s="16">
        <v>2026.0</v>
      </c>
      <c r="V241" s="16">
        <v>6.0</v>
      </c>
      <c r="W241" s="16">
        <v>1.081874939E9</v>
      </c>
      <c r="X241" s="16">
        <v>1.081893411E9</v>
      </c>
      <c r="Y241" s="17">
        <v>46182.0</v>
      </c>
      <c r="Z241" s="17">
        <v>46207.0</v>
      </c>
      <c r="AA241" s="16">
        <v>322294.0</v>
      </c>
      <c r="AB241" s="16">
        <v>322294.0</v>
      </c>
      <c r="AC241" s="16">
        <v>0.0</v>
      </c>
      <c r="AD241" s="16">
        <v>1500.0</v>
      </c>
      <c r="AE241" s="16">
        <v>0.0</v>
      </c>
      <c r="AF241" s="16">
        <v>0.0</v>
      </c>
      <c r="AG241" s="16">
        <v>0.0</v>
      </c>
      <c r="AH241" s="16">
        <v>0.0</v>
      </c>
      <c r="AI241" s="16">
        <v>0.0</v>
      </c>
      <c r="AJ241" s="16">
        <v>322294.0</v>
      </c>
      <c r="AK241" s="16">
        <v>961131.7</v>
      </c>
      <c r="AL241" s="16">
        <v>3.0</v>
      </c>
      <c r="AM241" s="16">
        <v>250.8</v>
      </c>
      <c r="AN241" s="16">
        <v>0.0</v>
      </c>
      <c r="AO241" s="18"/>
      <c r="AP241" s="18"/>
      <c r="AQ241" s="18"/>
      <c r="AR241" s="18"/>
      <c r="AS241" s="11" t="str">
        <f>VLOOKUP(C241,'mayo-26'!B:AS,44,0)</f>
        <v>AREAFINANCIERA@SEMCUCUTA.GOV.CO</v>
      </c>
      <c r="AT241" s="12" t="str">
        <f>VLOOKUP(C241,'mayo-26'!B:AT,45,0)</f>
        <v>CARTERA</v>
      </c>
      <c r="AU241" s="16"/>
      <c r="AV241" s="16"/>
      <c r="AW241" s="16"/>
    </row>
    <row r="242" ht="14.25" customHeight="1">
      <c r="A242" s="15" t="s">
        <v>558</v>
      </c>
      <c r="B242" s="16">
        <v>3179.0</v>
      </c>
      <c r="C242" s="16">
        <v>3178.0</v>
      </c>
      <c r="D242" s="16">
        <v>3178.0</v>
      </c>
      <c r="E242" s="16">
        <v>8.0123504E7</v>
      </c>
      <c r="F242" s="16">
        <v>8.0123504E7</v>
      </c>
      <c r="G242" s="16">
        <v>8.60020382E8</v>
      </c>
      <c r="H242" s="15" t="s">
        <v>559</v>
      </c>
      <c r="I242" s="1" t="str">
        <f>VLOOKUP(C242,'mayo-26'!B:H,7,0)</f>
        <v>AV 7 16N-55 ZONA INDUSTRIAL</v>
      </c>
      <c r="J242" s="1" t="s">
        <v>172</v>
      </c>
      <c r="K242" s="10" t="str">
        <f>VLOOKUP(C242,'mayo-26'!B:J,9,0)</f>
        <v>NO</v>
      </c>
      <c r="L242" s="1" t="str">
        <f>VLOOKUP(C242,'mayo-26'!B:K,10,0)</f>
        <v>NO</v>
      </c>
      <c r="M242" s="15" t="s">
        <v>52</v>
      </c>
      <c r="N242" s="15" t="s">
        <v>89</v>
      </c>
      <c r="O242" s="15" t="s">
        <v>130</v>
      </c>
      <c r="P242" s="15" t="s">
        <v>126</v>
      </c>
      <c r="Q242" s="15" t="s">
        <v>56</v>
      </c>
      <c r="R242" s="15" t="s">
        <v>90</v>
      </c>
      <c r="S242" s="15" t="s">
        <v>143</v>
      </c>
      <c r="T242" s="15" t="s">
        <v>59</v>
      </c>
      <c r="U242" s="16">
        <v>2026.0</v>
      </c>
      <c r="V242" s="16">
        <v>6.0</v>
      </c>
      <c r="W242" s="16">
        <v>1.081874942E9</v>
      </c>
      <c r="X242" s="16">
        <v>1.081893414E9</v>
      </c>
      <c r="Y242" s="17">
        <v>46182.0</v>
      </c>
      <c r="Z242" s="17">
        <v>46207.0</v>
      </c>
      <c r="AA242" s="16">
        <v>234375.77</v>
      </c>
      <c r="AB242" s="16">
        <v>234375.77</v>
      </c>
      <c r="AC242" s="16">
        <v>78125.26</v>
      </c>
      <c r="AD242" s="16">
        <v>625.0</v>
      </c>
      <c r="AE242" s="16">
        <v>0.0</v>
      </c>
      <c r="AF242" s="16">
        <v>0.0</v>
      </c>
      <c r="AG242" s="16">
        <v>0.0</v>
      </c>
      <c r="AH242" s="16">
        <v>0.0</v>
      </c>
      <c r="AI242" s="16">
        <v>0.0</v>
      </c>
      <c r="AJ242" s="16">
        <v>234375.77</v>
      </c>
      <c r="AK242" s="16">
        <v>234375.77</v>
      </c>
      <c r="AL242" s="16">
        <v>0.0</v>
      </c>
      <c r="AM242" s="16">
        <v>376.2</v>
      </c>
      <c r="AN242" s="16">
        <v>0.0</v>
      </c>
      <c r="AO242" s="18"/>
      <c r="AP242" s="18"/>
      <c r="AQ242" s="18"/>
      <c r="AR242" s="18"/>
      <c r="AS242" s="11" t="str">
        <f>VLOOKUP(C242,'mayo-26'!B:AS,44,0)</f>
        <v>RIGOBERTO.LOPEZ@ALPOPULAR.COM.CO</v>
      </c>
      <c r="AT242" s="12" t="str">
        <f>VLOOKUP(C242,'mayo-26'!B:AT,45,0)</f>
        <v>CORREO ELECTRONICO CERTIFICADO 472</v>
      </c>
      <c r="AU242" s="16"/>
      <c r="AV242" s="16"/>
      <c r="AW242" s="16"/>
    </row>
    <row r="243" ht="14.25" customHeight="1">
      <c r="A243" s="15" t="s">
        <v>560</v>
      </c>
      <c r="B243" s="16">
        <v>699.0</v>
      </c>
      <c r="C243" s="16">
        <v>317890.0</v>
      </c>
      <c r="D243" s="16">
        <v>317890.0</v>
      </c>
      <c r="E243" s="16">
        <v>486690.0</v>
      </c>
      <c r="F243" s="16">
        <v>486690.0</v>
      </c>
      <c r="G243" s="16">
        <v>9.00480569E8</v>
      </c>
      <c r="H243" s="15" t="s">
        <v>141</v>
      </c>
      <c r="I243" s="1" t="str">
        <f>VLOOKUP(C243,'mayo-26'!B:H,7,0)</f>
        <v>CLL 12 4-52 CENTRO</v>
      </c>
      <c r="J243" s="1" t="s">
        <v>561</v>
      </c>
      <c r="K243" s="10" t="str">
        <f>VLOOKUP(C243,'mayo-26'!B:J,9,0)</f>
        <v>NO</v>
      </c>
      <c r="L243" s="1" t="str">
        <f>VLOOKUP(C243,'mayo-26'!B:K,10,0)</f>
        <v>ARA CUCUTA</v>
      </c>
      <c r="M243" s="15" t="s">
        <v>52</v>
      </c>
      <c r="N243" s="15" t="s">
        <v>138</v>
      </c>
      <c r="O243" s="15" t="s">
        <v>130</v>
      </c>
      <c r="P243" s="15" t="s">
        <v>126</v>
      </c>
      <c r="Q243" s="15" t="s">
        <v>131</v>
      </c>
      <c r="R243" s="15" t="s">
        <v>538</v>
      </c>
      <c r="S243" s="15" t="s">
        <v>133</v>
      </c>
      <c r="T243" s="15" t="s">
        <v>59</v>
      </c>
      <c r="U243" s="16">
        <v>2026.0</v>
      </c>
      <c r="V243" s="16">
        <v>6.0</v>
      </c>
      <c r="W243" s="16">
        <v>1.081875179E9</v>
      </c>
      <c r="X243" s="16">
        <v>1.081893651E9</v>
      </c>
      <c r="Y243" s="17">
        <v>46182.0</v>
      </c>
      <c r="Z243" s="17">
        <v>46207.0</v>
      </c>
      <c r="AA243" s="16">
        <v>105267.22</v>
      </c>
      <c r="AB243" s="16">
        <v>105267.22</v>
      </c>
      <c r="AC243" s="16">
        <v>31416.0</v>
      </c>
      <c r="AD243" s="16">
        <v>0.0</v>
      </c>
      <c r="AE243" s="16">
        <v>11019.22</v>
      </c>
      <c r="AF243" s="16">
        <v>0.0</v>
      </c>
      <c r="AG243" s="16">
        <v>0.0</v>
      </c>
      <c r="AH243" s="16">
        <v>0.0</v>
      </c>
      <c r="AI243" s="16">
        <v>0.0</v>
      </c>
      <c r="AJ243" s="16">
        <v>105267.22</v>
      </c>
      <c r="AK243" s="16">
        <v>822497.38</v>
      </c>
      <c r="AL243" s="16">
        <v>8.0</v>
      </c>
      <c r="AM243" s="16">
        <v>376.2</v>
      </c>
      <c r="AN243" s="16">
        <v>0.0</v>
      </c>
      <c r="AO243" s="18"/>
      <c r="AP243" s="18"/>
      <c r="AQ243" s="18"/>
      <c r="AR243" s="18"/>
      <c r="AS243" s="11" t="str">
        <f>VLOOKUP(C243,'mayo-26'!B:AS,44,0)</f>
        <v>COORDINADOR.OPERACIONES.R11@JERONIMO-MARTINS.COM</v>
      </c>
      <c r="AT243" s="12" t="str">
        <f>VLOOKUP(C243,'mayo-26'!B:AT,45,0)</f>
        <v>CORREO ELECTRONICO CERTIFICADO 472</v>
      </c>
      <c r="AU243" s="16"/>
      <c r="AV243" s="16"/>
      <c r="AW243" s="16"/>
    </row>
    <row r="244" ht="14.25" customHeight="1">
      <c r="A244" s="15" t="s">
        <v>562</v>
      </c>
      <c r="B244" s="16">
        <v>455370.0</v>
      </c>
      <c r="C244" s="16">
        <v>3182.0</v>
      </c>
      <c r="D244" s="16">
        <v>3182.0</v>
      </c>
      <c r="E244" s="16">
        <v>8.0123508E7</v>
      </c>
      <c r="F244" s="16">
        <v>8.0123508E7</v>
      </c>
      <c r="G244" s="15" t="s">
        <v>148</v>
      </c>
      <c r="H244" s="15" t="s">
        <v>149</v>
      </c>
      <c r="I244" s="1" t="str">
        <f>VLOOKUP(C244,'mayo-26'!B:H,7,0)</f>
        <v>CALLE 10 NO 0E-16 EDF CENTRO EMPRESARIAL BLOQUE B HOTEL TONCHALA</v>
      </c>
      <c r="J244" s="1" t="s">
        <v>417</v>
      </c>
      <c r="K244" s="10" t="str">
        <f>VLOOKUP(C244,'mayo-26'!B:J,9,0)</f>
        <v>NO</v>
      </c>
      <c r="L244" s="1" t="str">
        <f>VLOOKUP(C244,'mayo-26'!B:K,10,0)</f>
        <v>COLEGIOS ZONA NORTE</v>
      </c>
      <c r="M244" s="15" t="s">
        <v>52</v>
      </c>
      <c r="N244" s="15" t="s">
        <v>138</v>
      </c>
      <c r="O244" s="15" t="s">
        <v>130</v>
      </c>
      <c r="P244" s="15" t="s">
        <v>126</v>
      </c>
      <c r="Q244" s="15" t="s">
        <v>56</v>
      </c>
      <c r="R244" s="15" t="s">
        <v>57</v>
      </c>
      <c r="S244" s="15" t="s">
        <v>143</v>
      </c>
      <c r="T244" s="15" t="s">
        <v>59</v>
      </c>
      <c r="U244" s="16">
        <v>2026.0</v>
      </c>
      <c r="V244" s="16">
        <v>6.0</v>
      </c>
      <c r="W244" s="16">
        <v>1.081874948E9</v>
      </c>
      <c r="X244" s="16">
        <v>1.08189342E9</v>
      </c>
      <c r="Y244" s="17">
        <v>46182.0</v>
      </c>
      <c r="Z244" s="17">
        <v>46207.0</v>
      </c>
      <c r="AA244" s="16">
        <v>177124.55</v>
      </c>
      <c r="AB244" s="16">
        <v>177124.55</v>
      </c>
      <c r="AC244" s="16">
        <v>0.0</v>
      </c>
      <c r="AD244" s="16">
        <v>735.0</v>
      </c>
      <c r="AE244" s="16">
        <v>0.0</v>
      </c>
      <c r="AF244" s="16">
        <v>0.0</v>
      </c>
      <c r="AG244" s="16">
        <v>0.0</v>
      </c>
      <c r="AH244" s="16">
        <v>0.0</v>
      </c>
      <c r="AI244" s="16">
        <v>0.0</v>
      </c>
      <c r="AJ244" s="16">
        <v>177124.55</v>
      </c>
      <c r="AK244" s="16">
        <v>529038.3</v>
      </c>
      <c r="AL244" s="16">
        <v>3.0</v>
      </c>
      <c r="AM244" s="16">
        <v>250.8</v>
      </c>
      <c r="AN244" s="16">
        <v>0.0</v>
      </c>
      <c r="AO244" s="18"/>
      <c r="AP244" s="18"/>
      <c r="AQ244" s="18"/>
      <c r="AR244" s="18"/>
      <c r="AS244" s="11" t="str">
        <f>VLOOKUP(C244,'mayo-26'!B:AS,44,0)</f>
        <v>AREAFINANCIERA@SEMCUCUTA.GOV.CO</v>
      </c>
      <c r="AT244" s="12" t="str">
        <f>VLOOKUP(C244,'mayo-26'!B:AT,45,0)</f>
        <v>CARTERA</v>
      </c>
      <c r="AU244" s="16"/>
      <c r="AV244" s="16"/>
      <c r="AW244" s="16"/>
    </row>
    <row r="245" ht="14.25" customHeight="1">
      <c r="A245" s="15" t="s">
        <v>563</v>
      </c>
      <c r="B245" s="16">
        <v>455370.0</v>
      </c>
      <c r="C245" s="16">
        <v>3186.0</v>
      </c>
      <c r="D245" s="16">
        <v>3186.0</v>
      </c>
      <c r="E245" s="16">
        <v>8.0123512E7</v>
      </c>
      <c r="F245" s="16">
        <v>8.0123512E7</v>
      </c>
      <c r="G245" s="15" t="s">
        <v>148</v>
      </c>
      <c r="H245" s="15" t="s">
        <v>149</v>
      </c>
      <c r="I245" s="1" t="str">
        <f>VLOOKUP(C245,'mayo-26'!B:H,7,0)</f>
        <v>CALLE 10 NO 0E-16 EDF CENTRO EMPRESARIAL BLOQUE B HOTEL TONCHALA</v>
      </c>
      <c r="J245" s="1" t="s">
        <v>196</v>
      </c>
      <c r="K245" s="10" t="str">
        <f>VLOOKUP(C245,'mayo-26'!B:J,9,0)</f>
        <v>NO</v>
      </c>
      <c r="L245" s="1" t="str">
        <f>VLOOKUP(C245,'mayo-26'!B:K,10,0)</f>
        <v>COLEGIOS ZONA NORTE</v>
      </c>
      <c r="M245" s="15" t="s">
        <v>52</v>
      </c>
      <c r="N245" s="15" t="s">
        <v>138</v>
      </c>
      <c r="O245" s="15" t="s">
        <v>130</v>
      </c>
      <c r="P245" s="15" t="s">
        <v>126</v>
      </c>
      <c r="Q245" s="15" t="s">
        <v>56</v>
      </c>
      <c r="R245" s="15" t="s">
        <v>57</v>
      </c>
      <c r="S245" s="15" t="s">
        <v>143</v>
      </c>
      <c r="T245" s="15" t="s">
        <v>59</v>
      </c>
      <c r="U245" s="16">
        <v>2026.0</v>
      </c>
      <c r="V245" s="16">
        <v>6.0</v>
      </c>
      <c r="W245" s="16">
        <v>1.081874952E9</v>
      </c>
      <c r="X245" s="16">
        <v>1.081893424E9</v>
      </c>
      <c r="Y245" s="17">
        <v>46182.0</v>
      </c>
      <c r="Z245" s="17">
        <v>46207.0</v>
      </c>
      <c r="AA245" s="16">
        <v>385864.95</v>
      </c>
      <c r="AB245" s="16">
        <v>385864.95</v>
      </c>
      <c r="AC245" s="16">
        <v>0.0</v>
      </c>
      <c r="AD245" s="16">
        <v>1835.0</v>
      </c>
      <c r="AE245" s="16">
        <v>0.0</v>
      </c>
      <c r="AF245" s="16">
        <v>0.0</v>
      </c>
      <c r="AG245" s="16">
        <v>0.0</v>
      </c>
      <c r="AH245" s="16">
        <v>0.0</v>
      </c>
      <c r="AI245" s="16">
        <v>0.0</v>
      </c>
      <c r="AJ245" s="16">
        <v>385864.95</v>
      </c>
      <c r="AK245" s="16">
        <v>1150349.1</v>
      </c>
      <c r="AL245" s="16">
        <v>3.0</v>
      </c>
      <c r="AM245" s="16">
        <v>250.8</v>
      </c>
      <c r="AN245" s="16">
        <v>0.0</v>
      </c>
      <c r="AO245" s="18"/>
      <c r="AP245" s="18"/>
      <c r="AQ245" s="18"/>
      <c r="AR245" s="18"/>
      <c r="AS245" s="11" t="str">
        <f>VLOOKUP(C245,'mayo-26'!B:AS,44,0)</f>
        <v>AREAFINANCIERA@SEMCUCUTA.GOV.CO</v>
      </c>
      <c r="AT245" s="12" t="str">
        <f>VLOOKUP(C245,'mayo-26'!B:AT,45,0)</f>
        <v>CARTERA</v>
      </c>
      <c r="AU245" s="16"/>
      <c r="AV245" s="16"/>
      <c r="AW245" s="16"/>
    </row>
    <row r="246" ht="14.25" customHeight="1">
      <c r="A246" s="15" t="s">
        <v>564</v>
      </c>
      <c r="B246" s="16">
        <v>147.0</v>
      </c>
      <c r="C246" s="16">
        <v>3190.0</v>
      </c>
      <c r="D246" s="16">
        <v>3190.0</v>
      </c>
      <c r="E246" s="16">
        <v>8.0123516E7</v>
      </c>
      <c r="F246" s="16">
        <v>8.0123516E7</v>
      </c>
      <c r="G246" s="15" t="s">
        <v>179</v>
      </c>
      <c r="H246" s="15" t="s">
        <v>180</v>
      </c>
      <c r="I246" s="1" t="str">
        <f>VLOOKUP(C246,'mayo-26'!B:H,7,0)</f>
        <v>AVE 3 CLL 24 GARITA # 1</v>
      </c>
      <c r="J246" s="1" t="s">
        <v>181</v>
      </c>
      <c r="K246" s="10" t="str">
        <f>VLOOKUP(C246,'mayo-26'!B:J,9,0)</f>
        <v>NO</v>
      </c>
      <c r="L246" s="1" t="str">
        <f>VLOOKUP(C246,'mayo-26'!B:K,10,0)</f>
        <v>POLICIA</v>
      </c>
      <c r="M246" s="15" t="s">
        <v>52</v>
      </c>
      <c r="N246" s="15" t="s">
        <v>89</v>
      </c>
      <c r="O246" s="15" t="s">
        <v>130</v>
      </c>
      <c r="P246" s="15" t="s">
        <v>126</v>
      </c>
      <c r="Q246" s="15" t="s">
        <v>56</v>
      </c>
      <c r="R246" s="15" t="s">
        <v>57</v>
      </c>
      <c r="S246" s="15" t="s">
        <v>143</v>
      </c>
      <c r="T246" s="15" t="s">
        <v>59</v>
      </c>
      <c r="U246" s="16">
        <v>2026.0</v>
      </c>
      <c r="V246" s="16">
        <v>6.0</v>
      </c>
      <c r="W246" s="16">
        <v>1.081874955E9</v>
      </c>
      <c r="X246" s="16">
        <v>1.081893427E9</v>
      </c>
      <c r="Y246" s="17">
        <v>46182.0</v>
      </c>
      <c r="Z246" s="17">
        <v>46207.0</v>
      </c>
      <c r="AA246" s="16">
        <v>119246.52</v>
      </c>
      <c r="AB246" s="16">
        <v>119246.52</v>
      </c>
      <c r="AC246" s="16">
        <v>0.0</v>
      </c>
      <c r="AD246" s="16">
        <v>430.0</v>
      </c>
      <c r="AE246" s="16">
        <v>0.0</v>
      </c>
      <c r="AF246" s="16">
        <v>0.0</v>
      </c>
      <c r="AG246" s="16">
        <v>0.0</v>
      </c>
      <c r="AH246" s="16">
        <v>0.0</v>
      </c>
      <c r="AI246" s="16">
        <v>0.0</v>
      </c>
      <c r="AJ246" s="16">
        <v>119246.52</v>
      </c>
      <c r="AK246" s="16">
        <v>239027.04</v>
      </c>
      <c r="AL246" s="16">
        <v>1.0</v>
      </c>
      <c r="AM246" s="16">
        <v>250.8</v>
      </c>
      <c r="AN246" s="16">
        <v>0.0</v>
      </c>
      <c r="AO246" s="18"/>
      <c r="AP246" s="18"/>
      <c r="AQ246" s="18"/>
      <c r="AR246" s="18"/>
      <c r="AS246" s="11" t="str">
        <f>VLOOKUP(C246,'mayo-26'!B:AS,44,0)</f>
        <v>MECUC.GUBIR@POLICIA.GOV.CO</v>
      </c>
      <c r="AT246" s="12" t="str">
        <f>VLOOKUP(C246,'mayo-26'!B:AT,45,0)</f>
        <v>CORREO ELECTRONICO CERTIFICADO 472</v>
      </c>
      <c r="AU246" s="16"/>
      <c r="AV246" s="16"/>
      <c r="AW246" s="16"/>
    </row>
    <row r="247" ht="14.25" customHeight="1">
      <c r="A247" s="19" t="s">
        <v>565</v>
      </c>
      <c r="B247" s="16">
        <v>455370.0</v>
      </c>
      <c r="C247" s="16">
        <v>3194.0</v>
      </c>
      <c r="D247" s="16">
        <v>3194.0</v>
      </c>
      <c r="E247" s="16">
        <v>8.012352E7</v>
      </c>
      <c r="F247" s="16">
        <v>8.012352E7</v>
      </c>
      <c r="G247" s="15" t="s">
        <v>148</v>
      </c>
      <c r="H247" s="15" t="s">
        <v>149</v>
      </c>
      <c r="I247" s="1" t="str">
        <f>VLOOKUP(C247,'mayo-26'!B:H,7,0)</f>
        <v>CALLE 10 NO 0E-16 EDF CENTRO EMPRESARIAL BLOQUE B HOTEL TONCHALA</v>
      </c>
      <c r="J247" s="1" t="s">
        <v>200</v>
      </c>
      <c r="K247" s="10" t="str">
        <f>VLOOKUP(C247,'mayo-26'!B:J,9,0)</f>
        <v>NO</v>
      </c>
      <c r="L247" s="1" t="str">
        <f>VLOOKUP(C247,'mayo-26'!B:K,10,0)</f>
        <v>COLEGIOS ZONA NORTE</v>
      </c>
      <c r="M247" s="15" t="s">
        <v>52</v>
      </c>
      <c r="N247" s="15" t="s">
        <v>138</v>
      </c>
      <c r="O247" s="15" t="s">
        <v>130</v>
      </c>
      <c r="P247" s="15" t="s">
        <v>126</v>
      </c>
      <c r="Q247" s="15" t="s">
        <v>56</v>
      </c>
      <c r="R247" s="15" t="s">
        <v>57</v>
      </c>
      <c r="S247" s="15" t="s">
        <v>143</v>
      </c>
      <c r="T247" s="15" t="s">
        <v>59</v>
      </c>
      <c r="U247" s="16">
        <v>2026.0</v>
      </c>
      <c r="V247" s="16">
        <v>6.0</v>
      </c>
      <c r="W247" s="16">
        <v>1.081874959E9</v>
      </c>
      <c r="X247" s="16">
        <v>1.081893431E9</v>
      </c>
      <c r="Y247" s="17">
        <v>46182.0</v>
      </c>
      <c r="Z247" s="17">
        <v>46207.0</v>
      </c>
      <c r="AA247" s="16">
        <v>320965.65</v>
      </c>
      <c r="AB247" s="16">
        <v>320965.65</v>
      </c>
      <c r="AC247" s="16">
        <v>0.0</v>
      </c>
      <c r="AD247" s="16">
        <v>1493.0</v>
      </c>
      <c r="AE247" s="16">
        <v>0.0</v>
      </c>
      <c r="AF247" s="16">
        <v>0.0</v>
      </c>
      <c r="AG247" s="16">
        <v>0.0</v>
      </c>
      <c r="AH247" s="16">
        <v>0.0</v>
      </c>
      <c r="AI247" s="16">
        <v>0.0</v>
      </c>
      <c r="AJ247" s="16">
        <v>320965.65</v>
      </c>
      <c r="AK247" s="16">
        <v>957177.9</v>
      </c>
      <c r="AL247" s="16">
        <v>3.0</v>
      </c>
      <c r="AM247" s="16">
        <v>250.8</v>
      </c>
      <c r="AN247" s="16">
        <v>0.0</v>
      </c>
      <c r="AO247" s="18"/>
      <c r="AP247" s="18"/>
      <c r="AQ247" s="18"/>
      <c r="AR247" s="18"/>
      <c r="AS247" s="11" t="str">
        <f>VLOOKUP(C247,'mayo-26'!B:AS,44,0)</f>
        <v>AREAFINANCIERA@SEMCUCUTA.GOV.CO</v>
      </c>
      <c r="AT247" s="12" t="str">
        <f>VLOOKUP(C247,'mayo-26'!B:AT,45,0)</f>
        <v>CARTERA</v>
      </c>
      <c r="AU247" s="16"/>
      <c r="AV247" s="16"/>
      <c r="AW247" s="16"/>
    </row>
    <row r="248" ht="14.25" customHeight="1">
      <c r="A248" s="15" t="s">
        <v>566</v>
      </c>
      <c r="B248" s="16">
        <v>455370.0</v>
      </c>
      <c r="C248" s="16">
        <v>3198.0</v>
      </c>
      <c r="D248" s="16">
        <v>3198.0</v>
      </c>
      <c r="E248" s="16">
        <v>8.0123524E7</v>
      </c>
      <c r="F248" s="16">
        <v>8.0123524E7</v>
      </c>
      <c r="G248" s="15" t="s">
        <v>148</v>
      </c>
      <c r="H248" s="15" t="s">
        <v>149</v>
      </c>
      <c r="I248" s="1" t="str">
        <f>VLOOKUP(C248,'mayo-26'!B:H,7,0)</f>
        <v>CALLE 10 NO 0E-16 EDF CENTRO EMPRESARIAL BLOQUE B HOTEL TONCHALA</v>
      </c>
      <c r="J248" s="1" t="s">
        <v>567</v>
      </c>
      <c r="K248" s="10" t="str">
        <f>VLOOKUP(C248,'mayo-26'!B:J,9,0)</f>
        <v>NO</v>
      </c>
      <c r="L248" s="1" t="str">
        <f>VLOOKUP(C248,'mayo-26'!B:K,10,0)</f>
        <v>COLEGIOS ZONA NORTE</v>
      </c>
      <c r="M248" s="15" t="s">
        <v>52</v>
      </c>
      <c r="N248" s="15" t="s">
        <v>138</v>
      </c>
      <c r="O248" s="15" t="s">
        <v>130</v>
      </c>
      <c r="P248" s="15" t="s">
        <v>126</v>
      </c>
      <c r="Q248" s="15" t="s">
        <v>56</v>
      </c>
      <c r="R248" s="15" t="s">
        <v>57</v>
      </c>
      <c r="S248" s="15" t="s">
        <v>143</v>
      </c>
      <c r="T248" s="15" t="s">
        <v>59</v>
      </c>
      <c r="U248" s="16">
        <v>2026.0</v>
      </c>
      <c r="V248" s="16">
        <v>6.0</v>
      </c>
      <c r="W248" s="16">
        <v>1.081874963E9</v>
      </c>
      <c r="X248" s="16">
        <v>1.081893435E9</v>
      </c>
      <c r="Y248" s="17">
        <v>46182.0</v>
      </c>
      <c r="Z248" s="17">
        <v>46207.0</v>
      </c>
      <c r="AA248" s="16">
        <v>251701.8</v>
      </c>
      <c r="AB248" s="16">
        <v>251701.8</v>
      </c>
      <c r="AC248" s="16">
        <v>0.0</v>
      </c>
      <c r="AD248" s="16">
        <v>1128.0</v>
      </c>
      <c r="AE248" s="16">
        <v>0.0</v>
      </c>
      <c r="AF248" s="16">
        <v>0.0</v>
      </c>
      <c r="AG248" s="16">
        <v>0.0</v>
      </c>
      <c r="AH248" s="16">
        <v>0.0</v>
      </c>
      <c r="AI248" s="16">
        <v>0.0</v>
      </c>
      <c r="AJ248" s="16">
        <v>251701.8</v>
      </c>
      <c r="AK248" s="16">
        <v>751015.7</v>
      </c>
      <c r="AL248" s="16">
        <v>3.0</v>
      </c>
      <c r="AM248" s="16">
        <v>250.8</v>
      </c>
      <c r="AN248" s="16">
        <v>0.0</v>
      </c>
      <c r="AO248" s="18"/>
      <c r="AP248" s="18"/>
      <c r="AQ248" s="18"/>
      <c r="AR248" s="18"/>
      <c r="AS248" s="11" t="str">
        <f>VLOOKUP(C248,'mayo-26'!B:AS,44,0)</f>
        <v>AREAFINANCIERA@SEMCUCUTA.GOV.CO</v>
      </c>
      <c r="AT248" s="12" t="str">
        <f>VLOOKUP(C248,'mayo-26'!B:AT,45,0)</f>
        <v>CARTERA</v>
      </c>
      <c r="AU248" s="16"/>
      <c r="AV248" s="16"/>
      <c r="AW248" s="16"/>
    </row>
    <row r="249" ht="14.25" customHeight="1">
      <c r="A249" s="15" t="s">
        <v>568</v>
      </c>
      <c r="B249" s="16">
        <v>455370.0</v>
      </c>
      <c r="C249" s="16">
        <v>3202.0</v>
      </c>
      <c r="D249" s="16">
        <v>3202.0</v>
      </c>
      <c r="E249" s="16">
        <v>8.0123528E7</v>
      </c>
      <c r="F249" s="16">
        <v>8.0123528E7</v>
      </c>
      <c r="G249" s="15" t="s">
        <v>148</v>
      </c>
      <c r="H249" s="15" t="s">
        <v>149</v>
      </c>
      <c r="I249" s="1" t="str">
        <f>VLOOKUP(C249,'mayo-26'!B:H,7,0)</f>
        <v>CALLE 10 NO 0E-16 EDF CENTRO EMPRESARIAL BLOQUE B HOTEL TONCHALA</v>
      </c>
      <c r="J249" s="1" t="s">
        <v>409</v>
      </c>
      <c r="K249" s="10" t="str">
        <f>VLOOKUP(C249,'mayo-26'!B:J,9,0)</f>
        <v>NO</v>
      </c>
      <c r="L249" s="1" t="str">
        <f>VLOOKUP(C249,'mayo-26'!B:K,10,0)</f>
        <v>COLEGIOS ZONA NORTE</v>
      </c>
      <c r="M249" s="15" t="s">
        <v>52</v>
      </c>
      <c r="N249" s="15" t="s">
        <v>138</v>
      </c>
      <c r="O249" s="15" t="s">
        <v>130</v>
      </c>
      <c r="P249" s="15" t="s">
        <v>126</v>
      </c>
      <c r="Q249" s="15" t="s">
        <v>56</v>
      </c>
      <c r="R249" s="15" t="s">
        <v>57</v>
      </c>
      <c r="S249" s="15" t="s">
        <v>143</v>
      </c>
      <c r="T249" s="15" t="s">
        <v>59</v>
      </c>
      <c r="U249" s="16">
        <v>2026.0</v>
      </c>
      <c r="V249" s="16">
        <v>6.0</v>
      </c>
      <c r="W249" s="16">
        <v>1.081874967E9</v>
      </c>
      <c r="X249" s="16">
        <v>1.081893439E9</v>
      </c>
      <c r="Y249" s="17">
        <v>46182.0</v>
      </c>
      <c r="Z249" s="17">
        <v>46207.0</v>
      </c>
      <c r="AA249" s="16">
        <v>354174.36</v>
      </c>
      <c r="AB249" s="16">
        <v>354174.36</v>
      </c>
      <c r="AC249" s="16">
        <v>0.0</v>
      </c>
      <c r="AD249" s="16">
        <v>1668.0</v>
      </c>
      <c r="AE249" s="16">
        <v>0.0</v>
      </c>
      <c r="AF249" s="16">
        <v>0.0</v>
      </c>
      <c r="AG249" s="16">
        <v>0.0</v>
      </c>
      <c r="AH249" s="16">
        <v>0.0</v>
      </c>
      <c r="AI249" s="16">
        <v>0.0</v>
      </c>
      <c r="AJ249" s="16">
        <v>354174.36</v>
      </c>
      <c r="AK249" s="16">
        <v>1056022.82</v>
      </c>
      <c r="AL249" s="16">
        <v>3.0</v>
      </c>
      <c r="AM249" s="16">
        <v>250.8</v>
      </c>
      <c r="AN249" s="16">
        <v>0.0</v>
      </c>
      <c r="AO249" s="18"/>
      <c r="AP249" s="18"/>
      <c r="AQ249" s="18"/>
      <c r="AR249" s="18"/>
      <c r="AS249" s="11" t="str">
        <f>VLOOKUP(C249,'mayo-26'!B:AS,44,0)</f>
        <v>AREAFINANCIERA@SEMCUCUTA.GOV.CO</v>
      </c>
      <c r="AT249" s="12" t="str">
        <f>VLOOKUP(C249,'mayo-26'!B:AT,45,0)</f>
        <v>CARTERA</v>
      </c>
      <c r="AU249" s="16"/>
      <c r="AV249" s="16"/>
      <c r="AW249" s="16"/>
    </row>
    <row r="250" ht="14.25" customHeight="1">
      <c r="A250" s="15" t="s">
        <v>569</v>
      </c>
      <c r="B250" s="16">
        <v>3207.0</v>
      </c>
      <c r="C250" s="16">
        <v>3206.0</v>
      </c>
      <c r="D250" s="16">
        <v>3206.0</v>
      </c>
      <c r="E250" s="16">
        <v>8.0127913E7</v>
      </c>
      <c r="F250" s="16">
        <v>8.0127913E7</v>
      </c>
      <c r="G250" s="15" t="s">
        <v>570</v>
      </c>
      <c r="H250" s="15" t="s">
        <v>571</v>
      </c>
      <c r="I250" s="1" t="str">
        <f>VLOOKUP(C250,'mayo-26'!B:H,7,0)</f>
        <v>KDX 37-10 1125</v>
      </c>
      <c r="J250" s="1" t="s">
        <v>230</v>
      </c>
      <c r="K250" s="10" t="str">
        <f>VLOOKUP(C250,'mayo-26'!B:J,9,0)</f>
        <v>NO</v>
      </c>
      <c r="L250" s="1" t="str">
        <f>VLOOKUP(C250,'mayo-26'!B:K,10,0)</f>
        <v>NO</v>
      </c>
      <c r="M250" s="15" t="s">
        <v>52</v>
      </c>
      <c r="N250" s="15" t="s">
        <v>89</v>
      </c>
      <c r="O250" s="15" t="s">
        <v>130</v>
      </c>
      <c r="P250" s="15" t="s">
        <v>126</v>
      </c>
      <c r="Q250" s="15" t="s">
        <v>56</v>
      </c>
      <c r="R250" s="15" t="s">
        <v>90</v>
      </c>
      <c r="S250" s="15" t="s">
        <v>143</v>
      </c>
      <c r="T250" s="15" t="s">
        <v>59</v>
      </c>
      <c r="U250" s="16">
        <v>2026.0</v>
      </c>
      <c r="V250" s="16">
        <v>6.0</v>
      </c>
      <c r="W250" s="16">
        <v>1.081874971E9</v>
      </c>
      <c r="X250" s="16">
        <v>1.081893443E9</v>
      </c>
      <c r="Y250" s="17">
        <v>46182.0</v>
      </c>
      <c r="Z250" s="17">
        <v>46207.0</v>
      </c>
      <c r="AA250" s="16">
        <v>128345.14</v>
      </c>
      <c r="AB250" s="16">
        <v>128345.14</v>
      </c>
      <c r="AC250" s="16">
        <v>42781.72</v>
      </c>
      <c r="AD250" s="16">
        <v>252.5</v>
      </c>
      <c r="AE250" s="16">
        <v>0.0</v>
      </c>
      <c r="AF250" s="16">
        <v>0.0</v>
      </c>
      <c r="AG250" s="16">
        <v>0.0</v>
      </c>
      <c r="AH250" s="16">
        <v>0.0</v>
      </c>
      <c r="AI250" s="16">
        <v>0.0</v>
      </c>
      <c r="AJ250" s="16">
        <v>128345.14</v>
      </c>
      <c r="AK250" s="16">
        <v>128345.14</v>
      </c>
      <c r="AL250" s="16">
        <v>0.0</v>
      </c>
      <c r="AM250" s="16">
        <v>376.2</v>
      </c>
      <c r="AN250" s="16">
        <v>0.0</v>
      </c>
      <c r="AO250" s="18"/>
      <c r="AP250" s="18"/>
      <c r="AQ250" s="18"/>
      <c r="AR250" s="18"/>
      <c r="AS250" s="11" t="str">
        <f>VLOOKUP(C250,'mayo-26'!B:AS,44,0)</f>
        <v>marplastcolombia@gmail.com</v>
      </c>
      <c r="AT250" s="12" t="str">
        <f>VLOOKUP(C250,'mayo-26'!B:AT,45,0)</f>
        <v>CORREO ELECTRONICO CERTIFICADO 472</v>
      </c>
      <c r="AU250" s="16"/>
      <c r="AV250" s="16"/>
      <c r="AW250" s="16"/>
    </row>
    <row r="251" ht="14.25" customHeight="1">
      <c r="A251" s="15" t="s">
        <v>572</v>
      </c>
      <c r="B251" s="16">
        <v>3211.0</v>
      </c>
      <c r="C251" s="16">
        <v>3210.0</v>
      </c>
      <c r="D251" s="16">
        <v>3210.0</v>
      </c>
      <c r="E251" s="16">
        <v>8.0147581E7</v>
      </c>
      <c r="F251" s="16">
        <v>8.0147581E7</v>
      </c>
      <c r="G251" s="16">
        <v>8.30503366E8</v>
      </c>
      <c r="H251" s="15" t="s">
        <v>573</v>
      </c>
      <c r="I251" s="1" t="str">
        <f>VLOOKUP(C251,'mayo-26'!B:H,7,0)</f>
        <v>CLL 4 8-58 332601</v>
      </c>
      <c r="J251" s="1" t="s">
        <v>162</v>
      </c>
      <c r="K251" s="10" t="str">
        <f>VLOOKUP(C251,'mayo-26'!B:J,9,0)</f>
        <v>NO</v>
      </c>
      <c r="L251" s="1" t="str">
        <f>VLOOKUP(C251,'mayo-26'!B:K,10,0)</f>
        <v>NO</v>
      </c>
      <c r="M251" s="15" t="s">
        <v>52</v>
      </c>
      <c r="N251" s="15" t="s">
        <v>89</v>
      </c>
      <c r="O251" s="15" t="s">
        <v>130</v>
      </c>
      <c r="P251" s="15" t="s">
        <v>126</v>
      </c>
      <c r="Q251" s="15" t="s">
        <v>218</v>
      </c>
      <c r="R251" s="15" t="s">
        <v>219</v>
      </c>
      <c r="S251" s="15" t="s">
        <v>133</v>
      </c>
      <c r="T251" s="15" t="s">
        <v>59</v>
      </c>
      <c r="U251" s="16">
        <v>2026.0</v>
      </c>
      <c r="V251" s="16">
        <v>6.0</v>
      </c>
      <c r="W251" s="16">
        <v>1.081874975E9</v>
      </c>
      <c r="X251" s="16">
        <v>1.081893447E9</v>
      </c>
      <c r="Y251" s="17">
        <v>46182.0</v>
      </c>
      <c r="Z251" s="17">
        <v>46207.0</v>
      </c>
      <c r="AA251" s="16">
        <v>50469.49</v>
      </c>
      <c r="AB251" s="16">
        <v>50469.49</v>
      </c>
      <c r="AC251" s="16">
        <v>-1650.7</v>
      </c>
      <c r="AD251" s="16">
        <v>0.0</v>
      </c>
      <c r="AE251" s="16">
        <v>535.19</v>
      </c>
      <c r="AF251" s="16">
        <v>0.0</v>
      </c>
      <c r="AG251" s="16">
        <v>0.0</v>
      </c>
      <c r="AH251" s="16">
        <v>0.0</v>
      </c>
      <c r="AI251" s="16">
        <v>0.0</v>
      </c>
      <c r="AJ251" s="16">
        <v>50469.49</v>
      </c>
      <c r="AK251" s="16">
        <v>100903.73</v>
      </c>
      <c r="AL251" s="16">
        <v>1.0</v>
      </c>
      <c r="AM251" s="16">
        <v>242.77</v>
      </c>
      <c r="AN251" s="16">
        <v>0.0</v>
      </c>
      <c r="AO251" s="18"/>
      <c r="AP251" s="18"/>
      <c r="AQ251" s="18"/>
      <c r="AR251" s="18"/>
      <c r="AS251" s="11" t="str">
        <f>VLOOKUP(C251,'mayo-26'!B:AS,44,0)</f>
        <v>impormarcontabilidad1@hotmail.com</v>
      </c>
      <c r="AT251" s="12" t="str">
        <f>VLOOKUP(C251,'mayo-26'!B:AT,45,0)</f>
        <v>CORREO ELECTRONICO CERTIFICADO 472</v>
      </c>
      <c r="AU251" s="16"/>
      <c r="AV251" s="16"/>
      <c r="AW251" s="16"/>
    </row>
    <row r="252" ht="14.25" customHeight="1">
      <c r="A252" s="15" t="s">
        <v>574</v>
      </c>
      <c r="B252" s="16">
        <v>3215.0</v>
      </c>
      <c r="C252" s="16">
        <v>3214.0</v>
      </c>
      <c r="D252" s="16">
        <v>3214.0</v>
      </c>
      <c r="E252" s="16">
        <v>8.0203023E7</v>
      </c>
      <c r="F252" s="16">
        <v>8.0203023E7</v>
      </c>
      <c r="G252" s="15" t="s">
        <v>575</v>
      </c>
      <c r="H252" s="15" t="s">
        <v>576</v>
      </c>
      <c r="I252" s="1" t="str">
        <f>VLOOKUP(C252,'mayo-26'!B:H,7,0)</f>
        <v>AV. 2 31N-36 URB. TASAJERO</v>
      </c>
      <c r="J252" s="1" t="s">
        <v>401</v>
      </c>
      <c r="K252" s="10" t="str">
        <f>VLOOKUP(C252,'mayo-26'!B:J,9,0)</f>
        <v>ZONA NORTE</v>
      </c>
      <c r="L252" s="1" t="str">
        <f>VLOOKUP(C252,'mayo-26'!B:K,10,0)</f>
        <v>NO</v>
      </c>
      <c r="M252" s="15" t="s">
        <v>52</v>
      </c>
      <c r="N252" s="15" t="s">
        <v>89</v>
      </c>
      <c r="O252" s="15" t="s">
        <v>130</v>
      </c>
      <c r="P252" s="15" t="s">
        <v>126</v>
      </c>
      <c r="Q252" s="15" t="s">
        <v>56</v>
      </c>
      <c r="R252" s="15" t="s">
        <v>57</v>
      </c>
      <c r="S252" s="15" t="s">
        <v>143</v>
      </c>
      <c r="T252" s="15" t="s">
        <v>59</v>
      </c>
      <c r="U252" s="16">
        <v>2026.0</v>
      </c>
      <c r="V252" s="16">
        <v>6.0</v>
      </c>
      <c r="W252" s="16">
        <v>1.081874979E9</v>
      </c>
      <c r="X252" s="16">
        <v>1.081893451E9</v>
      </c>
      <c r="Y252" s="17">
        <v>46182.0</v>
      </c>
      <c r="Z252" s="17">
        <v>46207.0</v>
      </c>
      <c r="AA252" s="16">
        <v>8577028.0</v>
      </c>
      <c r="AB252" s="16">
        <v>8577028.0</v>
      </c>
      <c r="AC252" s="16">
        <v>0.0</v>
      </c>
      <c r="AD252" s="16">
        <v>45000.0</v>
      </c>
      <c r="AE252" s="16">
        <v>0.0</v>
      </c>
      <c r="AF252" s="16">
        <v>0.0</v>
      </c>
      <c r="AG252" s="16">
        <v>0.0</v>
      </c>
      <c r="AH252" s="16">
        <v>0.0</v>
      </c>
      <c r="AI252" s="16">
        <v>0.0</v>
      </c>
      <c r="AJ252" s="16">
        <v>8577028.0</v>
      </c>
      <c r="AK252" s="16">
        <v>1.30725469E8</v>
      </c>
      <c r="AL252" s="16">
        <v>5.0</v>
      </c>
      <c r="AM252" s="16">
        <v>250.8</v>
      </c>
      <c r="AN252" s="16">
        <v>0.0</v>
      </c>
      <c r="AO252" s="18"/>
      <c r="AP252" s="18"/>
      <c r="AQ252" s="18"/>
      <c r="AR252" s="18"/>
      <c r="AS252" s="11" t="str">
        <f>VLOOKUP(C252,'mayo-26'!B:AS,44,0)</f>
        <v>nuevasextap.h@hotmail.com</v>
      </c>
      <c r="AT252" s="12" t="str">
        <f>VLOOKUP(C252,'mayo-26'!B:AT,45,0)</f>
        <v>VERIFICADOR</v>
      </c>
      <c r="AU252" s="16"/>
      <c r="AV252" s="16"/>
      <c r="AW252" s="16"/>
    </row>
    <row r="253" ht="14.25" customHeight="1">
      <c r="A253" s="15" t="s">
        <v>577</v>
      </c>
      <c r="B253" s="16">
        <v>3219.0</v>
      </c>
      <c r="C253" s="16">
        <v>3218.0</v>
      </c>
      <c r="D253" s="16">
        <v>3218.0</v>
      </c>
      <c r="E253" s="16">
        <v>8.0205196E7</v>
      </c>
      <c r="F253" s="16">
        <v>8.0205196E7</v>
      </c>
      <c r="G253" s="16">
        <v>8.00092898E8</v>
      </c>
      <c r="H253" s="15" t="s">
        <v>578</v>
      </c>
      <c r="I253" s="1" t="str">
        <f>VLOOKUP(C253,'mayo-26'!B:H,7,0)</f>
        <v>AV 6 7N-130 ZONA INDUSTRIAL</v>
      </c>
      <c r="J253" s="1" t="s">
        <v>172</v>
      </c>
      <c r="K253" s="10" t="str">
        <f>VLOOKUP(C253,'mayo-26'!B:J,9,0)</f>
        <v>NO</v>
      </c>
      <c r="L253" s="1" t="str">
        <f>VLOOKUP(C253,'mayo-26'!B:K,10,0)</f>
        <v>NO</v>
      </c>
      <c r="M253" s="15" t="s">
        <v>52</v>
      </c>
      <c r="N253" s="15" t="s">
        <v>89</v>
      </c>
      <c r="O253" s="15" t="s">
        <v>130</v>
      </c>
      <c r="P253" s="15" t="s">
        <v>126</v>
      </c>
      <c r="Q253" s="15" t="s">
        <v>56</v>
      </c>
      <c r="R253" s="15" t="s">
        <v>72</v>
      </c>
      <c r="S253" s="15" t="s">
        <v>58</v>
      </c>
      <c r="T253" s="15" t="s">
        <v>59</v>
      </c>
      <c r="U253" s="16">
        <v>2026.0</v>
      </c>
      <c r="V253" s="16">
        <v>6.0</v>
      </c>
      <c r="W253" s="16">
        <v>1.081874984E9</v>
      </c>
      <c r="X253" s="16">
        <v>1.081893456E9</v>
      </c>
      <c r="Y253" s="17">
        <v>46182.0</v>
      </c>
      <c r="Z253" s="17">
        <v>46207.0</v>
      </c>
      <c r="AA253" s="16">
        <v>355767.08</v>
      </c>
      <c r="AB253" s="16">
        <v>355767.08</v>
      </c>
      <c r="AC253" s="16">
        <v>82100.1</v>
      </c>
      <c r="AD253" s="16">
        <v>1243.75</v>
      </c>
      <c r="AE253" s="16">
        <v>0.0</v>
      </c>
      <c r="AF253" s="16">
        <v>0.0</v>
      </c>
      <c r="AG253" s="16">
        <v>0.0</v>
      </c>
      <c r="AH253" s="16">
        <v>0.0</v>
      </c>
      <c r="AI253" s="16">
        <v>0.0</v>
      </c>
      <c r="AJ253" s="16">
        <v>210473.92</v>
      </c>
      <c r="AK253" s="16">
        <v>210473.92</v>
      </c>
      <c r="AL253" s="16">
        <v>0.0</v>
      </c>
      <c r="AM253" s="16">
        <v>326.04</v>
      </c>
      <c r="AN253" s="16">
        <v>0.0</v>
      </c>
      <c r="AO253" s="18"/>
      <c r="AP253" s="18"/>
      <c r="AQ253" s="16">
        <v>145293.16</v>
      </c>
      <c r="AR253" s="18"/>
      <c r="AS253" s="11" t="str">
        <f>VLOOKUP(C253,'mayo-26'!B:AS,44,0)</f>
        <v>PROALCOM@YAHOO.ES</v>
      </c>
      <c r="AT253" s="12" t="str">
        <f>VLOOKUP(C253,'mayo-26'!B:AT,45,0)</f>
        <v>CORREO ELECTRONICO CERTIFICADO 472</v>
      </c>
      <c r="AU253" s="16"/>
      <c r="AV253" s="16"/>
      <c r="AW253" s="16"/>
    </row>
    <row r="254" ht="14.25" customHeight="1">
      <c r="A254" s="15" t="s">
        <v>579</v>
      </c>
      <c r="B254" s="16">
        <v>455370.0</v>
      </c>
      <c r="C254" s="16">
        <v>3222.0</v>
      </c>
      <c r="D254" s="16">
        <v>3222.0</v>
      </c>
      <c r="E254" s="16">
        <v>8.0206516E7</v>
      </c>
      <c r="F254" s="16">
        <v>8.0206516E7</v>
      </c>
      <c r="G254" s="15" t="s">
        <v>148</v>
      </c>
      <c r="H254" s="15" t="s">
        <v>149</v>
      </c>
      <c r="I254" s="1" t="str">
        <f>VLOOKUP(C254,'mayo-26'!B:H,7,0)</f>
        <v>CALLE 10 NO 0E-16 EDF CENTRO EMPRESARIAL BLOQUE B HOTEL TONCHALA</v>
      </c>
      <c r="J254" s="1" t="s">
        <v>580</v>
      </c>
      <c r="K254" s="10" t="str">
        <f>VLOOKUP(C254,'mayo-26'!B:J,9,0)</f>
        <v>NO</v>
      </c>
      <c r="L254" s="1" t="str">
        <f>VLOOKUP(C254,'mayo-26'!B:K,10,0)</f>
        <v>COLEGIOS ZONA NORTE</v>
      </c>
      <c r="M254" s="15" t="s">
        <v>52</v>
      </c>
      <c r="N254" s="15" t="s">
        <v>138</v>
      </c>
      <c r="O254" s="15" t="s">
        <v>130</v>
      </c>
      <c r="P254" s="15" t="s">
        <v>126</v>
      </c>
      <c r="Q254" s="15" t="s">
        <v>56</v>
      </c>
      <c r="R254" s="15" t="s">
        <v>57</v>
      </c>
      <c r="S254" s="15" t="s">
        <v>143</v>
      </c>
      <c r="T254" s="15" t="s">
        <v>59</v>
      </c>
      <c r="U254" s="16">
        <v>2026.0</v>
      </c>
      <c r="V254" s="16">
        <v>6.0</v>
      </c>
      <c r="W254" s="16">
        <v>1.08187499E9</v>
      </c>
      <c r="X254" s="16">
        <v>1.081893462E9</v>
      </c>
      <c r="Y254" s="17">
        <v>46182.0</v>
      </c>
      <c r="Z254" s="17">
        <v>46207.0</v>
      </c>
      <c r="AA254" s="16">
        <v>199896.23</v>
      </c>
      <c r="AB254" s="16">
        <v>199896.23</v>
      </c>
      <c r="AC254" s="16">
        <v>0.0</v>
      </c>
      <c r="AD254" s="16">
        <v>855.0</v>
      </c>
      <c r="AE254" s="16">
        <v>0.0</v>
      </c>
      <c r="AF254" s="16">
        <v>0.0</v>
      </c>
      <c r="AG254" s="16">
        <v>0.0</v>
      </c>
      <c r="AH254" s="16">
        <v>0.0</v>
      </c>
      <c r="AI254" s="16">
        <v>0.0</v>
      </c>
      <c r="AJ254" s="16">
        <v>199896.23</v>
      </c>
      <c r="AK254" s="16">
        <v>596817.66</v>
      </c>
      <c r="AL254" s="16">
        <v>3.0</v>
      </c>
      <c r="AM254" s="16">
        <v>250.8</v>
      </c>
      <c r="AN254" s="16">
        <v>0.0</v>
      </c>
      <c r="AO254" s="18"/>
      <c r="AP254" s="18"/>
      <c r="AQ254" s="18"/>
      <c r="AR254" s="18"/>
      <c r="AS254" s="11" t="str">
        <f>VLOOKUP(C254,'mayo-26'!B:AS,44,0)</f>
        <v>AREAFINANCIERA@SEMCUCUTA.GOV.CO</v>
      </c>
      <c r="AT254" s="12" t="str">
        <f>VLOOKUP(C254,'mayo-26'!B:AT,45,0)</f>
        <v>CARTERA</v>
      </c>
      <c r="AU254" s="16"/>
      <c r="AV254" s="16"/>
      <c r="AW254" s="16"/>
    </row>
    <row r="255" ht="14.25" customHeight="1">
      <c r="A255" s="15" t="s">
        <v>581</v>
      </c>
      <c r="B255" s="16">
        <v>455370.0</v>
      </c>
      <c r="C255" s="16">
        <v>3226.0</v>
      </c>
      <c r="D255" s="16">
        <v>3226.0</v>
      </c>
      <c r="E255" s="16">
        <v>8.020652E7</v>
      </c>
      <c r="F255" s="16">
        <v>8.020652E7</v>
      </c>
      <c r="G255" s="15" t="s">
        <v>148</v>
      </c>
      <c r="H255" s="15" t="s">
        <v>149</v>
      </c>
      <c r="I255" s="1" t="str">
        <f>VLOOKUP(C255,'mayo-26'!B:H,7,0)</f>
        <v>CALLE 10 NO 0E-16 EDF CENTRO EMPRESARIAL BLOQUE B HOTEL TONCHALA</v>
      </c>
      <c r="J255" s="1" t="s">
        <v>165</v>
      </c>
      <c r="K255" s="10" t="str">
        <f>VLOOKUP(C255,'mayo-26'!B:J,9,0)</f>
        <v>NO</v>
      </c>
      <c r="L255" s="1" t="str">
        <f>VLOOKUP(C255,'mayo-26'!B:K,10,0)</f>
        <v>COLEGIOS ZONA NORTE</v>
      </c>
      <c r="M255" s="15" t="s">
        <v>52</v>
      </c>
      <c r="N255" s="15" t="s">
        <v>138</v>
      </c>
      <c r="O255" s="15" t="s">
        <v>130</v>
      </c>
      <c r="P255" s="15" t="s">
        <v>126</v>
      </c>
      <c r="Q255" s="15" t="s">
        <v>56</v>
      </c>
      <c r="R255" s="15" t="s">
        <v>57</v>
      </c>
      <c r="S255" s="15" t="s">
        <v>143</v>
      </c>
      <c r="T255" s="15" t="s">
        <v>59</v>
      </c>
      <c r="U255" s="16">
        <v>2026.0</v>
      </c>
      <c r="V255" s="16">
        <v>6.0</v>
      </c>
      <c r="W255" s="16">
        <v>1.081874994E9</v>
      </c>
      <c r="X255" s="16">
        <v>1.081893466E9</v>
      </c>
      <c r="Y255" s="17">
        <v>46182.0</v>
      </c>
      <c r="Z255" s="17">
        <v>46207.0</v>
      </c>
      <c r="AA255" s="16">
        <v>174278.08</v>
      </c>
      <c r="AB255" s="16">
        <v>174278.08</v>
      </c>
      <c r="AC255" s="16">
        <v>0.0</v>
      </c>
      <c r="AD255" s="16">
        <v>720.0</v>
      </c>
      <c r="AE255" s="16">
        <v>0.0</v>
      </c>
      <c r="AF255" s="16">
        <v>0.0</v>
      </c>
      <c r="AG255" s="16">
        <v>0.0</v>
      </c>
      <c r="AH255" s="16">
        <v>0.0</v>
      </c>
      <c r="AI255" s="16">
        <v>0.0</v>
      </c>
      <c r="AJ255" s="16">
        <v>174278.08</v>
      </c>
      <c r="AK255" s="16">
        <v>520565.86</v>
      </c>
      <c r="AL255" s="16">
        <v>3.0</v>
      </c>
      <c r="AM255" s="16">
        <v>250.8</v>
      </c>
      <c r="AN255" s="16">
        <v>0.0</v>
      </c>
      <c r="AO255" s="18"/>
      <c r="AP255" s="18"/>
      <c r="AQ255" s="18"/>
      <c r="AR255" s="18"/>
      <c r="AS255" s="11" t="str">
        <f>VLOOKUP(C255,'mayo-26'!B:AS,44,0)</f>
        <v>AREAFINANCIERA@SEMCUCUTA.GOV.CO</v>
      </c>
      <c r="AT255" s="12" t="str">
        <f>VLOOKUP(C255,'mayo-26'!B:AT,45,0)</f>
        <v>CARTERA</v>
      </c>
      <c r="AU255" s="16"/>
      <c r="AV255" s="16"/>
      <c r="AW255" s="16"/>
    </row>
    <row r="256" ht="14.25" customHeight="1">
      <c r="A256" s="15" t="s">
        <v>582</v>
      </c>
      <c r="B256" s="16">
        <v>455370.0</v>
      </c>
      <c r="C256" s="16">
        <v>3230.0</v>
      </c>
      <c r="D256" s="16">
        <v>3230.0</v>
      </c>
      <c r="E256" s="16">
        <v>8.0206524E7</v>
      </c>
      <c r="F256" s="16">
        <v>8.0206524E7</v>
      </c>
      <c r="G256" s="15" t="s">
        <v>148</v>
      </c>
      <c r="H256" s="15" t="s">
        <v>149</v>
      </c>
      <c r="I256" s="1" t="str">
        <f>VLOOKUP(C256,'mayo-26'!B:H,7,0)</f>
        <v>CALLE 10 NO 0E-16 EDF CENTRO EMPRESARIAL BLOQUE B HOTEL TONCHALA</v>
      </c>
      <c r="J256" s="1" t="s">
        <v>583</v>
      </c>
      <c r="K256" s="10" t="str">
        <f>VLOOKUP(C256,'mayo-26'!B:J,9,0)</f>
        <v>NO</v>
      </c>
      <c r="L256" s="1" t="str">
        <f>VLOOKUP(C256,'mayo-26'!B:K,10,0)</f>
        <v>COLEGIOS ZONA NORTE</v>
      </c>
      <c r="M256" s="15" t="s">
        <v>52</v>
      </c>
      <c r="N256" s="15" t="s">
        <v>138</v>
      </c>
      <c r="O256" s="15" t="s">
        <v>130</v>
      </c>
      <c r="P256" s="15" t="s">
        <v>126</v>
      </c>
      <c r="Q256" s="15" t="s">
        <v>56</v>
      </c>
      <c r="R256" s="15" t="s">
        <v>57</v>
      </c>
      <c r="S256" s="15" t="s">
        <v>143</v>
      </c>
      <c r="T256" s="15" t="s">
        <v>59</v>
      </c>
      <c r="U256" s="16">
        <v>2026.0</v>
      </c>
      <c r="V256" s="16">
        <v>6.0</v>
      </c>
      <c r="W256" s="16">
        <v>1.081874996E9</v>
      </c>
      <c r="X256" s="16">
        <v>1.081893468E9</v>
      </c>
      <c r="Y256" s="17">
        <v>46182.0</v>
      </c>
      <c r="Z256" s="17">
        <v>46207.0</v>
      </c>
      <c r="AA256" s="16">
        <v>184335.57</v>
      </c>
      <c r="AB256" s="16">
        <v>184335.57</v>
      </c>
      <c r="AC256" s="16">
        <v>0.0</v>
      </c>
      <c r="AD256" s="16">
        <v>773.0</v>
      </c>
      <c r="AE256" s="16">
        <v>0.0</v>
      </c>
      <c r="AF256" s="16">
        <v>0.0</v>
      </c>
      <c r="AG256" s="16">
        <v>0.0</v>
      </c>
      <c r="AH256" s="16">
        <v>0.0</v>
      </c>
      <c r="AI256" s="16">
        <v>0.0</v>
      </c>
      <c r="AJ256" s="16">
        <v>184335.57</v>
      </c>
      <c r="AK256" s="16">
        <v>550501.74</v>
      </c>
      <c r="AL256" s="16">
        <v>3.0</v>
      </c>
      <c r="AM256" s="16">
        <v>250.8</v>
      </c>
      <c r="AN256" s="16">
        <v>0.0</v>
      </c>
      <c r="AO256" s="18"/>
      <c r="AP256" s="18"/>
      <c r="AQ256" s="18"/>
      <c r="AR256" s="18"/>
      <c r="AS256" s="11" t="str">
        <f>VLOOKUP(C256,'mayo-26'!B:AS,44,0)</f>
        <v>AREAFINANCIERA@SEMCUCUTA.GOV.CO</v>
      </c>
      <c r="AT256" s="12" t="str">
        <f>VLOOKUP(C256,'mayo-26'!B:AT,45,0)</f>
        <v>CARTERA</v>
      </c>
      <c r="AU256" s="16"/>
      <c r="AV256" s="16"/>
      <c r="AW256" s="16"/>
    </row>
    <row r="257" ht="14.25" customHeight="1">
      <c r="A257" s="15" t="s">
        <v>584</v>
      </c>
      <c r="B257" s="16">
        <v>455370.0</v>
      </c>
      <c r="C257" s="16">
        <v>3234.0</v>
      </c>
      <c r="D257" s="16">
        <v>3234.0</v>
      </c>
      <c r="E257" s="16">
        <v>8.0208644E7</v>
      </c>
      <c r="F257" s="16">
        <v>8.0208644E7</v>
      </c>
      <c r="G257" s="15" t="s">
        <v>148</v>
      </c>
      <c r="H257" s="15" t="s">
        <v>149</v>
      </c>
      <c r="I257" s="1" t="str">
        <f>VLOOKUP(C257,'mayo-26'!B:H,7,0)</f>
        <v>CALLE 10 NO 0E-16 EDF CENTRO EMPRESARIAL BLOQUE B HOTEL TONCHALA</v>
      </c>
      <c r="J257" s="1" t="s">
        <v>200</v>
      </c>
      <c r="K257" s="10" t="str">
        <f>VLOOKUP(C257,'mayo-26'!B:J,9,0)</f>
        <v>NO</v>
      </c>
      <c r="L257" s="1" t="str">
        <f>VLOOKUP(C257,'mayo-26'!B:K,10,0)</f>
        <v>COLEGIOS ZONA NORTE</v>
      </c>
      <c r="M257" s="15" t="s">
        <v>52</v>
      </c>
      <c r="N257" s="15" t="s">
        <v>138</v>
      </c>
      <c r="O257" s="15" t="s">
        <v>130</v>
      </c>
      <c r="P257" s="15" t="s">
        <v>126</v>
      </c>
      <c r="Q257" s="15" t="s">
        <v>56</v>
      </c>
      <c r="R257" s="15" t="s">
        <v>57</v>
      </c>
      <c r="S257" s="15" t="s">
        <v>143</v>
      </c>
      <c r="T257" s="15" t="s">
        <v>59</v>
      </c>
      <c r="U257" s="16">
        <v>2026.0</v>
      </c>
      <c r="V257" s="16">
        <v>6.0</v>
      </c>
      <c r="W257" s="16">
        <v>1.081874999E9</v>
      </c>
      <c r="X257" s="16">
        <v>1.081893471E9</v>
      </c>
      <c r="Y257" s="17">
        <v>46182.0</v>
      </c>
      <c r="Z257" s="17">
        <v>46207.0</v>
      </c>
      <c r="AA257" s="16">
        <v>408257.09</v>
      </c>
      <c r="AB257" s="16">
        <v>408257.09</v>
      </c>
      <c r="AC257" s="16">
        <v>0.0</v>
      </c>
      <c r="AD257" s="16">
        <v>1953.0</v>
      </c>
      <c r="AE257" s="16">
        <v>0.0</v>
      </c>
      <c r="AF257" s="16">
        <v>0.0</v>
      </c>
      <c r="AG257" s="16">
        <v>0.0</v>
      </c>
      <c r="AH257" s="16">
        <v>0.0</v>
      </c>
      <c r="AI257" s="16">
        <v>0.0</v>
      </c>
      <c r="AJ257" s="16">
        <v>408257.09</v>
      </c>
      <c r="AK257" s="16">
        <v>1216998.78</v>
      </c>
      <c r="AL257" s="16">
        <v>3.0</v>
      </c>
      <c r="AM257" s="16">
        <v>250.8</v>
      </c>
      <c r="AN257" s="16">
        <v>0.0</v>
      </c>
      <c r="AO257" s="18"/>
      <c r="AP257" s="18"/>
      <c r="AQ257" s="18"/>
      <c r="AR257" s="18"/>
      <c r="AS257" s="11" t="str">
        <f>VLOOKUP(C257,'mayo-26'!B:AS,44,0)</f>
        <v>AREAFINANCIERA@SEMCUCUTA.GOV.CO</v>
      </c>
      <c r="AT257" s="12" t="str">
        <f>VLOOKUP(C257,'mayo-26'!B:AT,45,0)</f>
        <v>CARTERA</v>
      </c>
      <c r="AU257" s="16"/>
      <c r="AV257" s="16"/>
      <c r="AW257" s="16"/>
    </row>
    <row r="258" ht="14.25" customHeight="1">
      <c r="A258" s="15" t="s">
        <v>585</v>
      </c>
      <c r="B258" s="16">
        <v>455370.0</v>
      </c>
      <c r="C258" s="16">
        <v>3238.0</v>
      </c>
      <c r="D258" s="16">
        <v>3238.0</v>
      </c>
      <c r="E258" s="16">
        <v>8.0212696E7</v>
      </c>
      <c r="F258" s="16">
        <v>8.0212696E7</v>
      </c>
      <c r="G258" s="15" t="s">
        <v>148</v>
      </c>
      <c r="H258" s="15" t="s">
        <v>149</v>
      </c>
      <c r="I258" s="1" t="str">
        <f>VLOOKUP(C258,'mayo-26'!B:H,7,0)</f>
        <v>CALLE 10 NO 0E-16 EDF CENTRO EMPRESARIAL BLOQUE B HOTEL TONCHALA</v>
      </c>
      <c r="J258" s="1" t="s">
        <v>228</v>
      </c>
      <c r="K258" s="10" t="str">
        <f>VLOOKUP(C258,'mayo-26'!B:J,9,0)</f>
        <v>NO</v>
      </c>
      <c r="L258" s="1" t="str">
        <f>VLOOKUP(C258,'mayo-26'!B:K,10,0)</f>
        <v>COLEGIOS ZONA NORTE</v>
      </c>
      <c r="M258" s="15" t="s">
        <v>52</v>
      </c>
      <c r="N258" s="15" t="s">
        <v>138</v>
      </c>
      <c r="O258" s="15" t="s">
        <v>130</v>
      </c>
      <c r="P258" s="15" t="s">
        <v>126</v>
      </c>
      <c r="Q258" s="15" t="s">
        <v>56</v>
      </c>
      <c r="R258" s="15" t="s">
        <v>57</v>
      </c>
      <c r="S258" s="15" t="s">
        <v>143</v>
      </c>
      <c r="T258" s="15" t="s">
        <v>59</v>
      </c>
      <c r="U258" s="16">
        <v>2026.0</v>
      </c>
      <c r="V258" s="16">
        <v>6.0</v>
      </c>
      <c r="W258" s="16">
        <v>1.081875003E9</v>
      </c>
      <c r="X258" s="16">
        <v>1.081893475E9</v>
      </c>
      <c r="Y258" s="17">
        <v>46182.0</v>
      </c>
      <c r="Z258" s="17">
        <v>46207.0</v>
      </c>
      <c r="AA258" s="16">
        <v>322294.0</v>
      </c>
      <c r="AB258" s="16">
        <v>322294.0</v>
      </c>
      <c r="AC258" s="16">
        <v>0.0</v>
      </c>
      <c r="AD258" s="16">
        <v>1500.0</v>
      </c>
      <c r="AE258" s="16">
        <v>0.0</v>
      </c>
      <c r="AF258" s="16">
        <v>0.0</v>
      </c>
      <c r="AG258" s="16">
        <v>0.0</v>
      </c>
      <c r="AH258" s="16">
        <v>0.0</v>
      </c>
      <c r="AI258" s="16">
        <v>0.0</v>
      </c>
      <c r="AJ258" s="16">
        <v>322294.0</v>
      </c>
      <c r="AK258" s="16">
        <v>961131.7</v>
      </c>
      <c r="AL258" s="16">
        <v>3.0</v>
      </c>
      <c r="AM258" s="16">
        <v>250.8</v>
      </c>
      <c r="AN258" s="16">
        <v>0.0</v>
      </c>
      <c r="AO258" s="18"/>
      <c r="AP258" s="18"/>
      <c r="AQ258" s="18"/>
      <c r="AR258" s="18"/>
      <c r="AS258" s="11" t="str">
        <f>VLOOKUP(C258,'mayo-26'!B:AS,44,0)</f>
        <v>AREAFINANCIERA@SEMCUCUTA.GOV.CO</v>
      </c>
      <c r="AT258" s="12" t="str">
        <f>VLOOKUP(C258,'mayo-26'!B:AT,45,0)</f>
        <v>CARTERA</v>
      </c>
      <c r="AU258" s="16"/>
      <c r="AV258" s="16"/>
      <c r="AW258" s="16"/>
    </row>
    <row r="259" ht="14.25" customHeight="1">
      <c r="A259" s="15" t="s">
        <v>586</v>
      </c>
      <c r="B259" s="16">
        <v>455370.0</v>
      </c>
      <c r="C259" s="16">
        <v>3242.0</v>
      </c>
      <c r="D259" s="16">
        <v>3242.0</v>
      </c>
      <c r="E259" s="16">
        <v>8.02127E7</v>
      </c>
      <c r="F259" s="16">
        <v>8.02127E7</v>
      </c>
      <c r="G259" s="15" t="s">
        <v>148</v>
      </c>
      <c r="H259" s="15" t="s">
        <v>149</v>
      </c>
      <c r="I259" s="1" t="str">
        <f>VLOOKUP(C259,'mayo-26'!B:H,7,0)</f>
        <v>CALLE 10 NO 0E-16 EDF CENTRO EMPRESARIAL BLOQUE B HOTEL TONCHALA</v>
      </c>
      <c r="J259" s="1" t="s">
        <v>230</v>
      </c>
      <c r="K259" s="10" t="str">
        <f>VLOOKUP(C259,'mayo-26'!B:J,9,0)</f>
        <v>NO</v>
      </c>
      <c r="L259" s="1" t="str">
        <f>VLOOKUP(C259,'mayo-26'!B:K,10,0)</f>
        <v>COLEGIOS ZONA NORTE</v>
      </c>
      <c r="M259" s="15" t="s">
        <v>52</v>
      </c>
      <c r="N259" s="15" t="s">
        <v>138</v>
      </c>
      <c r="O259" s="15" t="s">
        <v>130</v>
      </c>
      <c r="P259" s="15" t="s">
        <v>126</v>
      </c>
      <c r="Q259" s="15" t="s">
        <v>56</v>
      </c>
      <c r="R259" s="15" t="s">
        <v>57</v>
      </c>
      <c r="S259" s="15" t="s">
        <v>143</v>
      </c>
      <c r="T259" s="15" t="s">
        <v>59</v>
      </c>
      <c r="U259" s="16">
        <v>2026.0</v>
      </c>
      <c r="V259" s="16">
        <v>6.0</v>
      </c>
      <c r="W259" s="16">
        <v>1.081875007E9</v>
      </c>
      <c r="X259" s="16">
        <v>1.081893479E9</v>
      </c>
      <c r="Y259" s="17">
        <v>46182.0</v>
      </c>
      <c r="Z259" s="17">
        <v>46207.0</v>
      </c>
      <c r="AA259" s="16">
        <v>85658.29</v>
      </c>
      <c r="AB259" s="16">
        <v>85658.29</v>
      </c>
      <c r="AC259" s="16">
        <v>0.0</v>
      </c>
      <c r="AD259" s="16">
        <v>253.0</v>
      </c>
      <c r="AE259" s="16">
        <v>0.0</v>
      </c>
      <c r="AF259" s="16">
        <v>0.0</v>
      </c>
      <c r="AG259" s="16">
        <v>0.0</v>
      </c>
      <c r="AH259" s="16">
        <v>0.0</v>
      </c>
      <c r="AI259" s="16">
        <v>0.0</v>
      </c>
      <c r="AJ259" s="16">
        <v>85658.29</v>
      </c>
      <c r="AK259" s="16">
        <v>256791.18</v>
      </c>
      <c r="AL259" s="16">
        <v>3.0</v>
      </c>
      <c r="AM259" s="16">
        <v>250.8</v>
      </c>
      <c r="AN259" s="16">
        <v>0.0</v>
      </c>
      <c r="AO259" s="18"/>
      <c r="AP259" s="18"/>
      <c r="AQ259" s="18"/>
      <c r="AR259" s="18"/>
      <c r="AS259" s="11" t="str">
        <f>VLOOKUP(C259,'mayo-26'!B:AS,44,0)</f>
        <v>AREAFINANCIERA@SEMCUCUTA.GOV.CO</v>
      </c>
      <c r="AT259" s="12" t="str">
        <f>VLOOKUP(C259,'mayo-26'!B:AT,45,0)</f>
        <v>CARTERA</v>
      </c>
      <c r="AU259" s="16"/>
      <c r="AV259" s="16"/>
      <c r="AW259" s="16"/>
    </row>
    <row r="260" ht="14.25" customHeight="1">
      <c r="A260" s="15" t="s">
        <v>587</v>
      </c>
      <c r="B260" s="16">
        <v>455370.0</v>
      </c>
      <c r="C260" s="16">
        <v>3246.0</v>
      </c>
      <c r="D260" s="16">
        <v>3246.0</v>
      </c>
      <c r="E260" s="16">
        <v>8.0212704E7</v>
      </c>
      <c r="F260" s="16">
        <v>8.0212704E7</v>
      </c>
      <c r="G260" s="15" t="s">
        <v>148</v>
      </c>
      <c r="H260" s="15" t="s">
        <v>149</v>
      </c>
      <c r="I260" s="1" t="str">
        <f>VLOOKUP(C260,'mayo-26'!B:H,7,0)</f>
        <v>CALLE 10 NO 0E-16 EDF CENTRO EMPRESARIAL BLOQUE B HOTEL TONCHALA</v>
      </c>
      <c r="J260" s="1" t="s">
        <v>157</v>
      </c>
      <c r="K260" s="10" t="str">
        <f>VLOOKUP(C260,'mayo-26'!B:J,9,0)</f>
        <v>NO</v>
      </c>
      <c r="L260" s="1" t="str">
        <f>VLOOKUP(C260,'mayo-26'!B:K,10,0)</f>
        <v>COLEGIOS ZONA NORTE</v>
      </c>
      <c r="M260" s="15" t="s">
        <v>52</v>
      </c>
      <c r="N260" s="15" t="s">
        <v>138</v>
      </c>
      <c r="O260" s="15" t="s">
        <v>130</v>
      </c>
      <c r="P260" s="15" t="s">
        <v>126</v>
      </c>
      <c r="Q260" s="15" t="s">
        <v>56</v>
      </c>
      <c r="R260" s="15" t="s">
        <v>57</v>
      </c>
      <c r="S260" s="15" t="s">
        <v>143</v>
      </c>
      <c r="T260" s="15" t="s">
        <v>59</v>
      </c>
      <c r="U260" s="16">
        <v>2026.0</v>
      </c>
      <c r="V260" s="16">
        <v>6.0</v>
      </c>
      <c r="W260" s="16">
        <v>1.08187501E9</v>
      </c>
      <c r="X260" s="16">
        <v>1.081893482E9</v>
      </c>
      <c r="Y260" s="17">
        <v>46182.0</v>
      </c>
      <c r="Z260" s="17">
        <v>46207.0</v>
      </c>
      <c r="AA260" s="16">
        <v>566140.75</v>
      </c>
      <c r="AB260" s="16">
        <v>566140.75</v>
      </c>
      <c r="AC260" s="16">
        <v>0.0</v>
      </c>
      <c r="AD260" s="16">
        <v>2785.0</v>
      </c>
      <c r="AE260" s="16">
        <v>0.0</v>
      </c>
      <c r="AF260" s="16">
        <v>0.0</v>
      </c>
      <c r="AG260" s="16">
        <v>0.0</v>
      </c>
      <c r="AH260" s="16">
        <v>0.0</v>
      </c>
      <c r="AI260" s="16">
        <v>0.0</v>
      </c>
      <c r="AJ260" s="16">
        <v>566140.75</v>
      </c>
      <c r="AK260" s="16">
        <v>1686935.7</v>
      </c>
      <c r="AL260" s="16">
        <v>3.0</v>
      </c>
      <c r="AM260" s="16">
        <v>250.8</v>
      </c>
      <c r="AN260" s="16">
        <v>0.0</v>
      </c>
      <c r="AO260" s="18"/>
      <c r="AP260" s="18"/>
      <c r="AQ260" s="18"/>
      <c r="AR260" s="18"/>
      <c r="AS260" s="11" t="str">
        <f>VLOOKUP(C260,'mayo-26'!B:AS,44,0)</f>
        <v>AREAFINANCIERA@SEMCUCUTA.GOV.CO</v>
      </c>
      <c r="AT260" s="12" t="str">
        <f>VLOOKUP(C260,'mayo-26'!B:AT,45,0)</f>
        <v>CARTERA</v>
      </c>
      <c r="AU260" s="16"/>
      <c r="AV260" s="16"/>
      <c r="AW260" s="16"/>
    </row>
    <row r="261" ht="14.25" customHeight="1">
      <c r="A261" s="15" t="s">
        <v>588</v>
      </c>
      <c r="B261" s="16">
        <v>455370.0</v>
      </c>
      <c r="C261" s="16">
        <v>3250.0</v>
      </c>
      <c r="D261" s="16">
        <v>3250.0</v>
      </c>
      <c r="E261" s="16">
        <v>8.0212708E7</v>
      </c>
      <c r="F261" s="16">
        <v>8.0212708E7</v>
      </c>
      <c r="G261" s="15" t="s">
        <v>148</v>
      </c>
      <c r="H261" s="15" t="s">
        <v>149</v>
      </c>
      <c r="I261" s="1" t="str">
        <f>VLOOKUP(C261,'mayo-26'!B:H,7,0)</f>
        <v>CALLE 10 NO 0E-16 EDF CENTRO EMPRESARIAL BLOQUE B HOTEL TONCHALA</v>
      </c>
      <c r="J261" s="1" t="s">
        <v>589</v>
      </c>
      <c r="K261" s="10" t="str">
        <f>VLOOKUP(C261,'mayo-26'!B:J,9,0)</f>
        <v>NO</v>
      </c>
      <c r="L261" s="1" t="str">
        <f>VLOOKUP(C261,'mayo-26'!B:K,10,0)</f>
        <v>COLEGIOS ZONA NORTE</v>
      </c>
      <c r="M261" s="15" t="s">
        <v>52</v>
      </c>
      <c r="N261" s="15" t="s">
        <v>138</v>
      </c>
      <c r="O261" s="15" t="s">
        <v>130</v>
      </c>
      <c r="P261" s="15" t="s">
        <v>126</v>
      </c>
      <c r="Q261" s="15" t="s">
        <v>56</v>
      </c>
      <c r="R261" s="15" t="s">
        <v>57</v>
      </c>
      <c r="S261" s="15" t="s">
        <v>143</v>
      </c>
      <c r="T261" s="15" t="s">
        <v>59</v>
      </c>
      <c r="U261" s="16">
        <v>2026.0</v>
      </c>
      <c r="V261" s="16">
        <v>6.0</v>
      </c>
      <c r="W261" s="16">
        <v>1.081875014E9</v>
      </c>
      <c r="X261" s="16">
        <v>1.081893486E9</v>
      </c>
      <c r="Y261" s="17">
        <v>46182.0</v>
      </c>
      <c r="Z261" s="17">
        <v>46207.0</v>
      </c>
      <c r="AA261" s="16">
        <v>199896.23</v>
      </c>
      <c r="AB261" s="16">
        <v>199896.23</v>
      </c>
      <c r="AC261" s="16">
        <v>0.0</v>
      </c>
      <c r="AD261" s="16">
        <v>855.0</v>
      </c>
      <c r="AE261" s="16">
        <v>0.0</v>
      </c>
      <c r="AF261" s="16">
        <v>0.0</v>
      </c>
      <c r="AG261" s="16">
        <v>0.0</v>
      </c>
      <c r="AH261" s="16">
        <v>0.0</v>
      </c>
      <c r="AI261" s="16">
        <v>0.0</v>
      </c>
      <c r="AJ261" s="16">
        <v>199896.23</v>
      </c>
      <c r="AK261" s="16">
        <v>596817.66</v>
      </c>
      <c r="AL261" s="16">
        <v>3.0</v>
      </c>
      <c r="AM261" s="16">
        <v>250.8</v>
      </c>
      <c r="AN261" s="16">
        <v>0.0</v>
      </c>
      <c r="AO261" s="18"/>
      <c r="AP261" s="18"/>
      <c r="AQ261" s="18"/>
      <c r="AR261" s="18"/>
      <c r="AS261" s="11" t="str">
        <f>VLOOKUP(C261,'mayo-26'!B:AS,44,0)</f>
        <v>AREAFINANCIERA@SEMCUCUTA.GOV.CO</v>
      </c>
      <c r="AT261" s="12" t="str">
        <f>VLOOKUP(C261,'mayo-26'!B:AT,45,0)</f>
        <v>CARTERA</v>
      </c>
      <c r="AU261" s="16"/>
      <c r="AV261" s="16"/>
      <c r="AW261" s="16"/>
    </row>
    <row r="262" ht="14.25" customHeight="1">
      <c r="A262" s="15" t="s">
        <v>590</v>
      </c>
      <c r="B262" s="16">
        <v>455370.0</v>
      </c>
      <c r="C262" s="16">
        <v>3254.0</v>
      </c>
      <c r="D262" s="16">
        <v>3254.0</v>
      </c>
      <c r="E262" s="16">
        <v>8.0212712E7</v>
      </c>
      <c r="F262" s="16">
        <v>8.0212712E7</v>
      </c>
      <c r="G262" s="15" t="s">
        <v>148</v>
      </c>
      <c r="H262" s="15" t="s">
        <v>149</v>
      </c>
      <c r="I262" s="1" t="str">
        <f>VLOOKUP(C262,'mayo-26'!B:H,7,0)</f>
        <v>CALLE 10 NO 0E-16 EDF CENTRO EMPRESARIAL BLOQUE B HOTEL TONCHALA</v>
      </c>
      <c r="J262" s="1" t="s">
        <v>194</v>
      </c>
      <c r="K262" s="10" t="str">
        <f>VLOOKUP(C262,'mayo-26'!B:J,9,0)</f>
        <v>NO</v>
      </c>
      <c r="L262" s="1" t="str">
        <f>VLOOKUP(C262,'mayo-26'!B:K,10,0)</f>
        <v>COLEGIOS ZONA NORTE</v>
      </c>
      <c r="M262" s="15" t="s">
        <v>52</v>
      </c>
      <c r="N262" s="15" t="s">
        <v>138</v>
      </c>
      <c r="O262" s="15" t="s">
        <v>130</v>
      </c>
      <c r="P262" s="15" t="s">
        <v>126</v>
      </c>
      <c r="Q262" s="15" t="s">
        <v>56</v>
      </c>
      <c r="R262" s="15" t="s">
        <v>57</v>
      </c>
      <c r="S262" s="15" t="s">
        <v>143</v>
      </c>
      <c r="T262" s="15" t="s">
        <v>59</v>
      </c>
      <c r="U262" s="16">
        <v>2026.0</v>
      </c>
      <c r="V262" s="16">
        <v>6.0</v>
      </c>
      <c r="W262" s="16">
        <v>1.081875018E9</v>
      </c>
      <c r="X262" s="16">
        <v>1.08189349E9</v>
      </c>
      <c r="Y262" s="17">
        <v>46182.0</v>
      </c>
      <c r="Z262" s="17">
        <v>46207.0</v>
      </c>
      <c r="AA262" s="16">
        <v>452282.35</v>
      </c>
      <c r="AB262" s="16">
        <v>452282.35</v>
      </c>
      <c r="AC262" s="16">
        <v>0.0</v>
      </c>
      <c r="AD262" s="16">
        <v>2185.0</v>
      </c>
      <c r="AE262" s="16">
        <v>0.0</v>
      </c>
      <c r="AF262" s="16">
        <v>0.0</v>
      </c>
      <c r="AG262" s="16">
        <v>0.0</v>
      </c>
      <c r="AH262" s="16">
        <v>0.0</v>
      </c>
      <c r="AI262" s="16">
        <v>0.0</v>
      </c>
      <c r="AJ262" s="16">
        <v>452282.35</v>
      </c>
      <c r="AK262" s="16">
        <v>1348038.9</v>
      </c>
      <c r="AL262" s="16">
        <v>3.0</v>
      </c>
      <c r="AM262" s="16">
        <v>250.8</v>
      </c>
      <c r="AN262" s="16">
        <v>0.0</v>
      </c>
      <c r="AO262" s="18"/>
      <c r="AP262" s="18"/>
      <c r="AQ262" s="18"/>
      <c r="AR262" s="18"/>
      <c r="AS262" s="11" t="str">
        <f>VLOOKUP(C262,'mayo-26'!B:AS,44,0)</f>
        <v>AREAFINANCIERA@SEMCUCUTA.GOV.CO</v>
      </c>
      <c r="AT262" s="12" t="str">
        <f>VLOOKUP(C262,'mayo-26'!B:AT,45,0)</f>
        <v>CARTERA</v>
      </c>
      <c r="AU262" s="16"/>
      <c r="AV262" s="16"/>
      <c r="AW262" s="16"/>
    </row>
    <row r="263" ht="14.25" customHeight="1">
      <c r="A263" s="15" t="s">
        <v>591</v>
      </c>
      <c r="B263" s="16">
        <v>455370.0</v>
      </c>
      <c r="C263" s="16">
        <v>3258.0</v>
      </c>
      <c r="D263" s="16">
        <v>3258.0</v>
      </c>
      <c r="E263" s="16">
        <v>8.0212716E7</v>
      </c>
      <c r="F263" s="16">
        <v>8.0212716E7</v>
      </c>
      <c r="G263" s="15" t="s">
        <v>148</v>
      </c>
      <c r="H263" s="15" t="s">
        <v>149</v>
      </c>
      <c r="I263" s="1" t="str">
        <f>VLOOKUP(C263,'mayo-26'!B:H,7,0)</f>
        <v>CALLE 10 NO 0E-16 EDF CENTRO EMPRESARIAL BLOQUE B HOTEL TONCHALA</v>
      </c>
      <c r="J263" s="1" t="s">
        <v>165</v>
      </c>
      <c r="K263" s="10" t="str">
        <f>VLOOKUP(C263,'mayo-26'!B:J,9,0)</f>
        <v>NO</v>
      </c>
      <c r="L263" s="1" t="str">
        <f>VLOOKUP(C263,'mayo-26'!B:K,10,0)</f>
        <v>COLEGIOS ZONA NORTE</v>
      </c>
      <c r="M263" s="15" t="s">
        <v>52</v>
      </c>
      <c r="N263" s="15" t="s">
        <v>138</v>
      </c>
      <c r="O263" s="15" t="s">
        <v>130</v>
      </c>
      <c r="P263" s="15" t="s">
        <v>126</v>
      </c>
      <c r="Q263" s="15" t="s">
        <v>56</v>
      </c>
      <c r="R263" s="15" t="s">
        <v>57</v>
      </c>
      <c r="S263" s="15" t="s">
        <v>143</v>
      </c>
      <c r="T263" s="15" t="s">
        <v>59</v>
      </c>
      <c r="U263" s="16">
        <v>2026.0</v>
      </c>
      <c r="V263" s="16">
        <v>6.0</v>
      </c>
      <c r="W263" s="16">
        <v>1.081875023E9</v>
      </c>
      <c r="X263" s="16">
        <v>1.081893495E9</v>
      </c>
      <c r="Y263" s="17">
        <v>46182.0</v>
      </c>
      <c r="Z263" s="17">
        <v>46207.0</v>
      </c>
      <c r="AA263" s="16">
        <v>480746.95</v>
      </c>
      <c r="AB263" s="16">
        <v>480746.95</v>
      </c>
      <c r="AC263" s="16">
        <v>0.0</v>
      </c>
      <c r="AD263" s="16">
        <v>2335.0</v>
      </c>
      <c r="AE263" s="16">
        <v>0.0</v>
      </c>
      <c r="AF263" s="16">
        <v>0.0</v>
      </c>
      <c r="AG263" s="16">
        <v>0.0</v>
      </c>
      <c r="AH263" s="16">
        <v>0.0</v>
      </c>
      <c r="AI263" s="16">
        <v>0.0</v>
      </c>
      <c r="AJ263" s="16">
        <v>480746.95</v>
      </c>
      <c r="AK263" s="16">
        <v>1432763.1</v>
      </c>
      <c r="AL263" s="16">
        <v>3.0</v>
      </c>
      <c r="AM263" s="16">
        <v>250.8</v>
      </c>
      <c r="AN263" s="16">
        <v>0.0</v>
      </c>
      <c r="AO263" s="18"/>
      <c r="AP263" s="18"/>
      <c r="AQ263" s="18"/>
      <c r="AR263" s="18"/>
      <c r="AS263" s="11" t="str">
        <f>VLOOKUP(C263,'mayo-26'!B:AS,44,0)</f>
        <v>AREAFINANCIERA@SEMCUCUTA.GOV.CO</v>
      </c>
      <c r="AT263" s="12" t="str">
        <f>VLOOKUP(C263,'mayo-26'!B:AT,45,0)</f>
        <v>CARTERA</v>
      </c>
      <c r="AU263" s="16"/>
      <c r="AV263" s="16"/>
      <c r="AW263" s="16"/>
    </row>
    <row r="264" ht="14.25" customHeight="1">
      <c r="A264" s="19" t="s">
        <v>592</v>
      </c>
      <c r="B264" s="16">
        <v>455370.0</v>
      </c>
      <c r="C264" s="16">
        <v>3262.0</v>
      </c>
      <c r="D264" s="16">
        <v>3262.0</v>
      </c>
      <c r="E264" s="16">
        <v>8.021272E7</v>
      </c>
      <c r="F264" s="16">
        <v>8.021272E7</v>
      </c>
      <c r="G264" s="15" t="s">
        <v>148</v>
      </c>
      <c r="H264" s="15" t="s">
        <v>149</v>
      </c>
      <c r="I264" s="1" t="str">
        <f>VLOOKUP(C264,'mayo-26'!B:H,7,0)</f>
        <v>CALLE 10 NO 0E-16 EDF CENTRO EMPRESARIAL BLOQUE B HOTEL TONCHALA</v>
      </c>
      <c r="J264" s="1" t="s">
        <v>165</v>
      </c>
      <c r="K264" s="10" t="str">
        <f>VLOOKUP(C264,'mayo-26'!B:J,9,0)</f>
        <v>NO</v>
      </c>
      <c r="L264" s="1" t="str">
        <f>VLOOKUP(C264,'mayo-26'!B:K,10,0)</f>
        <v>COLEGIOS ZONA NORTE</v>
      </c>
      <c r="M264" s="15" t="s">
        <v>52</v>
      </c>
      <c r="N264" s="15" t="s">
        <v>138</v>
      </c>
      <c r="O264" s="15" t="s">
        <v>130</v>
      </c>
      <c r="P264" s="15" t="s">
        <v>126</v>
      </c>
      <c r="Q264" s="15" t="s">
        <v>56</v>
      </c>
      <c r="R264" s="15" t="s">
        <v>57</v>
      </c>
      <c r="S264" s="15" t="s">
        <v>143</v>
      </c>
      <c r="T264" s="15" t="s">
        <v>59</v>
      </c>
      <c r="U264" s="16">
        <v>2026.0</v>
      </c>
      <c r="V264" s="16">
        <v>6.0</v>
      </c>
      <c r="W264" s="16">
        <v>1.081875028E9</v>
      </c>
      <c r="X264" s="16">
        <v>1.0818935E9</v>
      </c>
      <c r="Y264" s="17">
        <v>46182.0</v>
      </c>
      <c r="Z264" s="17">
        <v>46207.0</v>
      </c>
      <c r="AA264" s="16">
        <v>284341.2</v>
      </c>
      <c r="AB264" s="16">
        <v>284341.2</v>
      </c>
      <c r="AC264" s="16">
        <v>0.0</v>
      </c>
      <c r="AD264" s="16">
        <v>1300.0</v>
      </c>
      <c r="AE264" s="16">
        <v>0.0</v>
      </c>
      <c r="AF264" s="16">
        <v>0.0</v>
      </c>
      <c r="AG264" s="16">
        <v>0.0</v>
      </c>
      <c r="AH264" s="16">
        <v>0.0</v>
      </c>
      <c r="AI264" s="16">
        <v>0.0</v>
      </c>
      <c r="AJ264" s="16">
        <v>284341.2</v>
      </c>
      <c r="AK264" s="16">
        <v>848166.1</v>
      </c>
      <c r="AL264" s="16">
        <v>3.0</v>
      </c>
      <c r="AM264" s="16">
        <v>250.8</v>
      </c>
      <c r="AN264" s="16">
        <v>0.0</v>
      </c>
      <c r="AO264" s="18"/>
      <c r="AP264" s="18"/>
      <c r="AQ264" s="18"/>
      <c r="AR264" s="18"/>
      <c r="AS264" s="11" t="str">
        <f>VLOOKUP(C264,'mayo-26'!B:AS,44,0)</f>
        <v>AREAFINANCIERA@SEMCUCUTA.GOV.CO</v>
      </c>
      <c r="AT264" s="12" t="str">
        <f>VLOOKUP(C264,'mayo-26'!B:AT,45,0)</f>
        <v>CARTERA</v>
      </c>
      <c r="AU264" s="16"/>
      <c r="AV264" s="16"/>
      <c r="AW264" s="16"/>
    </row>
    <row r="265" ht="14.25" customHeight="1">
      <c r="A265" s="15" t="s">
        <v>593</v>
      </c>
      <c r="B265" s="16">
        <v>455370.0</v>
      </c>
      <c r="C265" s="16">
        <v>3266.0</v>
      </c>
      <c r="D265" s="16">
        <v>3266.0</v>
      </c>
      <c r="E265" s="16">
        <v>8.0212724E7</v>
      </c>
      <c r="F265" s="16">
        <v>8.0212724E7</v>
      </c>
      <c r="G265" s="15" t="s">
        <v>148</v>
      </c>
      <c r="H265" s="15" t="s">
        <v>149</v>
      </c>
      <c r="I265" s="1" t="str">
        <f>VLOOKUP(C265,'mayo-26'!B:H,7,0)</f>
        <v>CALLE 10 NO 0E-16 EDF CENTRO EMPRESARIAL BLOQUE B HOTEL TONCHALA</v>
      </c>
      <c r="J265" s="1" t="s">
        <v>583</v>
      </c>
      <c r="K265" s="10" t="str">
        <f>VLOOKUP(C265,'mayo-26'!B:J,9,0)</f>
        <v>NO</v>
      </c>
      <c r="L265" s="1" t="str">
        <f>VLOOKUP(C265,'mayo-26'!B:K,10,0)</f>
        <v>COLEGIOS ZONA NORTE</v>
      </c>
      <c r="M265" s="15" t="s">
        <v>52</v>
      </c>
      <c r="N265" s="15" t="s">
        <v>138</v>
      </c>
      <c r="O265" s="15" t="s">
        <v>130</v>
      </c>
      <c r="P265" s="15" t="s">
        <v>126</v>
      </c>
      <c r="Q265" s="15" t="s">
        <v>56</v>
      </c>
      <c r="R265" s="15" t="s">
        <v>57</v>
      </c>
      <c r="S265" s="15" t="s">
        <v>143</v>
      </c>
      <c r="T265" s="15" t="s">
        <v>59</v>
      </c>
      <c r="U265" s="16">
        <v>2026.0</v>
      </c>
      <c r="V265" s="16">
        <v>6.0</v>
      </c>
      <c r="W265" s="16">
        <v>1.081875032E9</v>
      </c>
      <c r="X265" s="16">
        <v>1.081893504E9</v>
      </c>
      <c r="Y265" s="17">
        <v>46182.0</v>
      </c>
      <c r="Z265" s="17">
        <v>46207.0</v>
      </c>
      <c r="AA265" s="16">
        <v>124939.44</v>
      </c>
      <c r="AB265" s="16">
        <v>124939.44</v>
      </c>
      <c r="AC265" s="16">
        <v>0.0</v>
      </c>
      <c r="AD265" s="16">
        <v>460.0</v>
      </c>
      <c r="AE265" s="16">
        <v>0.0</v>
      </c>
      <c r="AF265" s="16">
        <v>0.0</v>
      </c>
      <c r="AG265" s="16">
        <v>0.0</v>
      </c>
      <c r="AH265" s="16">
        <v>0.0</v>
      </c>
      <c r="AI265" s="16">
        <v>0.0</v>
      </c>
      <c r="AJ265" s="16">
        <v>124939.44</v>
      </c>
      <c r="AK265" s="16">
        <v>373710.58</v>
      </c>
      <c r="AL265" s="16">
        <v>3.0</v>
      </c>
      <c r="AM265" s="16">
        <v>250.8</v>
      </c>
      <c r="AN265" s="16">
        <v>0.0</v>
      </c>
      <c r="AO265" s="18"/>
      <c r="AP265" s="18"/>
      <c r="AQ265" s="18"/>
      <c r="AR265" s="18"/>
      <c r="AS265" s="11" t="str">
        <f>VLOOKUP(C265,'mayo-26'!B:AS,44,0)</f>
        <v>AREAFINANCIERA@SEMCUCUTA.GOV.CO</v>
      </c>
      <c r="AT265" s="12" t="str">
        <f>VLOOKUP(C265,'mayo-26'!B:AT,45,0)</f>
        <v>CARTERA</v>
      </c>
      <c r="AU265" s="16"/>
      <c r="AV265" s="16"/>
      <c r="AW265" s="16"/>
    </row>
    <row r="266" ht="14.25" customHeight="1">
      <c r="A266" s="15" t="s">
        <v>594</v>
      </c>
      <c r="B266" s="16">
        <v>326727.0</v>
      </c>
      <c r="C266" s="16">
        <v>326726.0</v>
      </c>
      <c r="D266" s="16">
        <v>326726.0</v>
      </c>
      <c r="E266" s="16">
        <v>590141.0</v>
      </c>
      <c r="F266" s="16">
        <v>590141.0</v>
      </c>
      <c r="G266" s="16">
        <v>8.90500571E8</v>
      </c>
      <c r="H266" s="15" t="s">
        <v>595</v>
      </c>
      <c r="I266" s="1" t="str">
        <f>VLOOKUP(C266,'mayo-26'!B:H,7,0)</f>
        <v>AVE 6 13 - 06 1114</v>
      </c>
      <c r="J266" s="1" t="s">
        <v>224</v>
      </c>
      <c r="K266" s="10" t="str">
        <f>VLOOKUP(C266,'mayo-26'!B:J,9,0)</f>
        <v>NO</v>
      </c>
      <c r="L266" s="1" t="str">
        <f>VLOOKUP(C266,'mayo-26'!B:K,10,0)</f>
        <v>NO</v>
      </c>
      <c r="M266" s="15" t="s">
        <v>52</v>
      </c>
      <c r="N266" s="15" t="s">
        <v>89</v>
      </c>
      <c r="O266" s="15" t="s">
        <v>130</v>
      </c>
      <c r="P266" s="15" t="s">
        <v>126</v>
      </c>
      <c r="Q266" s="15" t="s">
        <v>56</v>
      </c>
      <c r="R266" s="15" t="s">
        <v>72</v>
      </c>
      <c r="S266" s="15" t="s">
        <v>143</v>
      </c>
      <c r="T266" s="15" t="s">
        <v>59</v>
      </c>
      <c r="U266" s="16">
        <v>2026.0</v>
      </c>
      <c r="V266" s="16">
        <v>6.0</v>
      </c>
      <c r="W266" s="16">
        <v>1.081875184E9</v>
      </c>
      <c r="X266" s="16">
        <v>1.081893656E9</v>
      </c>
      <c r="Y266" s="17">
        <v>46182.0</v>
      </c>
      <c r="Z266" s="17">
        <v>46207.0</v>
      </c>
      <c r="AA266" s="16">
        <v>141452.37</v>
      </c>
      <c r="AB266" s="16">
        <v>141452.37</v>
      </c>
      <c r="AC266" s="16">
        <v>32642.86</v>
      </c>
      <c r="AD266" s="16">
        <v>375.0</v>
      </c>
      <c r="AE266" s="16">
        <v>0.0</v>
      </c>
      <c r="AF266" s="16">
        <v>0.0</v>
      </c>
      <c r="AG266" s="16">
        <v>0.0</v>
      </c>
      <c r="AH266" s="16">
        <v>0.0</v>
      </c>
      <c r="AI266" s="16">
        <v>0.0</v>
      </c>
      <c r="AJ266" s="16">
        <v>82607.31</v>
      </c>
      <c r="AK266" s="16">
        <v>82607.31</v>
      </c>
      <c r="AL266" s="16">
        <v>0.0</v>
      </c>
      <c r="AM266" s="16">
        <v>326.04</v>
      </c>
      <c r="AN266" s="16">
        <v>0.0</v>
      </c>
      <c r="AO266" s="18"/>
      <c r="AP266" s="18"/>
      <c r="AQ266" s="16">
        <v>58845.06</v>
      </c>
      <c r="AR266" s="18"/>
      <c r="AS266" s="11" t="str">
        <f>VLOOKUP(C266,'mayo-26'!B:AS,44,0)</f>
        <v>FACTURACION@COAGRONORTE.COM.CO</v>
      </c>
      <c r="AT266" s="12" t="str">
        <f>VLOOKUP(C266,'mayo-26'!B:AT,45,0)</f>
        <v>CORREO ELECTRONICO CERTIFICADO 472</v>
      </c>
      <c r="AU266" s="16"/>
      <c r="AV266" s="16"/>
      <c r="AW266" s="16"/>
    </row>
    <row r="267" ht="14.25" customHeight="1">
      <c r="A267" s="15" t="s">
        <v>596</v>
      </c>
      <c r="B267" s="16">
        <v>326735.0</v>
      </c>
      <c r="C267" s="16">
        <v>326734.0</v>
      </c>
      <c r="D267" s="16">
        <v>326734.0</v>
      </c>
      <c r="E267" s="16">
        <v>590257.0</v>
      </c>
      <c r="F267" s="16">
        <v>590257.0</v>
      </c>
      <c r="G267" s="15" t="s">
        <v>597</v>
      </c>
      <c r="H267" s="15" t="s">
        <v>598</v>
      </c>
      <c r="I267" s="1" t="str">
        <f>VLOOKUP(C267,'mayo-26'!B:H,7,0)</f>
        <v>AVE 6 0 - 168 1116</v>
      </c>
      <c r="J267" s="1" t="s">
        <v>208</v>
      </c>
      <c r="K267" s="10" t="str">
        <f>VLOOKUP(C267,'mayo-26'!B:J,9,0)</f>
        <v>NO</v>
      </c>
      <c r="L267" s="1" t="str">
        <f>VLOOKUP(C267,'mayo-26'!B:K,10,0)</f>
        <v>NO</v>
      </c>
      <c r="M267" s="15" t="s">
        <v>52</v>
      </c>
      <c r="N267" s="15" t="s">
        <v>89</v>
      </c>
      <c r="O267" s="15" t="s">
        <v>130</v>
      </c>
      <c r="P267" s="15" t="s">
        <v>126</v>
      </c>
      <c r="Q267" s="15" t="s">
        <v>56</v>
      </c>
      <c r="R267" s="15" t="s">
        <v>72</v>
      </c>
      <c r="S267" s="15" t="s">
        <v>143</v>
      </c>
      <c r="T267" s="15" t="s">
        <v>59</v>
      </c>
      <c r="U267" s="16">
        <v>2026.0</v>
      </c>
      <c r="V267" s="16">
        <v>6.0</v>
      </c>
      <c r="W267" s="16">
        <v>1.081875187E9</v>
      </c>
      <c r="X267" s="16">
        <v>1.081893659E9</v>
      </c>
      <c r="Y267" s="17">
        <v>46182.0</v>
      </c>
      <c r="Z267" s="17">
        <v>46207.0</v>
      </c>
      <c r="AA267" s="16">
        <v>111232.45</v>
      </c>
      <c r="AB267" s="16">
        <v>111232.45</v>
      </c>
      <c r="AC267" s="16">
        <v>25669.03</v>
      </c>
      <c r="AD267" s="16">
        <v>252.5</v>
      </c>
      <c r="AE267" s="16">
        <v>0.0</v>
      </c>
      <c r="AF267" s="16">
        <v>0.0</v>
      </c>
      <c r="AG267" s="16">
        <v>0.0</v>
      </c>
      <c r="AH267" s="16">
        <v>0.0</v>
      </c>
      <c r="AI267" s="16">
        <v>0.0</v>
      </c>
      <c r="AJ267" s="16">
        <v>111232.45</v>
      </c>
      <c r="AK267" s="16">
        <v>111232.45</v>
      </c>
      <c r="AL267" s="16">
        <v>0.0</v>
      </c>
      <c r="AM267" s="16">
        <v>326.04</v>
      </c>
      <c r="AN267" s="16">
        <v>0.0</v>
      </c>
      <c r="AO267" s="18"/>
      <c r="AP267" s="18"/>
      <c r="AQ267" s="18"/>
      <c r="AR267" s="18"/>
      <c r="AS267" s="11" t="str">
        <f>VLOOKUP(C267,'mayo-26'!B:AS,44,0)</f>
        <v>CONTABILIDAD@ARROZSANANDRES.COM</v>
      </c>
      <c r="AT267" s="12" t="str">
        <f>VLOOKUP(C267,'mayo-26'!B:AT,45,0)</f>
        <v>CORREO ELECTRONICO CERTIFICADO 472</v>
      </c>
      <c r="AU267" s="16"/>
      <c r="AV267" s="16"/>
      <c r="AW267" s="16"/>
    </row>
    <row r="268" ht="14.25" customHeight="1">
      <c r="A268" s="15" t="s">
        <v>599</v>
      </c>
      <c r="B268" s="16">
        <v>326739.0</v>
      </c>
      <c r="C268" s="16">
        <v>326738.0</v>
      </c>
      <c r="D268" s="16">
        <v>326738.0</v>
      </c>
      <c r="E268" s="16">
        <v>590297.0</v>
      </c>
      <c r="F268" s="16">
        <v>590297.0</v>
      </c>
      <c r="G268" s="16">
        <v>8.90500988E8</v>
      </c>
      <c r="H268" s="15" t="s">
        <v>600</v>
      </c>
      <c r="I268" s="1" t="str">
        <f>VLOOKUP(C268,'mayo-26'!B:H,7,0)</f>
        <v>AUT ANILLO VIAL ORIENTAL DIAGONAL - INTE 1</v>
      </c>
      <c r="J268" s="1" t="s">
        <v>422</v>
      </c>
      <c r="K268" s="10" t="str">
        <f>VLOOKUP(C268,'mayo-26'!B:J,9,0)</f>
        <v>NO</v>
      </c>
      <c r="L268" s="1" t="str">
        <f>VLOOKUP(C268,'mayo-26'!B:K,10,0)</f>
        <v>NO</v>
      </c>
      <c r="M268" s="15" t="s">
        <v>52</v>
      </c>
      <c r="N268" s="15" t="s">
        <v>89</v>
      </c>
      <c r="O268" s="15" t="s">
        <v>130</v>
      </c>
      <c r="P268" s="15" t="s">
        <v>126</v>
      </c>
      <c r="Q268" s="15" t="s">
        <v>56</v>
      </c>
      <c r="R268" s="15" t="s">
        <v>72</v>
      </c>
      <c r="S268" s="15" t="s">
        <v>143</v>
      </c>
      <c r="T268" s="15" t="s">
        <v>59</v>
      </c>
      <c r="U268" s="16">
        <v>2026.0</v>
      </c>
      <c r="V268" s="16">
        <v>6.0</v>
      </c>
      <c r="W268" s="16">
        <v>1.08187519E9</v>
      </c>
      <c r="X268" s="16">
        <v>1.081893662E9</v>
      </c>
      <c r="Y268" s="17">
        <v>46182.0</v>
      </c>
      <c r="Z268" s="17">
        <v>46207.0</v>
      </c>
      <c r="AA268" s="16">
        <v>573906.34</v>
      </c>
      <c r="AB268" s="16">
        <v>573906.34</v>
      </c>
      <c r="AC268" s="16">
        <v>132268.95</v>
      </c>
      <c r="AD268" s="16">
        <v>2125.0</v>
      </c>
      <c r="AE268" s="16">
        <v>740.88</v>
      </c>
      <c r="AF268" s="16">
        <v>0.0</v>
      </c>
      <c r="AG268" s="16">
        <v>0.0</v>
      </c>
      <c r="AH268" s="16">
        <v>0.0</v>
      </c>
      <c r="AI268" s="16">
        <v>0.0</v>
      </c>
      <c r="AJ268" s="16">
        <v>573906.34</v>
      </c>
      <c r="AK268" s="16">
        <v>1147870.58</v>
      </c>
      <c r="AL268" s="16">
        <v>2.0</v>
      </c>
      <c r="AM268" s="16">
        <v>326.04</v>
      </c>
      <c r="AN268" s="16">
        <v>0.0</v>
      </c>
      <c r="AO268" s="18"/>
      <c r="AP268" s="18"/>
      <c r="AQ268" s="18"/>
      <c r="AR268" s="18"/>
      <c r="AS268" s="11" t="str">
        <f>VLOOKUP(C268,'mayo-26'!B:AS,44,0)</f>
        <v>F.ELECTRONICA@TRANSMATERIALES.COM</v>
      </c>
      <c r="AT268" s="12" t="str">
        <f>VLOOKUP(C268,'mayo-26'!B:AT,45,0)</f>
        <v>CORREO ELECTRONICO CERTIFICADO 472</v>
      </c>
      <c r="AU268" s="16"/>
      <c r="AV268" s="16"/>
      <c r="AW268" s="16"/>
    </row>
    <row r="269" ht="14.25" customHeight="1">
      <c r="A269" s="15" t="s">
        <v>601</v>
      </c>
      <c r="B269" s="16">
        <v>455370.0</v>
      </c>
      <c r="C269" s="16">
        <v>3270.0</v>
      </c>
      <c r="D269" s="16">
        <v>3270.0</v>
      </c>
      <c r="E269" s="16">
        <v>8.0212728E7</v>
      </c>
      <c r="F269" s="16">
        <v>8.0212728E7</v>
      </c>
      <c r="G269" s="15" t="s">
        <v>148</v>
      </c>
      <c r="H269" s="15" t="s">
        <v>149</v>
      </c>
      <c r="I269" s="1" t="str">
        <f>VLOOKUP(C269,'mayo-26'!B:H,7,0)</f>
        <v>CALLE 10 NO 0E-16 EDF CENTRO EMPRESARIAL BLOQUE B HOTEL TONCHALA</v>
      </c>
      <c r="J269" s="1" t="s">
        <v>602</v>
      </c>
      <c r="K269" s="10" t="str">
        <f>VLOOKUP(C269,'mayo-26'!B:J,9,0)</f>
        <v>NO</v>
      </c>
      <c r="L269" s="1" t="str">
        <f>VLOOKUP(C269,'mayo-26'!B:K,10,0)</f>
        <v>COLEGIOS ZONA NORTE</v>
      </c>
      <c r="M269" s="15" t="s">
        <v>52</v>
      </c>
      <c r="N269" s="15" t="s">
        <v>138</v>
      </c>
      <c r="O269" s="15" t="s">
        <v>130</v>
      </c>
      <c r="P269" s="15" t="s">
        <v>126</v>
      </c>
      <c r="Q269" s="15" t="s">
        <v>56</v>
      </c>
      <c r="R269" s="15" t="s">
        <v>57</v>
      </c>
      <c r="S269" s="15" t="s">
        <v>143</v>
      </c>
      <c r="T269" s="15" t="s">
        <v>59</v>
      </c>
      <c r="U269" s="16">
        <v>2026.0</v>
      </c>
      <c r="V269" s="16">
        <v>6.0</v>
      </c>
      <c r="W269" s="16">
        <v>1.081875035E9</v>
      </c>
      <c r="X269" s="16">
        <v>1.081893507E9</v>
      </c>
      <c r="Y269" s="17">
        <v>46182.0</v>
      </c>
      <c r="Z269" s="17">
        <v>46207.0</v>
      </c>
      <c r="AA269" s="16">
        <v>531034.4</v>
      </c>
      <c r="AB269" s="16">
        <v>531034.4</v>
      </c>
      <c r="AC269" s="16">
        <v>0.0</v>
      </c>
      <c r="AD269" s="16">
        <v>2600.0</v>
      </c>
      <c r="AE269" s="16">
        <v>0.0</v>
      </c>
      <c r="AF269" s="16">
        <v>0.0</v>
      </c>
      <c r="AG269" s="16">
        <v>0.0</v>
      </c>
      <c r="AH269" s="16">
        <v>0.0</v>
      </c>
      <c r="AI269" s="16">
        <v>0.0</v>
      </c>
      <c r="AJ269" s="16">
        <v>531034.4</v>
      </c>
      <c r="AK269" s="16">
        <v>1582442.5</v>
      </c>
      <c r="AL269" s="16">
        <v>3.0</v>
      </c>
      <c r="AM269" s="16">
        <v>250.8</v>
      </c>
      <c r="AN269" s="16">
        <v>0.0</v>
      </c>
      <c r="AO269" s="18"/>
      <c r="AP269" s="18"/>
      <c r="AQ269" s="18"/>
      <c r="AR269" s="18"/>
      <c r="AS269" s="11" t="str">
        <f>VLOOKUP(C269,'mayo-26'!B:AS,44,0)</f>
        <v>AREAFINANCIERA@SEMCUCUTA.GOV.CO</v>
      </c>
      <c r="AT269" s="12" t="str">
        <f>VLOOKUP(C269,'mayo-26'!B:AT,45,0)</f>
        <v>CARTERA</v>
      </c>
      <c r="AU269" s="16"/>
      <c r="AV269" s="16"/>
      <c r="AW269" s="16"/>
    </row>
    <row r="270" ht="14.25" customHeight="1">
      <c r="A270" s="15" t="s">
        <v>603</v>
      </c>
      <c r="B270" s="16">
        <v>455370.0</v>
      </c>
      <c r="C270" s="16">
        <v>3274.0</v>
      </c>
      <c r="D270" s="16">
        <v>3274.0</v>
      </c>
      <c r="E270" s="16">
        <v>8.0212732E7</v>
      </c>
      <c r="F270" s="16">
        <v>8.0212732E7</v>
      </c>
      <c r="G270" s="15" t="s">
        <v>148</v>
      </c>
      <c r="H270" s="15" t="s">
        <v>149</v>
      </c>
      <c r="I270" s="1" t="str">
        <f>VLOOKUP(C270,'mayo-26'!B:H,7,0)</f>
        <v>CALLE 10 NO 0E-16 EDF CENTRO EMPRESARIAL BLOQUE B HOTEL TONCHALA</v>
      </c>
      <c r="J270" s="1" t="s">
        <v>253</v>
      </c>
      <c r="K270" s="10" t="str">
        <f>VLOOKUP(C270,'mayo-26'!B:J,9,0)</f>
        <v>NO</v>
      </c>
      <c r="L270" s="1" t="str">
        <f>VLOOKUP(C270,'mayo-26'!B:K,10,0)</f>
        <v>COLEGIOS ZONA NORTE</v>
      </c>
      <c r="M270" s="15" t="s">
        <v>52</v>
      </c>
      <c r="N270" s="15" t="s">
        <v>138</v>
      </c>
      <c r="O270" s="15" t="s">
        <v>130</v>
      </c>
      <c r="P270" s="15" t="s">
        <v>126</v>
      </c>
      <c r="Q270" s="15" t="s">
        <v>56</v>
      </c>
      <c r="R270" s="15" t="s">
        <v>57</v>
      </c>
      <c r="S270" s="15" t="s">
        <v>143</v>
      </c>
      <c r="T270" s="15" t="s">
        <v>59</v>
      </c>
      <c r="U270" s="16">
        <v>2026.0</v>
      </c>
      <c r="V270" s="16">
        <v>6.0</v>
      </c>
      <c r="W270" s="16">
        <v>1.081875039E9</v>
      </c>
      <c r="X270" s="16">
        <v>1.081893511E9</v>
      </c>
      <c r="Y270" s="17">
        <v>46182.0</v>
      </c>
      <c r="Z270" s="17">
        <v>46207.0</v>
      </c>
      <c r="AA270" s="16">
        <v>290982.95</v>
      </c>
      <c r="AB270" s="16">
        <v>290982.95</v>
      </c>
      <c r="AC270" s="16">
        <v>0.0</v>
      </c>
      <c r="AD270" s="16">
        <v>1335.0</v>
      </c>
      <c r="AE270" s="16">
        <v>0.0</v>
      </c>
      <c r="AF270" s="16">
        <v>0.0</v>
      </c>
      <c r="AG270" s="16">
        <v>0.0</v>
      </c>
      <c r="AH270" s="16">
        <v>0.0</v>
      </c>
      <c r="AI270" s="16">
        <v>0.0</v>
      </c>
      <c r="AJ270" s="16">
        <v>290982.95</v>
      </c>
      <c r="AK270" s="16">
        <v>867935.1</v>
      </c>
      <c r="AL270" s="16">
        <v>3.0</v>
      </c>
      <c r="AM270" s="16">
        <v>250.8</v>
      </c>
      <c r="AN270" s="16">
        <v>0.0</v>
      </c>
      <c r="AO270" s="18"/>
      <c r="AP270" s="18"/>
      <c r="AQ270" s="18"/>
      <c r="AR270" s="18"/>
      <c r="AS270" s="11" t="str">
        <f>VLOOKUP(C270,'mayo-26'!B:AS,44,0)</f>
        <v>AREAFINANCIERA@SEMCUCUTA.GOV.CO</v>
      </c>
      <c r="AT270" s="12" t="str">
        <f>VLOOKUP(C270,'mayo-26'!B:AT,45,0)</f>
        <v>CARTERA</v>
      </c>
      <c r="AU270" s="16"/>
      <c r="AV270" s="16"/>
      <c r="AW270" s="16"/>
    </row>
    <row r="271" ht="14.25" customHeight="1">
      <c r="A271" s="15" t="s">
        <v>604</v>
      </c>
      <c r="B271" s="16">
        <v>455370.0</v>
      </c>
      <c r="C271" s="16">
        <v>3278.0</v>
      </c>
      <c r="D271" s="16">
        <v>3278.0</v>
      </c>
      <c r="E271" s="16">
        <v>8.0212736E7</v>
      </c>
      <c r="F271" s="16">
        <v>8.0212736E7</v>
      </c>
      <c r="G271" s="15" t="s">
        <v>148</v>
      </c>
      <c r="H271" s="15" t="s">
        <v>149</v>
      </c>
      <c r="I271" s="1" t="str">
        <f>VLOOKUP(C271,'mayo-26'!B:H,7,0)</f>
        <v>CALLE 10 NO 0E-16 EDF CENTRO EMPRESARIAL BLOQUE B HOTEL TONCHALA</v>
      </c>
      <c r="J271" s="1" t="s">
        <v>432</v>
      </c>
      <c r="K271" s="10" t="str">
        <f>VLOOKUP(C271,'mayo-26'!B:J,9,0)</f>
        <v>NO</v>
      </c>
      <c r="L271" s="1" t="str">
        <f>VLOOKUP(C271,'mayo-26'!B:K,10,0)</f>
        <v>COLEGIOS ZONA NORTE</v>
      </c>
      <c r="M271" s="15" t="s">
        <v>52</v>
      </c>
      <c r="N271" s="15" t="s">
        <v>138</v>
      </c>
      <c r="O271" s="15" t="s">
        <v>130</v>
      </c>
      <c r="P271" s="15" t="s">
        <v>126</v>
      </c>
      <c r="Q271" s="15" t="s">
        <v>56</v>
      </c>
      <c r="R271" s="15" t="s">
        <v>57</v>
      </c>
      <c r="S271" s="15" t="s">
        <v>143</v>
      </c>
      <c r="T271" s="15" t="s">
        <v>59</v>
      </c>
      <c r="U271" s="16">
        <v>2026.0</v>
      </c>
      <c r="V271" s="16">
        <v>6.0</v>
      </c>
      <c r="W271" s="16">
        <v>1.081875043E9</v>
      </c>
      <c r="X271" s="16">
        <v>1.081893515E9</v>
      </c>
      <c r="Y271" s="17">
        <v>46182.0</v>
      </c>
      <c r="Z271" s="17">
        <v>46207.0</v>
      </c>
      <c r="AA271" s="16">
        <v>278268.76</v>
      </c>
      <c r="AB271" s="16">
        <v>278268.76</v>
      </c>
      <c r="AC271" s="16">
        <v>0.0</v>
      </c>
      <c r="AD271" s="16">
        <v>1268.0</v>
      </c>
      <c r="AE271" s="16">
        <v>0.0</v>
      </c>
      <c r="AF271" s="16">
        <v>0.0</v>
      </c>
      <c r="AG271" s="16">
        <v>0.0</v>
      </c>
      <c r="AH271" s="16">
        <v>0.0</v>
      </c>
      <c r="AI271" s="16">
        <v>0.0</v>
      </c>
      <c r="AJ271" s="16">
        <v>278268.76</v>
      </c>
      <c r="AK271" s="16">
        <v>830091.62</v>
      </c>
      <c r="AL271" s="16">
        <v>3.0</v>
      </c>
      <c r="AM271" s="16">
        <v>250.8</v>
      </c>
      <c r="AN271" s="16">
        <v>0.0</v>
      </c>
      <c r="AO271" s="18"/>
      <c r="AP271" s="18"/>
      <c r="AQ271" s="18"/>
      <c r="AR271" s="18"/>
      <c r="AS271" s="11" t="str">
        <f>VLOOKUP(C271,'mayo-26'!B:AS,44,0)</f>
        <v>AREAFINANCIERA@SEMCUCUTA.GOV.CO</v>
      </c>
      <c r="AT271" s="12" t="str">
        <f>VLOOKUP(C271,'mayo-26'!B:AT,45,0)</f>
        <v>CARTERA</v>
      </c>
      <c r="AU271" s="16"/>
      <c r="AV271" s="16"/>
      <c r="AW271" s="16"/>
    </row>
    <row r="272" ht="14.25" customHeight="1">
      <c r="A272" s="15" t="s">
        <v>605</v>
      </c>
      <c r="B272" s="16">
        <v>3283.0</v>
      </c>
      <c r="C272" s="16">
        <v>3282.0</v>
      </c>
      <c r="D272" s="16">
        <v>3282.0</v>
      </c>
      <c r="E272" s="16">
        <v>8.021313E7</v>
      </c>
      <c r="F272" s="16">
        <v>8.021313E7</v>
      </c>
      <c r="G272" s="16">
        <v>8.90900608E8</v>
      </c>
      <c r="H272" s="15" t="s">
        <v>606</v>
      </c>
      <c r="I272" s="1" t="str">
        <f>VLOOKUP(C272,'mayo-26'!B:H,7,0)</f>
        <v>CLL 5 # 7-60 CENTRO</v>
      </c>
      <c r="J272" s="1" t="s">
        <v>162</v>
      </c>
      <c r="K272" s="10" t="str">
        <f>VLOOKUP(C272,'mayo-26'!B:J,9,0)</f>
        <v>CENTRO</v>
      </c>
      <c r="L272" s="1" t="str">
        <f>VLOOKUP(C272,'mayo-26'!B:K,10,0)</f>
        <v>EXITO</v>
      </c>
      <c r="M272" s="15" t="s">
        <v>52</v>
      </c>
      <c r="N272" s="15" t="s">
        <v>89</v>
      </c>
      <c r="O272" s="15" t="s">
        <v>130</v>
      </c>
      <c r="P272" s="15" t="s">
        <v>126</v>
      </c>
      <c r="Q272" s="15" t="s">
        <v>131</v>
      </c>
      <c r="R272" s="15" t="s">
        <v>132</v>
      </c>
      <c r="S272" s="15" t="s">
        <v>133</v>
      </c>
      <c r="T272" s="15" t="s">
        <v>59</v>
      </c>
      <c r="U272" s="16">
        <v>2026.0</v>
      </c>
      <c r="V272" s="16">
        <v>6.0</v>
      </c>
      <c r="W272" s="16">
        <v>1.081875047E9</v>
      </c>
      <c r="X272" s="16">
        <v>1.081893519E9</v>
      </c>
      <c r="Y272" s="17">
        <v>46182.0</v>
      </c>
      <c r="Z272" s="17">
        <v>46207.0</v>
      </c>
      <c r="AA272" s="16">
        <v>113128.5</v>
      </c>
      <c r="AB272" s="16">
        <v>113128.5</v>
      </c>
      <c r="AC272" s="16">
        <v>37709.5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6">
        <v>0.0</v>
      </c>
      <c r="AJ272" s="16">
        <v>113128.5</v>
      </c>
      <c r="AK272" s="16">
        <v>113128.5</v>
      </c>
      <c r="AL272" s="16">
        <v>0.0</v>
      </c>
      <c r="AM272" s="16">
        <v>376.2</v>
      </c>
      <c r="AN272" s="16">
        <v>0.0</v>
      </c>
      <c r="AO272" s="18"/>
      <c r="AP272" s="18"/>
      <c r="AQ272" s="18"/>
      <c r="AR272" s="18"/>
      <c r="AS272" s="11" t="str">
        <f>VLOOKUP(C272,'mayo-26'!B:AS,44,0)</f>
        <v>GERENCIA744@GRUPO-EXITO.COM</v>
      </c>
      <c r="AT272" s="12" t="str">
        <f>VLOOKUP(C272,'mayo-26'!B:AT,45,0)</f>
        <v>VERIFICADOR</v>
      </c>
      <c r="AU272" s="16"/>
      <c r="AV272" s="16"/>
      <c r="AW272" s="16"/>
    </row>
    <row r="273" ht="14.25" customHeight="1">
      <c r="A273" s="15" t="s">
        <v>607</v>
      </c>
      <c r="B273" s="16">
        <v>147.0</v>
      </c>
      <c r="C273" s="16">
        <v>3286.0</v>
      </c>
      <c r="D273" s="16">
        <v>3286.0</v>
      </c>
      <c r="E273" s="16">
        <v>8.0217311E7</v>
      </c>
      <c r="F273" s="16">
        <v>8.0217311E7</v>
      </c>
      <c r="G273" s="15" t="s">
        <v>179</v>
      </c>
      <c r="H273" s="15" t="s">
        <v>180</v>
      </c>
      <c r="I273" s="1" t="str">
        <f>VLOOKUP(C273,'mayo-26'!B:H,7,0)</f>
        <v>AVE 3 CLL 24 GARITA # 1</v>
      </c>
      <c r="J273" s="1" t="s">
        <v>362</v>
      </c>
      <c r="K273" s="10" t="str">
        <f>VLOOKUP(C273,'mayo-26'!B:J,9,0)</f>
        <v>NO</v>
      </c>
      <c r="L273" s="1" t="str">
        <f>VLOOKUP(C273,'mayo-26'!B:K,10,0)</f>
        <v>POLICIA</v>
      </c>
      <c r="M273" s="15" t="s">
        <v>52</v>
      </c>
      <c r="N273" s="15" t="s">
        <v>89</v>
      </c>
      <c r="O273" s="15" t="s">
        <v>130</v>
      </c>
      <c r="P273" s="15" t="s">
        <v>126</v>
      </c>
      <c r="Q273" s="15" t="s">
        <v>56</v>
      </c>
      <c r="R273" s="15" t="s">
        <v>57</v>
      </c>
      <c r="S273" s="15" t="s">
        <v>143</v>
      </c>
      <c r="T273" s="15" t="s">
        <v>59</v>
      </c>
      <c r="U273" s="16">
        <v>2026.0</v>
      </c>
      <c r="V273" s="16">
        <v>6.0</v>
      </c>
      <c r="W273" s="16">
        <v>1.081875052E9</v>
      </c>
      <c r="X273" s="16">
        <v>1.081893524E9</v>
      </c>
      <c r="Y273" s="17">
        <v>46182.0</v>
      </c>
      <c r="Z273" s="17">
        <v>46207.0</v>
      </c>
      <c r="AA273" s="16">
        <v>156250.51</v>
      </c>
      <c r="AB273" s="16">
        <v>156250.51</v>
      </c>
      <c r="AC273" s="16">
        <v>0.0</v>
      </c>
      <c r="AD273" s="16">
        <v>625.0</v>
      </c>
      <c r="AE273" s="16">
        <v>0.0</v>
      </c>
      <c r="AF273" s="16">
        <v>0.0</v>
      </c>
      <c r="AG273" s="16">
        <v>0.0</v>
      </c>
      <c r="AH273" s="16">
        <v>0.0</v>
      </c>
      <c r="AI273" s="16">
        <v>0.0</v>
      </c>
      <c r="AJ273" s="16">
        <v>156250.51</v>
      </c>
      <c r="AK273" s="16">
        <v>313044.52</v>
      </c>
      <c r="AL273" s="16">
        <v>2.0</v>
      </c>
      <c r="AM273" s="16">
        <v>250.8</v>
      </c>
      <c r="AN273" s="16">
        <v>0.0</v>
      </c>
      <c r="AO273" s="18"/>
      <c r="AP273" s="18"/>
      <c r="AQ273" s="18"/>
      <c r="AR273" s="18"/>
      <c r="AS273" s="11" t="str">
        <f>VLOOKUP(C273,'mayo-26'!B:AS,44,0)</f>
        <v>MECUC.GUBIR@POLICIA.GOV.CO</v>
      </c>
      <c r="AT273" s="12" t="str">
        <f>VLOOKUP(C273,'mayo-26'!B:AT,45,0)</f>
        <v>CORREO ELECTRONICO CERTIFICADO 472</v>
      </c>
      <c r="AU273" s="16"/>
      <c r="AV273" s="16"/>
      <c r="AW273" s="16"/>
    </row>
    <row r="274" ht="14.25" customHeight="1">
      <c r="A274" s="15" t="s">
        <v>608</v>
      </c>
      <c r="B274" s="16">
        <v>455370.0</v>
      </c>
      <c r="C274" s="16">
        <v>3290.0</v>
      </c>
      <c r="D274" s="16">
        <v>3290.0</v>
      </c>
      <c r="E274" s="16">
        <v>8.0218482E7</v>
      </c>
      <c r="F274" s="16">
        <v>8.0218482E7</v>
      </c>
      <c r="G274" s="15" t="s">
        <v>148</v>
      </c>
      <c r="H274" s="15" t="s">
        <v>149</v>
      </c>
      <c r="I274" s="1" t="str">
        <f>VLOOKUP(C274,'mayo-26'!B:H,7,0)</f>
        <v>CALLE 10 NO 0E-16 EDF CENTRO EMPRESARIAL BLOQUE B HOTEL TONCHALA</v>
      </c>
      <c r="J274" s="1" t="s">
        <v>159</v>
      </c>
      <c r="K274" s="10" t="str">
        <f>VLOOKUP(C274,'mayo-26'!B:J,9,0)</f>
        <v>NO</v>
      </c>
      <c r="L274" s="1" t="str">
        <f>VLOOKUP(C274,'mayo-26'!B:K,10,0)</f>
        <v>COLEGIOS ZONA NORTE</v>
      </c>
      <c r="M274" s="15" t="s">
        <v>52</v>
      </c>
      <c r="N274" s="15" t="s">
        <v>138</v>
      </c>
      <c r="O274" s="15" t="s">
        <v>130</v>
      </c>
      <c r="P274" s="15" t="s">
        <v>126</v>
      </c>
      <c r="Q274" s="15" t="s">
        <v>56</v>
      </c>
      <c r="R274" s="15" t="s">
        <v>57</v>
      </c>
      <c r="S274" s="15" t="s">
        <v>143</v>
      </c>
      <c r="T274" s="15" t="s">
        <v>59</v>
      </c>
      <c r="U274" s="16">
        <v>2026.0</v>
      </c>
      <c r="V274" s="16">
        <v>6.0</v>
      </c>
      <c r="W274" s="16">
        <v>1.081875056E9</v>
      </c>
      <c r="X274" s="16">
        <v>1.081893528E9</v>
      </c>
      <c r="Y274" s="17">
        <v>46182.0</v>
      </c>
      <c r="Z274" s="17">
        <v>46207.0</v>
      </c>
      <c r="AA274" s="16">
        <v>85658.29</v>
      </c>
      <c r="AB274" s="16">
        <v>85658.29</v>
      </c>
      <c r="AC274" s="16">
        <v>0.0</v>
      </c>
      <c r="AD274" s="16">
        <v>253.0</v>
      </c>
      <c r="AE274" s="16">
        <v>0.0</v>
      </c>
      <c r="AF274" s="16">
        <v>0.0</v>
      </c>
      <c r="AG274" s="16">
        <v>0.0</v>
      </c>
      <c r="AH274" s="16">
        <v>0.0</v>
      </c>
      <c r="AI274" s="16">
        <v>0.0</v>
      </c>
      <c r="AJ274" s="16">
        <v>85658.29</v>
      </c>
      <c r="AK274" s="16">
        <v>256791.18</v>
      </c>
      <c r="AL274" s="16">
        <v>3.0</v>
      </c>
      <c r="AM274" s="16">
        <v>250.8</v>
      </c>
      <c r="AN274" s="16">
        <v>0.0</v>
      </c>
      <c r="AO274" s="18"/>
      <c r="AP274" s="18"/>
      <c r="AQ274" s="18"/>
      <c r="AR274" s="18"/>
      <c r="AS274" s="11" t="str">
        <f>VLOOKUP(C274,'mayo-26'!B:AS,44,0)</f>
        <v>AREAFINANCIERA@SEMCUCUTA.GOV.CO</v>
      </c>
      <c r="AT274" s="12" t="str">
        <f>VLOOKUP(C274,'mayo-26'!B:AT,45,0)</f>
        <v>CARTERA</v>
      </c>
      <c r="AU274" s="16"/>
      <c r="AV274" s="16"/>
      <c r="AW274" s="16"/>
    </row>
    <row r="275" ht="14.25" customHeight="1">
      <c r="A275" s="15" t="s">
        <v>609</v>
      </c>
      <c r="B275" s="16">
        <v>3295.0</v>
      </c>
      <c r="C275" s="16">
        <v>3294.0</v>
      </c>
      <c r="D275" s="16">
        <v>3294.0</v>
      </c>
      <c r="E275" s="16">
        <v>8.0218684E7</v>
      </c>
      <c r="F275" s="16">
        <v>8.0218684E7</v>
      </c>
      <c r="G275" s="15" t="s">
        <v>610</v>
      </c>
      <c r="H275" s="15" t="s">
        <v>611</v>
      </c>
      <c r="I275" s="1" t="str">
        <f>VLOOKUP(C275,'mayo-26'!B:H,7,0)</f>
        <v>AV. 3 # 23N Y 24N</v>
      </c>
      <c r="J275" s="1" t="s">
        <v>181</v>
      </c>
      <c r="K275" s="10" t="str">
        <f>VLOOKUP(C275,'mayo-26'!B:J,9,0)</f>
        <v>NO</v>
      </c>
      <c r="L275" s="1" t="str">
        <f>VLOOKUP(C275,'mayo-26'!B:K,10,0)</f>
        <v>NO</v>
      </c>
      <c r="M275" s="15" t="s">
        <v>52</v>
      </c>
      <c r="N275" s="15" t="s">
        <v>89</v>
      </c>
      <c r="O275" s="15" t="s">
        <v>130</v>
      </c>
      <c r="P275" s="15" t="s">
        <v>126</v>
      </c>
      <c r="Q275" s="15" t="s">
        <v>56</v>
      </c>
      <c r="R275" s="15" t="s">
        <v>72</v>
      </c>
      <c r="S275" s="15" t="s">
        <v>58</v>
      </c>
      <c r="T275" s="15" t="s">
        <v>59</v>
      </c>
      <c r="U275" s="16">
        <v>2026.0</v>
      </c>
      <c r="V275" s="16">
        <v>6.0</v>
      </c>
      <c r="W275" s="16">
        <v>1.081875059E9</v>
      </c>
      <c r="X275" s="16">
        <v>1.081893531E9</v>
      </c>
      <c r="Y275" s="17">
        <v>46182.0</v>
      </c>
      <c r="Z275" s="17">
        <v>46207.0</v>
      </c>
      <c r="AA275" s="16">
        <v>8627260.28</v>
      </c>
      <c r="AB275" s="16">
        <v>8627260.28</v>
      </c>
      <c r="AC275" s="16">
        <v>1756174.39</v>
      </c>
      <c r="AD275" s="16">
        <v>30650.0</v>
      </c>
      <c r="AE275" s="16">
        <v>17171.29</v>
      </c>
      <c r="AF275" s="16">
        <v>0.0</v>
      </c>
      <c r="AG275" s="16">
        <v>0.0</v>
      </c>
      <c r="AH275" s="16">
        <v>0.0</v>
      </c>
      <c r="AI275" s="16">
        <v>0.0</v>
      </c>
      <c r="AJ275" s="16">
        <v>8627260.28</v>
      </c>
      <c r="AK275" s="16">
        <v>8648677.86</v>
      </c>
      <c r="AL275" s="16">
        <v>1.0</v>
      </c>
      <c r="AM275" s="16">
        <v>1000326.04</v>
      </c>
      <c r="AN275" s="16">
        <v>0.0</v>
      </c>
      <c r="AO275" s="18"/>
      <c r="AP275" s="18"/>
      <c r="AQ275" s="18"/>
      <c r="AR275" s="18"/>
      <c r="AS275" s="11" t="str">
        <f>VLOOKUP(C275,'mayo-26'!B:AS,44,0)</f>
        <v>FACTURAELECTRONICA@CERAMICAITALIA.COM</v>
      </c>
      <c r="AT275" s="12" t="str">
        <f>VLOOKUP(C275,'mayo-26'!B:AT,45,0)</f>
        <v>CORREO ELECTRONICO CERTIFICADO 472</v>
      </c>
      <c r="AU275" s="16"/>
      <c r="AV275" s="16"/>
      <c r="AW275" s="16"/>
    </row>
    <row r="276" ht="14.25" customHeight="1">
      <c r="A276" s="15" t="s">
        <v>612</v>
      </c>
      <c r="B276" s="16">
        <v>3303.0</v>
      </c>
      <c r="C276" s="16">
        <v>3302.0</v>
      </c>
      <c r="D276" s="16">
        <v>3302.0</v>
      </c>
      <c r="E276" s="16">
        <v>8.02227E7</v>
      </c>
      <c r="F276" s="16">
        <v>8.02227E7</v>
      </c>
      <c r="G276" s="15" t="s">
        <v>613</v>
      </c>
      <c r="H276" s="15" t="s">
        <v>614</v>
      </c>
      <c r="I276" s="1" t="str">
        <f>VLOOKUP(C276,'mayo-26'!B:H,7,0)</f>
        <v>AV LIBERT CANAL BOGOTA L 1-51</v>
      </c>
      <c r="J276" s="1" t="s">
        <v>214</v>
      </c>
      <c r="K276" s="10" t="str">
        <f>VLOOKUP(C276,'mayo-26'!B:J,9,0)</f>
        <v>NO</v>
      </c>
      <c r="L276" s="1" t="str">
        <f>VLOOKUP(C276,'mayo-26'!B:K,10,0)</f>
        <v>NO</v>
      </c>
      <c r="M276" s="15" t="s">
        <v>52</v>
      </c>
      <c r="N276" s="15" t="s">
        <v>89</v>
      </c>
      <c r="O276" s="15" t="s">
        <v>130</v>
      </c>
      <c r="P276" s="15" t="s">
        <v>126</v>
      </c>
      <c r="Q276" s="15" t="s">
        <v>56</v>
      </c>
      <c r="R276" s="15" t="s">
        <v>90</v>
      </c>
      <c r="S276" s="15" t="s">
        <v>143</v>
      </c>
      <c r="T276" s="15" t="s">
        <v>59</v>
      </c>
      <c r="U276" s="16">
        <v>2026.0</v>
      </c>
      <c r="V276" s="16">
        <v>6.0</v>
      </c>
      <c r="W276" s="16">
        <v>1.081875064E9</v>
      </c>
      <c r="X276" s="16">
        <v>1.081893536E9</v>
      </c>
      <c r="Y276" s="17">
        <v>46182.0</v>
      </c>
      <c r="Z276" s="17">
        <v>46207.0</v>
      </c>
      <c r="AA276" s="16">
        <v>262840.37</v>
      </c>
      <c r="AB276" s="16">
        <v>262840.37</v>
      </c>
      <c r="AC276" s="16">
        <v>87613.46</v>
      </c>
      <c r="AD276" s="16">
        <v>725.0</v>
      </c>
      <c r="AE276" s="16">
        <v>0.0</v>
      </c>
      <c r="AF276" s="16">
        <v>0.0</v>
      </c>
      <c r="AG276" s="16">
        <v>0.0</v>
      </c>
      <c r="AH276" s="16">
        <v>0.0</v>
      </c>
      <c r="AI276" s="16">
        <v>0.0</v>
      </c>
      <c r="AJ276" s="16">
        <v>262840.37</v>
      </c>
      <c r="AK276" s="16">
        <v>262840.37</v>
      </c>
      <c r="AL276" s="16">
        <v>0.0</v>
      </c>
      <c r="AM276" s="16">
        <v>376.2</v>
      </c>
      <c r="AN276" s="16">
        <v>0.0</v>
      </c>
      <c r="AO276" s="18"/>
      <c r="AP276" s="18"/>
      <c r="AQ276" s="18"/>
      <c r="AR276" s="18"/>
      <c r="AS276" s="11" t="str">
        <f>VLOOKUP(C276,'mayo-26'!B:AS,44,0)</f>
        <v>solicitudescontables@happycity.com.co</v>
      </c>
      <c r="AT276" s="12" t="str">
        <f>VLOOKUP(C276,'mayo-26'!B:AT,45,0)</f>
        <v>CORREO ELECTRONICO CERTIFICADO 472</v>
      </c>
      <c r="AU276" s="16"/>
      <c r="AV276" s="16"/>
      <c r="AW276" s="16"/>
    </row>
    <row r="277" ht="14.25" customHeight="1">
      <c r="A277" s="15" t="s">
        <v>615</v>
      </c>
      <c r="B277" s="16">
        <v>455370.0</v>
      </c>
      <c r="C277" s="16">
        <v>3310.0</v>
      </c>
      <c r="D277" s="16">
        <v>3310.0</v>
      </c>
      <c r="E277" s="16">
        <v>8.0230159E7</v>
      </c>
      <c r="F277" s="16">
        <v>8.0230159E7</v>
      </c>
      <c r="G277" s="15" t="s">
        <v>148</v>
      </c>
      <c r="H277" s="15" t="s">
        <v>149</v>
      </c>
      <c r="I277" s="1" t="str">
        <f>VLOOKUP(C277,'mayo-26'!B:H,7,0)</f>
        <v>CALLE 10 NO 0E-16 EDF CENTRO EMPRESARIAL BLOQUE B HOTEL TONCHALA</v>
      </c>
      <c r="J277" s="1" t="s">
        <v>268</v>
      </c>
      <c r="K277" s="10" t="str">
        <f>VLOOKUP(C277,'mayo-26'!B:J,9,0)</f>
        <v>NO</v>
      </c>
      <c r="L277" s="1" t="str">
        <f>VLOOKUP(C277,'mayo-26'!B:K,10,0)</f>
        <v>COLEGIOS ZONA NORTE</v>
      </c>
      <c r="M277" s="15" t="s">
        <v>52</v>
      </c>
      <c r="N277" s="15" t="s">
        <v>616</v>
      </c>
      <c r="O277" s="15" t="s">
        <v>130</v>
      </c>
      <c r="P277" s="15" t="s">
        <v>126</v>
      </c>
      <c r="Q277" s="15" t="s">
        <v>56</v>
      </c>
      <c r="R277" s="15" t="s">
        <v>57</v>
      </c>
      <c r="S277" s="15" t="s">
        <v>143</v>
      </c>
      <c r="T277" s="15" t="s">
        <v>59</v>
      </c>
      <c r="U277" s="16">
        <v>2026.0</v>
      </c>
      <c r="V277" s="16">
        <v>6.0</v>
      </c>
      <c r="W277" s="16">
        <v>1.081875067E9</v>
      </c>
      <c r="X277" s="16">
        <v>1.081893539E9</v>
      </c>
      <c r="Y277" s="17">
        <v>46182.0</v>
      </c>
      <c r="Z277" s="17">
        <v>46207.0</v>
      </c>
      <c r="AA277" s="16">
        <v>51807.29</v>
      </c>
      <c r="AB277" s="16">
        <v>51807.29</v>
      </c>
      <c r="AC277" s="16">
        <v>0.0</v>
      </c>
      <c r="AD277" s="16">
        <v>253.0</v>
      </c>
      <c r="AE277" s="16">
        <v>0.0</v>
      </c>
      <c r="AF277" s="16">
        <v>0.0</v>
      </c>
      <c r="AG277" s="16">
        <v>0.0</v>
      </c>
      <c r="AH277" s="16">
        <v>0.0</v>
      </c>
      <c r="AI277" s="16">
        <v>0.0</v>
      </c>
      <c r="AJ277" s="16">
        <v>51807.29</v>
      </c>
      <c r="AK277" s="16">
        <v>154191.18</v>
      </c>
      <c r="AL277" s="16">
        <v>3.0</v>
      </c>
      <c r="AM277" s="16">
        <v>250.8</v>
      </c>
      <c r="AN277" s="16">
        <v>0.0</v>
      </c>
      <c r="AO277" s="18"/>
      <c r="AP277" s="18"/>
      <c r="AQ277" s="18"/>
      <c r="AR277" s="18"/>
      <c r="AS277" s="11" t="str">
        <f>VLOOKUP(C277,'mayo-26'!B:AS,44,0)</f>
        <v>AREAFINANCIERA@SEMCUCUTA.GOV.CO</v>
      </c>
      <c r="AT277" s="12" t="str">
        <f>VLOOKUP(C277,'mayo-26'!B:AT,45,0)</f>
        <v>CARTERA</v>
      </c>
      <c r="AU277" s="16"/>
      <c r="AV277" s="16"/>
      <c r="AW277" s="16"/>
    </row>
    <row r="278" ht="14.25" customHeight="1">
      <c r="A278" s="15" t="s">
        <v>617</v>
      </c>
      <c r="B278" s="16">
        <v>3315.0</v>
      </c>
      <c r="C278" s="16">
        <v>3314.0</v>
      </c>
      <c r="D278" s="16">
        <v>3314.0</v>
      </c>
      <c r="E278" s="16">
        <v>8.023029E7</v>
      </c>
      <c r="F278" s="16">
        <v>8.023029E7</v>
      </c>
      <c r="G278" s="16">
        <v>8.023029E7</v>
      </c>
      <c r="H278" s="15" t="s">
        <v>618</v>
      </c>
      <c r="I278" s="1" t="str">
        <f>VLOOKUP(C278,'mayo-26'!B:H,7,0)</f>
        <v>AV L/TADOR CANAL BOGOTA LOC 32</v>
      </c>
      <c r="J278" s="1" t="s">
        <v>214</v>
      </c>
      <c r="K278" s="10" t="str">
        <f>VLOOKUP(C278,'mayo-26'!B:J,9,0)</f>
        <v>NO</v>
      </c>
      <c r="L278" s="1" t="str">
        <f>VLOOKUP(C278,'mayo-26'!B:K,10,0)</f>
        <v>NO</v>
      </c>
      <c r="M278" s="15" t="s">
        <v>52</v>
      </c>
      <c r="N278" s="15" t="s">
        <v>89</v>
      </c>
      <c r="O278" s="15" t="s">
        <v>130</v>
      </c>
      <c r="P278" s="15" t="s">
        <v>126</v>
      </c>
      <c r="Q278" s="15" t="s">
        <v>56</v>
      </c>
      <c r="R278" s="15" t="s">
        <v>90</v>
      </c>
      <c r="S278" s="15" t="s">
        <v>143</v>
      </c>
      <c r="T278" s="15" t="s">
        <v>59</v>
      </c>
      <c r="U278" s="16">
        <v>2026.0</v>
      </c>
      <c r="V278" s="16">
        <v>6.0</v>
      </c>
      <c r="W278" s="16">
        <v>1.081875071E9</v>
      </c>
      <c r="X278" s="16">
        <v>1.081893543E9</v>
      </c>
      <c r="Y278" s="17">
        <v>46182.0</v>
      </c>
      <c r="Z278" s="17">
        <v>46207.0</v>
      </c>
      <c r="AA278" s="16">
        <v>262840.37</v>
      </c>
      <c r="AB278" s="16">
        <v>262840.37</v>
      </c>
      <c r="AC278" s="16">
        <v>87613.46</v>
      </c>
      <c r="AD278" s="16">
        <v>725.0</v>
      </c>
      <c r="AE278" s="16">
        <v>0.0</v>
      </c>
      <c r="AF278" s="16">
        <v>0.0</v>
      </c>
      <c r="AG278" s="16">
        <v>0.0</v>
      </c>
      <c r="AH278" s="16">
        <v>0.0</v>
      </c>
      <c r="AI278" s="16">
        <v>0.0</v>
      </c>
      <c r="AJ278" s="16">
        <v>262840.37</v>
      </c>
      <c r="AK278" s="16">
        <v>262840.37</v>
      </c>
      <c r="AL278" s="16">
        <v>0.0</v>
      </c>
      <c r="AM278" s="16">
        <v>376.2</v>
      </c>
      <c r="AN278" s="16">
        <v>0.0</v>
      </c>
      <c r="AO278" s="18"/>
      <c r="AP278" s="18"/>
      <c r="AQ278" s="18"/>
      <c r="AR278" s="18"/>
      <c r="AS278" s="11" t="str">
        <f>VLOOKUP(C278,'mayo-26'!B:AS,44,0)</f>
        <v>FACTURAFRAVICOL@FRAVICOL.COM / LORENAM@FRAVICOL.COM</v>
      </c>
      <c r="AT278" s="12" t="str">
        <f>VLOOKUP(C278,'mayo-26'!B:AT,45,0)</f>
        <v>CORREO ELECTRONICO CERTIFICADO 472</v>
      </c>
      <c r="AU278" s="16"/>
      <c r="AV278" s="16"/>
      <c r="AW278" s="16"/>
    </row>
    <row r="279" ht="14.25" customHeight="1">
      <c r="A279" s="15" t="s">
        <v>619</v>
      </c>
      <c r="B279" s="16">
        <v>431.0</v>
      </c>
      <c r="C279" s="16">
        <v>3318.0</v>
      </c>
      <c r="D279" s="16">
        <v>3318.0</v>
      </c>
      <c r="E279" s="16">
        <v>8.0231084E7</v>
      </c>
      <c r="F279" s="16">
        <v>8.0231084E7</v>
      </c>
      <c r="G279" s="15" t="s">
        <v>620</v>
      </c>
      <c r="H279" s="15" t="s">
        <v>621</v>
      </c>
      <c r="I279" s="1" t="str">
        <f>VLOOKUP(C279,'mayo-26'!B:H,7,0)</f>
        <v>EDIFICIO SAN JOSE 2O PISO</v>
      </c>
      <c r="J279" s="1" t="s">
        <v>390</v>
      </c>
      <c r="K279" s="10" t="str">
        <f>VLOOKUP(C279,'mayo-26'!B:J,9,0)</f>
        <v>NO</v>
      </c>
      <c r="L279" s="1" t="str">
        <f>VLOOKUP(C279,'mayo-26'!B:K,10,0)</f>
        <v>AGUAS KPITAL</v>
      </c>
      <c r="M279" s="15" t="s">
        <v>52</v>
      </c>
      <c r="N279" s="15" t="s">
        <v>89</v>
      </c>
      <c r="O279" s="15" t="s">
        <v>130</v>
      </c>
      <c r="P279" s="15" t="s">
        <v>126</v>
      </c>
      <c r="Q279" s="15" t="s">
        <v>131</v>
      </c>
      <c r="R279" s="15" t="s">
        <v>538</v>
      </c>
      <c r="S279" s="15" t="s">
        <v>133</v>
      </c>
      <c r="T279" s="15" t="s">
        <v>59</v>
      </c>
      <c r="U279" s="16">
        <v>2026.0</v>
      </c>
      <c r="V279" s="16">
        <v>6.0</v>
      </c>
      <c r="W279" s="16">
        <v>1.081875074E9</v>
      </c>
      <c r="X279" s="16">
        <v>1.081893546E9</v>
      </c>
      <c r="Y279" s="17">
        <v>46182.0</v>
      </c>
      <c r="Z279" s="17">
        <v>46207.0</v>
      </c>
      <c r="AA279" s="16">
        <v>94434.11</v>
      </c>
      <c r="AB279" s="16">
        <v>94434.11</v>
      </c>
      <c r="AC279" s="16">
        <v>31416.0</v>
      </c>
      <c r="AD279" s="16">
        <v>0.0</v>
      </c>
      <c r="AE279" s="16">
        <v>186.11</v>
      </c>
      <c r="AF279" s="16">
        <v>0.0</v>
      </c>
      <c r="AG279" s="16">
        <v>0.0</v>
      </c>
      <c r="AH279" s="16">
        <v>0.0</v>
      </c>
      <c r="AI279" s="16">
        <v>0.0</v>
      </c>
      <c r="AJ279" s="16">
        <v>94434.11</v>
      </c>
      <c r="AK279" s="16">
        <v>189954.26</v>
      </c>
      <c r="AL279" s="16">
        <v>1.0</v>
      </c>
      <c r="AM279" s="16">
        <v>376.2</v>
      </c>
      <c r="AN279" s="16">
        <v>0.0</v>
      </c>
      <c r="AO279" s="18"/>
      <c r="AP279" s="18"/>
      <c r="AQ279" s="18"/>
      <c r="AR279" s="18"/>
      <c r="AS279" s="11" t="str">
        <f>VLOOKUP(C279,'mayo-26'!B:AS,44,0)</f>
        <v>RADICACION.CEINDOC@AKC.CO;SAMMY.OMANA@AKC.CO</v>
      </c>
      <c r="AT279" s="12" t="str">
        <f>VLOOKUP(C279,'mayo-26'!B:AT,45,0)</f>
        <v>CORREO ELECTRONICO CERTIFICADO 472</v>
      </c>
      <c r="AU279" s="16"/>
      <c r="AV279" s="16"/>
      <c r="AW279" s="16"/>
    </row>
    <row r="280" ht="14.25" customHeight="1">
      <c r="A280" s="15" t="s">
        <v>622</v>
      </c>
      <c r="B280" s="16">
        <v>147.0</v>
      </c>
      <c r="C280" s="16">
        <v>332934.0</v>
      </c>
      <c r="D280" s="16">
        <v>332934.0</v>
      </c>
      <c r="E280" s="16">
        <v>651023.0</v>
      </c>
      <c r="F280" s="16">
        <v>651023.0</v>
      </c>
      <c r="G280" s="15" t="s">
        <v>179</v>
      </c>
      <c r="H280" s="15" t="s">
        <v>180</v>
      </c>
      <c r="I280" s="1" t="str">
        <f>VLOOKUP(C280,'mayo-26'!B:H,7,0)</f>
        <v>AVE 3 CLL 24 GARITA # 1</v>
      </c>
      <c r="J280" s="1" t="s">
        <v>261</v>
      </c>
      <c r="K280" s="10" t="str">
        <f>VLOOKUP(C280,'mayo-26'!B:J,9,0)</f>
        <v>NO</v>
      </c>
      <c r="L280" s="1" t="str">
        <f>VLOOKUP(C280,'mayo-26'!B:K,10,0)</f>
        <v>POLICIA</v>
      </c>
      <c r="M280" s="15" t="s">
        <v>52</v>
      </c>
      <c r="N280" s="15" t="s">
        <v>89</v>
      </c>
      <c r="O280" s="15" t="s">
        <v>130</v>
      </c>
      <c r="P280" s="15" t="s">
        <v>126</v>
      </c>
      <c r="Q280" s="15" t="s">
        <v>56</v>
      </c>
      <c r="R280" s="15" t="s">
        <v>57</v>
      </c>
      <c r="S280" s="15" t="s">
        <v>143</v>
      </c>
      <c r="T280" s="15" t="s">
        <v>59</v>
      </c>
      <c r="U280" s="16">
        <v>2026.0</v>
      </c>
      <c r="V280" s="16">
        <v>6.0</v>
      </c>
      <c r="W280" s="16">
        <v>1.081875194E9</v>
      </c>
      <c r="X280" s="16">
        <v>1.081893666E9</v>
      </c>
      <c r="Y280" s="17">
        <v>46182.0</v>
      </c>
      <c r="Z280" s="17">
        <v>46207.0</v>
      </c>
      <c r="AA280" s="16">
        <v>481316.24</v>
      </c>
      <c r="AB280" s="16">
        <v>481316.24</v>
      </c>
      <c r="AC280" s="16">
        <v>0.0</v>
      </c>
      <c r="AD280" s="16">
        <v>2338.0</v>
      </c>
      <c r="AE280" s="16">
        <v>0.0</v>
      </c>
      <c r="AF280" s="16">
        <v>0.0</v>
      </c>
      <c r="AG280" s="16">
        <v>0.0</v>
      </c>
      <c r="AH280" s="16">
        <v>0.0</v>
      </c>
      <c r="AI280" s="16">
        <v>0.0</v>
      </c>
      <c r="AJ280" s="16">
        <v>481316.24</v>
      </c>
      <c r="AK280" s="16">
        <v>963255.88</v>
      </c>
      <c r="AL280" s="16">
        <v>1.0</v>
      </c>
      <c r="AM280" s="16">
        <v>250.8</v>
      </c>
      <c r="AN280" s="16">
        <v>0.0</v>
      </c>
      <c r="AO280" s="18"/>
      <c r="AP280" s="18"/>
      <c r="AQ280" s="18"/>
      <c r="AR280" s="18"/>
      <c r="AS280" s="11" t="str">
        <f>VLOOKUP(C280,'mayo-26'!B:AS,44,0)</f>
        <v>MECUC.GUBIR@POLICIA.GOV.CO</v>
      </c>
      <c r="AT280" s="12" t="str">
        <f>VLOOKUP(C280,'mayo-26'!B:AT,45,0)</f>
        <v>CORREO ELECTRONICO CERTIFICADO 472</v>
      </c>
      <c r="AU280" s="16"/>
      <c r="AV280" s="16"/>
      <c r="AW280" s="16"/>
    </row>
    <row r="281" ht="14.25" customHeight="1">
      <c r="A281" s="15" t="s">
        <v>623</v>
      </c>
      <c r="B281" s="16">
        <v>3331.0</v>
      </c>
      <c r="C281" s="16">
        <v>3330.0</v>
      </c>
      <c r="D281" s="16">
        <v>3330.0</v>
      </c>
      <c r="E281" s="16">
        <v>8.0265246E7</v>
      </c>
      <c r="F281" s="16">
        <v>8.0265246E7</v>
      </c>
      <c r="G281" s="16">
        <v>9.010450303E9</v>
      </c>
      <c r="H281" s="15" t="s">
        <v>624</v>
      </c>
      <c r="I281" s="1" t="str">
        <f>VLOOKUP(C281,'mayo-26'!B:H,7,0)</f>
        <v>AVE 6 2 - 15 BDG</v>
      </c>
      <c r="J281" s="1" t="s">
        <v>208</v>
      </c>
      <c r="K281" s="10" t="str">
        <f>VLOOKUP(C281,'mayo-26'!B:J,9,0)</f>
        <v>NO</v>
      </c>
      <c r="L281" s="1" t="str">
        <f>VLOOKUP(C281,'mayo-26'!B:K,10,0)</f>
        <v>GM UNIPLAS</v>
      </c>
      <c r="M281" s="15" t="s">
        <v>52</v>
      </c>
      <c r="N281" s="15" t="s">
        <v>89</v>
      </c>
      <c r="O281" s="15" t="s">
        <v>130</v>
      </c>
      <c r="P281" s="15" t="s">
        <v>126</v>
      </c>
      <c r="Q281" s="15" t="s">
        <v>56</v>
      </c>
      <c r="R281" s="15" t="s">
        <v>72</v>
      </c>
      <c r="S281" s="15" t="s">
        <v>143</v>
      </c>
      <c r="T281" s="15" t="s">
        <v>59</v>
      </c>
      <c r="U281" s="16">
        <v>2026.0</v>
      </c>
      <c r="V281" s="16">
        <v>6.0</v>
      </c>
      <c r="W281" s="16">
        <v>1.081875077E9</v>
      </c>
      <c r="X281" s="16">
        <v>1.081893549E9</v>
      </c>
      <c r="Y281" s="17">
        <v>46182.0</v>
      </c>
      <c r="Z281" s="17">
        <v>46207.0</v>
      </c>
      <c r="AA281" s="16">
        <v>112594.82</v>
      </c>
      <c r="AB281" s="16">
        <v>112594.82</v>
      </c>
      <c r="AC281" s="16">
        <v>25697.48</v>
      </c>
      <c r="AD281" s="16">
        <v>253.0</v>
      </c>
      <c r="AE281" s="16">
        <v>1239.05</v>
      </c>
      <c r="AF281" s="16">
        <v>0.0</v>
      </c>
      <c r="AG281" s="16">
        <v>0.0</v>
      </c>
      <c r="AH281" s="16">
        <v>0.0</v>
      </c>
      <c r="AI281" s="16">
        <v>0.0</v>
      </c>
      <c r="AJ281" s="16">
        <v>112594.82</v>
      </c>
      <c r="AK281" s="16">
        <v>335847.37</v>
      </c>
      <c r="AL281" s="16">
        <v>2.0</v>
      </c>
      <c r="AM281" s="16">
        <v>326.04</v>
      </c>
      <c r="AN281" s="16">
        <v>0.0</v>
      </c>
      <c r="AO281" s="18"/>
      <c r="AP281" s="18"/>
      <c r="AQ281" s="18"/>
      <c r="AR281" s="18"/>
      <c r="AS281" s="11" t="str">
        <f>VLOOKUP(C281,'mayo-26'!B:AS,44,0)</f>
        <v>GMUNIPLAST2017@GMAIL.COM</v>
      </c>
      <c r="AT281" s="12" t="str">
        <f>VLOOKUP(C281,'mayo-26'!B:AT,45,0)</f>
        <v>CORREO ELECTRONICO CERTIFICADO 472</v>
      </c>
      <c r="AU281" s="16"/>
      <c r="AV281" s="16"/>
      <c r="AW281" s="16"/>
    </row>
    <row r="282" ht="14.25" customHeight="1">
      <c r="A282" s="15" t="s">
        <v>625</v>
      </c>
      <c r="B282" s="16">
        <v>3335.0</v>
      </c>
      <c r="C282" s="16">
        <v>3334.0</v>
      </c>
      <c r="D282" s="16">
        <v>3334.0</v>
      </c>
      <c r="E282" s="16">
        <v>8.0271132E7</v>
      </c>
      <c r="F282" s="16">
        <v>8.0271132E7</v>
      </c>
      <c r="G282" s="15" t="s">
        <v>626</v>
      </c>
      <c r="H282" s="15" t="s">
        <v>627</v>
      </c>
      <c r="I282" s="1" t="str">
        <f>VLOOKUP(C282,'mayo-26'!B:H,7,0)</f>
        <v>AV 7 A CL 9 B N ZN INDUSTRIAL BRR SEVILLA</v>
      </c>
      <c r="J282" s="1" t="s">
        <v>172</v>
      </c>
      <c r="K282" s="10" t="str">
        <f>VLOOKUP(C282,'mayo-26'!B:J,9,0)</f>
        <v>NO</v>
      </c>
      <c r="L282" s="1" t="str">
        <f>VLOOKUP(C282,'mayo-26'!B:K,10,0)</f>
        <v>NO</v>
      </c>
      <c r="M282" s="15" t="s">
        <v>52</v>
      </c>
      <c r="N282" s="15" t="s">
        <v>89</v>
      </c>
      <c r="O282" s="15" t="s">
        <v>130</v>
      </c>
      <c r="P282" s="15" t="s">
        <v>126</v>
      </c>
      <c r="Q282" s="15" t="s">
        <v>56</v>
      </c>
      <c r="R282" s="15" t="s">
        <v>90</v>
      </c>
      <c r="S282" s="15" t="s">
        <v>143</v>
      </c>
      <c r="T282" s="15" t="s">
        <v>59</v>
      </c>
      <c r="U282" s="16">
        <v>2026.0</v>
      </c>
      <c r="V282" s="16">
        <v>6.0</v>
      </c>
      <c r="W282" s="16">
        <v>1.081875084E9</v>
      </c>
      <c r="X282" s="16">
        <v>1.081893556E9</v>
      </c>
      <c r="Y282" s="17">
        <v>46182.0</v>
      </c>
      <c r="Z282" s="17">
        <v>46207.0</v>
      </c>
      <c r="AA282" s="16">
        <v>198795.0</v>
      </c>
      <c r="AB282" s="16">
        <v>198795.0</v>
      </c>
      <c r="AC282" s="16">
        <v>66265.0</v>
      </c>
      <c r="AD282" s="16">
        <v>500.0</v>
      </c>
      <c r="AE282" s="16">
        <v>0.0</v>
      </c>
      <c r="AF282" s="16">
        <v>0.0</v>
      </c>
      <c r="AG282" s="16">
        <v>0.0</v>
      </c>
      <c r="AH282" s="16">
        <v>0.0</v>
      </c>
      <c r="AI282" s="16">
        <v>0.0</v>
      </c>
      <c r="AJ282" s="16">
        <v>198795.0</v>
      </c>
      <c r="AK282" s="16">
        <v>198795.0</v>
      </c>
      <c r="AL282" s="16">
        <v>0.0</v>
      </c>
      <c r="AM282" s="16">
        <v>376.2</v>
      </c>
      <c r="AN282" s="16">
        <v>0.0</v>
      </c>
      <c r="AO282" s="18"/>
      <c r="AP282" s="18"/>
      <c r="AQ282" s="18"/>
      <c r="AR282" s="18"/>
      <c r="AS282" s="11" t="str">
        <f>VLOOKUP(C282,'mayo-26'!B:AS,44,0)</f>
        <v>CONTABILIDAD@PESCADERO.COM.CO / COMPRAS@PESCADERO.COM.CO</v>
      </c>
      <c r="AT282" s="12" t="str">
        <f>VLOOKUP(C282,'mayo-26'!B:AT,45,0)</f>
        <v>CORREO ELECTRONICO CERTIFICADO 472</v>
      </c>
      <c r="AU282" s="16"/>
      <c r="AV282" s="16"/>
      <c r="AW282" s="16"/>
    </row>
    <row r="283" ht="14.25" customHeight="1">
      <c r="A283" s="15" t="s">
        <v>628</v>
      </c>
      <c r="B283" s="16">
        <v>699.0</v>
      </c>
      <c r="C283" s="16">
        <v>377662.0</v>
      </c>
      <c r="D283" s="16">
        <v>388284.0</v>
      </c>
      <c r="E283" s="16">
        <v>1056896.0</v>
      </c>
      <c r="F283" s="16">
        <v>1056896.0</v>
      </c>
      <c r="G283" s="16">
        <v>9.00480569E8</v>
      </c>
      <c r="H283" s="15" t="s">
        <v>141</v>
      </c>
      <c r="I283" s="1" t="str">
        <f>VLOOKUP(C283,'mayo-26'!B:H,7,0)</f>
        <v>CLL 12 4-52 CENTRO</v>
      </c>
      <c r="J283" s="1" t="s">
        <v>629</v>
      </c>
      <c r="K283" s="10" t="str">
        <f>VLOOKUP(C283,'mayo-26'!B:J,9,0)</f>
        <v>NO</v>
      </c>
      <c r="L283" s="1" t="str">
        <f>VLOOKUP(C283,'mayo-26'!B:K,10,0)</f>
        <v>ARA CUCUTA</v>
      </c>
      <c r="M283" s="15" t="s">
        <v>52</v>
      </c>
      <c r="N283" s="15" t="s">
        <v>138</v>
      </c>
      <c r="O283" s="15" t="s">
        <v>130</v>
      </c>
      <c r="P283" s="15" t="s">
        <v>126</v>
      </c>
      <c r="Q283" s="15" t="s">
        <v>56</v>
      </c>
      <c r="R283" s="15" t="s">
        <v>90</v>
      </c>
      <c r="S283" s="15" t="s">
        <v>143</v>
      </c>
      <c r="T283" s="15" t="s">
        <v>59</v>
      </c>
      <c r="U283" s="16">
        <v>2026.0</v>
      </c>
      <c r="V283" s="16">
        <v>6.0</v>
      </c>
      <c r="W283" s="16">
        <v>1.081875197E9</v>
      </c>
      <c r="X283" s="16">
        <v>1.081893669E9</v>
      </c>
      <c r="Y283" s="17">
        <v>46182.0</v>
      </c>
      <c r="Z283" s="17">
        <v>46207.0</v>
      </c>
      <c r="AA283" s="16">
        <v>554602.51</v>
      </c>
      <c r="AB283" s="16">
        <v>554602.51</v>
      </c>
      <c r="AC283" s="16">
        <v>184867.51</v>
      </c>
      <c r="AD283" s="16">
        <v>1750.0</v>
      </c>
      <c r="AE283" s="16">
        <v>0.0</v>
      </c>
      <c r="AF283" s="16">
        <v>0.0</v>
      </c>
      <c r="AG283" s="16">
        <v>0.0</v>
      </c>
      <c r="AH283" s="16">
        <v>0.0</v>
      </c>
      <c r="AI283" s="16">
        <v>0.0</v>
      </c>
      <c r="AJ283" s="16">
        <v>554602.51</v>
      </c>
      <c r="AK283" s="16">
        <v>1110099.39</v>
      </c>
      <c r="AL283" s="16">
        <v>1.0</v>
      </c>
      <c r="AM283" s="16">
        <v>376.2</v>
      </c>
      <c r="AN283" s="16">
        <v>0.0</v>
      </c>
      <c r="AO283" s="18"/>
      <c r="AP283" s="18"/>
      <c r="AQ283" s="18"/>
      <c r="AR283" s="18"/>
      <c r="AS283" s="11" t="str">
        <f>VLOOKUP(C283,'mayo-26'!B:AS,44,0)</f>
        <v>COORDINADOR.OPERACIONES.R11@JERONIMO-MARTINS.COM</v>
      </c>
      <c r="AT283" s="12" t="str">
        <f>VLOOKUP(C283,'mayo-26'!B:AT,45,0)</f>
        <v>CORREO ELECTRONICO CERTIFICADO 472</v>
      </c>
      <c r="AU283" s="16"/>
      <c r="AV283" s="16"/>
      <c r="AW283" s="16"/>
    </row>
    <row r="284" ht="14.25" customHeight="1">
      <c r="A284" s="15" t="s">
        <v>630</v>
      </c>
      <c r="B284" s="16">
        <v>401213.0</v>
      </c>
      <c r="C284" s="16">
        <v>379218.0</v>
      </c>
      <c r="D284" s="16">
        <v>391065.0</v>
      </c>
      <c r="E284" s="18"/>
      <c r="F284" s="18"/>
      <c r="G284" s="16">
        <v>8.8204894E7</v>
      </c>
      <c r="H284" s="15" t="s">
        <v>631</v>
      </c>
      <c r="I284" s="1" t="str">
        <f>VLOOKUP(C284,'mayo-26'!B:H,7,0)</f>
        <v>VÍA SAN FAUSTINO, VEREDA PASO DE LOS RÍOS A 1.5 KILÓMETROS DE INCOLMINE</v>
      </c>
      <c r="J284" s="1" t="s">
        <v>155</v>
      </c>
      <c r="K284" s="10" t="str">
        <f>VLOOKUP(C284,'mayo-26'!B:J,9,0)</f>
        <v>NO</v>
      </c>
      <c r="L284" s="1" t="str">
        <f>VLOOKUP(C284,'mayo-26'!B:K,10,0)</f>
        <v>NO</v>
      </c>
      <c r="M284" s="15" t="s">
        <v>52</v>
      </c>
      <c r="N284" s="15" t="s">
        <v>269</v>
      </c>
      <c r="O284" s="15" t="s">
        <v>130</v>
      </c>
      <c r="P284" s="15" t="s">
        <v>632</v>
      </c>
      <c r="Q284" s="15" t="s">
        <v>56</v>
      </c>
      <c r="R284" s="15" t="s">
        <v>90</v>
      </c>
      <c r="S284" s="15" t="s">
        <v>143</v>
      </c>
      <c r="T284" s="15" t="s">
        <v>59</v>
      </c>
      <c r="U284" s="16">
        <v>2026.0</v>
      </c>
      <c r="V284" s="16">
        <v>6.0</v>
      </c>
      <c r="W284" s="16">
        <v>1.081875202E9</v>
      </c>
      <c r="X284" s="16">
        <v>1.081893674E9</v>
      </c>
      <c r="Y284" s="17">
        <v>46182.0</v>
      </c>
      <c r="Z284" s="17">
        <v>46207.0</v>
      </c>
      <c r="AA284" s="16">
        <v>119492.91</v>
      </c>
      <c r="AB284" s="16">
        <v>119492.91</v>
      </c>
      <c r="AC284" s="16">
        <v>25903.65</v>
      </c>
      <c r="AD284" s="16">
        <v>253.0</v>
      </c>
      <c r="AE284" s="16">
        <v>62999.25</v>
      </c>
      <c r="AF284" s="16">
        <v>0.0</v>
      </c>
      <c r="AG284" s="16">
        <v>0.0</v>
      </c>
      <c r="AH284" s="16">
        <v>0.0</v>
      </c>
      <c r="AI284" s="16">
        <v>0.0</v>
      </c>
      <c r="AJ284" s="16">
        <v>119492.91</v>
      </c>
      <c r="AK284" s="16">
        <v>3585197.81</v>
      </c>
      <c r="AL284" s="16">
        <v>48.0</v>
      </c>
      <c r="AM284" s="16">
        <v>-20841.08</v>
      </c>
      <c r="AN284" s="16">
        <v>0.0</v>
      </c>
      <c r="AO284" s="18"/>
      <c r="AP284" s="18"/>
      <c r="AQ284" s="18"/>
      <c r="AR284" s="18"/>
      <c r="AS284" s="11" t="str">
        <f>VLOOKUP(C284,'mayo-26'!B:AS,44,0)</f>
        <v>CONTABILIDADPLANTAGRESCOL@GMAIL.COM</v>
      </c>
      <c r="AT284" s="12" t="str">
        <f>VLOOKUP(C284,'mayo-26'!B:AT,45,0)</f>
        <v>CORREO ELECTRONICO CERTIFICADO 472</v>
      </c>
      <c r="AU284" s="16"/>
      <c r="AV284" s="16"/>
      <c r="AW284" s="16"/>
    </row>
    <row r="285" ht="14.25" customHeight="1">
      <c r="A285" s="15" t="s">
        <v>633</v>
      </c>
      <c r="B285" s="16">
        <v>409085.0</v>
      </c>
      <c r="C285" s="16">
        <v>383402.0</v>
      </c>
      <c r="D285" s="16">
        <v>396923.0</v>
      </c>
      <c r="E285" s="16">
        <v>1064695.0</v>
      </c>
      <c r="F285" s="16">
        <v>1064695.0</v>
      </c>
      <c r="G285" s="16">
        <v>1064695.0</v>
      </c>
      <c r="H285" s="15" t="s">
        <v>634</v>
      </c>
      <c r="I285" s="1" t="str">
        <f>VLOOKUP(C285,'mayo-26'!B:H,7,0)</f>
        <v>CLL 5N 12B 135 211142</v>
      </c>
      <c r="J285" s="1" t="s">
        <v>165</v>
      </c>
      <c r="K285" s="10" t="str">
        <f>VLOOKUP(C285,'mayo-26'!B:J,9,0)</f>
        <v>NO</v>
      </c>
      <c r="L285" s="1" t="str">
        <f>VLOOKUP(C285,'mayo-26'!B:K,10,0)</f>
        <v>ARA CUCUTA</v>
      </c>
      <c r="M285" s="15" t="s">
        <v>52</v>
      </c>
      <c r="N285" s="15" t="s">
        <v>138</v>
      </c>
      <c r="O285" s="15" t="s">
        <v>130</v>
      </c>
      <c r="P285" s="15" t="s">
        <v>126</v>
      </c>
      <c r="Q285" s="15" t="s">
        <v>56</v>
      </c>
      <c r="R285" s="15" t="s">
        <v>90</v>
      </c>
      <c r="S285" s="15" t="s">
        <v>143</v>
      </c>
      <c r="T285" s="15" t="s">
        <v>59</v>
      </c>
      <c r="U285" s="16">
        <v>2026.0</v>
      </c>
      <c r="V285" s="16">
        <v>6.0</v>
      </c>
      <c r="W285" s="16">
        <v>1.081875211E9</v>
      </c>
      <c r="X285" s="16">
        <v>1.081893683E9</v>
      </c>
      <c r="Y285" s="17">
        <v>46182.0</v>
      </c>
      <c r="Z285" s="17">
        <v>46207.0</v>
      </c>
      <c r="AA285" s="16">
        <v>749184.87</v>
      </c>
      <c r="AB285" s="16">
        <v>749184.87</v>
      </c>
      <c r="AC285" s="16">
        <v>247015.22</v>
      </c>
      <c r="AD285" s="16">
        <v>2405.0</v>
      </c>
      <c r="AE285" s="16">
        <v>8139.22</v>
      </c>
      <c r="AF285" s="16">
        <v>0.0</v>
      </c>
      <c r="AG285" s="16">
        <v>0.0</v>
      </c>
      <c r="AH285" s="16">
        <v>0.0</v>
      </c>
      <c r="AI285" s="16">
        <v>0.0</v>
      </c>
      <c r="AJ285" s="16">
        <v>749184.87</v>
      </c>
      <c r="AK285" s="16">
        <v>2220136.05</v>
      </c>
      <c r="AL285" s="16">
        <v>3.0</v>
      </c>
      <c r="AM285" s="16">
        <v>376.2</v>
      </c>
      <c r="AN285" s="16">
        <v>0.0</v>
      </c>
      <c r="AO285" s="18"/>
      <c r="AP285" s="18"/>
      <c r="AQ285" s="18"/>
      <c r="AR285" s="18"/>
      <c r="AS285" s="11" t="str">
        <f>VLOOKUP(C285,'mayo-26'!B:AS,44,0)</f>
        <v>COORDINADOR.OPERACIONES.R11@JERONIMO-MARTINS.COM</v>
      </c>
      <c r="AT285" s="12" t="str">
        <f>VLOOKUP(C285,'mayo-26'!B:AT,45,0)</f>
        <v>CORREO ELECTRONICO CERTIFICADO 472</v>
      </c>
      <c r="AU285" s="16"/>
      <c r="AV285" s="16"/>
      <c r="AW285" s="16"/>
    </row>
    <row r="286" ht="14.25" customHeight="1">
      <c r="A286" s="15" t="s">
        <v>635</v>
      </c>
      <c r="B286" s="16">
        <v>559789.0</v>
      </c>
      <c r="C286" s="16">
        <v>480278.0</v>
      </c>
      <c r="D286" s="16">
        <v>523846.0</v>
      </c>
      <c r="E286" s="18"/>
      <c r="F286" s="18"/>
      <c r="G286" s="15" t="s">
        <v>636</v>
      </c>
      <c r="H286" s="15" t="s">
        <v>637</v>
      </c>
      <c r="I286" s="1" t="str">
        <f>VLOOKUP(C286,'mayo-26'!B:H,7,0)</f>
        <v>KM 3 CARRETERA PANAMERICANA VÍA AL SALADO (CARCEL MODELO)</v>
      </c>
      <c r="J286" s="1" t="s">
        <v>76</v>
      </c>
      <c r="K286" s="10" t="str">
        <f>VLOOKUP(C286,'mayo-26'!B:J,9,0)</f>
        <v>NO</v>
      </c>
      <c r="L286" s="1" t="str">
        <f>VLOOKUP(C286,'mayo-26'!B:K,10,0)</f>
        <v>MODELO</v>
      </c>
      <c r="M286" s="15" t="s">
        <v>52</v>
      </c>
      <c r="N286" s="15" t="s">
        <v>89</v>
      </c>
      <c r="O286" s="15" t="s">
        <v>130</v>
      </c>
      <c r="P286" s="15" t="s">
        <v>126</v>
      </c>
      <c r="Q286" s="15" t="s">
        <v>131</v>
      </c>
      <c r="R286" s="15" t="s">
        <v>132</v>
      </c>
      <c r="S286" s="15" t="s">
        <v>133</v>
      </c>
      <c r="T286" s="15" t="s">
        <v>59</v>
      </c>
      <c r="U286" s="16">
        <v>2026.0</v>
      </c>
      <c r="V286" s="16">
        <v>6.0</v>
      </c>
      <c r="W286" s="16">
        <v>1.081875215E9</v>
      </c>
      <c r="X286" s="16">
        <v>1.081893687E9</v>
      </c>
      <c r="Y286" s="17">
        <v>46182.0</v>
      </c>
      <c r="Z286" s="17">
        <v>46207.0</v>
      </c>
      <c r="AA286" s="16">
        <v>143364.71</v>
      </c>
      <c r="AB286" s="16">
        <v>143364.71</v>
      </c>
      <c r="AC286" s="16">
        <v>37709.5</v>
      </c>
      <c r="AD286" s="16">
        <v>0.0</v>
      </c>
      <c r="AE286" s="16">
        <v>30236.21</v>
      </c>
      <c r="AF286" s="16">
        <v>0.0</v>
      </c>
      <c r="AG286" s="16">
        <v>0.0</v>
      </c>
      <c r="AH286" s="16">
        <v>0.0</v>
      </c>
      <c r="AI286" s="16">
        <v>0.0</v>
      </c>
      <c r="AJ286" s="16">
        <v>143364.71</v>
      </c>
      <c r="AK286" s="16">
        <v>1995510.27</v>
      </c>
      <c r="AL286" s="16">
        <v>17.0</v>
      </c>
      <c r="AM286" s="16">
        <v>376.2</v>
      </c>
      <c r="AN286" s="16">
        <v>0.0</v>
      </c>
      <c r="AO286" s="18"/>
      <c r="AP286" s="18"/>
      <c r="AQ286" s="18"/>
      <c r="AR286" s="18"/>
      <c r="AS286" s="11" t="str">
        <f>VLOOKUP(C286,'mayo-26'!B:AS,44,0)</f>
        <v>UTCOMPLEJOSCARCELARIOSCUCUTA@GMAIL.COM</v>
      </c>
      <c r="AT286" s="12" t="str">
        <f>VLOOKUP(C286,'mayo-26'!B:AT,45,0)</f>
        <v>CORREO ELECTRONICO CERTIFICADO 472</v>
      </c>
      <c r="AU286" s="16"/>
      <c r="AV286" s="16"/>
      <c r="AW286" s="16"/>
    </row>
    <row r="287" ht="14.25" customHeight="1">
      <c r="A287" s="15" t="s">
        <v>638</v>
      </c>
      <c r="B287" s="16">
        <v>49063.0</v>
      </c>
      <c r="C287" s="16">
        <v>49062.0</v>
      </c>
      <c r="D287" s="16">
        <v>49062.0</v>
      </c>
      <c r="E287" s="16">
        <v>17025.0</v>
      </c>
      <c r="F287" s="16">
        <v>17025.0</v>
      </c>
      <c r="G287" s="16">
        <v>17025.0</v>
      </c>
      <c r="H287" s="15" t="s">
        <v>639</v>
      </c>
      <c r="I287" s="1" t="str">
        <f>VLOOKUP(C287,'mayo-26'!B:H,7,0)</f>
        <v>CLL 10 3-81 LOC 3-85</v>
      </c>
      <c r="J287" s="1" t="s">
        <v>640</v>
      </c>
      <c r="K287" s="10" t="str">
        <f>VLOOKUP(C287,'mayo-26'!B:J,9,0)</f>
        <v>NO</v>
      </c>
      <c r="L287" s="1" t="str">
        <f>VLOOKUP(C287,'mayo-26'!B:K,10,0)</f>
        <v>NO</v>
      </c>
      <c r="M287" s="15" t="s">
        <v>52</v>
      </c>
      <c r="N287" s="15" t="s">
        <v>53</v>
      </c>
      <c r="O287" s="15" t="s">
        <v>130</v>
      </c>
      <c r="P287" s="15" t="s">
        <v>126</v>
      </c>
      <c r="Q287" s="15" t="s">
        <v>131</v>
      </c>
      <c r="R287" s="15" t="s">
        <v>132</v>
      </c>
      <c r="S287" s="15" t="s">
        <v>133</v>
      </c>
      <c r="T287" s="15" t="s">
        <v>59</v>
      </c>
      <c r="U287" s="16">
        <v>2026.0</v>
      </c>
      <c r="V287" s="16">
        <v>6.0</v>
      </c>
      <c r="W287" s="16">
        <v>1.081875086E9</v>
      </c>
      <c r="X287" s="16">
        <v>1.081893558E9</v>
      </c>
      <c r="Y287" s="17">
        <v>46182.0</v>
      </c>
      <c r="Z287" s="17">
        <v>46207.0</v>
      </c>
      <c r="AA287" s="16">
        <v>115257.0</v>
      </c>
      <c r="AB287" s="16">
        <v>115257.0</v>
      </c>
      <c r="AC287" s="16">
        <v>38419.0</v>
      </c>
      <c r="AD287" s="16">
        <v>0.0</v>
      </c>
      <c r="AE287" s="16">
        <v>0.0</v>
      </c>
      <c r="AF287" s="16">
        <v>0.0</v>
      </c>
      <c r="AG287" s="16">
        <v>0.0</v>
      </c>
      <c r="AH287" s="16">
        <v>0.0</v>
      </c>
      <c r="AI287" s="16">
        <v>0.0</v>
      </c>
      <c r="AJ287" s="16">
        <v>115257.0</v>
      </c>
      <c r="AK287" s="16">
        <v>231297.5</v>
      </c>
      <c r="AL287" s="16">
        <v>2.0</v>
      </c>
      <c r="AM287" s="16">
        <v>6420.0</v>
      </c>
      <c r="AN287" s="16">
        <v>0.0</v>
      </c>
      <c r="AO287" s="18"/>
      <c r="AP287" s="18"/>
      <c r="AQ287" s="18"/>
      <c r="AR287" s="18"/>
      <c r="AS287" s="11" t="str">
        <f>VLOOKUP(C287,'mayo-26'!B:AS,44,0)</f>
        <v/>
      </c>
      <c r="AT287" s="12" t="str">
        <f>VLOOKUP(C287,'mayo-26'!B:AT,45,0)</f>
        <v>VERIFICADOR</v>
      </c>
      <c r="AU287" s="16"/>
      <c r="AV287" s="16"/>
      <c r="AW287" s="16"/>
    </row>
    <row r="288" ht="14.25" customHeight="1">
      <c r="A288" s="15" t="s">
        <v>641</v>
      </c>
      <c r="B288" s="16">
        <v>595129.0</v>
      </c>
      <c r="C288" s="16">
        <v>498510.0</v>
      </c>
      <c r="D288" s="16">
        <v>551615.0</v>
      </c>
      <c r="E288" s="18"/>
      <c r="F288" s="18"/>
      <c r="G288" s="16">
        <v>1254987.0</v>
      </c>
      <c r="H288" s="15" t="s">
        <v>642</v>
      </c>
      <c r="I288" s="1" t="str">
        <f>VLOOKUP(C288,'mayo-26'!B:H,7,0)</f>
        <v>CLL 14AN 4A-81 TORRE 1 APTO 103</v>
      </c>
      <c r="J288" s="1" t="s">
        <v>217</v>
      </c>
      <c r="K288" s="10" t="str">
        <f>VLOOKUP(C288,'mayo-26'!B:J,9,0)</f>
        <v>CR PORTACHUELO</v>
      </c>
      <c r="L288" s="1" t="str">
        <f>VLOOKUP(C288,'mayo-26'!B:K,10,0)</f>
        <v>CR PORTACHUELO</v>
      </c>
      <c r="M288" s="15" t="s">
        <v>52</v>
      </c>
      <c r="N288" s="15" t="s">
        <v>89</v>
      </c>
      <c r="O288" s="15" t="s">
        <v>130</v>
      </c>
      <c r="P288" s="15" t="s">
        <v>126</v>
      </c>
      <c r="Q288" s="15" t="s">
        <v>218</v>
      </c>
      <c r="R288" s="15" t="s">
        <v>219</v>
      </c>
      <c r="S288" s="15" t="s">
        <v>133</v>
      </c>
      <c r="T288" s="15" t="s">
        <v>59</v>
      </c>
      <c r="U288" s="16">
        <v>2026.0</v>
      </c>
      <c r="V288" s="16">
        <v>6.0</v>
      </c>
      <c r="W288" s="16">
        <v>1.081875221E9</v>
      </c>
      <c r="X288" s="16">
        <v>1.081893693E9</v>
      </c>
      <c r="Y288" s="17">
        <v>46182.0</v>
      </c>
      <c r="Z288" s="17">
        <v>46207.0</v>
      </c>
      <c r="AA288" s="16">
        <v>53994.58</v>
      </c>
      <c r="AB288" s="16">
        <v>53994.58</v>
      </c>
      <c r="AC288" s="16">
        <v>-1650.7</v>
      </c>
      <c r="AD288" s="16">
        <v>0.0</v>
      </c>
      <c r="AE288" s="16">
        <v>4060.28</v>
      </c>
      <c r="AF288" s="16">
        <v>0.0</v>
      </c>
      <c r="AG288" s="16">
        <v>0.0</v>
      </c>
      <c r="AH288" s="16">
        <v>0.0</v>
      </c>
      <c r="AI288" s="16">
        <v>0.0</v>
      </c>
      <c r="AJ288" s="16">
        <v>53994.58</v>
      </c>
      <c r="AK288" s="16">
        <v>337498.7</v>
      </c>
      <c r="AL288" s="16">
        <v>6.0</v>
      </c>
      <c r="AM288" s="16">
        <v>242.77</v>
      </c>
      <c r="AN288" s="16">
        <v>0.0</v>
      </c>
      <c r="AO288" s="18"/>
      <c r="AP288" s="18"/>
      <c r="AQ288" s="18"/>
      <c r="AR288" s="18"/>
      <c r="AS288" s="11" t="str">
        <f>VLOOKUP(C288,'mayo-26'!B:AS,44,0)</f>
        <v/>
      </c>
      <c r="AT288" s="12" t="str">
        <f>VLOOKUP(C288,'mayo-26'!B:AT,45,0)</f>
        <v>VERIFICADOR</v>
      </c>
      <c r="AU288" s="16"/>
      <c r="AV288" s="16"/>
      <c r="AW288" s="16"/>
    </row>
    <row r="289" ht="14.25" customHeight="1">
      <c r="A289" s="15" t="s">
        <v>643</v>
      </c>
      <c r="B289" s="16">
        <v>595133.0</v>
      </c>
      <c r="C289" s="16">
        <v>498514.0</v>
      </c>
      <c r="D289" s="16">
        <v>551619.0</v>
      </c>
      <c r="E289" s="18"/>
      <c r="F289" s="18"/>
      <c r="G289" s="16">
        <v>1254991.0</v>
      </c>
      <c r="H289" s="15" t="s">
        <v>644</v>
      </c>
      <c r="I289" s="1" t="str">
        <f>VLOOKUP(C289,'mayo-26'!B:H,7,0)</f>
        <v>CLL 14AN 4A-81 TORRE 1 APTO 203</v>
      </c>
      <c r="J289" s="1" t="s">
        <v>217</v>
      </c>
      <c r="K289" s="10" t="str">
        <f>VLOOKUP(C289,'mayo-26'!B:J,9,0)</f>
        <v>CR PORTACHUELO</v>
      </c>
      <c r="L289" s="1" t="str">
        <f>VLOOKUP(C289,'mayo-26'!B:K,10,0)</f>
        <v>CR PORTACHUELO</v>
      </c>
      <c r="M289" s="15" t="s">
        <v>52</v>
      </c>
      <c r="N289" s="15" t="s">
        <v>89</v>
      </c>
      <c r="O289" s="15" t="s">
        <v>130</v>
      </c>
      <c r="P289" s="15" t="s">
        <v>126</v>
      </c>
      <c r="Q289" s="15" t="s">
        <v>218</v>
      </c>
      <c r="R289" s="15" t="s">
        <v>219</v>
      </c>
      <c r="S289" s="15" t="s">
        <v>133</v>
      </c>
      <c r="T289" s="15" t="s">
        <v>59</v>
      </c>
      <c r="U289" s="16">
        <v>2026.0</v>
      </c>
      <c r="V289" s="16">
        <v>6.0</v>
      </c>
      <c r="W289" s="16">
        <v>1.081875225E9</v>
      </c>
      <c r="X289" s="16">
        <v>1.081893697E9</v>
      </c>
      <c r="Y289" s="17">
        <v>46182.0</v>
      </c>
      <c r="Z289" s="17">
        <v>46207.0</v>
      </c>
      <c r="AA289" s="16">
        <v>50165.44</v>
      </c>
      <c r="AB289" s="16">
        <v>50165.44</v>
      </c>
      <c r="AC289" s="16">
        <v>-1650.7</v>
      </c>
      <c r="AD289" s="16">
        <v>0.0</v>
      </c>
      <c r="AE289" s="16">
        <v>231.14</v>
      </c>
      <c r="AF289" s="16">
        <v>0.0</v>
      </c>
      <c r="AG289" s="16">
        <v>0.0</v>
      </c>
      <c r="AH289" s="16">
        <v>0.0</v>
      </c>
      <c r="AI289" s="16">
        <v>0.0</v>
      </c>
      <c r="AJ289" s="16">
        <v>50165.44</v>
      </c>
      <c r="AK289" s="16">
        <v>101222.02</v>
      </c>
      <c r="AL289" s="16">
        <v>1.0</v>
      </c>
      <c r="AM289" s="16">
        <v>242.77</v>
      </c>
      <c r="AN289" s="16">
        <v>0.0</v>
      </c>
      <c r="AO289" s="18"/>
      <c r="AP289" s="18"/>
      <c r="AQ289" s="18"/>
      <c r="AR289" s="18"/>
      <c r="AS289" s="11" t="str">
        <f>VLOOKUP(C289,'mayo-26'!B:AS,44,0)</f>
        <v/>
      </c>
      <c r="AT289" s="12" t="str">
        <f>VLOOKUP(C289,'mayo-26'!B:AT,45,0)</f>
        <v>VERIFICADOR</v>
      </c>
      <c r="AU289" s="16"/>
      <c r="AV289" s="16"/>
      <c r="AW289" s="16"/>
    </row>
    <row r="290" ht="14.25" customHeight="1">
      <c r="A290" s="15" t="s">
        <v>645</v>
      </c>
      <c r="B290" s="16">
        <v>595137.0</v>
      </c>
      <c r="C290" s="16">
        <v>498518.0</v>
      </c>
      <c r="D290" s="16">
        <v>551623.0</v>
      </c>
      <c r="E290" s="18"/>
      <c r="F290" s="18"/>
      <c r="G290" s="16">
        <v>1254995.0</v>
      </c>
      <c r="H290" s="15" t="s">
        <v>646</v>
      </c>
      <c r="I290" s="1" t="str">
        <f>VLOOKUP(C290,'mayo-26'!B:H,7,0)</f>
        <v>CLL 14AN 4A-81 TORRE 1 APTO 303</v>
      </c>
      <c r="J290" s="1" t="s">
        <v>217</v>
      </c>
      <c r="K290" s="10" t="str">
        <f>VLOOKUP(C290,'mayo-26'!B:J,9,0)</f>
        <v>CR PORTACHUELO</v>
      </c>
      <c r="L290" s="1" t="str">
        <f>VLOOKUP(C290,'mayo-26'!B:K,10,0)</f>
        <v>CR PORTACHUELO</v>
      </c>
      <c r="M290" s="15" t="s">
        <v>52</v>
      </c>
      <c r="N290" s="15" t="s">
        <v>89</v>
      </c>
      <c r="O290" s="15" t="s">
        <v>130</v>
      </c>
      <c r="P290" s="15" t="s">
        <v>126</v>
      </c>
      <c r="Q290" s="15" t="s">
        <v>218</v>
      </c>
      <c r="R290" s="15" t="s">
        <v>219</v>
      </c>
      <c r="S290" s="15" t="s">
        <v>133</v>
      </c>
      <c r="T290" s="15" t="s">
        <v>59</v>
      </c>
      <c r="U290" s="16">
        <v>2026.0</v>
      </c>
      <c r="V290" s="16">
        <v>6.0</v>
      </c>
      <c r="W290" s="16">
        <v>1.081875229E9</v>
      </c>
      <c r="X290" s="16">
        <v>1.081893701E9</v>
      </c>
      <c r="Y290" s="17">
        <v>46182.0</v>
      </c>
      <c r="Z290" s="17">
        <v>46207.0</v>
      </c>
      <c r="AA290" s="16">
        <v>50495.64</v>
      </c>
      <c r="AB290" s="16">
        <v>50495.64</v>
      </c>
      <c r="AC290" s="16">
        <v>-1650.7</v>
      </c>
      <c r="AD290" s="16">
        <v>0.0</v>
      </c>
      <c r="AE290" s="16">
        <v>561.34</v>
      </c>
      <c r="AF290" s="16">
        <v>0.0</v>
      </c>
      <c r="AG290" s="16">
        <v>0.0</v>
      </c>
      <c r="AH290" s="16">
        <v>0.0</v>
      </c>
      <c r="AI290" s="16">
        <v>0.0</v>
      </c>
      <c r="AJ290" s="16">
        <v>50495.64</v>
      </c>
      <c r="AK290" s="16">
        <v>150960.53</v>
      </c>
      <c r="AL290" s="16">
        <v>2.0</v>
      </c>
      <c r="AM290" s="16">
        <v>242.77</v>
      </c>
      <c r="AN290" s="16">
        <v>0.0</v>
      </c>
      <c r="AO290" s="18"/>
      <c r="AP290" s="18"/>
      <c r="AQ290" s="18"/>
      <c r="AR290" s="18"/>
      <c r="AS290" s="11" t="str">
        <f>VLOOKUP(C290,'mayo-26'!B:AS,44,0)</f>
        <v/>
      </c>
      <c r="AT290" s="12" t="str">
        <f>VLOOKUP(C290,'mayo-26'!B:AT,45,0)</f>
        <v>VERIFICADOR</v>
      </c>
      <c r="AU290" s="16"/>
      <c r="AV290" s="16"/>
      <c r="AW290" s="16"/>
    </row>
    <row r="291" ht="14.25" customHeight="1">
      <c r="A291" s="15" t="s">
        <v>647</v>
      </c>
      <c r="B291" s="16">
        <v>595141.0</v>
      </c>
      <c r="C291" s="16">
        <v>498522.0</v>
      </c>
      <c r="D291" s="16">
        <v>551627.0</v>
      </c>
      <c r="E291" s="18"/>
      <c r="F291" s="18"/>
      <c r="G291" s="16">
        <v>1254999.0</v>
      </c>
      <c r="H291" s="15" t="s">
        <v>648</v>
      </c>
      <c r="I291" s="1" t="str">
        <f>VLOOKUP(C291,'mayo-26'!B:H,7,0)</f>
        <v>CLL 14AN 4A-81 TORRE 1 APTO 403</v>
      </c>
      <c r="J291" s="1" t="s">
        <v>217</v>
      </c>
      <c r="K291" s="10" t="str">
        <f>VLOOKUP(C291,'mayo-26'!B:J,9,0)</f>
        <v>CR PORTACHUELO</v>
      </c>
      <c r="L291" s="1" t="str">
        <f>VLOOKUP(C291,'mayo-26'!B:K,10,0)</f>
        <v>CR PORTACHUELO</v>
      </c>
      <c r="M291" s="15" t="s">
        <v>52</v>
      </c>
      <c r="N291" s="15" t="s">
        <v>89</v>
      </c>
      <c r="O291" s="15" t="s">
        <v>130</v>
      </c>
      <c r="P291" s="15" t="s">
        <v>126</v>
      </c>
      <c r="Q291" s="15" t="s">
        <v>218</v>
      </c>
      <c r="R291" s="15" t="s">
        <v>219</v>
      </c>
      <c r="S291" s="15" t="s">
        <v>133</v>
      </c>
      <c r="T291" s="15" t="s">
        <v>59</v>
      </c>
      <c r="U291" s="16">
        <v>2026.0</v>
      </c>
      <c r="V291" s="16">
        <v>6.0</v>
      </c>
      <c r="W291" s="16">
        <v>1.081875233E9</v>
      </c>
      <c r="X291" s="16">
        <v>1.081893705E9</v>
      </c>
      <c r="Y291" s="17">
        <v>46182.0</v>
      </c>
      <c r="Z291" s="17">
        <v>46207.0</v>
      </c>
      <c r="AA291" s="16">
        <v>49934.3</v>
      </c>
      <c r="AB291" s="16">
        <v>49934.3</v>
      </c>
      <c r="AC291" s="16">
        <v>-1650.7</v>
      </c>
      <c r="AD291" s="16">
        <v>0.0</v>
      </c>
      <c r="AE291" s="16">
        <v>0.0</v>
      </c>
      <c r="AF291" s="16">
        <v>0.0</v>
      </c>
      <c r="AG291" s="16">
        <v>0.0</v>
      </c>
      <c r="AH291" s="16">
        <v>0.0</v>
      </c>
      <c r="AI291" s="16">
        <v>0.0</v>
      </c>
      <c r="AJ291" s="16">
        <v>49934.3</v>
      </c>
      <c r="AK291" s="16">
        <v>49935.19</v>
      </c>
      <c r="AL291" s="16">
        <v>1.0</v>
      </c>
      <c r="AM291" s="16">
        <v>242.77</v>
      </c>
      <c r="AN291" s="16">
        <v>0.0</v>
      </c>
      <c r="AO291" s="18"/>
      <c r="AP291" s="18"/>
      <c r="AQ291" s="18"/>
      <c r="AR291" s="18"/>
      <c r="AS291" s="11" t="str">
        <f>VLOOKUP(C291,'mayo-26'!B:AS,44,0)</f>
        <v/>
      </c>
      <c r="AT291" s="12" t="str">
        <f>VLOOKUP(C291,'mayo-26'!B:AT,45,0)</f>
        <v>VERIFICADOR</v>
      </c>
      <c r="AU291" s="16"/>
      <c r="AV291" s="16"/>
      <c r="AW291" s="16"/>
    </row>
    <row r="292" ht="14.25" customHeight="1">
      <c r="A292" s="15" t="s">
        <v>649</v>
      </c>
      <c r="B292" s="16">
        <v>595145.0</v>
      </c>
      <c r="C292" s="16">
        <v>498526.0</v>
      </c>
      <c r="D292" s="16">
        <v>551631.0</v>
      </c>
      <c r="E292" s="18"/>
      <c r="F292" s="18"/>
      <c r="G292" s="16">
        <v>1255003.0</v>
      </c>
      <c r="H292" s="15" t="s">
        <v>650</v>
      </c>
      <c r="I292" s="1" t="str">
        <f>VLOOKUP(C292,'mayo-26'!B:H,7,0)</f>
        <v>CLL 14AN 4A-81 TORRE 2 APTO 103</v>
      </c>
      <c r="J292" s="1" t="s">
        <v>217</v>
      </c>
      <c r="K292" s="10" t="str">
        <f>VLOOKUP(C292,'mayo-26'!B:J,9,0)</f>
        <v>CR PORTACHUELO</v>
      </c>
      <c r="L292" s="1" t="str">
        <f>VLOOKUP(C292,'mayo-26'!B:K,10,0)</f>
        <v>CR PORTACHUELO</v>
      </c>
      <c r="M292" s="15" t="s">
        <v>52</v>
      </c>
      <c r="N292" s="15" t="s">
        <v>89</v>
      </c>
      <c r="O292" s="15" t="s">
        <v>130</v>
      </c>
      <c r="P292" s="15" t="s">
        <v>126</v>
      </c>
      <c r="Q292" s="15" t="s">
        <v>218</v>
      </c>
      <c r="R292" s="15" t="s">
        <v>219</v>
      </c>
      <c r="S292" s="15" t="s">
        <v>133</v>
      </c>
      <c r="T292" s="15" t="s">
        <v>163</v>
      </c>
      <c r="U292" s="16">
        <v>2026.0</v>
      </c>
      <c r="V292" s="16">
        <v>6.0</v>
      </c>
      <c r="W292" s="16">
        <v>1.081875237E9</v>
      </c>
      <c r="X292" s="16">
        <v>1.081893709E9</v>
      </c>
      <c r="Y292" s="17">
        <v>46182.0</v>
      </c>
      <c r="Z292" s="17">
        <v>46207.0</v>
      </c>
      <c r="AA292" s="16">
        <v>36040.59</v>
      </c>
      <c r="AB292" s="16">
        <v>36040.59</v>
      </c>
      <c r="AC292" s="16">
        <v>-1191.41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6">
        <v>0.0</v>
      </c>
      <c r="AJ292" s="16">
        <v>36040.59</v>
      </c>
      <c r="AK292" s="16">
        <v>36040.59</v>
      </c>
      <c r="AL292" s="16">
        <v>0.0</v>
      </c>
      <c r="AM292" s="16">
        <v>242.77</v>
      </c>
      <c r="AN292" s="16">
        <v>0.0</v>
      </c>
      <c r="AO292" s="18"/>
      <c r="AP292" s="18"/>
      <c r="AQ292" s="18"/>
      <c r="AR292" s="18"/>
      <c r="AS292" s="11" t="str">
        <f>VLOOKUP(C292,'mayo-26'!B:AS,44,0)</f>
        <v/>
      </c>
      <c r="AT292" s="12" t="str">
        <f>VLOOKUP(C292,'mayo-26'!B:AT,45,0)</f>
        <v>VERIFICADOR</v>
      </c>
      <c r="AU292" s="16"/>
      <c r="AV292" s="16"/>
      <c r="AW292" s="16"/>
    </row>
    <row r="293" ht="14.25" customHeight="1">
      <c r="A293" s="15" t="s">
        <v>651</v>
      </c>
      <c r="B293" s="16">
        <v>595149.0</v>
      </c>
      <c r="C293" s="16">
        <v>498530.0</v>
      </c>
      <c r="D293" s="16">
        <v>551635.0</v>
      </c>
      <c r="E293" s="18"/>
      <c r="F293" s="18"/>
      <c r="G293" s="16">
        <v>1255007.0</v>
      </c>
      <c r="H293" s="15" t="s">
        <v>652</v>
      </c>
      <c r="I293" s="1" t="str">
        <f>VLOOKUP(C293,'mayo-26'!B:H,7,0)</f>
        <v>CLL 14AN 4A-81 TORRE 2 APTO 203</v>
      </c>
      <c r="J293" s="1" t="s">
        <v>217</v>
      </c>
      <c r="K293" s="10" t="str">
        <f>VLOOKUP(C293,'mayo-26'!B:J,9,0)</f>
        <v>CR PORTACHUELO</v>
      </c>
      <c r="L293" s="1" t="str">
        <f>VLOOKUP(C293,'mayo-26'!B:K,10,0)</f>
        <v>CR PORTACHUELO</v>
      </c>
      <c r="M293" s="15" t="s">
        <v>52</v>
      </c>
      <c r="N293" s="15" t="s">
        <v>89</v>
      </c>
      <c r="O293" s="15" t="s">
        <v>130</v>
      </c>
      <c r="P293" s="15" t="s">
        <v>126</v>
      </c>
      <c r="Q293" s="15" t="s">
        <v>218</v>
      </c>
      <c r="R293" s="15" t="s">
        <v>219</v>
      </c>
      <c r="S293" s="15" t="s">
        <v>133</v>
      </c>
      <c r="T293" s="15" t="s">
        <v>59</v>
      </c>
      <c r="U293" s="16">
        <v>2026.0</v>
      </c>
      <c r="V293" s="16">
        <v>6.0</v>
      </c>
      <c r="W293" s="16">
        <v>1.081875241E9</v>
      </c>
      <c r="X293" s="16">
        <v>1.081893713E9</v>
      </c>
      <c r="Y293" s="17">
        <v>46182.0</v>
      </c>
      <c r="Z293" s="17">
        <v>46207.0</v>
      </c>
      <c r="AA293" s="16">
        <v>49967.32</v>
      </c>
      <c r="AB293" s="16">
        <v>49967.32</v>
      </c>
      <c r="AC293" s="16">
        <v>-1650.7</v>
      </c>
      <c r="AD293" s="16">
        <v>0.0</v>
      </c>
      <c r="AE293" s="16">
        <v>33.02</v>
      </c>
      <c r="AF293" s="16">
        <v>0.0</v>
      </c>
      <c r="AG293" s="16">
        <v>0.0</v>
      </c>
      <c r="AH293" s="16">
        <v>0.0</v>
      </c>
      <c r="AI293" s="16">
        <v>0.0</v>
      </c>
      <c r="AJ293" s="16">
        <v>49967.32</v>
      </c>
      <c r="AK293" s="16">
        <v>49967.32</v>
      </c>
      <c r="AL293" s="16">
        <v>0.0</v>
      </c>
      <c r="AM293" s="16">
        <v>242.77</v>
      </c>
      <c r="AN293" s="16">
        <v>0.0</v>
      </c>
      <c r="AO293" s="18"/>
      <c r="AP293" s="18"/>
      <c r="AQ293" s="18"/>
      <c r="AR293" s="18"/>
      <c r="AS293" s="11" t="str">
        <f>VLOOKUP(C293,'mayo-26'!B:AS,44,0)</f>
        <v/>
      </c>
      <c r="AT293" s="12" t="str">
        <f>VLOOKUP(C293,'mayo-26'!B:AT,45,0)</f>
        <v>VERIFICADOR</v>
      </c>
      <c r="AU293" s="16"/>
      <c r="AV293" s="16"/>
      <c r="AW293" s="16"/>
    </row>
    <row r="294" ht="14.25" customHeight="1">
      <c r="A294" s="15" t="s">
        <v>653</v>
      </c>
      <c r="B294" s="16">
        <v>595153.0</v>
      </c>
      <c r="C294" s="16">
        <v>498534.0</v>
      </c>
      <c r="D294" s="16">
        <v>551639.0</v>
      </c>
      <c r="E294" s="18"/>
      <c r="F294" s="18"/>
      <c r="G294" s="16">
        <v>1255011.0</v>
      </c>
      <c r="H294" s="15" t="s">
        <v>654</v>
      </c>
      <c r="I294" s="1" t="str">
        <f>VLOOKUP(C294,'mayo-26'!B:H,7,0)</f>
        <v>CLL 14AN 4A-81 TORRE 2 APTO 303</v>
      </c>
      <c r="J294" s="1" t="s">
        <v>217</v>
      </c>
      <c r="K294" s="10" t="str">
        <f>VLOOKUP(C294,'mayo-26'!B:J,9,0)</f>
        <v>CR PORTACHUELO</v>
      </c>
      <c r="L294" s="1" t="str">
        <f>VLOOKUP(C294,'mayo-26'!B:K,10,0)</f>
        <v>CR PORTACHUELO</v>
      </c>
      <c r="M294" s="15" t="s">
        <v>52</v>
      </c>
      <c r="N294" s="15" t="s">
        <v>89</v>
      </c>
      <c r="O294" s="15" t="s">
        <v>130</v>
      </c>
      <c r="P294" s="15" t="s">
        <v>126</v>
      </c>
      <c r="Q294" s="15" t="s">
        <v>218</v>
      </c>
      <c r="R294" s="15" t="s">
        <v>219</v>
      </c>
      <c r="S294" s="15" t="s">
        <v>133</v>
      </c>
      <c r="T294" s="15" t="s">
        <v>163</v>
      </c>
      <c r="U294" s="16">
        <v>2026.0</v>
      </c>
      <c r="V294" s="16">
        <v>6.0</v>
      </c>
      <c r="W294" s="16">
        <v>1.081875245E9</v>
      </c>
      <c r="X294" s="16">
        <v>1.081893717E9</v>
      </c>
      <c r="Y294" s="17">
        <v>46182.0</v>
      </c>
      <c r="Z294" s="17">
        <v>46207.0</v>
      </c>
      <c r="AA294" s="16">
        <v>40100.87</v>
      </c>
      <c r="AB294" s="16">
        <v>40100.87</v>
      </c>
      <c r="AC294" s="16">
        <v>-1191.41</v>
      </c>
      <c r="AD294" s="16">
        <v>0.0</v>
      </c>
      <c r="AE294" s="16">
        <v>4060.28</v>
      </c>
      <c r="AF294" s="16">
        <v>0.0</v>
      </c>
      <c r="AG294" s="16">
        <v>0.0</v>
      </c>
      <c r="AH294" s="16">
        <v>0.0</v>
      </c>
      <c r="AI294" s="16">
        <v>0.0</v>
      </c>
      <c r="AJ294" s="16">
        <v>40100.87</v>
      </c>
      <c r="AK294" s="16">
        <v>309708.37</v>
      </c>
      <c r="AL294" s="16">
        <v>6.0</v>
      </c>
      <c r="AM294" s="16">
        <v>242.77</v>
      </c>
      <c r="AN294" s="16">
        <v>0.0</v>
      </c>
      <c r="AO294" s="18"/>
      <c r="AP294" s="18"/>
      <c r="AQ294" s="18"/>
      <c r="AR294" s="18"/>
      <c r="AS294" s="11" t="str">
        <f>VLOOKUP(C294,'mayo-26'!B:AS,44,0)</f>
        <v/>
      </c>
      <c r="AT294" s="12" t="str">
        <f>VLOOKUP(C294,'mayo-26'!B:AT,45,0)</f>
        <v>VERIFICADOR</v>
      </c>
      <c r="AU294" s="16"/>
      <c r="AV294" s="16"/>
      <c r="AW294" s="16"/>
    </row>
    <row r="295" ht="14.25" customHeight="1">
      <c r="A295" s="15" t="s">
        <v>655</v>
      </c>
      <c r="B295" s="16">
        <v>595157.0</v>
      </c>
      <c r="C295" s="16">
        <v>498538.0</v>
      </c>
      <c r="D295" s="16">
        <v>551643.0</v>
      </c>
      <c r="E295" s="18"/>
      <c r="F295" s="18"/>
      <c r="G295" s="16">
        <v>1255015.0</v>
      </c>
      <c r="H295" s="15" t="s">
        <v>656</v>
      </c>
      <c r="I295" s="1" t="str">
        <f>VLOOKUP(C295,'mayo-26'!B:H,7,0)</f>
        <v>CLL 14AN 4A-81 TORRE 2 APTO 403</v>
      </c>
      <c r="J295" s="1" t="s">
        <v>217</v>
      </c>
      <c r="K295" s="10" t="str">
        <f>VLOOKUP(C295,'mayo-26'!B:J,9,0)</f>
        <v>CR PORTACHUELO</v>
      </c>
      <c r="L295" s="1" t="str">
        <f>VLOOKUP(C295,'mayo-26'!B:K,10,0)</f>
        <v>CR PORTACHUELO</v>
      </c>
      <c r="M295" s="15" t="s">
        <v>52</v>
      </c>
      <c r="N295" s="15" t="s">
        <v>89</v>
      </c>
      <c r="O295" s="15" t="s">
        <v>130</v>
      </c>
      <c r="P295" s="15" t="s">
        <v>126</v>
      </c>
      <c r="Q295" s="15" t="s">
        <v>218</v>
      </c>
      <c r="R295" s="15" t="s">
        <v>219</v>
      </c>
      <c r="S295" s="15" t="s">
        <v>133</v>
      </c>
      <c r="T295" s="15" t="s">
        <v>59</v>
      </c>
      <c r="U295" s="16">
        <v>2026.0</v>
      </c>
      <c r="V295" s="16">
        <v>6.0</v>
      </c>
      <c r="W295" s="16">
        <v>1.081875249E9</v>
      </c>
      <c r="X295" s="16">
        <v>1.081893721E9</v>
      </c>
      <c r="Y295" s="17">
        <v>46182.0</v>
      </c>
      <c r="Z295" s="17">
        <v>46207.0</v>
      </c>
      <c r="AA295" s="16">
        <v>49934.3</v>
      </c>
      <c r="AB295" s="16">
        <v>49934.3</v>
      </c>
      <c r="AC295" s="16">
        <v>-1650.7</v>
      </c>
      <c r="AD295" s="16">
        <v>0.0</v>
      </c>
      <c r="AE295" s="16">
        <v>0.0</v>
      </c>
      <c r="AF295" s="16">
        <v>0.0</v>
      </c>
      <c r="AG295" s="16">
        <v>0.0</v>
      </c>
      <c r="AH295" s="16">
        <v>0.0</v>
      </c>
      <c r="AI295" s="16">
        <v>0.0</v>
      </c>
      <c r="AJ295" s="16">
        <v>49934.3</v>
      </c>
      <c r="AK295" s="16">
        <v>49934.3</v>
      </c>
      <c r="AL295" s="16">
        <v>0.0</v>
      </c>
      <c r="AM295" s="16">
        <v>242.77</v>
      </c>
      <c r="AN295" s="16">
        <v>0.0</v>
      </c>
      <c r="AO295" s="18"/>
      <c r="AP295" s="18"/>
      <c r="AQ295" s="18"/>
      <c r="AR295" s="18"/>
      <c r="AS295" s="11" t="str">
        <f>VLOOKUP(C295,'mayo-26'!B:AS,44,0)</f>
        <v/>
      </c>
      <c r="AT295" s="12" t="str">
        <f>VLOOKUP(C295,'mayo-26'!B:AT,45,0)</f>
        <v>VERIFICADOR</v>
      </c>
      <c r="AU295" s="16"/>
      <c r="AV295" s="16"/>
      <c r="AW295" s="16"/>
    </row>
    <row r="296" ht="14.25" customHeight="1">
      <c r="A296" s="15" t="s">
        <v>657</v>
      </c>
      <c r="B296" s="16">
        <v>595161.0</v>
      </c>
      <c r="C296" s="16">
        <v>498542.0</v>
      </c>
      <c r="D296" s="16">
        <v>551647.0</v>
      </c>
      <c r="E296" s="18"/>
      <c r="F296" s="18"/>
      <c r="G296" s="16">
        <v>1255019.0</v>
      </c>
      <c r="H296" s="15" t="s">
        <v>658</v>
      </c>
      <c r="I296" s="1" t="str">
        <f>VLOOKUP(C296,'mayo-26'!B:H,7,0)</f>
        <v>CLL 14AN 4A-81 TORRE 3 APTO 103</v>
      </c>
      <c r="J296" s="1" t="s">
        <v>217</v>
      </c>
      <c r="K296" s="10" t="str">
        <f>VLOOKUP(C296,'mayo-26'!B:J,9,0)</f>
        <v>CR PORTACHUELO</v>
      </c>
      <c r="L296" s="1" t="str">
        <f>VLOOKUP(C296,'mayo-26'!B:K,10,0)</f>
        <v>CR PORTACHUELO</v>
      </c>
      <c r="M296" s="15" t="s">
        <v>52</v>
      </c>
      <c r="N296" s="15" t="s">
        <v>89</v>
      </c>
      <c r="O296" s="15" t="s">
        <v>130</v>
      </c>
      <c r="P296" s="15" t="s">
        <v>126</v>
      </c>
      <c r="Q296" s="15" t="s">
        <v>218</v>
      </c>
      <c r="R296" s="15" t="s">
        <v>219</v>
      </c>
      <c r="S296" s="15" t="s">
        <v>133</v>
      </c>
      <c r="T296" s="15" t="s">
        <v>59</v>
      </c>
      <c r="U296" s="16">
        <v>2026.0</v>
      </c>
      <c r="V296" s="16">
        <v>6.0</v>
      </c>
      <c r="W296" s="16">
        <v>1.081875252E9</v>
      </c>
      <c r="X296" s="16">
        <v>1.081893724E9</v>
      </c>
      <c r="Y296" s="17">
        <v>46182.0</v>
      </c>
      <c r="Z296" s="17">
        <v>46207.0</v>
      </c>
      <c r="AA296" s="16">
        <v>53994.58</v>
      </c>
      <c r="AB296" s="16">
        <v>53994.58</v>
      </c>
      <c r="AC296" s="16">
        <v>-1650.7</v>
      </c>
      <c r="AD296" s="16">
        <v>0.0</v>
      </c>
      <c r="AE296" s="16">
        <v>4060.28</v>
      </c>
      <c r="AF296" s="16">
        <v>0.0</v>
      </c>
      <c r="AG296" s="16">
        <v>0.0</v>
      </c>
      <c r="AH296" s="16">
        <v>0.0</v>
      </c>
      <c r="AI296" s="16">
        <v>0.0</v>
      </c>
      <c r="AJ296" s="16">
        <v>53994.58</v>
      </c>
      <c r="AK296" s="16">
        <v>337498.7</v>
      </c>
      <c r="AL296" s="16">
        <v>6.0</v>
      </c>
      <c r="AM296" s="16">
        <v>242.77</v>
      </c>
      <c r="AN296" s="16">
        <v>0.0</v>
      </c>
      <c r="AO296" s="18"/>
      <c r="AP296" s="18"/>
      <c r="AQ296" s="18"/>
      <c r="AR296" s="18"/>
      <c r="AS296" s="11" t="str">
        <f>VLOOKUP(C296,'mayo-26'!B:AS,44,0)</f>
        <v/>
      </c>
      <c r="AT296" s="12" t="str">
        <f>VLOOKUP(C296,'mayo-26'!B:AT,45,0)</f>
        <v>VERIFICADOR</v>
      </c>
      <c r="AU296" s="16"/>
      <c r="AV296" s="16"/>
      <c r="AW296" s="16"/>
    </row>
    <row r="297" ht="14.25" customHeight="1">
      <c r="A297" s="15" t="s">
        <v>659</v>
      </c>
      <c r="B297" s="16">
        <v>595165.0</v>
      </c>
      <c r="C297" s="16">
        <v>498546.0</v>
      </c>
      <c r="D297" s="16">
        <v>551651.0</v>
      </c>
      <c r="E297" s="18"/>
      <c r="F297" s="18"/>
      <c r="G297" s="16">
        <v>1255023.0</v>
      </c>
      <c r="H297" s="15" t="s">
        <v>660</v>
      </c>
      <c r="I297" s="1" t="str">
        <f>VLOOKUP(C297,'mayo-26'!B:H,7,0)</f>
        <v>CLL 14AN 4A-81 TORRE 3 APTO 203</v>
      </c>
      <c r="J297" s="1" t="s">
        <v>217</v>
      </c>
      <c r="K297" s="10" t="str">
        <f>VLOOKUP(C297,'mayo-26'!B:J,9,0)</f>
        <v>CR PORTACHUELO</v>
      </c>
      <c r="L297" s="1" t="str">
        <f>VLOOKUP(C297,'mayo-26'!B:K,10,0)</f>
        <v>CR PORTACHUELO</v>
      </c>
      <c r="M297" s="15" t="s">
        <v>52</v>
      </c>
      <c r="N297" s="15" t="s">
        <v>89</v>
      </c>
      <c r="O297" s="15" t="s">
        <v>130</v>
      </c>
      <c r="P297" s="15" t="s">
        <v>126</v>
      </c>
      <c r="Q297" s="15" t="s">
        <v>218</v>
      </c>
      <c r="R297" s="15" t="s">
        <v>219</v>
      </c>
      <c r="S297" s="15" t="s">
        <v>133</v>
      </c>
      <c r="T297" s="15" t="s">
        <v>59</v>
      </c>
      <c r="U297" s="16">
        <v>2026.0</v>
      </c>
      <c r="V297" s="16">
        <v>6.0</v>
      </c>
      <c r="W297" s="16">
        <v>1.081875257E9</v>
      </c>
      <c r="X297" s="16">
        <v>1.081893729E9</v>
      </c>
      <c r="Y297" s="17">
        <v>46182.0</v>
      </c>
      <c r="Z297" s="17">
        <v>46207.0</v>
      </c>
      <c r="AA297" s="16">
        <v>49934.3</v>
      </c>
      <c r="AB297" s="16">
        <v>49934.3</v>
      </c>
      <c r="AC297" s="16">
        <v>-1650.7</v>
      </c>
      <c r="AD297" s="16">
        <v>0.0</v>
      </c>
      <c r="AE297" s="16">
        <v>0.0</v>
      </c>
      <c r="AF297" s="16">
        <v>0.0</v>
      </c>
      <c r="AG297" s="16">
        <v>0.0</v>
      </c>
      <c r="AH297" s="16">
        <v>0.0</v>
      </c>
      <c r="AI297" s="16">
        <v>0.0</v>
      </c>
      <c r="AJ297" s="16">
        <v>49934.3</v>
      </c>
      <c r="AK297" s="16">
        <v>49934.3</v>
      </c>
      <c r="AL297" s="16">
        <v>0.0</v>
      </c>
      <c r="AM297" s="16">
        <v>242.77</v>
      </c>
      <c r="AN297" s="16">
        <v>0.0</v>
      </c>
      <c r="AO297" s="18"/>
      <c r="AP297" s="18"/>
      <c r="AQ297" s="18"/>
      <c r="AR297" s="18"/>
      <c r="AS297" s="11" t="str">
        <f>VLOOKUP(C297,'mayo-26'!B:AS,44,0)</f>
        <v/>
      </c>
      <c r="AT297" s="12" t="str">
        <f>VLOOKUP(C297,'mayo-26'!B:AT,45,0)</f>
        <v>VERIFICADOR</v>
      </c>
      <c r="AU297" s="16"/>
      <c r="AV297" s="16"/>
      <c r="AW297" s="16"/>
    </row>
    <row r="298" ht="14.25" customHeight="1">
      <c r="A298" s="15" t="s">
        <v>661</v>
      </c>
      <c r="B298" s="16">
        <v>595169.0</v>
      </c>
      <c r="C298" s="16">
        <v>498550.0</v>
      </c>
      <c r="D298" s="16">
        <v>551655.0</v>
      </c>
      <c r="E298" s="18"/>
      <c r="F298" s="18"/>
      <c r="G298" s="16">
        <v>1255027.0</v>
      </c>
      <c r="H298" s="15" t="s">
        <v>662</v>
      </c>
      <c r="I298" s="1" t="str">
        <f>VLOOKUP(C298,'mayo-26'!B:H,7,0)</f>
        <v>CLL 14AN 4A-81 TORRE 3 APTO 303</v>
      </c>
      <c r="J298" s="1" t="s">
        <v>217</v>
      </c>
      <c r="K298" s="10" t="str">
        <f>VLOOKUP(C298,'mayo-26'!B:J,9,0)</f>
        <v>CR PORTACHUELO</v>
      </c>
      <c r="L298" s="1" t="str">
        <f>VLOOKUP(C298,'mayo-26'!B:K,10,0)</f>
        <v>CR PORTACHUELO</v>
      </c>
      <c r="M298" s="15" t="s">
        <v>52</v>
      </c>
      <c r="N298" s="15" t="s">
        <v>89</v>
      </c>
      <c r="O298" s="15" t="s">
        <v>130</v>
      </c>
      <c r="P298" s="15" t="s">
        <v>126</v>
      </c>
      <c r="Q298" s="15" t="s">
        <v>218</v>
      </c>
      <c r="R298" s="15" t="s">
        <v>219</v>
      </c>
      <c r="S298" s="15" t="s">
        <v>133</v>
      </c>
      <c r="T298" s="15" t="s">
        <v>59</v>
      </c>
      <c r="U298" s="16">
        <v>2026.0</v>
      </c>
      <c r="V298" s="16">
        <v>6.0</v>
      </c>
      <c r="W298" s="16">
        <v>1.08187526E9</v>
      </c>
      <c r="X298" s="16">
        <v>1.081893732E9</v>
      </c>
      <c r="Y298" s="17">
        <v>46182.0</v>
      </c>
      <c r="Z298" s="17">
        <v>46207.0</v>
      </c>
      <c r="AA298" s="16">
        <v>49934.3</v>
      </c>
      <c r="AB298" s="16">
        <v>49934.3</v>
      </c>
      <c r="AC298" s="16">
        <v>-1650.7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6">
        <v>0.0</v>
      </c>
      <c r="AJ298" s="16">
        <v>49934.3</v>
      </c>
      <c r="AK298" s="16">
        <v>49934.3</v>
      </c>
      <c r="AL298" s="16">
        <v>0.0</v>
      </c>
      <c r="AM298" s="16">
        <v>242.77</v>
      </c>
      <c r="AN298" s="16">
        <v>0.0</v>
      </c>
      <c r="AO298" s="18"/>
      <c r="AP298" s="18"/>
      <c r="AQ298" s="18"/>
      <c r="AR298" s="18"/>
      <c r="AS298" s="11" t="str">
        <f>VLOOKUP(C298,'mayo-26'!B:AS,44,0)</f>
        <v/>
      </c>
      <c r="AT298" s="12" t="str">
        <f>VLOOKUP(C298,'mayo-26'!B:AT,45,0)</f>
        <v>VERIFICADOR</v>
      </c>
      <c r="AU298" s="16"/>
      <c r="AV298" s="16"/>
      <c r="AW298" s="16"/>
    </row>
    <row r="299" ht="14.25" customHeight="1">
      <c r="A299" s="15" t="s">
        <v>663</v>
      </c>
      <c r="B299" s="16">
        <v>595173.0</v>
      </c>
      <c r="C299" s="16">
        <v>498554.0</v>
      </c>
      <c r="D299" s="16">
        <v>551659.0</v>
      </c>
      <c r="E299" s="18"/>
      <c r="F299" s="18"/>
      <c r="G299" s="16">
        <v>1255031.0</v>
      </c>
      <c r="H299" s="15" t="s">
        <v>664</v>
      </c>
      <c r="I299" s="1" t="str">
        <f>VLOOKUP(C299,'mayo-26'!B:H,7,0)</f>
        <v>CLL 14AN 4A-81 TORRE 3 APTO 403</v>
      </c>
      <c r="J299" s="1" t="s">
        <v>217</v>
      </c>
      <c r="K299" s="10" t="str">
        <f>VLOOKUP(C299,'mayo-26'!B:J,9,0)</f>
        <v>CR PORTACHUELO</v>
      </c>
      <c r="L299" s="1" t="str">
        <f>VLOOKUP(C299,'mayo-26'!B:K,10,0)</f>
        <v>CR PORTACHUELO</v>
      </c>
      <c r="M299" s="15" t="s">
        <v>52</v>
      </c>
      <c r="N299" s="15" t="s">
        <v>89</v>
      </c>
      <c r="O299" s="15" t="s">
        <v>130</v>
      </c>
      <c r="P299" s="15" t="s">
        <v>126</v>
      </c>
      <c r="Q299" s="15" t="s">
        <v>218</v>
      </c>
      <c r="R299" s="15" t="s">
        <v>219</v>
      </c>
      <c r="S299" s="15" t="s">
        <v>133</v>
      </c>
      <c r="T299" s="15" t="s">
        <v>59</v>
      </c>
      <c r="U299" s="16">
        <v>2026.0</v>
      </c>
      <c r="V299" s="16">
        <v>6.0</v>
      </c>
      <c r="W299" s="16">
        <v>1.081875264E9</v>
      </c>
      <c r="X299" s="16">
        <v>1.081893736E9</v>
      </c>
      <c r="Y299" s="17">
        <v>46182.0</v>
      </c>
      <c r="Z299" s="17">
        <v>46207.0</v>
      </c>
      <c r="AA299" s="16">
        <v>50495.64</v>
      </c>
      <c r="AB299" s="16">
        <v>50495.64</v>
      </c>
      <c r="AC299" s="16">
        <v>-1650.7</v>
      </c>
      <c r="AD299" s="16">
        <v>0.0</v>
      </c>
      <c r="AE299" s="16">
        <v>561.34</v>
      </c>
      <c r="AF299" s="16">
        <v>0.0</v>
      </c>
      <c r="AG299" s="16">
        <v>0.0</v>
      </c>
      <c r="AH299" s="16">
        <v>0.0</v>
      </c>
      <c r="AI299" s="16">
        <v>0.0</v>
      </c>
      <c r="AJ299" s="16">
        <v>50495.64</v>
      </c>
      <c r="AK299" s="16">
        <v>151081.16</v>
      </c>
      <c r="AL299" s="16">
        <v>2.0</v>
      </c>
      <c r="AM299" s="16">
        <v>242.77</v>
      </c>
      <c r="AN299" s="16">
        <v>0.0</v>
      </c>
      <c r="AO299" s="18"/>
      <c r="AP299" s="18"/>
      <c r="AQ299" s="18"/>
      <c r="AR299" s="18"/>
      <c r="AS299" s="11" t="str">
        <f>VLOOKUP(C299,'mayo-26'!B:AS,44,0)</f>
        <v/>
      </c>
      <c r="AT299" s="12" t="str">
        <f>VLOOKUP(C299,'mayo-26'!B:AT,45,0)</f>
        <v>VERIFICADOR</v>
      </c>
      <c r="AU299" s="16"/>
      <c r="AV299" s="16"/>
      <c r="AW299" s="16"/>
    </row>
    <row r="300" ht="14.25" customHeight="1">
      <c r="A300" s="15" t="s">
        <v>665</v>
      </c>
      <c r="B300" s="16">
        <v>595177.0</v>
      </c>
      <c r="C300" s="16">
        <v>498558.0</v>
      </c>
      <c r="D300" s="16">
        <v>551663.0</v>
      </c>
      <c r="E300" s="18"/>
      <c r="F300" s="18"/>
      <c r="G300" s="16">
        <v>1255035.0</v>
      </c>
      <c r="H300" s="15" t="s">
        <v>660</v>
      </c>
      <c r="I300" s="1" t="str">
        <f>VLOOKUP(C300,'mayo-26'!B:H,7,0)</f>
        <v>CLL 14AN 4A-81 TORRE 4 APTO 103</v>
      </c>
      <c r="J300" s="1" t="s">
        <v>217</v>
      </c>
      <c r="K300" s="10" t="str">
        <f>VLOOKUP(C300,'mayo-26'!B:J,9,0)</f>
        <v>CR PORTACHUELO</v>
      </c>
      <c r="L300" s="1" t="str">
        <f>VLOOKUP(C300,'mayo-26'!B:K,10,0)</f>
        <v>CR PORTACHUELO</v>
      </c>
      <c r="M300" s="15" t="s">
        <v>52</v>
      </c>
      <c r="N300" s="15" t="s">
        <v>89</v>
      </c>
      <c r="O300" s="15" t="s">
        <v>130</v>
      </c>
      <c r="P300" s="15" t="s">
        <v>126</v>
      </c>
      <c r="Q300" s="15" t="s">
        <v>218</v>
      </c>
      <c r="R300" s="15" t="s">
        <v>219</v>
      </c>
      <c r="S300" s="15" t="s">
        <v>133</v>
      </c>
      <c r="T300" s="15" t="s">
        <v>59</v>
      </c>
      <c r="U300" s="16">
        <v>2026.0</v>
      </c>
      <c r="V300" s="16">
        <v>6.0</v>
      </c>
      <c r="W300" s="16">
        <v>1.081875268E9</v>
      </c>
      <c r="X300" s="16">
        <v>1.08189374E9</v>
      </c>
      <c r="Y300" s="17">
        <v>46182.0</v>
      </c>
      <c r="Z300" s="17">
        <v>46207.0</v>
      </c>
      <c r="AA300" s="16">
        <v>49934.3</v>
      </c>
      <c r="AB300" s="16">
        <v>49934.3</v>
      </c>
      <c r="AC300" s="16">
        <v>-1650.7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6">
        <v>0.0</v>
      </c>
      <c r="AJ300" s="16">
        <v>49934.3</v>
      </c>
      <c r="AK300" s="16">
        <v>95310.84</v>
      </c>
      <c r="AL300" s="16">
        <v>1.0</v>
      </c>
      <c r="AM300" s="16">
        <v>242.77</v>
      </c>
      <c r="AN300" s="16">
        <v>0.0</v>
      </c>
      <c r="AO300" s="18"/>
      <c r="AP300" s="18"/>
      <c r="AQ300" s="18"/>
      <c r="AR300" s="18"/>
      <c r="AS300" s="11" t="str">
        <f>VLOOKUP(C300,'mayo-26'!B:AS,44,0)</f>
        <v/>
      </c>
      <c r="AT300" s="12" t="str">
        <f>VLOOKUP(C300,'mayo-26'!B:AT,45,0)</f>
        <v>VERIFICADOR</v>
      </c>
      <c r="AU300" s="16"/>
      <c r="AV300" s="16"/>
      <c r="AW300" s="16"/>
    </row>
    <row r="301" ht="14.25" customHeight="1">
      <c r="A301" s="15" t="s">
        <v>666</v>
      </c>
      <c r="B301" s="16">
        <v>595181.0</v>
      </c>
      <c r="C301" s="16">
        <v>498562.0</v>
      </c>
      <c r="D301" s="16">
        <v>551667.0</v>
      </c>
      <c r="E301" s="18"/>
      <c r="F301" s="18"/>
      <c r="G301" s="16">
        <v>1255039.0</v>
      </c>
      <c r="H301" s="15" t="s">
        <v>667</v>
      </c>
      <c r="I301" s="1" t="str">
        <f>VLOOKUP(C301,'mayo-26'!B:H,7,0)</f>
        <v>CLL 14AN 4A-81 TORRE 4 APTO 203</v>
      </c>
      <c r="J301" s="1" t="s">
        <v>217</v>
      </c>
      <c r="K301" s="10" t="str">
        <f>VLOOKUP(C301,'mayo-26'!B:J,9,0)</f>
        <v>CR PORTACHUELO</v>
      </c>
      <c r="L301" s="1" t="str">
        <f>VLOOKUP(C301,'mayo-26'!B:K,10,0)</f>
        <v>CR PORTACHUELO</v>
      </c>
      <c r="M301" s="15" t="s">
        <v>52</v>
      </c>
      <c r="N301" s="15" t="s">
        <v>89</v>
      </c>
      <c r="O301" s="15" t="s">
        <v>130</v>
      </c>
      <c r="P301" s="15" t="s">
        <v>126</v>
      </c>
      <c r="Q301" s="15" t="s">
        <v>218</v>
      </c>
      <c r="R301" s="15" t="s">
        <v>219</v>
      </c>
      <c r="S301" s="15" t="s">
        <v>133</v>
      </c>
      <c r="T301" s="15" t="s">
        <v>59</v>
      </c>
      <c r="U301" s="16">
        <v>2026.0</v>
      </c>
      <c r="V301" s="16">
        <v>6.0</v>
      </c>
      <c r="W301" s="16">
        <v>1.081875272E9</v>
      </c>
      <c r="X301" s="16">
        <v>1.081893744E9</v>
      </c>
      <c r="Y301" s="17">
        <v>46182.0</v>
      </c>
      <c r="Z301" s="17">
        <v>46207.0</v>
      </c>
      <c r="AA301" s="16">
        <v>53994.58</v>
      </c>
      <c r="AB301" s="16">
        <v>53994.58</v>
      </c>
      <c r="AC301" s="16">
        <v>-1650.7</v>
      </c>
      <c r="AD301" s="16">
        <v>0.0</v>
      </c>
      <c r="AE301" s="16">
        <v>4060.28</v>
      </c>
      <c r="AF301" s="16">
        <v>0.0</v>
      </c>
      <c r="AG301" s="16">
        <v>0.0</v>
      </c>
      <c r="AH301" s="16">
        <v>0.0</v>
      </c>
      <c r="AI301" s="16">
        <v>0.0</v>
      </c>
      <c r="AJ301" s="16">
        <v>53994.58</v>
      </c>
      <c r="AK301" s="16">
        <v>337498.7</v>
      </c>
      <c r="AL301" s="16">
        <v>6.0</v>
      </c>
      <c r="AM301" s="16">
        <v>242.77</v>
      </c>
      <c r="AN301" s="16">
        <v>0.0</v>
      </c>
      <c r="AO301" s="18"/>
      <c r="AP301" s="18"/>
      <c r="AQ301" s="18"/>
      <c r="AR301" s="18"/>
      <c r="AS301" s="11" t="str">
        <f>VLOOKUP(C301,'mayo-26'!B:AS,44,0)</f>
        <v/>
      </c>
      <c r="AT301" s="12" t="str">
        <f>VLOOKUP(C301,'mayo-26'!B:AT,45,0)</f>
        <v>VERIFICADOR</v>
      </c>
      <c r="AU301" s="16"/>
      <c r="AV301" s="16"/>
      <c r="AW301" s="16"/>
    </row>
    <row r="302" ht="14.25" customHeight="1">
      <c r="A302" s="15" t="s">
        <v>668</v>
      </c>
      <c r="B302" s="16">
        <v>595185.0</v>
      </c>
      <c r="C302" s="16">
        <v>498566.0</v>
      </c>
      <c r="D302" s="16">
        <v>551671.0</v>
      </c>
      <c r="E302" s="18"/>
      <c r="F302" s="18"/>
      <c r="G302" s="16">
        <v>1255043.0</v>
      </c>
      <c r="H302" s="15" t="s">
        <v>669</v>
      </c>
      <c r="I302" s="1" t="str">
        <f>VLOOKUP(C302,'mayo-26'!B:H,7,0)</f>
        <v>CLL 14AN 4A-81 TORRE 4 APTO 303</v>
      </c>
      <c r="J302" s="1" t="s">
        <v>217</v>
      </c>
      <c r="K302" s="10" t="str">
        <f>VLOOKUP(C302,'mayo-26'!B:J,9,0)</f>
        <v>CR PORTACHUELO</v>
      </c>
      <c r="L302" s="1" t="str">
        <f>VLOOKUP(C302,'mayo-26'!B:K,10,0)</f>
        <v>CR PORTACHUELO</v>
      </c>
      <c r="M302" s="15" t="s">
        <v>52</v>
      </c>
      <c r="N302" s="15" t="s">
        <v>89</v>
      </c>
      <c r="O302" s="15" t="s">
        <v>130</v>
      </c>
      <c r="P302" s="15" t="s">
        <v>126</v>
      </c>
      <c r="Q302" s="15" t="s">
        <v>218</v>
      </c>
      <c r="R302" s="15" t="s">
        <v>219</v>
      </c>
      <c r="S302" s="15" t="s">
        <v>133</v>
      </c>
      <c r="T302" s="15" t="s">
        <v>59</v>
      </c>
      <c r="U302" s="16">
        <v>2026.0</v>
      </c>
      <c r="V302" s="16">
        <v>6.0</v>
      </c>
      <c r="W302" s="16">
        <v>1.081875276E9</v>
      </c>
      <c r="X302" s="16">
        <v>1.081893748E9</v>
      </c>
      <c r="Y302" s="17">
        <v>46182.0</v>
      </c>
      <c r="Z302" s="17">
        <v>46207.0</v>
      </c>
      <c r="AA302" s="16">
        <v>51483.88</v>
      </c>
      <c r="AB302" s="16">
        <v>51483.88</v>
      </c>
      <c r="AC302" s="16">
        <v>-1650.7</v>
      </c>
      <c r="AD302" s="16">
        <v>0.0</v>
      </c>
      <c r="AE302" s="16">
        <v>1549.58</v>
      </c>
      <c r="AF302" s="16">
        <v>0.0</v>
      </c>
      <c r="AG302" s="16">
        <v>0.0</v>
      </c>
      <c r="AH302" s="16">
        <v>0.0</v>
      </c>
      <c r="AI302" s="16">
        <v>0.0</v>
      </c>
      <c r="AJ302" s="16">
        <v>51483.88</v>
      </c>
      <c r="AK302" s="16">
        <v>202691.94</v>
      </c>
      <c r="AL302" s="16">
        <v>3.0</v>
      </c>
      <c r="AM302" s="16">
        <v>242.77</v>
      </c>
      <c r="AN302" s="16">
        <v>0.0</v>
      </c>
      <c r="AO302" s="18"/>
      <c r="AP302" s="18"/>
      <c r="AQ302" s="18"/>
      <c r="AR302" s="18"/>
      <c r="AS302" s="11" t="str">
        <f>VLOOKUP(C302,'mayo-26'!B:AS,44,0)</f>
        <v/>
      </c>
      <c r="AT302" s="12" t="str">
        <f>VLOOKUP(C302,'mayo-26'!B:AT,45,0)</f>
        <v>VERIFICADOR</v>
      </c>
      <c r="AU302" s="16"/>
      <c r="AV302" s="16"/>
      <c r="AW302" s="16"/>
    </row>
    <row r="303" ht="14.25" customHeight="1">
      <c r="A303" s="15" t="s">
        <v>670</v>
      </c>
      <c r="B303" s="16">
        <v>595189.0</v>
      </c>
      <c r="C303" s="16">
        <v>498570.0</v>
      </c>
      <c r="D303" s="16">
        <v>551675.0</v>
      </c>
      <c r="E303" s="18"/>
      <c r="F303" s="18"/>
      <c r="G303" s="16">
        <v>1255047.0</v>
      </c>
      <c r="H303" s="15" t="s">
        <v>671</v>
      </c>
      <c r="I303" s="1" t="str">
        <f>VLOOKUP(C303,'mayo-26'!B:H,7,0)</f>
        <v>CLL 14AN 4A-81 TORRE 4 APTO 403</v>
      </c>
      <c r="J303" s="1" t="s">
        <v>217</v>
      </c>
      <c r="K303" s="10" t="str">
        <f>VLOOKUP(C303,'mayo-26'!B:J,9,0)</f>
        <v>CR PORTACHUELO</v>
      </c>
      <c r="L303" s="1" t="str">
        <f>VLOOKUP(C303,'mayo-26'!B:K,10,0)</f>
        <v>CR PORTACHUELO</v>
      </c>
      <c r="M303" s="15" t="s">
        <v>52</v>
      </c>
      <c r="N303" s="15" t="s">
        <v>89</v>
      </c>
      <c r="O303" s="15" t="s">
        <v>130</v>
      </c>
      <c r="P303" s="15" t="s">
        <v>126</v>
      </c>
      <c r="Q303" s="15" t="s">
        <v>218</v>
      </c>
      <c r="R303" s="15" t="s">
        <v>219</v>
      </c>
      <c r="S303" s="15" t="s">
        <v>133</v>
      </c>
      <c r="T303" s="15" t="s">
        <v>59</v>
      </c>
      <c r="U303" s="16">
        <v>2026.0</v>
      </c>
      <c r="V303" s="16">
        <v>6.0</v>
      </c>
      <c r="W303" s="16">
        <v>1.08187528E9</v>
      </c>
      <c r="X303" s="16">
        <v>1.081893752E9</v>
      </c>
      <c r="Y303" s="17">
        <v>46182.0</v>
      </c>
      <c r="Z303" s="17">
        <v>46207.0</v>
      </c>
      <c r="AA303" s="16">
        <v>50495.64</v>
      </c>
      <c r="AB303" s="16">
        <v>50495.64</v>
      </c>
      <c r="AC303" s="16">
        <v>-1650.7</v>
      </c>
      <c r="AD303" s="16">
        <v>0.0</v>
      </c>
      <c r="AE303" s="16">
        <v>561.34</v>
      </c>
      <c r="AF303" s="16">
        <v>0.0</v>
      </c>
      <c r="AG303" s="16">
        <v>0.0</v>
      </c>
      <c r="AH303" s="16">
        <v>0.0</v>
      </c>
      <c r="AI303" s="16">
        <v>0.0</v>
      </c>
      <c r="AJ303" s="16">
        <v>50495.64</v>
      </c>
      <c r="AK303" s="16">
        <v>151132.77</v>
      </c>
      <c r="AL303" s="16">
        <v>2.0</v>
      </c>
      <c r="AM303" s="16">
        <v>242.77</v>
      </c>
      <c r="AN303" s="16">
        <v>0.0</v>
      </c>
      <c r="AO303" s="18"/>
      <c r="AP303" s="18"/>
      <c r="AQ303" s="18"/>
      <c r="AR303" s="18"/>
      <c r="AS303" s="11" t="str">
        <f>VLOOKUP(C303,'mayo-26'!B:AS,44,0)</f>
        <v/>
      </c>
      <c r="AT303" s="12" t="str">
        <f>VLOOKUP(C303,'mayo-26'!B:AT,45,0)</f>
        <v>VERIFICADOR</v>
      </c>
      <c r="AU303" s="16"/>
      <c r="AV303" s="16"/>
      <c r="AW303" s="16"/>
    </row>
    <row r="304" ht="14.25" customHeight="1">
      <c r="A304" s="15" t="s">
        <v>672</v>
      </c>
      <c r="B304" s="16">
        <v>595193.0</v>
      </c>
      <c r="C304" s="16">
        <v>498574.0</v>
      </c>
      <c r="D304" s="16">
        <v>551679.0</v>
      </c>
      <c r="E304" s="18"/>
      <c r="F304" s="18"/>
      <c r="G304" s="16">
        <v>1255051.0</v>
      </c>
      <c r="H304" s="15" t="s">
        <v>673</v>
      </c>
      <c r="I304" s="1" t="str">
        <f>VLOOKUP(C304,'mayo-26'!B:H,7,0)</f>
        <v>CLL 14AN 4A-81 TORRE 5 APTO 103</v>
      </c>
      <c r="J304" s="1" t="s">
        <v>217</v>
      </c>
      <c r="K304" s="10" t="str">
        <f>VLOOKUP(C304,'mayo-26'!B:J,9,0)</f>
        <v>CR PORTACHUELO</v>
      </c>
      <c r="L304" s="1" t="str">
        <f>VLOOKUP(C304,'mayo-26'!B:K,10,0)</f>
        <v>CR PORTACHUELO</v>
      </c>
      <c r="M304" s="15" t="s">
        <v>52</v>
      </c>
      <c r="N304" s="15" t="s">
        <v>89</v>
      </c>
      <c r="O304" s="15" t="s">
        <v>130</v>
      </c>
      <c r="P304" s="15" t="s">
        <v>126</v>
      </c>
      <c r="Q304" s="15" t="s">
        <v>218</v>
      </c>
      <c r="R304" s="15" t="s">
        <v>219</v>
      </c>
      <c r="S304" s="15" t="s">
        <v>133</v>
      </c>
      <c r="T304" s="15" t="s">
        <v>59</v>
      </c>
      <c r="U304" s="16">
        <v>2026.0</v>
      </c>
      <c r="V304" s="16">
        <v>6.0</v>
      </c>
      <c r="W304" s="16">
        <v>1.081875283E9</v>
      </c>
      <c r="X304" s="16">
        <v>1.081893755E9</v>
      </c>
      <c r="Y304" s="17">
        <v>46182.0</v>
      </c>
      <c r="Z304" s="17">
        <v>46207.0</v>
      </c>
      <c r="AA304" s="16">
        <v>49934.3</v>
      </c>
      <c r="AB304" s="16">
        <v>49934.3</v>
      </c>
      <c r="AC304" s="16">
        <v>-1650.7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6">
        <v>0.0</v>
      </c>
      <c r="AJ304" s="16">
        <v>49934.3</v>
      </c>
      <c r="AK304" s="16">
        <v>100369.06</v>
      </c>
      <c r="AL304" s="16">
        <v>1.0</v>
      </c>
      <c r="AM304" s="16">
        <v>242.77</v>
      </c>
      <c r="AN304" s="16">
        <v>0.0</v>
      </c>
      <c r="AO304" s="18"/>
      <c r="AP304" s="18"/>
      <c r="AQ304" s="18"/>
      <c r="AR304" s="18"/>
      <c r="AS304" s="11" t="str">
        <f>VLOOKUP(C304,'mayo-26'!B:AS,44,0)</f>
        <v/>
      </c>
      <c r="AT304" s="12" t="str">
        <f>VLOOKUP(C304,'mayo-26'!B:AT,45,0)</f>
        <v>VERIFICADOR</v>
      </c>
      <c r="AU304" s="16"/>
      <c r="AV304" s="16"/>
      <c r="AW304" s="16"/>
    </row>
    <row r="305" ht="14.25" customHeight="1">
      <c r="A305" s="15" t="s">
        <v>674</v>
      </c>
      <c r="B305" s="16">
        <v>595197.0</v>
      </c>
      <c r="C305" s="16">
        <v>498578.0</v>
      </c>
      <c r="D305" s="16">
        <v>551683.0</v>
      </c>
      <c r="E305" s="18"/>
      <c r="F305" s="18"/>
      <c r="G305" s="16">
        <v>1255055.0</v>
      </c>
      <c r="H305" s="15" t="s">
        <v>675</v>
      </c>
      <c r="I305" s="1" t="str">
        <f>VLOOKUP(C305,'mayo-26'!B:H,7,0)</f>
        <v>CLL 14AN 4A-81 TORRE 5 APTO 203</v>
      </c>
      <c r="J305" s="1" t="s">
        <v>217</v>
      </c>
      <c r="K305" s="10" t="str">
        <f>VLOOKUP(C305,'mayo-26'!B:J,9,0)</f>
        <v>CR PORTACHUELO</v>
      </c>
      <c r="L305" s="1" t="str">
        <f>VLOOKUP(C305,'mayo-26'!B:K,10,0)</f>
        <v>CR PORTACHUELO</v>
      </c>
      <c r="M305" s="15" t="s">
        <v>52</v>
      </c>
      <c r="N305" s="15" t="s">
        <v>89</v>
      </c>
      <c r="O305" s="15" t="s">
        <v>130</v>
      </c>
      <c r="P305" s="15" t="s">
        <v>126</v>
      </c>
      <c r="Q305" s="15" t="s">
        <v>218</v>
      </c>
      <c r="R305" s="15" t="s">
        <v>219</v>
      </c>
      <c r="S305" s="15" t="s">
        <v>133</v>
      </c>
      <c r="T305" s="15" t="s">
        <v>59</v>
      </c>
      <c r="U305" s="16">
        <v>2026.0</v>
      </c>
      <c r="V305" s="16">
        <v>6.0</v>
      </c>
      <c r="W305" s="16">
        <v>1.081875287E9</v>
      </c>
      <c r="X305" s="16">
        <v>1.081893759E9</v>
      </c>
      <c r="Y305" s="17">
        <v>46182.0</v>
      </c>
      <c r="Z305" s="17">
        <v>46207.0</v>
      </c>
      <c r="AA305" s="16">
        <v>53994.58</v>
      </c>
      <c r="AB305" s="16">
        <v>53994.58</v>
      </c>
      <c r="AC305" s="16">
        <v>-1650.7</v>
      </c>
      <c r="AD305" s="16">
        <v>0.0</v>
      </c>
      <c r="AE305" s="16">
        <v>4060.28</v>
      </c>
      <c r="AF305" s="16">
        <v>0.0</v>
      </c>
      <c r="AG305" s="16">
        <v>0.0</v>
      </c>
      <c r="AH305" s="16">
        <v>0.0</v>
      </c>
      <c r="AI305" s="16">
        <v>0.0</v>
      </c>
      <c r="AJ305" s="16">
        <v>53994.58</v>
      </c>
      <c r="AK305" s="16">
        <v>337498.7</v>
      </c>
      <c r="AL305" s="16">
        <v>6.0</v>
      </c>
      <c r="AM305" s="16">
        <v>242.77</v>
      </c>
      <c r="AN305" s="16">
        <v>0.0</v>
      </c>
      <c r="AO305" s="18"/>
      <c r="AP305" s="18"/>
      <c r="AQ305" s="18"/>
      <c r="AR305" s="18"/>
      <c r="AS305" s="11" t="str">
        <f>VLOOKUP(C305,'mayo-26'!B:AS,44,0)</f>
        <v/>
      </c>
      <c r="AT305" s="12" t="str">
        <f>VLOOKUP(C305,'mayo-26'!B:AT,45,0)</f>
        <v>VERIFICADOR</v>
      </c>
      <c r="AU305" s="16"/>
      <c r="AV305" s="16"/>
      <c r="AW305" s="16"/>
    </row>
    <row r="306" ht="14.25" customHeight="1">
      <c r="A306" s="15" t="s">
        <v>676</v>
      </c>
      <c r="B306" s="16">
        <v>595201.0</v>
      </c>
      <c r="C306" s="16">
        <v>498582.0</v>
      </c>
      <c r="D306" s="16">
        <v>551687.0</v>
      </c>
      <c r="E306" s="18"/>
      <c r="F306" s="18"/>
      <c r="G306" s="16">
        <v>1255059.0</v>
      </c>
      <c r="H306" s="15" t="s">
        <v>677</v>
      </c>
      <c r="I306" s="1" t="str">
        <f>VLOOKUP(C306,'mayo-26'!B:H,7,0)</f>
        <v>CLL 14AN 4A-81 TORRE 5 APTO 303</v>
      </c>
      <c r="J306" s="1" t="s">
        <v>217</v>
      </c>
      <c r="K306" s="10" t="str">
        <f>VLOOKUP(C306,'mayo-26'!B:J,9,0)</f>
        <v>CR PORTACHUELO</v>
      </c>
      <c r="L306" s="1" t="str">
        <f>VLOOKUP(C306,'mayo-26'!B:K,10,0)</f>
        <v>CR PORTACHUELO</v>
      </c>
      <c r="M306" s="15" t="s">
        <v>52</v>
      </c>
      <c r="N306" s="15" t="s">
        <v>89</v>
      </c>
      <c r="O306" s="15" t="s">
        <v>130</v>
      </c>
      <c r="P306" s="15" t="s">
        <v>126</v>
      </c>
      <c r="Q306" s="15" t="s">
        <v>218</v>
      </c>
      <c r="R306" s="15" t="s">
        <v>219</v>
      </c>
      <c r="S306" s="15" t="s">
        <v>133</v>
      </c>
      <c r="T306" s="15" t="s">
        <v>59</v>
      </c>
      <c r="U306" s="16">
        <v>2026.0</v>
      </c>
      <c r="V306" s="16">
        <v>6.0</v>
      </c>
      <c r="W306" s="16">
        <v>1.081875291E9</v>
      </c>
      <c r="X306" s="16">
        <v>1.081893763E9</v>
      </c>
      <c r="Y306" s="17">
        <v>46182.0</v>
      </c>
      <c r="Z306" s="17">
        <v>46207.0</v>
      </c>
      <c r="AA306" s="16">
        <v>53994.58</v>
      </c>
      <c r="AB306" s="16">
        <v>53994.58</v>
      </c>
      <c r="AC306" s="16">
        <v>-1650.7</v>
      </c>
      <c r="AD306" s="16">
        <v>0.0</v>
      </c>
      <c r="AE306" s="16">
        <v>4060.28</v>
      </c>
      <c r="AF306" s="16">
        <v>0.0</v>
      </c>
      <c r="AG306" s="16">
        <v>0.0</v>
      </c>
      <c r="AH306" s="16">
        <v>0.0</v>
      </c>
      <c r="AI306" s="16">
        <v>0.0</v>
      </c>
      <c r="AJ306" s="16">
        <v>53994.58</v>
      </c>
      <c r="AK306" s="16">
        <v>337498.7</v>
      </c>
      <c r="AL306" s="16">
        <v>6.0</v>
      </c>
      <c r="AM306" s="16">
        <v>242.77</v>
      </c>
      <c r="AN306" s="16">
        <v>0.0</v>
      </c>
      <c r="AO306" s="18"/>
      <c r="AP306" s="18"/>
      <c r="AQ306" s="18"/>
      <c r="AR306" s="18"/>
      <c r="AS306" s="11" t="str">
        <f>VLOOKUP(C306,'mayo-26'!B:AS,44,0)</f>
        <v/>
      </c>
      <c r="AT306" s="12" t="str">
        <f>VLOOKUP(C306,'mayo-26'!B:AT,45,0)</f>
        <v>VERIFICADOR</v>
      </c>
      <c r="AU306" s="16"/>
      <c r="AV306" s="16"/>
      <c r="AW306" s="16"/>
    </row>
    <row r="307" ht="14.25" customHeight="1">
      <c r="A307" s="15" t="s">
        <v>678</v>
      </c>
      <c r="B307" s="16">
        <v>595205.0</v>
      </c>
      <c r="C307" s="16">
        <v>498586.0</v>
      </c>
      <c r="D307" s="16">
        <v>551691.0</v>
      </c>
      <c r="E307" s="18"/>
      <c r="F307" s="18"/>
      <c r="G307" s="16">
        <v>1255063.0</v>
      </c>
      <c r="H307" s="15" t="s">
        <v>679</v>
      </c>
      <c r="I307" s="1" t="str">
        <f>VLOOKUP(C307,'mayo-26'!B:H,7,0)</f>
        <v>CLL 14AN 4A-81 TORRE 5 APTO 403</v>
      </c>
      <c r="J307" s="1" t="s">
        <v>217</v>
      </c>
      <c r="K307" s="10" t="str">
        <f>VLOOKUP(C307,'mayo-26'!B:J,9,0)</f>
        <v>CR PORTACHUELO</v>
      </c>
      <c r="L307" s="1" t="str">
        <f>VLOOKUP(C307,'mayo-26'!B:K,10,0)</f>
        <v>CR PORTACHUELO</v>
      </c>
      <c r="M307" s="15" t="s">
        <v>52</v>
      </c>
      <c r="N307" s="15" t="s">
        <v>89</v>
      </c>
      <c r="O307" s="15" t="s">
        <v>130</v>
      </c>
      <c r="P307" s="15" t="s">
        <v>126</v>
      </c>
      <c r="Q307" s="15" t="s">
        <v>218</v>
      </c>
      <c r="R307" s="15" t="s">
        <v>219</v>
      </c>
      <c r="S307" s="15" t="s">
        <v>133</v>
      </c>
      <c r="T307" s="15" t="s">
        <v>59</v>
      </c>
      <c r="U307" s="16">
        <v>2026.0</v>
      </c>
      <c r="V307" s="16">
        <v>6.0</v>
      </c>
      <c r="W307" s="16">
        <v>1.081875295E9</v>
      </c>
      <c r="X307" s="16">
        <v>1.081893767E9</v>
      </c>
      <c r="Y307" s="17">
        <v>46182.0</v>
      </c>
      <c r="Z307" s="17">
        <v>46207.0</v>
      </c>
      <c r="AA307" s="16">
        <v>50495.64</v>
      </c>
      <c r="AB307" s="16">
        <v>50495.64</v>
      </c>
      <c r="AC307" s="16">
        <v>-1650.7</v>
      </c>
      <c r="AD307" s="16">
        <v>0.0</v>
      </c>
      <c r="AE307" s="16">
        <v>561.34</v>
      </c>
      <c r="AF307" s="16">
        <v>0.0</v>
      </c>
      <c r="AG307" s="16">
        <v>0.0</v>
      </c>
      <c r="AH307" s="16">
        <v>0.0</v>
      </c>
      <c r="AI307" s="16">
        <v>0.0</v>
      </c>
      <c r="AJ307" s="16">
        <v>50495.64</v>
      </c>
      <c r="AK307" s="16">
        <v>151161.48</v>
      </c>
      <c r="AL307" s="16">
        <v>2.0</v>
      </c>
      <c r="AM307" s="16">
        <v>242.77</v>
      </c>
      <c r="AN307" s="16">
        <v>0.0</v>
      </c>
      <c r="AO307" s="18"/>
      <c r="AP307" s="18"/>
      <c r="AQ307" s="18"/>
      <c r="AR307" s="18"/>
      <c r="AS307" s="11" t="str">
        <f>VLOOKUP(C307,'mayo-26'!B:AS,44,0)</f>
        <v/>
      </c>
      <c r="AT307" s="12" t="str">
        <f>VLOOKUP(C307,'mayo-26'!B:AT,45,0)</f>
        <v>VERIFICADOR</v>
      </c>
      <c r="AU307" s="16"/>
      <c r="AV307" s="16"/>
      <c r="AW307" s="16"/>
    </row>
    <row r="308" ht="14.25" customHeight="1">
      <c r="A308" s="15" t="s">
        <v>680</v>
      </c>
      <c r="B308" s="16">
        <v>595209.0</v>
      </c>
      <c r="C308" s="16">
        <v>498590.0</v>
      </c>
      <c r="D308" s="16">
        <v>551695.0</v>
      </c>
      <c r="E308" s="18"/>
      <c r="F308" s="18"/>
      <c r="G308" s="16">
        <v>1255067.0</v>
      </c>
      <c r="H308" s="15" t="s">
        <v>681</v>
      </c>
      <c r="I308" s="1" t="str">
        <f>VLOOKUP(C308,'mayo-26'!B:H,7,0)</f>
        <v>CLL 14AN 4A-81 TORRE 6 APTO 103</v>
      </c>
      <c r="J308" s="1" t="s">
        <v>217</v>
      </c>
      <c r="K308" s="10" t="str">
        <f>VLOOKUP(C308,'mayo-26'!B:J,9,0)</f>
        <v>CR PORTACHUELO</v>
      </c>
      <c r="L308" s="1" t="str">
        <f>VLOOKUP(C308,'mayo-26'!B:K,10,0)</f>
        <v>CR PORTACHUELO</v>
      </c>
      <c r="M308" s="15" t="s">
        <v>52</v>
      </c>
      <c r="N308" s="15" t="s">
        <v>89</v>
      </c>
      <c r="O308" s="15" t="s">
        <v>130</v>
      </c>
      <c r="P308" s="15" t="s">
        <v>126</v>
      </c>
      <c r="Q308" s="15" t="s">
        <v>218</v>
      </c>
      <c r="R308" s="15" t="s">
        <v>219</v>
      </c>
      <c r="S308" s="15" t="s">
        <v>133</v>
      </c>
      <c r="T308" s="15" t="s">
        <v>59</v>
      </c>
      <c r="U308" s="16">
        <v>2026.0</v>
      </c>
      <c r="V308" s="16">
        <v>6.0</v>
      </c>
      <c r="W308" s="16">
        <v>1.081875299E9</v>
      </c>
      <c r="X308" s="16">
        <v>1.081893771E9</v>
      </c>
      <c r="Y308" s="17">
        <v>46182.0</v>
      </c>
      <c r="Z308" s="17">
        <v>46207.0</v>
      </c>
      <c r="AA308" s="16">
        <v>50495.65</v>
      </c>
      <c r="AB308" s="16">
        <v>50495.65</v>
      </c>
      <c r="AC308" s="16">
        <v>-1650.7</v>
      </c>
      <c r="AD308" s="16">
        <v>0.0</v>
      </c>
      <c r="AE308" s="16">
        <v>561.35</v>
      </c>
      <c r="AF308" s="16">
        <v>0.0</v>
      </c>
      <c r="AG308" s="16">
        <v>0.0</v>
      </c>
      <c r="AH308" s="16">
        <v>0.0</v>
      </c>
      <c r="AI308" s="16">
        <v>0.0</v>
      </c>
      <c r="AJ308" s="16">
        <v>50495.65</v>
      </c>
      <c r="AK308" s="16">
        <v>152922.77</v>
      </c>
      <c r="AL308" s="16">
        <v>3.0</v>
      </c>
      <c r="AM308" s="16">
        <v>242.77</v>
      </c>
      <c r="AN308" s="16">
        <v>0.0</v>
      </c>
      <c r="AO308" s="18"/>
      <c r="AP308" s="18"/>
      <c r="AQ308" s="18"/>
      <c r="AR308" s="18"/>
      <c r="AS308" s="11" t="str">
        <f>VLOOKUP(C308,'mayo-26'!B:AS,44,0)</f>
        <v/>
      </c>
      <c r="AT308" s="12" t="str">
        <f>VLOOKUP(C308,'mayo-26'!B:AT,45,0)</f>
        <v>VERIFICADOR</v>
      </c>
      <c r="AU308" s="16"/>
      <c r="AV308" s="16"/>
      <c r="AW308" s="16"/>
    </row>
    <row r="309" ht="14.25" customHeight="1">
      <c r="A309" s="15" t="s">
        <v>682</v>
      </c>
      <c r="B309" s="16">
        <v>595213.0</v>
      </c>
      <c r="C309" s="16">
        <v>498594.0</v>
      </c>
      <c r="D309" s="16">
        <v>551699.0</v>
      </c>
      <c r="E309" s="18"/>
      <c r="F309" s="18"/>
      <c r="G309" s="16">
        <v>1255071.0</v>
      </c>
      <c r="H309" s="15" t="s">
        <v>683</v>
      </c>
      <c r="I309" s="1" t="str">
        <f>VLOOKUP(C309,'mayo-26'!B:H,7,0)</f>
        <v>CLL 14AN 4A-81 TORRE 6 APTO 203</v>
      </c>
      <c r="J309" s="1" t="s">
        <v>217</v>
      </c>
      <c r="K309" s="10" t="str">
        <f>VLOOKUP(C309,'mayo-26'!B:J,9,0)</f>
        <v>CR PORTACHUELO</v>
      </c>
      <c r="L309" s="1" t="str">
        <f>VLOOKUP(C309,'mayo-26'!B:K,10,0)</f>
        <v>CR PORTACHUELO</v>
      </c>
      <c r="M309" s="15" t="s">
        <v>52</v>
      </c>
      <c r="N309" s="15" t="s">
        <v>89</v>
      </c>
      <c r="O309" s="15" t="s">
        <v>130</v>
      </c>
      <c r="P309" s="15" t="s">
        <v>126</v>
      </c>
      <c r="Q309" s="15" t="s">
        <v>218</v>
      </c>
      <c r="R309" s="15" t="s">
        <v>219</v>
      </c>
      <c r="S309" s="15" t="s">
        <v>133</v>
      </c>
      <c r="T309" s="15" t="s">
        <v>59</v>
      </c>
      <c r="U309" s="16">
        <v>2026.0</v>
      </c>
      <c r="V309" s="16">
        <v>6.0</v>
      </c>
      <c r="W309" s="16">
        <v>1.081875301E9</v>
      </c>
      <c r="X309" s="16">
        <v>1.081893773E9</v>
      </c>
      <c r="Y309" s="17">
        <v>46182.0</v>
      </c>
      <c r="Z309" s="17">
        <v>46207.0</v>
      </c>
      <c r="AA309" s="16">
        <v>49934.3</v>
      </c>
      <c r="AB309" s="16">
        <v>49934.3</v>
      </c>
      <c r="AC309" s="16">
        <v>-1650.7</v>
      </c>
      <c r="AD309" s="16">
        <v>0.0</v>
      </c>
      <c r="AE309" s="16">
        <v>0.0</v>
      </c>
      <c r="AF309" s="16">
        <v>0.0</v>
      </c>
      <c r="AG309" s="16">
        <v>0.0</v>
      </c>
      <c r="AH309" s="16">
        <v>0.0</v>
      </c>
      <c r="AI309" s="16">
        <v>0.0</v>
      </c>
      <c r="AJ309" s="16">
        <v>49934.3</v>
      </c>
      <c r="AK309" s="16">
        <v>49934.3</v>
      </c>
      <c r="AL309" s="16">
        <v>0.0</v>
      </c>
      <c r="AM309" s="16">
        <v>242.77</v>
      </c>
      <c r="AN309" s="16">
        <v>0.0</v>
      </c>
      <c r="AO309" s="18"/>
      <c r="AP309" s="18"/>
      <c r="AQ309" s="18"/>
      <c r="AR309" s="18"/>
      <c r="AS309" s="11" t="str">
        <f>VLOOKUP(C309,'mayo-26'!B:AS,44,0)</f>
        <v/>
      </c>
      <c r="AT309" s="12" t="str">
        <f>VLOOKUP(C309,'mayo-26'!B:AT,45,0)</f>
        <v>VERIFICADOR</v>
      </c>
      <c r="AU309" s="16"/>
      <c r="AV309" s="16"/>
      <c r="AW309" s="16"/>
    </row>
    <row r="310" ht="14.25" customHeight="1">
      <c r="A310" s="15" t="s">
        <v>684</v>
      </c>
      <c r="B310" s="16">
        <v>595217.0</v>
      </c>
      <c r="C310" s="16">
        <v>498598.0</v>
      </c>
      <c r="D310" s="16">
        <v>551703.0</v>
      </c>
      <c r="E310" s="18"/>
      <c r="F310" s="18"/>
      <c r="G310" s="16">
        <v>1255075.0</v>
      </c>
      <c r="H310" s="15" t="s">
        <v>685</v>
      </c>
      <c r="I310" s="1" t="str">
        <f>VLOOKUP(C310,'mayo-26'!B:H,7,0)</f>
        <v>CLL 14AN 4A-81 TORRE 6 APTO 303</v>
      </c>
      <c r="J310" s="1" t="s">
        <v>217</v>
      </c>
      <c r="K310" s="10" t="str">
        <f>VLOOKUP(C310,'mayo-26'!B:J,9,0)</f>
        <v>CR PORTACHUELO</v>
      </c>
      <c r="L310" s="1" t="str">
        <f>VLOOKUP(C310,'mayo-26'!B:K,10,0)</f>
        <v>CR PORTACHUELO</v>
      </c>
      <c r="M310" s="15" t="s">
        <v>52</v>
      </c>
      <c r="N310" s="15" t="s">
        <v>89</v>
      </c>
      <c r="O310" s="15" t="s">
        <v>130</v>
      </c>
      <c r="P310" s="15" t="s">
        <v>126</v>
      </c>
      <c r="Q310" s="15" t="s">
        <v>218</v>
      </c>
      <c r="R310" s="15" t="s">
        <v>219</v>
      </c>
      <c r="S310" s="15" t="s">
        <v>133</v>
      </c>
      <c r="T310" s="15" t="s">
        <v>59</v>
      </c>
      <c r="U310" s="16">
        <v>2026.0</v>
      </c>
      <c r="V310" s="16">
        <v>6.0</v>
      </c>
      <c r="W310" s="16">
        <v>1.081875304E9</v>
      </c>
      <c r="X310" s="16">
        <v>1.081893776E9</v>
      </c>
      <c r="Y310" s="17">
        <v>46182.0</v>
      </c>
      <c r="Z310" s="17">
        <v>46207.0</v>
      </c>
      <c r="AA310" s="16">
        <v>53994.58</v>
      </c>
      <c r="AB310" s="16">
        <v>53994.58</v>
      </c>
      <c r="AC310" s="16">
        <v>-1650.7</v>
      </c>
      <c r="AD310" s="16">
        <v>0.0</v>
      </c>
      <c r="AE310" s="16">
        <v>4060.28</v>
      </c>
      <c r="AF310" s="16">
        <v>0.0</v>
      </c>
      <c r="AG310" s="16">
        <v>0.0</v>
      </c>
      <c r="AH310" s="16">
        <v>0.0</v>
      </c>
      <c r="AI310" s="16">
        <v>0.0</v>
      </c>
      <c r="AJ310" s="16">
        <v>53994.58</v>
      </c>
      <c r="AK310" s="16">
        <v>337498.7</v>
      </c>
      <c r="AL310" s="16">
        <v>6.0</v>
      </c>
      <c r="AM310" s="16">
        <v>242.77</v>
      </c>
      <c r="AN310" s="16">
        <v>0.0</v>
      </c>
      <c r="AO310" s="18"/>
      <c r="AP310" s="18"/>
      <c r="AQ310" s="18"/>
      <c r="AR310" s="18"/>
      <c r="AS310" s="11" t="str">
        <f>VLOOKUP(C310,'mayo-26'!B:AS,44,0)</f>
        <v/>
      </c>
      <c r="AT310" s="12" t="str">
        <f>VLOOKUP(C310,'mayo-26'!B:AT,45,0)</f>
        <v>VERIFICADOR</v>
      </c>
      <c r="AU310" s="16"/>
      <c r="AV310" s="16"/>
      <c r="AW310" s="16"/>
    </row>
    <row r="311" ht="14.25" customHeight="1">
      <c r="A311" s="15" t="s">
        <v>686</v>
      </c>
      <c r="B311" s="16">
        <v>595221.0</v>
      </c>
      <c r="C311" s="16">
        <v>498602.0</v>
      </c>
      <c r="D311" s="16">
        <v>551707.0</v>
      </c>
      <c r="E311" s="18"/>
      <c r="F311" s="18"/>
      <c r="G311" s="16">
        <v>1255079.0</v>
      </c>
      <c r="H311" s="15" t="s">
        <v>687</v>
      </c>
      <c r="I311" s="1" t="str">
        <f>VLOOKUP(C311,'mayo-26'!B:H,7,0)</f>
        <v>CLL 14AN 4A-81 TORRE 6 APTO 403</v>
      </c>
      <c r="J311" s="1" t="s">
        <v>217</v>
      </c>
      <c r="K311" s="10" t="str">
        <f>VLOOKUP(C311,'mayo-26'!B:J,9,0)</f>
        <v>CR PORTACHUELO</v>
      </c>
      <c r="L311" s="1" t="str">
        <f>VLOOKUP(C311,'mayo-26'!B:K,10,0)</f>
        <v>CR PORTACHUELO</v>
      </c>
      <c r="M311" s="15" t="s">
        <v>52</v>
      </c>
      <c r="N311" s="15" t="s">
        <v>89</v>
      </c>
      <c r="O311" s="15" t="s">
        <v>130</v>
      </c>
      <c r="P311" s="15" t="s">
        <v>126</v>
      </c>
      <c r="Q311" s="15" t="s">
        <v>218</v>
      </c>
      <c r="R311" s="15" t="s">
        <v>219</v>
      </c>
      <c r="S311" s="15" t="s">
        <v>133</v>
      </c>
      <c r="T311" s="15" t="s">
        <v>59</v>
      </c>
      <c r="U311" s="16">
        <v>2026.0</v>
      </c>
      <c r="V311" s="16">
        <v>6.0</v>
      </c>
      <c r="W311" s="16">
        <v>1.081875306E9</v>
      </c>
      <c r="X311" s="16">
        <v>1.081893778E9</v>
      </c>
      <c r="Y311" s="17">
        <v>46182.0</v>
      </c>
      <c r="Z311" s="17">
        <v>46207.0</v>
      </c>
      <c r="AA311" s="16">
        <v>49934.3</v>
      </c>
      <c r="AB311" s="16">
        <v>49934.3</v>
      </c>
      <c r="AC311" s="16">
        <v>-1650.7</v>
      </c>
      <c r="AD311" s="16">
        <v>0.0</v>
      </c>
      <c r="AE311" s="16">
        <v>0.0</v>
      </c>
      <c r="AF311" s="16">
        <v>0.0</v>
      </c>
      <c r="AG311" s="16">
        <v>0.0</v>
      </c>
      <c r="AH311" s="16">
        <v>0.0</v>
      </c>
      <c r="AI311" s="16">
        <v>0.0</v>
      </c>
      <c r="AJ311" s="16">
        <v>49934.3</v>
      </c>
      <c r="AK311" s="16">
        <v>49934.3</v>
      </c>
      <c r="AL311" s="16">
        <v>0.0</v>
      </c>
      <c r="AM311" s="16">
        <v>242.77</v>
      </c>
      <c r="AN311" s="16">
        <v>0.0</v>
      </c>
      <c r="AO311" s="18"/>
      <c r="AP311" s="18"/>
      <c r="AQ311" s="18"/>
      <c r="AR311" s="18"/>
      <c r="AS311" s="11" t="str">
        <f>VLOOKUP(C311,'mayo-26'!B:AS,44,0)</f>
        <v/>
      </c>
      <c r="AT311" s="12" t="str">
        <f>VLOOKUP(C311,'mayo-26'!B:AT,45,0)</f>
        <v>VERIFICADOR</v>
      </c>
      <c r="AU311" s="16"/>
      <c r="AV311" s="16"/>
      <c r="AW311" s="16"/>
    </row>
    <row r="312" ht="14.25" customHeight="1">
      <c r="A312" s="15" t="s">
        <v>688</v>
      </c>
      <c r="B312" s="16">
        <v>595225.0</v>
      </c>
      <c r="C312" s="16">
        <v>498606.0</v>
      </c>
      <c r="D312" s="16">
        <v>551711.0</v>
      </c>
      <c r="E312" s="18"/>
      <c r="F312" s="18"/>
      <c r="G312" s="16">
        <v>1255083.0</v>
      </c>
      <c r="H312" s="15" t="s">
        <v>689</v>
      </c>
      <c r="I312" s="1" t="str">
        <f>VLOOKUP(C312,'mayo-26'!B:H,7,0)</f>
        <v>CLL 14AN 4A-81 TORRE 7 APTO 103</v>
      </c>
      <c r="J312" s="1" t="s">
        <v>217</v>
      </c>
      <c r="K312" s="10" t="str">
        <f>VLOOKUP(C312,'mayo-26'!B:J,9,0)</f>
        <v>CR PORTACHUELO</v>
      </c>
      <c r="L312" s="1" t="str">
        <f>VLOOKUP(C312,'mayo-26'!B:K,10,0)</f>
        <v>CR PORTACHUELO</v>
      </c>
      <c r="M312" s="15" t="s">
        <v>52</v>
      </c>
      <c r="N312" s="15" t="s">
        <v>89</v>
      </c>
      <c r="O312" s="15" t="s">
        <v>130</v>
      </c>
      <c r="P312" s="15" t="s">
        <v>126</v>
      </c>
      <c r="Q312" s="15" t="s">
        <v>218</v>
      </c>
      <c r="R312" s="15" t="s">
        <v>219</v>
      </c>
      <c r="S312" s="15" t="s">
        <v>133</v>
      </c>
      <c r="T312" s="15" t="s">
        <v>59</v>
      </c>
      <c r="U312" s="16">
        <v>2026.0</v>
      </c>
      <c r="V312" s="16">
        <v>6.0</v>
      </c>
      <c r="W312" s="16">
        <v>1.081875307E9</v>
      </c>
      <c r="X312" s="16">
        <v>1.081893779E9</v>
      </c>
      <c r="Y312" s="17">
        <v>46182.0</v>
      </c>
      <c r="Z312" s="17">
        <v>46207.0</v>
      </c>
      <c r="AA312" s="16">
        <v>49934.3</v>
      </c>
      <c r="AB312" s="16">
        <v>49934.3</v>
      </c>
      <c r="AC312" s="16">
        <v>-1650.7</v>
      </c>
      <c r="AD312" s="16">
        <v>0.0</v>
      </c>
      <c r="AE312" s="16">
        <v>0.0</v>
      </c>
      <c r="AF312" s="16">
        <v>0.0</v>
      </c>
      <c r="AG312" s="16">
        <v>0.0</v>
      </c>
      <c r="AH312" s="16">
        <v>0.0</v>
      </c>
      <c r="AI312" s="16">
        <v>0.0</v>
      </c>
      <c r="AJ312" s="16">
        <v>49934.3</v>
      </c>
      <c r="AK312" s="16">
        <v>49935.06</v>
      </c>
      <c r="AL312" s="16">
        <v>1.0</v>
      </c>
      <c r="AM312" s="16">
        <v>242.77</v>
      </c>
      <c r="AN312" s="16">
        <v>0.0</v>
      </c>
      <c r="AO312" s="18"/>
      <c r="AP312" s="18"/>
      <c r="AQ312" s="18"/>
      <c r="AR312" s="18"/>
      <c r="AS312" s="11" t="str">
        <f>VLOOKUP(C312,'mayo-26'!B:AS,44,0)</f>
        <v/>
      </c>
      <c r="AT312" s="12" t="str">
        <f>VLOOKUP(C312,'mayo-26'!B:AT,45,0)</f>
        <v>VERIFICADOR</v>
      </c>
      <c r="AU312" s="16"/>
      <c r="AV312" s="16"/>
      <c r="AW312" s="16"/>
    </row>
    <row r="313" ht="14.25" customHeight="1">
      <c r="A313" s="15" t="s">
        <v>690</v>
      </c>
      <c r="B313" s="16">
        <v>595229.0</v>
      </c>
      <c r="C313" s="16">
        <v>498610.0</v>
      </c>
      <c r="D313" s="16">
        <v>551715.0</v>
      </c>
      <c r="E313" s="18"/>
      <c r="F313" s="18"/>
      <c r="G313" s="16">
        <v>1255087.0</v>
      </c>
      <c r="H313" s="15" t="s">
        <v>691</v>
      </c>
      <c r="I313" s="1" t="str">
        <f>VLOOKUP(C313,'mayo-26'!B:H,7,0)</f>
        <v>CLL 14AN 4A-81 TORRE 7 APTO 203</v>
      </c>
      <c r="J313" s="1" t="s">
        <v>217</v>
      </c>
      <c r="K313" s="10" t="str">
        <f>VLOOKUP(C313,'mayo-26'!B:J,9,0)</f>
        <v>CR PORTACHUELO</v>
      </c>
      <c r="L313" s="1" t="str">
        <f>VLOOKUP(C313,'mayo-26'!B:K,10,0)</f>
        <v>CR PORTACHUELO</v>
      </c>
      <c r="M313" s="15" t="s">
        <v>52</v>
      </c>
      <c r="N313" s="15" t="s">
        <v>89</v>
      </c>
      <c r="O313" s="15" t="s">
        <v>130</v>
      </c>
      <c r="P313" s="15" t="s">
        <v>126</v>
      </c>
      <c r="Q313" s="15" t="s">
        <v>218</v>
      </c>
      <c r="R313" s="15" t="s">
        <v>219</v>
      </c>
      <c r="S313" s="15" t="s">
        <v>133</v>
      </c>
      <c r="T313" s="15" t="s">
        <v>59</v>
      </c>
      <c r="U313" s="16">
        <v>2026.0</v>
      </c>
      <c r="V313" s="16">
        <v>6.0</v>
      </c>
      <c r="W313" s="16">
        <v>1.081875308E9</v>
      </c>
      <c r="X313" s="16">
        <v>1.08189378E9</v>
      </c>
      <c r="Y313" s="17">
        <v>46182.0</v>
      </c>
      <c r="Z313" s="17">
        <v>46207.0</v>
      </c>
      <c r="AA313" s="16">
        <v>53994.58</v>
      </c>
      <c r="AB313" s="16">
        <v>53994.58</v>
      </c>
      <c r="AC313" s="16">
        <v>-1650.7</v>
      </c>
      <c r="AD313" s="16">
        <v>0.0</v>
      </c>
      <c r="AE313" s="16">
        <v>4060.28</v>
      </c>
      <c r="AF313" s="16">
        <v>0.0</v>
      </c>
      <c r="AG313" s="16">
        <v>0.0</v>
      </c>
      <c r="AH313" s="16">
        <v>0.0</v>
      </c>
      <c r="AI313" s="16">
        <v>0.0</v>
      </c>
      <c r="AJ313" s="16">
        <v>53994.58</v>
      </c>
      <c r="AK313" s="16">
        <v>337498.7</v>
      </c>
      <c r="AL313" s="16">
        <v>6.0</v>
      </c>
      <c r="AM313" s="16">
        <v>242.77</v>
      </c>
      <c r="AN313" s="16">
        <v>0.0</v>
      </c>
      <c r="AO313" s="18"/>
      <c r="AP313" s="18"/>
      <c r="AQ313" s="18"/>
      <c r="AR313" s="18"/>
      <c r="AS313" s="11" t="str">
        <f>VLOOKUP(C313,'mayo-26'!B:AS,44,0)</f>
        <v/>
      </c>
      <c r="AT313" s="12" t="str">
        <f>VLOOKUP(C313,'mayo-26'!B:AT,45,0)</f>
        <v>VERIFICADOR</v>
      </c>
      <c r="AU313" s="16"/>
      <c r="AV313" s="16"/>
      <c r="AW313" s="16"/>
    </row>
    <row r="314" ht="14.25" customHeight="1">
      <c r="A314" s="15" t="s">
        <v>692</v>
      </c>
      <c r="B314" s="16">
        <v>595233.0</v>
      </c>
      <c r="C314" s="16">
        <v>498614.0</v>
      </c>
      <c r="D314" s="16">
        <v>551719.0</v>
      </c>
      <c r="E314" s="18"/>
      <c r="F314" s="18"/>
      <c r="G314" s="16">
        <v>1255091.0</v>
      </c>
      <c r="H314" s="15" t="s">
        <v>693</v>
      </c>
      <c r="I314" s="1" t="str">
        <f>VLOOKUP(C314,'mayo-26'!B:H,7,0)</f>
        <v>CLL 14AN 4A-81 TORRE 7 APTO 303</v>
      </c>
      <c r="J314" s="1" t="s">
        <v>217</v>
      </c>
      <c r="K314" s="10" t="str">
        <f>VLOOKUP(C314,'mayo-26'!B:J,9,0)</f>
        <v>CR PORTACHUELO</v>
      </c>
      <c r="L314" s="1" t="str">
        <f>VLOOKUP(C314,'mayo-26'!B:K,10,0)</f>
        <v>CR PORTACHUELO</v>
      </c>
      <c r="M314" s="15" t="s">
        <v>52</v>
      </c>
      <c r="N314" s="15" t="s">
        <v>89</v>
      </c>
      <c r="O314" s="15" t="s">
        <v>130</v>
      </c>
      <c r="P314" s="15" t="s">
        <v>126</v>
      </c>
      <c r="Q314" s="15" t="s">
        <v>218</v>
      </c>
      <c r="R314" s="15" t="s">
        <v>219</v>
      </c>
      <c r="S314" s="15" t="s">
        <v>133</v>
      </c>
      <c r="T314" s="15" t="s">
        <v>59</v>
      </c>
      <c r="U314" s="16">
        <v>2026.0</v>
      </c>
      <c r="V314" s="16">
        <v>6.0</v>
      </c>
      <c r="W314" s="16">
        <v>1.081875309E9</v>
      </c>
      <c r="X314" s="16">
        <v>1.081893781E9</v>
      </c>
      <c r="Y314" s="17">
        <v>46182.0</v>
      </c>
      <c r="Z314" s="17">
        <v>46207.0</v>
      </c>
      <c r="AA314" s="16">
        <v>49934.3</v>
      </c>
      <c r="AB314" s="16">
        <v>49934.3</v>
      </c>
      <c r="AC314" s="16">
        <v>-1650.7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6">
        <v>0.0</v>
      </c>
      <c r="AJ314" s="16">
        <v>49934.3</v>
      </c>
      <c r="AK314" s="16">
        <v>49934.3</v>
      </c>
      <c r="AL314" s="16">
        <v>0.0</v>
      </c>
      <c r="AM314" s="16">
        <v>242.77</v>
      </c>
      <c r="AN314" s="16">
        <v>0.0</v>
      </c>
      <c r="AO314" s="18"/>
      <c r="AP314" s="18"/>
      <c r="AQ314" s="18"/>
      <c r="AR314" s="18"/>
      <c r="AS314" s="11" t="str">
        <f>VLOOKUP(C314,'mayo-26'!B:AS,44,0)</f>
        <v/>
      </c>
      <c r="AT314" s="12" t="str">
        <f>VLOOKUP(C314,'mayo-26'!B:AT,45,0)</f>
        <v>VERIFICADOR</v>
      </c>
      <c r="AU314" s="16"/>
      <c r="AV314" s="16"/>
      <c r="AW314" s="16"/>
    </row>
    <row r="315" ht="14.25" customHeight="1">
      <c r="A315" s="15" t="s">
        <v>694</v>
      </c>
      <c r="B315" s="16">
        <v>595237.0</v>
      </c>
      <c r="C315" s="16">
        <v>498618.0</v>
      </c>
      <c r="D315" s="16">
        <v>551723.0</v>
      </c>
      <c r="E315" s="18"/>
      <c r="F315" s="18"/>
      <c r="G315" s="16">
        <v>1255095.0</v>
      </c>
      <c r="H315" s="15" t="s">
        <v>695</v>
      </c>
      <c r="I315" s="1" t="str">
        <f>VLOOKUP(C315,'mayo-26'!B:H,7,0)</f>
        <v>CLL 14AN 4A-81 TORRE 7 APTO 403</v>
      </c>
      <c r="J315" s="1" t="s">
        <v>217</v>
      </c>
      <c r="K315" s="10" t="str">
        <f>VLOOKUP(C315,'mayo-26'!B:J,9,0)</f>
        <v>CR PORTACHUELO</v>
      </c>
      <c r="L315" s="1" t="str">
        <f>VLOOKUP(C315,'mayo-26'!B:K,10,0)</f>
        <v>CR PORTACHUELO</v>
      </c>
      <c r="M315" s="15" t="s">
        <v>52</v>
      </c>
      <c r="N315" s="15" t="s">
        <v>89</v>
      </c>
      <c r="O315" s="15" t="s">
        <v>130</v>
      </c>
      <c r="P315" s="15" t="s">
        <v>126</v>
      </c>
      <c r="Q315" s="15" t="s">
        <v>218</v>
      </c>
      <c r="R315" s="15" t="s">
        <v>219</v>
      </c>
      <c r="S315" s="15" t="s">
        <v>133</v>
      </c>
      <c r="T315" s="15" t="s">
        <v>59</v>
      </c>
      <c r="U315" s="16">
        <v>2026.0</v>
      </c>
      <c r="V315" s="16">
        <v>6.0</v>
      </c>
      <c r="W315" s="16">
        <v>1.08187531E9</v>
      </c>
      <c r="X315" s="16">
        <v>1.081893782E9</v>
      </c>
      <c r="Y315" s="17">
        <v>46182.0</v>
      </c>
      <c r="Z315" s="17">
        <v>46207.0</v>
      </c>
      <c r="AA315" s="16">
        <v>49934.3</v>
      </c>
      <c r="AB315" s="16">
        <v>49934.3</v>
      </c>
      <c r="AC315" s="16">
        <v>-1650.7</v>
      </c>
      <c r="AD315" s="16">
        <v>0.0</v>
      </c>
      <c r="AE315" s="16">
        <v>0.0</v>
      </c>
      <c r="AF315" s="16">
        <v>0.0</v>
      </c>
      <c r="AG315" s="16">
        <v>0.0</v>
      </c>
      <c r="AH315" s="16">
        <v>0.0</v>
      </c>
      <c r="AI315" s="16">
        <v>0.0</v>
      </c>
      <c r="AJ315" s="16">
        <v>49934.3</v>
      </c>
      <c r="AK315" s="16">
        <v>49934.3</v>
      </c>
      <c r="AL315" s="16">
        <v>0.0</v>
      </c>
      <c r="AM315" s="16">
        <v>242.77</v>
      </c>
      <c r="AN315" s="16">
        <v>0.0</v>
      </c>
      <c r="AO315" s="18"/>
      <c r="AP315" s="18"/>
      <c r="AQ315" s="18"/>
      <c r="AR315" s="18"/>
      <c r="AS315" s="11" t="str">
        <f>VLOOKUP(C315,'mayo-26'!B:AS,44,0)</f>
        <v/>
      </c>
      <c r="AT315" s="12" t="str">
        <f>VLOOKUP(C315,'mayo-26'!B:AT,45,0)</f>
        <v>VERIFICADOR</v>
      </c>
      <c r="AU315" s="16"/>
      <c r="AV315" s="16"/>
      <c r="AW315" s="16"/>
    </row>
    <row r="316" ht="14.25" customHeight="1">
      <c r="A316" s="15" t="s">
        <v>696</v>
      </c>
      <c r="B316" s="16">
        <v>699.0</v>
      </c>
      <c r="C316" s="16">
        <v>211377.0</v>
      </c>
      <c r="D316" s="16">
        <v>211377.0</v>
      </c>
      <c r="E316" s="16">
        <v>33878.0</v>
      </c>
      <c r="F316" s="16">
        <v>33878.0</v>
      </c>
      <c r="G316" s="16">
        <v>9.00480569E8</v>
      </c>
      <c r="H316" s="15" t="s">
        <v>141</v>
      </c>
      <c r="I316" s="1" t="str">
        <f>VLOOKUP(C316,'mayo-26'!B:H,7,0)</f>
        <v>CLL 12 4-52 CENTRO</v>
      </c>
      <c r="J316" s="1" t="s">
        <v>196</v>
      </c>
      <c r="K316" s="10" t="str">
        <f>VLOOKUP(C316,'mayo-26'!B:J,9,0)</f>
        <v>NO</v>
      </c>
      <c r="L316" s="1" t="str">
        <f>VLOOKUP(C316,'mayo-26'!B:K,10,0)</f>
        <v>ARA CUCUTA</v>
      </c>
      <c r="M316" s="15" t="s">
        <v>52</v>
      </c>
      <c r="N316" s="15" t="s">
        <v>138</v>
      </c>
      <c r="O316" s="15" t="s">
        <v>130</v>
      </c>
      <c r="P316" s="15" t="s">
        <v>126</v>
      </c>
      <c r="Q316" s="15" t="s">
        <v>56</v>
      </c>
      <c r="R316" s="15" t="s">
        <v>90</v>
      </c>
      <c r="S316" s="15" t="s">
        <v>143</v>
      </c>
      <c r="T316" s="15" t="s">
        <v>59</v>
      </c>
      <c r="U316" s="16">
        <v>2026.0</v>
      </c>
      <c r="V316" s="16">
        <v>6.0</v>
      </c>
      <c r="W316" s="16">
        <v>1.081875082E9</v>
      </c>
      <c r="X316" s="16">
        <v>1.081893554E9</v>
      </c>
      <c r="Y316" s="17">
        <v>46182.0</v>
      </c>
      <c r="Z316" s="17">
        <v>46207.0</v>
      </c>
      <c r="AA316" s="16">
        <v>203064.72</v>
      </c>
      <c r="AB316" s="16">
        <v>203064.72</v>
      </c>
      <c r="AC316" s="16">
        <v>67688.25</v>
      </c>
      <c r="AD316" s="16">
        <v>515.0</v>
      </c>
      <c r="AE316" s="16">
        <v>0.0</v>
      </c>
      <c r="AF316" s="16">
        <v>0.0</v>
      </c>
      <c r="AG316" s="16">
        <v>0.0</v>
      </c>
      <c r="AH316" s="16">
        <v>0.0</v>
      </c>
      <c r="AI316" s="16">
        <v>0.0</v>
      </c>
      <c r="AJ316" s="16">
        <v>203064.72</v>
      </c>
      <c r="AK316" s="16">
        <v>406936.74</v>
      </c>
      <c r="AL316" s="16">
        <v>1.0</v>
      </c>
      <c r="AM316" s="16">
        <v>376.2</v>
      </c>
      <c r="AN316" s="16">
        <v>0.0</v>
      </c>
      <c r="AO316" s="18"/>
      <c r="AP316" s="18"/>
      <c r="AQ316" s="18"/>
      <c r="AR316" s="18"/>
      <c r="AS316" s="11" t="str">
        <f>VLOOKUP(C316,'mayo-26'!B:AS,44,0)</f>
        <v>COORDINADOR.OPERACIONES.R11@JERONIMO-MARTINS.COM</v>
      </c>
      <c r="AT316" s="12" t="str">
        <f>VLOOKUP(C316,'mayo-26'!B:AT,45,0)</f>
        <v>CORREO ELECTRONICO CERTIFICADO 472</v>
      </c>
      <c r="AU316" s="16"/>
      <c r="AV316" s="16"/>
      <c r="AW316" s="16"/>
    </row>
    <row r="317" ht="14.25" customHeight="1">
      <c r="A317" s="15" t="s">
        <v>697</v>
      </c>
      <c r="B317" s="16">
        <v>297.0</v>
      </c>
      <c r="C317" s="16">
        <v>213261.0</v>
      </c>
      <c r="D317" s="16">
        <v>213261.0</v>
      </c>
      <c r="E317" s="16">
        <v>35802.0</v>
      </c>
      <c r="F317" s="16">
        <v>35802.0</v>
      </c>
      <c r="G317" s="15" t="s">
        <v>135</v>
      </c>
      <c r="H317" s="15" t="s">
        <v>136</v>
      </c>
      <c r="I317" s="1" t="str">
        <f>VLOOKUP(C317,'mayo-26'!B:H,7,0)</f>
        <v>AVE 4 17-89 - 0239431</v>
      </c>
      <c r="J317" s="1" t="s">
        <v>222</v>
      </c>
      <c r="K317" s="10" t="str">
        <f>VLOOKUP(C317,'mayo-26'!B:J,9,0)</f>
        <v>NO</v>
      </c>
      <c r="L317" s="1" t="str">
        <f>VLOOKUP(C317,'mayo-26'!B:K,10,0)</f>
        <v>IMSALUD</v>
      </c>
      <c r="M317" s="15" t="s">
        <v>52</v>
      </c>
      <c r="N317" s="15" t="s">
        <v>138</v>
      </c>
      <c r="O317" s="15" t="s">
        <v>130</v>
      </c>
      <c r="P317" s="15" t="s">
        <v>126</v>
      </c>
      <c r="Q317" s="15" t="s">
        <v>56</v>
      </c>
      <c r="R317" s="15" t="s">
        <v>57</v>
      </c>
      <c r="S317" s="15" t="s">
        <v>143</v>
      </c>
      <c r="T317" s="15" t="s">
        <v>59</v>
      </c>
      <c r="U317" s="16">
        <v>2026.0</v>
      </c>
      <c r="V317" s="16">
        <v>6.0</v>
      </c>
      <c r="W317" s="16">
        <v>1.081875087E9</v>
      </c>
      <c r="X317" s="16">
        <v>1.081893559E9</v>
      </c>
      <c r="Y317" s="17">
        <v>46182.0</v>
      </c>
      <c r="Z317" s="17">
        <v>46207.0</v>
      </c>
      <c r="AA317" s="16">
        <v>104065.4</v>
      </c>
      <c r="AB317" s="16">
        <v>104065.4</v>
      </c>
      <c r="AC317" s="16">
        <v>0.0</v>
      </c>
      <c r="AD317" s="16">
        <v>350.0</v>
      </c>
      <c r="AE317" s="16">
        <v>0.0</v>
      </c>
      <c r="AF317" s="16">
        <v>0.0</v>
      </c>
      <c r="AG317" s="16">
        <v>0.0</v>
      </c>
      <c r="AH317" s="16">
        <v>0.0</v>
      </c>
      <c r="AI317" s="16">
        <v>0.0</v>
      </c>
      <c r="AJ317" s="16">
        <v>104065.4</v>
      </c>
      <c r="AK317" s="16">
        <v>104065.4</v>
      </c>
      <c r="AL317" s="16">
        <v>0.0</v>
      </c>
      <c r="AM317" s="16">
        <v>250.8</v>
      </c>
      <c r="AN317" s="16">
        <v>0.0</v>
      </c>
      <c r="AO317" s="18"/>
      <c r="AP317" s="18"/>
      <c r="AQ317" s="18"/>
      <c r="AR317" s="18"/>
      <c r="AS317" s="11" t="str">
        <f>VLOOKUP(C317,'mayo-26'!B:AS,44,0)</f>
        <v>SUBFINANCIERA@IMSALUD.GOV.CO</v>
      </c>
      <c r="AT317" s="12" t="str">
        <f>VLOOKUP(C317,'mayo-26'!B:AT,45,0)</f>
        <v>CORREO ELECTRONICO CERTIFICADO 472</v>
      </c>
      <c r="AU317" s="16"/>
      <c r="AV317" s="16"/>
      <c r="AW317" s="16"/>
    </row>
    <row r="318" ht="14.25" customHeight="1">
      <c r="A318" s="15" t="s">
        <v>698</v>
      </c>
      <c r="B318" s="16">
        <v>285191.0</v>
      </c>
      <c r="C318" s="16">
        <v>224197.0</v>
      </c>
      <c r="D318" s="16">
        <v>224197.0</v>
      </c>
      <c r="E318" s="16">
        <v>47260.0</v>
      </c>
      <c r="F318" s="16">
        <v>47260.0</v>
      </c>
      <c r="G318" s="16">
        <v>9.00276962E8</v>
      </c>
      <c r="H318" s="15" t="s">
        <v>128</v>
      </c>
      <c r="I318" s="1" t="str">
        <f>VLOOKUP(C318,'mayo-26'!B:H,7,0)</f>
        <v>KDX 73-2 1116</v>
      </c>
      <c r="J318" s="1" t="s">
        <v>137</v>
      </c>
      <c r="K318" s="10" t="str">
        <f>VLOOKUP(C318,'mayo-26'!B:J,9,0)</f>
        <v>NO</v>
      </c>
      <c r="L318" s="1" t="str">
        <f>VLOOKUP(C318,'mayo-26'!B:K,10,0)</f>
        <v>D1</v>
      </c>
      <c r="M318" s="15" t="s">
        <v>52</v>
      </c>
      <c r="N318" s="15" t="s">
        <v>89</v>
      </c>
      <c r="O318" s="15" t="s">
        <v>130</v>
      </c>
      <c r="P318" s="15" t="s">
        <v>126</v>
      </c>
      <c r="Q318" s="15" t="s">
        <v>131</v>
      </c>
      <c r="R318" s="15" t="s">
        <v>132</v>
      </c>
      <c r="S318" s="15" t="s">
        <v>133</v>
      </c>
      <c r="T318" s="15" t="s">
        <v>59</v>
      </c>
      <c r="U318" s="16">
        <v>2026.0</v>
      </c>
      <c r="V318" s="16">
        <v>6.0</v>
      </c>
      <c r="W318" s="16">
        <v>1.08187509E9</v>
      </c>
      <c r="X318" s="16">
        <v>1.081893562E9</v>
      </c>
      <c r="Y318" s="17">
        <v>46182.0</v>
      </c>
      <c r="Z318" s="17">
        <v>46207.0</v>
      </c>
      <c r="AA318" s="16">
        <v>113128.5</v>
      </c>
      <c r="AB318" s="16">
        <v>113128.5</v>
      </c>
      <c r="AC318" s="16">
        <v>37709.5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6">
        <v>0.0</v>
      </c>
      <c r="AJ318" s="16">
        <v>113128.5</v>
      </c>
      <c r="AK318" s="16">
        <v>113128.5</v>
      </c>
      <c r="AL318" s="16">
        <v>0.0</v>
      </c>
      <c r="AM318" s="16">
        <v>376.2</v>
      </c>
      <c r="AN318" s="16">
        <v>0.0</v>
      </c>
      <c r="AO318" s="18"/>
      <c r="AP318" s="18"/>
      <c r="AQ318" s="18"/>
      <c r="AR318" s="18"/>
      <c r="AS318" s="11" t="str">
        <f>VLOOKUP(C318,'mayo-26'!B:AS,44,0)</f>
        <v>ALBA.CELIS@D1.COM.CO;CARMEN.DAVILA@D1.COM.CO</v>
      </c>
      <c r="AT318" s="12" t="str">
        <f>VLOOKUP(C318,'mayo-26'!B:AT,45,0)</f>
        <v>CORREO ELECTRONICO CERTIFICADO 472</v>
      </c>
      <c r="AU318" s="16"/>
      <c r="AV318" s="16"/>
      <c r="AW318" s="16"/>
    </row>
    <row r="319" ht="14.25" customHeight="1">
      <c r="A319" s="15" t="s">
        <v>699</v>
      </c>
      <c r="B319" s="16">
        <v>350.0</v>
      </c>
      <c r="C319" s="16">
        <v>225265.0</v>
      </c>
      <c r="D319" s="16">
        <v>225265.0</v>
      </c>
      <c r="E319" s="16">
        <v>48344.0</v>
      </c>
      <c r="F319" s="16">
        <v>48344.0</v>
      </c>
      <c r="G319" s="16">
        <v>9.00603041E8</v>
      </c>
      <c r="H319" s="15" t="s">
        <v>400</v>
      </c>
      <c r="I319" s="1" t="str">
        <f>VLOOKUP(C319,'mayo-26'!B:H,7,0)</f>
        <v>AVE 6 7-35 SUPERMERCADO</v>
      </c>
      <c r="J319" s="1" t="s">
        <v>436</v>
      </c>
      <c r="K319" s="10" t="str">
        <f>VLOOKUP(C319,'mayo-26'!B:J,9,0)</f>
        <v>NO</v>
      </c>
      <c r="L319" s="1" t="str">
        <f>VLOOKUP(C319,'mayo-26'!B:K,10,0)</f>
        <v>LOS MONTES</v>
      </c>
      <c r="M319" s="15" t="s">
        <v>52</v>
      </c>
      <c r="N319" s="15" t="s">
        <v>89</v>
      </c>
      <c r="O319" s="15" t="s">
        <v>130</v>
      </c>
      <c r="P319" s="15" t="s">
        <v>126</v>
      </c>
      <c r="Q319" s="15" t="s">
        <v>56</v>
      </c>
      <c r="R319" s="15" t="s">
        <v>90</v>
      </c>
      <c r="S319" s="15" t="s">
        <v>143</v>
      </c>
      <c r="T319" s="15" t="s">
        <v>59</v>
      </c>
      <c r="U319" s="16">
        <v>2026.0</v>
      </c>
      <c r="V319" s="16">
        <v>6.0</v>
      </c>
      <c r="W319" s="16">
        <v>1.081875092E9</v>
      </c>
      <c r="X319" s="16">
        <v>1.081893564E9</v>
      </c>
      <c r="Y319" s="17">
        <v>46182.0</v>
      </c>
      <c r="Z319" s="17">
        <v>46207.0</v>
      </c>
      <c r="AA319" s="16">
        <v>789912.1</v>
      </c>
      <c r="AB319" s="16">
        <v>789912.1</v>
      </c>
      <c r="AC319" s="16">
        <v>255554.61</v>
      </c>
      <c r="AD319" s="16">
        <v>2495.0</v>
      </c>
      <c r="AE319" s="16">
        <v>23248.3</v>
      </c>
      <c r="AF319" s="16">
        <v>0.0</v>
      </c>
      <c r="AG319" s="16">
        <v>0.0</v>
      </c>
      <c r="AH319" s="16">
        <v>0.0</v>
      </c>
      <c r="AI319" s="16">
        <v>0.0</v>
      </c>
      <c r="AJ319" s="16">
        <v>789912.1</v>
      </c>
      <c r="AK319" s="16">
        <v>1542643.87</v>
      </c>
      <c r="AL319" s="16">
        <v>1.0</v>
      </c>
      <c r="AM319" s="16">
        <v>376.2</v>
      </c>
      <c r="AN319" s="16">
        <v>0.0</v>
      </c>
      <c r="AO319" s="18"/>
      <c r="AP319" s="18"/>
      <c r="AQ319" s="18"/>
      <c r="AR319" s="18"/>
      <c r="AS319" s="11" t="str">
        <f>VLOOKUP(C319,'mayo-26'!B:AS,44,0)</f>
        <v>GASTOS@SUPERLOSMONTES.CO;FACTURAELECTRONICA@SUPERLOSMONTES.CO</v>
      </c>
      <c r="AT319" s="12" t="str">
        <f>VLOOKUP(C319,'mayo-26'!B:AT,45,0)</f>
        <v>CORREO ELECTRONICO CERTIFICADO 472</v>
      </c>
      <c r="AU319" s="16"/>
      <c r="AV319" s="16"/>
      <c r="AW319" s="16"/>
    </row>
    <row r="320" ht="14.25" customHeight="1">
      <c r="A320" s="15" t="s">
        <v>700</v>
      </c>
      <c r="B320" s="16">
        <v>297.0</v>
      </c>
      <c r="C320" s="16">
        <v>228365.0</v>
      </c>
      <c r="D320" s="16">
        <v>228365.0</v>
      </c>
      <c r="E320" s="16">
        <v>155095.0</v>
      </c>
      <c r="F320" s="16">
        <v>155095.0</v>
      </c>
      <c r="G320" s="15" t="s">
        <v>135</v>
      </c>
      <c r="H320" s="15" t="s">
        <v>136</v>
      </c>
      <c r="I320" s="1" t="str">
        <f>VLOOKUP(C320,'mayo-26'!B:H,7,0)</f>
        <v>AVE 4 17-89 - 0239431</v>
      </c>
      <c r="J320" s="1" t="s">
        <v>194</v>
      </c>
      <c r="K320" s="10" t="str">
        <f>VLOOKUP(C320,'mayo-26'!B:J,9,0)</f>
        <v>NO</v>
      </c>
      <c r="L320" s="1" t="str">
        <f>VLOOKUP(C320,'mayo-26'!B:K,10,0)</f>
        <v>IMSALUD</v>
      </c>
      <c r="M320" s="15" t="s">
        <v>52</v>
      </c>
      <c r="N320" s="15" t="s">
        <v>138</v>
      </c>
      <c r="O320" s="15" t="s">
        <v>130</v>
      </c>
      <c r="P320" s="15" t="s">
        <v>126</v>
      </c>
      <c r="Q320" s="15" t="s">
        <v>56</v>
      </c>
      <c r="R320" s="15" t="s">
        <v>57</v>
      </c>
      <c r="S320" s="15" t="s">
        <v>143</v>
      </c>
      <c r="T320" s="15" t="s">
        <v>59</v>
      </c>
      <c r="U320" s="16">
        <v>2026.0</v>
      </c>
      <c r="V320" s="16">
        <v>6.0</v>
      </c>
      <c r="W320" s="16">
        <v>1.081875096E9</v>
      </c>
      <c r="X320" s="16">
        <v>1.081893568E9</v>
      </c>
      <c r="Y320" s="17">
        <v>46182.0</v>
      </c>
      <c r="Z320" s="17">
        <v>46207.0</v>
      </c>
      <c r="AA320" s="16">
        <v>669562.12</v>
      </c>
      <c r="AB320" s="16">
        <v>669562.12</v>
      </c>
      <c r="AC320" s="16">
        <v>0.0</v>
      </c>
      <c r="AD320" s="16">
        <v>3330.0</v>
      </c>
      <c r="AE320" s="16">
        <v>0.0</v>
      </c>
      <c r="AF320" s="16">
        <v>0.0</v>
      </c>
      <c r="AG320" s="16">
        <v>0.0</v>
      </c>
      <c r="AH320" s="16">
        <v>0.0</v>
      </c>
      <c r="AI320" s="16">
        <v>0.0</v>
      </c>
      <c r="AJ320" s="16">
        <v>669562.12</v>
      </c>
      <c r="AK320" s="16">
        <v>669562.12</v>
      </c>
      <c r="AL320" s="16">
        <v>0.0</v>
      </c>
      <c r="AM320" s="16">
        <v>250.8</v>
      </c>
      <c r="AN320" s="16">
        <v>0.0</v>
      </c>
      <c r="AO320" s="18"/>
      <c r="AP320" s="18"/>
      <c r="AQ320" s="18"/>
      <c r="AR320" s="18"/>
      <c r="AS320" s="11" t="str">
        <f>VLOOKUP(C320,'mayo-26'!B:AS,44,0)</f>
        <v>SUBFINANCIERA@IMSALUD.GOV.CO</v>
      </c>
      <c r="AT320" s="12" t="str">
        <f>VLOOKUP(C320,'mayo-26'!B:AT,45,0)</f>
        <v>CORREO ELECTRONICO CERTIFICADO 472</v>
      </c>
      <c r="AU320" s="16"/>
      <c r="AV320" s="16"/>
      <c r="AW320" s="16"/>
    </row>
    <row r="321" ht="14.25" customHeight="1">
      <c r="A321" s="15" t="s">
        <v>701</v>
      </c>
      <c r="B321" s="16">
        <v>228370.0</v>
      </c>
      <c r="C321" s="16">
        <v>228369.0</v>
      </c>
      <c r="D321" s="16">
        <v>228369.0</v>
      </c>
      <c r="E321" s="16">
        <v>180137.0</v>
      </c>
      <c r="F321" s="16">
        <v>180137.0</v>
      </c>
      <c r="G321" s="16">
        <v>8.07005015E8</v>
      </c>
      <c r="H321" s="15" t="s">
        <v>702</v>
      </c>
      <c r="I321" s="1" t="str">
        <f>VLOOKUP(C321,'mayo-26'!B:H,7,0)</f>
        <v>VDA SANTA CECILIA (MINA) 0000</v>
      </c>
      <c r="J321" s="1" t="s">
        <v>703</v>
      </c>
      <c r="K321" s="10" t="str">
        <f>VLOOKUP(C321,'mayo-26'!B:J,9,0)</f>
        <v>NO</v>
      </c>
      <c r="L321" s="1" t="str">
        <f>VLOOKUP(C321,'mayo-26'!B:K,10,0)</f>
        <v>NO</v>
      </c>
      <c r="M321" s="15" t="s">
        <v>52</v>
      </c>
      <c r="N321" s="15" t="s">
        <v>89</v>
      </c>
      <c r="O321" s="15" t="s">
        <v>130</v>
      </c>
      <c r="P321" s="15" t="s">
        <v>126</v>
      </c>
      <c r="Q321" s="15" t="s">
        <v>56</v>
      </c>
      <c r="R321" s="15" t="s">
        <v>72</v>
      </c>
      <c r="S321" s="15" t="s">
        <v>143</v>
      </c>
      <c r="T321" s="15" t="s">
        <v>59</v>
      </c>
      <c r="U321" s="16">
        <v>2026.0</v>
      </c>
      <c r="V321" s="16">
        <v>6.0</v>
      </c>
      <c r="W321" s="16">
        <v>1.081875099E9</v>
      </c>
      <c r="X321" s="16">
        <v>1.081893571E9</v>
      </c>
      <c r="Y321" s="17">
        <v>46182.0</v>
      </c>
      <c r="Z321" s="17">
        <v>46207.0</v>
      </c>
      <c r="AA321" s="16">
        <v>154870.36</v>
      </c>
      <c r="AB321" s="16">
        <v>154870.36</v>
      </c>
      <c r="AC321" s="16">
        <v>25697.48</v>
      </c>
      <c r="AD321" s="16">
        <v>253.0</v>
      </c>
      <c r="AE321" s="16">
        <v>43514.59</v>
      </c>
      <c r="AF321" s="16">
        <v>0.0</v>
      </c>
      <c r="AG321" s="16">
        <v>0.0</v>
      </c>
      <c r="AH321" s="16">
        <v>0.0</v>
      </c>
      <c r="AI321" s="16">
        <v>0.0</v>
      </c>
      <c r="AJ321" s="16">
        <v>154870.36</v>
      </c>
      <c r="AK321" s="16">
        <v>2905109.07</v>
      </c>
      <c r="AL321" s="16">
        <v>25.0</v>
      </c>
      <c r="AM321" s="16">
        <v>326.04</v>
      </c>
      <c r="AN321" s="16">
        <v>0.0</v>
      </c>
      <c r="AO321" s="18"/>
      <c r="AP321" s="18"/>
      <c r="AQ321" s="18"/>
      <c r="AR321" s="18"/>
      <c r="AS321" s="11" t="str">
        <f>VLOOKUP(C321,'mayo-26'!B:AS,44,0)</f>
        <v>coordinacionambiental@excomin.com</v>
      </c>
      <c r="AT321" s="12" t="str">
        <f>VLOOKUP(C321,'mayo-26'!B:AT,45,0)</f>
        <v>CORREO ELECTRONICO CERTIFICADO 472</v>
      </c>
      <c r="AU321" s="16"/>
      <c r="AV321" s="16"/>
      <c r="AW321" s="16"/>
    </row>
    <row r="322" ht="14.25" customHeight="1">
      <c r="A322" s="15" t="s">
        <v>704</v>
      </c>
      <c r="B322" s="16">
        <v>404633.0</v>
      </c>
      <c r="C322" s="16">
        <v>229313.0</v>
      </c>
      <c r="D322" s="16">
        <v>229313.0</v>
      </c>
      <c r="E322" s="16">
        <v>185760.0</v>
      </c>
      <c r="F322" s="16">
        <v>185760.0</v>
      </c>
      <c r="G322" s="16">
        <v>8.60002964E8</v>
      </c>
      <c r="H322" s="15" t="s">
        <v>705</v>
      </c>
      <c r="I322" s="1" t="str">
        <f>VLOOKUP(C322,'mayo-26'!B:H,7,0)</f>
        <v>AVE 6 10-82 - CENTRO</v>
      </c>
      <c r="J322" s="1" t="s">
        <v>146</v>
      </c>
      <c r="K322" s="10" t="str">
        <f>VLOOKUP(C322,'mayo-26'!B:J,9,0)</f>
        <v>NO</v>
      </c>
      <c r="L322" s="1" t="str">
        <f>VLOOKUP(C322,'mayo-26'!B:K,10,0)</f>
        <v>BANCO BOGOTA</v>
      </c>
      <c r="M322" s="15" t="s">
        <v>52</v>
      </c>
      <c r="N322" s="15" t="s">
        <v>138</v>
      </c>
      <c r="O322" s="15" t="s">
        <v>130</v>
      </c>
      <c r="P322" s="15" t="s">
        <v>126</v>
      </c>
      <c r="Q322" s="15" t="s">
        <v>131</v>
      </c>
      <c r="R322" s="15" t="s">
        <v>538</v>
      </c>
      <c r="S322" s="15" t="s">
        <v>133</v>
      </c>
      <c r="T322" s="15" t="s">
        <v>59</v>
      </c>
      <c r="U322" s="16">
        <v>2026.0</v>
      </c>
      <c r="V322" s="16">
        <v>6.0</v>
      </c>
      <c r="W322" s="16">
        <v>1.081875103E9</v>
      </c>
      <c r="X322" s="16">
        <v>1.081893575E9</v>
      </c>
      <c r="Y322" s="17">
        <v>46182.0</v>
      </c>
      <c r="Z322" s="17">
        <v>46207.0</v>
      </c>
      <c r="AA322" s="16">
        <v>95302.63</v>
      </c>
      <c r="AB322" s="16">
        <v>95302.63</v>
      </c>
      <c r="AC322" s="16">
        <v>31416.0</v>
      </c>
      <c r="AD322" s="16">
        <v>0.0</v>
      </c>
      <c r="AE322" s="16">
        <v>1054.63</v>
      </c>
      <c r="AF322" s="16">
        <v>0.0</v>
      </c>
      <c r="AG322" s="16">
        <v>0.0</v>
      </c>
      <c r="AH322" s="16">
        <v>0.0</v>
      </c>
      <c r="AI322" s="16">
        <v>0.0</v>
      </c>
      <c r="AJ322" s="16">
        <v>95302.63</v>
      </c>
      <c r="AK322" s="16">
        <v>95302.63</v>
      </c>
      <c r="AL322" s="16">
        <v>0.0</v>
      </c>
      <c r="AM322" s="16">
        <v>376.2</v>
      </c>
      <c r="AN322" s="16">
        <v>0.0</v>
      </c>
      <c r="AO322" s="18"/>
      <c r="AP322" s="18"/>
      <c r="AQ322" s="18"/>
      <c r="AR322" s="18"/>
      <c r="AS322" s="11" t="str">
        <f>VLOOKUP(C322,'mayo-26'!B:AS,44,0)</f>
        <v>AVS3260@BANCODEBOGOTA.COM.CO</v>
      </c>
      <c r="AT322" s="12" t="str">
        <f>VLOOKUP(C322,'mayo-26'!B:AT,45,0)</f>
        <v>CORREO ELECTRONICO CERTIFICADO 472</v>
      </c>
      <c r="AU322" s="16"/>
      <c r="AV322" s="16"/>
      <c r="AW322" s="16"/>
    </row>
    <row r="323" ht="14.25" customHeight="1">
      <c r="A323" s="15" t="s">
        <v>706</v>
      </c>
      <c r="B323" s="16">
        <v>285191.0</v>
      </c>
      <c r="C323" s="16">
        <v>230745.0</v>
      </c>
      <c r="D323" s="16">
        <v>230745.0</v>
      </c>
      <c r="E323" s="16">
        <v>197063.0</v>
      </c>
      <c r="F323" s="16">
        <v>197063.0</v>
      </c>
      <c r="G323" s="16">
        <v>9.00276962E8</v>
      </c>
      <c r="H323" s="15" t="s">
        <v>128</v>
      </c>
      <c r="I323" s="1" t="str">
        <f>VLOOKUP(C323,'mayo-26'!B:H,7,0)</f>
        <v>KDX 73-2 1116</v>
      </c>
      <c r="J323" s="1" t="s">
        <v>165</v>
      </c>
      <c r="K323" s="10" t="str">
        <f>VLOOKUP(C323,'mayo-26'!B:J,9,0)</f>
        <v>NO</v>
      </c>
      <c r="L323" s="1" t="str">
        <f>VLOOKUP(C323,'mayo-26'!B:K,10,0)</f>
        <v>D1</v>
      </c>
      <c r="M323" s="15" t="s">
        <v>52</v>
      </c>
      <c r="N323" s="15" t="s">
        <v>89</v>
      </c>
      <c r="O323" s="15" t="s">
        <v>130</v>
      </c>
      <c r="P323" s="15" t="s">
        <v>126</v>
      </c>
      <c r="Q323" s="15" t="s">
        <v>131</v>
      </c>
      <c r="R323" s="15" t="s">
        <v>132</v>
      </c>
      <c r="S323" s="15" t="s">
        <v>133</v>
      </c>
      <c r="T323" s="15" t="s">
        <v>59</v>
      </c>
      <c r="U323" s="16">
        <v>2026.0</v>
      </c>
      <c r="V323" s="16">
        <v>6.0</v>
      </c>
      <c r="W323" s="16">
        <v>1.081875108E9</v>
      </c>
      <c r="X323" s="16">
        <v>1.08189358E9</v>
      </c>
      <c r="Y323" s="17">
        <v>46182.0</v>
      </c>
      <c r="Z323" s="17">
        <v>46207.0</v>
      </c>
      <c r="AA323" s="16">
        <v>113128.5</v>
      </c>
      <c r="AB323" s="16">
        <v>113128.5</v>
      </c>
      <c r="AC323" s="16">
        <v>37709.5</v>
      </c>
      <c r="AD323" s="16">
        <v>0.0</v>
      </c>
      <c r="AE323" s="16">
        <v>0.0</v>
      </c>
      <c r="AF323" s="16">
        <v>0.0</v>
      </c>
      <c r="AG323" s="16">
        <v>0.0</v>
      </c>
      <c r="AH323" s="16">
        <v>0.0</v>
      </c>
      <c r="AI323" s="16">
        <v>0.0</v>
      </c>
      <c r="AJ323" s="16">
        <v>113128.5</v>
      </c>
      <c r="AK323" s="16">
        <v>113128.5</v>
      </c>
      <c r="AL323" s="16">
        <v>0.0</v>
      </c>
      <c r="AM323" s="16">
        <v>376.2</v>
      </c>
      <c r="AN323" s="16">
        <v>0.0</v>
      </c>
      <c r="AO323" s="18"/>
      <c r="AP323" s="18"/>
      <c r="AQ323" s="18"/>
      <c r="AR323" s="18"/>
      <c r="AS323" s="11" t="str">
        <f>VLOOKUP(C323,'mayo-26'!B:AS,44,0)</f>
        <v>ALBA.CELIS@D1.COM.CO;CARMEN.DAVILA@D1.COM.CO</v>
      </c>
      <c r="AT323" s="12" t="str">
        <f>VLOOKUP(C323,'mayo-26'!B:AT,45,0)</f>
        <v>CORREO ELECTRONICO CERTIFICADO 472</v>
      </c>
      <c r="AU323" s="16"/>
      <c r="AV323" s="16"/>
      <c r="AW323" s="16"/>
    </row>
    <row r="324" ht="14.25" customHeight="1">
      <c r="A324" s="15" t="s">
        <v>707</v>
      </c>
      <c r="B324" s="16">
        <v>238258.0</v>
      </c>
      <c r="C324" s="16">
        <v>238257.0</v>
      </c>
      <c r="D324" s="16">
        <v>238257.0</v>
      </c>
      <c r="E324" s="16">
        <v>310069.0</v>
      </c>
      <c r="F324" s="16">
        <v>310069.0</v>
      </c>
      <c r="G324" s="15" t="s">
        <v>708</v>
      </c>
      <c r="H324" s="15" t="s">
        <v>709</v>
      </c>
      <c r="I324" s="1" t="str">
        <f>VLOOKUP(C324,'mayo-26'!B:H,7,0)</f>
        <v>KMT 1 VIA PTO SANTANDER 98 1309</v>
      </c>
      <c r="J324" s="1" t="s">
        <v>528</v>
      </c>
      <c r="K324" s="10" t="str">
        <f>VLOOKUP(C324,'mayo-26'!B:J,9,0)</f>
        <v>NO</v>
      </c>
      <c r="L324" s="1" t="str">
        <f>VLOOKUP(C324,'mayo-26'!B:K,10,0)</f>
        <v>NO</v>
      </c>
      <c r="M324" s="15" t="s">
        <v>52</v>
      </c>
      <c r="N324" s="15" t="s">
        <v>269</v>
      </c>
      <c r="O324" s="15" t="s">
        <v>130</v>
      </c>
      <c r="P324" s="15" t="s">
        <v>632</v>
      </c>
      <c r="Q324" s="15" t="s">
        <v>131</v>
      </c>
      <c r="R324" s="15" t="s">
        <v>266</v>
      </c>
      <c r="S324" s="15" t="s">
        <v>133</v>
      </c>
      <c r="T324" s="15" t="s">
        <v>59</v>
      </c>
      <c r="U324" s="16">
        <v>2026.0</v>
      </c>
      <c r="V324" s="16">
        <v>6.0</v>
      </c>
      <c r="W324" s="16">
        <v>1.081875111E9</v>
      </c>
      <c r="X324" s="16">
        <v>1.081893583E9</v>
      </c>
      <c r="Y324" s="17">
        <v>46182.0</v>
      </c>
      <c r="Z324" s="17">
        <v>46207.0</v>
      </c>
      <c r="AA324" s="16">
        <v>40403.01</v>
      </c>
      <c r="AB324" s="16">
        <v>40403.01</v>
      </c>
      <c r="AC324" s="16">
        <v>12470.4</v>
      </c>
      <c r="AD324" s="16">
        <v>0.0</v>
      </c>
      <c r="AE324" s="16">
        <v>1054.35</v>
      </c>
      <c r="AF324" s="16">
        <v>0.0</v>
      </c>
      <c r="AG324" s="16">
        <v>0.0</v>
      </c>
      <c r="AH324" s="16">
        <v>0.0</v>
      </c>
      <c r="AI324" s="16">
        <v>0.0</v>
      </c>
      <c r="AJ324" s="16">
        <v>40403.01</v>
      </c>
      <c r="AK324" s="16">
        <v>82286.86</v>
      </c>
      <c r="AL324" s="16">
        <v>2.0</v>
      </c>
      <c r="AM324" s="16">
        <v>-14363.7</v>
      </c>
      <c r="AN324" s="16">
        <v>0.0</v>
      </c>
      <c r="AO324" s="18"/>
      <c r="AP324" s="18"/>
      <c r="AQ324" s="18"/>
      <c r="AR324" s="18"/>
      <c r="AS324" s="11" t="str">
        <f>VLOOKUP(C324,'mayo-26'!B:AS,44,0)</f>
        <v>CONTABILIDAD@AVICOLAMASCRIOLLO.COM</v>
      </c>
      <c r="AT324" s="12" t="str">
        <f>VLOOKUP(C324,'mayo-26'!B:AT,45,0)</f>
        <v>CORREO ELECTRONICO CERTIFICADO 472</v>
      </c>
      <c r="AU324" s="16"/>
      <c r="AV324" s="16"/>
      <c r="AW324" s="16"/>
    </row>
    <row r="325" ht="14.25" customHeight="1">
      <c r="A325" s="15" t="s">
        <v>710</v>
      </c>
      <c r="B325" s="16">
        <v>297.0</v>
      </c>
      <c r="C325" s="16">
        <v>239233.0</v>
      </c>
      <c r="D325" s="16">
        <v>239233.0</v>
      </c>
      <c r="E325" s="16">
        <v>324650.0</v>
      </c>
      <c r="F325" s="16">
        <v>324650.0</v>
      </c>
      <c r="G325" s="15" t="s">
        <v>135</v>
      </c>
      <c r="H325" s="15" t="s">
        <v>136</v>
      </c>
      <c r="I325" s="1" t="str">
        <f>VLOOKUP(C325,'mayo-26'!B:H,7,0)</f>
        <v>AVE 4 17-89 - 0239431</v>
      </c>
      <c r="J325" s="1" t="s">
        <v>602</v>
      </c>
      <c r="K325" s="10" t="str">
        <f>VLOOKUP(C325,'mayo-26'!B:J,9,0)</f>
        <v>NO</v>
      </c>
      <c r="L325" s="1" t="str">
        <f>VLOOKUP(C325,'mayo-26'!B:K,10,0)</f>
        <v>IMSALUD</v>
      </c>
      <c r="M325" s="15" t="s">
        <v>52</v>
      </c>
      <c r="N325" s="15" t="s">
        <v>138</v>
      </c>
      <c r="O325" s="15" t="s">
        <v>130</v>
      </c>
      <c r="P325" s="15" t="s">
        <v>126</v>
      </c>
      <c r="Q325" s="15" t="s">
        <v>56</v>
      </c>
      <c r="R325" s="15" t="s">
        <v>57</v>
      </c>
      <c r="S325" s="15" t="s">
        <v>143</v>
      </c>
      <c r="T325" s="15" t="s">
        <v>59</v>
      </c>
      <c r="U325" s="16">
        <v>2026.0</v>
      </c>
      <c r="V325" s="16">
        <v>6.0</v>
      </c>
      <c r="W325" s="16">
        <v>1.081875116E9</v>
      </c>
      <c r="X325" s="16">
        <v>1.081893588E9</v>
      </c>
      <c r="Y325" s="17">
        <v>46182.0</v>
      </c>
      <c r="Z325" s="17">
        <v>46207.0</v>
      </c>
      <c r="AA325" s="16">
        <v>90781.92</v>
      </c>
      <c r="AB325" s="16">
        <v>90781.92</v>
      </c>
      <c r="AC325" s="16">
        <v>0.0</v>
      </c>
      <c r="AD325" s="16">
        <v>280.0</v>
      </c>
      <c r="AE325" s="16">
        <v>0.0</v>
      </c>
      <c r="AF325" s="16">
        <v>0.0</v>
      </c>
      <c r="AG325" s="16">
        <v>0.0</v>
      </c>
      <c r="AH325" s="16">
        <v>0.0</v>
      </c>
      <c r="AI325" s="16">
        <v>0.0</v>
      </c>
      <c r="AJ325" s="16">
        <v>90781.92</v>
      </c>
      <c r="AK325" s="16">
        <v>90781.92</v>
      </c>
      <c r="AL325" s="16">
        <v>0.0</v>
      </c>
      <c r="AM325" s="16">
        <v>250.8</v>
      </c>
      <c r="AN325" s="16">
        <v>0.0</v>
      </c>
      <c r="AO325" s="18"/>
      <c r="AP325" s="18"/>
      <c r="AQ325" s="18"/>
      <c r="AR325" s="18"/>
      <c r="AS325" s="11" t="str">
        <f>VLOOKUP(C325,'mayo-26'!B:AS,44,0)</f>
        <v>SUBFINANCIERA@IMSALUD.GOV.CO</v>
      </c>
      <c r="AT325" s="12" t="str">
        <f>VLOOKUP(C325,'mayo-26'!B:AT,45,0)</f>
        <v>CORREO ELECTRONICO CERTIFICADO 472</v>
      </c>
      <c r="AU325" s="16"/>
      <c r="AV325" s="16"/>
      <c r="AW325" s="16"/>
    </row>
    <row r="326" ht="14.25" customHeight="1">
      <c r="A326" s="15" t="s">
        <v>711</v>
      </c>
      <c r="B326" s="16">
        <v>277186.0</v>
      </c>
      <c r="C326" s="16">
        <v>277185.0</v>
      </c>
      <c r="D326" s="16">
        <v>277185.0</v>
      </c>
      <c r="E326" s="16">
        <v>19829.0</v>
      </c>
      <c r="F326" s="16">
        <v>19829.0</v>
      </c>
      <c r="G326" s="16">
        <v>9.0026573E8</v>
      </c>
      <c r="H326" s="15" t="s">
        <v>712</v>
      </c>
      <c r="I326" s="1" t="str">
        <f>VLOOKUP(C326,'mayo-26'!B:H,7,0)</f>
        <v>AVE 7A 0BN-38/50 1082</v>
      </c>
      <c r="J326" s="1" t="s">
        <v>146</v>
      </c>
      <c r="K326" s="10" t="str">
        <f>VLOOKUP(C326,'mayo-26'!B:J,9,0)</f>
        <v>NO</v>
      </c>
      <c r="L326" s="1" t="str">
        <f>VLOOKUP(C326,'mayo-26'!B:K,10,0)</f>
        <v>NO</v>
      </c>
      <c r="M326" s="15" t="s">
        <v>52</v>
      </c>
      <c r="N326" s="15" t="s">
        <v>89</v>
      </c>
      <c r="O326" s="15" t="s">
        <v>130</v>
      </c>
      <c r="P326" s="15" t="s">
        <v>126</v>
      </c>
      <c r="Q326" s="15" t="s">
        <v>131</v>
      </c>
      <c r="R326" s="15" t="s">
        <v>132</v>
      </c>
      <c r="S326" s="15" t="s">
        <v>133</v>
      </c>
      <c r="T326" s="15" t="s">
        <v>59</v>
      </c>
      <c r="U326" s="16">
        <v>2026.0</v>
      </c>
      <c r="V326" s="16">
        <v>6.0</v>
      </c>
      <c r="W326" s="16">
        <v>1.081875119E9</v>
      </c>
      <c r="X326" s="16">
        <v>1.081893591E9</v>
      </c>
      <c r="Y326" s="17">
        <v>46182.0</v>
      </c>
      <c r="Z326" s="17">
        <v>46207.0</v>
      </c>
      <c r="AA326" s="16">
        <v>113128.5</v>
      </c>
      <c r="AB326" s="16">
        <v>113128.5</v>
      </c>
      <c r="AC326" s="16">
        <v>37709.5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6">
        <v>0.0</v>
      </c>
      <c r="AJ326" s="16">
        <v>113128.5</v>
      </c>
      <c r="AK326" s="16">
        <v>113128.5</v>
      </c>
      <c r="AL326" s="16">
        <v>0.0</v>
      </c>
      <c r="AM326" s="16">
        <v>376.2</v>
      </c>
      <c r="AN326" s="16">
        <v>0.0</v>
      </c>
      <c r="AO326" s="18"/>
      <c r="AP326" s="18"/>
      <c r="AQ326" s="18"/>
      <c r="AR326" s="18"/>
      <c r="AS326" s="11" t="str">
        <f>VLOOKUP(C326,'mayo-26'!B:AS,44,0)</f>
        <v>SERVICIOSPUBLICOS@DROMEDICAS.COM.CO</v>
      </c>
      <c r="AT326" s="12" t="str">
        <f>VLOOKUP(C326,'mayo-26'!B:AT,45,0)</f>
        <v>CORREO ELECTRONICO CERTIFICADO 472</v>
      </c>
      <c r="AU326" s="16"/>
      <c r="AV326" s="16"/>
      <c r="AW326" s="16"/>
    </row>
    <row r="327" ht="14.25" customHeight="1">
      <c r="A327" s="15" t="s">
        <v>713</v>
      </c>
      <c r="B327" s="16">
        <v>297.0</v>
      </c>
      <c r="C327" s="16">
        <v>292117.0</v>
      </c>
      <c r="D327" s="16">
        <v>292117.0</v>
      </c>
      <c r="E327" s="16">
        <v>84484.0</v>
      </c>
      <c r="F327" s="16">
        <v>84484.0</v>
      </c>
      <c r="G327" s="15" t="s">
        <v>135</v>
      </c>
      <c r="H327" s="15" t="s">
        <v>136</v>
      </c>
      <c r="I327" s="1" t="str">
        <f>VLOOKUP(C327,'mayo-26'!B:H,7,0)</f>
        <v>AVE 4 17-89 - 0239431</v>
      </c>
      <c r="J327" s="1" t="s">
        <v>268</v>
      </c>
      <c r="K327" s="10" t="str">
        <f>VLOOKUP(C327,'mayo-26'!B:J,9,0)</f>
        <v>NO</v>
      </c>
      <c r="L327" s="1" t="str">
        <f>VLOOKUP(C327,'mayo-26'!B:K,10,0)</f>
        <v>IMSALUD</v>
      </c>
      <c r="M327" s="15" t="s">
        <v>52</v>
      </c>
      <c r="N327" s="15" t="s">
        <v>616</v>
      </c>
      <c r="O327" s="15" t="s">
        <v>130</v>
      </c>
      <c r="P327" s="15" t="s">
        <v>126</v>
      </c>
      <c r="Q327" s="15" t="s">
        <v>131</v>
      </c>
      <c r="R327" s="15" t="s">
        <v>139</v>
      </c>
      <c r="S327" s="15" t="s">
        <v>133</v>
      </c>
      <c r="T327" s="15" t="s">
        <v>59</v>
      </c>
      <c r="U327" s="16">
        <v>2026.0</v>
      </c>
      <c r="V327" s="16">
        <v>6.0</v>
      </c>
      <c r="W327" s="16">
        <v>1.081875123E9</v>
      </c>
      <c r="X327" s="16">
        <v>1.081893595E9</v>
      </c>
      <c r="Y327" s="17">
        <v>46182.0</v>
      </c>
      <c r="Z327" s="17">
        <v>46207.0</v>
      </c>
      <c r="AA327" s="16">
        <v>28981.0</v>
      </c>
      <c r="AB327" s="16">
        <v>28981.0</v>
      </c>
      <c r="AC327" s="16">
        <v>0.0</v>
      </c>
      <c r="AD327" s="16">
        <v>0.0</v>
      </c>
      <c r="AE327" s="16">
        <v>0.0</v>
      </c>
      <c r="AF327" s="16">
        <v>0.0</v>
      </c>
      <c r="AG327" s="16">
        <v>0.0</v>
      </c>
      <c r="AH327" s="16">
        <v>0.0</v>
      </c>
      <c r="AI327" s="16">
        <v>0.0</v>
      </c>
      <c r="AJ327" s="16">
        <v>28981.0</v>
      </c>
      <c r="AK327" s="16">
        <v>28981.0</v>
      </c>
      <c r="AL327" s="16">
        <v>0.0</v>
      </c>
      <c r="AM327" s="16">
        <v>250.8</v>
      </c>
      <c r="AN327" s="16">
        <v>0.0</v>
      </c>
      <c r="AO327" s="18"/>
      <c r="AP327" s="18"/>
      <c r="AQ327" s="18"/>
      <c r="AR327" s="18"/>
      <c r="AS327" s="11" t="str">
        <f>VLOOKUP(C327,'mayo-26'!B:AS,44,0)</f>
        <v>SUBFINANCIERA@IMSALUD.GOV.CO</v>
      </c>
      <c r="AT327" s="12" t="str">
        <f>VLOOKUP(C327,'mayo-26'!B:AT,45,0)</f>
        <v>CORREO ELECTRONICO CERTIFICADO 472</v>
      </c>
      <c r="AU327" s="16"/>
      <c r="AV327" s="16"/>
      <c r="AW327" s="16"/>
    </row>
    <row r="328" ht="14.25" customHeight="1">
      <c r="A328" s="15" t="s">
        <v>714</v>
      </c>
      <c r="B328" s="16">
        <v>297.0</v>
      </c>
      <c r="C328" s="16">
        <v>292973.0</v>
      </c>
      <c r="D328" s="16">
        <v>292973.0</v>
      </c>
      <c r="E328" s="16">
        <v>155043.0</v>
      </c>
      <c r="F328" s="16">
        <v>155043.0</v>
      </c>
      <c r="G328" s="15" t="s">
        <v>135</v>
      </c>
      <c r="H328" s="15" t="s">
        <v>136</v>
      </c>
      <c r="I328" s="1" t="str">
        <f>VLOOKUP(C328,'mayo-26'!B:H,7,0)</f>
        <v>AVE 4 17-89 - 0239431</v>
      </c>
      <c r="J328" s="1" t="s">
        <v>362</v>
      </c>
      <c r="K328" s="10" t="str">
        <f>VLOOKUP(C328,'mayo-26'!B:J,9,0)</f>
        <v>NO</v>
      </c>
      <c r="L328" s="1" t="str">
        <f>VLOOKUP(C328,'mayo-26'!B:K,10,0)</f>
        <v>IMSALUD</v>
      </c>
      <c r="M328" s="15" t="s">
        <v>52</v>
      </c>
      <c r="N328" s="15" t="s">
        <v>138</v>
      </c>
      <c r="O328" s="15" t="s">
        <v>130</v>
      </c>
      <c r="P328" s="15" t="s">
        <v>126</v>
      </c>
      <c r="Q328" s="15" t="s">
        <v>56</v>
      </c>
      <c r="R328" s="15" t="s">
        <v>57</v>
      </c>
      <c r="S328" s="15" t="s">
        <v>143</v>
      </c>
      <c r="T328" s="15" t="s">
        <v>59</v>
      </c>
      <c r="U328" s="16">
        <v>2026.0</v>
      </c>
      <c r="V328" s="16">
        <v>6.0</v>
      </c>
      <c r="W328" s="16">
        <v>1.081875128E9</v>
      </c>
      <c r="X328" s="16">
        <v>1.0818936E9</v>
      </c>
      <c r="Y328" s="17">
        <v>46182.0</v>
      </c>
      <c r="Z328" s="17">
        <v>46207.0</v>
      </c>
      <c r="AA328" s="16">
        <v>94577.2</v>
      </c>
      <c r="AB328" s="16">
        <v>94577.2</v>
      </c>
      <c r="AC328" s="16">
        <v>0.0</v>
      </c>
      <c r="AD328" s="16">
        <v>300.0</v>
      </c>
      <c r="AE328" s="16">
        <v>0.0</v>
      </c>
      <c r="AF328" s="16">
        <v>0.0</v>
      </c>
      <c r="AG328" s="16">
        <v>0.0</v>
      </c>
      <c r="AH328" s="16">
        <v>0.0</v>
      </c>
      <c r="AI328" s="16">
        <v>0.0</v>
      </c>
      <c r="AJ328" s="16">
        <v>94577.2</v>
      </c>
      <c r="AK328" s="16">
        <v>94577.2</v>
      </c>
      <c r="AL328" s="16">
        <v>0.0</v>
      </c>
      <c r="AM328" s="16">
        <v>250.8</v>
      </c>
      <c r="AN328" s="16">
        <v>0.0</v>
      </c>
      <c r="AO328" s="18"/>
      <c r="AP328" s="18"/>
      <c r="AQ328" s="18"/>
      <c r="AR328" s="18"/>
      <c r="AS328" s="11" t="str">
        <f>VLOOKUP(C328,'mayo-26'!B:AS,44,0)</f>
        <v>SUBFINANCIERA@IMSALUD.GOV.CO</v>
      </c>
      <c r="AT328" s="12" t="str">
        <f>VLOOKUP(C328,'mayo-26'!B:AT,45,0)</f>
        <v>CORREO ELECTRONICO CERTIFICADO 472</v>
      </c>
      <c r="AU328" s="16"/>
      <c r="AV328" s="16"/>
      <c r="AW328" s="16"/>
    </row>
    <row r="329" ht="14.25" customHeight="1">
      <c r="A329" s="15" t="s">
        <v>715</v>
      </c>
      <c r="B329" s="16">
        <v>305326.0</v>
      </c>
      <c r="C329" s="16">
        <v>305325.0</v>
      </c>
      <c r="D329" s="16">
        <v>305325.0</v>
      </c>
      <c r="E329" s="16">
        <v>289522.0</v>
      </c>
      <c r="F329" s="16">
        <v>289522.0</v>
      </c>
      <c r="G329" s="16">
        <v>1.3236469E7</v>
      </c>
      <c r="H329" s="15" t="s">
        <v>716</v>
      </c>
      <c r="I329" s="1" t="str">
        <f>VLOOKUP(C329,'mayo-26'!B:H,7,0)</f>
        <v>CLL 16N 6-34 1225</v>
      </c>
      <c r="J329" s="1" t="s">
        <v>449</v>
      </c>
      <c r="K329" s="10" t="str">
        <f>VLOOKUP(C329,'mayo-26'!B:J,9,0)</f>
        <v>NO</v>
      </c>
      <c r="L329" s="1" t="str">
        <f>VLOOKUP(C329,'mayo-26'!B:K,10,0)</f>
        <v>NO</v>
      </c>
      <c r="M329" s="15" t="s">
        <v>52</v>
      </c>
      <c r="N329" s="15" t="s">
        <v>89</v>
      </c>
      <c r="O329" s="15" t="s">
        <v>130</v>
      </c>
      <c r="P329" s="15" t="s">
        <v>126</v>
      </c>
      <c r="Q329" s="15" t="s">
        <v>56</v>
      </c>
      <c r="R329" s="15" t="s">
        <v>90</v>
      </c>
      <c r="S329" s="15" t="s">
        <v>143</v>
      </c>
      <c r="T329" s="15" t="s">
        <v>59</v>
      </c>
      <c r="U329" s="16">
        <v>2026.0</v>
      </c>
      <c r="V329" s="16">
        <v>6.0</v>
      </c>
      <c r="W329" s="16">
        <v>1.081875131E9</v>
      </c>
      <c r="X329" s="16">
        <v>1.081893603E9</v>
      </c>
      <c r="Y329" s="17">
        <v>46182.0</v>
      </c>
      <c r="Z329" s="17">
        <v>46207.0</v>
      </c>
      <c r="AA329" s="16">
        <v>146135.76</v>
      </c>
      <c r="AB329" s="16">
        <v>146135.76</v>
      </c>
      <c r="AC329" s="16">
        <v>42781.72</v>
      </c>
      <c r="AD329" s="16">
        <v>252.5</v>
      </c>
      <c r="AE329" s="16">
        <v>17790.62</v>
      </c>
      <c r="AF329" s="16">
        <v>0.0</v>
      </c>
      <c r="AG329" s="16">
        <v>0.0</v>
      </c>
      <c r="AH329" s="16">
        <v>0.0</v>
      </c>
      <c r="AI329" s="16">
        <v>0.0</v>
      </c>
      <c r="AJ329" s="16">
        <v>146135.76</v>
      </c>
      <c r="AK329" s="16">
        <v>1276588.06</v>
      </c>
      <c r="AL329" s="16">
        <v>8.0</v>
      </c>
      <c r="AM329" s="16">
        <v>376.2</v>
      </c>
      <c r="AN329" s="16">
        <v>0.0</v>
      </c>
      <c r="AO329" s="18"/>
      <c r="AP329" s="18"/>
      <c r="AQ329" s="18"/>
      <c r="AR329" s="18"/>
      <c r="AS329" s="11" t="str">
        <f>VLOOKUP(C329,'mayo-26'!B:AS,44,0)</f>
        <v>PROVEEDORFACTURA-E@DISTRAVES.COM;DOSMA@DISTRAVES.COM</v>
      </c>
      <c r="AT329" s="12" t="str">
        <f>VLOOKUP(C329,'mayo-26'!B:AT,45,0)</f>
        <v>CORREO ELECTRONICO CERTIFICADO 472</v>
      </c>
      <c r="AU329" s="16"/>
      <c r="AV329" s="16"/>
      <c r="AW329" s="16"/>
    </row>
    <row r="330" ht="14.25" customHeight="1">
      <c r="A330" s="15" t="s">
        <v>717</v>
      </c>
      <c r="B330" s="16">
        <v>313378.0</v>
      </c>
      <c r="C330" s="16">
        <v>313377.0</v>
      </c>
      <c r="D330" s="16">
        <v>313377.0</v>
      </c>
      <c r="E330" s="16">
        <v>439489.0</v>
      </c>
      <c r="F330" s="16">
        <v>439489.0</v>
      </c>
      <c r="G330" s="16">
        <v>1.3436679E7</v>
      </c>
      <c r="H330" s="15" t="s">
        <v>718</v>
      </c>
      <c r="I330" s="1" t="str">
        <f>VLOOKUP(C330,'mayo-26'!B:H,7,0)</f>
        <v>CLL 17N 5-75 1219</v>
      </c>
      <c r="J330" s="1" t="s">
        <v>172</v>
      </c>
      <c r="K330" s="10" t="str">
        <f>VLOOKUP(C330,'mayo-26'!B:J,9,0)</f>
        <v>ZONA NORTE</v>
      </c>
      <c r="L330" s="1" t="str">
        <f>VLOOKUP(C330,'mayo-26'!B:K,10,0)</f>
        <v>NO</v>
      </c>
      <c r="M330" s="15" t="s">
        <v>52</v>
      </c>
      <c r="N330" s="15" t="s">
        <v>89</v>
      </c>
      <c r="O330" s="15" t="s">
        <v>130</v>
      </c>
      <c r="P330" s="15" t="s">
        <v>126</v>
      </c>
      <c r="Q330" s="15" t="s">
        <v>131</v>
      </c>
      <c r="R330" s="15" t="s">
        <v>538</v>
      </c>
      <c r="S330" s="15" t="s">
        <v>133</v>
      </c>
      <c r="T330" s="15" t="s">
        <v>59</v>
      </c>
      <c r="U330" s="16">
        <v>2026.0</v>
      </c>
      <c r="V330" s="16">
        <v>6.0</v>
      </c>
      <c r="W330" s="16">
        <v>1.081875137E9</v>
      </c>
      <c r="X330" s="16">
        <v>1.081893609E9</v>
      </c>
      <c r="Y330" s="17">
        <v>46182.0</v>
      </c>
      <c r="Z330" s="17">
        <v>46207.0</v>
      </c>
      <c r="AA330" s="16">
        <v>133140.74</v>
      </c>
      <c r="AB330" s="16">
        <v>133140.74</v>
      </c>
      <c r="AC330" s="16">
        <v>31416.0</v>
      </c>
      <c r="AD330" s="16">
        <v>0.0</v>
      </c>
      <c r="AE330" s="16">
        <v>38892.74</v>
      </c>
      <c r="AF330" s="16">
        <v>0.0</v>
      </c>
      <c r="AG330" s="16">
        <v>0.0</v>
      </c>
      <c r="AH330" s="16">
        <v>0.0</v>
      </c>
      <c r="AI330" s="16">
        <v>0.0</v>
      </c>
      <c r="AJ330" s="16">
        <v>133140.74</v>
      </c>
      <c r="AK330" s="16">
        <v>2568090.98</v>
      </c>
      <c r="AL330" s="16">
        <v>27.0</v>
      </c>
      <c r="AM330" s="16">
        <v>376.2</v>
      </c>
      <c r="AN330" s="16">
        <v>0.0</v>
      </c>
      <c r="AO330" s="18"/>
      <c r="AP330" s="18"/>
      <c r="AQ330" s="18"/>
      <c r="AR330" s="18"/>
      <c r="AS330" s="11" t="str">
        <f>VLOOKUP(C330,'mayo-26'!B:AS,44,0)</f>
        <v>COLDISALIMENTOS@GMAIL.COM</v>
      </c>
      <c r="AT330" s="12" t="str">
        <f>VLOOKUP(C330,'mayo-26'!B:AT,45,0)</f>
        <v>VERIFICADOR</v>
      </c>
      <c r="AU330" s="16"/>
      <c r="AV330" s="16"/>
      <c r="AW330" s="16"/>
    </row>
    <row r="331" ht="14.25" customHeight="1">
      <c r="A331" s="15" t="s">
        <v>719</v>
      </c>
      <c r="B331" s="16">
        <v>705.0</v>
      </c>
      <c r="C331" s="16">
        <v>314773.0</v>
      </c>
      <c r="D331" s="16">
        <v>314773.0</v>
      </c>
      <c r="E331" s="16">
        <v>451863.0</v>
      </c>
      <c r="F331" s="16">
        <v>451863.0</v>
      </c>
      <c r="G331" s="16">
        <v>8.60053831E8</v>
      </c>
      <c r="H331" s="15" t="s">
        <v>720</v>
      </c>
      <c r="I331" s="1" t="str">
        <f>VLOOKUP(C331,'mayo-26'!B:H,7,0)</f>
        <v>R31 CC JARDIN PLAZA</v>
      </c>
      <c r="J331" s="1" t="s">
        <v>214</v>
      </c>
      <c r="K331" s="10" t="str">
        <f>VLOOKUP(C331,'mayo-26'!B:J,9,0)</f>
        <v>ZONA NORTE</v>
      </c>
      <c r="L331" s="1" t="str">
        <f>VLOOKUP(C331,'mayo-26'!B:K,10,0)</f>
        <v>NO</v>
      </c>
      <c r="M331" s="15" t="s">
        <v>52</v>
      </c>
      <c r="N331" s="15" t="s">
        <v>138</v>
      </c>
      <c r="O331" s="15" t="s">
        <v>130</v>
      </c>
      <c r="P331" s="15" t="s">
        <v>126</v>
      </c>
      <c r="Q331" s="15" t="s">
        <v>56</v>
      </c>
      <c r="R331" s="15" t="s">
        <v>90</v>
      </c>
      <c r="S331" s="15" t="s">
        <v>143</v>
      </c>
      <c r="T331" s="15" t="s">
        <v>59</v>
      </c>
      <c r="U331" s="16">
        <v>2026.0</v>
      </c>
      <c r="V331" s="16">
        <v>6.0</v>
      </c>
      <c r="W331" s="16">
        <v>1.081875142E9</v>
      </c>
      <c r="X331" s="16">
        <v>1.081893614E9</v>
      </c>
      <c r="Y331" s="17">
        <v>46182.0</v>
      </c>
      <c r="Z331" s="17">
        <v>46207.0</v>
      </c>
      <c r="AA331" s="16">
        <v>262840.37</v>
      </c>
      <c r="AB331" s="16">
        <v>262840.37</v>
      </c>
      <c r="AC331" s="16">
        <v>87613.46</v>
      </c>
      <c r="AD331" s="16">
        <v>725.0</v>
      </c>
      <c r="AE331" s="16">
        <v>0.0</v>
      </c>
      <c r="AF331" s="16">
        <v>0.0</v>
      </c>
      <c r="AG331" s="16">
        <v>0.0</v>
      </c>
      <c r="AH331" s="16">
        <v>0.0</v>
      </c>
      <c r="AI331" s="16">
        <v>0.0</v>
      </c>
      <c r="AJ331" s="16">
        <v>262840.37</v>
      </c>
      <c r="AK331" s="16">
        <v>262840.37</v>
      </c>
      <c r="AL331" s="16">
        <v>0.0</v>
      </c>
      <c r="AM331" s="16">
        <v>376.2</v>
      </c>
      <c r="AN331" s="16">
        <v>0.0</v>
      </c>
      <c r="AO331" s="18"/>
      <c r="AP331" s="18"/>
      <c r="AQ331" s="18"/>
      <c r="AR331" s="18"/>
      <c r="AS331" s="11" t="str">
        <f>VLOOKUP(C331,'mayo-26'!B:AS,44,0)</f>
        <v>SERVICIOSPUBLICOS@HELADOSPOPSY.COM</v>
      </c>
      <c r="AT331" s="12" t="str">
        <f>VLOOKUP(C331,'mayo-26'!B:AT,45,0)</f>
        <v>VERIFICADOR</v>
      </c>
      <c r="AU331" s="16"/>
      <c r="AV331" s="16"/>
      <c r="AW331" s="16"/>
    </row>
    <row r="332" ht="14.25" customHeight="1">
      <c r="A332" s="15" t="s">
        <v>721</v>
      </c>
      <c r="B332" s="16">
        <v>314877.0</v>
      </c>
      <c r="C332" s="16">
        <v>314777.0</v>
      </c>
      <c r="D332" s="16">
        <v>314777.0</v>
      </c>
      <c r="E332" s="16">
        <v>451868.0</v>
      </c>
      <c r="F332" s="16">
        <v>451868.0</v>
      </c>
      <c r="G332" s="16">
        <v>8.60503159E8</v>
      </c>
      <c r="H332" s="15" t="s">
        <v>371</v>
      </c>
      <c r="I332" s="1" t="str">
        <f>VLOOKUP(C332,'mayo-26'!B:H,7,0)</f>
        <v>AVE LIBERTADORES CANAL BOGOTA LOC 23 1079</v>
      </c>
      <c r="J332" s="1" t="s">
        <v>214</v>
      </c>
      <c r="K332" s="10" t="str">
        <f>VLOOKUP(C332,'mayo-26'!B:J,9,0)</f>
        <v>ZONA NORTE</v>
      </c>
      <c r="L332" s="1" t="str">
        <f>VLOOKUP(C332,'mayo-26'!B:K,10,0)</f>
        <v>PASH</v>
      </c>
      <c r="M332" s="15" t="s">
        <v>52</v>
      </c>
      <c r="N332" s="15" t="s">
        <v>89</v>
      </c>
      <c r="O332" s="15" t="s">
        <v>130</v>
      </c>
      <c r="P332" s="15" t="s">
        <v>126</v>
      </c>
      <c r="Q332" s="15" t="s">
        <v>56</v>
      </c>
      <c r="R332" s="15" t="s">
        <v>90</v>
      </c>
      <c r="S332" s="15" t="s">
        <v>143</v>
      </c>
      <c r="T332" s="15" t="s">
        <v>59</v>
      </c>
      <c r="U332" s="16">
        <v>2026.0</v>
      </c>
      <c r="V332" s="16">
        <v>6.0</v>
      </c>
      <c r="W332" s="16">
        <v>1.081875147E9</v>
      </c>
      <c r="X332" s="16">
        <v>1.081893619E9</v>
      </c>
      <c r="Y332" s="17">
        <v>46182.0</v>
      </c>
      <c r="Z332" s="17">
        <v>46207.0</v>
      </c>
      <c r="AA332" s="16">
        <v>188832.41</v>
      </c>
      <c r="AB332" s="16">
        <v>188832.41</v>
      </c>
      <c r="AC332" s="16">
        <v>62944.14</v>
      </c>
      <c r="AD332" s="16">
        <v>465.0</v>
      </c>
      <c r="AE332" s="16">
        <v>0.0</v>
      </c>
      <c r="AF332" s="16">
        <v>0.0</v>
      </c>
      <c r="AG332" s="16">
        <v>0.0</v>
      </c>
      <c r="AH332" s="16">
        <v>0.0</v>
      </c>
      <c r="AI332" s="16">
        <v>0.0</v>
      </c>
      <c r="AJ332" s="16">
        <v>188832.41</v>
      </c>
      <c r="AK332" s="16">
        <v>188832.41</v>
      </c>
      <c r="AL332" s="16">
        <v>0.0</v>
      </c>
      <c r="AM332" s="16">
        <v>376.2</v>
      </c>
      <c r="AN332" s="16">
        <v>0.0</v>
      </c>
      <c r="AO332" s="18"/>
      <c r="AP332" s="18"/>
      <c r="AQ332" s="18"/>
      <c r="AR332" s="18"/>
      <c r="AS332" s="11" t="str">
        <f>VLOOKUP(C332,'mayo-26'!B:AS,44,0)</f>
        <v>SERVICIOSPUBLICOS@PASH.COM.CO; abayona@tekstelas.com; kguavita@tekstelas.com</v>
      </c>
      <c r="AT332" s="12" t="str">
        <f>VLOOKUP(C332,'mayo-26'!B:AT,45,0)</f>
        <v>VERIFICADOR</v>
      </c>
      <c r="AU332" s="16"/>
      <c r="AV332" s="16"/>
      <c r="AW332" s="16"/>
    </row>
    <row r="333" ht="14.25" customHeight="1">
      <c r="A333" s="19" t="s">
        <v>722</v>
      </c>
      <c r="B333" s="16">
        <v>314806.0</v>
      </c>
      <c r="C333" s="16">
        <v>314805.0</v>
      </c>
      <c r="D333" s="16">
        <v>314805.0</v>
      </c>
      <c r="E333" s="16">
        <v>451899.0</v>
      </c>
      <c r="F333" s="16">
        <v>451899.0</v>
      </c>
      <c r="G333" s="16">
        <v>8.30101778E8</v>
      </c>
      <c r="H333" s="15" t="s">
        <v>723</v>
      </c>
      <c r="I333" s="1" t="str">
        <f>VLOOKUP(C333,'mayo-26'!B:H,7,0)</f>
        <v>AVE LIBERTADORES CANAL BOGOTA LOC 102 1079</v>
      </c>
      <c r="J333" s="1" t="s">
        <v>214</v>
      </c>
      <c r="K333" s="10" t="str">
        <f>VLOOKUP(C333,'mayo-26'!B:J,9,0)</f>
        <v>NO</v>
      </c>
      <c r="L333" s="1" t="str">
        <f>VLOOKUP(C333,'mayo-26'!B:K,10,0)</f>
        <v>VERTEBRA</v>
      </c>
      <c r="M333" s="15" t="s">
        <v>52</v>
      </c>
      <c r="N333" s="15" t="s">
        <v>89</v>
      </c>
      <c r="O333" s="15" t="s">
        <v>130</v>
      </c>
      <c r="P333" s="15" t="s">
        <v>126</v>
      </c>
      <c r="Q333" s="15" t="s">
        <v>56</v>
      </c>
      <c r="R333" s="15" t="s">
        <v>90</v>
      </c>
      <c r="S333" s="15" t="s">
        <v>143</v>
      </c>
      <c r="T333" s="15" t="s">
        <v>59</v>
      </c>
      <c r="U333" s="16">
        <v>2026.0</v>
      </c>
      <c r="V333" s="16">
        <v>6.0</v>
      </c>
      <c r="W333" s="16">
        <v>1.081875151E9</v>
      </c>
      <c r="X333" s="16">
        <v>1.081893623E9</v>
      </c>
      <c r="Y333" s="17">
        <v>46182.0</v>
      </c>
      <c r="Z333" s="17">
        <v>46207.0</v>
      </c>
      <c r="AA333" s="16">
        <v>262840.37</v>
      </c>
      <c r="AB333" s="16">
        <v>262840.37</v>
      </c>
      <c r="AC333" s="16">
        <v>87613.46</v>
      </c>
      <c r="AD333" s="16">
        <v>725.0</v>
      </c>
      <c r="AE333" s="16">
        <v>0.0</v>
      </c>
      <c r="AF333" s="16">
        <v>0.0</v>
      </c>
      <c r="AG333" s="16">
        <v>0.0</v>
      </c>
      <c r="AH333" s="16">
        <v>0.0</v>
      </c>
      <c r="AI333" s="16">
        <v>0.0</v>
      </c>
      <c r="AJ333" s="16">
        <v>262840.37</v>
      </c>
      <c r="AK333" s="16">
        <v>262840.37</v>
      </c>
      <c r="AL333" s="16">
        <v>0.0</v>
      </c>
      <c r="AM333" s="16">
        <v>376.2</v>
      </c>
      <c r="AN333" s="16">
        <v>0.0</v>
      </c>
      <c r="AO333" s="18"/>
      <c r="AP333" s="18"/>
      <c r="AQ333" s="18"/>
      <c r="AR333" s="18"/>
      <c r="AS333" s="11" t="str">
        <f>VLOOKUP(C333,'mayo-26'!B:AS,44,0)</f>
        <v>PRESTO_467@MESOFOODS.COM</v>
      </c>
      <c r="AT333" s="12" t="str">
        <f>VLOOKUP(C333,'mayo-26'!B:AT,45,0)</f>
        <v>VERIFICADOR</v>
      </c>
      <c r="AU333" s="16"/>
      <c r="AV333" s="16"/>
      <c r="AW333" s="16"/>
    </row>
    <row r="334" ht="14.25" customHeight="1">
      <c r="A334" s="15" t="s">
        <v>724</v>
      </c>
      <c r="B334" s="16">
        <v>3154.0</v>
      </c>
      <c r="C334" s="16">
        <v>3153.0</v>
      </c>
      <c r="D334" s="16">
        <v>3153.0</v>
      </c>
      <c r="E334" s="16">
        <v>8.0120288E7</v>
      </c>
      <c r="F334" s="16">
        <v>8.0120288E7</v>
      </c>
      <c r="G334" s="16">
        <v>9.00160148E8</v>
      </c>
      <c r="H334" s="15" t="s">
        <v>725</v>
      </c>
      <c r="I334" s="1" t="str">
        <f>VLOOKUP(C334,'mayo-26'!B:H,7,0)</f>
        <v>AVE LIBERTADORES CON - CANAL BOGOTA 1079</v>
      </c>
      <c r="J334" s="1" t="s">
        <v>214</v>
      </c>
      <c r="K334" s="10" t="str">
        <f>VLOOKUP(C334,'mayo-26'!B:J,9,0)</f>
        <v>NO</v>
      </c>
      <c r="L334" s="1" t="str">
        <f>VLOOKUP(C334,'mayo-26'!B:K,10,0)</f>
        <v>NO</v>
      </c>
      <c r="M334" s="15" t="s">
        <v>52</v>
      </c>
      <c r="N334" s="15" t="s">
        <v>89</v>
      </c>
      <c r="O334" s="15" t="s">
        <v>130</v>
      </c>
      <c r="P334" s="15" t="s">
        <v>126</v>
      </c>
      <c r="Q334" s="15" t="s">
        <v>56</v>
      </c>
      <c r="R334" s="15" t="s">
        <v>90</v>
      </c>
      <c r="S334" s="15" t="s">
        <v>143</v>
      </c>
      <c r="T334" s="15" t="s">
        <v>59</v>
      </c>
      <c r="U334" s="16">
        <v>2026.0</v>
      </c>
      <c r="V334" s="16">
        <v>6.0</v>
      </c>
      <c r="W334" s="16">
        <v>1.081874929E9</v>
      </c>
      <c r="X334" s="16">
        <v>1.081893401E9</v>
      </c>
      <c r="Y334" s="17">
        <v>46182.0</v>
      </c>
      <c r="Z334" s="17">
        <v>46207.0</v>
      </c>
      <c r="AA334" s="16">
        <v>262840.37</v>
      </c>
      <c r="AB334" s="16">
        <v>262840.37</v>
      </c>
      <c r="AC334" s="16">
        <v>87613.46</v>
      </c>
      <c r="AD334" s="16">
        <v>725.0</v>
      </c>
      <c r="AE334" s="16">
        <v>0.0</v>
      </c>
      <c r="AF334" s="16">
        <v>0.0</v>
      </c>
      <c r="AG334" s="16">
        <v>0.0</v>
      </c>
      <c r="AH334" s="16">
        <v>0.0</v>
      </c>
      <c r="AI334" s="16">
        <v>0.0</v>
      </c>
      <c r="AJ334" s="16">
        <v>262840.37</v>
      </c>
      <c r="AK334" s="16">
        <v>262840.37</v>
      </c>
      <c r="AL334" s="16">
        <v>0.0</v>
      </c>
      <c r="AM334" s="16">
        <v>376.2</v>
      </c>
      <c r="AN334" s="16">
        <v>0.0</v>
      </c>
      <c r="AO334" s="18"/>
      <c r="AP334" s="18"/>
      <c r="AQ334" s="18"/>
      <c r="AR334" s="18"/>
      <c r="AS334" s="11" t="str">
        <f>VLOOKUP(C334,'mayo-26'!B:AS,44,0)</f>
        <v>contabilidad@unicentrocucuta.com</v>
      </c>
      <c r="AT334" s="12" t="str">
        <f>VLOOKUP(C334,'mayo-26'!B:AT,45,0)</f>
        <v>CORREO ELECTRONICO CERTIFICADO 472</v>
      </c>
      <c r="AU334" s="16"/>
      <c r="AV334" s="16"/>
      <c r="AW334" s="16"/>
    </row>
    <row r="335" ht="14.25" customHeight="1">
      <c r="A335" s="15" t="s">
        <v>726</v>
      </c>
      <c r="B335" s="16">
        <v>3158.0</v>
      </c>
      <c r="C335" s="16">
        <v>3157.0</v>
      </c>
      <c r="D335" s="16">
        <v>3157.0</v>
      </c>
      <c r="E335" s="16">
        <v>8.0123483E7</v>
      </c>
      <c r="F335" s="16">
        <v>8.0123483E7</v>
      </c>
      <c r="G335" s="16">
        <v>8.0400189E8</v>
      </c>
      <c r="H335" s="15" t="s">
        <v>727</v>
      </c>
      <c r="I335" s="1" t="str">
        <f>VLOOKUP(C335,'mayo-26'!B:H,7,0)</f>
        <v>AV 4 # 10N-61 URBANIZACION EL BOSQUE</v>
      </c>
      <c r="J335" s="1" t="s">
        <v>728</v>
      </c>
      <c r="K335" s="10" t="str">
        <f>VLOOKUP(C335,'mayo-26'!B:J,9,0)</f>
        <v>ZONA NORTE</v>
      </c>
      <c r="L335" s="1" t="str">
        <f>VLOOKUP(C335,'mayo-26'!B:K,10,0)</f>
        <v>NO</v>
      </c>
      <c r="M335" s="15" t="s">
        <v>52</v>
      </c>
      <c r="N335" s="15" t="s">
        <v>89</v>
      </c>
      <c r="O335" s="15" t="s">
        <v>130</v>
      </c>
      <c r="P335" s="15" t="s">
        <v>126</v>
      </c>
      <c r="Q335" s="15" t="s">
        <v>56</v>
      </c>
      <c r="R335" s="15" t="s">
        <v>90</v>
      </c>
      <c r="S335" s="15" t="s">
        <v>58</v>
      </c>
      <c r="T335" s="15" t="s">
        <v>59</v>
      </c>
      <c r="U335" s="16">
        <v>2026.0</v>
      </c>
      <c r="V335" s="16">
        <v>6.0</v>
      </c>
      <c r="W335" s="16">
        <v>1.081874931E9</v>
      </c>
      <c r="X335" s="16">
        <v>1.081893403E9</v>
      </c>
      <c r="Y335" s="17">
        <v>46182.0</v>
      </c>
      <c r="Z335" s="17">
        <v>46207.0</v>
      </c>
      <c r="AA335" s="16">
        <v>2061366.58</v>
      </c>
      <c r="AB335" s="16">
        <v>2061366.58</v>
      </c>
      <c r="AC335" s="16">
        <v>686556.08</v>
      </c>
      <c r="AD335" s="16">
        <v>7037.5</v>
      </c>
      <c r="AE335" s="16">
        <v>1698.35</v>
      </c>
      <c r="AF335" s="16">
        <v>0.0</v>
      </c>
      <c r="AG335" s="16">
        <v>0.0</v>
      </c>
      <c r="AH335" s="16">
        <v>0.0</v>
      </c>
      <c r="AI335" s="16">
        <v>0.0</v>
      </c>
      <c r="AJ335" s="16">
        <v>1478034.49</v>
      </c>
      <c r="AK335" s="16">
        <v>1478034.49</v>
      </c>
      <c r="AL335" s="16">
        <v>0.0</v>
      </c>
      <c r="AM335" s="16">
        <v>376.2</v>
      </c>
      <c r="AN335" s="16">
        <v>0.0</v>
      </c>
      <c r="AO335" s="18"/>
      <c r="AP335" s="18"/>
      <c r="AQ335" s="16">
        <v>583332.09</v>
      </c>
      <c r="AR335" s="18"/>
      <c r="AS335" s="11" t="str">
        <f>VLOOKUP(C335,'mayo-26'!B:AS,44,0)</f>
        <v>804001890@FACTUREINBOX.CO</v>
      </c>
      <c r="AT335" s="12" t="str">
        <f>VLOOKUP(C335,'mayo-26'!B:AT,45,0)</f>
        <v>VERIFICADOR</v>
      </c>
      <c r="AU335" s="16"/>
      <c r="AV335" s="16"/>
      <c r="AW335" s="16"/>
    </row>
    <row r="336" ht="14.25" customHeight="1">
      <c r="A336" s="15" t="s">
        <v>729</v>
      </c>
      <c r="B336" s="16">
        <v>3162.0</v>
      </c>
      <c r="C336" s="16">
        <v>3161.0</v>
      </c>
      <c r="D336" s="16">
        <v>3161.0</v>
      </c>
      <c r="E336" s="16">
        <v>8.0123487E7</v>
      </c>
      <c r="F336" s="16">
        <v>8.0123487E7</v>
      </c>
      <c r="G336" s="16">
        <v>8.90201881E8</v>
      </c>
      <c r="H336" s="15" t="s">
        <v>730</v>
      </c>
      <c r="I336" s="1" t="str">
        <f>VLOOKUP(C336,'mayo-26'!B:H,7,0)</f>
        <v>CALLE 0 NO. 7A-06/106</v>
      </c>
      <c r="J336" s="1" t="s">
        <v>230</v>
      </c>
      <c r="K336" s="10" t="str">
        <f>VLOOKUP(C336,'mayo-26'!B:J,9,0)</f>
        <v>ZONA NORTE</v>
      </c>
      <c r="L336" s="1" t="str">
        <f>VLOOKUP(C336,'mayo-26'!B:K,10,0)</f>
        <v>NO</v>
      </c>
      <c r="M336" s="15" t="s">
        <v>52</v>
      </c>
      <c r="N336" s="15" t="s">
        <v>89</v>
      </c>
      <c r="O336" s="15" t="s">
        <v>130</v>
      </c>
      <c r="P336" s="15" t="s">
        <v>126</v>
      </c>
      <c r="Q336" s="15" t="s">
        <v>131</v>
      </c>
      <c r="R336" s="15" t="s">
        <v>132</v>
      </c>
      <c r="S336" s="15" t="s">
        <v>133</v>
      </c>
      <c r="T336" s="15" t="s">
        <v>59</v>
      </c>
      <c r="U336" s="16">
        <v>2026.0</v>
      </c>
      <c r="V336" s="16">
        <v>6.0</v>
      </c>
      <c r="W336" s="16">
        <v>1.081874936E9</v>
      </c>
      <c r="X336" s="16">
        <v>1.081893408E9</v>
      </c>
      <c r="Y336" s="17">
        <v>46182.0</v>
      </c>
      <c r="Z336" s="17">
        <v>46207.0</v>
      </c>
      <c r="AA336" s="16">
        <v>113128.5</v>
      </c>
      <c r="AB336" s="16">
        <v>113128.5</v>
      </c>
      <c r="AC336" s="16">
        <v>37709.5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6">
        <v>0.0</v>
      </c>
      <c r="AJ336" s="16">
        <v>113128.5</v>
      </c>
      <c r="AK336" s="16">
        <v>113129.0</v>
      </c>
      <c r="AL336" s="16">
        <v>1.0</v>
      </c>
      <c r="AM336" s="16">
        <v>376.2</v>
      </c>
      <c r="AN336" s="16">
        <v>0.0</v>
      </c>
      <c r="AO336" s="18"/>
      <c r="AP336" s="18"/>
      <c r="AQ336" s="18"/>
      <c r="AR336" s="18"/>
      <c r="AS336" s="11" t="str">
        <f>VLOOKUP(C336,'mayo-26'!B:AS,44,0)</f>
        <v>RECEPCIONFE@AVIDESAORIENTE.COM</v>
      </c>
      <c r="AT336" s="12" t="str">
        <f>VLOOKUP(C336,'mayo-26'!B:AT,45,0)</f>
        <v>VERIFICADOR</v>
      </c>
      <c r="AU336" s="16"/>
      <c r="AV336" s="16"/>
      <c r="AW336" s="16"/>
    </row>
    <row r="337" ht="14.25" customHeight="1">
      <c r="A337" s="15" t="s">
        <v>731</v>
      </c>
      <c r="B337" s="16">
        <v>455370.0</v>
      </c>
      <c r="C337" s="16">
        <v>3169.0</v>
      </c>
      <c r="D337" s="16">
        <v>3169.0</v>
      </c>
      <c r="E337" s="16">
        <v>8.0123495E7</v>
      </c>
      <c r="F337" s="16">
        <v>8.0123495E7</v>
      </c>
      <c r="G337" s="15" t="s">
        <v>148</v>
      </c>
      <c r="H337" s="15" t="s">
        <v>149</v>
      </c>
      <c r="I337" s="1" t="str">
        <f>VLOOKUP(C337,'mayo-26'!B:H,7,0)</f>
        <v>CALLE 10 NO 0E-16 EDF CENTRO EMPRESARIAL BLOQUE B HOTEL TONCHALA</v>
      </c>
      <c r="J337" s="1" t="s">
        <v>157</v>
      </c>
      <c r="K337" s="10" t="str">
        <f>VLOOKUP(C337,'mayo-26'!B:J,9,0)</f>
        <v>NO</v>
      </c>
      <c r="L337" s="1" t="str">
        <f>VLOOKUP(C337,'mayo-26'!B:K,10,0)</f>
        <v>COLEGIOS ZONA NORTE</v>
      </c>
      <c r="M337" s="15" t="s">
        <v>52</v>
      </c>
      <c r="N337" s="15" t="s">
        <v>138</v>
      </c>
      <c r="O337" s="15" t="s">
        <v>130</v>
      </c>
      <c r="P337" s="15" t="s">
        <v>126</v>
      </c>
      <c r="Q337" s="15" t="s">
        <v>56</v>
      </c>
      <c r="R337" s="15" t="s">
        <v>57</v>
      </c>
      <c r="S337" s="15" t="s">
        <v>143</v>
      </c>
      <c r="T337" s="15" t="s">
        <v>59</v>
      </c>
      <c r="U337" s="16">
        <v>2026.0</v>
      </c>
      <c r="V337" s="16">
        <v>6.0</v>
      </c>
      <c r="W337" s="16">
        <v>1.081874941E9</v>
      </c>
      <c r="X337" s="16">
        <v>1.081893413E9</v>
      </c>
      <c r="Y337" s="17">
        <v>46182.0</v>
      </c>
      <c r="Z337" s="17">
        <v>46207.0</v>
      </c>
      <c r="AA337" s="16">
        <v>425715.39</v>
      </c>
      <c r="AB337" s="16">
        <v>425715.39</v>
      </c>
      <c r="AC337" s="16">
        <v>0.0</v>
      </c>
      <c r="AD337" s="16">
        <v>2045.0</v>
      </c>
      <c r="AE337" s="16">
        <v>0.0</v>
      </c>
      <c r="AF337" s="16">
        <v>0.0</v>
      </c>
      <c r="AG337" s="16">
        <v>0.0</v>
      </c>
      <c r="AH337" s="16">
        <v>0.0</v>
      </c>
      <c r="AI337" s="16">
        <v>0.0</v>
      </c>
      <c r="AJ337" s="16">
        <v>425715.39</v>
      </c>
      <c r="AK337" s="16">
        <v>1268962.98</v>
      </c>
      <c r="AL337" s="16">
        <v>3.0</v>
      </c>
      <c r="AM337" s="16">
        <v>250.8</v>
      </c>
      <c r="AN337" s="16">
        <v>0.0</v>
      </c>
      <c r="AO337" s="18"/>
      <c r="AP337" s="18"/>
      <c r="AQ337" s="18"/>
      <c r="AR337" s="18"/>
      <c r="AS337" s="11" t="str">
        <f>VLOOKUP(C337,'mayo-26'!B:AS,44,0)</f>
        <v>AREAFINANCIERA@SEMCUCUTA.GOV.CO</v>
      </c>
      <c r="AT337" s="12" t="str">
        <f>VLOOKUP(C337,'mayo-26'!B:AT,45,0)</f>
        <v>CARTERA</v>
      </c>
      <c r="AU337" s="16"/>
      <c r="AV337" s="16"/>
      <c r="AW337" s="16"/>
    </row>
    <row r="338" ht="14.25" customHeight="1">
      <c r="A338" s="15" t="s">
        <v>732</v>
      </c>
      <c r="B338" s="16">
        <v>455370.0</v>
      </c>
      <c r="C338" s="16">
        <v>3173.0</v>
      </c>
      <c r="D338" s="16">
        <v>3173.0</v>
      </c>
      <c r="E338" s="16">
        <v>8.0123499E7</v>
      </c>
      <c r="F338" s="16">
        <v>8.0123499E7</v>
      </c>
      <c r="G338" s="15" t="s">
        <v>148</v>
      </c>
      <c r="H338" s="15" t="s">
        <v>149</v>
      </c>
      <c r="I338" s="1" t="str">
        <f>VLOOKUP(C338,'mayo-26'!B:H,7,0)</f>
        <v>CALLE 10 NO 0E-16 EDF CENTRO EMPRESARIAL BLOQUE B HOTEL TONCHALA</v>
      </c>
      <c r="J338" s="1" t="s">
        <v>162</v>
      </c>
      <c r="K338" s="10" t="str">
        <f>VLOOKUP(C338,'mayo-26'!B:J,9,0)</f>
        <v>NO</v>
      </c>
      <c r="L338" s="1" t="str">
        <f>VLOOKUP(C338,'mayo-26'!B:K,10,0)</f>
        <v>COLEGIOS ZONA NORTE</v>
      </c>
      <c r="M338" s="15" t="s">
        <v>52</v>
      </c>
      <c r="N338" s="15" t="s">
        <v>138</v>
      </c>
      <c r="O338" s="15" t="s">
        <v>130</v>
      </c>
      <c r="P338" s="15" t="s">
        <v>126</v>
      </c>
      <c r="Q338" s="15" t="s">
        <v>56</v>
      </c>
      <c r="R338" s="15" t="s">
        <v>57</v>
      </c>
      <c r="S338" s="15" t="s">
        <v>143</v>
      </c>
      <c r="T338" s="15" t="s">
        <v>59</v>
      </c>
      <c r="U338" s="16">
        <v>2026.0</v>
      </c>
      <c r="V338" s="16">
        <v>6.0</v>
      </c>
      <c r="W338" s="16">
        <v>1.081874947E9</v>
      </c>
      <c r="X338" s="16">
        <v>1.081893419E9</v>
      </c>
      <c r="Y338" s="17">
        <v>46182.0</v>
      </c>
      <c r="Z338" s="17">
        <v>46207.0</v>
      </c>
      <c r="AA338" s="16">
        <v>440896.51</v>
      </c>
      <c r="AB338" s="16">
        <v>440896.51</v>
      </c>
      <c r="AC338" s="16">
        <v>0.0</v>
      </c>
      <c r="AD338" s="16">
        <v>2125.0</v>
      </c>
      <c r="AE338" s="16">
        <v>0.0</v>
      </c>
      <c r="AF338" s="16">
        <v>0.0</v>
      </c>
      <c r="AG338" s="16">
        <v>0.0</v>
      </c>
      <c r="AH338" s="16">
        <v>0.0</v>
      </c>
      <c r="AI338" s="16">
        <v>0.0</v>
      </c>
      <c r="AJ338" s="16">
        <v>440896.51</v>
      </c>
      <c r="AK338" s="16">
        <v>1314149.22</v>
      </c>
      <c r="AL338" s="16">
        <v>3.0</v>
      </c>
      <c r="AM338" s="16">
        <v>250.8</v>
      </c>
      <c r="AN338" s="16">
        <v>0.0</v>
      </c>
      <c r="AO338" s="18"/>
      <c r="AP338" s="18"/>
      <c r="AQ338" s="18"/>
      <c r="AR338" s="18"/>
      <c r="AS338" s="11" t="str">
        <f>VLOOKUP(C338,'mayo-26'!B:AS,44,0)</f>
        <v>AREAFINANCIERA@SEMCUCUTA.GOV.CO</v>
      </c>
      <c r="AT338" s="12" t="str">
        <f>VLOOKUP(C338,'mayo-26'!B:AT,45,0)</f>
        <v>CARTERA</v>
      </c>
      <c r="AU338" s="16"/>
      <c r="AV338" s="16"/>
      <c r="AW338" s="16"/>
    </row>
    <row r="339" ht="14.25" customHeight="1">
      <c r="A339" s="15" t="s">
        <v>733</v>
      </c>
      <c r="B339" s="16">
        <v>455370.0</v>
      </c>
      <c r="C339" s="16">
        <v>3177.0</v>
      </c>
      <c r="D339" s="16">
        <v>3177.0</v>
      </c>
      <c r="E339" s="16">
        <v>8.0123503E7</v>
      </c>
      <c r="F339" s="16">
        <v>8.0123503E7</v>
      </c>
      <c r="G339" s="15" t="s">
        <v>148</v>
      </c>
      <c r="H339" s="15" t="s">
        <v>149</v>
      </c>
      <c r="I339" s="1" t="str">
        <f>VLOOKUP(C339,'mayo-26'!B:H,7,0)</f>
        <v>CALLE 10 NO 0E-16 EDF CENTRO EMPRESARIAL BLOQUE B HOTEL TONCHALA</v>
      </c>
      <c r="J339" s="1" t="s">
        <v>734</v>
      </c>
      <c r="K339" s="10" t="str">
        <f>VLOOKUP(C339,'mayo-26'!B:J,9,0)</f>
        <v>NO</v>
      </c>
      <c r="L339" s="1" t="str">
        <f>VLOOKUP(C339,'mayo-26'!B:K,10,0)</f>
        <v>COLEGIOS ZONA NORTE</v>
      </c>
      <c r="M339" s="15" t="s">
        <v>52</v>
      </c>
      <c r="N339" s="15" t="s">
        <v>138</v>
      </c>
      <c r="O339" s="15" t="s">
        <v>130</v>
      </c>
      <c r="P339" s="15" t="s">
        <v>126</v>
      </c>
      <c r="Q339" s="15" t="s">
        <v>56</v>
      </c>
      <c r="R339" s="15" t="s">
        <v>57</v>
      </c>
      <c r="S339" s="15" t="s">
        <v>143</v>
      </c>
      <c r="T339" s="15" t="s">
        <v>59</v>
      </c>
      <c r="U339" s="16">
        <v>2026.0</v>
      </c>
      <c r="V339" s="16">
        <v>6.0</v>
      </c>
      <c r="W339" s="16">
        <v>1.081874951E9</v>
      </c>
      <c r="X339" s="16">
        <v>1.081893423E9</v>
      </c>
      <c r="Y339" s="17">
        <v>46182.0</v>
      </c>
      <c r="Z339" s="17">
        <v>46207.0</v>
      </c>
      <c r="AA339" s="16">
        <v>354174.36</v>
      </c>
      <c r="AB339" s="16">
        <v>354174.36</v>
      </c>
      <c r="AC339" s="16">
        <v>0.0</v>
      </c>
      <c r="AD339" s="16">
        <v>1668.0</v>
      </c>
      <c r="AE339" s="16">
        <v>0.0</v>
      </c>
      <c r="AF339" s="16">
        <v>0.0</v>
      </c>
      <c r="AG339" s="16">
        <v>0.0</v>
      </c>
      <c r="AH339" s="16">
        <v>0.0</v>
      </c>
      <c r="AI339" s="16">
        <v>0.0</v>
      </c>
      <c r="AJ339" s="16">
        <v>354174.36</v>
      </c>
      <c r="AK339" s="16">
        <v>1056022.82</v>
      </c>
      <c r="AL339" s="16">
        <v>3.0</v>
      </c>
      <c r="AM339" s="16">
        <v>250.8</v>
      </c>
      <c r="AN339" s="16">
        <v>0.0</v>
      </c>
      <c r="AO339" s="18"/>
      <c r="AP339" s="18"/>
      <c r="AQ339" s="18"/>
      <c r="AR339" s="18"/>
      <c r="AS339" s="11" t="str">
        <f>VLOOKUP(C339,'mayo-26'!B:AS,44,0)</f>
        <v>AREAFINANCIERA@SEMCUCUTA.GOV.CO</v>
      </c>
      <c r="AT339" s="12" t="str">
        <f>VLOOKUP(C339,'mayo-26'!B:AT,45,0)</f>
        <v>CARTERA</v>
      </c>
      <c r="AU339" s="16"/>
      <c r="AV339" s="16"/>
      <c r="AW339" s="16"/>
    </row>
    <row r="340" ht="14.25" customHeight="1">
      <c r="A340" s="15" t="s">
        <v>735</v>
      </c>
      <c r="B340" s="16">
        <v>455370.0</v>
      </c>
      <c r="C340" s="16">
        <v>3181.0</v>
      </c>
      <c r="D340" s="16">
        <v>3181.0</v>
      </c>
      <c r="E340" s="16">
        <v>8.0123507E7</v>
      </c>
      <c r="F340" s="16">
        <v>8.0123507E7</v>
      </c>
      <c r="G340" s="15" t="s">
        <v>148</v>
      </c>
      <c r="H340" s="15" t="s">
        <v>149</v>
      </c>
      <c r="I340" s="1" t="str">
        <f>VLOOKUP(C340,'mayo-26'!B:H,7,0)</f>
        <v>CALLE 10 NO 0E-16 EDF CENTRO EMPRESARIAL BLOQUE B HOTEL TONCHALA</v>
      </c>
      <c r="J340" s="1" t="s">
        <v>165</v>
      </c>
      <c r="K340" s="10" t="str">
        <f>VLOOKUP(C340,'mayo-26'!B:J,9,0)</f>
        <v>NO</v>
      </c>
      <c r="L340" s="1" t="str">
        <f>VLOOKUP(C340,'mayo-26'!B:K,10,0)</f>
        <v>COLEGIOS ZONA NORTE</v>
      </c>
      <c r="M340" s="15" t="s">
        <v>52</v>
      </c>
      <c r="N340" s="15" t="s">
        <v>138</v>
      </c>
      <c r="O340" s="15" t="s">
        <v>130</v>
      </c>
      <c r="P340" s="15" t="s">
        <v>126</v>
      </c>
      <c r="Q340" s="15" t="s">
        <v>56</v>
      </c>
      <c r="R340" s="15" t="s">
        <v>57</v>
      </c>
      <c r="S340" s="15" t="s">
        <v>143</v>
      </c>
      <c r="T340" s="15" t="s">
        <v>59</v>
      </c>
      <c r="U340" s="16">
        <v>2026.0</v>
      </c>
      <c r="V340" s="16">
        <v>6.0</v>
      </c>
      <c r="W340" s="16">
        <v>1.081874954E9</v>
      </c>
      <c r="X340" s="16">
        <v>1.081893426E9</v>
      </c>
      <c r="Y340" s="17">
        <v>46182.0</v>
      </c>
      <c r="Z340" s="17">
        <v>46207.0</v>
      </c>
      <c r="AA340" s="16">
        <v>354174.36</v>
      </c>
      <c r="AB340" s="16">
        <v>354174.36</v>
      </c>
      <c r="AC340" s="16">
        <v>0.0</v>
      </c>
      <c r="AD340" s="16">
        <v>1668.0</v>
      </c>
      <c r="AE340" s="16">
        <v>0.0</v>
      </c>
      <c r="AF340" s="16">
        <v>0.0</v>
      </c>
      <c r="AG340" s="16">
        <v>0.0</v>
      </c>
      <c r="AH340" s="16">
        <v>0.0</v>
      </c>
      <c r="AI340" s="16">
        <v>0.0</v>
      </c>
      <c r="AJ340" s="16">
        <v>354174.36</v>
      </c>
      <c r="AK340" s="16">
        <v>1056022.82</v>
      </c>
      <c r="AL340" s="16">
        <v>3.0</v>
      </c>
      <c r="AM340" s="16">
        <v>250.8</v>
      </c>
      <c r="AN340" s="16">
        <v>0.0</v>
      </c>
      <c r="AO340" s="18"/>
      <c r="AP340" s="18"/>
      <c r="AQ340" s="18"/>
      <c r="AR340" s="18"/>
      <c r="AS340" s="11" t="str">
        <f>VLOOKUP(C340,'mayo-26'!B:AS,44,0)</f>
        <v>AREAFINANCIERA@SEMCUCUTA.GOV.CO</v>
      </c>
      <c r="AT340" s="12" t="str">
        <f>VLOOKUP(C340,'mayo-26'!B:AT,45,0)</f>
        <v>CARTERA</v>
      </c>
      <c r="AU340" s="16"/>
      <c r="AV340" s="16"/>
      <c r="AW340" s="16"/>
    </row>
    <row r="341" ht="14.25" customHeight="1">
      <c r="A341" s="15" t="s">
        <v>736</v>
      </c>
      <c r="B341" s="16">
        <v>455370.0</v>
      </c>
      <c r="C341" s="16">
        <v>3189.0</v>
      </c>
      <c r="D341" s="16">
        <v>3189.0</v>
      </c>
      <c r="E341" s="16">
        <v>8.0123515E7</v>
      </c>
      <c r="F341" s="16">
        <v>8.0123515E7</v>
      </c>
      <c r="G341" s="15" t="s">
        <v>148</v>
      </c>
      <c r="H341" s="15" t="s">
        <v>149</v>
      </c>
      <c r="I341" s="1" t="str">
        <f>VLOOKUP(C341,'mayo-26'!B:H,7,0)</f>
        <v>CALLE 10 NO 0E-16 EDF CENTRO EMPRESARIAL BLOQUE B HOTEL TONCHALA</v>
      </c>
      <c r="J341" s="1" t="s">
        <v>222</v>
      </c>
      <c r="K341" s="10" t="str">
        <f>VLOOKUP(C341,'mayo-26'!B:J,9,0)</f>
        <v>NO</v>
      </c>
      <c r="L341" s="1" t="str">
        <f>VLOOKUP(C341,'mayo-26'!B:K,10,0)</f>
        <v>COLEGIOS ZONA NORTE</v>
      </c>
      <c r="M341" s="15" t="s">
        <v>52</v>
      </c>
      <c r="N341" s="15" t="s">
        <v>138</v>
      </c>
      <c r="O341" s="15" t="s">
        <v>130</v>
      </c>
      <c r="P341" s="15" t="s">
        <v>126</v>
      </c>
      <c r="Q341" s="15" t="s">
        <v>56</v>
      </c>
      <c r="R341" s="15" t="s">
        <v>57</v>
      </c>
      <c r="S341" s="15" t="s">
        <v>143</v>
      </c>
      <c r="T341" s="15" t="s">
        <v>59</v>
      </c>
      <c r="U341" s="16">
        <v>2026.0</v>
      </c>
      <c r="V341" s="16">
        <v>6.0</v>
      </c>
      <c r="W341" s="16">
        <v>1.081874958E9</v>
      </c>
      <c r="X341" s="16">
        <v>1.08189343E9</v>
      </c>
      <c r="Y341" s="17">
        <v>46182.0</v>
      </c>
      <c r="Z341" s="17">
        <v>46207.0</v>
      </c>
      <c r="AA341" s="16">
        <v>412052.37</v>
      </c>
      <c r="AB341" s="16">
        <v>412052.37</v>
      </c>
      <c r="AC341" s="16">
        <v>0.0</v>
      </c>
      <c r="AD341" s="16">
        <v>1973.0</v>
      </c>
      <c r="AE341" s="16">
        <v>0.0</v>
      </c>
      <c r="AF341" s="16">
        <v>0.0</v>
      </c>
      <c r="AG341" s="16">
        <v>0.0</v>
      </c>
      <c r="AH341" s="16">
        <v>0.0</v>
      </c>
      <c r="AI341" s="16">
        <v>0.0</v>
      </c>
      <c r="AJ341" s="16">
        <v>412052.37</v>
      </c>
      <c r="AK341" s="16">
        <v>1228295.34</v>
      </c>
      <c r="AL341" s="16">
        <v>3.0</v>
      </c>
      <c r="AM341" s="16">
        <v>250.8</v>
      </c>
      <c r="AN341" s="16">
        <v>0.0</v>
      </c>
      <c r="AO341" s="18"/>
      <c r="AP341" s="18"/>
      <c r="AQ341" s="18"/>
      <c r="AR341" s="18"/>
      <c r="AS341" s="11" t="str">
        <f>VLOOKUP(C341,'mayo-26'!B:AS,44,0)</f>
        <v>AREAFINANCIERA@SEMCUCUTA.GOV.CO</v>
      </c>
      <c r="AT341" s="12" t="str">
        <f>VLOOKUP(C341,'mayo-26'!B:AT,45,0)</f>
        <v>CARTERA</v>
      </c>
      <c r="AU341" s="16"/>
      <c r="AV341" s="16"/>
      <c r="AW341" s="16"/>
    </row>
    <row r="342" ht="14.25" customHeight="1">
      <c r="A342" s="15" t="s">
        <v>737</v>
      </c>
      <c r="B342" s="16">
        <v>147.0</v>
      </c>
      <c r="C342" s="16">
        <v>3193.0</v>
      </c>
      <c r="D342" s="16">
        <v>3193.0</v>
      </c>
      <c r="E342" s="16">
        <v>8.0123519E7</v>
      </c>
      <c r="F342" s="16">
        <v>8.0123519E7</v>
      </c>
      <c r="G342" s="15" t="s">
        <v>179</v>
      </c>
      <c r="H342" s="15" t="s">
        <v>180</v>
      </c>
      <c r="I342" s="1" t="str">
        <f>VLOOKUP(C342,'mayo-26'!B:H,7,0)</f>
        <v>AVE 3 CLL 24 GARITA # 1</v>
      </c>
      <c r="J342" s="1" t="s">
        <v>253</v>
      </c>
      <c r="K342" s="10" t="str">
        <f>VLOOKUP(C342,'mayo-26'!B:J,9,0)</f>
        <v>NO</v>
      </c>
      <c r="L342" s="1" t="str">
        <f>VLOOKUP(C342,'mayo-26'!B:K,10,0)</f>
        <v>POLICIA</v>
      </c>
      <c r="M342" s="15" t="s">
        <v>52</v>
      </c>
      <c r="N342" s="15" t="s">
        <v>89</v>
      </c>
      <c r="O342" s="15" t="s">
        <v>130</v>
      </c>
      <c r="P342" s="15" t="s">
        <v>126</v>
      </c>
      <c r="Q342" s="15" t="s">
        <v>56</v>
      </c>
      <c r="R342" s="15" t="s">
        <v>57</v>
      </c>
      <c r="S342" s="15" t="s">
        <v>143</v>
      </c>
      <c r="T342" s="15" t="s">
        <v>59</v>
      </c>
      <c r="U342" s="16">
        <v>2026.0</v>
      </c>
      <c r="V342" s="16">
        <v>6.0</v>
      </c>
      <c r="W342" s="16">
        <v>1.08187496E9</v>
      </c>
      <c r="X342" s="16">
        <v>1.081893432E9</v>
      </c>
      <c r="Y342" s="17">
        <v>46182.0</v>
      </c>
      <c r="Z342" s="17">
        <v>46207.0</v>
      </c>
      <c r="AA342" s="16">
        <v>151980.82</v>
      </c>
      <c r="AB342" s="16">
        <v>151980.82</v>
      </c>
      <c r="AC342" s="16">
        <v>0.0</v>
      </c>
      <c r="AD342" s="16">
        <v>602.5</v>
      </c>
      <c r="AE342" s="16">
        <v>0.0</v>
      </c>
      <c r="AF342" s="16">
        <v>0.0</v>
      </c>
      <c r="AG342" s="16">
        <v>0.0</v>
      </c>
      <c r="AH342" s="16">
        <v>0.0</v>
      </c>
      <c r="AI342" s="16">
        <v>0.0</v>
      </c>
      <c r="AJ342" s="16">
        <v>151980.82</v>
      </c>
      <c r="AK342" s="16">
        <v>304503.91</v>
      </c>
      <c r="AL342" s="16">
        <v>1.0</v>
      </c>
      <c r="AM342" s="16">
        <v>250.8</v>
      </c>
      <c r="AN342" s="16">
        <v>0.0</v>
      </c>
      <c r="AO342" s="18"/>
      <c r="AP342" s="18"/>
      <c r="AQ342" s="18"/>
      <c r="AR342" s="18"/>
      <c r="AS342" s="11" t="str">
        <f>VLOOKUP(C342,'mayo-26'!B:AS,44,0)</f>
        <v>MECUC.GUBIR@POLICIA.GOV.CO</v>
      </c>
      <c r="AT342" s="12" t="str">
        <f>VLOOKUP(C342,'mayo-26'!B:AT,45,0)</f>
        <v>CORREO ELECTRONICO CERTIFICADO 472</v>
      </c>
      <c r="AU342" s="16"/>
      <c r="AV342" s="16"/>
      <c r="AW342" s="16"/>
    </row>
    <row r="343" ht="14.25" customHeight="1">
      <c r="A343" s="15" t="s">
        <v>738</v>
      </c>
      <c r="B343" s="16">
        <v>319414.0</v>
      </c>
      <c r="C343" s="16">
        <v>319413.0</v>
      </c>
      <c r="D343" s="16">
        <v>319413.0</v>
      </c>
      <c r="E343" s="16">
        <v>496903.0</v>
      </c>
      <c r="F343" s="16">
        <v>496903.0</v>
      </c>
      <c r="G343" s="16">
        <v>9.01269058E8</v>
      </c>
      <c r="H343" s="15" t="s">
        <v>739</v>
      </c>
      <c r="I343" s="1" t="str">
        <f>VLOOKUP(C343,'mayo-26'!B:H,7,0)</f>
        <v>CLL 18 22-49 1199</v>
      </c>
      <c r="J343" s="1" t="s">
        <v>740</v>
      </c>
      <c r="K343" s="10" t="str">
        <f>VLOOKUP(C343,'mayo-26'!B:J,9,0)</f>
        <v>NO</v>
      </c>
      <c r="L343" s="1" t="str">
        <f>VLOOKUP(C343,'mayo-26'!B:K,10,0)</f>
        <v>NO</v>
      </c>
      <c r="M343" s="15" t="s">
        <v>52</v>
      </c>
      <c r="N343" s="15" t="s">
        <v>89</v>
      </c>
      <c r="O343" s="15" t="s">
        <v>130</v>
      </c>
      <c r="P343" s="15" t="s">
        <v>126</v>
      </c>
      <c r="Q343" s="15" t="s">
        <v>56</v>
      </c>
      <c r="R343" s="15" t="s">
        <v>90</v>
      </c>
      <c r="S343" s="15" t="s">
        <v>143</v>
      </c>
      <c r="T343" s="15" t="s">
        <v>59</v>
      </c>
      <c r="U343" s="16">
        <v>2026.0</v>
      </c>
      <c r="V343" s="16">
        <v>6.0</v>
      </c>
      <c r="W343" s="16">
        <v>1.081875155E9</v>
      </c>
      <c r="X343" s="16">
        <v>1.081893627E9</v>
      </c>
      <c r="Y343" s="17">
        <v>46182.0</v>
      </c>
      <c r="Z343" s="17">
        <v>46207.0</v>
      </c>
      <c r="AA343" s="16">
        <v>341118.0</v>
      </c>
      <c r="AB343" s="16">
        <v>341118.0</v>
      </c>
      <c r="AC343" s="16">
        <v>113706.0</v>
      </c>
      <c r="AD343" s="16">
        <v>1000.0</v>
      </c>
      <c r="AE343" s="16">
        <v>0.0</v>
      </c>
      <c r="AF343" s="16">
        <v>0.0</v>
      </c>
      <c r="AG343" s="16">
        <v>0.0</v>
      </c>
      <c r="AH343" s="16">
        <v>0.0</v>
      </c>
      <c r="AI343" s="16">
        <v>0.0</v>
      </c>
      <c r="AJ343" s="16">
        <v>341118.0</v>
      </c>
      <c r="AK343" s="16">
        <v>341118.0</v>
      </c>
      <c r="AL343" s="16">
        <v>0.0</v>
      </c>
      <c r="AM343" s="16">
        <v>376.2</v>
      </c>
      <c r="AN343" s="16">
        <v>0.0</v>
      </c>
      <c r="AO343" s="18"/>
      <c r="AP343" s="18"/>
      <c r="AQ343" s="18"/>
      <c r="AR343" s="18"/>
      <c r="AS343" s="11" t="str">
        <f>VLOOKUP(C343,'mayo-26'!B:AS,44,0)</f>
        <v>CONTADORMKD@GMAIL.COM</v>
      </c>
      <c r="AT343" s="12" t="str">
        <f>VLOOKUP(C343,'mayo-26'!B:AT,45,0)</f>
        <v>CORREO ELECTRONICO CERTIFICADO 472</v>
      </c>
      <c r="AU343" s="16"/>
      <c r="AV343" s="16"/>
      <c r="AW343" s="16"/>
    </row>
    <row r="344" ht="14.25" customHeight="1">
      <c r="A344" s="15" t="s">
        <v>741</v>
      </c>
      <c r="B344" s="16">
        <v>455370.0</v>
      </c>
      <c r="C344" s="16">
        <v>3197.0</v>
      </c>
      <c r="D344" s="16">
        <v>3197.0</v>
      </c>
      <c r="E344" s="16">
        <v>8.0123523E7</v>
      </c>
      <c r="F344" s="16">
        <v>8.0123523E7</v>
      </c>
      <c r="G344" s="15" t="s">
        <v>148</v>
      </c>
      <c r="H344" s="15" t="s">
        <v>149</v>
      </c>
      <c r="I344" s="1" t="str">
        <f>VLOOKUP(C344,'mayo-26'!B:H,7,0)</f>
        <v>CALLE 10 NO 0E-16 EDF CENTRO EMPRESARIAL BLOQUE B HOTEL TONCHALA</v>
      </c>
      <c r="J344" s="1" t="s">
        <v>432</v>
      </c>
      <c r="K344" s="10" t="str">
        <f>VLOOKUP(C344,'mayo-26'!B:J,9,0)</f>
        <v>NO</v>
      </c>
      <c r="L344" s="1" t="str">
        <f>VLOOKUP(C344,'mayo-26'!B:K,10,0)</f>
        <v>COLEGIOS ZONA NORTE</v>
      </c>
      <c r="M344" s="15" t="s">
        <v>52</v>
      </c>
      <c r="N344" s="15" t="s">
        <v>138</v>
      </c>
      <c r="O344" s="15" t="s">
        <v>130</v>
      </c>
      <c r="P344" s="15" t="s">
        <v>126</v>
      </c>
      <c r="Q344" s="15" t="s">
        <v>56</v>
      </c>
      <c r="R344" s="15" t="s">
        <v>57</v>
      </c>
      <c r="S344" s="15" t="s">
        <v>143</v>
      </c>
      <c r="T344" s="15" t="s">
        <v>59</v>
      </c>
      <c r="U344" s="16">
        <v>2026.0</v>
      </c>
      <c r="V344" s="16">
        <v>6.0</v>
      </c>
      <c r="W344" s="16">
        <v>1.081874964E9</v>
      </c>
      <c r="X344" s="16">
        <v>1.081893436E9</v>
      </c>
      <c r="Y344" s="17">
        <v>46182.0</v>
      </c>
      <c r="Z344" s="17">
        <v>46207.0</v>
      </c>
      <c r="AA344" s="16">
        <v>464617.0</v>
      </c>
      <c r="AB344" s="16">
        <v>464617.0</v>
      </c>
      <c r="AC344" s="16">
        <v>0.0</v>
      </c>
      <c r="AD344" s="16">
        <v>2250.0</v>
      </c>
      <c r="AE344" s="16">
        <v>0.0</v>
      </c>
      <c r="AF344" s="16">
        <v>0.0</v>
      </c>
      <c r="AG344" s="16">
        <v>0.0</v>
      </c>
      <c r="AH344" s="16">
        <v>0.0</v>
      </c>
      <c r="AI344" s="16">
        <v>0.0</v>
      </c>
      <c r="AJ344" s="16">
        <v>464617.0</v>
      </c>
      <c r="AK344" s="16">
        <v>1384752.7</v>
      </c>
      <c r="AL344" s="16">
        <v>3.0</v>
      </c>
      <c r="AM344" s="16">
        <v>250.8</v>
      </c>
      <c r="AN344" s="16">
        <v>0.0</v>
      </c>
      <c r="AO344" s="18"/>
      <c r="AP344" s="18"/>
      <c r="AQ344" s="18"/>
      <c r="AR344" s="18"/>
      <c r="AS344" s="11" t="str">
        <f>VLOOKUP(C344,'mayo-26'!B:AS,44,0)</f>
        <v>AREAFINANCIERA@SEMCUCUTA.GOV.CO</v>
      </c>
      <c r="AT344" s="12" t="str">
        <f>VLOOKUP(C344,'mayo-26'!B:AT,45,0)</f>
        <v>CARTERA</v>
      </c>
      <c r="AU344" s="16"/>
      <c r="AV344" s="16"/>
      <c r="AW344" s="16"/>
    </row>
    <row r="345" ht="14.25" customHeight="1">
      <c r="A345" s="15" t="s">
        <v>742</v>
      </c>
      <c r="B345" s="16">
        <v>455370.0</v>
      </c>
      <c r="C345" s="16">
        <v>3201.0</v>
      </c>
      <c r="D345" s="16">
        <v>3201.0</v>
      </c>
      <c r="E345" s="16">
        <v>8.0123527E7</v>
      </c>
      <c r="F345" s="16">
        <v>8.0123527E7</v>
      </c>
      <c r="G345" s="15" t="s">
        <v>148</v>
      </c>
      <c r="H345" s="15" t="s">
        <v>149</v>
      </c>
      <c r="I345" s="1" t="str">
        <f>VLOOKUP(C345,'mayo-26'!B:H,7,0)</f>
        <v>CALLE 10 NO 0E-16 EDF CENTRO EMPRESARIAL BLOQUE B HOTEL TONCHALA</v>
      </c>
      <c r="J345" s="1" t="s">
        <v>390</v>
      </c>
      <c r="K345" s="10" t="str">
        <f>VLOOKUP(C345,'mayo-26'!B:J,9,0)</f>
        <v>NO</v>
      </c>
      <c r="L345" s="1" t="str">
        <f>VLOOKUP(C345,'mayo-26'!B:K,10,0)</f>
        <v>COLEGIOS ZONA NORTE</v>
      </c>
      <c r="M345" s="15" t="s">
        <v>52</v>
      </c>
      <c r="N345" s="15" t="s">
        <v>138</v>
      </c>
      <c r="O345" s="15" t="s">
        <v>130</v>
      </c>
      <c r="P345" s="15" t="s">
        <v>126</v>
      </c>
      <c r="Q345" s="15" t="s">
        <v>56</v>
      </c>
      <c r="R345" s="15" t="s">
        <v>57</v>
      </c>
      <c r="S345" s="15" t="s">
        <v>143</v>
      </c>
      <c r="T345" s="15" t="s">
        <v>59</v>
      </c>
      <c r="U345" s="16">
        <v>2026.0</v>
      </c>
      <c r="V345" s="16">
        <v>6.0</v>
      </c>
      <c r="W345" s="16">
        <v>1.081874968E9</v>
      </c>
      <c r="X345" s="16">
        <v>1.08189344E9</v>
      </c>
      <c r="Y345" s="17">
        <v>46182.0</v>
      </c>
      <c r="Z345" s="17">
        <v>46207.0</v>
      </c>
      <c r="AA345" s="16">
        <v>480746.95</v>
      </c>
      <c r="AB345" s="16">
        <v>480746.95</v>
      </c>
      <c r="AC345" s="16">
        <v>0.0</v>
      </c>
      <c r="AD345" s="16">
        <v>2335.0</v>
      </c>
      <c r="AE345" s="16">
        <v>0.0</v>
      </c>
      <c r="AF345" s="16">
        <v>0.0</v>
      </c>
      <c r="AG345" s="16">
        <v>0.0</v>
      </c>
      <c r="AH345" s="16">
        <v>0.0</v>
      </c>
      <c r="AI345" s="16">
        <v>0.0</v>
      </c>
      <c r="AJ345" s="16">
        <v>480746.95</v>
      </c>
      <c r="AK345" s="16">
        <v>1432763.1</v>
      </c>
      <c r="AL345" s="16">
        <v>3.0</v>
      </c>
      <c r="AM345" s="16">
        <v>250.8</v>
      </c>
      <c r="AN345" s="16">
        <v>0.0</v>
      </c>
      <c r="AO345" s="18"/>
      <c r="AP345" s="18"/>
      <c r="AQ345" s="18"/>
      <c r="AR345" s="18"/>
      <c r="AS345" s="11" t="str">
        <f>VLOOKUP(C345,'mayo-26'!B:AS,44,0)</f>
        <v>AREAFINANCIERA@SEMCUCUTA.GOV.CO</v>
      </c>
      <c r="AT345" s="12" t="str">
        <f>VLOOKUP(C345,'mayo-26'!B:AT,45,0)</f>
        <v>CARTERA</v>
      </c>
      <c r="AU345" s="16"/>
      <c r="AV345" s="16"/>
      <c r="AW345" s="16"/>
    </row>
    <row r="346" ht="14.25" customHeight="1">
      <c r="A346" s="15" t="s">
        <v>743</v>
      </c>
      <c r="B346" s="16">
        <v>3206.0</v>
      </c>
      <c r="C346" s="16">
        <v>3205.0</v>
      </c>
      <c r="D346" s="16">
        <v>3205.0</v>
      </c>
      <c r="E346" s="16">
        <v>8.0127824E7</v>
      </c>
      <c r="F346" s="16">
        <v>8.0127824E7</v>
      </c>
      <c r="G346" s="16">
        <v>9.00040299E9</v>
      </c>
      <c r="H346" s="15" t="s">
        <v>744</v>
      </c>
      <c r="I346" s="1" t="str">
        <f>VLOOKUP(C346,'mayo-26'!B:H,7,0)</f>
        <v>KDX 55-6-1 (AVE 5 2-47) 1116</v>
      </c>
      <c r="J346" s="1" t="s">
        <v>208</v>
      </c>
      <c r="K346" s="10" t="str">
        <f>VLOOKUP(C346,'mayo-26'!B:J,9,0)</f>
        <v>NO</v>
      </c>
      <c r="L346" s="1" t="str">
        <f>VLOOKUP(C346,'mayo-26'!B:K,10,0)</f>
        <v>NO</v>
      </c>
      <c r="M346" s="15" t="s">
        <v>52</v>
      </c>
      <c r="N346" s="15" t="s">
        <v>89</v>
      </c>
      <c r="O346" s="15" t="s">
        <v>130</v>
      </c>
      <c r="P346" s="15" t="s">
        <v>126</v>
      </c>
      <c r="Q346" s="15" t="s">
        <v>131</v>
      </c>
      <c r="R346" s="15" t="s">
        <v>538</v>
      </c>
      <c r="S346" s="15" t="s">
        <v>133</v>
      </c>
      <c r="T346" s="15" t="s">
        <v>59</v>
      </c>
      <c r="U346" s="16">
        <v>2026.0</v>
      </c>
      <c r="V346" s="16">
        <v>6.0</v>
      </c>
      <c r="W346" s="16">
        <v>1.081874972E9</v>
      </c>
      <c r="X346" s="16">
        <v>1.081893444E9</v>
      </c>
      <c r="Y346" s="17">
        <v>46182.0</v>
      </c>
      <c r="Z346" s="17">
        <v>46207.0</v>
      </c>
      <c r="AA346" s="16">
        <v>95178.55</v>
      </c>
      <c r="AB346" s="16">
        <v>95178.55</v>
      </c>
      <c r="AC346" s="16">
        <v>31416.0</v>
      </c>
      <c r="AD346" s="16">
        <v>0.0</v>
      </c>
      <c r="AE346" s="16">
        <v>930.55</v>
      </c>
      <c r="AF346" s="16">
        <v>0.0</v>
      </c>
      <c r="AG346" s="16">
        <v>0.0</v>
      </c>
      <c r="AH346" s="16">
        <v>0.0</v>
      </c>
      <c r="AI346" s="16">
        <v>0.0</v>
      </c>
      <c r="AJ346" s="16">
        <v>95178.55</v>
      </c>
      <c r="AK346" s="16">
        <v>95178.55</v>
      </c>
      <c r="AL346" s="16">
        <v>0.0</v>
      </c>
      <c r="AM346" s="16">
        <v>376.2</v>
      </c>
      <c r="AN346" s="16">
        <v>0.0</v>
      </c>
      <c r="AO346" s="18"/>
      <c r="AP346" s="18"/>
      <c r="AQ346" s="18"/>
      <c r="AR346" s="18"/>
      <c r="AS346" s="11" t="str">
        <f>VLOOKUP(C346,'mayo-26'!B:AS,44,0)</f>
        <v>TESORERIA@ATLANTIC.LA</v>
      </c>
      <c r="AT346" s="12" t="str">
        <f>VLOOKUP(C346,'mayo-26'!B:AT,45,0)</f>
        <v>CORREO ELECTRONICO CERTIFICADO 472</v>
      </c>
      <c r="AU346" s="16"/>
      <c r="AV346" s="16"/>
      <c r="AW346" s="16"/>
    </row>
    <row r="347" ht="14.25" customHeight="1">
      <c r="A347" s="15" t="s">
        <v>745</v>
      </c>
      <c r="B347" s="16">
        <v>3210.0</v>
      </c>
      <c r="C347" s="16">
        <v>3209.0</v>
      </c>
      <c r="D347" s="16">
        <v>3209.0</v>
      </c>
      <c r="E347" s="16">
        <v>8.0130621E7</v>
      </c>
      <c r="F347" s="16">
        <v>8.0130621E7</v>
      </c>
      <c r="G347" s="16">
        <v>9.01562224E8</v>
      </c>
      <c r="H347" s="15" t="s">
        <v>746</v>
      </c>
      <c r="I347" s="1" t="str">
        <f>VLOOKUP(C347,'mayo-26'!B:H,7,0)</f>
        <v>CLL 7N 5-51</v>
      </c>
      <c r="J347" s="1" t="s">
        <v>172</v>
      </c>
      <c r="K347" s="10" t="str">
        <f>VLOOKUP(C347,'mayo-26'!B:J,9,0)</f>
        <v>NO</v>
      </c>
      <c r="L347" s="1" t="str">
        <f>VLOOKUP(C347,'mayo-26'!B:K,10,0)</f>
        <v>NO</v>
      </c>
      <c r="M347" s="15" t="s">
        <v>52</v>
      </c>
      <c r="N347" s="15" t="s">
        <v>138</v>
      </c>
      <c r="O347" s="15" t="s">
        <v>130</v>
      </c>
      <c r="P347" s="15" t="s">
        <v>126</v>
      </c>
      <c r="Q347" s="15" t="s">
        <v>56</v>
      </c>
      <c r="R347" s="15" t="s">
        <v>90</v>
      </c>
      <c r="S347" s="15" t="s">
        <v>143</v>
      </c>
      <c r="T347" s="15" t="s">
        <v>59</v>
      </c>
      <c r="U347" s="16">
        <v>2026.0</v>
      </c>
      <c r="V347" s="16">
        <v>6.0</v>
      </c>
      <c r="W347" s="16">
        <v>1.081874977E9</v>
      </c>
      <c r="X347" s="16">
        <v>1.081893449E9</v>
      </c>
      <c r="Y347" s="17">
        <v>46182.0</v>
      </c>
      <c r="Z347" s="17">
        <v>46207.0</v>
      </c>
      <c r="AA347" s="16">
        <v>128345.14</v>
      </c>
      <c r="AB347" s="16">
        <v>128345.14</v>
      </c>
      <c r="AC347" s="16">
        <v>42781.72</v>
      </c>
      <c r="AD347" s="16">
        <v>252.5</v>
      </c>
      <c r="AE347" s="16">
        <v>0.0</v>
      </c>
      <c r="AF347" s="16">
        <v>0.0</v>
      </c>
      <c r="AG347" s="16">
        <v>0.0</v>
      </c>
      <c r="AH347" s="16">
        <v>0.0</v>
      </c>
      <c r="AI347" s="16">
        <v>0.0</v>
      </c>
      <c r="AJ347" s="16">
        <v>128345.14</v>
      </c>
      <c r="AK347" s="16">
        <v>257479.08</v>
      </c>
      <c r="AL347" s="16">
        <v>1.0</v>
      </c>
      <c r="AM347" s="16">
        <v>376.2</v>
      </c>
      <c r="AN347" s="16">
        <v>0.0</v>
      </c>
      <c r="AO347" s="18"/>
      <c r="AP347" s="18"/>
      <c r="AQ347" s="18"/>
      <c r="AR347" s="18"/>
      <c r="AS347" s="11" t="str">
        <f>VLOOKUP(C347,'mayo-26'!B:AS,44,0)</f>
        <v>GRUPOLITTLESAS@HOTMAIL.COM</v>
      </c>
      <c r="AT347" s="12" t="str">
        <f>VLOOKUP(C347,'mayo-26'!B:AT,45,0)</f>
        <v>CORREO ELECTRONICO CERTIFICADO 472</v>
      </c>
      <c r="AU347" s="16"/>
      <c r="AV347" s="16"/>
      <c r="AW347" s="16"/>
    </row>
    <row r="348" ht="14.25" customHeight="1">
      <c r="A348" s="15" t="s">
        <v>747</v>
      </c>
      <c r="B348" s="16">
        <v>297.0</v>
      </c>
      <c r="C348" s="16">
        <v>321337.0</v>
      </c>
      <c r="D348" s="16">
        <v>321337.0</v>
      </c>
      <c r="E348" s="16">
        <v>512851.0</v>
      </c>
      <c r="F348" s="16">
        <v>512851.0</v>
      </c>
      <c r="G348" s="15" t="s">
        <v>135</v>
      </c>
      <c r="H348" s="15" t="s">
        <v>136</v>
      </c>
      <c r="I348" s="1" t="str">
        <f>VLOOKUP(C348,'mayo-26'!B:H,7,0)</f>
        <v>AVE 4 17-89 - 0239431</v>
      </c>
      <c r="J348" s="1" t="s">
        <v>409</v>
      </c>
      <c r="K348" s="10" t="str">
        <f>VLOOKUP(C348,'mayo-26'!B:J,9,0)</f>
        <v>NO</v>
      </c>
      <c r="L348" s="1" t="str">
        <f>VLOOKUP(C348,'mayo-26'!B:K,10,0)</f>
        <v>IMSALUD</v>
      </c>
      <c r="M348" s="15" t="s">
        <v>52</v>
      </c>
      <c r="N348" s="15" t="s">
        <v>138</v>
      </c>
      <c r="O348" s="15" t="s">
        <v>130</v>
      </c>
      <c r="P348" s="15" t="s">
        <v>126</v>
      </c>
      <c r="Q348" s="15" t="s">
        <v>131</v>
      </c>
      <c r="R348" s="15" t="s">
        <v>363</v>
      </c>
      <c r="S348" s="15" t="s">
        <v>133</v>
      </c>
      <c r="T348" s="15" t="s">
        <v>59</v>
      </c>
      <c r="U348" s="16">
        <v>2026.0</v>
      </c>
      <c r="V348" s="16">
        <v>6.0</v>
      </c>
      <c r="W348" s="16">
        <v>1.081875159E9</v>
      </c>
      <c r="X348" s="16">
        <v>1.081893631E9</v>
      </c>
      <c r="Y348" s="17">
        <v>46182.0</v>
      </c>
      <c r="Z348" s="17">
        <v>46207.0</v>
      </c>
      <c r="AA348" s="16">
        <v>75366.0</v>
      </c>
      <c r="AB348" s="16">
        <v>75366.0</v>
      </c>
      <c r="AC348" s="16">
        <v>25122.0</v>
      </c>
      <c r="AD348" s="16">
        <v>0.0</v>
      </c>
      <c r="AE348" s="16">
        <v>0.0</v>
      </c>
      <c r="AF348" s="16">
        <v>0.0</v>
      </c>
      <c r="AG348" s="16">
        <v>0.0</v>
      </c>
      <c r="AH348" s="16">
        <v>0.0</v>
      </c>
      <c r="AI348" s="16">
        <v>0.0</v>
      </c>
      <c r="AJ348" s="16">
        <v>75366.0</v>
      </c>
      <c r="AK348" s="16">
        <v>75366.0</v>
      </c>
      <c r="AL348" s="16">
        <v>0.0</v>
      </c>
      <c r="AM348" s="16">
        <v>376.2</v>
      </c>
      <c r="AN348" s="16">
        <v>0.0</v>
      </c>
      <c r="AO348" s="18"/>
      <c r="AP348" s="18"/>
      <c r="AQ348" s="18"/>
      <c r="AR348" s="18"/>
      <c r="AS348" s="11" t="str">
        <f>VLOOKUP(C348,'mayo-26'!B:AS,44,0)</f>
        <v>SUBFINANCIERA@IMSALUD.GOV.CO</v>
      </c>
      <c r="AT348" s="12" t="str">
        <f>VLOOKUP(C348,'mayo-26'!B:AT,45,0)</f>
        <v>CORREO ELECTRONICO CERTIFICADO 472</v>
      </c>
      <c r="AU348" s="16"/>
      <c r="AV348" s="16"/>
      <c r="AW348" s="16"/>
    </row>
    <row r="349" ht="14.25" customHeight="1">
      <c r="A349" s="15" t="s">
        <v>748</v>
      </c>
      <c r="B349" s="16">
        <v>3222.0</v>
      </c>
      <c r="C349" s="16">
        <v>3221.0</v>
      </c>
      <c r="D349" s="16">
        <v>3221.0</v>
      </c>
      <c r="E349" s="16">
        <v>8.0206118E7</v>
      </c>
      <c r="F349" s="16">
        <v>8.0206118E7</v>
      </c>
      <c r="G349" s="15" t="s">
        <v>749</v>
      </c>
      <c r="H349" s="15" t="s">
        <v>750</v>
      </c>
      <c r="I349" s="1" t="str">
        <f>VLOOKUP(C349,'mayo-26'!B:H,7,0)</f>
        <v>AV LIBERTADORES NO 3 - 86</v>
      </c>
      <c r="J349" s="1" t="s">
        <v>172</v>
      </c>
      <c r="K349" s="10" t="str">
        <f>VLOOKUP(C349,'mayo-26'!B:J,9,0)</f>
        <v>NO</v>
      </c>
      <c r="L349" s="1" t="str">
        <f>VLOOKUP(C349,'mayo-26'!B:K,10,0)</f>
        <v>NO</v>
      </c>
      <c r="M349" s="15" t="s">
        <v>52</v>
      </c>
      <c r="N349" s="15" t="s">
        <v>89</v>
      </c>
      <c r="O349" s="15" t="s">
        <v>130</v>
      </c>
      <c r="P349" s="15" t="s">
        <v>126</v>
      </c>
      <c r="Q349" s="15" t="s">
        <v>56</v>
      </c>
      <c r="R349" s="15" t="s">
        <v>90</v>
      </c>
      <c r="S349" s="15" t="s">
        <v>58</v>
      </c>
      <c r="T349" s="15" t="s">
        <v>59</v>
      </c>
      <c r="U349" s="16">
        <v>2026.0</v>
      </c>
      <c r="V349" s="16">
        <v>6.0</v>
      </c>
      <c r="W349" s="16">
        <v>1.081874982E9</v>
      </c>
      <c r="X349" s="16">
        <v>1.081893454E9</v>
      </c>
      <c r="Y349" s="17">
        <v>46182.0</v>
      </c>
      <c r="Z349" s="17">
        <v>46207.0</v>
      </c>
      <c r="AA349" s="16">
        <v>502442.25</v>
      </c>
      <c r="AB349" s="16">
        <v>502442.25</v>
      </c>
      <c r="AC349" s="16">
        <v>167314.34</v>
      </c>
      <c r="AD349" s="16">
        <v>1565.0</v>
      </c>
      <c r="AE349" s="16">
        <v>499.24</v>
      </c>
      <c r="AF349" s="16">
        <v>0.0</v>
      </c>
      <c r="AG349" s="16">
        <v>0.0</v>
      </c>
      <c r="AH349" s="16">
        <v>0.0</v>
      </c>
      <c r="AI349" s="16">
        <v>0.0</v>
      </c>
      <c r="AJ349" s="16">
        <v>502442.25</v>
      </c>
      <c r="AK349" s="16">
        <v>502442.25</v>
      </c>
      <c r="AL349" s="16">
        <v>0.0</v>
      </c>
      <c r="AM349" s="16">
        <v>376.2</v>
      </c>
      <c r="AN349" s="16">
        <v>0.0</v>
      </c>
      <c r="AO349" s="18"/>
      <c r="AP349" s="18"/>
      <c r="AQ349" s="18"/>
      <c r="AR349" s="18"/>
      <c r="AS349" s="11" t="str">
        <f>VLOOKUP(C349,'mayo-26'!B:AS,44,0)</f>
        <v>AUXILIAR5.CONTABILIDAD@CAMPESA.COM.CO</v>
      </c>
      <c r="AT349" s="12" t="str">
        <f>VLOOKUP(C349,'mayo-26'!B:AT,45,0)</f>
        <v>CORREO ELECTRONICO CERTIFICADO 472</v>
      </c>
      <c r="AU349" s="16"/>
      <c r="AV349" s="16"/>
      <c r="AW349" s="16"/>
    </row>
    <row r="350" ht="14.25" customHeight="1">
      <c r="A350" s="15" t="s">
        <v>751</v>
      </c>
      <c r="B350" s="16">
        <v>455370.0</v>
      </c>
      <c r="C350" s="16">
        <v>3225.0</v>
      </c>
      <c r="D350" s="16">
        <v>3225.0</v>
      </c>
      <c r="E350" s="16">
        <v>8.0206519E7</v>
      </c>
      <c r="F350" s="16">
        <v>8.0206519E7</v>
      </c>
      <c r="G350" s="15" t="s">
        <v>148</v>
      </c>
      <c r="H350" s="15" t="s">
        <v>149</v>
      </c>
      <c r="I350" s="1" t="str">
        <f>VLOOKUP(C350,'mayo-26'!B:H,7,0)</f>
        <v>CALLE 10 NO 0E-16 EDF CENTRO EMPRESARIAL BLOQUE B HOTEL TONCHALA</v>
      </c>
      <c r="J350" s="1" t="s">
        <v>589</v>
      </c>
      <c r="K350" s="10" t="str">
        <f>VLOOKUP(C350,'mayo-26'!B:J,9,0)</f>
        <v>NO</v>
      </c>
      <c r="L350" s="1" t="str">
        <f>VLOOKUP(C350,'mayo-26'!B:K,10,0)</f>
        <v>COLEGIOS ZONA NORTE</v>
      </c>
      <c r="M350" s="15" t="s">
        <v>52</v>
      </c>
      <c r="N350" s="15" t="s">
        <v>138</v>
      </c>
      <c r="O350" s="15" t="s">
        <v>130</v>
      </c>
      <c r="P350" s="15" t="s">
        <v>126</v>
      </c>
      <c r="Q350" s="15" t="s">
        <v>56</v>
      </c>
      <c r="R350" s="15" t="s">
        <v>57</v>
      </c>
      <c r="S350" s="15" t="s">
        <v>143</v>
      </c>
      <c r="T350" s="15" t="s">
        <v>59</v>
      </c>
      <c r="U350" s="16">
        <v>2026.0</v>
      </c>
      <c r="V350" s="16">
        <v>6.0</v>
      </c>
      <c r="W350" s="16">
        <v>1.081874986E9</v>
      </c>
      <c r="X350" s="16">
        <v>1.081893458E9</v>
      </c>
      <c r="Y350" s="17">
        <v>46182.0</v>
      </c>
      <c r="Z350" s="17">
        <v>46207.0</v>
      </c>
      <c r="AA350" s="16">
        <v>156250.51</v>
      </c>
      <c r="AB350" s="16">
        <v>156250.51</v>
      </c>
      <c r="AC350" s="16">
        <v>0.0</v>
      </c>
      <c r="AD350" s="16">
        <v>625.0</v>
      </c>
      <c r="AE350" s="16">
        <v>0.0</v>
      </c>
      <c r="AF350" s="16">
        <v>0.0</v>
      </c>
      <c r="AG350" s="16">
        <v>0.0</v>
      </c>
      <c r="AH350" s="16">
        <v>0.0</v>
      </c>
      <c r="AI350" s="16">
        <v>0.0</v>
      </c>
      <c r="AJ350" s="16">
        <v>156250.51</v>
      </c>
      <c r="AK350" s="16">
        <v>466907.22</v>
      </c>
      <c r="AL350" s="16">
        <v>3.0</v>
      </c>
      <c r="AM350" s="16">
        <v>250.8</v>
      </c>
      <c r="AN350" s="16">
        <v>0.0</v>
      </c>
      <c r="AO350" s="18"/>
      <c r="AP350" s="18"/>
      <c r="AQ350" s="18"/>
      <c r="AR350" s="18"/>
      <c r="AS350" s="11" t="str">
        <f>VLOOKUP(C350,'mayo-26'!B:AS,44,0)</f>
        <v>AREAFINANCIERA@SEMCUCUTA.GOV.CO</v>
      </c>
      <c r="AT350" s="12" t="str">
        <f>VLOOKUP(C350,'mayo-26'!B:AT,45,0)</f>
        <v>CARTERA</v>
      </c>
      <c r="AU350" s="16"/>
      <c r="AV350" s="16"/>
      <c r="AW350" s="16"/>
    </row>
    <row r="351" ht="14.25" customHeight="1">
      <c r="A351" s="15" t="s">
        <v>752</v>
      </c>
      <c r="B351" s="16">
        <v>455370.0</v>
      </c>
      <c r="C351" s="16">
        <v>3229.0</v>
      </c>
      <c r="D351" s="16">
        <v>3229.0</v>
      </c>
      <c r="E351" s="16">
        <v>8.0206523E7</v>
      </c>
      <c r="F351" s="16">
        <v>8.0206523E7</v>
      </c>
      <c r="G351" s="15" t="s">
        <v>148</v>
      </c>
      <c r="H351" s="15" t="s">
        <v>149</v>
      </c>
      <c r="I351" s="1" t="str">
        <f>VLOOKUP(C351,'mayo-26'!B:H,7,0)</f>
        <v>CALLE 10 NO 0E-16 EDF CENTRO EMPRESARIAL BLOQUE B HOTEL TONCHALA</v>
      </c>
      <c r="J351" s="1" t="s">
        <v>583</v>
      </c>
      <c r="K351" s="10" t="str">
        <f>VLOOKUP(C351,'mayo-26'!B:J,9,0)</f>
        <v>NO</v>
      </c>
      <c r="L351" s="1" t="str">
        <f>VLOOKUP(C351,'mayo-26'!B:K,10,0)</f>
        <v>COLEGIOS ZONA NORTE</v>
      </c>
      <c r="M351" s="15" t="s">
        <v>52</v>
      </c>
      <c r="N351" s="15" t="s">
        <v>138</v>
      </c>
      <c r="O351" s="15" t="s">
        <v>130</v>
      </c>
      <c r="P351" s="15" t="s">
        <v>126</v>
      </c>
      <c r="Q351" s="15" t="s">
        <v>56</v>
      </c>
      <c r="R351" s="15" t="s">
        <v>57</v>
      </c>
      <c r="S351" s="15" t="s">
        <v>143</v>
      </c>
      <c r="T351" s="15" t="s">
        <v>59</v>
      </c>
      <c r="U351" s="16">
        <v>2026.0</v>
      </c>
      <c r="V351" s="16">
        <v>6.0</v>
      </c>
      <c r="W351" s="16">
        <v>1.081874988E9</v>
      </c>
      <c r="X351" s="16">
        <v>1.08189346E9</v>
      </c>
      <c r="Y351" s="17">
        <v>46182.0</v>
      </c>
      <c r="Z351" s="17">
        <v>46207.0</v>
      </c>
      <c r="AA351" s="16">
        <v>210902.53</v>
      </c>
      <c r="AB351" s="16">
        <v>210902.53</v>
      </c>
      <c r="AC351" s="16">
        <v>0.0</v>
      </c>
      <c r="AD351" s="16">
        <v>913.0</v>
      </c>
      <c r="AE351" s="16">
        <v>0.0</v>
      </c>
      <c r="AF351" s="16">
        <v>0.0</v>
      </c>
      <c r="AG351" s="16">
        <v>0.0</v>
      </c>
      <c r="AH351" s="16">
        <v>0.0</v>
      </c>
      <c r="AI351" s="16">
        <v>0.0</v>
      </c>
      <c r="AJ351" s="16">
        <v>210902.53</v>
      </c>
      <c r="AK351" s="16">
        <v>629577.66</v>
      </c>
      <c r="AL351" s="16">
        <v>3.0</v>
      </c>
      <c r="AM351" s="16">
        <v>250.8</v>
      </c>
      <c r="AN351" s="16">
        <v>0.0</v>
      </c>
      <c r="AO351" s="18"/>
      <c r="AP351" s="18"/>
      <c r="AQ351" s="18"/>
      <c r="AR351" s="18"/>
      <c r="AS351" s="11" t="str">
        <f>VLOOKUP(C351,'mayo-26'!B:AS,44,0)</f>
        <v>AREAFINANCIERA@SEMCUCUTA.GOV.CO</v>
      </c>
      <c r="AT351" s="12" t="str">
        <f>VLOOKUP(C351,'mayo-26'!B:AT,45,0)</f>
        <v>CARTERA</v>
      </c>
      <c r="AU351" s="16"/>
      <c r="AV351" s="16"/>
      <c r="AW351" s="16"/>
    </row>
    <row r="352" ht="14.25" customHeight="1">
      <c r="A352" s="15" t="s">
        <v>753</v>
      </c>
      <c r="B352" s="16">
        <v>3234.0</v>
      </c>
      <c r="C352" s="16">
        <v>3233.0</v>
      </c>
      <c r="D352" s="16">
        <v>3233.0</v>
      </c>
      <c r="E352" s="16">
        <v>8.0206923E7</v>
      </c>
      <c r="F352" s="16">
        <v>8.0206923E7</v>
      </c>
      <c r="G352" s="16">
        <v>8448756.0</v>
      </c>
      <c r="H352" s="15" t="s">
        <v>754</v>
      </c>
      <c r="I352" s="1" t="str">
        <f>VLOOKUP(C352,'mayo-26'!B:H,7,0)</f>
        <v>CLL 19AN 4-89</v>
      </c>
      <c r="J352" s="1" t="s">
        <v>214</v>
      </c>
      <c r="K352" s="10" t="str">
        <f>VLOOKUP(C352,'mayo-26'!B:J,9,0)</f>
        <v>NO</v>
      </c>
      <c r="L352" s="1" t="str">
        <f>VLOOKUP(C352,'mayo-26'!B:K,10,0)</f>
        <v>COLEGIOS ZONA NORTE</v>
      </c>
      <c r="M352" s="15" t="s">
        <v>52</v>
      </c>
      <c r="N352" s="15" t="s">
        <v>89</v>
      </c>
      <c r="O352" s="15" t="s">
        <v>130</v>
      </c>
      <c r="P352" s="15" t="s">
        <v>126</v>
      </c>
      <c r="Q352" s="15" t="s">
        <v>56</v>
      </c>
      <c r="R352" s="15" t="s">
        <v>57</v>
      </c>
      <c r="S352" s="15" t="s">
        <v>58</v>
      </c>
      <c r="T352" s="15" t="s">
        <v>59</v>
      </c>
      <c r="U352" s="16">
        <v>2026.0</v>
      </c>
      <c r="V352" s="16">
        <v>6.0</v>
      </c>
      <c r="W352" s="16">
        <v>1.081874992E9</v>
      </c>
      <c r="X352" s="16">
        <v>1.081893464E9</v>
      </c>
      <c r="Y352" s="17">
        <v>46182.0</v>
      </c>
      <c r="Z352" s="17">
        <v>46207.0</v>
      </c>
      <c r="AA352" s="16">
        <v>569461.62</v>
      </c>
      <c r="AB352" s="16">
        <v>569461.62</v>
      </c>
      <c r="AC352" s="16">
        <v>0.0</v>
      </c>
      <c r="AD352" s="16">
        <v>2802.5</v>
      </c>
      <c r="AE352" s="16">
        <v>0.0</v>
      </c>
      <c r="AF352" s="16">
        <v>0.0</v>
      </c>
      <c r="AG352" s="16">
        <v>0.0</v>
      </c>
      <c r="AH352" s="16">
        <v>0.0</v>
      </c>
      <c r="AI352" s="16">
        <v>0.0</v>
      </c>
      <c r="AJ352" s="16">
        <v>569461.62</v>
      </c>
      <c r="AK352" s="16">
        <v>1855887.83</v>
      </c>
      <c r="AL352" s="16">
        <v>3.0</v>
      </c>
      <c r="AM352" s="16">
        <v>250.8</v>
      </c>
      <c r="AN352" s="16">
        <v>0.0</v>
      </c>
      <c r="AO352" s="18"/>
      <c r="AP352" s="18"/>
      <c r="AQ352" s="18"/>
      <c r="AR352" s="18"/>
      <c r="AS352" s="11" t="str">
        <f>VLOOKUP(C352,'mayo-26'!B:AS,44,0)</f>
        <v>coloriental26@yahoo.es</v>
      </c>
      <c r="AT352" s="12" t="str">
        <f>VLOOKUP(C352,'mayo-26'!B:AT,45,0)</f>
        <v>CARTERA</v>
      </c>
      <c r="AU352" s="16"/>
      <c r="AV352" s="16"/>
      <c r="AW352" s="16"/>
    </row>
    <row r="353" ht="14.25" customHeight="1">
      <c r="A353" s="15" t="s">
        <v>755</v>
      </c>
      <c r="B353" s="16">
        <v>699.0</v>
      </c>
      <c r="C353" s="16">
        <v>323777.0</v>
      </c>
      <c r="D353" s="16">
        <v>323777.0</v>
      </c>
      <c r="E353" s="16">
        <v>545531.0</v>
      </c>
      <c r="F353" s="16">
        <v>545531.0</v>
      </c>
      <c r="G353" s="16">
        <v>9.00480569E8</v>
      </c>
      <c r="H353" s="15" t="s">
        <v>141</v>
      </c>
      <c r="I353" s="1" t="str">
        <f>VLOOKUP(C353,'mayo-26'!B:H,7,0)</f>
        <v>CLL 12 4-52 CENTRO</v>
      </c>
      <c r="J353" s="1" t="s">
        <v>362</v>
      </c>
      <c r="K353" s="10" t="str">
        <f>VLOOKUP(C353,'mayo-26'!B:J,9,0)</f>
        <v>NO</v>
      </c>
      <c r="L353" s="1" t="str">
        <f>VLOOKUP(C353,'mayo-26'!B:K,10,0)</f>
        <v>ARA CUCUTA</v>
      </c>
      <c r="M353" s="15" t="s">
        <v>52</v>
      </c>
      <c r="N353" s="15" t="s">
        <v>138</v>
      </c>
      <c r="O353" s="15" t="s">
        <v>130</v>
      </c>
      <c r="P353" s="15" t="s">
        <v>126</v>
      </c>
      <c r="Q353" s="15" t="s">
        <v>56</v>
      </c>
      <c r="R353" s="15" t="s">
        <v>90</v>
      </c>
      <c r="S353" s="15" t="s">
        <v>143</v>
      </c>
      <c r="T353" s="15" t="s">
        <v>59</v>
      </c>
      <c r="U353" s="16">
        <v>2026.0</v>
      </c>
      <c r="V353" s="16">
        <v>6.0</v>
      </c>
      <c r="W353" s="16">
        <v>1.081875163E9</v>
      </c>
      <c r="X353" s="16">
        <v>1.081893635E9</v>
      </c>
      <c r="Y353" s="17">
        <v>46182.0</v>
      </c>
      <c r="Z353" s="17">
        <v>46207.0</v>
      </c>
      <c r="AA353" s="16">
        <v>682999.18</v>
      </c>
      <c r="AB353" s="16">
        <v>682999.18</v>
      </c>
      <c r="AC353" s="16">
        <v>225192.37</v>
      </c>
      <c r="AD353" s="16">
        <v>2175.0</v>
      </c>
      <c r="AE353" s="16">
        <v>7422.1</v>
      </c>
      <c r="AF353" s="16">
        <v>0.0</v>
      </c>
      <c r="AG353" s="16">
        <v>0.0</v>
      </c>
      <c r="AH353" s="16">
        <v>0.0</v>
      </c>
      <c r="AI353" s="16">
        <v>0.0</v>
      </c>
      <c r="AJ353" s="16">
        <v>682999.18</v>
      </c>
      <c r="AK353" s="16">
        <v>2307165.05</v>
      </c>
      <c r="AL353" s="16">
        <v>2.0</v>
      </c>
      <c r="AM353" s="16">
        <v>376.2</v>
      </c>
      <c r="AN353" s="16">
        <v>0.0</v>
      </c>
      <c r="AO353" s="18"/>
      <c r="AP353" s="18"/>
      <c r="AQ353" s="18"/>
      <c r="AR353" s="18"/>
      <c r="AS353" s="11" t="str">
        <f>VLOOKUP(C353,'mayo-26'!B:AS,44,0)</f>
        <v>COORDINADOR.OPERACIONES.R11@JERONIMO-MARTINS.COM</v>
      </c>
      <c r="AT353" s="12" t="str">
        <f>VLOOKUP(C353,'mayo-26'!B:AT,45,0)</f>
        <v>CORREO ELECTRONICO CERTIFICADO 472</v>
      </c>
      <c r="AU353" s="16"/>
      <c r="AV353" s="16"/>
      <c r="AW353" s="16"/>
    </row>
    <row r="354" ht="14.25" customHeight="1">
      <c r="A354" s="15" t="s">
        <v>756</v>
      </c>
      <c r="B354" s="16">
        <v>455370.0</v>
      </c>
      <c r="C354" s="16">
        <v>3241.0</v>
      </c>
      <c r="D354" s="16">
        <v>3241.0</v>
      </c>
      <c r="E354" s="16">
        <v>8.0212699E7</v>
      </c>
      <c r="F354" s="16">
        <v>8.0212699E7</v>
      </c>
      <c r="G354" s="15" t="s">
        <v>148</v>
      </c>
      <c r="H354" s="15" t="s">
        <v>149</v>
      </c>
      <c r="I354" s="1" t="str">
        <f>VLOOKUP(C354,'mayo-26'!B:H,7,0)</f>
        <v>CALLE 10 NO 0E-16 EDF CENTRO EMPRESARIAL BLOQUE B HOTEL TONCHALA</v>
      </c>
      <c r="J354" s="1" t="s">
        <v>409</v>
      </c>
      <c r="K354" s="10" t="str">
        <f>VLOOKUP(C354,'mayo-26'!B:J,9,0)</f>
        <v>NO</v>
      </c>
      <c r="L354" s="1" t="str">
        <f>VLOOKUP(C354,'mayo-26'!B:K,10,0)</f>
        <v>COLEGIOS ZONA NORTE</v>
      </c>
      <c r="M354" s="15" t="s">
        <v>52</v>
      </c>
      <c r="N354" s="15" t="s">
        <v>138</v>
      </c>
      <c r="O354" s="15" t="s">
        <v>130</v>
      </c>
      <c r="P354" s="15" t="s">
        <v>126</v>
      </c>
      <c r="Q354" s="15" t="s">
        <v>56</v>
      </c>
      <c r="R354" s="15" t="s">
        <v>57</v>
      </c>
      <c r="S354" s="15" t="s">
        <v>143</v>
      </c>
      <c r="T354" s="15" t="s">
        <v>59</v>
      </c>
      <c r="U354" s="16">
        <v>2026.0</v>
      </c>
      <c r="V354" s="16">
        <v>6.0</v>
      </c>
      <c r="W354" s="16">
        <v>1.081874997E9</v>
      </c>
      <c r="X354" s="16">
        <v>1.081893469E9</v>
      </c>
      <c r="Y354" s="17">
        <v>46182.0</v>
      </c>
      <c r="Z354" s="17">
        <v>46207.0</v>
      </c>
      <c r="AA354" s="16">
        <v>85658.29</v>
      </c>
      <c r="AB354" s="16">
        <v>85658.29</v>
      </c>
      <c r="AC354" s="16">
        <v>0.0</v>
      </c>
      <c r="AD354" s="16">
        <v>253.0</v>
      </c>
      <c r="AE354" s="16">
        <v>0.0</v>
      </c>
      <c r="AF354" s="16">
        <v>0.0</v>
      </c>
      <c r="AG354" s="16">
        <v>0.0</v>
      </c>
      <c r="AH354" s="16">
        <v>0.0</v>
      </c>
      <c r="AI354" s="16">
        <v>0.0</v>
      </c>
      <c r="AJ354" s="16">
        <v>85658.29</v>
      </c>
      <c r="AK354" s="16">
        <v>256791.18</v>
      </c>
      <c r="AL354" s="16">
        <v>3.0</v>
      </c>
      <c r="AM354" s="16">
        <v>250.8</v>
      </c>
      <c r="AN354" s="16">
        <v>0.0</v>
      </c>
      <c r="AO354" s="18"/>
      <c r="AP354" s="18"/>
      <c r="AQ354" s="18"/>
      <c r="AR354" s="18"/>
      <c r="AS354" s="11" t="str">
        <f>VLOOKUP(C354,'mayo-26'!B:AS,44,0)</f>
        <v>AREAFINANCIERA@SEMCUCUTA.GOV.CO</v>
      </c>
      <c r="AT354" s="12" t="str">
        <f>VLOOKUP(C354,'mayo-26'!B:AT,45,0)</f>
        <v>CARTERA</v>
      </c>
      <c r="AU354" s="16"/>
      <c r="AV354" s="16"/>
      <c r="AW354" s="16"/>
    </row>
    <row r="355" ht="14.25" customHeight="1">
      <c r="A355" s="15" t="s">
        <v>757</v>
      </c>
      <c r="B355" s="16">
        <v>455370.0</v>
      </c>
      <c r="C355" s="16">
        <v>3245.0</v>
      </c>
      <c r="D355" s="16">
        <v>3245.0</v>
      </c>
      <c r="E355" s="16">
        <v>8.0212703E7</v>
      </c>
      <c r="F355" s="16">
        <v>8.0212703E7</v>
      </c>
      <c r="G355" s="15" t="s">
        <v>148</v>
      </c>
      <c r="H355" s="15" t="s">
        <v>149</v>
      </c>
      <c r="I355" s="1" t="str">
        <f>VLOOKUP(C355,'mayo-26'!B:H,7,0)</f>
        <v>CALLE 10 NO 0E-16 EDF CENTRO EMPRESARIAL BLOQUE B HOTEL TONCHALA</v>
      </c>
      <c r="J355" s="1" t="s">
        <v>362</v>
      </c>
      <c r="K355" s="10" t="str">
        <f>VLOOKUP(C355,'mayo-26'!B:J,9,0)</f>
        <v>NO</v>
      </c>
      <c r="L355" s="1" t="str">
        <f>VLOOKUP(C355,'mayo-26'!B:K,10,0)</f>
        <v>COLEGIOS ZONA NORTE</v>
      </c>
      <c r="M355" s="15" t="s">
        <v>52</v>
      </c>
      <c r="N355" s="15" t="s">
        <v>138</v>
      </c>
      <c r="O355" s="15" t="s">
        <v>130</v>
      </c>
      <c r="P355" s="15" t="s">
        <v>126</v>
      </c>
      <c r="Q355" s="15" t="s">
        <v>56</v>
      </c>
      <c r="R355" s="15" t="s">
        <v>57</v>
      </c>
      <c r="S355" s="15" t="s">
        <v>143</v>
      </c>
      <c r="T355" s="15" t="s">
        <v>59</v>
      </c>
      <c r="U355" s="16">
        <v>2026.0</v>
      </c>
      <c r="V355" s="16">
        <v>6.0</v>
      </c>
      <c r="W355" s="16">
        <v>1.081875001E9</v>
      </c>
      <c r="X355" s="16">
        <v>1.081893473E9</v>
      </c>
      <c r="Y355" s="17">
        <v>46182.0</v>
      </c>
      <c r="Z355" s="17">
        <v>46207.0</v>
      </c>
      <c r="AA355" s="16">
        <v>355123.17</v>
      </c>
      <c r="AB355" s="16">
        <v>355123.17</v>
      </c>
      <c r="AC355" s="16">
        <v>0.0</v>
      </c>
      <c r="AD355" s="16">
        <v>1673.0</v>
      </c>
      <c r="AE355" s="16">
        <v>0.0</v>
      </c>
      <c r="AF355" s="16">
        <v>0.0</v>
      </c>
      <c r="AG355" s="16">
        <v>0.0</v>
      </c>
      <c r="AH355" s="16">
        <v>0.0</v>
      </c>
      <c r="AI355" s="16">
        <v>0.0</v>
      </c>
      <c r="AJ355" s="16">
        <v>355123.17</v>
      </c>
      <c r="AK355" s="16">
        <v>1058846.94</v>
      </c>
      <c r="AL355" s="16">
        <v>3.0</v>
      </c>
      <c r="AM355" s="16">
        <v>250.8</v>
      </c>
      <c r="AN355" s="16">
        <v>0.0</v>
      </c>
      <c r="AO355" s="18"/>
      <c r="AP355" s="18"/>
      <c r="AQ355" s="18"/>
      <c r="AR355" s="18"/>
      <c r="AS355" s="11" t="str">
        <f>VLOOKUP(C355,'mayo-26'!B:AS,44,0)</f>
        <v>AREAFINANCIERA@SEMCUCUTA.GOV.CO</v>
      </c>
      <c r="AT355" s="12" t="str">
        <f>VLOOKUP(C355,'mayo-26'!B:AT,45,0)</f>
        <v>CARTERA</v>
      </c>
      <c r="AU355" s="16"/>
      <c r="AV355" s="16"/>
      <c r="AW355" s="16"/>
    </row>
    <row r="356" ht="14.25" customHeight="1">
      <c r="A356" s="15" t="s">
        <v>758</v>
      </c>
      <c r="B356" s="16">
        <v>455370.0</v>
      </c>
      <c r="C356" s="16">
        <v>3249.0</v>
      </c>
      <c r="D356" s="16">
        <v>3249.0</v>
      </c>
      <c r="E356" s="16">
        <v>8.0212707E7</v>
      </c>
      <c r="F356" s="16">
        <v>8.0212707E7</v>
      </c>
      <c r="G356" s="15" t="s">
        <v>148</v>
      </c>
      <c r="H356" s="15" t="s">
        <v>149</v>
      </c>
      <c r="I356" s="1" t="str">
        <f>VLOOKUP(C356,'mayo-26'!B:H,7,0)</f>
        <v>CALLE 10 NO 0E-16 EDF CENTRO EMPRESARIAL BLOQUE B HOTEL TONCHALA</v>
      </c>
      <c r="J356" s="1" t="s">
        <v>368</v>
      </c>
      <c r="K356" s="10" t="str">
        <f>VLOOKUP(C356,'mayo-26'!B:J,9,0)</f>
        <v>NO</v>
      </c>
      <c r="L356" s="1" t="str">
        <f>VLOOKUP(C356,'mayo-26'!B:K,10,0)</f>
        <v>COLEGIOS ZONA NORTE</v>
      </c>
      <c r="M356" s="15" t="s">
        <v>52</v>
      </c>
      <c r="N356" s="15" t="s">
        <v>138</v>
      </c>
      <c r="O356" s="15" t="s">
        <v>130</v>
      </c>
      <c r="P356" s="15" t="s">
        <v>126</v>
      </c>
      <c r="Q356" s="15" t="s">
        <v>56</v>
      </c>
      <c r="R356" s="15" t="s">
        <v>57</v>
      </c>
      <c r="S356" s="15" t="s">
        <v>143</v>
      </c>
      <c r="T356" s="15" t="s">
        <v>59</v>
      </c>
      <c r="U356" s="16">
        <v>2026.0</v>
      </c>
      <c r="V356" s="16">
        <v>6.0</v>
      </c>
      <c r="W356" s="16">
        <v>1.081875005E9</v>
      </c>
      <c r="X356" s="16">
        <v>1.081893477E9</v>
      </c>
      <c r="Y356" s="17">
        <v>46182.0</v>
      </c>
      <c r="Z356" s="17">
        <v>46207.0</v>
      </c>
      <c r="AA356" s="16">
        <v>402943.71</v>
      </c>
      <c r="AB356" s="16">
        <v>402943.71</v>
      </c>
      <c r="AC356" s="16">
        <v>0.0</v>
      </c>
      <c r="AD356" s="16">
        <v>1925.0</v>
      </c>
      <c r="AE356" s="16">
        <v>0.0</v>
      </c>
      <c r="AF356" s="16">
        <v>0.0</v>
      </c>
      <c r="AG356" s="16">
        <v>0.0</v>
      </c>
      <c r="AH356" s="16">
        <v>0.0</v>
      </c>
      <c r="AI356" s="16">
        <v>0.0</v>
      </c>
      <c r="AJ356" s="16">
        <v>402943.71</v>
      </c>
      <c r="AK356" s="16">
        <v>1201183.62</v>
      </c>
      <c r="AL356" s="16">
        <v>3.0</v>
      </c>
      <c r="AM356" s="16">
        <v>250.8</v>
      </c>
      <c r="AN356" s="16">
        <v>0.0</v>
      </c>
      <c r="AO356" s="18"/>
      <c r="AP356" s="18"/>
      <c r="AQ356" s="18"/>
      <c r="AR356" s="18"/>
      <c r="AS356" s="11" t="str">
        <f>VLOOKUP(C356,'mayo-26'!B:AS,44,0)</f>
        <v>AREAFINANCIERA@SEMCUCUTA.GOV.CO</v>
      </c>
      <c r="AT356" s="12" t="str">
        <f>VLOOKUP(C356,'mayo-26'!B:AT,45,0)</f>
        <v>CARTERA</v>
      </c>
      <c r="AU356" s="16"/>
      <c r="AV356" s="16"/>
      <c r="AW356" s="16"/>
    </row>
    <row r="357" ht="14.25" customHeight="1">
      <c r="A357" s="15" t="s">
        <v>759</v>
      </c>
      <c r="B357" s="16">
        <v>455370.0</v>
      </c>
      <c r="C357" s="16">
        <v>3253.0</v>
      </c>
      <c r="D357" s="16">
        <v>3253.0</v>
      </c>
      <c r="E357" s="16">
        <v>8.0212711E7</v>
      </c>
      <c r="F357" s="16">
        <v>8.0212711E7</v>
      </c>
      <c r="G357" s="15" t="s">
        <v>148</v>
      </c>
      <c r="H357" s="15" t="s">
        <v>149</v>
      </c>
      <c r="I357" s="1" t="str">
        <f>VLOOKUP(C357,'mayo-26'!B:H,7,0)</f>
        <v>CALLE 10 NO 0E-16 EDF CENTRO EMPRESARIAL BLOQUE B HOTEL TONCHALA</v>
      </c>
      <c r="J357" s="1" t="s">
        <v>760</v>
      </c>
      <c r="K357" s="10" t="str">
        <f>VLOOKUP(C357,'mayo-26'!B:J,9,0)</f>
        <v>NO</v>
      </c>
      <c r="L357" s="1" t="str">
        <f>VLOOKUP(C357,'mayo-26'!B:K,10,0)</f>
        <v>COLEGIOS ZONA NORTE</v>
      </c>
      <c r="M357" s="15" t="s">
        <v>52</v>
      </c>
      <c r="N357" s="15" t="s">
        <v>138</v>
      </c>
      <c r="O357" s="15" t="s">
        <v>130</v>
      </c>
      <c r="P357" s="15" t="s">
        <v>126</v>
      </c>
      <c r="Q357" s="15" t="s">
        <v>56</v>
      </c>
      <c r="R357" s="15" t="s">
        <v>57</v>
      </c>
      <c r="S357" s="15" t="s">
        <v>143</v>
      </c>
      <c r="T357" s="15" t="s">
        <v>59</v>
      </c>
      <c r="U357" s="16">
        <v>2026.0</v>
      </c>
      <c r="V357" s="16">
        <v>6.0</v>
      </c>
      <c r="W357" s="16">
        <v>1.081875009E9</v>
      </c>
      <c r="X357" s="16">
        <v>1.081893481E9</v>
      </c>
      <c r="Y357" s="17">
        <v>46182.0</v>
      </c>
      <c r="Z357" s="17">
        <v>46207.0</v>
      </c>
      <c r="AA357" s="16">
        <v>177124.55</v>
      </c>
      <c r="AB357" s="16">
        <v>177124.55</v>
      </c>
      <c r="AC357" s="16">
        <v>0.0</v>
      </c>
      <c r="AD357" s="16">
        <v>735.0</v>
      </c>
      <c r="AE357" s="16">
        <v>0.0</v>
      </c>
      <c r="AF357" s="16">
        <v>0.0</v>
      </c>
      <c r="AG357" s="16">
        <v>0.0</v>
      </c>
      <c r="AH357" s="16">
        <v>0.0</v>
      </c>
      <c r="AI357" s="16">
        <v>0.0</v>
      </c>
      <c r="AJ357" s="16">
        <v>177124.55</v>
      </c>
      <c r="AK357" s="16">
        <v>529038.3</v>
      </c>
      <c r="AL357" s="16">
        <v>3.0</v>
      </c>
      <c r="AM357" s="16">
        <v>250.8</v>
      </c>
      <c r="AN357" s="16">
        <v>0.0</v>
      </c>
      <c r="AO357" s="18"/>
      <c r="AP357" s="18"/>
      <c r="AQ357" s="18"/>
      <c r="AR357" s="18"/>
      <c r="AS357" s="11" t="str">
        <f>VLOOKUP(C357,'mayo-26'!B:AS,44,0)</f>
        <v>AREAFINANCIERA@SEMCUCUTA.GOV.CO</v>
      </c>
      <c r="AT357" s="12" t="str">
        <f>VLOOKUP(C357,'mayo-26'!B:AT,45,0)</f>
        <v>CARTERA</v>
      </c>
      <c r="AU357" s="16"/>
      <c r="AV357" s="16"/>
      <c r="AW357" s="16"/>
    </row>
    <row r="358" ht="14.25" customHeight="1">
      <c r="A358" s="15" t="s">
        <v>761</v>
      </c>
      <c r="B358" s="16">
        <v>455370.0</v>
      </c>
      <c r="C358" s="16">
        <v>3257.0</v>
      </c>
      <c r="D358" s="16">
        <v>3257.0</v>
      </c>
      <c r="E358" s="16">
        <v>8.0212715E7</v>
      </c>
      <c r="F358" s="16">
        <v>8.0212715E7</v>
      </c>
      <c r="G358" s="15" t="s">
        <v>148</v>
      </c>
      <c r="H358" s="15" t="s">
        <v>149</v>
      </c>
      <c r="I358" s="1" t="str">
        <f>VLOOKUP(C358,'mayo-26'!B:H,7,0)</f>
        <v>CALLE 10 NO 0E-16 EDF CENTRO EMPRESARIAL BLOQUE B HOTEL TONCHALA</v>
      </c>
      <c r="J358" s="1" t="s">
        <v>222</v>
      </c>
      <c r="K358" s="10" t="str">
        <f>VLOOKUP(C358,'mayo-26'!B:J,9,0)</f>
        <v>NO</v>
      </c>
      <c r="L358" s="1" t="str">
        <f>VLOOKUP(C358,'mayo-26'!B:K,10,0)</f>
        <v>COLEGIOS ZONA NORTE</v>
      </c>
      <c r="M358" s="15" t="s">
        <v>52</v>
      </c>
      <c r="N358" s="15" t="s">
        <v>138</v>
      </c>
      <c r="O358" s="15" t="s">
        <v>130</v>
      </c>
      <c r="P358" s="15" t="s">
        <v>126</v>
      </c>
      <c r="Q358" s="15" t="s">
        <v>56</v>
      </c>
      <c r="R358" s="15" t="s">
        <v>57</v>
      </c>
      <c r="S358" s="15" t="s">
        <v>143</v>
      </c>
      <c r="T358" s="15" t="s">
        <v>59</v>
      </c>
      <c r="U358" s="16">
        <v>2026.0</v>
      </c>
      <c r="V358" s="16">
        <v>6.0</v>
      </c>
      <c r="W358" s="16">
        <v>1.081875012E9</v>
      </c>
      <c r="X358" s="16">
        <v>1.081893484E9</v>
      </c>
      <c r="Y358" s="17">
        <v>46182.0</v>
      </c>
      <c r="Z358" s="17">
        <v>46207.0</v>
      </c>
      <c r="AA358" s="16">
        <v>85658.29</v>
      </c>
      <c r="AB358" s="16">
        <v>85658.29</v>
      </c>
      <c r="AC358" s="16">
        <v>0.0</v>
      </c>
      <c r="AD358" s="16">
        <v>253.0</v>
      </c>
      <c r="AE358" s="16">
        <v>0.0</v>
      </c>
      <c r="AF358" s="16">
        <v>0.0</v>
      </c>
      <c r="AG358" s="16">
        <v>0.0</v>
      </c>
      <c r="AH358" s="16">
        <v>0.0</v>
      </c>
      <c r="AI358" s="16">
        <v>0.0</v>
      </c>
      <c r="AJ358" s="16">
        <v>85658.29</v>
      </c>
      <c r="AK358" s="16">
        <v>256791.18</v>
      </c>
      <c r="AL358" s="16">
        <v>3.0</v>
      </c>
      <c r="AM358" s="16">
        <v>250.8</v>
      </c>
      <c r="AN358" s="16">
        <v>0.0</v>
      </c>
      <c r="AO358" s="18"/>
      <c r="AP358" s="18"/>
      <c r="AQ358" s="18"/>
      <c r="AR358" s="18"/>
      <c r="AS358" s="11" t="str">
        <f>VLOOKUP(C358,'mayo-26'!B:AS,44,0)</f>
        <v>AREAFINANCIERA@SEMCUCUTA.GOV.CO</v>
      </c>
      <c r="AT358" s="12" t="str">
        <f>VLOOKUP(C358,'mayo-26'!B:AT,45,0)</f>
        <v>CARTERA</v>
      </c>
      <c r="AU358" s="16"/>
      <c r="AV358" s="16"/>
      <c r="AW358" s="16"/>
    </row>
    <row r="359" ht="14.25" customHeight="1">
      <c r="A359" s="15" t="s">
        <v>762</v>
      </c>
      <c r="B359" s="16">
        <v>455370.0</v>
      </c>
      <c r="C359" s="16">
        <v>3261.0</v>
      </c>
      <c r="D359" s="16">
        <v>3261.0</v>
      </c>
      <c r="E359" s="16">
        <v>8.0212719E7</v>
      </c>
      <c r="F359" s="16">
        <v>8.0212719E7</v>
      </c>
      <c r="G359" s="15" t="s">
        <v>148</v>
      </c>
      <c r="H359" s="15" t="s">
        <v>149</v>
      </c>
      <c r="I359" s="1" t="str">
        <f>VLOOKUP(C359,'mayo-26'!B:H,7,0)</f>
        <v>CALLE 10 NO 0E-16 EDF CENTRO EMPRESARIAL BLOQUE B HOTEL TONCHALA</v>
      </c>
      <c r="J359" s="1" t="s">
        <v>165</v>
      </c>
      <c r="K359" s="10" t="str">
        <f>VLOOKUP(C359,'mayo-26'!B:J,9,0)</f>
        <v>NO</v>
      </c>
      <c r="L359" s="1" t="str">
        <f>VLOOKUP(C359,'mayo-26'!B:K,10,0)</f>
        <v>COLEGIOS ZONA NORTE</v>
      </c>
      <c r="M359" s="15" t="s">
        <v>52</v>
      </c>
      <c r="N359" s="15" t="s">
        <v>138</v>
      </c>
      <c r="O359" s="15" t="s">
        <v>130</v>
      </c>
      <c r="P359" s="15" t="s">
        <v>126</v>
      </c>
      <c r="Q359" s="15" t="s">
        <v>56</v>
      </c>
      <c r="R359" s="15" t="s">
        <v>57</v>
      </c>
      <c r="S359" s="15" t="s">
        <v>143</v>
      </c>
      <c r="T359" s="15" t="s">
        <v>59</v>
      </c>
      <c r="U359" s="16">
        <v>2026.0</v>
      </c>
      <c r="V359" s="16">
        <v>6.0</v>
      </c>
      <c r="W359" s="16">
        <v>1.081875016E9</v>
      </c>
      <c r="X359" s="16">
        <v>1.081893488E9</v>
      </c>
      <c r="Y359" s="17">
        <v>46182.0</v>
      </c>
      <c r="Z359" s="17">
        <v>46207.0</v>
      </c>
      <c r="AA359" s="16">
        <v>293829.4</v>
      </c>
      <c r="AB359" s="16">
        <v>293829.4</v>
      </c>
      <c r="AC359" s="16">
        <v>0.0</v>
      </c>
      <c r="AD359" s="16">
        <v>1350.0</v>
      </c>
      <c r="AE359" s="16">
        <v>0.0</v>
      </c>
      <c r="AF359" s="16">
        <v>0.0</v>
      </c>
      <c r="AG359" s="16">
        <v>0.0</v>
      </c>
      <c r="AH359" s="16">
        <v>0.0</v>
      </c>
      <c r="AI359" s="16">
        <v>0.0</v>
      </c>
      <c r="AJ359" s="16">
        <v>293829.4</v>
      </c>
      <c r="AK359" s="16">
        <v>876407.5</v>
      </c>
      <c r="AL359" s="16">
        <v>3.0</v>
      </c>
      <c r="AM359" s="16">
        <v>250.8</v>
      </c>
      <c r="AN359" s="16">
        <v>0.0</v>
      </c>
      <c r="AO359" s="18"/>
      <c r="AP359" s="18"/>
      <c r="AQ359" s="18"/>
      <c r="AR359" s="18"/>
      <c r="AS359" s="11" t="str">
        <f>VLOOKUP(C359,'mayo-26'!B:AS,44,0)</f>
        <v>AREAFINANCIERA@SEMCUCUTA.GOV.CO</v>
      </c>
      <c r="AT359" s="12" t="str">
        <f>VLOOKUP(C359,'mayo-26'!B:AT,45,0)</f>
        <v>CARTERA</v>
      </c>
      <c r="AU359" s="16"/>
      <c r="AV359" s="16"/>
      <c r="AW359" s="16"/>
    </row>
    <row r="360" ht="14.25" customHeight="1">
      <c r="A360" s="15" t="s">
        <v>763</v>
      </c>
      <c r="B360" s="16">
        <v>455370.0</v>
      </c>
      <c r="C360" s="16">
        <v>3265.0</v>
      </c>
      <c r="D360" s="16">
        <v>3265.0</v>
      </c>
      <c r="E360" s="16">
        <v>8.0212723E7</v>
      </c>
      <c r="F360" s="16">
        <v>8.0212723E7</v>
      </c>
      <c r="G360" s="15" t="s">
        <v>148</v>
      </c>
      <c r="H360" s="15" t="s">
        <v>149</v>
      </c>
      <c r="I360" s="1" t="str">
        <f>VLOOKUP(C360,'mayo-26'!B:H,7,0)</f>
        <v>CALLE 10 NO 0E-16 EDF CENTRO EMPRESARIAL BLOQUE B HOTEL TONCHALA</v>
      </c>
      <c r="J360" s="1" t="s">
        <v>353</v>
      </c>
      <c r="K360" s="10" t="str">
        <f>VLOOKUP(C360,'mayo-26'!B:J,9,0)</f>
        <v>NO</v>
      </c>
      <c r="L360" s="1" t="str">
        <f>VLOOKUP(C360,'mayo-26'!B:K,10,0)</f>
        <v>COLEGIOS ZONA NORTE</v>
      </c>
      <c r="M360" s="15" t="s">
        <v>52</v>
      </c>
      <c r="N360" s="15" t="s">
        <v>138</v>
      </c>
      <c r="O360" s="15" t="s">
        <v>130</v>
      </c>
      <c r="P360" s="15" t="s">
        <v>126</v>
      </c>
      <c r="Q360" s="15" t="s">
        <v>56</v>
      </c>
      <c r="R360" s="15" t="s">
        <v>57</v>
      </c>
      <c r="S360" s="15" t="s">
        <v>143</v>
      </c>
      <c r="T360" s="15" t="s">
        <v>59</v>
      </c>
      <c r="U360" s="16">
        <v>2026.0</v>
      </c>
      <c r="V360" s="16">
        <v>6.0</v>
      </c>
      <c r="W360" s="16">
        <v>1.08187502E9</v>
      </c>
      <c r="X360" s="16">
        <v>1.081893492E9</v>
      </c>
      <c r="Y360" s="17">
        <v>46182.0</v>
      </c>
      <c r="Z360" s="17">
        <v>46207.0</v>
      </c>
      <c r="AA360" s="16">
        <v>330453.85</v>
      </c>
      <c r="AB360" s="16">
        <v>330453.85</v>
      </c>
      <c r="AC360" s="16">
        <v>0.0</v>
      </c>
      <c r="AD360" s="16">
        <v>1543.0</v>
      </c>
      <c r="AE360" s="16">
        <v>0.0</v>
      </c>
      <c r="AF360" s="16">
        <v>0.0</v>
      </c>
      <c r="AG360" s="16">
        <v>0.0</v>
      </c>
      <c r="AH360" s="16">
        <v>0.0</v>
      </c>
      <c r="AI360" s="16">
        <v>0.0</v>
      </c>
      <c r="AJ360" s="16">
        <v>330453.85</v>
      </c>
      <c r="AK360" s="16">
        <v>985419.3</v>
      </c>
      <c r="AL360" s="16">
        <v>3.0</v>
      </c>
      <c r="AM360" s="16">
        <v>250.8</v>
      </c>
      <c r="AN360" s="16">
        <v>0.0</v>
      </c>
      <c r="AO360" s="18"/>
      <c r="AP360" s="18"/>
      <c r="AQ360" s="18"/>
      <c r="AR360" s="18"/>
      <c r="AS360" s="11" t="str">
        <f>VLOOKUP(C360,'mayo-26'!B:AS,44,0)</f>
        <v>AREAFINANCIERA@SEMCUCUTA.GOV.CO</v>
      </c>
      <c r="AT360" s="12" t="str">
        <f>VLOOKUP(C360,'mayo-26'!B:AT,45,0)</f>
        <v>CARTERA</v>
      </c>
      <c r="AU360" s="16"/>
      <c r="AV360" s="16"/>
      <c r="AW360" s="16"/>
    </row>
    <row r="361" ht="14.25" customHeight="1">
      <c r="A361" s="15" t="s">
        <v>764</v>
      </c>
      <c r="B361" s="16">
        <v>326726.0</v>
      </c>
      <c r="C361" s="16">
        <v>326725.0</v>
      </c>
      <c r="D361" s="16">
        <v>326725.0</v>
      </c>
      <c r="E361" s="16">
        <v>590123.0</v>
      </c>
      <c r="F361" s="16">
        <v>590123.0</v>
      </c>
      <c r="G361" s="16">
        <v>8.90501073E8</v>
      </c>
      <c r="H361" s="15" t="s">
        <v>765</v>
      </c>
      <c r="I361" s="1" t="str">
        <f>VLOOKUP(C361,'mayo-26'!B:H,7,0)</f>
        <v>AVE 4 7N - 118 1219</v>
      </c>
      <c r="J361" s="1" t="s">
        <v>172</v>
      </c>
      <c r="K361" s="10" t="str">
        <f>VLOOKUP(C361,'mayo-26'!B:J,9,0)</f>
        <v>NO</v>
      </c>
      <c r="L361" s="1" t="str">
        <f>VLOOKUP(C361,'mayo-26'!B:K,10,0)</f>
        <v>NO</v>
      </c>
      <c r="M361" s="15" t="s">
        <v>52</v>
      </c>
      <c r="N361" s="15" t="s">
        <v>89</v>
      </c>
      <c r="O361" s="15" t="s">
        <v>130</v>
      </c>
      <c r="P361" s="15" t="s">
        <v>126</v>
      </c>
      <c r="Q361" s="15" t="s">
        <v>56</v>
      </c>
      <c r="R361" s="15" t="s">
        <v>72</v>
      </c>
      <c r="S361" s="15" t="s">
        <v>143</v>
      </c>
      <c r="T361" s="15" t="s">
        <v>59</v>
      </c>
      <c r="U361" s="16">
        <v>2026.0</v>
      </c>
      <c r="V361" s="16">
        <v>6.0</v>
      </c>
      <c r="W361" s="16">
        <v>1.081875167E9</v>
      </c>
      <c r="X361" s="16">
        <v>1.081893639E9</v>
      </c>
      <c r="Y361" s="17">
        <v>46182.0</v>
      </c>
      <c r="Z361" s="17">
        <v>46207.0</v>
      </c>
      <c r="AA361" s="16">
        <v>2308150.36</v>
      </c>
      <c r="AB361" s="16">
        <v>2308150.36</v>
      </c>
      <c r="AC361" s="16">
        <v>28373.16</v>
      </c>
      <c r="AD361" s="16">
        <v>300.0</v>
      </c>
      <c r="AE361" s="16">
        <v>0.0</v>
      </c>
      <c r="AF361" s="16">
        <v>0.0</v>
      </c>
      <c r="AG361" s="16">
        <v>0.0</v>
      </c>
      <c r="AH361" s="16">
        <v>0.0</v>
      </c>
      <c r="AI361" s="16">
        <v>0.0</v>
      </c>
      <c r="AJ361" s="16">
        <v>2308150.36</v>
      </c>
      <c r="AK361" s="16">
        <v>2308150.36</v>
      </c>
      <c r="AL361" s="16">
        <v>0.0</v>
      </c>
      <c r="AM361" s="16">
        <v>2185526.04</v>
      </c>
      <c r="AN361" s="16">
        <v>0.0</v>
      </c>
      <c r="AO361" s="18"/>
      <c r="AP361" s="18"/>
      <c r="AQ361" s="18"/>
      <c r="AR361" s="18"/>
      <c r="AS361" s="11" t="str">
        <f>VLOOKUP(C361,'mayo-26'!B:AS,44,0)</f>
        <v>FE_PROVEEDORES7@CINSA.COM.CO</v>
      </c>
      <c r="AT361" s="12" t="str">
        <f>VLOOKUP(C361,'mayo-26'!B:AT,45,0)</f>
        <v>CORREO ELECTRONICO CERTIFICADO 472</v>
      </c>
      <c r="AU361" s="16"/>
      <c r="AV361" s="16"/>
      <c r="AW361" s="16"/>
    </row>
    <row r="362" ht="14.25" customHeight="1">
      <c r="A362" s="15" t="s">
        <v>766</v>
      </c>
      <c r="B362" s="16">
        <v>326734.0</v>
      </c>
      <c r="C362" s="16">
        <v>326733.0</v>
      </c>
      <c r="D362" s="16">
        <v>326733.0</v>
      </c>
      <c r="E362" s="16">
        <v>590255.0</v>
      </c>
      <c r="F362" s="16">
        <v>590255.0</v>
      </c>
      <c r="G362" s="16">
        <v>8.9050352E8</v>
      </c>
      <c r="H362" s="15" t="s">
        <v>767</v>
      </c>
      <c r="I362" s="1" t="str">
        <f>VLOOKUP(C362,'mayo-26'!B:H,7,0)</f>
        <v>CLL 7N 4 - 33 1219</v>
      </c>
      <c r="J362" s="1" t="s">
        <v>172</v>
      </c>
      <c r="K362" s="10" t="str">
        <f>VLOOKUP(C362,'mayo-26'!B:J,9,0)</f>
        <v>NO</v>
      </c>
      <c r="L362" s="1" t="str">
        <f>VLOOKUP(C362,'mayo-26'!B:K,10,0)</f>
        <v>NO</v>
      </c>
      <c r="M362" s="15" t="s">
        <v>52</v>
      </c>
      <c r="N362" s="15" t="s">
        <v>89</v>
      </c>
      <c r="O362" s="15" t="s">
        <v>130</v>
      </c>
      <c r="P362" s="15" t="s">
        <v>126</v>
      </c>
      <c r="Q362" s="15" t="s">
        <v>56</v>
      </c>
      <c r="R362" s="15" t="s">
        <v>72</v>
      </c>
      <c r="S362" s="15" t="s">
        <v>58</v>
      </c>
      <c r="T362" s="15" t="s">
        <v>59</v>
      </c>
      <c r="U362" s="16">
        <v>2026.0</v>
      </c>
      <c r="V362" s="16">
        <v>6.0</v>
      </c>
      <c r="W362" s="16">
        <v>1.081875171E9</v>
      </c>
      <c r="X362" s="16">
        <v>1.081893643E9</v>
      </c>
      <c r="Y362" s="17">
        <v>46182.0</v>
      </c>
      <c r="Z362" s="17">
        <v>46207.0</v>
      </c>
      <c r="AA362" s="16">
        <v>3673500.57</v>
      </c>
      <c r="AB362" s="16">
        <v>3673500.57</v>
      </c>
      <c r="AC362" s="16">
        <v>830505.59</v>
      </c>
      <c r="AD362" s="16">
        <v>14390.0</v>
      </c>
      <c r="AE362" s="16">
        <v>74643.02</v>
      </c>
      <c r="AF362" s="16">
        <v>0.0</v>
      </c>
      <c r="AG362" s="16">
        <v>0.0</v>
      </c>
      <c r="AH362" s="16">
        <v>0.0</v>
      </c>
      <c r="AI362" s="16">
        <v>0.0</v>
      </c>
      <c r="AJ362" s="16">
        <v>3673500.57</v>
      </c>
      <c r="AK362" s="16">
        <v>3673501.42</v>
      </c>
      <c r="AL362" s="16">
        <v>1.0</v>
      </c>
      <c r="AM362" s="16">
        <v>326.04</v>
      </c>
      <c r="AN362" s="16">
        <v>0.0</v>
      </c>
      <c r="AO362" s="18"/>
      <c r="AP362" s="18"/>
      <c r="AQ362" s="18"/>
      <c r="AR362" s="18"/>
      <c r="AS362" s="11" t="str">
        <f>VLOOKUP(C362,'mayo-26'!B:AS,44,0)</f>
        <v>FACTURAELECTRONICA@LAMEJOR.COM.CO</v>
      </c>
      <c r="AT362" s="12" t="str">
        <f>VLOOKUP(C362,'mayo-26'!B:AT,45,0)</f>
        <v>CORREO ELECTRONICO CERTIFICADO 472</v>
      </c>
      <c r="AU362" s="16"/>
      <c r="AV362" s="16"/>
      <c r="AW362" s="16"/>
    </row>
    <row r="363" ht="14.25" customHeight="1">
      <c r="A363" s="15" t="s">
        <v>768</v>
      </c>
      <c r="B363" s="16">
        <v>455370.0</v>
      </c>
      <c r="C363" s="16">
        <v>3269.0</v>
      </c>
      <c r="D363" s="16">
        <v>3269.0</v>
      </c>
      <c r="E363" s="16">
        <v>8.0212727E7</v>
      </c>
      <c r="F363" s="16">
        <v>8.0212727E7</v>
      </c>
      <c r="G363" s="15" t="s">
        <v>148</v>
      </c>
      <c r="H363" s="15" t="s">
        <v>149</v>
      </c>
      <c r="I363" s="1" t="str">
        <f>VLOOKUP(C363,'mayo-26'!B:H,7,0)</f>
        <v>CALLE 10 NO 0E-16 EDF CENTRO EMPRESARIAL BLOQUE B HOTEL TONCHALA</v>
      </c>
      <c r="J363" s="1" t="s">
        <v>167</v>
      </c>
      <c r="K363" s="10" t="str">
        <f>VLOOKUP(C363,'mayo-26'!B:J,9,0)</f>
        <v>NO</v>
      </c>
      <c r="L363" s="1" t="str">
        <f>VLOOKUP(C363,'mayo-26'!B:K,10,0)</f>
        <v>COLEGIOS ZONA NORTE</v>
      </c>
      <c r="M363" s="15" t="s">
        <v>52</v>
      </c>
      <c r="N363" s="15" t="s">
        <v>138</v>
      </c>
      <c r="O363" s="15" t="s">
        <v>130</v>
      </c>
      <c r="P363" s="15" t="s">
        <v>126</v>
      </c>
      <c r="Q363" s="15" t="s">
        <v>56</v>
      </c>
      <c r="R363" s="15" t="s">
        <v>57</v>
      </c>
      <c r="S363" s="15" t="s">
        <v>143</v>
      </c>
      <c r="T363" s="15" t="s">
        <v>59</v>
      </c>
      <c r="U363" s="16">
        <v>2026.0</v>
      </c>
      <c r="V363" s="16">
        <v>6.0</v>
      </c>
      <c r="W363" s="16">
        <v>1.081875022E9</v>
      </c>
      <c r="X363" s="16">
        <v>1.081893494E9</v>
      </c>
      <c r="Y363" s="17">
        <v>46182.0</v>
      </c>
      <c r="Z363" s="17">
        <v>46207.0</v>
      </c>
      <c r="AA363" s="16">
        <v>171431.63</v>
      </c>
      <c r="AB363" s="16">
        <v>171431.63</v>
      </c>
      <c r="AC363" s="16">
        <v>0.0</v>
      </c>
      <c r="AD363" s="16">
        <v>705.0</v>
      </c>
      <c r="AE363" s="16">
        <v>0.0</v>
      </c>
      <c r="AF363" s="16">
        <v>0.0</v>
      </c>
      <c r="AG363" s="16">
        <v>0.0</v>
      </c>
      <c r="AH363" s="16">
        <v>0.0</v>
      </c>
      <c r="AI363" s="16">
        <v>0.0</v>
      </c>
      <c r="AJ363" s="16">
        <v>171431.63</v>
      </c>
      <c r="AK363" s="16">
        <v>512093.46</v>
      </c>
      <c r="AL363" s="16">
        <v>3.0</v>
      </c>
      <c r="AM363" s="16">
        <v>250.8</v>
      </c>
      <c r="AN363" s="16">
        <v>0.0</v>
      </c>
      <c r="AO363" s="18"/>
      <c r="AP363" s="18"/>
      <c r="AQ363" s="18"/>
      <c r="AR363" s="18"/>
      <c r="AS363" s="11" t="str">
        <f>VLOOKUP(C363,'mayo-26'!B:AS,44,0)</f>
        <v>AREAFINANCIERA@SEMCUCUTA.GOV.CO</v>
      </c>
      <c r="AT363" s="12" t="str">
        <f>VLOOKUP(C363,'mayo-26'!B:AT,45,0)</f>
        <v>CARTERA</v>
      </c>
      <c r="AU363" s="16"/>
      <c r="AV363" s="16"/>
      <c r="AW363" s="16"/>
    </row>
    <row r="364" ht="14.25" customHeight="1">
      <c r="A364" s="15" t="s">
        <v>769</v>
      </c>
      <c r="B364" s="16">
        <v>455370.0</v>
      </c>
      <c r="C364" s="16">
        <v>3273.0</v>
      </c>
      <c r="D364" s="16">
        <v>3273.0</v>
      </c>
      <c r="E364" s="16">
        <v>8.0212731E7</v>
      </c>
      <c r="F364" s="16">
        <v>8.0212731E7</v>
      </c>
      <c r="G364" s="15" t="s">
        <v>148</v>
      </c>
      <c r="H364" s="15" t="s">
        <v>149</v>
      </c>
      <c r="I364" s="1" t="str">
        <f>VLOOKUP(C364,'mayo-26'!B:H,7,0)</f>
        <v>CALLE 10 NO 0E-16 EDF CENTRO EMPRESARIAL BLOQUE B HOTEL TONCHALA</v>
      </c>
      <c r="J364" s="1" t="s">
        <v>200</v>
      </c>
      <c r="K364" s="10" t="str">
        <f>VLOOKUP(C364,'mayo-26'!B:J,9,0)</f>
        <v>NO</v>
      </c>
      <c r="L364" s="1" t="str">
        <f>VLOOKUP(C364,'mayo-26'!B:K,10,0)</f>
        <v>COLEGIOS ZONA NORTE</v>
      </c>
      <c r="M364" s="15" t="s">
        <v>52</v>
      </c>
      <c r="N364" s="15" t="s">
        <v>138</v>
      </c>
      <c r="O364" s="15" t="s">
        <v>130</v>
      </c>
      <c r="P364" s="15" t="s">
        <v>126</v>
      </c>
      <c r="Q364" s="15" t="s">
        <v>56</v>
      </c>
      <c r="R364" s="15" t="s">
        <v>57</v>
      </c>
      <c r="S364" s="15" t="s">
        <v>143</v>
      </c>
      <c r="T364" s="15" t="s">
        <v>59</v>
      </c>
      <c r="U364" s="16">
        <v>2026.0</v>
      </c>
      <c r="V364" s="16">
        <v>6.0</v>
      </c>
      <c r="W364" s="16">
        <v>1.081875027E9</v>
      </c>
      <c r="X364" s="16">
        <v>1.081893499E9</v>
      </c>
      <c r="Y364" s="17">
        <v>46182.0</v>
      </c>
      <c r="Z364" s="17">
        <v>46207.0</v>
      </c>
      <c r="AA364" s="16">
        <v>302938.08</v>
      </c>
      <c r="AB364" s="16">
        <v>302938.08</v>
      </c>
      <c r="AC364" s="16">
        <v>0.0</v>
      </c>
      <c r="AD364" s="16">
        <v>1398.0</v>
      </c>
      <c r="AE364" s="16">
        <v>0.0</v>
      </c>
      <c r="AF364" s="16">
        <v>0.0</v>
      </c>
      <c r="AG364" s="16">
        <v>0.0</v>
      </c>
      <c r="AH364" s="16">
        <v>0.0</v>
      </c>
      <c r="AI364" s="16">
        <v>0.0</v>
      </c>
      <c r="AJ364" s="16">
        <v>302938.08</v>
      </c>
      <c r="AK364" s="16">
        <v>903519.26</v>
      </c>
      <c r="AL364" s="16">
        <v>3.0</v>
      </c>
      <c r="AM364" s="16">
        <v>250.8</v>
      </c>
      <c r="AN364" s="16">
        <v>0.0</v>
      </c>
      <c r="AO364" s="18"/>
      <c r="AP364" s="18"/>
      <c r="AQ364" s="18"/>
      <c r="AR364" s="18"/>
      <c r="AS364" s="11" t="str">
        <f>VLOOKUP(C364,'mayo-26'!B:AS,44,0)</f>
        <v>AREAFINANCIERA@SEMCUCUTA.GOV.CO</v>
      </c>
      <c r="AT364" s="12" t="str">
        <f>VLOOKUP(C364,'mayo-26'!B:AT,45,0)</f>
        <v>CARTERA</v>
      </c>
      <c r="AU364" s="16"/>
      <c r="AV364" s="16"/>
      <c r="AW364" s="16"/>
    </row>
    <row r="365" ht="14.25" customHeight="1">
      <c r="A365" s="15" t="s">
        <v>770</v>
      </c>
      <c r="B365" s="16">
        <v>455370.0</v>
      </c>
      <c r="C365" s="16">
        <v>3277.0</v>
      </c>
      <c r="D365" s="16">
        <v>3277.0</v>
      </c>
      <c r="E365" s="16">
        <v>8.0212735E7</v>
      </c>
      <c r="F365" s="16">
        <v>8.0212735E7</v>
      </c>
      <c r="G365" s="15" t="s">
        <v>148</v>
      </c>
      <c r="H365" s="15" t="s">
        <v>149</v>
      </c>
      <c r="I365" s="1" t="str">
        <f>VLOOKUP(C365,'mayo-26'!B:H,7,0)</f>
        <v>CALLE 10 NO 0E-16 EDF CENTRO EMPRESARIAL BLOQUE B HOTEL TONCHALA</v>
      </c>
      <c r="J365" s="1" t="s">
        <v>771</v>
      </c>
      <c r="K365" s="10" t="str">
        <f>VLOOKUP(C365,'mayo-26'!B:J,9,0)</f>
        <v>NO</v>
      </c>
      <c r="L365" s="1" t="str">
        <f>VLOOKUP(C365,'mayo-26'!B:K,10,0)</f>
        <v>COLEGIOS ZONA NORTE</v>
      </c>
      <c r="M365" s="15" t="s">
        <v>52</v>
      </c>
      <c r="N365" s="15" t="s">
        <v>138</v>
      </c>
      <c r="O365" s="15" t="s">
        <v>130</v>
      </c>
      <c r="P365" s="15" t="s">
        <v>126</v>
      </c>
      <c r="Q365" s="15" t="s">
        <v>56</v>
      </c>
      <c r="R365" s="15" t="s">
        <v>57</v>
      </c>
      <c r="S365" s="15" t="s">
        <v>143</v>
      </c>
      <c r="T365" s="15" t="s">
        <v>59</v>
      </c>
      <c r="U365" s="16">
        <v>2026.0</v>
      </c>
      <c r="V365" s="16">
        <v>6.0</v>
      </c>
      <c r="W365" s="16">
        <v>1.081875031E9</v>
      </c>
      <c r="X365" s="16">
        <v>1.081893503E9</v>
      </c>
      <c r="Y365" s="17">
        <v>46182.0</v>
      </c>
      <c r="Z365" s="17">
        <v>46207.0</v>
      </c>
      <c r="AA365" s="16">
        <v>199896.23</v>
      </c>
      <c r="AB365" s="16">
        <v>199896.23</v>
      </c>
      <c r="AC365" s="16">
        <v>0.0</v>
      </c>
      <c r="AD365" s="16">
        <v>855.0</v>
      </c>
      <c r="AE365" s="16">
        <v>0.0</v>
      </c>
      <c r="AF365" s="16">
        <v>0.0</v>
      </c>
      <c r="AG365" s="16">
        <v>0.0</v>
      </c>
      <c r="AH365" s="16">
        <v>0.0</v>
      </c>
      <c r="AI365" s="16">
        <v>0.0</v>
      </c>
      <c r="AJ365" s="16">
        <v>199896.23</v>
      </c>
      <c r="AK365" s="16">
        <v>596817.66</v>
      </c>
      <c r="AL365" s="16">
        <v>3.0</v>
      </c>
      <c r="AM365" s="16">
        <v>250.8</v>
      </c>
      <c r="AN365" s="16">
        <v>0.0</v>
      </c>
      <c r="AO365" s="18"/>
      <c r="AP365" s="18"/>
      <c r="AQ365" s="18"/>
      <c r="AR365" s="18"/>
      <c r="AS365" s="11" t="str">
        <f>VLOOKUP(C365,'mayo-26'!B:AS,44,0)</f>
        <v>AREAFINANCIERA@SEMCUCUTA.GOV.CO</v>
      </c>
      <c r="AT365" s="12" t="str">
        <f>VLOOKUP(C365,'mayo-26'!B:AT,45,0)</f>
        <v>CARTERA</v>
      </c>
      <c r="AU365" s="16"/>
      <c r="AV365" s="16"/>
      <c r="AW365" s="16"/>
    </row>
    <row r="366" ht="14.25" customHeight="1">
      <c r="A366" s="15" t="s">
        <v>772</v>
      </c>
      <c r="B366" s="16">
        <v>455370.0</v>
      </c>
      <c r="C366" s="16">
        <v>3281.0</v>
      </c>
      <c r="D366" s="16">
        <v>3281.0</v>
      </c>
      <c r="E366" s="16">
        <v>8.0212739E7</v>
      </c>
      <c r="F366" s="16">
        <v>8.0212739E7</v>
      </c>
      <c r="G366" s="15" t="s">
        <v>148</v>
      </c>
      <c r="H366" s="15" t="s">
        <v>149</v>
      </c>
      <c r="I366" s="1" t="str">
        <f>VLOOKUP(C366,'mayo-26'!B:H,7,0)</f>
        <v>CALLE 10 NO 0E-16 EDF CENTRO EMPRESARIAL BLOQUE B HOTEL TONCHALA</v>
      </c>
      <c r="J366" s="1" t="s">
        <v>175</v>
      </c>
      <c r="K366" s="10" t="str">
        <f>VLOOKUP(C366,'mayo-26'!B:J,9,0)</f>
        <v>NO</v>
      </c>
      <c r="L366" s="1" t="str">
        <f>VLOOKUP(C366,'mayo-26'!B:K,10,0)</f>
        <v>COLEGIOS ZONA NORTE</v>
      </c>
      <c r="M366" s="15" t="s">
        <v>52</v>
      </c>
      <c r="N366" s="15" t="s">
        <v>138</v>
      </c>
      <c r="O366" s="15" t="s">
        <v>130</v>
      </c>
      <c r="P366" s="15" t="s">
        <v>126</v>
      </c>
      <c r="Q366" s="15" t="s">
        <v>56</v>
      </c>
      <c r="R366" s="15" t="s">
        <v>57</v>
      </c>
      <c r="S366" s="15" t="s">
        <v>143</v>
      </c>
      <c r="T366" s="15" t="s">
        <v>59</v>
      </c>
      <c r="U366" s="16">
        <v>2026.0</v>
      </c>
      <c r="V366" s="16">
        <v>6.0</v>
      </c>
      <c r="W366" s="16">
        <v>1.081875036E9</v>
      </c>
      <c r="X366" s="16">
        <v>1.081893508E9</v>
      </c>
      <c r="Y366" s="17">
        <v>46182.0</v>
      </c>
      <c r="Z366" s="17">
        <v>46207.0</v>
      </c>
      <c r="AA366" s="16">
        <v>85658.29</v>
      </c>
      <c r="AB366" s="16">
        <v>85658.29</v>
      </c>
      <c r="AC366" s="16">
        <v>0.0</v>
      </c>
      <c r="AD366" s="16">
        <v>253.0</v>
      </c>
      <c r="AE366" s="16">
        <v>0.0</v>
      </c>
      <c r="AF366" s="16">
        <v>0.0</v>
      </c>
      <c r="AG366" s="16">
        <v>0.0</v>
      </c>
      <c r="AH366" s="16">
        <v>0.0</v>
      </c>
      <c r="AI366" s="16">
        <v>0.0</v>
      </c>
      <c r="AJ366" s="16">
        <v>85658.29</v>
      </c>
      <c r="AK366" s="16">
        <v>256791.18</v>
      </c>
      <c r="AL366" s="16">
        <v>3.0</v>
      </c>
      <c r="AM366" s="16">
        <v>250.8</v>
      </c>
      <c r="AN366" s="16">
        <v>0.0</v>
      </c>
      <c r="AO366" s="18"/>
      <c r="AP366" s="18"/>
      <c r="AQ366" s="18"/>
      <c r="AR366" s="18"/>
      <c r="AS366" s="11" t="str">
        <f>VLOOKUP(C366,'mayo-26'!B:AS,44,0)</f>
        <v>AREAFINANCIERA@SEMCUCUTA.GOV.CO</v>
      </c>
      <c r="AT366" s="12" t="str">
        <f>VLOOKUP(C366,'mayo-26'!B:AT,45,0)</f>
        <v>CARTERA</v>
      </c>
      <c r="AU366" s="16"/>
      <c r="AV366" s="16"/>
      <c r="AW366" s="16"/>
    </row>
    <row r="367" ht="14.25" customHeight="1">
      <c r="A367" s="15" t="s">
        <v>773</v>
      </c>
      <c r="B367" s="16">
        <v>3286.0</v>
      </c>
      <c r="C367" s="16">
        <v>3285.0</v>
      </c>
      <c r="D367" s="16">
        <v>3285.0</v>
      </c>
      <c r="E367" s="16">
        <v>8.021731E7</v>
      </c>
      <c r="F367" s="16">
        <v>8.021731E7</v>
      </c>
      <c r="G367" s="15" t="s">
        <v>774</v>
      </c>
      <c r="H367" s="15" t="s">
        <v>775</v>
      </c>
      <c r="I367" s="1" t="str">
        <f>VLOOKUP(C367,'mayo-26'!B:H,7,0)</f>
        <v>CALLE 7N # 5A-66 ZONA INDUSTRI</v>
      </c>
      <c r="J367" s="1" t="s">
        <v>181</v>
      </c>
      <c r="K367" s="10" t="str">
        <f>VLOOKUP(C367,'mayo-26'!B:J,9,0)</f>
        <v>NO</v>
      </c>
      <c r="L367" s="1" t="str">
        <f>VLOOKUP(C367,'mayo-26'!B:K,10,0)</f>
        <v>NO</v>
      </c>
      <c r="M367" s="15" t="s">
        <v>52</v>
      </c>
      <c r="N367" s="15" t="s">
        <v>89</v>
      </c>
      <c r="O367" s="15" t="s">
        <v>130</v>
      </c>
      <c r="P367" s="15" t="s">
        <v>126</v>
      </c>
      <c r="Q367" s="15" t="s">
        <v>56</v>
      </c>
      <c r="R367" s="15" t="s">
        <v>72</v>
      </c>
      <c r="S367" s="15" t="s">
        <v>143</v>
      </c>
      <c r="T367" s="15" t="s">
        <v>59</v>
      </c>
      <c r="U367" s="16">
        <v>2026.0</v>
      </c>
      <c r="V367" s="16">
        <v>6.0</v>
      </c>
      <c r="W367" s="16">
        <v>1.08187504E9</v>
      </c>
      <c r="X367" s="16">
        <v>1.081893512E9</v>
      </c>
      <c r="Y367" s="17">
        <v>46182.0</v>
      </c>
      <c r="Z367" s="17">
        <v>46207.0</v>
      </c>
      <c r="AA367" s="16">
        <v>111760.06</v>
      </c>
      <c r="AB367" s="16">
        <v>111760.06</v>
      </c>
      <c r="AC367" s="16">
        <v>25669.03</v>
      </c>
      <c r="AD367" s="16">
        <v>252.5</v>
      </c>
      <c r="AE367" s="16">
        <v>527.61</v>
      </c>
      <c r="AF367" s="16">
        <v>0.0</v>
      </c>
      <c r="AG367" s="16">
        <v>0.0</v>
      </c>
      <c r="AH367" s="16">
        <v>0.0</v>
      </c>
      <c r="AI367" s="16">
        <v>0.0</v>
      </c>
      <c r="AJ367" s="16">
        <v>111760.06</v>
      </c>
      <c r="AK367" s="16">
        <v>212663.63</v>
      </c>
      <c r="AL367" s="16">
        <v>1.0</v>
      </c>
      <c r="AM367" s="16">
        <v>326.04</v>
      </c>
      <c r="AN367" s="16">
        <v>0.0</v>
      </c>
      <c r="AO367" s="18"/>
      <c r="AP367" s="18"/>
      <c r="AQ367" s="18"/>
      <c r="AR367" s="18"/>
      <c r="AS367" s="11" t="str">
        <f>VLOOKUP(C367,'mayo-26'!B:AS,44,0)</f>
        <v>CONTABILIDAD@ARROZAGUACLARA.COM</v>
      </c>
      <c r="AT367" s="12" t="str">
        <f>VLOOKUP(C367,'mayo-26'!B:AT,45,0)</f>
        <v>CORREO ELECTRONICO CERTIFICADO 472</v>
      </c>
      <c r="AU367" s="16"/>
      <c r="AV367" s="16"/>
      <c r="AW367" s="16"/>
    </row>
    <row r="368" ht="14.25" customHeight="1">
      <c r="A368" s="15" t="s">
        <v>776</v>
      </c>
      <c r="B368" s="16">
        <v>326717.0</v>
      </c>
      <c r="C368" s="16">
        <v>328521.0</v>
      </c>
      <c r="D368" s="16">
        <v>328521.0</v>
      </c>
      <c r="E368" s="16">
        <v>605611.0</v>
      </c>
      <c r="F368" s="16">
        <v>605611.0</v>
      </c>
      <c r="G368" s="15" t="s">
        <v>419</v>
      </c>
      <c r="H368" s="15" t="s">
        <v>235</v>
      </c>
      <c r="I368" s="1" t="str">
        <f>VLOOKUP(C368,'mayo-26'!B:H,7,0)</f>
        <v>AVE 4 7N - 94 1219</v>
      </c>
      <c r="J368" s="1" t="s">
        <v>172</v>
      </c>
      <c r="K368" s="10" t="str">
        <f>VLOOKUP(C368,'mayo-26'!B:J,9,0)</f>
        <v>NO</v>
      </c>
      <c r="L368" s="1" t="str">
        <f>VLOOKUP(C368,'mayo-26'!B:K,10,0)</f>
        <v>CARIBE</v>
      </c>
      <c r="M368" s="15" t="s">
        <v>52</v>
      </c>
      <c r="N368" s="15" t="s">
        <v>89</v>
      </c>
      <c r="O368" s="15" t="s">
        <v>130</v>
      </c>
      <c r="P368" s="15" t="s">
        <v>126</v>
      </c>
      <c r="Q368" s="15" t="s">
        <v>56</v>
      </c>
      <c r="R368" s="15" t="s">
        <v>72</v>
      </c>
      <c r="S368" s="15" t="s">
        <v>143</v>
      </c>
      <c r="T368" s="15" t="s">
        <v>59</v>
      </c>
      <c r="U368" s="16">
        <v>2026.0</v>
      </c>
      <c r="V368" s="16">
        <v>6.0</v>
      </c>
      <c r="W368" s="16">
        <v>1.081875176E9</v>
      </c>
      <c r="X368" s="16">
        <v>1.081893648E9</v>
      </c>
      <c r="Y368" s="17">
        <v>46182.0</v>
      </c>
      <c r="Z368" s="17">
        <v>46207.0</v>
      </c>
      <c r="AA368" s="16">
        <v>135285.03</v>
      </c>
      <c r="AB368" s="16">
        <v>135285.03</v>
      </c>
      <c r="AC368" s="16">
        <v>31219.63</v>
      </c>
      <c r="AD368" s="16">
        <v>350.0</v>
      </c>
      <c r="AE368" s="16">
        <v>0.0</v>
      </c>
      <c r="AF368" s="16">
        <v>0.0</v>
      </c>
      <c r="AG368" s="16">
        <v>0.0</v>
      </c>
      <c r="AH368" s="16">
        <v>0.0</v>
      </c>
      <c r="AI368" s="16">
        <v>0.0</v>
      </c>
      <c r="AJ368" s="16">
        <v>135285.03</v>
      </c>
      <c r="AK368" s="16">
        <v>135285.03</v>
      </c>
      <c r="AL368" s="16">
        <v>0.0</v>
      </c>
      <c r="AM368" s="16">
        <v>326.04</v>
      </c>
      <c r="AN368" s="16">
        <v>0.0</v>
      </c>
      <c r="AO368" s="18"/>
      <c r="AP368" s="18"/>
      <c r="AQ368" s="18"/>
      <c r="AR368" s="18"/>
      <c r="AS368" s="11" t="str">
        <f>VLOOKUP(C368,'mayo-26'!B:AS,44,0)</f>
        <v>PRINTPACKCARIBE@HOTMAIL.COM</v>
      </c>
      <c r="AT368" s="12" t="str">
        <f>VLOOKUP(C368,'mayo-26'!B:AT,45,0)</f>
        <v>CORREO ELECTRONICO CERTIFICADO 472</v>
      </c>
      <c r="AU368" s="16"/>
      <c r="AV368" s="16"/>
      <c r="AW368" s="16"/>
    </row>
    <row r="369" ht="14.25" customHeight="1">
      <c r="A369" s="15" t="s">
        <v>777</v>
      </c>
      <c r="B369" s="16">
        <v>147.0</v>
      </c>
      <c r="C369" s="16">
        <v>3289.0</v>
      </c>
      <c r="D369" s="16">
        <v>3289.0</v>
      </c>
      <c r="E369" s="16">
        <v>8.0217314E7</v>
      </c>
      <c r="F369" s="16">
        <v>8.0217314E7</v>
      </c>
      <c r="G369" s="15" t="s">
        <v>179</v>
      </c>
      <c r="H369" s="15" t="s">
        <v>180</v>
      </c>
      <c r="I369" s="1" t="str">
        <f>VLOOKUP(C369,'mayo-26'!B:H,7,0)</f>
        <v>AVE 3 CLL 24 GARITA # 1</v>
      </c>
      <c r="J369" s="1" t="s">
        <v>194</v>
      </c>
      <c r="K369" s="10" t="str">
        <f>VLOOKUP(C369,'mayo-26'!B:J,9,0)</f>
        <v>NO</v>
      </c>
      <c r="L369" s="1" t="str">
        <f>VLOOKUP(C369,'mayo-26'!B:K,10,0)</f>
        <v>POLICIA</v>
      </c>
      <c r="M369" s="15" t="s">
        <v>52</v>
      </c>
      <c r="N369" s="15" t="s">
        <v>89</v>
      </c>
      <c r="O369" s="15" t="s">
        <v>130</v>
      </c>
      <c r="P369" s="15" t="s">
        <v>126</v>
      </c>
      <c r="Q369" s="15" t="s">
        <v>56</v>
      </c>
      <c r="R369" s="15" t="s">
        <v>57</v>
      </c>
      <c r="S369" s="15" t="s">
        <v>143</v>
      </c>
      <c r="T369" s="15" t="s">
        <v>59</v>
      </c>
      <c r="U369" s="16">
        <v>2026.0</v>
      </c>
      <c r="V369" s="16">
        <v>6.0</v>
      </c>
      <c r="W369" s="16">
        <v>1.081875046E9</v>
      </c>
      <c r="X369" s="16">
        <v>1.081893518E9</v>
      </c>
      <c r="Y369" s="17">
        <v>46182.0</v>
      </c>
      <c r="Z369" s="17">
        <v>46207.0</v>
      </c>
      <c r="AA369" s="16">
        <v>502569.8</v>
      </c>
      <c r="AB369" s="16">
        <v>502569.8</v>
      </c>
      <c r="AC369" s="16">
        <v>0.0</v>
      </c>
      <c r="AD369" s="16">
        <v>2450.0</v>
      </c>
      <c r="AE369" s="16">
        <v>0.0</v>
      </c>
      <c r="AF369" s="16">
        <v>0.0</v>
      </c>
      <c r="AG369" s="16">
        <v>0.0</v>
      </c>
      <c r="AH369" s="16">
        <v>0.0</v>
      </c>
      <c r="AI369" s="16">
        <v>0.0</v>
      </c>
      <c r="AJ369" s="16">
        <v>502569.8</v>
      </c>
      <c r="AK369" s="16">
        <v>1005768.6</v>
      </c>
      <c r="AL369" s="16">
        <v>1.0</v>
      </c>
      <c r="AM369" s="16">
        <v>250.8</v>
      </c>
      <c r="AN369" s="16">
        <v>0.0</v>
      </c>
      <c r="AO369" s="18"/>
      <c r="AP369" s="18"/>
      <c r="AQ369" s="18"/>
      <c r="AR369" s="18"/>
      <c r="AS369" s="11" t="str">
        <f>VLOOKUP(C369,'mayo-26'!B:AS,44,0)</f>
        <v>MECUC.GUBIR@POLICIA.GOV.CO</v>
      </c>
      <c r="AT369" s="12" t="str">
        <f>VLOOKUP(C369,'mayo-26'!B:AT,45,0)</f>
        <v>CORREO ELECTRONICO CERTIFICADO 472</v>
      </c>
      <c r="AU369" s="16"/>
      <c r="AV369" s="16"/>
      <c r="AW369" s="16"/>
    </row>
    <row r="370" ht="14.25" customHeight="1">
      <c r="A370" s="15" t="s">
        <v>778</v>
      </c>
      <c r="B370" s="16">
        <v>455370.0</v>
      </c>
      <c r="C370" s="16">
        <v>3293.0</v>
      </c>
      <c r="D370" s="16">
        <v>3293.0</v>
      </c>
      <c r="E370" s="16">
        <v>8.0218485E7</v>
      </c>
      <c r="F370" s="16">
        <v>8.0218485E7</v>
      </c>
      <c r="G370" s="15" t="s">
        <v>148</v>
      </c>
      <c r="H370" s="15" t="s">
        <v>149</v>
      </c>
      <c r="I370" s="1" t="str">
        <f>VLOOKUP(C370,'mayo-26'!B:H,7,0)</f>
        <v>CALLE 10 NO 0E-16 EDF CENTRO EMPRESARIAL BLOQUE B HOTEL TONCHALA</v>
      </c>
      <c r="J370" s="1" t="s">
        <v>779</v>
      </c>
      <c r="K370" s="10" t="str">
        <f>VLOOKUP(C370,'mayo-26'!B:J,9,0)</f>
        <v>NO</v>
      </c>
      <c r="L370" s="1" t="str">
        <f>VLOOKUP(C370,'mayo-26'!B:K,10,0)</f>
        <v>COLEGIOS ZONA NORTE</v>
      </c>
      <c r="M370" s="15" t="s">
        <v>52</v>
      </c>
      <c r="N370" s="15" t="s">
        <v>138</v>
      </c>
      <c r="O370" s="15" t="s">
        <v>130</v>
      </c>
      <c r="P370" s="15" t="s">
        <v>126</v>
      </c>
      <c r="Q370" s="15" t="s">
        <v>56</v>
      </c>
      <c r="R370" s="15" t="s">
        <v>57</v>
      </c>
      <c r="S370" s="15" t="s">
        <v>143</v>
      </c>
      <c r="T370" s="15" t="s">
        <v>59</v>
      </c>
      <c r="U370" s="16">
        <v>2026.0</v>
      </c>
      <c r="V370" s="16">
        <v>6.0</v>
      </c>
      <c r="W370" s="16">
        <v>1.081875049E9</v>
      </c>
      <c r="X370" s="16">
        <v>1.081893521E9</v>
      </c>
      <c r="Y370" s="17">
        <v>46182.0</v>
      </c>
      <c r="Z370" s="17">
        <v>46207.0</v>
      </c>
      <c r="AA370" s="16">
        <v>464617.0</v>
      </c>
      <c r="AB370" s="16">
        <v>464617.0</v>
      </c>
      <c r="AC370" s="16">
        <v>0.0</v>
      </c>
      <c r="AD370" s="16">
        <v>2250.0</v>
      </c>
      <c r="AE370" s="16">
        <v>0.0</v>
      </c>
      <c r="AF370" s="16">
        <v>0.0</v>
      </c>
      <c r="AG370" s="16">
        <v>0.0</v>
      </c>
      <c r="AH370" s="16">
        <v>0.0</v>
      </c>
      <c r="AI370" s="16">
        <v>0.0</v>
      </c>
      <c r="AJ370" s="16">
        <v>464617.0</v>
      </c>
      <c r="AK370" s="16">
        <v>1384752.7</v>
      </c>
      <c r="AL370" s="16">
        <v>3.0</v>
      </c>
      <c r="AM370" s="16">
        <v>250.8</v>
      </c>
      <c r="AN370" s="16">
        <v>0.0</v>
      </c>
      <c r="AO370" s="18"/>
      <c r="AP370" s="18"/>
      <c r="AQ370" s="18"/>
      <c r="AR370" s="18"/>
      <c r="AS370" s="11" t="str">
        <f>VLOOKUP(C370,'mayo-26'!B:AS,44,0)</f>
        <v>AREAFINANCIERA@SEMCUCUTA.GOV.CO</v>
      </c>
      <c r="AT370" s="12" t="str">
        <f>VLOOKUP(C370,'mayo-26'!B:AT,45,0)</f>
        <v>CARTERA</v>
      </c>
      <c r="AU370" s="16"/>
      <c r="AV370" s="16"/>
      <c r="AW370" s="16"/>
    </row>
    <row r="371" ht="14.25" customHeight="1">
      <c r="A371" s="15" t="s">
        <v>780</v>
      </c>
      <c r="B371" s="16">
        <v>3298.0</v>
      </c>
      <c r="C371" s="16">
        <v>3297.0</v>
      </c>
      <c r="D371" s="16">
        <v>3297.0</v>
      </c>
      <c r="E371" s="16">
        <v>8.0219136E7</v>
      </c>
      <c r="F371" s="16">
        <v>8.0219136E7</v>
      </c>
      <c r="G371" s="16">
        <v>8.60533413E8</v>
      </c>
      <c r="H371" s="15" t="s">
        <v>781</v>
      </c>
      <c r="I371" s="1" t="str">
        <f>VLOOKUP(C371,'mayo-26'!B:H,7,0)</f>
        <v>AV LIBERT LOCAL 1 -199</v>
      </c>
      <c r="J371" s="1" t="s">
        <v>214</v>
      </c>
      <c r="K371" s="10" t="str">
        <f>VLOOKUP(C371,'mayo-26'!B:J,9,0)</f>
        <v>NO</v>
      </c>
      <c r="L371" s="1" t="str">
        <f>VLOOKUP(C371,'mayo-26'!B:K,10,0)</f>
        <v>NO</v>
      </c>
      <c r="M371" s="15" t="s">
        <v>52</v>
      </c>
      <c r="N371" s="15" t="s">
        <v>89</v>
      </c>
      <c r="O371" s="15" t="s">
        <v>130</v>
      </c>
      <c r="P371" s="15" t="s">
        <v>126</v>
      </c>
      <c r="Q371" s="15" t="s">
        <v>56</v>
      </c>
      <c r="R371" s="15" t="s">
        <v>90</v>
      </c>
      <c r="S371" s="15" t="s">
        <v>143</v>
      </c>
      <c r="T371" s="15" t="s">
        <v>59</v>
      </c>
      <c r="U371" s="16">
        <v>2026.0</v>
      </c>
      <c r="V371" s="16">
        <v>6.0</v>
      </c>
      <c r="W371" s="16">
        <v>1.081875053E9</v>
      </c>
      <c r="X371" s="16">
        <v>1.081893525E9</v>
      </c>
      <c r="Y371" s="17">
        <v>46182.0</v>
      </c>
      <c r="Z371" s="17">
        <v>46207.0</v>
      </c>
      <c r="AA371" s="16">
        <v>262840.37</v>
      </c>
      <c r="AB371" s="16">
        <v>262840.37</v>
      </c>
      <c r="AC371" s="16">
        <v>87613.46</v>
      </c>
      <c r="AD371" s="16">
        <v>725.0</v>
      </c>
      <c r="AE371" s="16">
        <v>0.0</v>
      </c>
      <c r="AF371" s="16">
        <v>0.0</v>
      </c>
      <c r="AG371" s="16">
        <v>0.0</v>
      </c>
      <c r="AH371" s="16">
        <v>0.0</v>
      </c>
      <c r="AI371" s="16">
        <v>0.0</v>
      </c>
      <c r="AJ371" s="16">
        <v>262840.37</v>
      </c>
      <c r="AK371" s="16">
        <v>262840.37</v>
      </c>
      <c r="AL371" s="16">
        <v>0.0</v>
      </c>
      <c r="AM371" s="16">
        <v>376.2</v>
      </c>
      <c r="AN371" s="16">
        <v>0.0</v>
      </c>
      <c r="AO371" s="18"/>
      <c r="AP371" s="18"/>
      <c r="AQ371" s="18"/>
      <c r="AR371" s="18"/>
      <c r="AS371" s="11" t="str">
        <f>VLOOKUP(C371,'mayo-26'!B:AS,44,0)</f>
        <v>CUC.UNICENTRO@ELCORRAL.COM</v>
      </c>
      <c r="AT371" s="12" t="str">
        <f>VLOOKUP(C371,'mayo-26'!B:AT,45,0)</f>
        <v>CORREO ELECTRONICO CERTIFICADO 472</v>
      </c>
      <c r="AU371" s="16"/>
      <c r="AV371" s="16"/>
      <c r="AW371" s="16"/>
    </row>
    <row r="372" ht="14.25" customHeight="1">
      <c r="A372" s="15" t="s">
        <v>782</v>
      </c>
      <c r="B372" s="16">
        <v>455370.0</v>
      </c>
      <c r="C372" s="16">
        <v>3301.0</v>
      </c>
      <c r="D372" s="16">
        <v>3301.0</v>
      </c>
      <c r="E372" s="16">
        <v>8.0222598E7</v>
      </c>
      <c r="F372" s="16">
        <v>8.0222598E7</v>
      </c>
      <c r="G372" s="15" t="s">
        <v>148</v>
      </c>
      <c r="H372" s="15" t="s">
        <v>149</v>
      </c>
      <c r="I372" s="1" t="str">
        <f>VLOOKUP(C372,'mayo-26'!B:H,7,0)</f>
        <v>CALLE 10 NO 0E-16 EDF CENTRO EMPRESARIAL BLOQUE B HOTEL TONCHALA</v>
      </c>
      <c r="J372" s="1" t="s">
        <v>783</v>
      </c>
      <c r="K372" s="10" t="str">
        <f>VLOOKUP(C372,'mayo-26'!B:J,9,0)</f>
        <v>NO</v>
      </c>
      <c r="L372" s="1" t="str">
        <f>VLOOKUP(C372,'mayo-26'!B:K,10,0)</f>
        <v>COLEGIOS ZONA NORTE</v>
      </c>
      <c r="M372" s="15" t="s">
        <v>52</v>
      </c>
      <c r="N372" s="15" t="s">
        <v>138</v>
      </c>
      <c r="O372" s="15" t="s">
        <v>130</v>
      </c>
      <c r="P372" s="15" t="s">
        <v>126</v>
      </c>
      <c r="Q372" s="15" t="s">
        <v>56</v>
      </c>
      <c r="R372" s="15" t="s">
        <v>57</v>
      </c>
      <c r="S372" s="15" t="s">
        <v>143</v>
      </c>
      <c r="T372" s="15" t="s">
        <v>59</v>
      </c>
      <c r="U372" s="16">
        <v>2026.0</v>
      </c>
      <c r="V372" s="16">
        <v>6.0</v>
      </c>
      <c r="W372" s="16">
        <v>1.081875057E9</v>
      </c>
      <c r="X372" s="16">
        <v>1.081893529E9</v>
      </c>
      <c r="Y372" s="17">
        <v>46182.0</v>
      </c>
      <c r="Z372" s="17">
        <v>46207.0</v>
      </c>
      <c r="AA372" s="16">
        <v>85658.29</v>
      </c>
      <c r="AB372" s="16">
        <v>85658.29</v>
      </c>
      <c r="AC372" s="16">
        <v>0.0</v>
      </c>
      <c r="AD372" s="16">
        <v>253.0</v>
      </c>
      <c r="AE372" s="16">
        <v>0.0</v>
      </c>
      <c r="AF372" s="16">
        <v>0.0</v>
      </c>
      <c r="AG372" s="16">
        <v>0.0</v>
      </c>
      <c r="AH372" s="16">
        <v>0.0</v>
      </c>
      <c r="AI372" s="16">
        <v>0.0</v>
      </c>
      <c r="AJ372" s="16">
        <v>85658.29</v>
      </c>
      <c r="AK372" s="16">
        <v>256791.18</v>
      </c>
      <c r="AL372" s="16">
        <v>3.0</v>
      </c>
      <c r="AM372" s="16">
        <v>250.8</v>
      </c>
      <c r="AN372" s="16">
        <v>0.0</v>
      </c>
      <c r="AO372" s="18"/>
      <c r="AP372" s="18"/>
      <c r="AQ372" s="18"/>
      <c r="AR372" s="18"/>
      <c r="AS372" s="11" t="str">
        <f>VLOOKUP(C372,'mayo-26'!B:AS,44,0)</f>
        <v>AREAFINANCIERA@SEMCUCUTA.GOV.CO</v>
      </c>
      <c r="AT372" s="12" t="str">
        <f>VLOOKUP(C372,'mayo-26'!B:AT,45,0)</f>
        <v>CARTERA</v>
      </c>
      <c r="AU372" s="16"/>
      <c r="AV372" s="16"/>
      <c r="AW372" s="16"/>
    </row>
    <row r="373" ht="14.25" customHeight="1">
      <c r="A373" s="15" t="s">
        <v>784</v>
      </c>
      <c r="B373" s="16">
        <v>3306.0</v>
      </c>
      <c r="C373" s="16">
        <v>3305.0</v>
      </c>
      <c r="D373" s="16">
        <v>3305.0</v>
      </c>
      <c r="E373" s="16">
        <v>8.0226231E7</v>
      </c>
      <c r="F373" s="16">
        <v>8.0226231E7</v>
      </c>
      <c r="G373" s="16">
        <v>1.3442206E7</v>
      </c>
      <c r="H373" s="15" t="s">
        <v>785</v>
      </c>
      <c r="I373" s="1" t="str">
        <f>VLOOKUP(C373,'mayo-26'!B:H,7,0)</f>
        <v>AV. 6 17N-05 ZONA INDUSTRIAL</v>
      </c>
      <c r="J373" s="1" t="s">
        <v>172</v>
      </c>
      <c r="K373" s="10" t="str">
        <f>VLOOKUP(C373,'mayo-26'!B:J,9,0)</f>
        <v>NO</v>
      </c>
      <c r="L373" s="1" t="str">
        <f>VLOOKUP(C373,'mayo-26'!B:K,10,0)</f>
        <v>NO</v>
      </c>
      <c r="M373" s="15" t="s">
        <v>52</v>
      </c>
      <c r="N373" s="15" t="s">
        <v>89</v>
      </c>
      <c r="O373" s="15" t="s">
        <v>130</v>
      </c>
      <c r="P373" s="15" t="s">
        <v>126</v>
      </c>
      <c r="Q373" s="15" t="s">
        <v>56</v>
      </c>
      <c r="R373" s="15" t="s">
        <v>72</v>
      </c>
      <c r="S373" s="15" t="s">
        <v>143</v>
      </c>
      <c r="T373" s="15" t="s">
        <v>59</v>
      </c>
      <c r="U373" s="16">
        <v>2026.0</v>
      </c>
      <c r="V373" s="16">
        <v>6.0</v>
      </c>
      <c r="W373" s="16">
        <v>1.08187506E9</v>
      </c>
      <c r="X373" s="16">
        <v>1.081893532E9</v>
      </c>
      <c r="Y373" s="17">
        <v>46182.0</v>
      </c>
      <c r="Z373" s="17">
        <v>46207.0</v>
      </c>
      <c r="AA373" s="16">
        <v>111232.45</v>
      </c>
      <c r="AB373" s="16">
        <v>111232.45</v>
      </c>
      <c r="AC373" s="16">
        <v>25669.03</v>
      </c>
      <c r="AD373" s="16">
        <v>252.5</v>
      </c>
      <c r="AE373" s="16">
        <v>0.0</v>
      </c>
      <c r="AF373" s="16">
        <v>0.0</v>
      </c>
      <c r="AG373" s="16">
        <v>0.0</v>
      </c>
      <c r="AH373" s="16">
        <v>0.0</v>
      </c>
      <c r="AI373" s="16">
        <v>0.0</v>
      </c>
      <c r="AJ373" s="16">
        <v>111232.45</v>
      </c>
      <c r="AK373" s="16">
        <v>111232.45</v>
      </c>
      <c r="AL373" s="16">
        <v>0.0</v>
      </c>
      <c r="AM373" s="16">
        <v>326.04</v>
      </c>
      <c r="AN373" s="16">
        <v>0.0</v>
      </c>
      <c r="AO373" s="18"/>
      <c r="AP373" s="18"/>
      <c r="AQ373" s="18"/>
      <c r="AR373" s="18"/>
      <c r="AS373" s="11" t="str">
        <f>VLOOKUP(C373,'mayo-26'!B:AS,44,0)</f>
        <v>LAVANDERIAIMPACTO.1982@HOTMAIL.COM</v>
      </c>
      <c r="AT373" s="12" t="str">
        <f>VLOOKUP(C373,'mayo-26'!B:AT,45,0)</f>
        <v>CORREO ELECTRONICO CERTIFICADO 472</v>
      </c>
      <c r="AU373" s="16"/>
      <c r="AV373" s="16"/>
      <c r="AW373" s="16"/>
    </row>
    <row r="374" ht="14.25" customHeight="1">
      <c r="A374" s="15" t="s">
        <v>786</v>
      </c>
      <c r="B374" s="16">
        <v>455370.0</v>
      </c>
      <c r="C374" s="16">
        <v>3309.0</v>
      </c>
      <c r="D374" s="16">
        <v>3309.0</v>
      </c>
      <c r="E374" s="16">
        <v>8.0230158E7</v>
      </c>
      <c r="F374" s="16">
        <v>8.0230158E7</v>
      </c>
      <c r="G374" s="15" t="s">
        <v>148</v>
      </c>
      <c r="H374" s="15" t="s">
        <v>149</v>
      </c>
      <c r="I374" s="1" t="str">
        <f>VLOOKUP(C374,'mayo-26'!B:H,7,0)</f>
        <v>CALLE 10 NO 0E-16 EDF CENTRO EMPRESARIAL BLOQUE B HOTEL TONCHALA</v>
      </c>
      <c r="J374" s="1" t="s">
        <v>268</v>
      </c>
      <c r="K374" s="10" t="str">
        <f>VLOOKUP(C374,'mayo-26'!B:J,9,0)</f>
        <v>NO</v>
      </c>
      <c r="L374" s="1" t="str">
        <f>VLOOKUP(C374,'mayo-26'!B:K,10,0)</f>
        <v>COLEGIOS ZONA NORTE</v>
      </c>
      <c r="M374" s="15" t="s">
        <v>52</v>
      </c>
      <c r="N374" s="15" t="s">
        <v>616</v>
      </c>
      <c r="O374" s="15" t="s">
        <v>130</v>
      </c>
      <c r="P374" s="15" t="s">
        <v>126</v>
      </c>
      <c r="Q374" s="15" t="s">
        <v>56</v>
      </c>
      <c r="R374" s="15" t="s">
        <v>57</v>
      </c>
      <c r="S374" s="15" t="s">
        <v>143</v>
      </c>
      <c r="T374" s="15" t="s">
        <v>59</v>
      </c>
      <c r="U374" s="16">
        <v>2026.0</v>
      </c>
      <c r="V374" s="16">
        <v>6.0</v>
      </c>
      <c r="W374" s="16">
        <v>1.081875063E9</v>
      </c>
      <c r="X374" s="16">
        <v>1.081893535E9</v>
      </c>
      <c r="Y374" s="17">
        <v>46182.0</v>
      </c>
      <c r="Z374" s="17">
        <v>46207.0</v>
      </c>
      <c r="AA374" s="16">
        <v>51807.29</v>
      </c>
      <c r="AB374" s="16">
        <v>51807.29</v>
      </c>
      <c r="AC374" s="16">
        <v>0.0</v>
      </c>
      <c r="AD374" s="16">
        <v>253.0</v>
      </c>
      <c r="AE374" s="16">
        <v>0.0</v>
      </c>
      <c r="AF374" s="16">
        <v>0.0</v>
      </c>
      <c r="AG374" s="16">
        <v>0.0</v>
      </c>
      <c r="AH374" s="16">
        <v>0.0</v>
      </c>
      <c r="AI374" s="16">
        <v>0.0</v>
      </c>
      <c r="AJ374" s="16">
        <v>51807.29</v>
      </c>
      <c r="AK374" s="16">
        <v>154191.18</v>
      </c>
      <c r="AL374" s="16">
        <v>3.0</v>
      </c>
      <c r="AM374" s="16">
        <v>250.8</v>
      </c>
      <c r="AN374" s="16">
        <v>0.0</v>
      </c>
      <c r="AO374" s="18"/>
      <c r="AP374" s="18"/>
      <c r="AQ374" s="18"/>
      <c r="AR374" s="18"/>
      <c r="AS374" s="11" t="str">
        <f>VLOOKUP(C374,'mayo-26'!B:AS,44,0)</f>
        <v>AREAFINANCIERA@SEMCUCUTA.GOV.CO</v>
      </c>
      <c r="AT374" s="12" t="str">
        <f>VLOOKUP(C374,'mayo-26'!B:AT,45,0)</f>
        <v>CARTERA</v>
      </c>
      <c r="AU374" s="16"/>
      <c r="AV374" s="16"/>
      <c r="AW374" s="16"/>
    </row>
    <row r="375" ht="14.25" customHeight="1">
      <c r="A375" s="15" t="s">
        <v>787</v>
      </c>
      <c r="B375" s="16">
        <v>3314.0</v>
      </c>
      <c r="C375" s="16">
        <v>3313.0</v>
      </c>
      <c r="D375" s="16">
        <v>3313.0</v>
      </c>
      <c r="E375" s="16">
        <v>8.0230162E7</v>
      </c>
      <c r="F375" s="16">
        <v>8.0230162E7</v>
      </c>
      <c r="G375" s="16">
        <v>8508653.0</v>
      </c>
      <c r="H375" s="15" t="s">
        <v>788</v>
      </c>
      <c r="I375" s="1" t="str">
        <f>VLOOKUP(C375,'mayo-26'!B:H,7,0)</f>
        <v>AVE 7 9N-173 CLUB POLINAL</v>
      </c>
      <c r="J375" s="1" t="s">
        <v>172</v>
      </c>
      <c r="K375" s="10" t="str">
        <f>VLOOKUP(C375,'mayo-26'!B:J,9,0)</f>
        <v>NO</v>
      </c>
      <c r="L375" s="1" t="str">
        <f>VLOOKUP(C375,'mayo-26'!B:K,10,0)</f>
        <v>POLICIA</v>
      </c>
      <c r="M375" s="15" t="s">
        <v>52</v>
      </c>
      <c r="N375" s="15" t="s">
        <v>89</v>
      </c>
      <c r="O375" s="15" t="s">
        <v>130</v>
      </c>
      <c r="P375" s="15" t="s">
        <v>126</v>
      </c>
      <c r="Q375" s="15" t="s">
        <v>56</v>
      </c>
      <c r="R375" s="15" t="s">
        <v>57</v>
      </c>
      <c r="S375" s="15" t="s">
        <v>58</v>
      </c>
      <c r="T375" s="15" t="s">
        <v>59</v>
      </c>
      <c r="U375" s="16">
        <v>2026.0</v>
      </c>
      <c r="V375" s="16">
        <v>6.0</v>
      </c>
      <c r="W375" s="16">
        <v>1.081875068E9</v>
      </c>
      <c r="X375" s="16">
        <v>1.08189354E9</v>
      </c>
      <c r="Y375" s="17">
        <v>46182.0</v>
      </c>
      <c r="Z375" s="17">
        <v>46207.0</v>
      </c>
      <c r="AA375" s="16">
        <v>1666534.74</v>
      </c>
      <c r="AB375" s="16">
        <v>1666534.74</v>
      </c>
      <c r="AC375" s="16">
        <v>0.0</v>
      </c>
      <c r="AD375" s="16">
        <v>8583.75</v>
      </c>
      <c r="AE375" s="16">
        <v>0.0</v>
      </c>
      <c r="AF375" s="16">
        <v>0.0</v>
      </c>
      <c r="AG375" s="16">
        <v>0.0</v>
      </c>
      <c r="AH375" s="16">
        <v>0.0</v>
      </c>
      <c r="AI375" s="16">
        <v>0.0</v>
      </c>
      <c r="AJ375" s="16">
        <v>1666534.74</v>
      </c>
      <c r="AK375" s="16">
        <v>5355273.65</v>
      </c>
      <c r="AL375" s="16">
        <v>2.0</v>
      </c>
      <c r="AM375" s="16">
        <v>250.8</v>
      </c>
      <c r="AN375" s="16">
        <v>0.0</v>
      </c>
      <c r="AO375" s="18"/>
      <c r="AP375" s="18"/>
      <c r="AQ375" s="18"/>
      <c r="AR375" s="18"/>
      <c r="AS375" s="11" t="str">
        <f>VLOOKUP(C375,'mayo-26'!B:AS,44,0)</f>
        <v>DIBIE.VACACIONAL-CORRAL@POLICIA.GOV.CO</v>
      </c>
      <c r="AT375" s="12" t="str">
        <f>VLOOKUP(C375,'mayo-26'!B:AT,45,0)</f>
        <v>CORREO ELECTRONICO CERTIFICADO 472</v>
      </c>
      <c r="AU375" s="16"/>
      <c r="AV375" s="16"/>
      <c r="AW375" s="16"/>
    </row>
    <row r="376" ht="14.25" customHeight="1">
      <c r="A376" s="15" t="s">
        <v>789</v>
      </c>
      <c r="B376" s="16">
        <v>433.0</v>
      </c>
      <c r="C376" s="16">
        <v>3317.0</v>
      </c>
      <c r="D376" s="16">
        <v>3317.0</v>
      </c>
      <c r="E376" s="16">
        <v>8.0231081E7</v>
      </c>
      <c r="F376" s="16">
        <v>8.0231081E7</v>
      </c>
      <c r="G376" s="16">
        <v>9.01347799E8</v>
      </c>
      <c r="H376" s="15" t="s">
        <v>120</v>
      </c>
      <c r="I376" s="1" t="str">
        <f>VLOOKUP(C376,'mayo-26'!B:H,7,0)</f>
        <v>KM 6 #49-40 VIA SAUFASTINO EL SERRITO</v>
      </c>
      <c r="J376" s="1" t="s">
        <v>175</v>
      </c>
      <c r="K376" s="10" t="str">
        <f>VLOOKUP(C376,'mayo-26'!B:J,9,0)</f>
        <v>NO</v>
      </c>
      <c r="L376" s="1" t="str">
        <f>VLOOKUP(C376,'mayo-26'!B:K,10,0)</f>
        <v>NO</v>
      </c>
      <c r="M376" s="15" t="s">
        <v>52</v>
      </c>
      <c r="N376" s="15" t="s">
        <v>138</v>
      </c>
      <c r="O376" s="15" t="s">
        <v>130</v>
      </c>
      <c r="P376" s="15" t="s">
        <v>126</v>
      </c>
      <c r="Q376" s="15" t="s">
        <v>56</v>
      </c>
      <c r="R376" s="15" t="s">
        <v>72</v>
      </c>
      <c r="S376" s="15" t="s">
        <v>143</v>
      </c>
      <c r="T376" s="15" t="s">
        <v>59</v>
      </c>
      <c r="U376" s="16">
        <v>2026.0</v>
      </c>
      <c r="V376" s="16">
        <v>6.0</v>
      </c>
      <c r="W376" s="16">
        <v>1.08187507E9</v>
      </c>
      <c r="X376" s="16">
        <v>1.081893542E9</v>
      </c>
      <c r="Y376" s="17">
        <v>46182.0</v>
      </c>
      <c r="Z376" s="17">
        <v>46207.0</v>
      </c>
      <c r="AA376" s="16">
        <v>111355.77</v>
      </c>
      <c r="AB376" s="16">
        <v>111355.77</v>
      </c>
      <c r="AC376" s="16">
        <v>25697.48</v>
      </c>
      <c r="AD376" s="16">
        <v>253.0</v>
      </c>
      <c r="AE376" s="16">
        <v>0.0</v>
      </c>
      <c r="AF376" s="16">
        <v>0.0</v>
      </c>
      <c r="AG376" s="16">
        <v>0.0</v>
      </c>
      <c r="AH376" s="16">
        <v>0.0</v>
      </c>
      <c r="AI376" s="16">
        <v>0.0</v>
      </c>
      <c r="AJ376" s="16">
        <v>111355.77</v>
      </c>
      <c r="AK376" s="16">
        <v>111355.77</v>
      </c>
      <c r="AL376" s="16">
        <v>0.0</v>
      </c>
      <c r="AM376" s="16">
        <v>326.04</v>
      </c>
      <c r="AN376" s="16">
        <v>0.0</v>
      </c>
      <c r="AO376" s="18"/>
      <c r="AP376" s="18"/>
      <c r="AQ376" s="18"/>
      <c r="AR376" s="18"/>
      <c r="AS376" s="11" t="str">
        <f>VLOOKUP(C376,'mayo-26'!B:AS,44,0)</f>
        <v>CURTIEMBRESCUCUTA@GMAIL.COM</v>
      </c>
      <c r="AT376" s="12" t="str">
        <f>VLOOKUP(C376,'mayo-26'!B:AT,45,0)</f>
        <v>CORREO ELECTRONICO CERTIFICADO 472</v>
      </c>
      <c r="AU376" s="16"/>
      <c r="AV376" s="16"/>
      <c r="AW376" s="16"/>
    </row>
    <row r="377" ht="14.25" customHeight="1">
      <c r="A377" s="15" t="s">
        <v>790</v>
      </c>
      <c r="B377" s="16">
        <v>455370.0</v>
      </c>
      <c r="C377" s="16">
        <v>3321.0</v>
      </c>
      <c r="D377" s="16">
        <v>3321.0</v>
      </c>
      <c r="E377" s="16">
        <v>8.0231166E7</v>
      </c>
      <c r="F377" s="16">
        <v>8.0231166E7</v>
      </c>
      <c r="G377" s="15" t="s">
        <v>148</v>
      </c>
      <c r="H377" s="15" t="s">
        <v>149</v>
      </c>
      <c r="I377" s="1" t="str">
        <f>VLOOKUP(C377,'mayo-26'!B:H,7,0)</f>
        <v>CALLE 10 NO 0E-16 EDF CENTRO EMPRESARIAL BLOQUE B HOTEL TONCHALA</v>
      </c>
      <c r="J377" s="1" t="s">
        <v>181</v>
      </c>
      <c r="K377" s="10" t="str">
        <f>VLOOKUP(C377,'mayo-26'!B:J,9,0)</f>
        <v>NO</v>
      </c>
      <c r="L377" s="1" t="str">
        <f>VLOOKUP(C377,'mayo-26'!B:K,10,0)</f>
        <v>COLEGIOS ZONA NORTE</v>
      </c>
      <c r="M377" s="15" t="s">
        <v>52</v>
      </c>
      <c r="N377" s="15" t="s">
        <v>138</v>
      </c>
      <c r="O377" s="15" t="s">
        <v>130</v>
      </c>
      <c r="P377" s="15" t="s">
        <v>126</v>
      </c>
      <c r="Q377" s="15" t="s">
        <v>56</v>
      </c>
      <c r="R377" s="15" t="s">
        <v>57</v>
      </c>
      <c r="S377" s="15" t="s">
        <v>143</v>
      </c>
      <c r="T377" s="15" t="s">
        <v>59</v>
      </c>
      <c r="U377" s="16">
        <v>2026.0</v>
      </c>
      <c r="V377" s="16">
        <v>6.0</v>
      </c>
      <c r="W377" s="16">
        <v>1.081875072E9</v>
      </c>
      <c r="X377" s="16">
        <v>1.081893544E9</v>
      </c>
      <c r="Y377" s="17">
        <v>46182.0</v>
      </c>
      <c r="Z377" s="17">
        <v>46207.0</v>
      </c>
      <c r="AA377" s="16">
        <v>85658.29</v>
      </c>
      <c r="AB377" s="16">
        <v>85658.29</v>
      </c>
      <c r="AC377" s="16">
        <v>0.0</v>
      </c>
      <c r="AD377" s="16">
        <v>253.0</v>
      </c>
      <c r="AE377" s="16">
        <v>0.0</v>
      </c>
      <c r="AF377" s="16">
        <v>0.0</v>
      </c>
      <c r="AG377" s="16">
        <v>0.0</v>
      </c>
      <c r="AH377" s="16">
        <v>0.0</v>
      </c>
      <c r="AI377" s="16">
        <v>0.0</v>
      </c>
      <c r="AJ377" s="16">
        <v>85658.29</v>
      </c>
      <c r="AK377" s="16">
        <v>256791.18</v>
      </c>
      <c r="AL377" s="16">
        <v>3.0</v>
      </c>
      <c r="AM377" s="16">
        <v>250.8</v>
      </c>
      <c r="AN377" s="16">
        <v>0.0</v>
      </c>
      <c r="AO377" s="18"/>
      <c r="AP377" s="18"/>
      <c r="AQ377" s="18"/>
      <c r="AR377" s="18"/>
      <c r="AS377" s="11" t="str">
        <f>VLOOKUP(C377,'mayo-26'!B:AS,44,0)</f>
        <v>AREAFINANCIERA@SEMCUCUTA.GOV.CO</v>
      </c>
      <c r="AT377" s="12" t="str">
        <f>VLOOKUP(C377,'mayo-26'!B:AT,45,0)</f>
        <v>CARTERA</v>
      </c>
      <c r="AU377" s="16"/>
      <c r="AV377" s="16"/>
      <c r="AW377" s="16"/>
    </row>
    <row r="378" ht="14.25" customHeight="1">
      <c r="A378" s="15" t="s">
        <v>791</v>
      </c>
      <c r="B378" s="16">
        <v>3330.0</v>
      </c>
      <c r="C378" s="16">
        <v>3329.0</v>
      </c>
      <c r="D378" s="16">
        <v>3329.0</v>
      </c>
      <c r="E378" s="16">
        <v>8.0262704E7</v>
      </c>
      <c r="F378" s="16">
        <v>8.0262704E7</v>
      </c>
      <c r="G378" s="16">
        <v>9.00746569E8</v>
      </c>
      <c r="H378" s="15" t="s">
        <v>792</v>
      </c>
      <c r="I378" s="1" t="str">
        <f>VLOOKUP(C378,'mayo-26'!B:H,7,0)</f>
        <v>AV LIBERTADOR LOCAL 120 CANAL BOGOTA</v>
      </c>
      <c r="J378" s="1" t="s">
        <v>214</v>
      </c>
      <c r="K378" s="10" t="str">
        <f>VLOOKUP(C378,'mayo-26'!B:J,9,0)</f>
        <v>NO</v>
      </c>
      <c r="L378" s="1" t="str">
        <f>VLOOKUP(C378,'mayo-26'!B:K,10,0)</f>
        <v>NO</v>
      </c>
      <c r="M378" s="15" t="s">
        <v>52</v>
      </c>
      <c r="N378" s="15" t="s">
        <v>89</v>
      </c>
      <c r="O378" s="15" t="s">
        <v>130</v>
      </c>
      <c r="P378" s="15" t="s">
        <v>126</v>
      </c>
      <c r="Q378" s="15" t="s">
        <v>56</v>
      </c>
      <c r="R378" s="15" t="s">
        <v>90</v>
      </c>
      <c r="S378" s="15" t="s">
        <v>143</v>
      </c>
      <c r="T378" s="15" t="s">
        <v>59</v>
      </c>
      <c r="U378" s="16">
        <v>2026.0</v>
      </c>
      <c r="V378" s="16">
        <v>6.0</v>
      </c>
      <c r="W378" s="16">
        <v>1.081875075E9</v>
      </c>
      <c r="X378" s="16">
        <v>1.081893547E9</v>
      </c>
      <c r="Y378" s="17">
        <v>46182.0</v>
      </c>
      <c r="Z378" s="17">
        <v>46207.0</v>
      </c>
      <c r="AA378" s="16">
        <v>349473.85</v>
      </c>
      <c r="AB378" s="16">
        <v>349473.85</v>
      </c>
      <c r="AC378" s="16">
        <v>87613.46</v>
      </c>
      <c r="AD378" s="16">
        <v>725.0</v>
      </c>
      <c r="AE378" s="16">
        <v>86633.48</v>
      </c>
      <c r="AF378" s="16">
        <v>0.0</v>
      </c>
      <c r="AG378" s="16">
        <v>0.0</v>
      </c>
      <c r="AH378" s="16">
        <v>0.0</v>
      </c>
      <c r="AI378" s="16">
        <v>0.0</v>
      </c>
      <c r="AJ378" s="16">
        <v>349473.85</v>
      </c>
      <c r="AK378" s="16">
        <v>5655813.11</v>
      </c>
      <c r="AL378" s="16">
        <v>20.0</v>
      </c>
      <c r="AM378" s="16">
        <v>376.2</v>
      </c>
      <c r="AN378" s="16">
        <v>0.0</v>
      </c>
      <c r="AO378" s="18"/>
      <c r="AP378" s="18"/>
      <c r="AQ378" s="18"/>
      <c r="AR378" s="18"/>
      <c r="AS378" s="11" t="str">
        <f>VLOOKUP(C378,'mayo-26'!B:AS,44,0)</f>
        <v>ANGELICA.MORA@COLLIERS.COM</v>
      </c>
      <c r="AT378" s="12" t="str">
        <f>VLOOKUP(C378,'mayo-26'!B:AT,45,0)</f>
        <v>CORREO ELECTRONICO CERTIFICADO 472</v>
      </c>
      <c r="AU378" s="16"/>
      <c r="AV378" s="16"/>
      <c r="AW378" s="16"/>
    </row>
    <row r="379" ht="14.25" customHeight="1">
      <c r="A379" s="15" t="s">
        <v>793</v>
      </c>
      <c r="B379" s="16">
        <v>3338.0</v>
      </c>
      <c r="C379" s="16">
        <v>3337.0</v>
      </c>
      <c r="D379" s="16">
        <v>3337.0</v>
      </c>
      <c r="E379" s="16">
        <v>8.0283207E7</v>
      </c>
      <c r="F379" s="16">
        <v>8.0283207E7</v>
      </c>
      <c r="G379" s="16">
        <v>9.01154227E8</v>
      </c>
      <c r="H379" s="15" t="s">
        <v>794</v>
      </c>
      <c r="I379" s="1" t="str">
        <f>VLOOKUP(C379,'mayo-26'!B:H,7,0)</f>
        <v>AV 6 8N-44</v>
      </c>
      <c r="J379" s="1" t="s">
        <v>172</v>
      </c>
      <c r="K379" s="10" t="str">
        <f>VLOOKUP(C379,'mayo-26'!B:J,9,0)</f>
        <v>NO</v>
      </c>
      <c r="L379" s="1" t="str">
        <f>VLOOKUP(C379,'mayo-26'!B:K,10,0)</f>
        <v>NO</v>
      </c>
      <c r="M379" s="15" t="s">
        <v>52</v>
      </c>
      <c r="N379" s="15" t="s">
        <v>89</v>
      </c>
      <c r="O379" s="15" t="s">
        <v>130</v>
      </c>
      <c r="P379" s="15" t="s">
        <v>126</v>
      </c>
      <c r="Q379" s="15" t="s">
        <v>56</v>
      </c>
      <c r="R379" s="15" t="s">
        <v>72</v>
      </c>
      <c r="S379" s="15" t="s">
        <v>143</v>
      </c>
      <c r="T379" s="15" t="s">
        <v>59</v>
      </c>
      <c r="U379" s="16">
        <v>2026.0</v>
      </c>
      <c r="V379" s="16">
        <v>6.0</v>
      </c>
      <c r="W379" s="16">
        <v>1.081875079E9</v>
      </c>
      <c r="X379" s="16">
        <v>1.081893551E9</v>
      </c>
      <c r="Y379" s="17">
        <v>46182.0</v>
      </c>
      <c r="Z379" s="17">
        <v>46207.0</v>
      </c>
      <c r="AA379" s="16">
        <v>111355.77</v>
      </c>
      <c r="AB379" s="16">
        <v>111355.77</v>
      </c>
      <c r="AC379" s="16">
        <v>25697.48</v>
      </c>
      <c r="AD379" s="16">
        <v>253.0</v>
      </c>
      <c r="AE379" s="16">
        <v>0.0</v>
      </c>
      <c r="AF379" s="16">
        <v>0.0</v>
      </c>
      <c r="AG379" s="16">
        <v>0.0</v>
      </c>
      <c r="AH379" s="16">
        <v>0.0</v>
      </c>
      <c r="AI379" s="16">
        <v>0.0</v>
      </c>
      <c r="AJ379" s="16">
        <v>111355.77</v>
      </c>
      <c r="AK379" s="16">
        <v>111355.77</v>
      </c>
      <c r="AL379" s="16">
        <v>0.0</v>
      </c>
      <c r="AM379" s="16">
        <v>326.04</v>
      </c>
      <c r="AN379" s="16">
        <v>0.0</v>
      </c>
      <c r="AO379" s="18"/>
      <c r="AP379" s="18"/>
      <c r="AQ379" s="18"/>
      <c r="AR379" s="18"/>
      <c r="AS379" s="11" t="str">
        <f>VLOOKUP(C379,'mayo-26'!B:AS,44,0)</f>
        <v>NEWWASHLAVANDERIA@GMAIL.COM</v>
      </c>
      <c r="AT379" s="12" t="str">
        <f>VLOOKUP(C379,'mayo-26'!B:AT,45,0)</f>
        <v>CORREO ELECTRONICO CERTIFICADO 472</v>
      </c>
      <c r="AU379" s="16"/>
      <c r="AV379" s="16"/>
      <c r="AW379" s="16"/>
    </row>
    <row r="380" ht="14.25" customHeight="1">
      <c r="A380" s="15" t="s">
        <v>795</v>
      </c>
      <c r="B380" s="16">
        <v>456709.0</v>
      </c>
      <c r="C380" s="16">
        <v>425861.0</v>
      </c>
      <c r="D380" s="16">
        <v>442104.0</v>
      </c>
      <c r="E380" s="16">
        <v>1073050.0</v>
      </c>
      <c r="F380" s="16">
        <v>1073050.0</v>
      </c>
      <c r="G380" s="16">
        <v>1073050.0</v>
      </c>
      <c r="H380" s="15" t="s">
        <v>796</v>
      </c>
      <c r="I380" s="1" t="str">
        <f>VLOOKUP(C380,'mayo-26'!B:H,7,0)</f>
        <v>#N/A</v>
      </c>
      <c r="J380" s="1" t="e">
        <v>#N/A</v>
      </c>
      <c r="K380" s="10" t="str">
        <f>VLOOKUP(C380,'mayo-26'!B:J,9,0)</f>
        <v>#N/A</v>
      </c>
      <c r="L380" s="1" t="str">
        <f>VLOOKUP(C380,'mayo-26'!B:K,10,0)</f>
        <v>#N/A</v>
      </c>
      <c r="M380" s="15" t="s">
        <v>52</v>
      </c>
      <c r="N380" s="15" t="s">
        <v>138</v>
      </c>
      <c r="O380" s="15" t="s">
        <v>130</v>
      </c>
      <c r="P380" s="15" t="s">
        <v>126</v>
      </c>
      <c r="Q380" s="15" t="s">
        <v>56</v>
      </c>
      <c r="R380" s="15" t="s">
        <v>90</v>
      </c>
      <c r="S380" s="15" t="s">
        <v>143</v>
      </c>
      <c r="T380" s="15" t="s">
        <v>59</v>
      </c>
      <c r="U380" s="16">
        <v>2026.0</v>
      </c>
      <c r="V380" s="16">
        <v>6.0</v>
      </c>
      <c r="W380" s="16">
        <v>1.08187518E9</v>
      </c>
      <c r="X380" s="16">
        <v>1.081893652E9</v>
      </c>
      <c r="Y380" s="17">
        <v>46182.0</v>
      </c>
      <c r="Z380" s="17">
        <v>46207.0</v>
      </c>
      <c r="AA380" s="16">
        <v>130615.94</v>
      </c>
      <c r="AB380" s="16">
        <v>130615.94</v>
      </c>
      <c r="AC380" s="16">
        <v>43538.65</v>
      </c>
      <c r="AD380" s="16">
        <v>253.0</v>
      </c>
      <c r="AE380" s="16">
        <v>0.0</v>
      </c>
      <c r="AF380" s="16">
        <v>0.0</v>
      </c>
      <c r="AG380" s="16">
        <v>0.0</v>
      </c>
      <c r="AH380" s="16">
        <v>0.0</v>
      </c>
      <c r="AI380" s="16">
        <v>0.0</v>
      </c>
      <c r="AJ380" s="16">
        <v>130615.94</v>
      </c>
      <c r="AK380" s="16">
        <v>262020.72</v>
      </c>
      <c r="AL380" s="16">
        <v>1.0</v>
      </c>
      <c r="AM380" s="16">
        <v>6420.0</v>
      </c>
      <c r="AN380" s="16">
        <v>0.0</v>
      </c>
      <c r="AO380" s="18"/>
      <c r="AP380" s="18"/>
      <c r="AQ380" s="18"/>
      <c r="AR380" s="18"/>
      <c r="AS380" s="11" t="str">
        <f>VLOOKUP(C380,'mayo-26'!B:AS,44,0)</f>
        <v>#N/A</v>
      </c>
      <c r="AT380" s="12" t="str">
        <f>VLOOKUP(C380,'mayo-26'!B:AT,45,0)</f>
        <v>#N/A</v>
      </c>
      <c r="AU380" s="16"/>
      <c r="AV380" s="16"/>
      <c r="AW380" s="16"/>
    </row>
    <row r="381" ht="14.25" customHeight="1">
      <c r="A381" s="15" t="s">
        <v>797</v>
      </c>
      <c r="B381" s="16">
        <v>699.0</v>
      </c>
      <c r="C381" s="16">
        <v>427093.0</v>
      </c>
      <c r="D381" s="16">
        <v>444014.0</v>
      </c>
      <c r="E381" s="16">
        <v>1072139.0</v>
      </c>
      <c r="F381" s="16">
        <v>1072139.0</v>
      </c>
      <c r="G381" s="16">
        <v>9.00480569E8</v>
      </c>
      <c r="H381" s="15" t="s">
        <v>141</v>
      </c>
      <c r="I381" s="1" t="str">
        <f>VLOOKUP(C381,'mayo-26'!B:H,7,0)</f>
        <v>CLL 12 4-52 CENTRO</v>
      </c>
      <c r="J381" s="1" t="s">
        <v>798</v>
      </c>
      <c r="K381" s="10" t="str">
        <f>VLOOKUP(C381,'mayo-26'!B:J,9,0)</f>
        <v>ZONA NORTE</v>
      </c>
      <c r="L381" s="1" t="str">
        <f>VLOOKUP(C381,'mayo-26'!B:K,10,0)</f>
        <v>ARA CUCUTA</v>
      </c>
      <c r="M381" s="15" t="s">
        <v>52</v>
      </c>
      <c r="N381" s="15" t="s">
        <v>138</v>
      </c>
      <c r="O381" s="15" t="s">
        <v>130</v>
      </c>
      <c r="P381" s="15" t="s">
        <v>126</v>
      </c>
      <c r="Q381" s="15" t="s">
        <v>56</v>
      </c>
      <c r="R381" s="15" t="s">
        <v>90</v>
      </c>
      <c r="S381" s="15" t="s">
        <v>143</v>
      </c>
      <c r="T381" s="15" t="s">
        <v>59</v>
      </c>
      <c r="U381" s="16">
        <v>2026.0</v>
      </c>
      <c r="V381" s="16">
        <v>6.0</v>
      </c>
      <c r="W381" s="16">
        <v>1.081875186E9</v>
      </c>
      <c r="X381" s="16">
        <v>1.081893658E9</v>
      </c>
      <c r="Y381" s="17">
        <v>46182.0</v>
      </c>
      <c r="Z381" s="17">
        <v>46207.0</v>
      </c>
      <c r="AA381" s="16">
        <v>441651.95</v>
      </c>
      <c r="AB381" s="16">
        <v>441651.95</v>
      </c>
      <c r="AC381" s="16">
        <v>135528.87</v>
      </c>
      <c r="AD381" s="16">
        <v>1230.0</v>
      </c>
      <c r="AE381" s="16">
        <v>35065.36</v>
      </c>
      <c r="AF381" s="16">
        <v>0.0</v>
      </c>
      <c r="AG381" s="16">
        <v>0.0</v>
      </c>
      <c r="AH381" s="16">
        <v>0.0</v>
      </c>
      <c r="AI381" s="16">
        <v>0.0</v>
      </c>
      <c r="AJ381" s="16">
        <v>441651.95</v>
      </c>
      <c r="AK381" s="16">
        <v>2851438.59</v>
      </c>
      <c r="AL381" s="16">
        <v>6.0</v>
      </c>
      <c r="AM381" s="16">
        <v>376.2</v>
      </c>
      <c r="AN381" s="16">
        <v>0.0</v>
      </c>
      <c r="AO381" s="18"/>
      <c r="AP381" s="18"/>
      <c r="AQ381" s="18"/>
      <c r="AR381" s="18"/>
      <c r="AS381" s="11" t="str">
        <f>VLOOKUP(C381,'mayo-26'!B:AS,44,0)</f>
        <v>COORDINADOR.OPERACIONES.R11@JERONIMO-MARTINS.COM</v>
      </c>
      <c r="AT381" s="12" t="str">
        <f>VLOOKUP(C381,'mayo-26'!B:AT,45,0)</f>
        <v>CORREO ELECTRONICO CERTIFICADO 472-VERIFICADOR</v>
      </c>
      <c r="AU381" s="16"/>
      <c r="AV381" s="16"/>
      <c r="AW381" s="16"/>
    </row>
    <row r="382" ht="14.25" customHeight="1">
      <c r="A382" s="15" t="s">
        <v>799</v>
      </c>
      <c r="B382" s="16">
        <v>589028.0</v>
      </c>
      <c r="C382" s="16">
        <v>496113.0</v>
      </c>
      <c r="D382" s="16">
        <v>547035.0</v>
      </c>
      <c r="E382" s="18"/>
      <c r="F382" s="18"/>
      <c r="G382" s="15" t="s">
        <v>800</v>
      </c>
      <c r="H382" s="15" t="s">
        <v>801</v>
      </c>
      <c r="I382" s="1" t="str">
        <f>VLOOKUP(C382,'mayo-26'!B:H,7,0)</f>
        <v>KM 8 VIA E ZULIA</v>
      </c>
      <c r="J382" s="1">
        <v>0.0</v>
      </c>
      <c r="K382" s="10" t="str">
        <f>VLOOKUP(C382,'mayo-26'!B:J,9,0)</f>
        <v>NO</v>
      </c>
      <c r="L382" s="1" t="str">
        <f>VLOOKUP(C382,'mayo-26'!B:K,10,0)</f>
        <v>CASABLANCA</v>
      </c>
      <c r="M382" s="15" t="s">
        <v>52</v>
      </c>
      <c r="N382" s="15" t="s">
        <v>269</v>
      </c>
      <c r="O382" s="15" t="s">
        <v>130</v>
      </c>
      <c r="P382" s="15" t="s">
        <v>126</v>
      </c>
      <c r="Q382" s="15" t="s">
        <v>56</v>
      </c>
      <c r="R382" s="15" t="s">
        <v>90</v>
      </c>
      <c r="S382" s="15" t="s">
        <v>143</v>
      </c>
      <c r="T382" s="15" t="s">
        <v>59</v>
      </c>
      <c r="U382" s="16">
        <v>2026.0</v>
      </c>
      <c r="V382" s="16">
        <v>6.0</v>
      </c>
      <c r="W382" s="16">
        <v>1.081875189E9</v>
      </c>
      <c r="X382" s="16">
        <v>1.081893661E9</v>
      </c>
      <c r="Y382" s="17">
        <v>46182.0</v>
      </c>
      <c r="Z382" s="17">
        <v>46207.0</v>
      </c>
      <c r="AA382" s="16">
        <v>91124.72</v>
      </c>
      <c r="AB382" s="16">
        <v>91124.72</v>
      </c>
      <c r="AC382" s="16">
        <v>30363.1</v>
      </c>
      <c r="AD382" s="16">
        <v>300.0</v>
      </c>
      <c r="AE382" s="16">
        <v>35.42</v>
      </c>
      <c r="AF382" s="16">
        <v>0.0</v>
      </c>
      <c r="AG382" s="16">
        <v>0.0</v>
      </c>
      <c r="AH382" s="16">
        <v>0.0</v>
      </c>
      <c r="AI382" s="16">
        <v>0.0</v>
      </c>
      <c r="AJ382" s="16">
        <v>91124.72</v>
      </c>
      <c r="AK382" s="16">
        <v>96078.29</v>
      </c>
      <c r="AL382" s="16">
        <v>1.0</v>
      </c>
      <c r="AM382" s="16">
        <v>376.2</v>
      </c>
      <c r="AN382" s="16">
        <v>0.0</v>
      </c>
      <c r="AO382" s="18"/>
      <c r="AP382" s="18"/>
      <c r="AQ382" s="18"/>
      <c r="AR382" s="18"/>
      <c r="AS382" s="11" t="str">
        <f>VLOOKUP(C382,'mayo-26'!B:AS,44,0)</f>
        <v>TRAMITES@AMBIENTESCASABLANCA.COM</v>
      </c>
      <c r="AT382" s="12" t="str">
        <f>VLOOKUP(C382,'mayo-26'!B:AT,45,0)</f>
        <v>CORREO ELECTRONICO CERTIFICADO 472</v>
      </c>
      <c r="AU382" s="16"/>
      <c r="AV382" s="16"/>
      <c r="AW382" s="16"/>
    </row>
    <row r="383" ht="14.25" customHeight="1">
      <c r="A383" s="15" t="s">
        <v>802</v>
      </c>
      <c r="B383" s="16">
        <v>595128.0</v>
      </c>
      <c r="C383" s="16">
        <v>498509.0</v>
      </c>
      <c r="D383" s="16">
        <v>551614.0</v>
      </c>
      <c r="E383" s="18"/>
      <c r="F383" s="18"/>
      <c r="G383" s="16">
        <v>1254986.0</v>
      </c>
      <c r="H383" s="15" t="s">
        <v>803</v>
      </c>
      <c r="I383" s="1" t="str">
        <f>VLOOKUP(C383,'mayo-26'!B:H,7,0)</f>
        <v>CLL 14AN 4A-81 TORRE 1 APTO 102</v>
      </c>
      <c r="J383" s="1" t="s">
        <v>217</v>
      </c>
      <c r="K383" s="10" t="str">
        <f>VLOOKUP(C383,'mayo-26'!B:J,9,0)</f>
        <v>CR PORTACHUELO</v>
      </c>
      <c r="L383" s="1" t="str">
        <f>VLOOKUP(C383,'mayo-26'!B:K,10,0)</f>
        <v>CR PORTACHUELO</v>
      </c>
      <c r="M383" s="15" t="s">
        <v>52</v>
      </c>
      <c r="N383" s="15" t="s">
        <v>89</v>
      </c>
      <c r="O383" s="15" t="s">
        <v>130</v>
      </c>
      <c r="P383" s="15" t="s">
        <v>126</v>
      </c>
      <c r="Q383" s="15" t="s">
        <v>218</v>
      </c>
      <c r="R383" s="15" t="s">
        <v>219</v>
      </c>
      <c r="S383" s="15" t="s">
        <v>133</v>
      </c>
      <c r="T383" s="15" t="s">
        <v>59</v>
      </c>
      <c r="U383" s="16">
        <v>2026.0</v>
      </c>
      <c r="V383" s="16">
        <v>6.0</v>
      </c>
      <c r="W383" s="16">
        <v>1.081875195E9</v>
      </c>
      <c r="X383" s="16">
        <v>1.081893667E9</v>
      </c>
      <c r="Y383" s="17">
        <v>46182.0</v>
      </c>
      <c r="Z383" s="17">
        <v>46207.0</v>
      </c>
      <c r="AA383" s="16">
        <v>50033.12</v>
      </c>
      <c r="AB383" s="16">
        <v>50033.12</v>
      </c>
      <c r="AC383" s="16">
        <v>-1650.7</v>
      </c>
      <c r="AD383" s="16">
        <v>0.0</v>
      </c>
      <c r="AE383" s="16">
        <v>98.82</v>
      </c>
      <c r="AF383" s="16">
        <v>0.0</v>
      </c>
      <c r="AG383" s="16">
        <v>0.0</v>
      </c>
      <c r="AH383" s="16">
        <v>0.0</v>
      </c>
      <c r="AI383" s="16">
        <v>0.0</v>
      </c>
      <c r="AJ383" s="16">
        <v>50031.7</v>
      </c>
      <c r="AK383" s="16">
        <v>50031.7</v>
      </c>
      <c r="AL383" s="16">
        <v>0.0</v>
      </c>
      <c r="AM383" s="16">
        <v>242.77</v>
      </c>
      <c r="AN383" s="16">
        <v>0.0</v>
      </c>
      <c r="AO383" s="18"/>
      <c r="AP383" s="18"/>
      <c r="AQ383" s="16">
        <v>1.42</v>
      </c>
      <c r="AR383" s="18"/>
      <c r="AS383" s="11" t="str">
        <f>VLOOKUP(C383,'mayo-26'!B:AS,44,0)</f>
        <v/>
      </c>
      <c r="AT383" s="12" t="str">
        <f>VLOOKUP(C383,'mayo-26'!B:AT,45,0)</f>
        <v>VERIFICADOR</v>
      </c>
      <c r="AU383" s="16"/>
      <c r="AV383" s="16"/>
      <c r="AW383" s="16"/>
    </row>
    <row r="384" ht="14.25" customHeight="1">
      <c r="A384" s="15" t="s">
        <v>804</v>
      </c>
      <c r="B384" s="16">
        <v>595132.0</v>
      </c>
      <c r="C384" s="16">
        <v>498513.0</v>
      </c>
      <c r="D384" s="16">
        <v>551618.0</v>
      </c>
      <c r="E384" s="18"/>
      <c r="F384" s="18"/>
      <c r="G384" s="16">
        <v>1254990.0</v>
      </c>
      <c r="H384" s="15" t="s">
        <v>286</v>
      </c>
      <c r="I384" s="1" t="str">
        <f>VLOOKUP(C384,'mayo-26'!B:H,7,0)</f>
        <v>CLL 14AN 4A-81 TORRE 1 APTO 202</v>
      </c>
      <c r="J384" s="1" t="s">
        <v>217</v>
      </c>
      <c r="K384" s="10" t="str">
        <f>VLOOKUP(C384,'mayo-26'!B:J,9,0)</f>
        <v>CR PORTACHUELO</v>
      </c>
      <c r="L384" s="1" t="str">
        <f>VLOOKUP(C384,'mayo-26'!B:K,10,0)</f>
        <v>CR PORTACHUELO</v>
      </c>
      <c r="M384" s="15" t="s">
        <v>52</v>
      </c>
      <c r="N384" s="15" t="s">
        <v>89</v>
      </c>
      <c r="O384" s="15" t="s">
        <v>130</v>
      </c>
      <c r="P384" s="15" t="s">
        <v>126</v>
      </c>
      <c r="Q384" s="15" t="s">
        <v>218</v>
      </c>
      <c r="R384" s="15" t="s">
        <v>219</v>
      </c>
      <c r="S384" s="15" t="s">
        <v>133</v>
      </c>
      <c r="T384" s="15" t="s">
        <v>59</v>
      </c>
      <c r="U384" s="16">
        <v>2026.0</v>
      </c>
      <c r="V384" s="16">
        <v>6.0</v>
      </c>
      <c r="W384" s="16">
        <v>1.0818752E9</v>
      </c>
      <c r="X384" s="16">
        <v>1.081893672E9</v>
      </c>
      <c r="Y384" s="17">
        <v>46182.0</v>
      </c>
      <c r="Z384" s="17">
        <v>46207.0</v>
      </c>
      <c r="AA384" s="16">
        <v>49934.3</v>
      </c>
      <c r="AB384" s="16">
        <v>49934.3</v>
      </c>
      <c r="AC384" s="16">
        <v>-1650.7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6">
        <v>0.0</v>
      </c>
      <c r="AJ384" s="16">
        <v>49934.3</v>
      </c>
      <c r="AK384" s="16">
        <v>49935.06</v>
      </c>
      <c r="AL384" s="16">
        <v>1.0</v>
      </c>
      <c r="AM384" s="16">
        <v>242.77</v>
      </c>
      <c r="AN384" s="16">
        <v>0.0</v>
      </c>
      <c r="AO384" s="18"/>
      <c r="AP384" s="18"/>
      <c r="AQ384" s="18"/>
      <c r="AR384" s="18"/>
      <c r="AS384" s="11" t="str">
        <f>VLOOKUP(C384,'mayo-26'!B:AS,44,0)</f>
        <v/>
      </c>
      <c r="AT384" s="12" t="str">
        <f>VLOOKUP(C384,'mayo-26'!B:AT,45,0)</f>
        <v>VERIFICADOR</v>
      </c>
      <c r="AU384" s="16"/>
      <c r="AV384" s="16"/>
      <c r="AW384" s="16"/>
    </row>
    <row r="385" ht="14.25" customHeight="1">
      <c r="A385" s="19" t="s">
        <v>805</v>
      </c>
      <c r="B385" s="16">
        <v>595136.0</v>
      </c>
      <c r="C385" s="16">
        <v>498517.0</v>
      </c>
      <c r="D385" s="16">
        <v>551622.0</v>
      </c>
      <c r="E385" s="18"/>
      <c r="F385" s="18"/>
      <c r="G385" s="16">
        <v>1254994.0</v>
      </c>
      <c r="H385" s="15" t="s">
        <v>806</v>
      </c>
      <c r="I385" s="1" t="str">
        <f>VLOOKUP(C385,'mayo-26'!B:H,7,0)</f>
        <v>CLL 14AN 4A-81 TORRE 1 APTO 302</v>
      </c>
      <c r="J385" s="1" t="s">
        <v>217</v>
      </c>
      <c r="K385" s="10" t="str">
        <f>VLOOKUP(C385,'mayo-26'!B:J,9,0)</f>
        <v>CR PORTACHUELO</v>
      </c>
      <c r="L385" s="1" t="str">
        <f>VLOOKUP(C385,'mayo-26'!B:K,10,0)</f>
        <v>CR PORTACHUELO</v>
      </c>
      <c r="M385" s="15" t="s">
        <v>52</v>
      </c>
      <c r="N385" s="15" t="s">
        <v>89</v>
      </c>
      <c r="O385" s="15" t="s">
        <v>130</v>
      </c>
      <c r="P385" s="15" t="s">
        <v>126</v>
      </c>
      <c r="Q385" s="15" t="s">
        <v>218</v>
      </c>
      <c r="R385" s="15" t="s">
        <v>219</v>
      </c>
      <c r="S385" s="15" t="s">
        <v>133</v>
      </c>
      <c r="T385" s="15" t="s">
        <v>59</v>
      </c>
      <c r="U385" s="16">
        <v>2026.0</v>
      </c>
      <c r="V385" s="16">
        <v>6.0</v>
      </c>
      <c r="W385" s="16">
        <v>1.081875205E9</v>
      </c>
      <c r="X385" s="16">
        <v>1.081893677E9</v>
      </c>
      <c r="Y385" s="17">
        <v>46182.0</v>
      </c>
      <c r="Z385" s="17">
        <v>46207.0</v>
      </c>
      <c r="AA385" s="16">
        <v>53994.58</v>
      </c>
      <c r="AB385" s="16">
        <v>53994.58</v>
      </c>
      <c r="AC385" s="16">
        <v>-1650.7</v>
      </c>
      <c r="AD385" s="16">
        <v>0.0</v>
      </c>
      <c r="AE385" s="16">
        <v>4060.28</v>
      </c>
      <c r="AF385" s="16">
        <v>0.0</v>
      </c>
      <c r="AG385" s="16">
        <v>0.0</v>
      </c>
      <c r="AH385" s="16">
        <v>0.0</v>
      </c>
      <c r="AI385" s="16">
        <v>0.0</v>
      </c>
      <c r="AJ385" s="16">
        <v>53994.58</v>
      </c>
      <c r="AK385" s="16">
        <v>337498.7</v>
      </c>
      <c r="AL385" s="16">
        <v>6.0</v>
      </c>
      <c r="AM385" s="16">
        <v>242.77</v>
      </c>
      <c r="AN385" s="16">
        <v>0.0</v>
      </c>
      <c r="AO385" s="18"/>
      <c r="AP385" s="18"/>
      <c r="AQ385" s="18"/>
      <c r="AR385" s="18"/>
      <c r="AS385" s="11" t="str">
        <f>VLOOKUP(C385,'mayo-26'!B:AS,44,0)</f>
        <v/>
      </c>
      <c r="AT385" s="12" t="str">
        <f>VLOOKUP(C385,'mayo-26'!B:AT,45,0)</f>
        <v>VERIFICADOR</v>
      </c>
      <c r="AU385" s="16"/>
      <c r="AV385" s="16"/>
      <c r="AW385" s="16"/>
    </row>
    <row r="386" ht="14.25" customHeight="1">
      <c r="A386" s="15" t="s">
        <v>807</v>
      </c>
      <c r="B386" s="16">
        <v>595140.0</v>
      </c>
      <c r="C386" s="16">
        <v>498521.0</v>
      </c>
      <c r="D386" s="16">
        <v>551626.0</v>
      </c>
      <c r="E386" s="18"/>
      <c r="F386" s="18"/>
      <c r="G386" s="16">
        <v>1254998.0</v>
      </c>
      <c r="H386" s="15" t="s">
        <v>808</v>
      </c>
      <c r="I386" s="1" t="str">
        <f>VLOOKUP(C386,'mayo-26'!B:H,7,0)</f>
        <v>CLL 14AN 4A-81 TORRE 1 APTO 402</v>
      </c>
      <c r="J386" s="1" t="s">
        <v>217</v>
      </c>
      <c r="K386" s="10" t="str">
        <f>VLOOKUP(C386,'mayo-26'!B:J,9,0)</f>
        <v>CR PORTACHUELO</v>
      </c>
      <c r="L386" s="1" t="str">
        <f>VLOOKUP(C386,'mayo-26'!B:K,10,0)</f>
        <v>CR PORTACHUELO</v>
      </c>
      <c r="M386" s="15" t="s">
        <v>52</v>
      </c>
      <c r="N386" s="15" t="s">
        <v>89</v>
      </c>
      <c r="O386" s="15" t="s">
        <v>130</v>
      </c>
      <c r="P386" s="15" t="s">
        <v>126</v>
      </c>
      <c r="Q386" s="15" t="s">
        <v>218</v>
      </c>
      <c r="R386" s="15" t="s">
        <v>219</v>
      </c>
      <c r="S386" s="15" t="s">
        <v>133</v>
      </c>
      <c r="T386" s="15" t="s">
        <v>59</v>
      </c>
      <c r="U386" s="16">
        <v>2026.0</v>
      </c>
      <c r="V386" s="16">
        <v>6.0</v>
      </c>
      <c r="W386" s="16">
        <v>1.081875207E9</v>
      </c>
      <c r="X386" s="16">
        <v>1.081893679E9</v>
      </c>
      <c r="Y386" s="17">
        <v>46182.0</v>
      </c>
      <c r="Z386" s="17">
        <v>46207.0</v>
      </c>
      <c r="AA386" s="16">
        <v>50495.64</v>
      </c>
      <c r="AB386" s="16">
        <v>50495.64</v>
      </c>
      <c r="AC386" s="16">
        <v>-1650.7</v>
      </c>
      <c r="AD386" s="16">
        <v>0.0</v>
      </c>
      <c r="AE386" s="16">
        <v>561.34</v>
      </c>
      <c r="AF386" s="16">
        <v>0.0</v>
      </c>
      <c r="AG386" s="16">
        <v>0.0</v>
      </c>
      <c r="AH386" s="16">
        <v>0.0</v>
      </c>
      <c r="AI386" s="16">
        <v>0.0</v>
      </c>
      <c r="AJ386" s="16">
        <v>50495.64</v>
      </c>
      <c r="AK386" s="16">
        <v>151460.13</v>
      </c>
      <c r="AL386" s="16">
        <v>2.0</v>
      </c>
      <c r="AM386" s="16">
        <v>242.77</v>
      </c>
      <c r="AN386" s="16">
        <v>0.0</v>
      </c>
      <c r="AO386" s="18"/>
      <c r="AP386" s="18"/>
      <c r="AQ386" s="18"/>
      <c r="AR386" s="18"/>
      <c r="AS386" s="11" t="str">
        <f>VLOOKUP(C386,'mayo-26'!B:AS,44,0)</f>
        <v/>
      </c>
      <c r="AT386" s="12" t="str">
        <f>VLOOKUP(C386,'mayo-26'!B:AT,45,0)</f>
        <v>VERIFICADOR</v>
      </c>
      <c r="AU386" s="16"/>
      <c r="AV386" s="16"/>
      <c r="AW386" s="16"/>
    </row>
    <row r="387" ht="14.25" customHeight="1">
      <c r="A387" s="15" t="s">
        <v>809</v>
      </c>
      <c r="B387" s="16">
        <v>595144.0</v>
      </c>
      <c r="C387" s="16">
        <v>498525.0</v>
      </c>
      <c r="D387" s="16">
        <v>551630.0</v>
      </c>
      <c r="E387" s="18"/>
      <c r="F387" s="18"/>
      <c r="G387" s="16">
        <v>1255002.0</v>
      </c>
      <c r="H387" s="15" t="s">
        <v>810</v>
      </c>
      <c r="I387" s="1" t="str">
        <f>VLOOKUP(C387,'mayo-26'!B:H,7,0)</f>
        <v>CLL 14AN 4A-81 TORRE 2 APTO 102</v>
      </c>
      <c r="J387" s="1" t="s">
        <v>217</v>
      </c>
      <c r="K387" s="10" t="str">
        <f>VLOOKUP(C387,'mayo-26'!B:J,9,0)</f>
        <v>CR PORTACHUELO</v>
      </c>
      <c r="L387" s="1" t="str">
        <f>VLOOKUP(C387,'mayo-26'!B:K,10,0)</f>
        <v>CR PORTACHUELO</v>
      </c>
      <c r="M387" s="15" t="s">
        <v>52</v>
      </c>
      <c r="N387" s="15" t="s">
        <v>89</v>
      </c>
      <c r="O387" s="15" t="s">
        <v>130</v>
      </c>
      <c r="P387" s="15" t="s">
        <v>126</v>
      </c>
      <c r="Q387" s="15" t="s">
        <v>218</v>
      </c>
      <c r="R387" s="15" t="s">
        <v>219</v>
      </c>
      <c r="S387" s="15" t="s">
        <v>133</v>
      </c>
      <c r="T387" s="15" t="s">
        <v>59</v>
      </c>
      <c r="U387" s="16">
        <v>2026.0</v>
      </c>
      <c r="V387" s="16">
        <v>6.0</v>
      </c>
      <c r="W387" s="16">
        <v>1.08187521E9</v>
      </c>
      <c r="X387" s="16">
        <v>1.081893682E9</v>
      </c>
      <c r="Y387" s="17">
        <v>46182.0</v>
      </c>
      <c r="Z387" s="17">
        <v>46207.0</v>
      </c>
      <c r="AA387" s="16">
        <v>50495.65</v>
      </c>
      <c r="AB387" s="16">
        <v>50495.65</v>
      </c>
      <c r="AC387" s="16">
        <v>-1650.7</v>
      </c>
      <c r="AD387" s="16">
        <v>0.0</v>
      </c>
      <c r="AE387" s="16">
        <v>561.35</v>
      </c>
      <c r="AF387" s="16">
        <v>0.0</v>
      </c>
      <c r="AG387" s="16">
        <v>0.0</v>
      </c>
      <c r="AH387" s="16">
        <v>0.0</v>
      </c>
      <c r="AI387" s="16">
        <v>0.0</v>
      </c>
      <c r="AJ387" s="16">
        <v>50495.65</v>
      </c>
      <c r="AK387" s="16">
        <v>151544.24</v>
      </c>
      <c r="AL387" s="16">
        <v>3.0</v>
      </c>
      <c r="AM387" s="16">
        <v>242.77</v>
      </c>
      <c r="AN387" s="16">
        <v>0.0</v>
      </c>
      <c r="AO387" s="18"/>
      <c r="AP387" s="18"/>
      <c r="AQ387" s="18"/>
      <c r="AR387" s="18"/>
      <c r="AS387" s="11" t="str">
        <f>VLOOKUP(C387,'mayo-26'!B:AS,44,0)</f>
        <v/>
      </c>
      <c r="AT387" s="12" t="str">
        <f>VLOOKUP(C387,'mayo-26'!B:AT,45,0)</f>
        <v>VERIFICADOR</v>
      </c>
      <c r="AU387" s="16"/>
      <c r="AV387" s="16"/>
      <c r="AW387" s="16"/>
    </row>
    <row r="388" ht="14.25" customHeight="1">
      <c r="A388" s="15" t="s">
        <v>811</v>
      </c>
      <c r="B388" s="16">
        <v>595148.0</v>
      </c>
      <c r="C388" s="16">
        <v>498529.0</v>
      </c>
      <c r="D388" s="16">
        <v>551634.0</v>
      </c>
      <c r="E388" s="18"/>
      <c r="F388" s="18"/>
      <c r="G388" s="16">
        <v>1255006.0</v>
      </c>
      <c r="H388" s="15" t="s">
        <v>812</v>
      </c>
      <c r="I388" s="1" t="str">
        <f>VLOOKUP(C388,'mayo-26'!B:H,7,0)</f>
        <v>CLL 14AN 4A-81 TORRE 2 APTO 202</v>
      </c>
      <c r="J388" s="1" t="s">
        <v>217</v>
      </c>
      <c r="K388" s="10" t="str">
        <f>VLOOKUP(C388,'mayo-26'!B:J,9,0)</f>
        <v>CR PORTACHUELO</v>
      </c>
      <c r="L388" s="1" t="str">
        <f>VLOOKUP(C388,'mayo-26'!B:K,10,0)</f>
        <v>CR PORTACHUELO</v>
      </c>
      <c r="M388" s="15" t="s">
        <v>52</v>
      </c>
      <c r="N388" s="15" t="s">
        <v>89</v>
      </c>
      <c r="O388" s="15" t="s">
        <v>130</v>
      </c>
      <c r="P388" s="15" t="s">
        <v>126</v>
      </c>
      <c r="Q388" s="15" t="s">
        <v>218</v>
      </c>
      <c r="R388" s="15" t="s">
        <v>219</v>
      </c>
      <c r="S388" s="15" t="s">
        <v>133</v>
      </c>
      <c r="T388" s="15" t="s">
        <v>59</v>
      </c>
      <c r="U388" s="16">
        <v>2026.0</v>
      </c>
      <c r="V388" s="16">
        <v>6.0</v>
      </c>
      <c r="W388" s="16">
        <v>1.081875214E9</v>
      </c>
      <c r="X388" s="16">
        <v>1.081893686E9</v>
      </c>
      <c r="Y388" s="17">
        <v>46182.0</v>
      </c>
      <c r="Z388" s="17">
        <v>46207.0</v>
      </c>
      <c r="AA388" s="16">
        <v>50000.34</v>
      </c>
      <c r="AB388" s="16">
        <v>50000.34</v>
      </c>
      <c r="AC388" s="16">
        <v>-1650.7</v>
      </c>
      <c r="AD388" s="16">
        <v>0.0</v>
      </c>
      <c r="AE388" s="16">
        <v>66.04</v>
      </c>
      <c r="AF388" s="16">
        <v>0.0</v>
      </c>
      <c r="AG388" s="16">
        <v>0.0</v>
      </c>
      <c r="AH388" s="16">
        <v>0.0</v>
      </c>
      <c r="AI388" s="16">
        <v>0.0</v>
      </c>
      <c r="AJ388" s="16">
        <v>50000.34</v>
      </c>
      <c r="AK388" s="16">
        <v>50001.1</v>
      </c>
      <c r="AL388" s="16">
        <v>1.0</v>
      </c>
      <c r="AM388" s="16">
        <v>242.77</v>
      </c>
      <c r="AN388" s="16">
        <v>0.0</v>
      </c>
      <c r="AO388" s="18"/>
      <c r="AP388" s="18"/>
      <c r="AQ388" s="18"/>
      <c r="AR388" s="18"/>
      <c r="AS388" s="11" t="str">
        <f>VLOOKUP(C388,'mayo-26'!B:AS,44,0)</f>
        <v/>
      </c>
      <c r="AT388" s="12" t="str">
        <f>VLOOKUP(C388,'mayo-26'!B:AT,45,0)</f>
        <v>VERIFICADOR</v>
      </c>
      <c r="AU388" s="16"/>
      <c r="AV388" s="16"/>
      <c r="AW388" s="16"/>
    </row>
    <row r="389" ht="14.25" customHeight="1">
      <c r="A389" s="15" t="s">
        <v>813</v>
      </c>
      <c r="B389" s="16">
        <v>595152.0</v>
      </c>
      <c r="C389" s="16">
        <v>498533.0</v>
      </c>
      <c r="D389" s="16">
        <v>551638.0</v>
      </c>
      <c r="E389" s="18"/>
      <c r="F389" s="18"/>
      <c r="G389" s="16">
        <v>1255010.0</v>
      </c>
      <c r="H389" s="15" t="s">
        <v>814</v>
      </c>
      <c r="I389" s="1" t="str">
        <f>VLOOKUP(C389,'mayo-26'!B:H,7,0)</f>
        <v>CLL 14AN 4A-81 TORRE 2 APTO 302</v>
      </c>
      <c r="J389" s="1" t="s">
        <v>217</v>
      </c>
      <c r="K389" s="10" t="str">
        <f>VLOOKUP(C389,'mayo-26'!B:J,9,0)</f>
        <v>CR PORTACHUELO</v>
      </c>
      <c r="L389" s="1" t="str">
        <f>VLOOKUP(C389,'mayo-26'!B:K,10,0)</f>
        <v>CR PORTACHUELO</v>
      </c>
      <c r="M389" s="15" t="s">
        <v>52</v>
      </c>
      <c r="N389" s="15" t="s">
        <v>89</v>
      </c>
      <c r="O389" s="15" t="s">
        <v>130</v>
      </c>
      <c r="P389" s="15" t="s">
        <v>126</v>
      </c>
      <c r="Q389" s="15" t="s">
        <v>218</v>
      </c>
      <c r="R389" s="15" t="s">
        <v>219</v>
      </c>
      <c r="S389" s="15" t="s">
        <v>133</v>
      </c>
      <c r="T389" s="15" t="s">
        <v>59</v>
      </c>
      <c r="U389" s="16">
        <v>2026.0</v>
      </c>
      <c r="V389" s="16">
        <v>6.0</v>
      </c>
      <c r="W389" s="16">
        <v>1.081875218E9</v>
      </c>
      <c r="X389" s="16">
        <v>1.08189369E9</v>
      </c>
      <c r="Y389" s="17">
        <v>46182.0</v>
      </c>
      <c r="Z389" s="17">
        <v>46207.0</v>
      </c>
      <c r="AA389" s="16">
        <v>49934.3</v>
      </c>
      <c r="AB389" s="16">
        <v>49934.3</v>
      </c>
      <c r="AC389" s="16">
        <v>-1650.7</v>
      </c>
      <c r="AD389" s="16">
        <v>0.0</v>
      </c>
      <c r="AE389" s="16">
        <v>0.0</v>
      </c>
      <c r="AF389" s="16">
        <v>0.0</v>
      </c>
      <c r="AG389" s="16">
        <v>0.0</v>
      </c>
      <c r="AH389" s="16">
        <v>0.0</v>
      </c>
      <c r="AI389" s="16">
        <v>0.0</v>
      </c>
      <c r="AJ389" s="16">
        <v>49934.3</v>
      </c>
      <c r="AK389" s="16">
        <v>100369.06</v>
      </c>
      <c r="AL389" s="16">
        <v>1.0</v>
      </c>
      <c r="AM389" s="16">
        <v>242.77</v>
      </c>
      <c r="AN389" s="16">
        <v>0.0</v>
      </c>
      <c r="AO389" s="18"/>
      <c r="AP389" s="18"/>
      <c r="AQ389" s="18"/>
      <c r="AR389" s="18"/>
      <c r="AS389" s="11" t="str">
        <f>VLOOKUP(C389,'mayo-26'!B:AS,44,0)</f>
        <v/>
      </c>
      <c r="AT389" s="12" t="str">
        <f>VLOOKUP(C389,'mayo-26'!B:AT,45,0)</f>
        <v>VERIFICADOR</v>
      </c>
      <c r="AU389" s="16"/>
      <c r="AV389" s="16"/>
      <c r="AW389" s="16"/>
    </row>
    <row r="390" ht="14.25" customHeight="1">
      <c r="A390" s="15" t="s">
        <v>815</v>
      </c>
      <c r="B390" s="16">
        <v>595156.0</v>
      </c>
      <c r="C390" s="16">
        <v>498537.0</v>
      </c>
      <c r="D390" s="16">
        <v>551642.0</v>
      </c>
      <c r="E390" s="18"/>
      <c r="F390" s="18"/>
      <c r="G390" s="16">
        <v>1255014.0</v>
      </c>
      <c r="H390" s="15" t="s">
        <v>816</v>
      </c>
      <c r="I390" s="1" t="str">
        <f>VLOOKUP(C390,'mayo-26'!B:H,7,0)</f>
        <v>CLL 14AN 4A-81 TORRE 2 APTO 402</v>
      </c>
      <c r="J390" s="1" t="s">
        <v>217</v>
      </c>
      <c r="K390" s="10" t="str">
        <f>VLOOKUP(C390,'mayo-26'!B:J,9,0)</f>
        <v>CR PORTACHUELO</v>
      </c>
      <c r="L390" s="1" t="str">
        <f>VLOOKUP(C390,'mayo-26'!B:K,10,0)</f>
        <v>CR PORTACHUELO</v>
      </c>
      <c r="M390" s="15" t="s">
        <v>52</v>
      </c>
      <c r="N390" s="15" t="s">
        <v>89</v>
      </c>
      <c r="O390" s="15" t="s">
        <v>130</v>
      </c>
      <c r="P390" s="15" t="s">
        <v>126</v>
      </c>
      <c r="Q390" s="15" t="s">
        <v>218</v>
      </c>
      <c r="R390" s="15" t="s">
        <v>219</v>
      </c>
      <c r="S390" s="15" t="s">
        <v>133</v>
      </c>
      <c r="T390" s="15" t="s">
        <v>59</v>
      </c>
      <c r="U390" s="16">
        <v>2026.0</v>
      </c>
      <c r="V390" s="16">
        <v>6.0</v>
      </c>
      <c r="W390" s="16">
        <v>1.081875222E9</v>
      </c>
      <c r="X390" s="16">
        <v>1.081893694E9</v>
      </c>
      <c r="Y390" s="17">
        <v>46182.0</v>
      </c>
      <c r="Z390" s="17">
        <v>46207.0</v>
      </c>
      <c r="AA390" s="16">
        <v>50029.77</v>
      </c>
      <c r="AB390" s="16">
        <v>50029.77</v>
      </c>
      <c r="AC390" s="16">
        <v>-1650.7</v>
      </c>
      <c r="AD390" s="16">
        <v>0.0</v>
      </c>
      <c r="AE390" s="16">
        <v>95.47</v>
      </c>
      <c r="AF390" s="16">
        <v>0.0</v>
      </c>
      <c r="AG390" s="16">
        <v>0.0</v>
      </c>
      <c r="AH390" s="16">
        <v>0.0</v>
      </c>
      <c r="AI390" s="16">
        <v>0.0</v>
      </c>
      <c r="AJ390" s="16">
        <v>50029.77</v>
      </c>
      <c r="AK390" s="16">
        <v>109309.49</v>
      </c>
      <c r="AL390" s="16">
        <v>2.0</v>
      </c>
      <c r="AM390" s="16">
        <v>242.77</v>
      </c>
      <c r="AN390" s="16">
        <v>0.0</v>
      </c>
      <c r="AO390" s="18"/>
      <c r="AP390" s="18"/>
      <c r="AQ390" s="18"/>
      <c r="AR390" s="18"/>
      <c r="AS390" s="11" t="str">
        <f>VLOOKUP(C390,'mayo-26'!B:AS,44,0)</f>
        <v/>
      </c>
      <c r="AT390" s="12" t="str">
        <f>VLOOKUP(C390,'mayo-26'!B:AT,45,0)</f>
        <v>VERIFICADOR</v>
      </c>
      <c r="AU390" s="16"/>
      <c r="AV390" s="16"/>
      <c r="AW390" s="16"/>
    </row>
    <row r="391" ht="14.25" customHeight="1">
      <c r="A391" s="15" t="s">
        <v>817</v>
      </c>
      <c r="B391" s="16">
        <v>595160.0</v>
      </c>
      <c r="C391" s="16">
        <v>498541.0</v>
      </c>
      <c r="D391" s="16">
        <v>551646.0</v>
      </c>
      <c r="E391" s="18"/>
      <c r="F391" s="18"/>
      <c r="G391" s="16">
        <v>1255018.0</v>
      </c>
      <c r="H391" s="15" t="s">
        <v>818</v>
      </c>
      <c r="I391" s="1" t="str">
        <f>VLOOKUP(C391,'mayo-26'!B:H,7,0)</f>
        <v>CLL 14AN 4A-81 TORRE 3 APTO 102</v>
      </c>
      <c r="J391" s="1" t="s">
        <v>217</v>
      </c>
      <c r="K391" s="10" t="str">
        <f>VLOOKUP(C391,'mayo-26'!B:J,9,0)</f>
        <v>CR PORTACHUELO</v>
      </c>
      <c r="L391" s="1" t="str">
        <f>VLOOKUP(C391,'mayo-26'!B:K,10,0)</f>
        <v>CR PORTACHUELO</v>
      </c>
      <c r="M391" s="15" t="s">
        <v>52</v>
      </c>
      <c r="N391" s="15" t="s">
        <v>89</v>
      </c>
      <c r="O391" s="15" t="s">
        <v>130</v>
      </c>
      <c r="P391" s="15" t="s">
        <v>126</v>
      </c>
      <c r="Q391" s="15" t="s">
        <v>218</v>
      </c>
      <c r="R391" s="15" t="s">
        <v>219</v>
      </c>
      <c r="S391" s="15" t="s">
        <v>133</v>
      </c>
      <c r="T391" s="15" t="s">
        <v>59</v>
      </c>
      <c r="U391" s="16">
        <v>2026.0</v>
      </c>
      <c r="V391" s="16">
        <v>6.0</v>
      </c>
      <c r="W391" s="16">
        <v>1.081875226E9</v>
      </c>
      <c r="X391" s="16">
        <v>1.081893698E9</v>
      </c>
      <c r="Y391" s="17">
        <v>46182.0</v>
      </c>
      <c r="Z391" s="17">
        <v>46207.0</v>
      </c>
      <c r="AA391" s="16">
        <v>50495.65</v>
      </c>
      <c r="AB391" s="16">
        <v>50495.65</v>
      </c>
      <c r="AC391" s="16">
        <v>-1650.7</v>
      </c>
      <c r="AD391" s="16">
        <v>0.0</v>
      </c>
      <c r="AE391" s="16">
        <v>561.35</v>
      </c>
      <c r="AF391" s="16">
        <v>0.0</v>
      </c>
      <c r="AG391" s="16">
        <v>0.0</v>
      </c>
      <c r="AH391" s="16">
        <v>0.0</v>
      </c>
      <c r="AI391" s="16">
        <v>0.0</v>
      </c>
      <c r="AJ391" s="16">
        <v>50495.65</v>
      </c>
      <c r="AK391" s="16">
        <v>150961.27</v>
      </c>
      <c r="AL391" s="16">
        <v>3.0</v>
      </c>
      <c r="AM391" s="16">
        <v>242.77</v>
      </c>
      <c r="AN391" s="16">
        <v>0.0</v>
      </c>
      <c r="AO391" s="18"/>
      <c r="AP391" s="18"/>
      <c r="AQ391" s="18"/>
      <c r="AR391" s="18"/>
      <c r="AS391" s="11" t="str">
        <f>VLOOKUP(C391,'mayo-26'!B:AS,44,0)</f>
        <v/>
      </c>
      <c r="AT391" s="12" t="str">
        <f>VLOOKUP(C391,'mayo-26'!B:AT,45,0)</f>
        <v>VERIFICADOR</v>
      </c>
      <c r="AU391" s="16"/>
      <c r="AV391" s="16"/>
      <c r="AW391" s="16"/>
    </row>
    <row r="392" ht="14.25" customHeight="1">
      <c r="A392" s="15" t="s">
        <v>819</v>
      </c>
      <c r="B392" s="16">
        <v>595164.0</v>
      </c>
      <c r="C392" s="16">
        <v>498545.0</v>
      </c>
      <c r="D392" s="16">
        <v>551650.0</v>
      </c>
      <c r="E392" s="18"/>
      <c r="F392" s="18"/>
      <c r="G392" s="16">
        <v>1255022.0</v>
      </c>
      <c r="H392" s="15" t="s">
        <v>820</v>
      </c>
      <c r="I392" s="1" t="str">
        <f>VLOOKUP(C392,'mayo-26'!B:H,7,0)</f>
        <v>CLL 14AN 4A-81 TORRE 3 APTO 202</v>
      </c>
      <c r="J392" s="1" t="s">
        <v>217</v>
      </c>
      <c r="K392" s="10" t="str">
        <f>VLOOKUP(C392,'mayo-26'!B:J,9,0)</f>
        <v>CR PORTACHUELO</v>
      </c>
      <c r="L392" s="1" t="str">
        <f>VLOOKUP(C392,'mayo-26'!B:K,10,0)</f>
        <v>CR PORTACHUELO</v>
      </c>
      <c r="M392" s="15" t="s">
        <v>52</v>
      </c>
      <c r="N392" s="15" t="s">
        <v>89</v>
      </c>
      <c r="O392" s="15" t="s">
        <v>130</v>
      </c>
      <c r="P392" s="15" t="s">
        <v>126</v>
      </c>
      <c r="Q392" s="15" t="s">
        <v>218</v>
      </c>
      <c r="R392" s="15" t="s">
        <v>219</v>
      </c>
      <c r="S392" s="15" t="s">
        <v>133</v>
      </c>
      <c r="T392" s="15" t="s">
        <v>59</v>
      </c>
      <c r="U392" s="16">
        <v>2026.0</v>
      </c>
      <c r="V392" s="16">
        <v>6.0</v>
      </c>
      <c r="W392" s="16">
        <v>1.08187523E9</v>
      </c>
      <c r="X392" s="16">
        <v>1.081893702E9</v>
      </c>
      <c r="Y392" s="17">
        <v>46182.0</v>
      </c>
      <c r="Z392" s="17">
        <v>46207.0</v>
      </c>
      <c r="AA392" s="16">
        <v>49934.3</v>
      </c>
      <c r="AB392" s="16">
        <v>49934.3</v>
      </c>
      <c r="AC392" s="16">
        <v>-1650.7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6">
        <v>0.0</v>
      </c>
      <c r="AJ392" s="16">
        <v>49934.3</v>
      </c>
      <c r="AK392" s="16">
        <v>49934.3</v>
      </c>
      <c r="AL392" s="16">
        <v>0.0</v>
      </c>
      <c r="AM392" s="16">
        <v>242.77</v>
      </c>
      <c r="AN392" s="16">
        <v>0.0</v>
      </c>
      <c r="AO392" s="18"/>
      <c r="AP392" s="18"/>
      <c r="AQ392" s="18"/>
      <c r="AR392" s="18"/>
      <c r="AS392" s="11" t="str">
        <f>VLOOKUP(C392,'mayo-26'!B:AS,44,0)</f>
        <v/>
      </c>
      <c r="AT392" s="12" t="str">
        <f>VLOOKUP(C392,'mayo-26'!B:AT,45,0)</f>
        <v>VERIFICADOR</v>
      </c>
      <c r="AU392" s="16"/>
      <c r="AV392" s="16"/>
      <c r="AW392" s="16"/>
    </row>
    <row r="393" ht="14.25" customHeight="1">
      <c r="A393" s="15" t="s">
        <v>821</v>
      </c>
      <c r="B393" s="16">
        <v>595168.0</v>
      </c>
      <c r="C393" s="16">
        <v>498549.0</v>
      </c>
      <c r="D393" s="16">
        <v>551654.0</v>
      </c>
      <c r="E393" s="18"/>
      <c r="F393" s="18"/>
      <c r="G393" s="16">
        <v>1255026.0</v>
      </c>
      <c r="H393" s="15" t="s">
        <v>822</v>
      </c>
      <c r="I393" s="1" t="str">
        <f>VLOOKUP(C393,'mayo-26'!B:H,7,0)</f>
        <v>CLL 14AN 4A-81 TORRE 3 APTO 302</v>
      </c>
      <c r="J393" s="1" t="s">
        <v>217</v>
      </c>
      <c r="K393" s="10" t="str">
        <f>VLOOKUP(C393,'mayo-26'!B:J,9,0)</f>
        <v>CR PORTACHUELO</v>
      </c>
      <c r="L393" s="1" t="str">
        <f>VLOOKUP(C393,'mayo-26'!B:K,10,0)</f>
        <v>CR PORTACHUELO</v>
      </c>
      <c r="M393" s="15" t="s">
        <v>52</v>
      </c>
      <c r="N393" s="15" t="s">
        <v>89</v>
      </c>
      <c r="O393" s="15" t="s">
        <v>130</v>
      </c>
      <c r="P393" s="15" t="s">
        <v>126</v>
      </c>
      <c r="Q393" s="15" t="s">
        <v>218</v>
      </c>
      <c r="R393" s="15" t="s">
        <v>219</v>
      </c>
      <c r="S393" s="15" t="s">
        <v>133</v>
      </c>
      <c r="T393" s="15" t="s">
        <v>59</v>
      </c>
      <c r="U393" s="16">
        <v>2026.0</v>
      </c>
      <c r="V393" s="16">
        <v>6.0</v>
      </c>
      <c r="W393" s="16">
        <v>1.081875234E9</v>
      </c>
      <c r="X393" s="16">
        <v>1.081893706E9</v>
      </c>
      <c r="Y393" s="17">
        <v>46182.0</v>
      </c>
      <c r="Z393" s="17">
        <v>46207.0</v>
      </c>
      <c r="AA393" s="16">
        <v>50495.64</v>
      </c>
      <c r="AB393" s="16">
        <v>50495.64</v>
      </c>
      <c r="AC393" s="16">
        <v>-1650.7</v>
      </c>
      <c r="AD393" s="16">
        <v>0.0</v>
      </c>
      <c r="AE393" s="16">
        <v>561.34</v>
      </c>
      <c r="AF393" s="16">
        <v>0.0</v>
      </c>
      <c r="AG393" s="16">
        <v>0.0</v>
      </c>
      <c r="AH393" s="16">
        <v>0.0</v>
      </c>
      <c r="AI393" s="16">
        <v>0.0</v>
      </c>
      <c r="AJ393" s="16">
        <v>50495.64</v>
      </c>
      <c r="AK393" s="16">
        <v>150960.53</v>
      </c>
      <c r="AL393" s="16">
        <v>2.0</v>
      </c>
      <c r="AM393" s="16">
        <v>242.77</v>
      </c>
      <c r="AN393" s="16">
        <v>0.0</v>
      </c>
      <c r="AO393" s="18"/>
      <c r="AP393" s="18"/>
      <c r="AQ393" s="18"/>
      <c r="AR393" s="18"/>
      <c r="AS393" s="11" t="str">
        <f>VLOOKUP(C393,'mayo-26'!B:AS,44,0)</f>
        <v/>
      </c>
      <c r="AT393" s="12" t="str">
        <f>VLOOKUP(C393,'mayo-26'!B:AT,45,0)</f>
        <v>VERIFICADOR</v>
      </c>
      <c r="AU393" s="16"/>
      <c r="AV393" s="16"/>
      <c r="AW393" s="16"/>
    </row>
    <row r="394" ht="14.25" customHeight="1">
      <c r="A394" s="15" t="s">
        <v>823</v>
      </c>
      <c r="B394" s="16">
        <v>595172.0</v>
      </c>
      <c r="C394" s="16">
        <v>498553.0</v>
      </c>
      <c r="D394" s="16">
        <v>551658.0</v>
      </c>
      <c r="E394" s="18"/>
      <c r="F394" s="18"/>
      <c r="G394" s="16">
        <v>1255030.0</v>
      </c>
      <c r="H394" s="15" t="s">
        <v>824</v>
      </c>
      <c r="I394" s="1" t="str">
        <f>VLOOKUP(C394,'mayo-26'!B:H,7,0)</f>
        <v>CLL 14AN 4A-81 TORRE 3 APTO 402</v>
      </c>
      <c r="J394" s="1" t="s">
        <v>217</v>
      </c>
      <c r="K394" s="10" t="str">
        <f>VLOOKUP(C394,'mayo-26'!B:J,9,0)</f>
        <v>CR PORTACHUELO</v>
      </c>
      <c r="L394" s="1" t="str">
        <f>VLOOKUP(C394,'mayo-26'!B:K,10,0)</f>
        <v>CR PORTACHUELO</v>
      </c>
      <c r="M394" s="15" t="s">
        <v>52</v>
      </c>
      <c r="N394" s="15" t="s">
        <v>89</v>
      </c>
      <c r="O394" s="15" t="s">
        <v>130</v>
      </c>
      <c r="P394" s="15" t="s">
        <v>126</v>
      </c>
      <c r="Q394" s="15" t="s">
        <v>218</v>
      </c>
      <c r="R394" s="15" t="s">
        <v>219</v>
      </c>
      <c r="S394" s="15" t="s">
        <v>133</v>
      </c>
      <c r="T394" s="15" t="s">
        <v>59</v>
      </c>
      <c r="U394" s="16">
        <v>2026.0</v>
      </c>
      <c r="V394" s="16">
        <v>6.0</v>
      </c>
      <c r="W394" s="16">
        <v>1.081875238E9</v>
      </c>
      <c r="X394" s="16">
        <v>1.08189371E9</v>
      </c>
      <c r="Y394" s="17">
        <v>46182.0</v>
      </c>
      <c r="Z394" s="17">
        <v>46207.0</v>
      </c>
      <c r="AA394" s="16">
        <v>49934.3</v>
      </c>
      <c r="AB394" s="16">
        <v>49934.3</v>
      </c>
      <c r="AC394" s="16">
        <v>-1650.7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6">
        <v>0.0</v>
      </c>
      <c r="AJ394" s="16">
        <v>49934.3</v>
      </c>
      <c r="AK394" s="16">
        <v>49934.3</v>
      </c>
      <c r="AL394" s="16">
        <v>0.0</v>
      </c>
      <c r="AM394" s="16">
        <v>242.77</v>
      </c>
      <c r="AN394" s="16">
        <v>0.0</v>
      </c>
      <c r="AO394" s="18"/>
      <c r="AP394" s="18"/>
      <c r="AQ394" s="18"/>
      <c r="AR394" s="18"/>
      <c r="AS394" s="11" t="str">
        <f>VLOOKUP(C394,'mayo-26'!B:AS,44,0)</f>
        <v/>
      </c>
      <c r="AT394" s="12" t="str">
        <f>VLOOKUP(C394,'mayo-26'!B:AT,45,0)</f>
        <v>VERIFICADOR</v>
      </c>
      <c r="AU394" s="16"/>
      <c r="AV394" s="16"/>
      <c r="AW394" s="16"/>
    </row>
    <row r="395" ht="14.25" customHeight="1">
      <c r="A395" s="15" t="s">
        <v>825</v>
      </c>
      <c r="B395" s="16">
        <v>595176.0</v>
      </c>
      <c r="C395" s="16">
        <v>498557.0</v>
      </c>
      <c r="D395" s="16">
        <v>551662.0</v>
      </c>
      <c r="E395" s="18"/>
      <c r="F395" s="18"/>
      <c r="G395" s="16">
        <v>1255034.0</v>
      </c>
      <c r="H395" s="15" t="s">
        <v>826</v>
      </c>
      <c r="I395" s="1" t="str">
        <f>VLOOKUP(C395,'mayo-26'!B:H,7,0)</f>
        <v>CLL 14AN 4A-81 TORRE 4 APTO 102</v>
      </c>
      <c r="J395" s="1" t="s">
        <v>217</v>
      </c>
      <c r="K395" s="10" t="str">
        <f>VLOOKUP(C395,'mayo-26'!B:J,9,0)</f>
        <v>CR PORTACHUELO</v>
      </c>
      <c r="L395" s="1" t="str">
        <f>VLOOKUP(C395,'mayo-26'!B:K,10,0)</f>
        <v>CR PORTACHUELO</v>
      </c>
      <c r="M395" s="15" t="s">
        <v>52</v>
      </c>
      <c r="N395" s="15" t="s">
        <v>89</v>
      </c>
      <c r="O395" s="15" t="s">
        <v>130</v>
      </c>
      <c r="P395" s="15" t="s">
        <v>126</v>
      </c>
      <c r="Q395" s="15" t="s">
        <v>218</v>
      </c>
      <c r="R395" s="15" t="s">
        <v>219</v>
      </c>
      <c r="S395" s="15" t="s">
        <v>133</v>
      </c>
      <c r="T395" s="15" t="s">
        <v>59</v>
      </c>
      <c r="U395" s="16">
        <v>2026.0</v>
      </c>
      <c r="V395" s="16">
        <v>6.0</v>
      </c>
      <c r="W395" s="16">
        <v>1.081875242E9</v>
      </c>
      <c r="X395" s="16">
        <v>1.081893714E9</v>
      </c>
      <c r="Y395" s="17">
        <v>46182.0</v>
      </c>
      <c r="Z395" s="17">
        <v>46207.0</v>
      </c>
      <c r="AA395" s="16">
        <v>53994.58</v>
      </c>
      <c r="AB395" s="16">
        <v>53994.58</v>
      </c>
      <c r="AC395" s="16">
        <v>-1650.7</v>
      </c>
      <c r="AD395" s="16">
        <v>0.0</v>
      </c>
      <c r="AE395" s="16">
        <v>4060.28</v>
      </c>
      <c r="AF395" s="16">
        <v>0.0</v>
      </c>
      <c r="AG395" s="16">
        <v>0.0</v>
      </c>
      <c r="AH395" s="16">
        <v>0.0</v>
      </c>
      <c r="AI395" s="16">
        <v>0.0</v>
      </c>
      <c r="AJ395" s="16">
        <v>53994.58</v>
      </c>
      <c r="AK395" s="16">
        <v>337498.7</v>
      </c>
      <c r="AL395" s="16">
        <v>6.0</v>
      </c>
      <c r="AM395" s="16">
        <v>242.77</v>
      </c>
      <c r="AN395" s="16">
        <v>0.0</v>
      </c>
      <c r="AO395" s="18"/>
      <c r="AP395" s="18"/>
      <c r="AQ395" s="18"/>
      <c r="AR395" s="18"/>
      <c r="AS395" s="11" t="str">
        <f>VLOOKUP(C395,'mayo-26'!B:AS,44,0)</f>
        <v/>
      </c>
      <c r="AT395" s="12" t="str">
        <f>VLOOKUP(C395,'mayo-26'!B:AT,45,0)</f>
        <v>VERIFICADOR</v>
      </c>
      <c r="AU395" s="16"/>
      <c r="AV395" s="16"/>
      <c r="AW395" s="16"/>
    </row>
    <row r="396" ht="14.25" customHeight="1">
      <c r="A396" s="15" t="s">
        <v>827</v>
      </c>
      <c r="B396" s="16">
        <v>595180.0</v>
      </c>
      <c r="C396" s="16">
        <v>498561.0</v>
      </c>
      <c r="D396" s="16">
        <v>551666.0</v>
      </c>
      <c r="E396" s="18"/>
      <c r="F396" s="18"/>
      <c r="G396" s="16">
        <v>1255038.0</v>
      </c>
      <c r="H396" s="15" t="s">
        <v>828</v>
      </c>
      <c r="I396" s="1" t="str">
        <f>VLOOKUP(C396,'mayo-26'!B:H,7,0)</f>
        <v>CLL 14AN 4A-81 TORRE 4 APTO 202</v>
      </c>
      <c r="J396" s="1" t="s">
        <v>217</v>
      </c>
      <c r="K396" s="10" t="str">
        <f>VLOOKUP(C396,'mayo-26'!B:J,9,0)</f>
        <v>CR PORTACHUELO</v>
      </c>
      <c r="L396" s="1" t="str">
        <f>VLOOKUP(C396,'mayo-26'!B:K,10,0)</f>
        <v>CR PORTACHUELO</v>
      </c>
      <c r="M396" s="15" t="s">
        <v>52</v>
      </c>
      <c r="N396" s="15" t="s">
        <v>89</v>
      </c>
      <c r="O396" s="15" t="s">
        <v>130</v>
      </c>
      <c r="P396" s="15" t="s">
        <v>126</v>
      </c>
      <c r="Q396" s="15" t="s">
        <v>218</v>
      </c>
      <c r="R396" s="15" t="s">
        <v>219</v>
      </c>
      <c r="S396" s="15" t="s">
        <v>133</v>
      </c>
      <c r="T396" s="15" t="s">
        <v>59</v>
      </c>
      <c r="U396" s="16">
        <v>2026.0</v>
      </c>
      <c r="V396" s="16">
        <v>6.0</v>
      </c>
      <c r="W396" s="16">
        <v>1.081875246E9</v>
      </c>
      <c r="X396" s="16">
        <v>1.081893718E9</v>
      </c>
      <c r="Y396" s="17">
        <v>46182.0</v>
      </c>
      <c r="Z396" s="17">
        <v>46207.0</v>
      </c>
      <c r="AA396" s="16">
        <v>50495.64</v>
      </c>
      <c r="AB396" s="16">
        <v>50495.64</v>
      </c>
      <c r="AC396" s="16">
        <v>-1650.7</v>
      </c>
      <c r="AD396" s="16">
        <v>0.0</v>
      </c>
      <c r="AE396" s="16">
        <v>561.34</v>
      </c>
      <c r="AF396" s="16">
        <v>0.0</v>
      </c>
      <c r="AG396" s="16">
        <v>0.0</v>
      </c>
      <c r="AH396" s="16">
        <v>0.0</v>
      </c>
      <c r="AI396" s="16">
        <v>0.0</v>
      </c>
      <c r="AJ396" s="16">
        <v>50495.64</v>
      </c>
      <c r="AK396" s="16">
        <v>151104.06</v>
      </c>
      <c r="AL396" s="16">
        <v>2.0</v>
      </c>
      <c r="AM396" s="16">
        <v>242.77</v>
      </c>
      <c r="AN396" s="16">
        <v>0.0</v>
      </c>
      <c r="AO396" s="18"/>
      <c r="AP396" s="18"/>
      <c r="AQ396" s="18"/>
      <c r="AR396" s="18"/>
      <c r="AS396" s="11" t="str">
        <f>VLOOKUP(C396,'mayo-26'!B:AS,44,0)</f>
        <v/>
      </c>
      <c r="AT396" s="12" t="str">
        <f>VLOOKUP(C396,'mayo-26'!B:AT,45,0)</f>
        <v>VERIFICADOR</v>
      </c>
      <c r="AU396" s="16"/>
      <c r="AV396" s="16"/>
      <c r="AW396" s="16"/>
    </row>
    <row r="397" ht="14.25" customHeight="1">
      <c r="A397" s="15" t="s">
        <v>829</v>
      </c>
      <c r="B397" s="16">
        <v>595184.0</v>
      </c>
      <c r="C397" s="16">
        <v>498565.0</v>
      </c>
      <c r="D397" s="16">
        <v>551670.0</v>
      </c>
      <c r="E397" s="18"/>
      <c r="F397" s="18"/>
      <c r="G397" s="16">
        <v>1255042.0</v>
      </c>
      <c r="H397" s="15" t="s">
        <v>830</v>
      </c>
      <c r="I397" s="1" t="str">
        <f>VLOOKUP(C397,'mayo-26'!B:H,7,0)</f>
        <v>CLL 14AN 4A-81 TORRE 4 APTO 302</v>
      </c>
      <c r="J397" s="1" t="s">
        <v>217</v>
      </c>
      <c r="K397" s="10" t="str">
        <f>VLOOKUP(C397,'mayo-26'!B:J,9,0)</f>
        <v>CR PORTACHUELO</v>
      </c>
      <c r="L397" s="1" t="str">
        <f>VLOOKUP(C397,'mayo-26'!B:K,10,0)</f>
        <v>CR PORTACHUELO</v>
      </c>
      <c r="M397" s="15" t="s">
        <v>52</v>
      </c>
      <c r="N397" s="15" t="s">
        <v>89</v>
      </c>
      <c r="O397" s="15" t="s">
        <v>130</v>
      </c>
      <c r="P397" s="15" t="s">
        <v>126</v>
      </c>
      <c r="Q397" s="15" t="s">
        <v>218</v>
      </c>
      <c r="R397" s="15" t="s">
        <v>219</v>
      </c>
      <c r="S397" s="15" t="s">
        <v>133</v>
      </c>
      <c r="T397" s="15" t="s">
        <v>59</v>
      </c>
      <c r="U397" s="16">
        <v>2026.0</v>
      </c>
      <c r="V397" s="16">
        <v>6.0</v>
      </c>
      <c r="W397" s="16">
        <v>1.08187525E9</v>
      </c>
      <c r="X397" s="16">
        <v>1.081893722E9</v>
      </c>
      <c r="Y397" s="17">
        <v>46182.0</v>
      </c>
      <c r="Z397" s="17">
        <v>46207.0</v>
      </c>
      <c r="AA397" s="16">
        <v>49934.3</v>
      </c>
      <c r="AB397" s="16">
        <v>49934.3</v>
      </c>
      <c r="AC397" s="16">
        <v>-1650.7</v>
      </c>
      <c r="AD397" s="16">
        <v>0.0</v>
      </c>
      <c r="AE397" s="16">
        <v>0.0</v>
      </c>
      <c r="AF397" s="16">
        <v>0.0</v>
      </c>
      <c r="AG397" s="16">
        <v>0.0</v>
      </c>
      <c r="AH397" s="16">
        <v>0.0</v>
      </c>
      <c r="AI397" s="16">
        <v>0.0</v>
      </c>
      <c r="AJ397" s="16">
        <v>49934.3</v>
      </c>
      <c r="AK397" s="16">
        <v>49934.3</v>
      </c>
      <c r="AL397" s="16">
        <v>0.0</v>
      </c>
      <c r="AM397" s="16">
        <v>242.77</v>
      </c>
      <c r="AN397" s="16">
        <v>0.0</v>
      </c>
      <c r="AO397" s="18"/>
      <c r="AP397" s="18"/>
      <c r="AQ397" s="18"/>
      <c r="AR397" s="18"/>
      <c r="AS397" s="11" t="str">
        <f>VLOOKUP(C397,'mayo-26'!B:AS,44,0)</f>
        <v/>
      </c>
      <c r="AT397" s="12" t="str">
        <f>VLOOKUP(C397,'mayo-26'!B:AT,45,0)</f>
        <v>VERIFICADOR</v>
      </c>
      <c r="AU397" s="16"/>
      <c r="AV397" s="16"/>
      <c r="AW397" s="16"/>
    </row>
    <row r="398" ht="14.25" customHeight="1">
      <c r="A398" s="15" t="s">
        <v>831</v>
      </c>
      <c r="B398" s="16">
        <v>595188.0</v>
      </c>
      <c r="C398" s="16">
        <v>498569.0</v>
      </c>
      <c r="D398" s="16">
        <v>551674.0</v>
      </c>
      <c r="E398" s="18"/>
      <c r="F398" s="18"/>
      <c r="G398" s="16">
        <v>1255046.0</v>
      </c>
      <c r="H398" s="15" t="s">
        <v>832</v>
      </c>
      <c r="I398" s="1" t="str">
        <f>VLOOKUP(C398,'mayo-26'!B:H,7,0)</f>
        <v>CLL 14AN 4A-81 TORRE 4 APTO 402</v>
      </c>
      <c r="J398" s="1" t="s">
        <v>217</v>
      </c>
      <c r="K398" s="10" t="str">
        <f>VLOOKUP(C398,'mayo-26'!B:J,9,0)</f>
        <v>CR PORTACHUELO</v>
      </c>
      <c r="L398" s="1" t="str">
        <f>VLOOKUP(C398,'mayo-26'!B:K,10,0)</f>
        <v>CR PORTACHUELO</v>
      </c>
      <c r="M398" s="15" t="s">
        <v>52</v>
      </c>
      <c r="N398" s="15" t="s">
        <v>89</v>
      </c>
      <c r="O398" s="15" t="s">
        <v>130</v>
      </c>
      <c r="P398" s="15" t="s">
        <v>126</v>
      </c>
      <c r="Q398" s="15" t="s">
        <v>218</v>
      </c>
      <c r="R398" s="15" t="s">
        <v>219</v>
      </c>
      <c r="S398" s="15" t="s">
        <v>133</v>
      </c>
      <c r="T398" s="15" t="s">
        <v>59</v>
      </c>
      <c r="U398" s="16">
        <v>2026.0</v>
      </c>
      <c r="V398" s="16">
        <v>6.0</v>
      </c>
      <c r="W398" s="16">
        <v>1.081875254E9</v>
      </c>
      <c r="X398" s="16">
        <v>1.081893726E9</v>
      </c>
      <c r="Y398" s="17">
        <v>46182.0</v>
      </c>
      <c r="Z398" s="17">
        <v>46207.0</v>
      </c>
      <c r="AA398" s="16">
        <v>50495.64</v>
      </c>
      <c r="AB398" s="16">
        <v>50495.64</v>
      </c>
      <c r="AC398" s="16">
        <v>-1650.7</v>
      </c>
      <c r="AD398" s="16">
        <v>0.0</v>
      </c>
      <c r="AE398" s="16">
        <v>561.34</v>
      </c>
      <c r="AF398" s="16">
        <v>0.0</v>
      </c>
      <c r="AG398" s="16">
        <v>0.0</v>
      </c>
      <c r="AH398" s="16">
        <v>0.0</v>
      </c>
      <c r="AI398" s="16">
        <v>0.0</v>
      </c>
      <c r="AJ398" s="16">
        <v>50495.64</v>
      </c>
      <c r="AK398" s="16">
        <v>152362.73</v>
      </c>
      <c r="AL398" s="16">
        <v>2.0</v>
      </c>
      <c r="AM398" s="16">
        <v>242.77</v>
      </c>
      <c r="AN398" s="16">
        <v>0.0</v>
      </c>
      <c r="AO398" s="18"/>
      <c r="AP398" s="18"/>
      <c r="AQ398" s="18"/>
      <c r="AR398" s="18"/>
      <c r="AS398" s="11" t="str">
        <f>VLOOKUP(C398,'mayo-26'!B:AS,44,0)</f>
        <v/>
      </c>
      <c r="AT398" s="12" t="str">
        <f>VLOOKUP(C398,'mayo-26'!B:AT,45,0)</f>
        <v>VERIFICADOR</v>
      </c>
      <c r="AU398" s="16"/>
      <c r="AV398" s="16"/>
      <c r="AW398" s="16"/>
    </row>
    <row r="399" ht="14.25" customHeight="1">
      <c r="A399" s="15" t="s">
        <v>833</v>
      </c>
      <c r="B399" s="16">
        <v>595192.0</v>
      </c>
      <c r="C399" s="16">
        <v>498573.0</v>
      </c>
      <c r="D399" s="16">
        <v>551678.0</v>
      </c>
      <c r="E399" s="18"/>
      <c r="F399" s="18"/>
      <c r="G399" s="16">
        <v>1255050.0</v>
      </c>
      <c r="H399" s="15" t="s">
        <v>834</v>
      </c>
      <c r="I399" s="1" t="str">
        <f>VLOOKUP(C399,'mayo-26'!B:H,7,0)</f>
        <v>CLL 14AN 4A-81 TORRE 5 APTO 102</v>
      </c>
      <c r="J399" s="1" t="s">
        <v>217</v>
      </c>
      <c r="K399" s="10" t="str">
        <f>VLOOKUP(C399,'mayo-26'!B:J,9,0)</f>
        <v>CR PORTACHUELO</v>
      </c>
      <c r="L399" s="1" t="str">
        <f>VLOOKUP(C399,'mayo-26'!B:K,10,0)</f>
        <v>CR PORTACHUELO</v>
      </c>
      <c r="M399" s="15" t="s">
        <v>52</v>
      </c>
      <c r="N399" s="15" t="s">
        <v>89</v>
      </c>
      <c r="O399" s="15" t="s">
        <v>130</v>
      </c>
      <c r="P399" s="15" t="s">
        <v>126</v>
      </c>
      <c r="Q399" s="15" t="s">
        <v>218</v>
      </c>
      <c r="R399" s="15" t="s">
        <v>219</v>
      </c>
      <c r="S399" s="15" t="s">
        <v>133</v>
      </c>
      <c r="T399" s="15" t="s">
        <v>59</v>
      </c>
      <c r="U399" s="16">
        <v>2026.0</v>
      </c>
      <c r="V399" s="16">
        <v>6.0</v>
      </c>
      <c r="W399" s="16">
        <v>1.081875258E9</v>
      </c>
      <c r="X399" s="16">
        <v>1.08189373E9</v>
      </c>
      <c r="Y399" s="17">
        <v>46182.0</v>
      </c>
      <c r="Z399" s="17">
        <v>46207.0</v>
      </c>
      <c r="AA399" s="16">
        <v>49934.3</v>
      </c>
      <c r="AB399" s="16">
        <v>49934.3</v>
      </c>
      <c r="AC399" s="16">
        <v>-1650.7</v>
      </c>
      <c r="AD399" s="16">
        <v>0.0</v>
      </c>
      <c r="AE399" s="16">
        <v>0.0</v>
      </c>
      <c r="AF399" s="16">
        <v>0.0</v>
      </c>
      <c r="AG399" s="16">
        <v>0.0</v>
      </c>
      <c r="AH399" s="16">
        <v>0.0</v>
      </c>
      <c r="AI399" s="16">
        <v>0.0</v>
      </c>
      <c r="AJ399" s="16">
        <v>49934.3</v>
      </c>
      <c r="AK399" s="16">
        <v>49934.3</v>
      </c>
      <c r="AL399" s="16">
        <v>0.0</v>
      </c>
      <c r="AM399" s="16">
        <v>242.77</v>
      </c>
      <c r="AN399" s="16">
        <v>0.0</v>
      </c>
      <c r="AO399" s="18"/>
      <c r="AP399" s="18"/>
      <c r="AQ399" s="18"/>
      <c r="AR399" s="18"/>
      <c r="AS399" s="11" t="str">
        <f>VLOOKUP(C399,'mayo-26'!B:AS,44,0)</f>
        <v/>
      </c>
      <c r="AT399" s="12" t="str">
        <f>VLOOKUP(C399,'mayo-26'!B:AT,45,0)</f>
        <v>VERIFICADOR</v>
      </c>
      <c r="AU399" s="16"/>
      <c r="AV399" s="16"/>
      <c r="AW399" s="16"/>
    </row>
    <row r="400" ht="14.25" customHeight="1">
      <c r="A400" s="15" t="s">
        <v>835</v>
      </c>
      <c r="B400" s="16">
        <v>595196.0</v>
      </c>
      <c r="C400" s="16">
        <v>498577.0</v>
      </c>
      <c r="D400" s="16">
        <v>551682.0</v>
      </c>
      <c r="E400" s="18"/>
      <c r="F400" s="18"/>
      <c r="G400" s="16">
        <v>1255054.0</v>
      </c>
      <c r="H400" s="15" t="s">
        <v>836</v>
      </c>
      <c r="I400" s="1" t="str">
        <f>VLOOKUP(C400,'mayo-26'!B:H,7,0)</f>
        <v>CLL 14AN 4A-81 TORRE 5 APTO 202</v>
      </c>
      <c r="J400" s="1" t="s">
        <v>217</v>
      </c>
      <c r="K400" s="10" t="str">
        <f>VLOOKUP(C400,'mayo-26'!B:J,9,0)</f>
        <v>CR PORTACHUELO</v>
      </c>
      <c r="L400" s="1" t="str">
        <f>VLOOKUP(C400,'mayo-26'!B:K,10,0)</f>
        <v>CR PORTACHUELO</v>
      </c>
      <c r="M400" s="15" t="s">
        <v>52</v>
      </c>
      <c r="N400" s="15" t="s">
        <v>89</v>
      </c>
      <c r="O400" s="15" t="s">
        <v>130</v>
      </c>
      <c r="P400" s="15" t="s">
        <v>126</v>
      </c>
      <c r="Q400" s="15" t="s">
        <v>218</v>
      </c>
      <c r="R400" s="15" t="s">
        <v>219</v>
      </c>
      <c r="S400" s="15" t="s">
        <v>133</v>
      </c>
      <c r="T400" s="15" t="s">
        <v>59</v>
      </c>
      <c r="U400" s="16">
        <v>2026.0</v>
      </c>
      <c r="V400" s="16">
        <v>6.0</v>
      </c>
      <c r="W400" s="16">
        <v>1.081875262E9</v>
      </c>
      <c r="X400" s="16">
        <v>1.081893734E9</v>
      </c>
      <c r="Y400" s="17">
        <v>46182.0</v>
      </c>
      <c r="Z400" s="17">
        <v>46207.0</v>
      </c>
      <c r="AA400" s="16">
        <v>49934.31</v>
      </c>
      <c r="AB400" s="16">
        <v>49934.31</v>
      </c>
      <c r="AC400" s="16">
        <v>-1650.7</v>
      </c>
      <c r="AD400" s="16">
        <v>0.0</v>
      </c>
      <c r="AE400" s="16">
        <v>0.01</v>
      </c>
      <c r="AF400" s="16">
        <v>0.0</v>
      </c>
      <c r="AG400" s="16">
        <v>0.0</v>
      </c>
      <c r="AH400" s="16">
        <v>0.0</v>
      </c>
      <c r="AI400" s="16">
        <v>0.0</v>
      </c>
      <c r="AJ400" s="16">
        <v>49934.31</v>
      </c>
      <c r="AK400" s="16">
        <v>49935.07</v>
      </c>
      <c r="AL400" s="16">
        <v>1.0</v>
      </c>
      <c r="AM400" s="16">
        <v>242.77</v>
      </c>
      <c r="AN400" s="16">
        <v>0.0</v>
      </c>
      <c r="AO400" s="18"/>
      <c r="AP400" s="18"/>
      <c r="AQ400" s="18"/>
      <c r="AR400" s="18"/>
      <c r="AS400" s="11" t="str">
        <f>VLOOKUP(C400,'mayo-26'!B:AS,44,0)</f>
        <v/>
      </c>
      <c r="AT400" s="12" t="str">
        <f>VLOOKUP(C400,'mayo-26'!B:AT,45,0)</f>
        <v>VERIFICADOR</v>
      </c>
      <c r="AU400" s="16"/>
      <c r="AV400" s="16"/>
      <c r="AW400" s="16"/>
    </row>
    <row r="401" ht="14.25" customHeight="1">
      <c r="A401" s="15" t="s">
        <v>837</v>
      </c>
      <c r="B401" s="16">
        <v>595200.0</v>
      </c>
      <c r="C401" s="16">
        <v>498581.0</v>
      </c>
      <c r="D401" s="16">
        <v>551686.0</v>
      </c>
      <c r="E401" s="18"/>
      <c r="F401" s="18"/>
      <c r="G401" s="16">
        <v>1255058.0</v>
      </c>
      <c r="H401" s="15" t="s">
        <v>838</v>
      </c>
      <c r="I401" s="1" t="str">
        <f>VLOOKUP(C401,'mayo-26'!B:H,7,0)</f>
        <v>CLL 14AN 4A-81 TORRE 5 APTO 302</v>
      </c>
      <c r="J401" s="1" t="s">
        <v>217</v>
      </c>
      <c r="K401" s="10" t="str">
        <f>VLOOKUP(C401,'mayo-26'!B:J,9,0)</f>
        <v>CR PORTACHUELO</v>
      </c>
      <c r="L401" s="1" t="str">
        <f>VLOOKUP(C401,'mayo-26'!B:K,10,0)</f>
        <v>CR PORTACHUELO</v>
      </c>
      <c r="M401" s="15" t="s">
        <v>52</v>
      </c>
      <c r="N401" s="15" t="s">
        <v>89</v>
      </c>
      <c r="O401" s="15" t="s">
        <v>130</v>
      </c>
      <c r="P401" s="15" t="s">
        <v>126</v>
      </c>
      <c r="Q401" s="15" t="s">
        <v>218</v>
      </c>
      <c r="R401" s="15" t="s">
        <v>219</v>
      </c>
      <c r="S401" s="15" t="s">
        <v>133</v>
      </c>
      <c r="T401" s="15" t="s">
        <v>59</v>
      </c>
      <c r="U401" s="16">
        <v>2026.0</v>
      </c>
      <c r="V401" s="16">
        <v>6.0</v>
      </c>
      <c r="W401" s="16">
        <v>1.081875267E9</v>
      </c>
      <c r="X401" s="16">
        <v>1.081893739E9</v>
      </c>
      <c r="Y401" s="17">
        <v>46182.0</v>
      </c>
      <c r="Z401" s="17">
        <v>46207.0</v>
      </c>
      <c r="AA401" s="16">
        <v>49934.3</v>
      </c>
      <c r="AB401" s="16">
        <v>49934.3</v>
      </c>
      <c r="AC401" s="16">
        <v>-1650.7</v>
      </c>
      <c r="AD401" s="16">
        <v>0.0</v>
      </c>
      <c r="AE401" s="16">
        <v>0.0</v>
      </c>
      <c r="AF401" s="16">
        <v>0.0</v>
      </c>
      <c r="AG401" s="16">
        <v>0.0</v>
      </c>
      <c r="AH401" s="16">
        <v>0.0</v>
      </c>
      <c r="AI401" s="16">
        <v>0.0</v>
      </c>
      <c r="AJ401" s="16">
        <v>49934.3</v>
      </c>
      <c r="AK401" s="16">
        <v>49935.2</v>
      </c>
      <c r="AL401" s="16">
        <v>1.0</v>
      </c>
      <c r="AM401" s="16">
        <v>242.77</v>
      </c>
      <c r="AN401" s="16">
        <v>0.0</v>
      </c>
      <c r="AO401" s="18"/>
      <c r="AP401" s="18"/>
      <c r="AQ401" s="18"/>
      <c r="AR401" s="18"/>
      <c r="AS401" s="11" t="str">
        <f>VLOOKUP(C401,'mayo-26'!B:AS,44,0)</f>
        <v/>
      </c>
      <c r="AT401" s="12" t="str">
        <f>VLOOKUP(C401,'mayo-26'!B:AT,45,0)</f>
        <v>VERIFICADOR</v>
      </c>
      <c r="AU401" s="16"/>
      <c r="AV401" s="16"/>
      <c r="AW401" s="16"/>
    </row>
    <row r="402" ht="14.25" customHeight="1">
      <c r="A402" s="15" t="s">
        <v>839</v>
      </c>
      <c r="B402" s="16">
        <v>595204.0</v>
      </c>
      <c r="C402" s="16">
        <v>498585.0</v>
      </c>
      <c r="D402" s="16">
        <v>551690.0</v>
      </c>
      <c r="E402" s="18"/>
      <c r="F402" s="18"/>
      <c r="G402" s="16">
        <v>1255062.0</v>
      </c>
      <c r="H402" s="15" t="s">
        <v>840</v>
      </c>
      <c r="I402" s="1" t="str">
        <f>VLOOKUP(C402,'mayo-26'!B:H,7,0)</f>
        <v>CLL 14AN 4A-81 TORRE 5 APTO 402</v>
      </c>
      <c r="J402" s="1" t="s">
        <v>217</v>
      </c>
      <c r="K402" s="10" t="str">
        <f>VLOOKUP(C402,'mayo-26'!B:J,9,0)</f>
        <v>CR PORTACHUELO</v>
      </c>
      <c r="L402" s="1" t="str">
        <f>VLOOKUP(C402,'mayo-26'!B:K,10,0)</f>
        <v>CR PORTACHUELO</v>
      </c>
      <c r="M402" s="15" t="s">
        <v>52</v>
      </c>
      <c r="N402" s="15" t="s">
        <v>89</v>
      </c>
      <c r="O402" s="15" t="s">
        <v>130</v>
      </c>
      <c r="P402" s="15" t="s">
        <v>126</v>
      </c>
      <c r="Q402" s="15" t="s">
        <v>218</v>
      </c>
      <c r="R402" s="15" t="s">
        <v>219</v>
      </c>
      <c r="S402" s="15" t="s">
        <v>133</v>
      </c>
      <c r="T402" s="15" t="s">
        <v>59</v>
      </c>
      <c r="U402" s="16">
        <v>2026.0</v>
      </c>
      <c r="V402" s="16">
        <v>6.0</v>
      </c>
      <c r="W402" s="16">
        <v>1.081875271E9</v>
      </c>
      <c r="X402" s="16">
        <v>1.081893743E9</v>
      </c>
      <c r="Y402" s="17">
        <v>46182.0</v>
      </c>
      <c r="Z402" s="17">
        <v>46207.0</v>
      </c>
      <c r="AA402" s="16">
        <v>49967.32</v>
      </c>
      <c r="AB402" s="16">
        <v>49967.32</v>
      </c>
      <c r="AC402" s="16">
        <v>-1650.7</v>
      </c>
      <c r="AD402" s="16">
        <v>0.0</v>
      </c>
      <c r="AE402" s="16">
        <v>33.02</v>
      </c>
      <c r="AF402" s="16">
        <v>0.0</v>
      </c>
      <c r="AG402" s="16">
        <v>0.0</v>
      </c>
      <c r="AH402" s="16">
        <v>0.0</v>
      </c>
      <c r="AI402" s="16">
        <v>0.0</v>
      </c>
      <c r="AJ402" s="16">
        <v>49967.32</v>
      </c>
      <c r="AK402" s="16">
        <v>49967.32</v>
      </c>
      <c r="AL402" s="16">
        <v>0.0</v>
      </c>
      <c r="AM402" s="16">
        <v>242.77</v>
      </c>
      <c r="AN402" s="16">
        <v>0.0</v>
      </c>
      <c r="AO402" s="18"/>
      <c r="AP402" s="18"/>
      <c r="AQ402" s="18"/>
      <c r="AR402" s="18"/>
      <c r="AS402" s="11" t="str">
        <f>VLOOKUP(C402,'mayo-26'!B:AS,44,0)</f>
        <v/>
      </c>
      <c r="AT402" s="12" t="str">
        <f>VLOOKUP(C402,'mayo-26'!B:AT,45,0)</f>
        <v>VERIFICADOR</v>
      </c>
      <c r="AU402" s="16"/>
      <c r="AV402" s="16"/>
      <c r="AW402" s="16"/>
    </row>
    <row r="403" ht="14.25" customHeight="1">
      <c r="A403" s="15" t="s">
        <v>841</v>
      </c>
      <c r="B403" s="16">
        <v>595208.0</v>
      </c>
      <c r="C403" s="16">
        <v>498589.0</v>
      </c>
      <c r="D403" s="16">
        <v>551694.0</v>
      </c>
      <c r="E403" s="18"/>
      <c r="F403" s="18"/>
      <c r="G403" s="16">
        <v>1255066.0</v>
      </c>
      <c r="H403" s="15" t="s">
        <v>842</v>
      </c>
      <c r="I403" s="1" t="str">
        <f>VLOOKUP(C403,'mayo-26'!B:H,7,0)</f>
        <v>CLL 14AN 4A-81 TORRE 6 APTO 102</v>
      </c>
      <c r="J403" s="1" t="s">
        <v>217</v>
      </c>
      <c r="K403" s="10" t="str">
        <f>VLOOKUP(C403,'mayo-26'!B:J,9,0)</f>
        <v>CR PORTACHUELO</v>
      </c>
      <c r="L403" s="1" t="str">
        <f>VLOOKUP(C403,'mayo-26'!B:K,10,0)</f>
        <v>CR PORTACHUELO</v>
      </c>
      <c r="M403" s="15" t="s">
        <v>52</v>
      </c>
      <c r="N403" s="15" t="s">
        <v>89</v>
      </c>
      <c r="O403" s="15" t="s">
        <v>130</v>
      </c>
      <c r="P403" s="15" t="s">
        <v>126</v>
      </c>
      <c r="Q403" s="15" t="s">
        <v>218</v>
      </c>
      <c r="R403" s="15" t="s">
        <v>219</v>
      </c>
      <c r="S403" s="15" t="s">
        <v>133</v>
      </c>
      <c r="T403" s="15" t="s">
        <v>59</v>
      </c>
      <c r="U403" s="16">
        <v>2026.0</v>
      </c>
      <c r="V403" s="16">
        <v>6.0</v>
      </c>
      <c r="W403" s="16">
        <v>1.081875275E9</v>
      </c>
      <c r="X403" s="16">
        <v>1.081893747E9</v>
      </c>
      <c r="Y403" s="17">
        <v>46182.0</v>
      </c>
      <c r="Z403" s="17">
        <v>46207.0</v>
      </c>
      <c r="AA403" s="16">
        <v>49934.3</v>
      </c>
      <c r="AB403" s="16">
        <v>49934.3</v>
      </c>
      <c r="AC403" s="16">
        <v>-1650.7</v>
      </c>
      <c r="AD403" s="16">
        <v>0.0</v>
      </c>
      <c r="AE403" s="16">
        <v>0.0</v>
      </c>
      <c r="AF403" s="16">
        <v>0.0</v>
      </c>
      <c r="AG403" s="16">
        <v>0.0</v>
      </c>
      <c r="AH403" s="16">
        <v>0.0</v>
      </c>
      <c r="AI403" s="16">
        <v>0.0</v>
      </c>
      <c r="AJ403" s="16">
        <v>49934.3</v>
      </c>
      <c r="AK403" s="16">
        <v>49934.3</v>
      </c>
      <c r="AL403" s="16">
        <v>0.0</v>
      </c>
      <c r="AM403" s="16">
        <v>242.77</v>
      </c>
      <c r="AN403" s="16">
        <v>0.0</v>
      </c>
      <c r="AO403" s="18"/>
      <c r="AP403" s="18"/>
      <c r="AQ403" s="18"/>
      <c r="AR403" s="18"/>
      <c r="AS403" s="11" t="str">
        <f>VLOOKUP(C403,'mayo-26'!B:AS,44,0)</f>
        <v/>
      </c>
      <c r="AT403" s="12" t="str">
        <f>VLOOKUP(C403,'mayo-26'!B:AT,45,0)</f>
        <v>VERIFICADOR</v>
      </c>
      <c r="AU403" s="16"/>
      <c r="AV403" s="16"/>
      <c r="AW403" s="16"/>
    </row>
    <row r="404" ht="14.25" customHeight="1">
      <c r="A404" s="15" t="s">
        <v>843</v>
      </c>
      <c r="B404" s="16">
        <v>595212.0</v>
      </c>
      <c r="C404" s="16">
        <v>498593.0</v>
      </c>
      <c r="D404" s="16">
        <v>551698.0</v>
      </c>
      <c r="E404" s="18"/>
      <c r="F404" s="18"/>
      <c r="G404" s="16">
        <v>1255070.0</v>
      </c>
      <c r="H404" s="15" t="s">
        <v>844</v>
      </c>
      <c r="I404" s="1" t="str">
        <f>VLOOKUP(C404,'mayo-26'!B:H,7,0)</f>
        <v>CLL 14AN 4A-81 TORRE 6 APTO 202</v>
      </c>
      <c r="J404" s="1" t="s">
        <v>217</v>
      </c>
      <c r="K404" s="10" t="str">
        <f>VLOOKUP(C404,'mayo-26'!B:J,9,0)</f>
        <v>CR PORTACHUELO</v>
      </c>
      <c r="L404" s="1" t="str">
        <f>VLOOKUP(C404,'mayo-26'!B:K,10,0)</f>
        <v>CR PORTACHUELO</v>
      </c>
      <c r="M404" s="15" t="s">
        <v>52</v>
      </c>
      <c r="N404" s="15" t="s">
        <v>89</v>
      </c>
      <c r="O404" s="15" t="s">
        <v>130</v>
      </c>
      <c r="P404" s="15" t="s">
        <v>126</v>
      </c>
      <c r="Q404" s="15" t="s">
        <v>218</v>
      </c>
      <c r="R404" s="15" t="s">
        <v>219</v>
      </c>
      <c r="S404" s="15" t="s">
        <v>133</v>
      </c>
      <c r="T404" s="15" t="s">
        <v>59</v>
      </c>
      <c r="U404" s="16">
        <v>2026.0</v>
      </c>
      <c r="V404" s="16">
        <v>6.0</v>
      </c>
      <c r="W404" s="16">
        <v>1.081875279E9</v>
      </c>
      <c r="X404" s="16">
        <v>1.081893751E9</v>
      </c>
      <c r="Y404" s="17">
        <v>46182.0</v>
      </c>
      <c r="Z404" s="17">
        <v>46207.0</v>
      </c>
      <c r="AA404" s="16">
        <v>53994.58</v>
      </c>
      <c r="AB404" s="16">
        <v>53994.58</v>
      </c>
      <c r="AC404" s="16">
        <v>-1650.7</v>
      </c>
      <c r="AD404" s="16">
        <v>0.0</v>
      </c>
      <c r="AE404" s="16">
        <v>4060.28</v>
      </c>
      <c r="AF404" s="16">
        <v>0.0</v>
      </c>
      <c r="AG404" s="16">
        <v>0.0</v>
      </c>
      <c r="AH404" s="16">
        <v>0.0</v>
      </c>
      <c r="AI404" s="16">
        <v>0.0</v>
      </c>
      <c r="AJ404" s="16">
        <v>53994.58</v>
      </c>
      <c r="AK404" s="16">
        <v>337498.7</v>
      </c>
      <c r="AL404" s="16">
        <v>6.0</v>
      </c>
      <c r="AM404" s="16">
        <v>242.77</v>
      </c>
      <c r="AN404" s="16">
        <v>0.0</v>
      </c>
      <c r="AO404" s="18"/>
      <c r="AP404" s="18"/>
      <c r="AQ404" s="18"/>
      <c r="AR404" s="18"/>
      <c r="AS404" s="11" t="str">
        <f>VLOOKUP(C404,'mayo-26'!B:AS,44,0)</f>
        <v/>
      </c>
      <c r="AT404" s="12" t="str">
        <f>VLOOKUP(C404,'mayo-26'!B:AT,45,0)</f>
        <v>VERIFICADOR</v>
      </c>
      <c r="AU404" s="16"/>
      <c r="AV404" s="16"/>
      <c r="AW404" s="16"/>
    </row>
    <row r="405" ht="14.25" customHeight="1">
      <c r="A405" s="15" t="s">
        <v>845</v>
      </c>
      <c r="B405" s="16">
        <v>595216.0</v>
      </c>
      <c r="C405" s="16">
        <v>498597.0</v>
      </c>
      <c r="D405" s="16">
        <v>551702.0</v>
      </c>
      <c r="E405" s="18"/>
      <c r="F405" s="18"/>
      <c r="G405" s="16">
        <v>1255074.0</v>
      </c>
      <c r="H405" s="15" t="s">
        <v>846</v>
      </c>
      <c r="I405" s="1" t="str">
        <f>VLOOKUP(C405,'mayo-26'!B:H,7,0)</f>
        <v>CLL 14AN 4A-81 TORRE 6 APTO 302</v>
      </c>
      <c r="J405" s="1" t="s">
        <v>217</v>
      </c>
      <c r="K405" s="10" t="str">
        <f>VLOOKUP(C405,'mayo-26'!B:J,9,0)</f>
        <v>CR PORTACHUELO</v>
      </c>
      <c r="L405" s="1" t="str">
        <f>VLOOKUP(C405,'mayo-26'!B:K,10,0)</f>
        <v>CR PORTACHUELO</v>
      </c>
      <c r="M405" s="15" t="s">
        <v>52</v>
      </c>
      <c r="N405" s="15" t="s">
        <v>89</v>
      </c>
      <c r="O405" s="15" t="s">
        <v>130</v>
      </c>
      <c r="P405" s="15" t="s">
        <v>126</v>
      </c>
      <c r="Q405" s="15" t="s">
        <v>218</v>
      </c>
      <c r="R405" s="15" t="s">
        <v>219</v>
      </c>
      <c r="S405" s="15" t="s">
        <v>133</v>
      </c>
      <c r="T405" s="15" t="s">
        <v>59</v>
      </c>
      <c r="U405" s="16">
        <v>2026.0</v>
      </c>
      <c r="V405" s="16">
        <v>6.0</v>
      </c>
      <c r="W405" s="16">
        <v>1.081875284E9</v>
      </c>
      <c r="X405" s="16">
        <v>1.081893756E9</v>
      </c>
      <c r="Y405" s="17">
        <v>46182.0</v>
      </c>
      <c r="Z405" s="17">
        <v>46207.0</v>
      </c>
      <c r="AA405" s="16">
        <v>49934.3</v>
      </c>
      <c r="AB405" s="16">
        <v>49934.3</v>
      </c>
      <c r="AC405" s="16">
        <v>-1650.7</v>
      </c>
      <c r="AD405" s="16">
        <v>0.0</v>
      </c>
      <c r="AE405" s="16">
        <v>0.0</v>
      </c>
      <c r="AF405" s="16">
        <v>0.0</v>
      </c>
      <c r="AG405" s="16">
        <v>0.0</v>
      </c>
      <c r="AH405" s="16">
        <v>0.0</v>
      </c>
      <c r="AI405" s="16">
        <v>0.0</v>
      </c>
      <c r="AJ405" s="16">
        <v>49934.3</v>
      </c>
      <c r="AK405" s="16">
        <v>49934.3</v>
      </c>
      <c r="AL405" s="16">
        <v>0.0</v>
      </c>
      <c r="AM405" s="16">
        <v>242.77</v>
      </c>
      <c r="AN405" s="16">
        <v>0.0</v>
      </c>
      <c r="AO405" s="18"/>
      <c r="AP405" s="18"/>
      <c r="AQ405" s="18"/>
      <c r="AR405" s="18"/>
      <c r="AS405" s="11" t="str">
        <f>VLOOKUP(C405,'mayo-26'!B:AS,44,0)</f>
        <v/>
      </c>
      <c r="AT405" s="12" t="str">
        <f>VLOOKUP(C405,'mayo-26'!B:AT,45,0)</f>
        <v>VERIFICADOR</v>
      </c>
      <c r="AU405" s="16"/>
      <c r="AV405" s="16"/>
      <c r="AW405" s="16"/>
    </row>
    <row r="406" ht="14.25" customHeight="1">
      <c r="A406" s="15" t="s">
        <v>847</v>
      </c>
      <c r="B406" s="16">
        <v>595220.0</v>
      </c>
      <c r="C406" s="16">
        <v>498601.0</v>
      </c>
      <c r="D406" s="16">
        <v>551706.0</v>
      </c>
      <c r="E406" s="18"/>
      <c r="F406" s="18"/>
      <c r="G406" s="16">
        <v>1255078.0</v>
      </c>
      <c r="H406" s="15" t="s">
        <v>848</v>
      </c>
      <c r="I406" s="1" t="str">
        <f>VLOOKUP(C406,'mayo-26'!B:H,7,0)</f>
        <v>CLL 14AN 4A-81 TORRE 6 APTO 402</v>
      </c>
      <c r="J406" s="1" t="s">
        <v>217</v>
      </c>
      <c r="K406" s="10" t="str">
        <f>VLOOKUP(C406,'mayo-26'!B:J,9,0)</f>
        <v>CR PORTACHUELO</v>
      </c>
      <c r="L406" s="1" t="str">
        <f>VLOOKUP(C406,'mayo-26'!B:K,10,0)</f>
        <v>CR PORTACHUELO</v>
      </c>
      <c r="M406" s="15" t="s">
        <v>52</v>
      </c>
      <c r="N406" s="15" t="s">
        <v>89</v>
      </c>
      <c r="O406" s="15" t="s">
        <v>130</v>
      </c>
      <c r="P406" s="15" t="s">
        <v>126</v>
      </c>
      <c r="Q406" s="15" t="s">
        <v>218</v>
      </c>
      <c r="R406" s="15" t="s">
        <v>219</v>
      </c>
      <c r="S406" s="15" t="s">
        <v>133</v>
      </c>
      <c r="T406" s="15" t="s">
        <v>59</v>
      </c>
      <c r="U406" s="16">
        <v>2026.0</v>
      </c>
      <c r="V406" s="16">
        <v>6.0</v>
      </c>
      <c r="W406" s="16">
        <v>1.081875288E9</v>
      </c>
      <c r="X406" s="16">
        <v>1.08189376E9</v>
      </c>
      <c r="Y406" s="17">
        <v>46182.0</v>
      </c>
      <c r="Z406" s="17">
        <v>46207.0</v>
      </c>
      <c r="AA406" s="16">
        <v>53994.58</v>
      </c>
      <c r="AB406" s="16">
        <v>53994.58</v>
      </c>
      <c r="AC406" s="16">
        <v>-1650.7</v>
      </c>
      <c r="AD406" s="16">
        <v>0.0</v>
      </c>
      <c r="AE406" s="16">
        <v>4060.28</v>
      </c>
      <c r="AF406" s="16">
        <v>0.0</v>
      </c>
      <c r="AG406" s="16">
        <v>0.0</v>
      </c>
      <c r="AH406" s="16">
        <v>0.0</v>
      </c>
      <c r="AI406" s="16">
        <v>0.0</v>
      </c>
      <c r="AJ406" s="16">
        <v>53994.58</v>
      </c>
      <c r="AK406" s="16">
        <v>337498.7</v>
      </c>
      <c r="AL406" s="16">
        <v>6.0</v>
      </c>
      <c r="AM406" s="16">
        <v>242.77</v>
      </c>
      <c r="AN406" s="16">
        <v>0.0</v>
      </c>
      <c r="AO406" s="18"/>
      <c r="AP406" s="18"/>
      <c r="AQ406" s="18"/>
      <c r="AR406" s="18"/>
      <c r="AS406" s="11" t="str">
        <f>VLOOKUP(C406,'mayo-26'!B:AS,44,0)</f>
        <v/>
      </c>
      <c r="AT406" s="12" t="str">
        <f>VLOOKUP(C406,'mayo-26'!B:AT,45,0)</f>
        <v>VERIFICADOR</v>
      </c>
      <c r="AU406" s="16"/>
      <c r="AV406" s="16"/>
      <c r="AW406" s="16"/>
    </row>
    <row r="407" ht="14.25" customHeight="1">
      <c r="A407" s="15" t="s">
        <v>849</v>
      </c>
      <c r="B407" s="16">
        <v>595224.0</v>
      </c>
      <c r="C407" s="16">
        <v>498605.0</v>
      </c>
      <c r="D407" s="16">
        <v>551710.0</v>
      </c>
      <c r="E407" s="18"/>
      <c r="F407" s="18"/>
      <c r="G407" s="16">
        <v>1255082.0</v>
      </c>
      <c r="H407" s="15" t="s">
        <v>850</v>
      </c>
      <c r="I407" s="1" t="str">
        <f>VLOOKUP(C407,'mayo-26'!B:H,7,0)</f>
        <v>CLL 14AN 4A-81 TORRE 7 APTO 102</v>
      </c>
      <c r="J407" s="1" t="s">
        <v>217</v>
      </c>
      <c r="K407" s="10" t="str">
        <f>VLOOKUP(C407,'mayo-26'!B:J,9,0)</f>
        <v>CR PORTACHUELO</v>
      </c>
      <c r="L407" s="1" t="str">
        <f>VLOOKUP(C407,'mayo-26'!B:K,10,0)</f>
        <v>CR PORTACHUELO</v>
      </c>
      <c r="M407" s="15" t="s">
        <v>52</v>
      </c>
      <c r="N407" s="15" t="s">
        <v>89</v>
      </c>
      <c r="O407" s="15" t="s">
        <v>130</v>
      </c>
      <c r="P407" s="15" t="s">
        <v>126</v>
      </c>
      <c r="Q407" s="15" t="s">
        <v>218</v>
      </c>
      <c r="R407" s="15" t="s">
        <v>219</v>
      </c>
      <c r="S407" s="15" t="s">
        <v>133</v>
      </c>
      <c r="T407" s="15" t="s">
        <v>59</v>
      </c>
      <c r="U407" s="16">
        <v>2026.0</v>
      </c>
      <c r="V407" s="16">
        <v>6.0</v>
      </c>
      <c r="W407" s="16">
        <v>1.081875293E9</v>
      </c>
      <c r="X407" s="16">
        <v>1.081893765E9</v>
      </c>
      <c r="Y407" s="17">
        <v>46182.0</v>
      </c>
      <c r="Z407" s="17">
        <v>46207.0</v>
      </c>
      <c r="AA407" s="16">
        <v>53994.58</v>
      </c>
      <c r="AB407" s="16">
        <v>53994.58</v>
      </c>
      <c r="AC407" s="16">
        <v>-1650.7</v>
      </c>
      <c r="AD407" s="16">
        <v>0.0</v>
      </c>
      <c r="AE407" s="16">
        <v>4060.28</v>
      </c>
      <c r="AF407" s="16">
        <v>0.0</v>
      </c>
      <c r="AG407" s="16">
        <v>0.0</v>
      </c>
      <c r="AH407" s="16">
        <v>0.0</v>
      </c>
      <c r="AI407" s="16">
        <v>0.0</v>
      </c>
      <c r="AJ407" s="16">
        <v>53994.58</v>
      </c>
      <c r="AK407" s="16">
        <v>337498.7</v>
      </c>
      <c r="AL407" s="16">
        <v>6.0</v>
      </c>
      <c r="AM407" s="16">
        <v>242.77</v>
      </c>
      <c r="AN407" s="16">
        <v>0.0</v>
      </c>
      <c r="AO407" s="18"/>
      <c r="AP407" s="18"/>
      <c r="AQ407" s="18"/>
      <c r="AR407" s="18"/>
      <c r="AS407" s="11" t="str">
        <f>VLOOKUP(C407,'mayo-26'!B:AS,44,0)</f>
        <v/>
      </c>
      <c r="AT407" s="12" t="str">
        <f>VLOOKUP(C407,'mayo-26'!B:AT,45,0)</f>
        <v>VERIFICADOR</v>
      </c>
      <c r="AU407" s="16"/>
      <c r="AV407" s="16"/>
      <c r="AW407" s="16"/>
    </row>
    <row r="408" ht="14.25" customHeight="1">
      <c r="A408" s="15" t="s">
        <v>851</v>
      </c>
      <c r="B408" s="16">
        <v>595228.0</v>
      </c>
      <c r="C408" s="16">
        <v>498609.0</v>
      </c>
      <c r="D408" s="16">
        <v>551714.0</v>
      </c>
      <c r="E408" s="18"/>
      <c r="F408" s="18"/>
      <c r="G408" s="16">
        <v>1255086.0</v>
      </c>
      <c r="H408" s="15" t="s">
        <v>852</v>
      </c>
      <c r="I408" s="1" t="str">
        <f>VLOOKUP(C408,'mayo-26'!B:H,7,0)</f>
        <v>CLL 14AN 4A-81 TORRE 7 APTO 202</v>
      </c>
      <c r="J408" s="1" t="s">
        <v>217</v>
      </c>
      <c r="K408" s="10" t="str">
        <f>VLOOKUP(C408,'mayo-26'!B:J,9,0)</f>
        <v>CR PORTACHUELO</v>
      </c>
      <c r="L408" s="1" t="str">
        <f>VLOOKUP(C408,'mayo-26'!B:K,10,0)</f>
        <v>CR PORTACHUELO</v>
      </c>
      <c r="M408" s="15" t="s">
        <v>52</v>
      </c>
      <c r="N408" s="15" t="s">
        <v>89</v>
      </c>
      <c r="O408" s="15" t="s">
        <v>130</v>
      </c>
      <c r="P408" s="15" t="s">
        <v>126</v>
      </c>
      <c r="Q408" s="15" t="s">
        <v>218</v>
      </c>
      <c r="R408" s="15" t="s">
        <v>219</v>
      </c>
      <c r="S408" s="15" t="s">
        <v>133</v>
      </c>
      <c r="T408" s="15" t="s">
        <v>59</v>
      </c>
      <c r="U408" s="16">
        <v>2026.0</v>
      </c>
      <c r="V408" s="16">
        <v>6.0</v>
      </c>
      <c r="W408" s="16">
        <v>1.081875297E9</v>
      </c>
      <c r="X408" s="16">
        <v>1.081893769E9</v>
      </c>
      <c r="Y408" s="17">
        <v>46182.0</v>
      </c>
      <c r="Z408" s="17">
        <v>46207.0</v>
      </c>
      <c r="AA408" s="16">
        <v>53400.58</v>
      </c>
      <c r="AB408" s="16">
        <v>53400.58</v>
      </c>
      <c r="AC408" s="16">
        <v>-1650.7</v>
      </c>
      <c r="AD408" s="16">
        <v>0.0</v>
      </c>
      <c r="AE408" s="16">
        <v>3466.28</v>
      </c>
      <c r="AF408" s="16">
        <v>0.0</v>
      </c>
      <c r="AG408" s="16">
        <v>0.0</v>
      </c>
      <c r="AH408" s="16">
        <v>0.0</v>
      </c>
      <c r="AI408" s="16">
        <v>0.0</v>
      </c>
      <c r="AJ408" s="16">
        <v>53400.58</v>
      </c>
      <c r="AK408" s="16">
        <v>246904.7</v>
      </c>
      <c r="AL408" s="16">
        <v>4.0</v>
      </c>
      <c r="AM408" s="16">
        <v>242.77</v>
      </c>
      <c r="AN408" s="16">
        <v>0.0</v>
      </c>
      <c r="AO408" s="18"/>
      <c r="AP408" s="18"/>
      <c r="AQ408" s="18"/>
      <c r="AR408" s="18"/>
      <c r="AS408" s="11" t="str">
        <f>VLOOKUP(C408,'mayo-26'!B:AS,44,0)</f>
        <v/>
      </c>
      <c r="AT408" s="12" t="str">
        <f>VLOOKUP(C408,'mayo-26'!B:AT,45,0)</f>
        <v>VERIFICADOR</v>
      </c>
      <c r="AU408" s="16"/>
      <c r="AV408" s="16"/>
      <c r="AW408" s="16"/>
    </row>
    <row r="409" ht="14.25" customHeight="1">
      <c r="A409" s="15" t="s">
        <v>853</v>
      </c>
      <c r="B409" s="16">
        <v>595232.0</v>
      </c>
      <c r="C409" s="16">
        <v>498613.0</v>
      </c>
      <c r="D409" s="16">
        <v>551718.0</v>
      </c>
      <c r="E409" s="18"/>
      <c r="F409" s="18"/>
      <c r="G409" s="16">
        <v>1255090.0</v>
      </c>
      <c r="H409" s="15" t="s">
        <v>854</v>
      </c>
      <c r="I409" s="1" t="str">
        <f>VLOOKUP(C409,'mayo-26'!B:H,7,0)</f>
        <v>CLL 14AN 4A-81 TORRE 7 APTO 302</v>
      </c>
      <c r="J409" s="1" t="s">
        <v>217</v>
      </c>
      <c r="K409" s="10" t="str">
        <f>VLOOKUP(C409,'mayo-26'!B:J,9,0)</f>
        <v>CR PORTACHUELO</v>
      </c>
      <c r="L409" s="1" t="str">
        <f>VLOOKUP(C409,'mayo-26'!B:K,10,0)</f>
        <v>CR PORTACHUELO</v>
      </c>
      <c r="M409" s="15" t="s">
        <v>52</v>
      </c>
      <c r="N409" s="15" t="s">
        <v>89</v>
      </c>
      <c r="O409" s="15" t="s">
        <v>130</v>
      </c>
      <c r="P409" s="15" t="s">
        <v>126</v>
      </c>
      <c r="Q409" s="15" t="s">
        <v>218</v>
      </c>
      <c r="R409" s="15" t="s">
        <v>219</v>
      </c>
      <c r="S409" s="15" t="s">
        <v>133</v>
      </c>
      <c r="T409" s="15" t="s">
        <v>59</v>
      </c>
      <c r="U409" s="16">
        <v>2026.0</v>
      </c>
      <c r="V409" s="16">
        <v>6.0</v>
      </c>
      <c r="W409" s="16">
        <v>1.0818753E9</v>
      </c>
      <c r="X409" s="16">
        <v>1.081893772E9</v>
      </c>
      <c r="Y409" s="17">
        <v>46182.0</v>
      </c>
      <c r="Z409" s="17">
        <v>46207.0</v>
      </c>
      <c r="AA409" s="16">
        <v>49934.3</v>
      </c>
      <c r="AB409" s="16">
        <v>49934.3</v>
      </c>
      <c r="AC409" s="16">
        <v>-1650.7</v>
      </c>
      <c r="AD409" s="16">
        <v>0.0</v>
      </c>
      <c r="AE409" s="16">
        <v>0.0</v>
      </c>
      <c r="AF409" s="16">
        <v>0.0</v>
      </c>
      <c r="AG409" s="16">
        <v>0.0</v>
      </c>
      <c r="AH409" s="16">
        <v>0.0</v>
      </c>
      <c r="AI409" s="16">
        <v>0.0</v>
      </c>
      <c r="AJ409" s="16">
        <v>49934.3</v>
      </c>
      <c r="AK409" s="16">
        <v>49935.06</v>
      </c>
      <c r="AL409" s="16">
        <v>1.0</v>
      </c>
      <c r="AM409" s="16">
        <v>242.77</v>
      </c>
      <c r="AN409" s="16">
        <v>0.0</v>
      </c>
      <c r="AO409" s="18"/>
      <c r="AP409" s="18"/>
      <c r="AQ409" s="18"/>
      <c r="AR409" s="18"/>
      <c r="AS409" s="11" t="str">
        <f>VLOOKUP(C409,'mayo-26'!B:AS,44,0)</f>
        <v/>
      </c>
      <c r="AT409" s="12" t="str">
        <f>VLOOKUP(C409,'mayo-26'!B:AT,45,0)</f>
        <v>VERIFICADOR</v>
      </c>
      <c r="AU409" s="16"/>
      <c r="AV409" s="16"/>
      <c r="AW409" s="16"/>
    </row>
    <row r="410" ht="14.25" customHeight="1">
      <c r="A410" s="15" t="s">
        <v>855</v>
      </c>
      <c r="B410" s="16">
        <v>595236.0</v>
      </c>
      <c r="C410" s="16">
        <v>498617.0</v>
      </c>
      <c r="D410" s="16">
        <v>551722.0</v>
      </c>
      <c r="E410" s="18"/>
      <c r="F410" s="18"/>
      <c r="G410" s="16">
        <v>1255094.0</v>
      </c>
      <c r="H410" s="15" t="s">
        <v>856</v>
      </c>
      <c r="I410" s="1" t="str">
        <f>VLOOKUP(C410,'mayo-26'!B:H,7,0)</f>
        <v>CLL 14AN 4A-81 TORRE 7 APTO 402</v>
      </c>
      <c r="J410" s="1" t="s">
        <v>217</v>
      </c>
      <c r="K410" s="10" t="str">
        <f>VLOOKUP(C410,'mayo-26'!B:J,9,0)</f>
        <v>CR PORTACHUELO</v>
      </c>
      <c r="L410" s="1" t="str">
        <f>VLOOKUP(C410,'mayo-26'!B:K,10,0)</f>
        <v>CR PORTACHUELO</v>
      </c>
      <c r="M410" s="15" t="s">
        <v>52</v>
      </c>
      <c r="N410" s="15" t="s">
        <v>89</v>
      </c>
      <c r="O410" s="15" t="s">
        <v>130</v>
      </c>
      <c r="P410" s="15" t="s">
        <v>126</v>
      </c>
      <c r="Q410" s="15" t="s">
        <v>218</v>
      </c>
      <c r="R410" s="15" t="s">
        <v>219</v>
      </c>
      <c r="S410" s="15" t="s">
        <v>133</v>
      </c>
      <c r="T410" s="15" t="s">
        <v>59</v>
      </c>
      <c r="U410" s="16">
        <v>2026.0</v>
      </c>
      <c r="V410" s="16">
        <v>6.0</v>
      </c>
      <c r="W410" s="16">
        <v>1.081875303E9</v>
      </c>
      <c r="X410" s="16">
        <v>1.081893775E9</v>
      </c>
      <c r="Y410" s="17">
        <v>46182.0</v>
      </c>
      <c r="Z410" s="17">
        <v>46207.0</v>
      </c>
      <c r="AA410" s="16">
        <v>53994.58</v>
      </c>
      <c r="AB410" s="16">
        <v>53994.58</v>
      </c>
      <c r="AC410" s="16">
        <v>-1650.7</v>
      </c>
      <c r="AD410" s="16">
        <v>0.0</v>
      </c>
      <c r="AE410" s="16">
        <v>4060.28</v>
      </c>
      <c r="AF410" s="16">
        <v>0.0</v>
      </c>
      <c r="AG410" s="16">
        <v>0.0</v>
      </c>
      <c r="AH410" s="16">
        <v>0.0</v>
      </c>
      <c r="AI410" s="16">
        <v>0.0</v>
      </c>
      <c r="AJ410" s="16">
        <v>53994.58</v>
      </c>
      <c r="AK410" s="16">
        <v>337498.7</v>
      </c>
      <c r="AL410" s="16">
        <v>6.0</v>
      </c>
      <c r="AM410" s="16">
        <v>242.77</v>
      </c>
      <c r="AN410" s="16">
        <v>0.0</v>
      </c>
      <c r="AO410" s="18"/>
      <c r="AP410" s="18"/>
      <c r="AQ410" s="18"/>
      <c r="AR410" s="18"/>
      <c r="AS410" s="11" t="str">
        <f>VLOOKUP(C410,'mayo-26'!B:AS,44,0)</f>
        <v/>
      </c>
      <c r="AT410" s="12" t="str">
        <f>VLOOKUP(C410,'mayo-26'!B:AT,45,0)</f>
        <v>VERIFICADOR</v>
      </c>
      <c r="AU410" s="16"/>
      <c r="AV410" s="16"/>
      <c r="AW410" s="16"/>
    </row>
    <row r="411" ht="14.25" customHeight="1">
      <c r="A411" s="20" t="s">
        <v>857</v>
      </c>
      <c r="B411" s="20">
        <v>108.0</v>
      </c>
      <c r="C411" s="20">
        <v>107.0</v>
      </c>
      <c r="D411" s="21">
        <v>107.0</v>
      </c>
      <c r="E411" s="20">
        <v>9.0048888E7</v>
      </c>
      <c r="F411" s="20">
        <v>9.0048888E7</v>
      </c>
      <c r="G411" s="20" t="s">
        <v>858</v>
      </c>
      <c r="H411" s="20" t="s">
        <v>859</v>
      </c>
      <c r="I411" s="1" t="str">
        <f>VLOOKUP(C411,'mayo-26'!B:H,7,0)</f>
        <v>CLL 8 5-47 CENTRO</v>
      </c>
      <c r="J411" s="1" t="s">
        <v>860</v>
      </c>
      <c r="K411" s="10" t="str">
        <f>VLOOKUP(C411,'mayo-26'!B:J,9,0)</f>
        <v>NO</v>
      </c>
      <c r="L411" s="1" t="str">
        <f>VLOOKUP(C411,'mayo-26'!B:K,10,0)</f>
        <v>NO</v>
      </c>
      <c r="M411" s="20" t="s">
        <v>52</v>
      </c>
      <c r="N411" s="20" t="s">
        <v>89</v>
      </c>
      <c r="O411" s="20" t="s">
        <v>861</v>
      </c>
      <c r="P411" s="20" t="s">
        <v>126</v>
      </c>
      <c r="Q411" s="20" t="s">
        <v>131</v>
      </c>
      <c r="R411" s="20" t="s">
        <v>132</v>
      </c>
      <c r="S411" s="20" t="s">
        <v>133</v>
      </c>
      <c r="T411" s="20" t="s">
        <v>59</v>
      </c>
      <c r="U411" s="20">
        <v>2026.0</v>
      </c>
      <c r="V411" s="20">
        <v>6.0</v>
      </c>
      <c r="W411" s="20">
        <v>1.081875313E9</v>
      </c>
      <c r="X411" s="20">
        <v>1.081893786E9</v>
      </c>
      <c r="Y411" s="22">
        <v>46182.0</v>
      </c>
      <c r="Z411" s="22">
        <v>46207.0</v>
      </c>
      <c r="AA411" s="20">
        <v>113128.5</v>
      </c>
      <c r="AB411" s="20">
        <v>113128.5</v>
      </c>
      <c r="AC411" s="20">
        <v>37709.5</v>
      </c>
      <c r="AD411" s="20">
        <v>0.0</v>
      </c>
      <c r="AE411" s="20">
        <v>0.0</v>
      </c>
      <c r="AF411" s="20">
        <v>0.0</v>
      </c>
      <c r="AG411" s="20">
        <v>0.0</v>
      </c>
      <c r="AH411" s="20">
        <v>0.0</v>
      </c>
      <c r="AI411" s="20">
        <v>0.0</v>
      </c>
      <c r="AJ411" s="20">
        <v>113128.5</v>
      </c>
      <c r="AK411" s="20">
        <v>113128.5</v>
      </c>
      <c r="AL411" s="20">
        <v>0.0</v>
      </c>
      <c r="AM411" s="20">
        <v>376.2</v>
      </c>
      <c r="AN411" s="20">
        <v>0.0</v>
      </c>
      <c r="AS411" s="11" t="str">
        <f>VLOOKUP(C411,'mayo-26'!B:AS,44,0)</f>
        <v>GRUPOEMPRESARIALELSURTIDOR@GMAIL.COM</v>
      </c>
      <c r="AT411" s="12" t="str">
        <f>VLOOKUP(C411,'mayo-26'!B:AT,45,0)</f>
        <v>CORREO ELECTRONICO CERTIFICADO 472</v>
      </c>
    </row>
    <row r="412" ht="14.25" customHeight="1">
      <c r="A412" s="20" t="s">
        <v>862</v>
      </c>
      <c r="B412" s="20">
        <v>297.0</v>
      </c>
      <c r="C412" s="20">
        <v>111.0</v>
      </c>
      <c r="D412" s="21">
        <v>111.0</v>
      </c>
      <c r="E412" s="20">
        <v>9.0200778E7</v>
      </c>
      <c r="F412" s="20">
        <v>9.0200778E7</v>
      </c>
      <c r="G412" s="20" t="s">
        <v>135</v>
      </c>
      <c r="H412" s="20" t="s">
        <v>136</v>
      </c>
      <c r="I412" s="1" t="str">
        <f>VLOOKUP(C412,'mayo-26'!B:H,7,0)</f>
        <v>AVE 4 17-89 - 0239431</v>
      </c>
      <c r="J412" s="1" t="s">
        <v>863</v>
      </c>
      <c r="K412" s="10" t="str">
        <f>VLOOKUP(C412,'mayo-26'!B:J,9,0)</f>
        <v>NO</v>
      </c>
      <c r="L412" s="1" t="str">
        <f>VLOOKUP(C412,'mayo-26'!B:K,10,0)</f>
        <v>IMSALUD</v>
      </c>
      <c r="M412" s="20" t="s">
        <v>52</v>
      </c>
      <c r="N412" s="20" t="s">
        <v>53</v>
      </c>
      <c r="O412" s="20" t="s">
        <v>861</v>
      </c>
      <c r="P412" s="20" t="s">
        <v>126</v>
      </c>
      <c r="Q412" s="20" t="s">
        <v>131</v>
      </c>
      <c r="R412" s="20" t="s">
        <v>151</v>
      </c>
      <c r="S412" s="20" t="s">
        <v>133</v>
      </c>
      <c r="T412" s="20" t="s">
        <v>59</v>
      </c>
      <c r="U412" s="20">
        <v>2026.0</v>
      </c>
      <c r="V412" s="20">
        <v>6.0</v>
      </c>
      <c r="W412" s="20">
        <v>1.081875315E9</v>
      </c>
      <c r="X412" s="20">
        <v>1.081893787E9</v>
      </c>
      <c r="Y412" s="22">
        <v>46182.0</v>
      </c>
      <c r="Z412" s="22">
        <v>46207.0</v>
      </c>
      <c r="AA412" s="20">
        <v>75419.0</v>
      </c>
      <c r="AB412" s="20">
        <v>75419.0</v>
      </c>
      <c r="AC412" s="20">
        <v>0.0</v>
      </c>
      <c r="AD412" s="20">
        <v>0.0</v>
      </c>
      <c r="AE412" s="20">
        <v>0.0</v>
      </c>
      <c r="AF412" s="20">
        <v>0.0</v>
      </c>
      <c r="AG412" s="20">
        <v>0.0</v>
      </c>
      <c r="AH412" s="20">
        <v>0.0</v>
      </c>
      <c r="AI412" s="20">
        <v>0.0</v>
      </c>
      <c r="AJ412" s="20">
        <v>75419.0</v>
      </c>
      <c r="AK412" s="20">
        <v>75419.0</v>
      </c>
      <c r="AL412" s="20">
        <v>0.0</v>
      </c>
      <c r="AM412" s="20">
        <v>250.8</v>
      </c>
      <c r="AN412" s="20">
        <v>0.0</v>
      </c>
      <c r="AS412" s="11" t="str">
        <f>VLOOKUP(C412,'mayo-26'!B:AS,44,0)</f>
        <v>SUBFINANCIERA@IMSALUD.GOV.CO</v>
      </c>
      <c r="AT412" s="12" t="str">
        <f>VLOOKUP(C412,'mayo-26'!B:AT,45,0)</f>
        <v>CORREO ELECTRONICO CERTIFICADO 472</v>
      </c>
    </row>
    <row r="413" ht="14.25" customHeight="1">
      <c r="A413" s="20" t="s">
        <v>864</v>
      </c>
      <c r="B413" s="20">
        <v>285191.0</v>
      </c>
      <c r="C413" s="20">
        <v>113635.0</v>
      </c>
      <c r="D413" s="21">
        <v>113635.0</v>
      </c>
      <c r="E413" s="20">
        <v>579003.0</v>
      </c>
      <c r="F413" s="20">
        <v>579003.0</v>
      </c>
      <c r="G413" s="20">
        <v>9.00276962E8</v>
      </c>
      <c r="H413" s="20" t="s">
        <v>128</v>
      </c>
      <c r="I413" s="1" t="str">
        <f>VLOOKUP(C413,'mayo-26'!B:H,7,0)</f>
        <v>KDX 73-2 1116</v>
      </c>
      <c r="J413" s="1" t="s">
        <v>865</v>
      </c>
      <c r="K413" s="10" t="str">
        <f>VLOOKUP(C413,'mayo-26'!B:J,9,0)</f>
        <v>NO</v>
      </c>
      <c r="L413" s="1" t="str">
        <f>VLOOKUP(C413,'mayo-26'!B:K,10,0)</f>
        <v>D1</v>
      </c>
      <c r="M413" s="20" t="s">
        <v>52</v>
      </c>
      <c r="N413" s="20" t="s">
        <v>89</v>
      </c>
      <c r="O413" s="20" t="s">
        <v>861</v>
      </c>
      <c r="P413" s="20" t="s">
        <v>126</v>
      </c>
      <c r="Q413" s="20" t="s">
        <v>131</v>
      </c>
      <c r="R413" s="20" t="s">
        <v>132</v>
      </c>
      <c r="S413" s="20" t="s">
        <v>133</v>
      </c>
      <c r="T413" s="20" t="s">
        <v>59</v>
      </c>
      <c r="U413" s="20">
        <v>2026.0</v>
      </c>
      <c r="V413" s="20">
        <v>6.0</v>
      </c>
      <c r="W413" s="20">
        <v>1.081875691E9</v>
      </c>
      <c r="X413" s="20">
        <v>1.081894163E9</v>
      </c>
      <c r="Y413" s="22">
        <v>46182.0</v>
      </c>
      <c r="Z413" s="22">
        <v>46207.0</v>
      </c>
      <c r="AA413" s="20">
        <v>113128.5</v>
      </c>
      <c r="AB413" s="20">
        <v>113128.5</v>
      </c>
      <c r="AC413" s="20">
        <v>37709.5</v>
      </c>
      <c r="AD413" s="20">
        <v>0.0</v>
      </c>
      <c r="AE413" s="20">
        <v>0.0</v>
      </c>
      <c r="AF413" s="20">
        <v>0.0</v>
      </c>
      <c r="AG413" s="20">
        <v>0.0</v>
      </c>
      <c r="AH413" s="20">
        <v>0.0</v>
      </c>
      <c r="AI413" s="20">
        <v>0.0</v>
      </c>
      <c r="AJ413" s="20">
        <v>113128.5</v>
      </c>
      <c r="AK413" s="20">
        <v>113128.5</v>
      </c>
      <c r="AL413" s="20">
        <v>0.0</v>
      </c>
      <c r="AM413" s="20">
        <v>376.2</v>
      </c>
      <c r="AN413" s="20">
        <v>0.0</v>
      </c>
      <c r="AS413" s="11" t="str">
        <f>VLOOKUP(C413,'mayo-26'!B:AS,44,0)</f>
        <v>ALBA.CELIS@D1.COM.CO;CARMEN.DAVILA@D1.COM.CO</v>
      </c>
      <c r="AT413" s="12" t="str">
        <f>VLOOKUP(C413,'mayo-26'!B:AT,45,0)</f>
        <v>CORREO ELECTRONICO CERTIFICADO 472</v>
      </c>
    </row>
    <row r="414" ht="14.25" customHeight="1">
      <c r="A414" s="20" t="s">
        <v>866</v>
      </c>
      <c r="B414" s="20">
        <v>116.0</v>
      </c>
      <c r="C414" s="20">
        <v>115.0</v>
      </c>
      <c r="D414" s="21">
        <v>115.0</v>
      </c>
      <c r="E414" s="20">
        <v>9.0202082E7</v>
      </c>
      <c r="F414" s="20">
        <v>9.0202082E7</v>
      </c>
      <c r="G414" s="20">
        <v>8.00103927E8</v>
      </c>
      <c r="H414" s="20" t="s">
        <v>867</v>
      </c>
      <c r="I414" s="1" t="str">
        <f>VLOOKUP(C414,'mayo-26'!B:H,7,0)</f>
        <v>CLL 5 AVE 6 ESQUINA INORSA</v>
      </c>
      <c r="J414" s="1" t="s">
        <v>863</v>
      </c>
      <c r="K414" s="10" t="str">
        <f>VLOOKUP(C414,'mayo-26'!B:J,9,0)</f>
        <v>NO</v>
      </c>
      <c r="L414" s="1" t="str">
        <f>VLOOKUP(C414,'mayo-26'!B:K,10,0)</f>
        <v>GOBERNACION</v>
      </c>
      <c r="M414" s="20" t="s">
        <v>52</v>
      </c>
      <c r="N414" s="20" t="s">
        <v>89</v>
      </c>
      <c r="O414" s="20" t="s">
        <v>861</v>
      </c>
      <c r="P414" s="20" t="s">
        <v>126</v>
      </c>
      <c r="Q414" s="20" t="s">
        <v>131</v>
      </c>
      <c r="R414" s="20" t="s">
        <v>151</v>
      </c>
      <c r="S414" s="20" t="s">
        <v>133</v>
      </c>
      <c r="T414" s="20" t="s">
        <v>59</v>
      </c>
      <c r="U414" s="20">
        <v>2026.0</v>
      </c>
      <c r="V414" s="20">
        <v>6.0</v>
      </c>
      <c r="W414" s="20">
        <v>1.081875316E9</v>
      </c>
      <c r="X414" s="20">
        <v>1.081893788E9</v>
      </c>
      <c r="Y414" s="22">
        <v>46182.0</v>
      </c>
      <c r="Z414" s="22">
        <v>46207.0</v>
      </c>
      <c r="AA414" s="20">
        <v>75419.0</v>
      </c>
      <c r="AB414" s="20">
        <v>75419.0</v>
      </c>
      <c r="AC414" s="20">
        <v>0.0</v>
      </c>
      <c r="AD414" s="20">
        <v>0.0</v>
      </c>
      <c r="AE414" s="20">
        <v>0.0</v>
      </c>
      <c r="AF414" s="20">
        <v>0.0</v>
      </c>
      <c r="AG414" s="20">
        <v>0.0</v>
      </c>
      <c r="AH414" s="20">
        <v>0.0</v>
      </c>
      <c r="AI414" s="20">
        <v>0.0</v>
      </c>
      <c r="AJ414" s="20">
        <v>75419.0</v>
      </c>
      <c r="AK414" s="20">
        <v>75419.0</v>
      </c>
      <c r="AL414" s="20">
        <v>0.0</v>
      </c>
      <c r="AM414" s="20">
        <v>250.8</v>
      </c>
      <c r="AN414" s="20">
        <v>0.0</v>
      </c>
      <c r="AS414" s="11" t="str">
        <f>VLOOKUP(C414,'mayo-26'!B:AS,44,0)</f>
        <v>SERVICIOSADMINISTRATIVOS@NORTEDESANTANDER.GOV.CO</v>
      </c>
      <c r="AT414" s="12" t="str">
        <f>VLOOKUP(C414,'mayo-26'!B:AT,45,0)</f>
        <v>CORREO ELECTRONICO CERTIFICADO 472</v>
      </c>
    </row>
    <row r="415" ht="14.25" customHeight="1">
      <c r="A415" s="20" t="s">
        <v>868</v>
      </c>
      <c r="B415" s="20">
        <v>455370.0</v>
      </c>
      <c r="C415" s="20">
        <v>119.0</v>
      </c>
      <c r="D415" s="21">
        <v>119.0</v>
      </c>
      <c r="E415" s="20">
        <v>9.0205222E7</v>
      </c>
      <c r="F415" s="20">
        <v>9.0205222E7</v>
      </c>
      <c r="G415" s="20" t="s">
        <v>148</v>
      </c>
      <c r="H415" s="20" t="s">
        <v>149</v>
      </c>
      <c r="I415" s="1" t="str">
        <f>VLOOKUP(C415,'mayo-26'!B:H,7,0)</f>
        <v>CALLE 10 NO 0E-16 EDF CENTRO EMPRESARIAL BLOQUE B HOTEL TONCHALA</v>
      </c>
      <c r="J415" s="1" t="s">
        <v>869</v>
      </c>
      <c r="K415" s="10" t="str">
        <f>VLOOKUP(C415,'mayo-26'!B:J,9,0)</f>
        <v>NO</v>
      </c>
      <c r="L415" s="1" t="str">
        <f>VLOOKUP(C415,'mayo-26'!B:K,10,0)</f>
        <v>COLEGIOS ZONA SUR</v>
      </c>
      <c r="M415" s="20" t="s">
        <v>52</v>
      </c>
      <c r="N415" s="20" t="s">
        <v>53</v>
      </c>
      <c r="O415" s="20" t="s">
        <v>861</v>
      </c>
      <c r="P415" s="20" t="s">
        <v>126</v>
      </c>
      <c r="Q415" s="20" t="s">
        <v>56</v>
      </c>
      <c r="R415" s="20" t="s">
        <v>57</v>
      </c>
      <c r="S415" s="20" t="s">
        <v>143</v>
      </c>
      <c r="T415" s="20" t="s">
        <v>59</v>
      </c>
      <c r="U415" s="20">
        <v>2026.0</v>
      </c>
      <c r="V415" s="20">
        <v>6.0</v>
      </c>
      <c r="W415" s="20">
        <v>1.081875317E9</v>
      </c>
      <c r="X415" s="20">
        <v>1.081893789E9</v>
      </c>
      <c r="Y415" s="22">
        <v>46182.0</v>
      </c>
      <c r="Z415" s="22">
        <v>46207.0</v>
      </c>
      <c r="AA415" s="20">
        <v>605042.36</v>
      </c>
      <c r="AB415" s="20">
        <v>605042.36</v>
      </c>
      <c r="AC415" s="20">
        <v>0.0</v>
      </c>
      <c r="AD415" s="20">
        <v>2990.0</v>
      </c>
      <c r="AE415" s="20">
        <v>0.0</v>
      </c>
      <c r="AF415" s="20">
        <v>0.0</v>
      </c>
      <c r="AG415" s="20">
        <v>0.0</v>
      </c>
      <c r="AH415" s="20">
        <v>0.0</v>
      </c>
      <c r="AI415" s="20">
        <v>0.0</v>
      </c>
      <c r="AJ415" s="20">
        <v>605042.36</v>
      </c>
      <c r="AK415" s="20">
        <v>1802725.42</v>
      </c>
      <c r="AL415" s="20">
        <v>3.0</v>
      </c>
      <c r="AM415" s="20">
        <v>250.8</v>
      </c>
      <c r="AN415" s="20">
        <v>0.0</v>
      </c>
      <c r="AS415" s="11" t="str">
        <f>VLOOKUP(C415,'mayo-26'!B:AS,44,0)</f>
        <v>AREAFINANCIERA@SEMCUCUTA.GOV.CO</v>
      </c>
      <c r="AT415" s="12" t="str">
        <f>VLOOKUP(C415,'mayo-26'!B:AT,45,0)</f>
        <v>CARTERA</v>
      </c>
    </row>
    <row r="416" ht="14.25" customHeight="1">
      <c r="A416" s="20" t="s">
        <v>870</v>
      </c>
      <c r="B416" s="20">
        <v>124.0</v>
      </c>
      <c r="C416" s="20">
        <v>123.0</v>
      </c>
      <c r="D416" s="21">
        <v>123.0</v>
      </c>
      <c r="E416" s="20">
        <v>9.0206542E7</v>
      </c>
      <c r="F416" s="20">
        <v>9.0206542E7</v>
      </c>
      <c r="G416" s="20" t="s">
        <v>871</v>
      </c>
      <c r="H416" s="20" t="s">
        <v>872</v>
      </c>
      <c r="I416" s="1" t="str">
        <f>VLOOKUP(C416,'mayo-26'!B:H,7,0)</f>
        <v>CLL 4 11A-26 - 0206542</v>
      </c>
      <c r="J416" s="1" t="s">
        <v>873</v>
      </c>
      <c r="K416" s="10" t="str">
        <f>VLOOKUP(C416,'mayo-26'!B:J,9,0)</f>
        <v>NO</v>
      </c>
      <c r="L416" s="1" t="str">
        <f>VLOOKUP(C416,'mayo-26'!B:K,10,0)</f>
        <v>COLEGIOS ZONA SUR</v>
      </c>
      <c r="M416" s="20" t="s">
        <v>52</v>
      </c>
      <c r="N416" s="20" t="s">
        <v>89</v>
      </c>
      <c r="O416" s="20" t="s">
        <v>861</v>
      </c>
      <c r="P416" s="20" t="s">
        <v>126</v>
      </c>
      <c r="Q416" s="20" t="s">
        <v>56</v>
      </c>
      <c r="R416" s="20" t="s">
        <v>57</v>
      </c>
      <c r="S416" s="20" t="s">
        <v>143</v>
      </c>
      <c r="T416" s="20" t="s">
        <v>59</v>
      </c>
      <c r="U416" s="20">
        <v>2026.0</v>
      </c>
      <c r="V416" s="20">
        <v>6.0</v>
      </c>
      <c r="W416" s="20">
        <v>1.081875327E9</v>
      </c>
      <c r="X416" s="20">
        <v>1.081893799E9</v>
      </c>
      <c r="Y416" s="22">
        <v>46182.0</v>
      </c>
      <c r="Z416" s="22">
        <v>46207.0</v>
      </c>
      <c r="AA416" s="20">
        <v>455698.09</v>
      </c>
      <c r="AB416" s="20">
        <v>455698.09</v>
      </c>
      <c r="AC416" s="20">
        <v>0.0</v>
      </c>
      <c r="AD416" s="20">
        <v>2203.0</v>
      </c>
      <c r="AE416" s="20">
        <v>0.0</v>
      </c>
      <c r="AF416" s="20">
        <v>0.0</v>
      </c>
      <c r="AG416" s="20">
        <v>0.0</v>
      </c>
      <c r="AH416" s="20">
        <v>0.0</v>
      </c>
      <c r="AI416" s="20">
        <v>0.0</v>
      </c>
      <c r="AJ416" s="20">
        <v>455698.09</v>
      </c>
      <c r="AK416" s="20">
        <v>1358205.78</v>
      </c>
      <c r="AL416" s="20">
        <v>3.0</v>
      </c>
      <c r="AM416" s="20">
        <v>250.8</v>
      </c>
      <c r="AN416" s="20">
        <v>0.0</v>
      </c>
      <c r="AS416" s="11" t="str">
        <f>VLOOKUP(C416,'mayo-26'!B:AS,44,0)</f>
        <v>AREAFINANCIERA@SEMCUCUTA.GOV.CO</v>
      </c>
      <c r="AT416" s="12" t="str">
        <f>VLOOKUP(C416,'mayo-26'!B:AT,45,0)</f>
        <v>CARTERA</v>
      </c>
    </row>
    <row r="417" ht="14.25" customHeight="1">
      <c r="A417" s="20" t="s">
        <v>874</v>
      </c>
      <c r="B417" s="20">
        <v>128.0</v>
      </c>
      <c r="C417" s="20">
        <v>127.0</v>
      </c>
      <c r="D417" s="21">
        <v>127.0</v>
      </c>
      <c r="E417" s="20">
        <v>9.0207944E7</v>
      </c>
      <c r="F417" s="20">
        <v>9.0207944E7</v>
      </c>
      <c r="G417" s="20" t="s">
        <v>875</v>
      </c>
      <c r="H417" s="20" t="s">
        <v>876</v>
      </c>
      <c r="I417" s="1" t="str">
        <f>VLOOKUP(C417,'mayo-26'!B:H,7,0)</f>
        <v>CALLE 4-37 BARRIO EL ESCOBAL</v>
      </c>
      <c r="J417" s="1" t="s">
        <v>877</v>
      </c>
      <c r="K417" s="10" t="str">
        <f>VLOOKUP(C417,'mayo-26'!B:J,9,0)</f>
        <v>NO</v>
      </c>
      <c r="L417" s="1" t="str">
        <f>VLOOKUP(C417,'mayo-26'!B:K,10,0)</f>
        <v>COLEGIOS ZONA SUR</v>
      </c>
      <c r="M417" s="20" t="s">
        <v>52</v>
      </c>
      <c r="N417" s="20" t="s">
        <v>89</v>
      </c>
      <c r="O417" s="20" t="s">
        <v>861</v>
      </c>
      <c r="P417" s="20" t="s">
        <v>126</v>
      </c>
      <c r="Q417" s="20" t="s">
        <v>56</v>
      </c>
      <c r="R417" s="20" t="s">
        <v>57</v>
      </c>
      <c r="S417" s="20" t="s">
        <v>143</v>
      </c>
      <c r="T417" s="20" t="s">
        <v>59</v>
      </c>
      <c r="U417" s="20">
        <v>2026.0</v>
      </c>
      <c r="V417" s="20">
        <v>6.0</v>
      </c>
      <c r="W417" s="20">
        <v>1.081875331E9</v>
      </c>
      <c r="X417" s="20">
        <v>1.081893803E9</v>
      </c>
      <c r="Y417" s="22">
        <v>46182.0</v>
      </c>
      <c r="Z417" s="22">
        <v>46207.0</v>
      </c>
      <c r="AA417" s="20">
        <v>179971.0</v>
      </c>
      <c r="AB417" s="20">
        <v>179971.0</v>
      </c>
      <c r="AC417" s="20">
        <v>0.0</v>
      </c>
      <c r="AD417" s="20">
        <v>750.0</v>
      </c>
      <c r="AE417" s="20">
        <v>0.0</v>
      </c>
      <c r="AF417" s="20">
        <v>0.0</v>
      </c>
      <c r="AG417" s="20">
        <v>0.0</v>
      </c>
      <c r="AH417" s="20">
        <v>0.0</v>
      </c>
      <c r="AI417" s="20">
        <v>0.0</v>
      </c>
      <c r="AJ417" s="20">
        <v>179971.0</v>
      </c>
      <c r="AK417" s="20">
        <v>537510.7</v>
      </c>
      <c r="AL417" s="20">
        <v>3.0</v>
      </c>
      <c r="AM417" s="20">
        <v>250.8</v>
      </c>
      <c r="AN417" s="20">
        <v>0.0</v>
      </c>
      <c r="AS417" s="11" t="str">
        <f>VLOOKUP(C417,'mayo-26'!B:AS,44,0)</f>
        <v>AREAFINANCIERA@SEMCUCUTA.GOV.CO</v>
      </c>
      <c r="AT417" s="12" t="str">
        <f>VLOOKUP(C417,'mayo-26'!B:AT,45,0)</f>
        <v>CARTERA</v>
      </c>
    </row>
    <row r="418" ht="14.25" customHeight="1">
      <c r="A418" s="20" t="s">
        <v>878</v>
      </c>
      <c r="B418" s="20">
        <v>132.0</v>
      </c>
      <c r="C418" s="20">
        <v>131.0</v>
      </c>
      <c r="D418" s="21">
        <v>131.0</v>
      </c>
      <c r="E418" s="20">
        <v>9.0211192E7</v>
      </c>
      <c r="F418" s="20">
        <v>9.0211192E7</v>
      </c>
      <c r="G418" s="20">
        <v>8.90501434E8</v>
      </c>
      <c r="H418" s="20" t="s">
        <v>879</v>
      </c>
      <c r="I418" s="1" t="str">
        <f>VLOOKUP(C418,'mayo-26'!B:H,7,0)</f>
        <v>AVE 3A 5-81 B. STA ANA</v>
      </c>
      <c r="J418" s="1" t="s">
        <v>880</v>
      </c>
      <c r="K418" s="10" t="str">
        <f>VLOOKUP(C418,'mayo-26'!B:J,9,0)</f>
        <v>NO</v>
      </c>
      <c r="L418" s="1" t="str">
        <f>VLOOKUP(C418,'mayo-26'!B:K,10,0)</f>
        <v>COLEGIOS ZONA SUR</v>
      </c>
      <c r="M418" s="20" t="s">
        <v>52</v>
      </c>
      <c r="N418" s="20" t="s">
        <v>89</v>
      </c>
      <c r="O418" s="20" t="s">
        <v>861</v>
      </c>
      <c r="P418" s="20" t="s">
        <v>126</v>
      </c>
      <c r="Q418" s="20" t="s">
        <v>56</v>
      </c>
      <c r="R418" s="20" t="s">
        <v>57</v>
      </c>
      <c r="S418" s="20" t="s">
        <v>143</v>
      </c>
      <c r="T418" s="20" t="s">
        <v>59</v>
      </c>
      <c r="U418" s="20">
        <v>2026.0</v>
      </c>
      <c r="V418" s="20">
        <v>6.0</v>
      </c>
      <c r="W418" s="20">
        <v>1.081875335E9</v>
      </c>
      <c r="X418" s="20">
        <v>1.081893807E9</v>
      </c>
      <c r="Y418" s="22">
        <v>46182.0</v>
      </c>
      <c r="Z418" s="22">
        <v>46207.0</v>
      </c>
      <c r="AA418" s="20">
        <v>217923.8</v>
      </c>
      <c r="AB418" s="20">
        <v>217923.8</v>
      </c>
      <c r="AC418" s="20">
        <v>0.0</v>
      </c>
      <c r="AD418" s="20">
        <v>950.0</v>
      </c>
      <c r="AE418" s="20">
        <v>0.0</v>
      </c>
      <c r="AF418" s="20">
        <v>0.0</v>
      </c>
      <c r="AG418" s="20">
        <v>0.0</v>
      </c>
      <c r="AH418" s="20">
        <v>0.0</v>
      </c>
      <c r="AI418" s="20">
        <v>0.0</v>
      </c>
      <c r="AJ418" s="20">
        <v>217923.8</v>
      </c>
      <c r="AK418" s="20">
        <v>650476.3</v>
      </c>
      <c r="AL418" s="20">
        <v>3.0</v>
      </c>
      <c r="AM418" s="20">
        <v>250.8</v>
      </c>
      <c r="AN418" s="20">
        <v>0.0</v>
      </c>
      <c r="AS418" s="11" t="str">
        <f>VLOOKUP(C418,'mayo-26'!B:AS,44,0)</f>
        <v>AREAFINANCIERA@SEMCUCUTA.GOV.CO</v>
      </c>
      <c r="AT418" s="12" t="str">
        <f>VLOOKUP(C418,'mayo-26'!B:AT,45,0)</f>
        <v>CARTERA</v>
      </c>
    </row>
    <row r="419" ht="14.25" customHeight="1">
      <c r="A419" s="20" t="s">
        <v>881</v>
      </c>
      <c r="B419" s="20">
        <v>147.0</v>
      </c>
      <c r="C419" s="20">
        <v>135.0</v>
      </c>
      <c r="D419" s="21">
        <v>135.0</v>
      </c>
      <c r="E419" s="20">
        <v>9.0213371E7</v>
      </c>
      <c r="F419" s="20">
        <v>9.0213371E7</v>
      </c>
      <c r="G419" s="20" t="s">
        <v>179</v>
      </c>
      <c r="H419" s="20" t="s">
        <v>180</v>
      </c>
      <c r="I419" s="1" t="str">
        <f>VLOOKUP(C419,'mayo-26'!B:H,7,0)</f>
        <v>AVE 3 CLL 24 GARITA # 1</v>
      </c>
      <c r="J419" s="1" t="s">
        <v>882</v>
      </c>
      <c r="K419" s="10" t="str">
        <f>VLOOKUP(C419,'mayo-26'!B:J,9,0)</f>
        <v>NO</v>
      </c>
      <c r="L419" s="1" t="str">
        <f>VLOOKUP(C419,'mayo-26'!B:K,10,0)</f>
        <v>POLICIA</v>
      </c>
      <c r="M419" s="20" t="s">
        <v>52</v>
      </c>
      <c r="N419" s="20" t="s">
        <v>89</v>
      </c>
      <c r="O419" s="20" t="s">
        <v>861</v>
      </c>
      <c r="P419" s="20" t="s">
        <v>126</v>
      </c>
      <c r="Q419" s="20" t="s">
        <v>131</v>
      </c>
      <c r="R419" s="20" t="s">
        <v>151</v>
      </c>
      <c r="S419" s="20" t="s">
        <v>133</v>
      </c>
      <c r="T419" s="20" t="s">
        <v>59</v>
      </c>
      <c r="U419" s="20">
        <v>2026.0</v>
      </c>
      <c r="V419" s="20">
        <v>6.0</v>
      </c>
      <c r="W419" s="20">
        <v>1.081875339E9</v>
      </c>
      <c r="X419" s="20">
        <v>1.081893811E9</v>
      </c>
      <c r="Y419" s="22">
        <v>46182.0</v>
      </c>
      <c r="Z419" s="22">
        <v>46207.0</v>
      </c>
      <c r="AA419" s="20">
        <v>75419.0</v>
      </c>
      <c r="AB419" s="20">
        <v>75419.0</v>
      </c>
      <c r="AC419" s="20">
        <v>0.0</v>
      </c>
      <c r="AD419" s="20">
        <v>0.0</v>
      </c>
      <c r="AE419" s="20">
        <v>0.0</v>
      </c>
      <c r="AF419" s="20">
        <v>0.0</v>
      </c>
      <c r="AG419" s="20">
        <v>0.0</v>
      </c>
      <c r="AH419" s="20">
        <v>0.0</v>
      </c>
      <c r="AI419" s="20">
        <v>0.0</v>
      </c>
      <c r="AJ419" s="20">
        <v>75419.0</v>
      </c>
      <c r="AK419" s="20">
        <v>151360.0</v>
      </c>
      <c r="AL419" s="20">
        <v>1.0</v>
      </c>
      <c r="AM419" s="20">
        <v>250.8</v>
      </c>
      <c r="AN419" s="20">
        <v>0.0</v>
      </c>
      <c r="AS419" s="11" t="str">
        <f>VLOOKUP(C419,'mayo-26'!B:AS,44,0)</f>
        <v>MECUC.GUBIR@POLICIA.GOV.CO</v>
      </c>
      <c r="AT419" s="12" t="str">
        <f>VLOOKUP(C419,'mayo-26'!B:AT,45,0)</f>
        <v>CORREO ELECTRONICO CERTIFICADO 472</v>
      </c>
    </row>
    <row r="420" ht="14.25" customHeight="1">
      <c r="A420" s="20" t="s">
        <v>883</v>
      </c>
      <c r="B420" s="20">
        <v>140.0</v>
      </c>
      <c r="C420" s="20">
        <v>139.0</v>
      </c>
      <c r="D420" s="21">
        <v>139.0</v>
      </c>
      <c r="E420" s="20">
        <v>9.021473E7</v>
      </c>
      <c r="F420" s="20">
        <v>9.021473E7</v>
      </c>
      <c r="G420" s="20" t="s">
        <v>884</v>
      </c>
      <c r="H420" s="20" t="s">
        <v>885</v>
      </c>
      <c r="I420" s="1" t="str">
        <f>VLOOKUP(C420,'mayo-26'!B:H,7,0)</f>
        <v>CLL 28 10-45 BELLAVISTA</v>
      </c>
      <c r="J420" s="1" t="s">
        <v>882</v>
      </c>
      <c r="K420" s="10" t="str">
        <f>VLOOKUP(C420,'mayo-26'!B:J,9,0)</f>
        <v>NO</v>
      </c>
      <c r="L420" s="1" t="str">
        <f>VLOOKUP(C420,'mayo-26'!B:K,10,0)</f>
        <v>COLEGIOS ZONA SUR</v>
      </c>
      <c r="M420" s="20" t="s">
        <v>52</v>
      </c>
      <c r="N420" s="20" t="s">
        <v>89</v>
      </c>
      <c r="O420" s="20" t="s">
        <v>861</v>
      </c>
      <c r="P420" s="20" t="s">
        <v>126</v>
      </c>
      <c r="Q420" s="20" t="s">
        <v>56</v>
      </c>
      <c r="R420" s="20" t="s">
        <v>57</v>
      </c>
      <c r="S420" s="20" t="s">
        <v>143</v>
      </c>
      <c r="T420" s="20" t="s">
        <v>59</v>
      </c>
      <c r="U420" s="20">
        <v>2026.0</v>
      </c>
      <c r="V420" s="20">
        <v>6.0</v>
      </c>
      <c r="W420" s="20">
        <v>1.081875343E9</v>
      </c>
      <c r="X420" s="20">
        <v>1.081893815E9</v>
      </c>
      <c r="Y420" s="22">
        <v>46182.0</v>
      </c>
      <c r="Z420" s="22">
        <v>46207.0</v>
      </c>
      <c r="AA420" s="20">
        <v>165738.71</v>
      </c>
      <c r="AB420" s="20">
        <v>165738.71</v>
      </c>
      <c r="AC420" s="20">
        <v>0.0</v>
      </c>
      <c r="AD420" s="20">
        <v>675.0</v>
      </c>
      <c r="AE420" s="20">
        <v>0.0</v>
      </c>
      <c r="AF420" s="20">
        <v>0.0</v>
      </c>
      <c r="AG420" s="20">
        <v>0.0</v>
      </c>
      <c r="AH420" s="20">
        <v>0.0</v>
      </c>
      <c r="AI420" s="20">
        <v>0.0</v>
      </c>
      <c r="AJ420" s="20">
        <v>165738.71</v>
      </c>
      <c r="AK420" s="20">
        <v>495148.62</v>
      </c>
      <c r="AL420" s="20">
        <v>3.0</v>
      </c>
      <c r="AM420" s="20">
        <v>250.8</v>
      </c>
      <c r="AN420" s="20">
        <v>0.0</v>
      </c>
      <c r="AS420" s="11" t="str">
        <f>VLOOKUP(C420,'mayo-26'!B:AS,44,0)</f>
        <v>AREAFINANCIERA@SEMCUCUTA.GOV.CO</v>
      </c>
      <c r="AT420" s="12" t="str">
        <f>VLOOKUP(C420,'mayo-26'!B:AT,45,0)</f>
        <v>CARTERA</v>
      </c>
    </row>
    <row r="421" ht="14.25" customHeight="1">
      <c r="A421" s="20" t="s">
        <v>886</v>
      </c>
      <c r="B421" s="20">
        <v>144.0</v>
      </c>
      <c r="C421" s="20">
        <v>143.0</v>
      </c>
      <c r="D421" s="21">
        <v>143.0</v>
      </c>
      <c r="E421" s="20">
        <v>9.0216733E7</v>
      </c>
      <c r="F421" s="20">
        <v>9.0216733E7</v>
      </c>
      <c r="G421" s="20">
        <v>8.90501434E8</v>
      </c>
      <c r="H421" s="20" t="s">
        <v>887</v>
      </c>
      <c r="I421" s="1" t="str">
        <f>VLOOKUP(C421,'mayo-26'!B:H,7,0)</f>
        <v>CLL 3 2-48 SAN MATEO</v>
      </c>
      <c r="J421" s="1" t="s">
        <v>888</v>
      </c>
      <c r="K421" s="10" t="str">
        <f>VLOOKUP(C421,'mayo-26'!B:J,9,0)</f>
        <v>NO</v>
      </c>
      <c r="L421" s="1" t="str">
        <f>VLOOKUP(C421,'mayo-26'!B:K,10,0)</f>
        <v>COLEGIOS ZONA SUR</v>
      </c>
      <c r="M421" s="20" t="s">
        <v>52</v>
      </c>
      <c r="N421" s="20" t="s">
        <v>89</v>
      </c>
      <c r="O421" s="20" t="s">
        <v>861</v>
      </c>
      <c r="P421" s="20" t="s">
        <v>126</v>
      </c>
      <c r="Q421" s="20" t="s">
        <v>56</v>
      </c>
      <c r="R421" s="20" t="s">
        <v>57</v>
      </c>
      <c r="S421" s="20" t="s">
        <v>143</v>
      </c>
      <c r="T421" s="20" t="s">
        <v>59</v>
      </c>
      <c r="U421" s="20">
        <v>2026.0</v>
      </c>
      <c r="V421" s="20">
        <v>6.0</v>
      </c>
      <c r="W421" s="20">
        <v>1.081875346E9</v>
      </c>
      <c r="X421" s="20">
        <v>1.081893818E9</v>
      </c>
      <c r="Y421" s="22">
        <v>46182.0</v>
      </c>
      <c r="Z421" s="22">
        <v>46207.0</v>
      </c>
      <c r="AA421" s="20">
        <v>165738.71</v>
      </c>
      <c r="AB421" s="20">
        <v>165738.71</v>
      </c>
      <c r="AC421" s="20">
        <v>0.0</v>
      </c>
      <c r="AD421" s="20">
        <v>675.0</v>
      </c>
      <c r="AE421" s="20">
        <v>0.0</v>
      </c>
      <c r="AF421" s="20">
        <v>0.0</v>
      </c>
      <c r="AG421" s="20">
        <v>0.0</v>
      </c>
      <c r="AH421" s="20">
        <v>0.0</v>
      </c>
      <c r="AI421" s="20">
        <v>0.0</v>
      </c>
      <c r="AJ421" s="20">
        <v>165738.71</v>
      </c>
      <c r="AK421" s="20">
        <v>495148.62</v>
      </c>
      <c r="AL421" s="20">
        <v>3.0</v>
      </c>
      <c r="AM421" s="20">
        <v>250.8</v>
      </c>
      <c r="AN421" s="20">
        <v>0.0</v>
      </c>
      <c r="AS421" s="11" t="str">
        <f>VLOOKUP(C421,'mayo-26'!B:AS,44,0)</f>
        <v>AREAFINANCIERA@SEMCUCUTA.GOV.CO</v>
      </c>
      <c r="AT421" s="12" t="str">
        <f>VLOOKUP(C421,'mayo-26'!B:AT,45,0)</f>
        <v>CARTERA</v>
      </c>
    </row>
    <row r="422" ht="14.25" customHeight="1">
      <c r="A422" s="20" t="s">
        <v>889</v>
      </c>
      <c r="B422" s="20">
        <v>148.0</v>
      </c>
      <c r="C422" s="20">
        <v>147.0</v>
      </c>
      <c r="D422" s="21">
        <v>147.0</v>
      </c>
      <c r="E422" s="20">
        <v>9.0217284E7</v>
      </c>
      <c r="F422" s="20">
        <v>9.0217284E7</v>
      </c>
      <c r="G422" s="20" t="s">
        <v>890</v>
      </c>
      <c r="H422" s="20" t="s">
        <v>891</v>
      </c>
      <c r="I422" s="1" t="str">
        <f>VLOOKUP(C422,'mayo-26'!B:H,7,0)</f>
        <v>CLL 38 10-30</v>
      </c>
      <c r="J422" s="1" t="s">
        <v>888</v>
      </c>
      <c r="K422" s="10" t="str">
        <f>VLOOKUP(C422,'mayo-26'!B:J,9,0)</f>
        <v>NO</v>
      </c>
      <c r="L422" s="1" t="str">
        <f>VLOOKUP(C422,'mayo-26'!B:K,10,0)</f>
        <v>ENTIDADES</v>
      </c>
      <c r="M422" s="20" t="s">
        <v>52</v>
      </c>
      <c r="N422" s="20" t="s">
        <v>89</v>
      </c>
      <c r="O422" s="20" t="s">
        <v>861</v>
      </c>
      <c r="P422" s="20" t="s">
        <v>126</v>
      </c>
      <c r="Q422" s="20" t="s">
        <v>131</v>
      </c>
      <c r="R422" s="20" t="s">
        <v>151</v>
      </c>
      <c r="S422" s="20" t="s">
        <v>133</v>
      </c>
      <c r="T422" s="20" t="s">
        <v>59</v>
      </c>
      <c r="U422" s="20">
        <v>2026.0</v>
      </c>
      <c r="V422" s="20">
        <v>6.0</v>
      </c>
      <c r="W422" s="20">
        <v>1.081875349E9</v>
      </c>
      <c r="X422" s="20">
        <v>1.081893821E9</v>
      </c>
      <c r="Y422" s="22">
        <v>46182.0</v>
      </c>
      <c r="Z422" s="22">
        <v>46207.0</v>
      </c>
      <c r="AA422" s="20">
        <v>75419.0</v>
      </c>
      <c r="AB422" s="20">
        <v>75419.0</v>
      </c>
      <c r="AC422" s="20">
        <v>0.0</v>
      </c>
      <c r="AD422" s="20">
        <v>0.0</v>
      </c>
      <c r="AE422" s="20">
        <v>0.0</v>
      </c>
      <c r="AF422" s="20">
        <v>0.0</v>
      </c>
      <c r="AG422" s="20">
        <v>0.0</v>
      </c>
      <c r="AH422" s="20">
        <v>0.0</v>
      </c>
      <c r="AI422" s="20">
        <v>0.0</v>
      </c>
      <c r="AJ422" s="20">
        <v>75419.0</v>
      </c>
      <c r="AK422" s="20">
        <v>252286.0</v>
      </c>
      <c r="AL422" s="20">
        <v>3.0</v>
      </c>
      <c r="AM422" s="20">
        <v>250.8</v>
      </c>
      <c r="AN422" s="20">
        <v>0.0</v>
      </c>
      <c r="AS422" s="11" t="str">
        <f>VLOOKUP(C422,'mayo-26'!B:AS,44,0)</f>
        <v>hernando.vergara@cucuta.gov.co</v>
      </c>
      <c r="AT422" s="12" t="str">
        <f>VLOOKUP(C422,'mayo-26'!B:AT,45,0)</f>
        <v>CARTERA</v>
      </c>
    </row>
    <row r="423" ht="14.25" customHeight="1">
      <c r="A423" s="20" t="s">
        <v>892</v>
      </c>
      <c r="B423" s="20">
        <v>156.0</v>
      </c>
      <c r="C423" s="20">
        <v>155.0</v>
      </c>
      <c r="D423" s="21">
        <v>155.0</v>
      </c>
      <c r="E423" s="20">
        <v>9.0217994E7</v>
      </c>
      <c r="F423" s="20">
        <v>9.0217994E7</v>
      </c>
      <c r="G423" s="20" t="s">
        <v>893</v>
      </c>
      <c r="H423" s="20" t="s">
        <v>894</v>
      </c>
      <c r="I423" s="1" t="str">
        <f>VLOOKUP(C423,'mayo-26'!B:H,7,0)</f>
        <v>URBANIZACION LA RINCONADA</v>
      </c>
      <c r="J423" s="1" t="s">
        <v>895</v>
      </c>
      <c r="K423" s="10" t="str">
        <f>VLOOKUP(C423,'mayo-26'!B:J,9,0)</f>
        <v>NO</v>
      </c>
      <c r="L423" s="1" t="str">
        <f>VLOOKUP(C423,'mayo-26'!B:K,10,0)</f>
        <v>NO</v>
      </c>
      <c r="M423" s="20" t="s">
        <v>52</v>
      </c>
      <c r="N423" s="20" t="s">
        <v>89</v>
      </c>
      <c r="O423" s="20" t="s">
        <v>861</v>
      </c>
      <c r="P423" s="20" t="s">
        <v>126</v>
      </c>
      <c r="Q423" s="20" t="s">
        <v>56</v>
      </c>
      <c r="R423" s="20" t="s">
        <v>57</v>
      </c>
      <c r="S423" s="20" t="s">
        <v>143</v>
      </c>
      <c r="T423" s="20" t="s">
        <v>59</v>
      </c>
      <c r="U423" s="20">
        <v>2026.0</v>
      </c>
      <c r="V423" s="20">
        <v>6.0</v>
      </c>
      <c r="W423" s="20">
        <v>1.081875352E9</v>
      </c>
      <c r="X423" s="20">
        <v>1.081893824E9</v>
      </c>
      <c r="Y423" s="22">
        <v>46182.0</v>
      </c>
      <c r="Z423" s="22">
        <v>46207.0</v>
      </c>
      <c r="AA423" s="20">
        <v>1252612.02</v>
      </c>
      <c r="AB423" s="20">
        <v>1252612.02</v>
      </c>
      <c r="AC423" s="20">
        <v>0.0</v>
      </c>
      <c r="AD423" s="20">
        <v>6402.5</v>
      </c>
      <c r="AE423" s="20">
        <v>0.0</v>
      </c>
      <c r="AF423" s="20">
        <v>0.0</v>
      </c>
      <c r="AG423" s="20">
        <v>0.0</v>
      </c>
      <c r="AH423" s="20">
        <v>0.0</v>
      </c>
      <c r="AI423" s="20">
        <v>0.0</v>
      </c>
      <c r="AJ423" s="20">
        <v>1252612.02</v>
      </c>
      <c r="AK423" s="20">
        <v>1252612.02</v>
      </c>
      <c r="AL423" s="20">
        <v>0.0</v>
      </c>
      <c r="AM423" s="20">
        <v>250.8</v>
      </c>
      <c r="AN423" s="20">
        <v>0.0</v>
      </c>
      <c r="AS423" s="11" t="str">
        <f>VLOOKUP(C423,'mayo-26'!B:AS,44,0)</f>
        <v>ANGELINOSCUCUTA@GMAIL.COM</v>
      </c>
      <c r="AT423" s="12" t="str">
        <f>VLOOKUP(C423,'mayo-26'!B:AT,45,0)</f>
        <v>CORREO ELECTRONICO CERTIFICADO 472</v>
      </c>
    </row>
    <row r="424" ht="14.25" customHeight="1">
      <c r="A424" s="20" t="s">
        <v>896</v>
      </c>
      <c r="B424" s="20">
        <v>160.0</v>
      </c>
      <c r="C424" s="20">
        <v>159.0</v>
      </c>
      <c r="D424" s="21">
        <v>159.0</v>
      </c>
      <c r="E424" s="20">
        <v>9.021917E7</v>
      </c>
      <c r="F424" s="20">
        <v>9.021917E7</v>
      </c>
      <c r="G424" s="20" t="s">
        <v>897</v>
      </c>
      <c r="H424" s="20" t="s">
        <v>898</v>
      </c>
      <c r="I424" s="1" t="str">
        <f>VLOOKUP(C424,'mayo-26'!B:H,7,0)</f>
        <v>AVE LIBERTADORES N 10-121 MALECON II ETAPA</v>
      </c>
      <c r="J424" s="1">
        <v>0.0</v>
      </c>
      <c r="K424" s="10" t="str">
        <f>VLOOKUP(C424,'mayo-26'!B:J,9,0)</f>
        <v>NO</v>
      </c>
      <c r="L424" s="1" t="str">
        <f>VLOOKUP(C424,'mayo-26'!B:K,10,0)</f>
        <v>NO</v>
      </c>
      <c r="M424" s="20" t="s">
        <v>52</v>
      </c>
      <c r="N424" s="20" t="s">
        <v>89</v>
      </c>
      <c r="O424" s="20" t="s">
        <v>861</v>
      </c>
      <c r="P424" s="20" t="s">
        <v>126</v>
      </c>
      <c r="Q424" s="20" t="s">
        <v>56</v>
      </c>
      <c r="R424" s="20" t="s">
        <v>90</v>
      </c>
      <c r="S424" s="20" t="s">
        <v>143</v>
      </c>
      <c r="T424" s="20" t="s">
        <v>59</v>
      </c>
      <c r="U424" s="20">
        <v>2026.0</v>
      </c>
      <c r="V424" s="20">
        <v>6.0</v>
      </c>
      <c r="W424" s="20">
        <v>1.081875355E9</v>
      </c>
      <c r="X424" s="20">
        <v>1.081893827E9</v>
      </c>
      <c r="Y424" s="22">
        <v>46182.0</v>
      </c>
      <c r="Z424" s="22">
        <v>46207.0</v>
      </c>
      <c r="AA424" s="20">
        <v>353927.09</v>
      </c>
      <c r="AB424" s="20">
        <v>353927.09</v>
      </c>
      <c r="AC424" s="20">
        <v>117975.7</v>
      </c>
      <c r="AD424" s="20">
        <v>1045.0</v>
      </c>
      <c r="AE424" s="20">
        <v>0.0</v>
      </c>
      <c r="AF424" s="20">
        <v>0.0</v>
      </c>
      <c r="AG424" s="20">
        <v>0.0</v>
      </c>
      <c r="AH424" s="20">
        <v>0.0</v>
      </c>
      <c r="AI424" s="20">
        <v>0.0</v>
      </c>
      <c r="AJ424" s="20">
        <v>353927.09</v>
      </c>
      <c r="AK424" s="20">
        <v>353927.09</v>
      </c>
      <c r="AL424" s="20">
        <v>0.0</v>
      </c>
      <c r="AM424" s="20">
        <v>376.2</v>
      </c>
      <c r="AN424" s="20">
        <v>0.0</v>
      </c>
      <c r="AS424" s="11" t="str">
        <f>VLOOKUP(C424,'mayo-26'!B:AS,44,0)</f>
        <v>RODIZIOCUCUTA@OUTLOOK.COM</v>
      </c>
      <c r="AT424" s="12" t="str">
        <f>VLOOKUP(C424,'mayo-26'!B:AT,45,0)</f>
        <v>CORREO ELECTRONICO CERTIFICADO 472</v>
      </c>
    </row>
    <row r="425" ht="14.25" customHeight="1">
      <c r="A425" s="20" t="s">
        <v>899</v>
      </c>
      <c r="B425" s="20">
        <v>168.0</v>
      </c>
      <c r="C425" s="20">
        <v>167.0</v>
      </c>
      <c r="D425" s="21">
        <v>167.0</v>
      </c>
      <c r="E425" s="20">
        <v>9.0221385E7</v>
      </c>
      <c r="F425" s="20">
        <v>9.0221385E7</v>
      </c>
      <c r="G425" s="20" t="s">
        <v>900</v>
      </c>
      <c r="H425" s="20" t="s">
        <v>901</v>
      </c>
      <c r="I425" s="1" t="str">
        <f>VLOOKUP(C425,'mayo-26'!B:H,7,0)</f>
        <v>AVE 12E CLL 2N ENFERMERIA</v>
      </c>
      <c r="J425" s="1" t="s">
        <v>902</v>
      </c>
      <c r="K425" s="10" t="str">
        <f>VLOOKUP(C425,'mayo-26'!B:J,9,0)</f>
        <v>NO</v>
      </c>
      <c r="L425" s="1" t="str">
        <f>VLOOKUP(C425,'mayo-26'!B:K,10,0)</f>
        <v>UFPS</v>
      </c>
      <c r="M425" s="20" t="s">
        <v>52</v>
      </c>
      <c r="N425" s="20" t="s">
        <v>89</v>
      </c>
      <c r="O425" s="20" t="s">
        <v>861</v>
      </c>
      <c r="P425" s="20" t="s">
        <v>126</v>
      </c>
      <c r="Q425" s="20" t="s">
        <v>56</v>
      </c>
      <c r="R425" s="20" t="s">
        <v>57</v>
      </c>
      <c r="S425" s="20" t="s">
        <v>143</v>
      </c>
      <c r="T425" s="20" t="s">
        <v>59</v>
      </c>
      <c r="U425" s="20">
        <v>2026.0</v>
      </c>
      <c r="V425" s="20">
        <v>6.0</v>
      </c>
      <c r="W425" s="20">
        <v>1.081875359E9</v>
      </c>
      <c r="X425" s="20">
        <v>1.081893831E9</v>
      </c>
      <c r="Y425" s="22">
        <v>46182.0</v>
      </c>
      <c r="Z425" s="22">
        <v>46207.0</v>
      </c>
      <c r="AA425" s="20">
        <v>224565.55</v>
      </c>
      <c r="AB425" s="20">
        <v>224565.55</v>
      </c>
      <c r="AC425" s="20">
        <v>0.0</v>
      </c>
      <c r="AD425" s="20">
        <v>985.0</v>
      </c>
      <c r="AE425" s="20">
        <v>0.0</v>
      </c>
      <c r="AF425" s="20">
        <v>0.0</v>
      </c>
      <c r="AG425" s="20">
        <v>0.0</v>
      </c>
      <c r="AH425" s="20">
        <v>0.0</v>
      </c>
      <c r="AI425" s="20">
        <v>0.0</v>
      </c>
      <c r="AJ425" s="20">
        <v>224565.55</v>
      </c>
      <c r="AK425" s="20">
        <v>224565.55</v>
      </c>
      <c r="AL425" s="20">
        <v>0.0</v>
      </c>
      <c r="AM425" s="20">
        <v>250.8</v>
      </c>
      <c r="AN425" s="20">
        <v>0.0</v>
      </c>
      <c r="AS425" s="11" t="str">
        <f>VLOOKUP(C425,'mayo-26'!B:AS,44,0)</f>
        <v>VICEADMINISTRATIVA@UFPS.EDU.CO</v>
      </c>
      <c r="AT425" s="12" t="str">
        <f>VLOOKUP(C425,'mayo-26'!B:AT,45,0)</f>
        <v>CORREO ELECTRONICO CERTIFICADO 472</v>
      </c>
    </row>
    <row r="426" ht="14.25" customHeight="1">
      <c r="A426" s="20" t="s">
        <v>903</v>
      </c>
      <c r="B426" s="20">
        <v>176.0</v>
      </c>
      <c r="C426" s="20">
        <v>175.0</v>
      </c>
      <c r="D426" s="21">
        <v>175.0</v>
      </c>
      <c r="E426" s="20">
        <v>9.0222812E7</v>
      </c>
      <c r="F426" s="20">
        <v>9.0222812E7</v>
      </c>
      <c r="G426" s="20" t="s">
        <v>904</v>
      </c>
      <c r="H426" s="20" t="s">
        <v>905</v>
      </c>
      <c r="I426" s="1" t="str">
        <f>VLOOKUP(C426,'mayo-26'!B:H,7,0)</f>
        <v>CLL 6N # 12E-73 ACACIOS</v>
      </c>
      <c r="J426" s="1" t="s">
        <v>906</v>
      </c>
      <c r="K426" s="10" t="str">
        <f>VLOOKUP(C426,'mayo-26'!B:J,9,0)</f>
        <v>NO</v>
      </c>
      <c r="L426" s="1" t="str">
        <f>VLOOKUP(C426,'mayo-26'!B:K,10,0)</f>
        <v>NO</v>
      </c>
      <c r="M426" s="20" t="s">
        <v>52</v>
      </c>
      <c r="N426" s="20" t="s">
        <v>89</v>
      </c>
      <c r="O426" s="20" t="s">
        <v>861</v>
      </c>
      <c r="P426" s="20" t="s">
        <v>126</v>
      </c>
      <c r="Q426" s="20" t="s">
        <v>131</v>
      </c>
      <c r="R426" s="20" t="s">
        <v>151</v>
      </c>
      <c r="S426" s="20" t="s">
        <v>133</v>
      </c>
      <c r="T426" s="20" t="s">
        <v>59</v>
      </c>
      <c r="U426" s="20">
        <v>2026.0</v>
      </c>
      <c r="V426" s="20">
        <v>6.0</v>
      </c>
      <c r="W426" s="20">
        <v>1.081875362E9</v>
      </c>
      <c r="X426" s="20">
        <v>1.081893834E9</v>
      </c>
      <c r="Y426" s="22">
        <v>46182.0</v>
      </c>
      <c r="Z426" s="22">
        <v>46207.0</v>
      </c>
      <c r="AA426" s="20">
        <v>75419.0</v>
      </c>
      <c r="AB426" s="20">
        <v>75419.0</v>
      </c>
      <c r="AC426" s="20">
        <v>0.0</v>
      </c>
      <c r="AD426" s="20">
        <v>0.0</v>
      </c>
      <c r="AE426" s="20">
        <v>0.0</v>
      </c>
      <c r="AF426" s="20">
        <v>0.0</v>
      </c>
      <c r="AG426" s="20">
        <v>0.0</v>
      </c>
      <c r="AH426" s="20">
        <v>0.0</v>
      </c>
      <c r="AI426" s="20">
        <v>0.0</v>
      </c>
      <c r="AJ426" s="20">
        <v>75419.0</v>
      </c>
      <c r="AK426" s="20">
        <v>75419.0</v>
      </c>
      <c r="AL426" s="20">
        <v>0.0</v>
      </c>
      <c r="AM426" s="20">
        <v>250.8</v>
      </c>
      <c r="AN426" s="20">
        <v>0.0</v>
      </c>
      <c r="AS426" s="11" t="str">
        <f>VLOOKUP(C426,'mayo-26'!B:AS,44,0)</f>
        <v>GERENCIA@CENTRODEREHABILITACIONCARDIONEUROMUSCULAR.GOV.CO</v>
      </c>
      <c r="AT426" s="12" t="str">
        <f>VLOOKUP(C426,'mayo-26'!B:AT,45,0)</f>
        <v>CORREO ELECTRONICO CERTIFICADO 472</v>
      </c>
    </row>
    <row r="427" ht="14.25" customHeight="1">
      <c r="A427" s="20" t="s">
        <v>907</v>
      </c>
      <c r="B427" s="20">
        <v>455370.0</v>
      </c>
      <c r="C427" s="20">
        <v>179.0</v>
      </c>
      <c r="D427" s="21">
        <v>179.0</v>
      </c>
      <c r="E427" s="20">
        <v>9.0225362E7</v>
      </c>
      <c r="F427" s="20">
        <v>9.0225362E7</v>
      </c>
      <c r="G427" s="20" t="s">
        <v>148</v>
      </c>
      <c r="H427" s="20" t="s">
        <v>149</v>
      </c>
      <c r="I427" s="1" t="str">
        <f>VLOOKUP(C427,'mayo-26'!B:H,7,0)</f>
        <v>CALLE 10 NO 0E-16 EDF CENTRO EMPRESARIAL BLOQUE B HOTEL TONCHALA</v>
      </c>
      <c r="J427" s="1" t="s">
        <v>908</v>
      </c>
      <c r="K427" s="10" t="str">
        <f>VLOOKUP(C427,'mayo-26'!B:J,9,0)</f>
        <v>NO</v>
      </c>
      <c r="L427" s="1" t="str">
        <f>VLOOKUP(C427,'mayo-26'!B:K,10,0)</f>
        <v>COLEGIOS ZONA SUR</v>
      </c>
      <c r="M427" s="20" t="s">
        <v>52</v>
      </c>
      <c r="N427" s="20" t="s">
        <v>53</v>
      </c>
      <c r="O427" s="20" t="s">
        <v>861</v>
      </c>
      <c r="P427" s="20" t="s">
        <v>126</v>
      </c>
      <c r="Q427" s="20" t="s">
        <v>56</v>
      </c>
      <c r="R427" s="20" t="s">
        <v>57</v>
      </c>
      <c r="S427" s="20" t="s">
        <v>143</v>
      </c>
      <c r="T427" s="20" t="s">
        <v>59</v>
      </c>
      <c r="U427" s="20">
        <v>2026.0</v>
      </c>
      <c r="V427" s="20">
        <v>6.0</v>
      </c>
      <c r="W427" s="20">
        <v>1.081875365E9</v>
      </c>
      <c r="X427" s="20">
        <v>1.081893837E9</v>
      </c>
      <c r="Y427" s="22">
        <v>46182.0</v>
      </c>
      <c r="Z427" s="22">
        <v>46207.0</v>
      </c>
      <c r="AA427" s="20">
        <v>204640.32</v>
      </c>
      <c r="AB427" s="20">
        <v>204640.32</v>
      </c>
      <c r="AC427" s="20">
        <v>0.0</v>
      </c>
      <c r="AD427" s="20">
        <v>880.0</v>
      </c>
      <c r="AE427" s="20">
        <v>0.0</v>
      </c>
      <c r="AF427" s="20">
        <v>0.0</v>
      </c>
      <c r="AG427" s="20">
        <v>0.0</v>
      </c>
      <c r="AH427" s="20">
        <v>0.0</v>
      </c>
      <c r="AI427" s="20">
        <v>0.0</v>
      </c>
      <c r="AJ427" s="20">
        <v>204640.32</v>
      </c>
      <c r="AK427" s="20">
        <v>610938.34</v>
      </c>
      <c r="AL427" s="20">
        <v>3.0</v>
      </c>
      <c r="AM427" s="20">
        <v>250.8</v>
      </c>
      <c r="AN427" s="20">
        <v>0.0</v>
      </c>
      <c r="AS427" s="11" t="str">
        <f>VLOOKUP(C427,'mayo-26'!B:AS,44,0)</f>
        <v>AREAFINANCIERA@SEMCUCUTA.GOV.CO</v>
      </c>
      <c r="AT427" s="12" t="str">
        <f>VLOOKUP(C427,'mayo-26'!B:AT,45,0)</f>
        <v>CARTERA</v>
      </c>
    </row>
    <row r="428" ht="14.25" customHeight="1">
      <c r="A428" s="20" t="s">
        <v>909</v>
      </c>
      <c r="B428" s="20">
        <v>455370.0</v>
      </c>
      <c r="C428" s="20">
        <v>183.0</v>
      </c>
      <c r="D428" s="21">
        <v>183.0</v>
      </c>
      <c r="E428" s="20">
        <v>9.0225813E7</v>
      </c>
      <c r="F428" s="20">
        <v>9.0225813E7</v>
      </c>
      <c r="G428" s="20" t="s">
        <v>148</v>
      </c>
      <c r="H428" s="20" t="s">
        <v>149</v>
      </c>
      <c r="I428" s="1" t="str">
        <f>VLOOKUP(C428,'mayo-26'!B:H,7,0)</f>
        <v>CALLE 10 NO 0E-16 EDF CENTRO EMPRESARIAL BLOQUE B HOTEL TONCHALA</v>
      </c>
      <c r="J428" s="1" t="s">
        <v>910</v>
      </c>
      <c r="K428" s="10" t="str">
        <f>VLOOKUP(C428,'mayo-26'!B:J,9,0)</f>
        <v>NO</v>
      </c>
      <c r="L428" s="1" t="str">
        <f>VLOOKUP(C428,'mayo-26'!B:K,10,0)</f>
        <v>COLEGIOS ZONA SUR</v>
      </c>
      <c r="M428" s="20" t="s">
        <v>52</v>
      </c>
      <c r="N428" s="20" t="s">
        <v>53</v>
      </c>
      <c r="O428" s="20" t="s">
        <v>861</v>
      </c>
      <c r="P428" s="20" t="s">
        <v>126</v>
      </c>
      <c r="Q428" s="20" t="s">
        <v>56</v>
      </c>
      <c r="R428" s="20" t="s">
        <v>57</v>
      </c>
      <c r="S428" s="20" t="s">
        <v>143</v>
      </c>
      <c r="T428" s="20" t="s">
        <v>59</v>
      </c>
      <c r="U428" s="20">
        <v>2026.0</v>
      </c>
      <c r="V428" s="20">
        <v>6.0</v>
      </c>
      <c r="W428" s="20">
        <v>1.081875369E9</v>
      </c>
      <c r="X428" s="20">
        <v>1.081893841E9</v>
      </c>
      <c r="Y428" s="22">
        <v>46182.0</v>
      </c>
      <c r="Z428" s="22">
        <v>46207.0</v>
      </c>
      <c r="AA428" s="20">
        <v>349809.79</v>
      </c>
      <c r="AB428" s="20">
        <v>349809.79</v>
      </c>
      <c r="AC428" s="20">
        <v>0.0</v>
      </c>
      <c r="AD428" s="20">
        <v>1645.0</v>
      </c>
      <c r="AE428" s="20">
        <v>0.0</v>
      </c>
      <c r="AF428" s="20">
        <v>0.0</v>
      </c>
      <c r="AG428" s="20">
        <v>0.0</v>
      </c>
      <c r="AH428" s="20">
        <v>0.0</v>
      </c>
      <c r="AI428" s="20">
        <v>0.0</v>
      </c>
      <c r="AJ428" s="20">
        <v>349809.79</v>
      </c>
      <c r="AK428" s="20">
        <v>1043031.78</v>
      </c>
      <c r="AL428" s="20">
        <v>3.0</v>
      </c>
      <c r="AM428" s="20">
        <v>250.8</v>
      </c>
      <c r="AN428" s="20">
        <v>0.0</v>
      </c>
      <c r="AS428" s="11" t="str">
        <f>VLOOKUP(C428,'mayo-26'!B:AS,44,0)</f>
        <v>AREAFINANCIERA@SEMCUCUTA.GOV.CO</v>
      </c>
      <c r="AT428" s="12" t="str">
        <f>VLOOKUP(C428,'mayo-26'!B:AT,45,0)</f>
        <v>CARTERA</v>
      </c>
    </row>
    <row r="429" ht="14.25" customHeight="1">
      <c r="A429" s="20" t="s">
        <v>911</v>
      </c>
      <c r="B429" s="20">
        <v>188.0</v>
      </c>
      <c r="C429" s="20">
        <v>187.0</v>
      </c>
      <c r="D429" s="21">
        <v>187.0</v>
      </c>
      <c r="E429" s="20">
        <v>9.0226173E7</v>
      </c>
      <c r="F429" s="20">
        <v>9.0226173E7</v>
      </c>
      <c r="G429" s="20">
        <v>8.9005272E7</v>
      </c>
      <c r="H429" s="20" t="s">
        <v>912</v>
      </c>
      <c r="I429" s="1" t="str">
        <f>VLOOKUP(C429,'mayo-26'!B:H,7,0)</f>
        <v>AV 11E CONCLL 11N B. GUAIMARAL</v>
      </c>
      <c r="J429" s="1" t="s">
        <v>910</v>
      </c>
      <c r="K429" s="10" t="str">
        <f>VLOOKUP(C429,'mayo-26'!B:J,9,0)</f>
        <v>ZONA NORTE</v>
      </c>
      <c r="L429" s="1" t="str">
        <f>VLOOKUP(C429,'mayo-26'!B:K,10,0)</f>
        <v>NO</v>
      </c>
      <c r="M429" s="20" t="s">
        <v>52</v>
      </c>
      <c r="N429" s="20" t="s">
        <v>89</v>
      </c>
      <c r="O429" s="20" t="s">
        <v>861</v>
      </c>
      <c r="P429" s="20" t="s">
        <v>126</v>
      </c>
      <c r="Q429" s="20" t="s">
        <v>131</v>
      </c>
      <c r="R429" s="20" t="s">
        <v>132</v>
      </c>
      <c r="S429" s="20" t="s">
        <v>133</v>
      </c>
      <c r="T429" s="20" t="s">
        <v>59</v>
      </c>
      <c r="U429" s="20">
        <v>2026.0</v>
      </c>
      <c r="V429" s="20">
        <v>6.0</v>
      </c>
      <c r="W429" s="20">
        <v>1.081875373E9</v>
      </c>
      <c r="X429" s="20">
        <v>1.081893845E9</v>
      </c>
      <c r="Y429" s="22">
        <v>46182.0</v>
      </c>
      <c r="Z429" s="22">
        <v>46207.0</v>
      </c>
      <c r="AA429" s="20">
        <v>113128.5</v>
      </c>
      <c r="AB429" s="20">
        <v>113128.5</v>
      </c>
      <c r="AC429" s="20">
        <v>37709.5</v>
      </c>
      <c r="AD429" s="20">
        <v>0.0</v>
      </c>
      <c r="AE429" s="20">
        <v>0.0</v>
      </c>
      <c r="AF429" s="20">
        <v>0.0</v>
      </c>
      <c r="AG429" s="20">
        <v>0.0</v>
      </c>
      <c r="AH429" s="20">
        <v>0.0</v>
      </c>
      <c r="AI429" s="20">
        <v>0.0</v>
      </c>
      <c r="AJ429" s="20">
        <v>113128.5</v>
      </c>
      <c r="AK429" s="20">
        <v>113129.42</v>
      </c>
      <c r="AL429" s="20">
        <v>1.0</v>
      </c>
      <c r="AM429" s="20">
        <v>376.2</v>
      </c>
      <c r="AN429" s="20">
        <v>0.0</v>
      </c>
      <c r="AS429" s="11" t="str">
        <f>VLOOKUP(C429,'mayo-26'!B:AS,44,0)</f>
        <v/>
      </c>
      <c r="AT429" s="12" t="str">
        <f>VLOOKUP(C429,'mayo-26'!B:AT,45,0)</f>
        <v>VERIFICADOR</v>
      </c>
    </row>
    <row r="430" ht="14.25" customHeight="1">
      <c r="A430" s="20" t="s">
        <v>913</v>
      </c>
      <c r="B430" s="20">
        <v>192.0</v>
      </c>
      <c r="C430" s="20">
        <v>191.0</v>
      </c>
      <c r="D430" s="21">
        <v>191.0</v>
      </c>
      <c r="E430" s="20">
        <v>9.0229493E7</v>
      </c>
      <c r="F430" s="20">
        <v>9.0229493E7</v>
      </c>
      <c r="G430" s="20">
        <v>9.00259415E8</v>
      </c>
      <c r="H430" s="20" t="s">
        <v>914</v>
      </c>
      <c r="I430" s="1" t="str">
        <f>VLOOKUP(C430,'mayo-26'!B:H,7,0)</f>
        <v>CLL 7A 6E-22</v>
      </c>
      <c r="J430" s="1" t="s">
        <v>915</v>
      </c>
      <c r="K430" s="10" t="str">
        <f>VLOOKUP(C430,'mayo-26'!B:J,9,0)</f>
        <v>NO</v>
      </c>
      <c r="L430" s="1" t="str">
        <f>VLOOKUP(C430,'mayo-26'!B:K,10,0)</f>
        <v>POLICIA</v>
      </c>
      <c r="M430" s="20" t="s">
        <v>52</v>
      </c>
      <c r="N430" s="20" t="s">
        <v>89</v>
      </c>
      <c r="O430" s="20" t="s">
        <v>861</v>
      </c>
      <c r="P430" s="20" t="s">
        <v>126</v>
      </c>
      <c r="Q430" s="20" t="s">
        <v>56</v>
      </c>
      <c r="R430" s="20" t="s">
        <v>57</v>
      </c>
      <c r="S430" s="20" t="s">
        <v>143</v>
      </c>
      <c r="T430" s="20" t="s">
        <v>59</v>
      </c>
      <c r="U430" s="20">
        <v>2026.0</v>
      </c>
      <c r="V430" s="20">
        <v>6.0</v>
      </c>
      <c r="W430" s="20">
        <v>1.081875375E9</v>
      </c>
      <c r="X430" s="20">
        <v>1.081893847E9</v>
      </c>
      <c r="Y430" s="22">
        <v>46182.0</v>
      </c>
      <c r="Z430" s="22">
        <v>46207.0</v>
      </c>
      <c r="AA430" s="20">
        <v>533501.33</v>
      </c>
      <c r="AB430" s="20">
        <v>533501.33</v>
      </c>
      <c r="AC430" s="20">
        <v>0.0</v>
      </c>
      <c r="AD430" s="20">
        <v>2613.0</v>
      </c>
      <c r="AE430" s="20">
        <v>0.0</v>
      </c>
      <c r="AF430" s="20">
        <v>0.0</v>
      </c>
      <c r="AG430" s="20">
        <v>0.0</v>
      </c>
      <c r="AH430" s="20">
        <v>0.0</v>
      </c>
      <c r="AI430" s="20">
        <v>0.0</v>
      </c>
      <c r="AJ430" s="20">
        <v>533501.33</v>
      </c>
      <c r="AK430" s="20">
        <v>1067639.7</v>
      </c>
      <c r="AL430" s="20">
        <v>2.0</v>
      </c>
      <c r="AM430" s="20">
        <v>250.8</v>
      </c>
      <c r="AN430" s="20">
        <v>0.0</v>
      </c>
      <c r="AS430" s="11" t="str">
        <f>VLOOKUP(C430,'mayo-26'!B:AS,44,0)</f>
        <v>MECUC.NUSEFA-LO@POLICIA.GOV.CO</v>
      </c>
      <c r="AT430" s="12" t="str">
        <f>VLOOKUP(C430,'mayo-26'!B:AT,45,0)</f>
        <v>CORREO ELECTRONICO CERTIFICADO 472</v>
      </c>
    </row>
    <row r="431" ht="14.25" customHeight="1">
      <c r="A431" s="20" t="s">
        <v>916</v>
      </c>
      <c r="B431" s="20">
        <v>196.0</v>
      </c>
      <c r="C431" s="20">
        <v>195.0</v>
      </c>
      <c r="D431" s="21">
        <v>195.0</v>
      </c>
      <c r="E431" s="20">
        <v>9.0230804E7</v>
      </c>
      <c r="F431" s="20">
        <v>9.0230804E7</v>
      </c>
      <c r="G431" s="20" t="s">
        <v>917</v>
      </c>
      <c r="H431" s="20" t="s">
        <v>918</v>
      </c>
      <c r="I431" s="1" t="str">
        <f>VLOOKUP(C431,'mayo-26'!B:H,7,0)</f>
        <v>DIAGONAL SANTANDER 3E - 38 LA RIVIERA</v>
      </c>
      <c r="J431" s="1" t="s">
        <v>919</v>
      </c>
      <c r="K431" s="10" t="str">
        <f>VLOOKUP(C431,'mayo-26'!B:J,9,0)</f>
        <v>NO</v>
      </c>
      <c r="L431" s="1" t="str">
        <f>VLOOKUP(C431,'mayo-26'!B:K,10,0)</f>
        <v>NO</v>
      </c>
      <c r="M431" s="20" t="s">
        <v>52</v>
      </c>
      <c r="N431" s="20" t="s">
        <v>89</v>
      </c>
      <c r="O431" s="20" t="s">
        <v>861</v>
      </c>
      <c r="P431" s="20" t="s">
        <v>126</v>
      </c>
      <c r="Q431" s="20" t="s">
        <v>56</v>
      </c>
      <c r="R431" s="20" t="s">
        <v>90</v>
      </c>
      <c r="S431" s="20" t="s">
        <v>143</v>
      </c>
      <c r="T431" s="20" t="s">
        <v>59</v>
      </c>
      <c r="U431" s="20">
        <v>2026.0</v>
      </c>
      <c r="V431" s="20">
        <v>6.0</v>
      </c>
      <c r="W431" s="20">
        <v>1.081875379E9</v>
      </c>
      <c r="X431" s="20">
        <v>1.081893851E9</v>
      </c>
      <c r="Y431" s="22">
        <v>46182.0</v>
      </c>
      <c r="Z431" s="22">
        <v>46207.0</v>
      </c>
      <c r="AA431" s="20">
        <v>127633.51</v>
      </c>
      <c r="AB431" s="20">
        <v>127633.51</v>
      </c>
      <c r="AC431" s="20">
        <v>42544.51</v>
      </c>
      <c r="AD431" s="20">
        <v>250.0</v>
      </c>
      <c r="AE431" s="20">
        <v>0.0</v>
      </c>
      <c r="AF431" s="20">
        <v>0.0</v>
      </c>
      <c r="AG431" s="20">
        <v>0.0</v>
      </c>
      <c r="AH431" s="20">
        <v>0.0</v>
      </c>
      <c r="AI431" s="20">
        <v>0.0</v>
      </c>
      <c r="AJ431" s="20">
        <v>127633.51</v>
      </c>
      <c r="AK431" s="20">
        <v>127633.51</v>
      </c>
      <c r="AL431" s="20">
        <v>0.0</v>
      </c>
      <c r="AM431" s="20">
        <v>376.2</v>
      </c>
      <c r="AN431" s="20">
        <v>0.0</v>
      </c>
      <c r="AS431" s="11" t="str">
        <f>VLOOKUP(C431,'mayo-26'!B:AS,44,0)</f>
        <v>DCIP-FACTURACIONELECTRONICA@BANREP.GOV.CO</v>
      </c>
      <c r="AT431" s="12" t="str">
        <f>VLOOKUP(C431,'mayo-26'!B:AT,45,0)</f>
        <v>CORREO ELECTRONICO CERTIFICADO 472</v>
      </c>
    </row>
    <row r="432" ht="14.25" customHeight="1">
      <c r="A432" s="20" t="s">
        <v>920</v>
      </c>
      <c r="B432" s="20">
        <v>220.0</v>
      </c>
      <c r="C432" s="20">
        <v>219.0</v>
      </c>
      <c r="D432" s="21">
        <v>219.0</v>
      </c>
      <c r="E432" s="20">
        <v>9.0231402E7</v>
      </c>
      <c r="F432" s="20">
        <v>9.0231402E7</v>
      </c>
      <c r="G432" s="20" t="s">
        <v>921</v>
      </c>
      <c r="H432" s="20" t="s">
        <v>922</v>
      </c>
      <c r="I432" s="1" t="str">
        <f>VLOOKUP(C432,'mayo-26'!B:H,7,0)</f>
        <v>AVE 0 0-61 QUINTA BOSH</v>
      </c>
      <c r="J432" s="1" t="s">
        <v>923</v>
      </c>
      <c r="K432" s="10" t="str">
        <f>VLOOKUP(C432,'mayo-26'!B:J,9,0)</f>
        <v>NO</v>
      </c>
      <c r="L432" s="1" t="str">
        <f>VLOOKUP(C432,'mayo-26'!B:K,10,0)</f>
        <v>NO</v>
      </c>
      <c r="M432" s="20" t="s">
        <v>52</v>
      </c>
      <c r="N432" s="20" t="s">
        <v>89</v>
      </c>
      <c r="O432" s="20" t="s">
        <v>861</v>
      </c>
      <c r="P432" s="20" t="s">
        <v>126</v>
      </c>
      <c r="Q432" s="20" t="s">
        <v>56</v>
      </c>
      <c r="R432" s="20" t="s">
        <v>90</v>
      </c>
      <c r="S432" s="20" t="s">
        <v>143</v>
      </c>
      <c r="T432" s="20" t="s">
        <v>59</v>
      </c>
      <c r="U432" s="20">
        <v>2026.0</v>
      </c>
      <c r="V432" s="20">
        <v>6.0</v>
      </c>
      <c r="W432" s="20">
        <v>1.081875384E9</v>
      </c>
      <c r="X432" s="20">
        <v>1.081893856E9</v>
      </c>
      <c r="Y432" s="22">
        <v>46182.0</v>
      </c>
      <c r="Z432" s="22">
        <v>46207.0</v>
      </c>
      <c r="AA432" s="20">
        <v>689310.89</v>
      </c>
      <c r="AB432" s="20">
        <v>689310.89</v>
      </c>
      <c r="AC432" s="20">
        <v>227564.4</v>
      </c>
      <c r="AD432" s="20">
        <v>2200.0</v>
      </c>
      <c r="AE432" s="20">
        <v>6617.69</v>
      </c>
      <c r="AF432" s="20">
        <v>0.0</v>
      </c>
      <c r="AG432" s="20">
        <v>0.0</v>
      </c>
      <c r="AH432" s="20">
        <v>0.0</v>
      </c>
      <c r="AI432" s="20">
        <v>0.0</v>
      </c>
      <c r="AJ432" s="20">
        <v>689310.89</v>
      </c>
      <c r="AK432" s="20">
        <v>1286394.39</v>
      </c>
      <c r="AL432" s="20">
        <v>1.0</v>
      </c>
      <c r="AM432" s="20">
        <v>376.2</v>
      </c>
      <c r="AN432" s="20">
        <v>0.0</v>
      </c>
      <c r="AS432" s="11" t="str">
        <f>VLOOKUP(C432,'mayo-26'!B:AS,44,0)</f>
        <v>CONTABILIDADMULTINEGOCIOS2020@GMAIL.COM</v>
      </c>
      <c r="AT432" s="12" t="str">
        <f>VLOOKUP(C432,'mayo-26'!B:AT,45,0)</f>
        <v>CORREO ELECTRONICO CERTIFICADO 472</v>
      </c>
    </row>
    <row r="433" ht="14.25" customHeight="1">
      <c r="A433" s="20" t="s">
        <v>924</v>
      </c>
      <c r="B433" s="20">
        <v>224.0</v>
      </c>
      <c r="C433" s="20">
        <v>223.0</v>
      </c>
      <c r="D433" s="21">
        <v>223.0</v>
      </c>
      <c r="E433" s="20">
        <v>9.023295E7</v>
      </c>
      <c r="F433" s="20">
        <v>9.023295E7</v>
      </c>
      <c r="G433" s="20" t="s">
        <v>875</v>
      </c>
      <c r="H433" s="20" t="s">
        <v>925</v>
      </c>
      <c r="I433" s="1" t="str">
        <f>VLOOKUP(C433,'mayo-26'!B:H,7,0)</f>
        <v>AVE 1 CALLE 2-3</v>
      </c>
      <c r="J433" s="1" t="s">
        <v>926</v>
      </c>
      <c r="K433" s="10" t="str">
        <f>VLOOKUP(C433,'mayo-26'!B:J,9,0)</f>
        <v>NO</v>
      </c>
      <c r="L433" s="1" t="str">
        <f>VLOOKUP(C433,'mayo-26'!B:K,10,0)</f>
        <v>ESTADIO Y PLAZA DE BANDERAS</v>
      </c>
      <c r="M433" s="20" t="s">
        <v>52</v>
      </c>
      <c r="N433" s="20" t="s">
        <v>89</v>
      </c>
      <c r="O433" s="20" t="s">
        <v>861</v>
      </c>
      <c r="P433" s="20" t="s">
        <v>126</v>
      </c>
      <c r="Q433" s="20" t="s">
        <v>56</v>
      </c>
      <c r="R433" s="20" t="s">
        <v>57</v>
      </c>
      <c r="S433" s="20" t="s">
        <v>143</v>
      </c>
      <c r="T433" s="20" t="s">
        <v>59</v>
      </c>
      <c r="U433" s="20">
        <v>2026.0</v>
      </c>
      <c r="V433" s="20">
        <v>6.0</v>
      </c>
      <c r="W433" s="20">
        <v>1.081875389E9</v>
      </c>
      <c r="X433" s="20">
        <v>1.081893861E9</v>
      </c>
      <c r="Y433" s="22">
        <v>46182.0</v>
      </c>
      <c r="Z433" s="22">
        <v>46207.0</v>
      </c>
      <c r="AA433" s="20">
        <v>852209.98</v>
      </c>
      <c r="AB433" s="20">
        <v>852209.98</v>
      </c>
      <c r="AC433" s="20">
        <v>0.0</v>
      </c>
      <c r="AD433" s="20">
        <v>4292.5</v>
      </c>
      <c r="AE433" s="20">
        <v>0.0</v>
      </c>
      <c r="AF433" s="20">
        <v>0.0</v>
      </c>
      <c r="AG433" s="20">
        <v>0.0</v>
      </c>
      <c r="AH433" s="20">
        <v>0.0</v>
      </c>
      <c r="AI433" s="20">
        <v>0.0</v>
      </c>
      <c r="AJ433" s="20">
        <v>0.0</v>
      </c>
      <c r="AK433" s="20">
        <v>0.0</v>
      </c>
      <c r="AL433" s="20">
        <v>0.0</v>
      </c>
      <c r="AM433" s="20">
        <v>250.8</v>
      </c>
      <c r="AN433" s="20">
        <v>0.0</v>
      </c>
      <c r="AQ433" s="20">
        <v>852209.98</v>
      </c>
      <c r="AS433" s="11" t="str">
        <f>VLOOKUP(C433,'mayo-26'!B:AS,44,0)</f>
        <v>BEATRIZRINCONS.IMRDTESORERIA@GMAIL.COM;SUBDIRECCIONADM@IMRD-CUCUTA.GOV.CO</v>
      </c>
      <c r="AT433" s="12" t="str">
        <f>VLOOKUP(C433,'mayo-26'!B:AT,45,0)</f>
        <v>CORREO ELECTRONICO CERTIFICADO 472</v>
      </c>
    </row>
    <row r="434" ht="14.25" customHeight="1">
      <c r="A434" s="20" t="s">
        <v>927</v>
      </c>
      <c r="B434" s="20">
        <v>699.0</v>
      </c>
      <c r="C434" s="20">
        <v>22403.0</v>
      </c>
      <c r="D434" s="21">
        <v>22403.0</v>
      </c>
      <c r="E434" s="20">
        <v>12028.0</v>
      </c>
      <c r="F434" s="20">
        <v>12028.0</v>
      </c>
      <c r="G434" s="20">
        <v>9.00480569E8</v>
      </c>
      <c r="H434" s="20" t="s">
        <v>141</v>
      </c>
      <c r="I434" s="1" t="str">
        <f>VLOOKUP(C434,'mayo-26'!B:H,7,0)</f>
        <v>CLL 12 4-52 CENTRO</v>
      </c>
      <c r="J434" s="1" t="s">
        <v>928</v>
      </c>
      <c r="K434" s="10" t="str">
        <f>VLOOKUP(C434,'mayo-26'!B:J,9,0)</f>
        <v>NO</v>
      </c>
      <c r="L434" s="1" t="str">
        <f>VLOOKUP(C434,'mayo-26'!B:K,10,0)</f>
        <v>ARA CUCUTA</v>
      </c>
      <c r="M434" s="20" t="s">
        <v>52</v>
      </c>
      <c r="N434" s="20" t="s">
        <v>53</v>
      </c>
      <c r="O434" s="20" t="s">
        <v>861</v>
      </c>
      <c r="P434" s="20" t="s">
        <v>126</v>
      </c>
      <c r="Q434" s="20" t="s">
        <v>56</v>
      </c>
      <c r="R434" s="20" t="s">
        <v>90</v>
      </c>
      <c r="S434" s="20" t="s">
        <v>143</v>
      </c>
      <c r="T434" s="20" t="s">
        <v>59</v>
      </c>
      <c r="U434" s="20">
        <v>2026.0</v>
      </c>
      <c r="V434" s="20">
        <v>6.0</v>
      </c>
      <c r="W434" s="20">
        <v>1.081875649E9</v>
      </c>
      <c r="X434" s="20">
        <v>1.081894121E9</v>
      </c>
      <c r="Y434" s="22">
        <v>46182.0</v>
      </c>
      <c r="Z434" s="22">
        <v>46207.0</v>
      </c>
      <c r="AA434" s="20">
        <v>988687.68</v>
      </c>
      <c r="AB434" s="20">
        <v>988687.68</v>
      </c>
      <c r="AC434" s="20">
        <v>329562.57</v>
      </c>
      <c r="AD434" s="20">
        <v>3275.0</v>
      </c>
      <c r="AE434" s="20">
        <v>0.0</v>
      </c>
      <c r="AF434" s="20">
        <v>0.0</v>
      </c>
      <c r="AG434" s="20">
        <v>0.0</v>
      </c>
      <c r="AH434" s="20">
        <v>0.0</v>
      </c>
      <c r="AI434" s="20">
        <v>0.0</v>
      </c>
      <c r="AJ434" s="20">
        <v>988687.68</v>
      </c>
      <c r="AK434" s="20">
        <v>988687.68</v>
      </c>
      <c r="AL434" s="20">
        <v>0.0</v>
      </c>
      <c r="AM434" s="20">
        <v>376.2</v>
      </c>
      <c r="AN434" s="20">
        <v>0.0</v>
      </c>
      <c r="AS434" s="11" t="str">
        <f>VLOOKUP(C434,'mayo-26'!B:AS,44,0)</f>
        <v>COORDINADOR.OPERACIONES.R11@JERONIMO-MARTINS.COM</v>
      </c>
      <c r="AT434" s="12" t="str">
        <f>VLOOKUP(C434,'mayo-26'!B:AT,45,0)</f>
        <v>CORREO ELECTRONICO CERTIFICADO 472</v>
      </c>
    </row>
    <row r="435" ht="14.25" customHeight="1">
      <c r="A435" s="20" t="s">
        <v>929</v>
      </c>
      <c r="B435" s="20">
        <v>228.0</v>
      </c>
      <c r="C435" s="20">
        <v>227.0</v>
      </c>
      <c r="D435" s="21">
        <v>227.0</v>
      </c>
      <c r="E435" s="20">
        <v>9.0235056E7</v>
      </c>
      <c r="F435" s="20">
        <v>9.0235056E7</v>
      </c>
      <c r="G435" s="20">
        <v>2.7575204E7</v>
      </c>
      <c r="H435" s="20" t="s">
        <v>930</v>
      </c>
      <c r="I435" s="1" t="str">
        <f>VLOOKUP(C435,'mayo-26'!B:H,7,0)</f>
        <v>CALLE 18 1AE-91 CAOBOS - CUCUTA</v>
      </c>
      <c r="J435" s="1" t="s">
        <v>931</v>
      </c>
      <c r="K435" s="10" t="str">
        <f>VLOOKUP(C435,'mayo-26'!B:J,9,0)</f>
        <v>NO</v>
      </c>
      <c r="L435" s="1" t="str">
        <f>VLOOKUP(C435,'mayo-26'!B:K,10,0)</f>
        <v>NO</v>
      </c>
      <c r="M435" s="20" t="s">
        <v>52</v>
      </c>
      <c r="N435" s="20" t="s">
        <v>89</v>
      </c>
      <c r="O435" s="20" t="s">
        <v>861</v>
      </c>
      <c r="P435" s="20" t="s">
        <v>126</v>
      </c>
      <c r="Q435" s="20" t="s">
        <v>131</v>
      </c>
      <c r="R435" s="20" t="s">
        <v>132</v>
      </c>
      <c r="S435" s="20" t="s">
        <v>133</v>
      </c>
      <c r="T435" s="20" t="s">
        <v>59</v>
      </c>
      <c r="U435" s="20">
        <v>2026.0</v>
      </c>
      <c r="V435" s="20">
        <v>6.0</v>
      </c>
      <c r="W435" s="20">
        <v>1.081875392E9</v>
      </c>
      <c r="X435" s="20">
        <v>1.081893864E9</v>
      </c>
      <c r="Y435" s="22">
        <v>46182.0</v>
      </c>
      <c r="Z435" s="22">
        <v>46207.0</v>
      </c>
      <c r="AA435" s="20">
        <v>113128.5</v>
      </c>
      <c r="AB435" s="20">
        <v>113128.5</v>
      </c>
      <c r="AC435" s="20">
        <v>37709.5</v>
      </c>
      <c r="AD435" s="20">
        <v>0.0</v>
      </c>
      <c r="AE435" s="20">
        <v>0.0</v>
      </c>
      <c r="AF435" s="20">
        <v>0.0</v>
      </c>
      <c r="AG435" s="20">
        <v>0.0</v>
      </c>
      <c r="AH435" s="20">
        <v>0.0</v>
      </c>
      <c r="AI435" s="20">
        <v>0.0</v>
      </c>
      <c r="AJ435" s="20">
        <v>113128.5</v>
      </c>
      <c r="AK435" s="20">
        <v>113129.0</v>
      </c>
      <c r="AL435" s="20">
        <v>1.0</v>
      </c>
      <c r="AM435" s="20">
        <v>376.2</v>
      </c>
      <c r="AN435" s="20">
        <v>0.0</v>
      </c>
      <c r="AS435" s="11" t="str">
        <f>VLOOKUP(C435,'mayo-26'!B:AS,44,0)</f>
        <v>proresumen@hotmail.com</v>
      </c>
      <c r="AT435" s="12" t="str">
        <f>VLOOKUP(C435,'mayo-26'!B:AT,45,0)</f>
        <v>CORREO ELECTRONICO CERTIFICADO 472</v>
      </c>
    </row>
    <row r="436" ht="14.25" customHeight="1">
      <c r="A436" s="20" t="s">
        <v>932</v>
      </c>
      <c r="B436" s="20">
        <v>232.0</v>
      </c>
      <c r="C436" s="20">
        <v>231.0</v>
      </c>
      <c r="D436" s="21">
        <v>231.0</v>
      </c>
      <c r="E436" s="20">
        <v>9.023509E7</v>
      </c>
      <c r="F436" s="20">
        <v>9.023509E7</v>
      </c>
      <c r="G436" s="20">
        <v>8.30122566E8</v>
      </c>
      <c r="H436" s="20" t="s">
        <v>193</v>
      </c>
      <c r="I436" s="1" t="str">
        <f>VLOOKUP(C436,'mayo-26'!B:H,7,0)</f>
        <v>AV 0 N 10-61</v>
      </c>
      <c r="J436" s="1" t="s">
        <v>931</v>
      </c>
      <c r="K436" s="10" t="str">
        <f>VLOOKUP(C436,'mayo-26'!B:J,9,0)</f>
        <v>NO</v>
      </c>
      <c r="L436" s="1" t="str">
        <f>VLOOKUP(C436,'mayo-26'!B:K,10,0)</f>
        <v>MOVISTAR</v>
      </c>
      <c r="M436" s="20" t="s">
        <v>52</v>
      </c>
      <c r="N436" s="20" t="s">
        <v>53</v>
      </c>
      <c r="O436" s="20" t="s">
        <v>861</v>
      </c>
      <c r="P436" s="20" t="s">
        <v>126</v>
      </c>
      <c r="Q436" s="20" t="s">
        <v>56</v>
      </c>
      <c r="R436" s="20" t="s">
        <v>57</v>
      </c>
      <c r="S436" s="20" t="s">
        <v>143</v>
      </c>
      <c r="T436" s="20" t="s">
        <v>59</v>
      </c>
      <c r="U436" s="20">
        <v>2026.0</v>
      </c>
      <c r="V436" s="20">
        <v>6.0</v>
      </c>
      <c r="W436" s="20">
        <v>1.081875396E9</v>
      </c>
      <c r="X436" s="20">
        <v>1.081893868E9</v>
      </c>
      <c r="Y436" s="22">
        <v>46182.0</v>
      </c>
      <c r="Z436" s="22">
        <v>46207.0</v>
      </c>
      <c r="AA436" s="20">
        <v>510634.78</v>
      </c>
      <c r="AB436" s="20">
        <v>510634.78</v>
      </c>
      <c r="AC436" s="20">
        <v>0.0</v>
      </c>
      <c r="AD436" s="20">
        <v>2492.5</v>
      </c>
      <c r="AE436" s="20">
        <v>0.0</v>
      </c>
      <c r="AF436" s="20">
        <v>0.0</v>
      </c>
      <c r="AG436" s="20">
        <v>0.0</v>
      </c>
      <c r="AH436" s="20">
        <v>0.0</v>
      </c>
      <c r="AI436" s="20">
        <v>0.0</v>
      </c>
      <c r="AJ436" s="20">
        <v>510634.78</v>
      </c>
      <c r="AK436" s="20">
        <v>1521722.83</v>
      </c>
      <c r="AL436" s="20">
        <v>2.0</v>
      </c>
      <c r="AM436" s="20">
        <v>250.8</v>
      </c>
      <c r="AN436" s="20">
        <v>0.0</v>
      </c>
      <c r="AS436" s="11" t="str">
        <f>VLOOKUP(C436,'mayo-26'!B:AS,44,0)</f>
        <v>SERVICIOSPUBLICOS.TC@TELEFONICA.COM; D.CRUZ02@TELEFONICA.COM</v>
      </c>
      <c r="AT436" s="12" t="str">
        <f>VLOOKUP(C436,'mayo-26'!B:AT,45,0)</f>
        <v>CORREO ELECTRONICO CERTIFICADO 472</v>
      </c>
    </row>
    <row r="437" ht="14.25" customHeight="1">
      <c r="A437" s="20" t="s">
        <v>933</v>
      </c>
      <c r="B437" s="20">
        <v>252.0</v>
      </c>
      <c r="C437" s="20">
        <v>251.0</v>
      </c>
      <c r="D437" s="21">
        <v>251.0</v>
      </c>
      <c r="E437" s="20">
        <v>9.023527E7</v>
      </c>
      <c r="F437" s="20">
        <v>9.023527E7</v>
      </c>
      <c r="G437" s="20">
        <v>8.8269652E7</v>
      </c>
      <c r="H437" s="20" t="s">
        <v>934</v>
      </c>
      <c r="I437" s="1" t="str">
        <f>VLOOKUP(C437,'mayo-26'!B:H,7,0)</f>
        <v>AVE 0 11-153 LOC 2</v>
      </c>
      <c r="J437" s="1" t="s">
        <v>931</v>
      </c>
      <c r="K437" s="10" t="str">
        <f>VLOOKUP(C437,'mayo-26'!B:J,9,0)</f>
        <v>CENTRO</v>
      </c>
      <c r="L437" s="1" t="str">
        <f>VLOOKUP(C437,'mayo-26'!B:K,10,0)</f>
        <v>CENTRO</v>
      </c>
      <c r="M437" s="20" t="s">
        <v>52</v>
      </c>
      <c r="N437" s="20" t="s">
        <v>89</v>
      </c>
      <c r="O437" s="20" t="s">
        <v>861</v>
      </c>
      <c r="P437" s="20" t="s">
        <v>126</v>
      </c>
      <c r="Q437" s="20" t="s">
        <v>131</v>
      </c>
      <c r="R437" s="20" t="s">
        <v>363</v>
      </c>
      <c r="S437" s="20" t="s">
        <v>133</v>
      </c>
      <c r="T437" s="20" t="s">
        <v>59</v>
      </c>
      <c r="U437" s="20">
        <v>2026.0</v>
      </c>
      <c r="V437" s="20">
        <v>6.0</v>
      </c>
      <c r="W437" s="20">
        <v>1.081875398E9</v>
      </c>
      <c r="X437" s="20">
        <v>1.08189387E9</v>
      </c>
      <c r="Y437" s="22">
        <v>46182.0</v>
      </c>
      <c r="Z437" s="22">
        <v>46207.0</v>
      </c>
      <c r="AA437" s="20">
        <v>75366.0</v>
      </c>
      <c r="AB437" s="20">
        <v>75366.0</v>
      </c>
      <c r="AC437" s="20">
        <v>25122.0</v>
      </c>
      <c r="AD437" s="20">
        <v>0.0</v>
      </c>
      <c r="AE437" s="20">
        <v>0.0</v>
      </c>
      <c r="AF437" s="20">
        <v>0.0</v>
      </c>
      <c r="AG437" s="20">
        <v>0.0</v>
      </c>
      <c r="AH437" s="20">
        <v>0.0</v>
      </c>
      <c r="AI437" s="20">
        <v>0.0</v>
      </c>
      <c r="AJ437" s="20">
        <v>75366.0</v>
      </c>
      <c r="AK437" s="20">
        <v>75366.5</v>
      </c>
      <c r="AL437" s="20">
        <v>1.0</v>
      </c>
      <c r="AM437" s="20">
        <v>376.2</v>
      </c>
      <c r="AN437" s="20">
        <v>0.0</v>
      </c>
      <c r="AS437" s="11" t="str">
        <f>VLOOKUP(C437,'mayo-26'!B:AS,44,0)</f>
        <v>TUSECRETOSEXSHOP.1@GMAIL.COM</v>
      </c>
      <c r="AT437" s="12" t="str">
        <f>VLOOKUP(C437,'mayo-26'!B:AT,45,0)</f>
        <v>VERIFICADOR</v>
      </c>
    </row>
    <row r="438" ht="14.25" customHeight="1">
      <c r="A438" s="20" t="s">
        <v>935</v>
      </c>
      <c r="B438" s="20">
        <v>545073.0</v>
      </c>
      <c r="C438" s="20">
        <v>255.0</v>
      </c>
      <c r="D438" s="21">
        <v>255.0</v>
      </c>
      <c r="E438" s="20">
        <v>9.0235274E7</v>
      </c>
      <c r="F438" s="20">
        <v>9.0235274E7</v>
      </c>
      <c r="G438" s="20" t="s">
        <v>936</v>
      </c>
      <c r="H438" s="20" t="s">
        <v>937</v>
      </c>
      <c r="I438" s="1" t="str">
        <f>VLOOKUP(C438,'mayo-26'!B:H,7,0)</f>
        <v>CC JARDIN PLAZA LC 89</v>
      </c>
      <c r="J438" s="1" t="s">
        <v>931</v>
      </c>
      <c r="K438" s="10" t="str">
        <f>VLOOKUP(C438,'mayo-26'!B:J,9,0)</f>
        <v>CENTRO</v>
      </c>
      <c r="L438" s="1" t="str">
        <f>VLOOKUP(C438,'mayo-26'!B:K,10,0)</f>
        <v>CENTRO</v>
      </c>
      <c r="M438" s="20" t="s">
        <v>52</v>
      </c>
      <c r="N438" s="20" t="s">
        <v>53</v>
      </c>
      <c r="O438" s="20" t="s">
        <v>861</v>
      </c>
      <c r="P438" s="20" t="s">
        <v>126</v>
      </c>
      <c r="Q438" s="20" t="s">
        <v>218</v>
      </c>
      <c r="R438" s="20" t="s">
        <v>938</v>
      </c>
      <c r="S438" s="20" t="s">
        <v>133</v>
      </c>
      <c r="T438" s="20" t="s">
        <v>59</v>
      </c>
      <c r="U438" s="20">
        <v>2026.0</v>
      </c>
      <c r="V438" s="20">
        <v>6.0</v>
      </c>
      <c r="W438" s="20">
        <v>1.081875405E9</v>
      </c>
      <c r="X438" s="20">
        <v>1.081893877E9</v>
      </c>
      <c r="Y438" s="22">
        <v>46182.0</v>
      </c>
      <c r="Z438" s="22">
        <v>46207.0</v>
      </c>
      <c r="AA438" s="20">
        <v>53134.0</v>
      </c>
      <c r="AB438" s="20">
        <v>53134.0</v>
      </c>
      <c r="AC438" s="20">
        <v>0.0</v>
      </c>
      <c r="AD438" s="20">
        <v>0.0</v>
      </c>
      <c r="AE438" s="20">
        <v>0.0</v>
      </c>
      <c r="AF438" s="20">
        <v>0.0</v>
      </c>
      <c r="AG438" s="20">
        <v>0.0</v>
      </c>
      <c r="AH438" s="20">
        <v>0.0</v>
      </c>
      <c r="AI438" s="20">
        <v>0.0</v>
      </c>
      <c r="AJ438" s="20">
        <v>53134.0</v>
      </c>
      <c r="AK438" s="20">
        <v>53134.0</v>
      </c>
      <c r="AL438" s="20">
        <v>0.0</v>
      </c>
      <c r="AM438" s="20">
        <v>250.8</v>
      </c>
      <c r="AN438" s="20">
        <v>0.0</v>
      </c>
      <c r="AS438" s="11" t="str">
        <f>VLOOKUP(C438,'mayo-26'!B:AS,44,0)</f>
        <v>CONTABILIDAD@KALOS.COM.CO</v>
      </c>
      <c r="AT438" s="12" t="str">
        <f>VLOOKUP(C438,'mayo-26'!B:AT,45,0)</f>
        <v>VERIFICADOR</v>
      </c>
    </row>
    <row r="439" ht="14.25" customHeight="1">
      <c r="A439" s="20" t="s">
        <v>939</v>
      </c>
      <c r="B439" s="20">
        <v>260.0</v>
      </c>
      <c r="C439" s="20">
        <v>259.0</v>
      </c>
      <c r="D439" s="21">
        <v>259.0</v>
      </c>
      <c r="E439" s="20">
        <v>9.0235279E7</v>
      </c>
      <c r="F439" s="20">
        <v>9.0235279E7</v>
      </c>
      <c r="G439" s="20">
        <v>9.0235279E7</v>
      </c>
      <c r="H439" s="20" t="s">
        <v>934</v>
      </c>
      <c r="I439" s="1" t="str">
        <f>VLOOKUP(C439,'mayo-26'!B:H,7,0)</f>
        <v>AVE 0 11-153 303</v>
      </c>
      <c r="J439" s="1" t="s">
        <v>931</v>
      </c>
      <c r="K439" s="10" t="str">
        <f>VLOOKUP(C439,'mayo-26'!B:J,9,0)</f>
        <v>CENTRO</v>
      </c>
      <c r="L439" s="1" t="str">
        <f>VLOOKUP(C439,'mayo-26'!B:K,10,0)</f>
        <v>CENTRO</v>
      </c>
      <c r="M439" s="20" t="s">
        <v>52</v>
      </c>
      <c r="N439" s="20" t="s">
        <v>89</v>
      </c>
      <c r="O439" s="20" t="s">
        <v>861</v>
      </c>
      <c r="P439" s="20" t="s">
        <v>126</v>
      </c>
      <c r="Q439" s="20" t="s">
        <v>218</v>
      </c>
      <c r="R439" s="20" t="s">
        <v>938</v>
      </c>
      <c r="S439" s="20" t="s">
        <v>133</v>
      </c>
      <c r="T439" s="20" t="s">
        <v>59</v>
      </c>
      <c r="U439" s="20">
        <v>2026.0</v>
      </c>
      <c r="V439" s="20">
        <v>6.0</v>
      </c>
      <c r="W439" s="20">
        <v>1.081875408E9</v>
      </c>
      <c r="X439" s="20">
        <v>1.08189388E9</v>
      </c>
      <c r="Y439" s="22">
        <v>46182.0</v>
      </c>
      <c r="Z439" s="22">
        <v>46207.0</v>
      </c>
      <c r="AA439" s="20">
        <v>53134.0</v>
      </c>
      <c r="AB439" s="20">
        <v>53134.0</v>
      </c>
      <c r="AC439" s="20">
        <v>0.0</v>
      </c>
      <c r="AD439" s="20">
        <v>0.0</v>
      </c>
      <c r="AE439" s="20">
        <v>0.0</v>
      </c>
      <c r="AF439" s="20">
        <v>0.0</v>
      </c>
      <c r="AG439" s="20">
        <v>0.0</v>
      </c>
      <c r="AH439" s="20">
        <v>0.0</v>
      </c>
      <c r="AI439" s="20">
        <v>0.0</v>
      </c>
      <c r="AJ439" s="20">
        <v>53134.0</v>
      </c>
      <c r="AK439" s="20">
        <v>53134.0</v>
      </c>
      <c r="AL439" s="20">
        <v>0.0</v>
      </c>
      <c r="AM439" s="20">
        <v>250.8</v>
      </c>
      <c r="AN439" s="20">
        <v>0.0</v>
      </c>
      <c r="AS439" s="11" t="str">
        <f>VLOOKUP(C439,'mayo-26'!B:AS,44,0)</f>
        <v>JENNY.GIL@VEOLIA.COM</v>
      </c>
      <c r="AT439" s="12" t="str">
        <f>VLOOKUP(C439,'mayo-26'!B:AT,45,0)</f>
        <v>VERIFICADOR</v>
      </c>
    </row>
    <row r="440" ht="14.25" customHeight="1">
      <c r="A440" s="20" t="s">
        <v>940</v>
      </c>
      <c r="B440" s="20">
        <v>271.0</v>
      </c>
      <c r="C440" s="20">
        <v>271.0</v>
      </c>
      <c r="D440" s="21">
        <v>271.0</v>
      </c>
      <c r="E440" s="20">
        <v>9.0236216E7</v>
      </c>
      <c r="F440" s="20">
        <v>9.0236216E7</v>
      </c>
      <c r="G440" s="20">
        <v>9.0236215E7</v>
      </c>
      <c r="H440" s="20" t="s">
        <v>941</v>
      </c>
      <c r="I440" s="1" t="str">
        <f>VLOOKUP(C440,'mayo-26'!B:H,7,0)</f>
        <v>CLL 14 4E-23 APTO 201</v>
      </c>
      <c r="J440" s="1" t="s">
        <v>942</v>
      </c>
      <c r="K440" s="10" t="str">
        <f>VLOOKUP(C440,'mayo-26'!B:J,9,0)</f>
        <v>CENTRO </v>
      </c>
      <c r="L440" s="1" t="str">
        <f>VLOOKUP(C440,'mayo-26'!B:K,10,0)</f>
        <v>EDIFICIO ATLANTE LTDA</v>
      </c>
      <c r="M440" s="20" t="s">
        <v>52</v>
      </c>
      <c r="N440" s="20" t="s">
        <v>53</v>
      </c>
      <c r="O440" s="20" t="s">
        <v>861</v>
      </c>
      <c r="P440" s="20" t="s">
        <v>126</v>
      </c>
      <c r="Q440" s="20" t="s">
        <v>218</v>
      </c>
      <c r="R440" s="20" t="s">
        <v>943</v>
      </c>
      <c r="S440" s="20" t="s">
        <v>133</v>
      </c>
      <c r="T440" s="20" t="s">
        <v>59</v>
      </c>
      <c r="U440" s="20">
        <v>2026.0</v>
      </c>
      <c r="V440" s="20">
        <v>6.0</v>
      </c>
      <c r="W440" s="20">
        <v>1.081875411E9</v>
      </c>
      <c r="X440" s="20">
        <v>1.081893883E9</v>
      </c>
      <c r="Y440" s="22">
        <v>46182.0</v>
      </c>
      <c r="Z440" s="22">
        <v>46207.0</v>
      </c>
      <c r="AA440" s="20">
        <v>84807.0</v>
      </c>
      <c r="AB440" s="20">
        <v>84807.0</v>
      </c>
      <c r="AC440" s="20">
        <v>28269.0</v>
      </c>
      <c r="AD440" s="20">
        <v>0.0</v>
      </c>
      <c r="AE440" s="20">
        <v>0.0</v>
      </c>
      <c r="AF440" s="20">
        <v>0.0</v>
      </c>
      <c r="AG440" s="20">
        <v>0.0</v>
      </c>
      <c r="AH440" s="20">
        <v>0.0</v>
      </c>
      <c r="AI440" s="20">
        <v>0.0</v>
      </c>
      <c r="AJ440" s="20">
        <v>0.0</v>
      </c>
      <c r="AK440" s="20">
        <v>0.0</v>
      </c>
      <c r="AL440" s="20">
        <v>0.0</v>
      </c>
      <c r="AM440" s="20">
        <v>376.2</v>
      </c>
      <c r="AN440" s="20">
        <v>0.0</v>
      </c>
      <c r="AQ440" s="20">
        <v>84807.0</v>
      </c>
      <c r="AS440" s="11" t="str">
        <f>VLOOKUP(C440,'mayo-26'!B:AS,44,0)</f>
        <v>CINOVA1934@YAHOO.COM</v>
      </c>
      <c r="AT440" s="12" t="str">
        <f>VLOOKUP(C440,'mayo-26'!B:AT,45,0)</f>
        <v>VERIFICADOR</v>
      </c>
    </row>
    <row r="441" ht="14.25" customHeight="1">
      <c r="A441" s="20" t="s">
        <v>944</v>
      </c>
      <c r="B441" s="20">
        <v>276.0</v>
      </c>
      <c r="C441" s="20">
        <v>275.0</v>
      </c>
      <c r="D441" s="21">
        <v>275.0</v>
      </c>
      <c r="E441" s="20">
        <v>9.023622E7</v>
      </c>
      <c r="F441" s="20">
        <v>9.023622E7</v>
      </c>
      <c r="G441" s="20">
        <v>9.023622E7</v>
      </c>
      <c r="H441" s="20" t="s">
        <v>945</v>
      </c>
      <c r="I441" s="1" t="str">
        <f>VLOOKUP(C441,'mayo-26'!B:H,7,0)</f>
        <v>CLL 14 4E-23 APTO 402</v>
      </c>
      <c r="J441" s="1" t="s">
        <v>942</v>
      </c>
      <c r="K441" s="10" t="str">
        <f>VLOOKUP(C441,'mayo-26'!B:J,9,0)</f>
        <v>CENTRO</v>
      </c>
      <c r="L441" s="1" t="str">
        <f>VLOOKUP(C441,'mayo-26'!B:K,10,0)</f>
        <v>EDIFICIO ATLANTE LTDA</v>
      </c>
      <c r="M441" s="20" t="s">
        <v>52</v>
      </c>
      <c r="N441" s="20" t="s">
        <v>89</v>
      </c>
      <c r="O441" s="20" t="s">
        <v>861</v>
      </c>
      <c r="P441" s="20" t="s">
        <v>126</v>
      </c>
      <c r="Q441" s="20" t="s">
        <v>218</v>
      </c>
      <c r="R441" s="20" t="s">
        <v>943</v>
      </c>
      <c r="S441" s="20" t="s">
        <v>133</v>
      </c>
      <c r="T441" s="20" t="s">
        <v>59</v>
      </c>
      <c r="U441" s="20">
        <v>2026.0</v>
      </c>
      <c r="V441" s="20">
        <v>6.0</v>
      </c>
      <c r="W441" s="20">
        <v>1.081875417E9</v>
      </c>
      <c r="X441" s="20">
        <v>1.081893889E9</v>
      </c>
      <c r="Y441" s="22">
        <v>46182.0</v>
      </c>
      <c r="Z441" s="22">
        <v>46207.0</v>
      </c>
      <c r="AA441" s="20">
        <v>87432.91</v>
      </c>
      <c r="AB441" s="20">
        <v>87432.91</v>
      </c>
      <c r="AC441" s="20">
        <v>28269.0</v>
      </c>
      <c r="AD441" s="20">
        <v>0.0</v>
      </c>
      <c r="AE441" s="20">
        <v>2625.91</v>
      </c>
      <c r="AF441" s="20">
        <v>0.0</v>
      </c>
      <c r="AG441" s="20">
        <v>0.0</v>
      </c>
      <c r="AH441" s="20">
        <v>0.0</v>
      </c>
      <c r="AI441" s="20">
        <v>0.0</v>
      </c>
      <c r="AJ441" s="20">
        <v>87432.91</v>
      </c>
      <c r="AK441" s="20">
        <v>343837.16</v>
      </c>
      <c r="AL441" s="20">
        <v>3.0</v>
      </c>
      <c r="AM441" s="20">
        <v>376.2</v>
      </c>
      <c r="AN441" s="20">
        <v>0.0</v>
      </c>
      <c r="AS441" s="11" t="str">
        <f>VLOOKUP(C441,'mayo-26'!B:AS,44,0)</f>
        <v>LINOGAL21@HOTMAIL.COM</v>
      </c>
      <c r="AT441" s="12" t="str">
        <f>VLOOKUP(C441,'mayo-26'!B:AT,45,0)</f>
        <v>VERIFICADOR</v>
      </c>
    </row>
    <row r="442" ht="14.25" customHeight="1">
      <c r="A442" s="20" t="s">
        <v>946</v>
      </c>
      <c r="B442" s="20">
        <v>280.0</v>
      </c>
      <c r="C442" s="20">
        <v>279.0</v>
      </c>
      <c r="D442" s="21">
        <v>279.0</v>
      </c>
      <c r="E442" s="20">
        <v>9.0236224E7</v>
      </c>
      <c r="F442" s="20">
        <v>9.0236224E7</v>
      </c>
      <c r="G442" s="20">
        <v>9.0236224E7</v>
      </c>
      <c r="H442" s="20" t="s">
        <v>947</v>
      </c>
      <c r="I442" s="1" t="str">
        <f>VLOOKUP(C442,'mayo-26'!B:H,7,0)</f>
        <v>CLL 14 4E-23 APTO 602</v>
      </c>
      <c r="J442" s="1" t="s">
        <v>942</v>
      </c>
      <c r="K442" s="10" t="str">
        <f>VLOOKUP(C442,'mayo-26'!B:J,9,0)</f>
        <v>CENTRO</v>
      </c>
      <c r="L442" s="1" t="str">
        <f>VLOOKUP(C442,'mayo-26'!B:K,10,0)</f>
        <v>EDIFICIO ATLANTE LTDA</v>
      </c>
      <c r="M442" s="20" t="s">
        <v>52</v>
      </c>
      <c r="N442" s="20" t="s">
        <v>89</v>
      </c>
      <c r="O442" s="20" t="s">
        <v>861</v>
      </c>
      <c r="P442" s="20" t="s">
        <v>126</v>
      </c>
      <c r="Q442" s="20" t="s">
        <v>218</v>
      </c>
      <c r="R442" s="20" t="s">
        <v>943</v>
      </c>
      <c r="S442" s="20" t="s">
        <v>133</v>
      </c>
      <c r="T442" s="20" t="s">
        <v>59</v>
      </c>
      <c r="U442" s="20">
        <v>2026.0</v>
      </c>
      <c r="V442" s="20">
        <v>6.0</v>
      </c>
      <c r="W442" s="20">
        <v>1.081875421E9</v>
      </c>
      <c r="X442" s="20">
        <v>1.081893893E9</v>
      </c>
      <c r="Y442" s="22">
        <v>46182.0</v>
      </c>
      <c r="Z442" s="22">
        <v>46207.0</v>
      </c>
      <c r="AA442" s="20">
        <v>84807.0</v>
      </c>
      <c r="AB442" s="20">
        <v>84807.0</v>
      </c>
      <c r="AC442" s="20">
        <v>28269.0</v>
      </c>
      <c r="AD442" s="20">
        <v>0.0</v>
      </c>
      <c r="AE442" s="20">
        <v>0.0</v>
      </c>
      <c r="AF442" s="20">
        <v>0.0</v>
      </c>
      <c r="AG442" s="20">
        <v>0.0</v>
      </c>
      <c r="AH442" s="20">
        <v>0.0</v>
      </c>
      <c r="AI442" s="20">
        <v>0.0</v>
      </c>
      <c r="AJ442" s="20">
        <v>84807.0</v>
      </c>
      <c r="AK442" s="20">
        <v>84807.0</v>
      </c>
      <c r="AL442" s="20">
        <v>0.0</v>
      </c>
      <c r="AM442" s="20">
        <v>376.2</v>
      </c>
      <c r="AN442" s="20">
        <v>0.0</v>
      </c>
      <c r="AS442" s="11" t="str">
        <f>VLOOKUP(C442,'mayo-26'!B:AS,44,0)</f>
        <v>#ERROR!</v>
      </c>
      <c r="AT442" s="12" t="str">
        <f>VLOOKUP(C442,'mayo-26'!B:AT,45,0)</f>
        <v>VERIFICADOR</v>
      </c>
    </row>
    <row r="443" ht="14.25" customHeight="1">
      <c r="A443" s="20" t="s">
        <v>948</v>
      </c>
      <c r="B443" s="20">
        <v>284.0</v>
      </c>
      <c r="C443" s="20">
        <v>283.0</v>
      </c>
      <c r="D443" s="21">
        <v>283.0</v>
      </c>
      <c r="E443" s="20">
        <v>9.0237001E7</v>
      </c>
      <c r="F443" s="20">
        <v>9.0237001E7</v>
      </c>
      <c r="G443" s="20" t="s">
        <v>949</v>
      </c>
      <c r="H443" s="20" t="s">
        <v>950</v>
      </c>
      <c r="I443" s="1" t="str">
        <f>VLOOKUP(C443,'mayo-26'!B:H,7,0)</f>
        <v>AVE 1 18-11</v>
      </c>
      <c r="J443" s="1" t="s">
        <v>123</v>
      </c>
      <c r="K443" s="10" t="str">
        <f>VLOOKUP(C443,'mayo-26'!B:J,9,0)</f>
        <v>NO</v>
      </c>
      <c r="L443" s="1" t="str">
        <f>VLOOKUP(C443,'mayo-26'!B:K,10,0)</f>
        <v>NO</v>
      </c>
      <c r="M443" s="20" t="s">
        <v>52</v>
      </c>
      <c r="N443" s="20" t="s">
        <v>89</v>
      </c>
      <c r="O443" s="20" t="s">
        <v>861</v>
      </c>
      <c r="P443" s="20" t="s">
        <v>126</v>
      </c>
      <c r="Q443" s="20" t="s">
        <v>56</v>
      </c>
      <c r="R443" s="20" t="s">
        <v>57</v>
      </c>
      <c r="S443" s="20" t="s">
        <v>143</v>
      </c>
      <c r="T443" s="20" t="s">
        <v>59</v>
      </c>
      <c r="U443" s="20">
        <v>2026.0</v>
      </c>
      <c r="V443" s="20">
        <v>6.0</v>
      </c>
      <c r="W443" s="20">
        <v>1.081875425E9</v>
      </c>
      <c r="X443" s="20">
        <v>1.081893897E9</v>
      </c>
      <c r="Y443" s="22">
        <v>46182.0</v>
      </c>
      <c r="Z443" s="22">
        <v>46207.0</v>
      </c>
      <c r="AA443" s="20">
        <v>1532039.51</v>
      </c>
      <c r="AB443" s="20">
        <v>1532039.51</v>
      </c>
      <c r="AC443" s="20">
        <v>0.0</v>
      </c>
      <c r="AD443" s="20">
        <v>7875.0</v>
      </c>
      <c r="AE443" s="20">
        <v>0.0</v>
      </c>
      <c r="AF443" s="20">
        <v>0.0</v>
      </c>
      <c r="AG443" s="20">
        <v>0.0</v>
      </c>
      <c r="AH443" s="20">
        <v>0.0</v>
      </c>
      <c r="AI443" s="20">
        <v>0.0</v>
      </c>
      <c r="AJ443" s="20">
        <v>1532039.51</v>
      </c>
      <c r="AK443" s="20">
        <v>1532039.51</v>
      </c>
      <c r="AL443" s="20">
        <v>0.0</v>
      </c>
      <c r="AM443" s="20">
        <v>250.8</v>
      </c>
      <c r="AN443" s="20">
        <v>0.0</v>
      </c>
      <c r="AS443" s="11" t="str">
        <f>VLOOKUP(C443,'mayo-26'!B:AS,44,0)</f>
        <v>CONTABILIDAD@CLINICANORTE.COM.CO</v>
      </c>
      <c r="AT443" s="12" t="str">
        <f>VLOOKUP(C443,'mayo-26'!B:AT,45,0)</f>
        <v>CORREO ELECTRONICO CERTIFICADO 472</v>
      </c>
    </row>
    <row r="444" ht="14.25" customHeight="1">
      <c r="A444" s="20" t="s">
        <v>951</v>
      </c>
      <c r="B444" s="20">
        <v>28308.0</v>
      </c>
      <c r="C444" s="20">
        <v>28307.0</v>
      </c>
      <c r="D444" s="21">
        <v>28307.0</v>
      </c>
      <c r="E444" s="20">
        <v>196747.0</v>
      </c>
      <c r="F444" s="20">
        <v>196747.0</v>
      </c>
      <c r="G444" s="20">
        <v>1.093770325E9</v>
      </c>
      <c r="H444" s="20" t="s">
        <v>952</v>
      </c>
      <c r="I444" s="1" t="str">
        <f>VLOOKUP(C444,'mayo-26'!B:H,7,0)</f>
        <v>CLL 1BN 15AE-29</v>
      </c>
      <c r="J444" s="1" t="s">
        <v>953</v>
      </c>
      <c r="K444" s="10" t="str">
        <f>VLOOKUP(C444,'mayo-26'!B:J,9,0)</f>
        <v>NO</v>
      </c>
      <c r="L444" s="1" t="str">
        <f>VLOOKUP(C444,'mayo-26'!B:K,10,0)</f>
        <v>NO</v>
      </c>
      <c r="M444" s="20" t="s">
        <v>52</v>
      </c>
      <c r="N444" s="20" t="s">
        <v>89</v>
      </c>
      <c r="O444" s="20" t="s">
        <v>861</v>
      </c>
      <c r="P444" s="20" t="s">
        <v>126</v>
      </c>
      <c r="Q444" s="20" t="s">
        <v>131</v>
      </c>
      <c r="R444" s="20" t="s">
        <v>132</v>
      </c>
      <c r="S444" s="20" t="s">
        <v>133</v>
      </c>
      <c r="T444" s="20" t="s">
        <v>59</v>
      </c>
      <c r="U444" s="20">
        <v>2026.0</v>
      </c>
      <c r="V444" s="20">
        <v>6.0</v>
      </c>
      <c r="W444" s="20">
        <v>1.081875654E9</v>
      </c>
      <c r="X444" s="20">
        <v>1.081894126E9</v>
      </c>
      <c r="Y444" s="22">
        <v>46182.0</v>
      </c>
      <c r="Z444" s="22">
        <v>46207.0</v>
      </c>
      <c r="AA444" s="20">
        <v>114389.91</v>
      </c>
      <c r="AB444" s="20">
        <v>114389.91</v>
      </c>
      <c r="AC444" s="20">
        <v>37709.5</v>
      </c>
      <c r="AD444" s="20">
        <v>0.0</v>
      </c>
      <c r="AE444" s="20">
        <v>1261.41</v>
      </c>
      <c r="AF444" s="20">
        <v>0.0</v>
      </c>
      <c r="AG444" s="20">
        <v>0.0</v>
      </c>
      <c r="AH444" s="20">
        <v>0.0</v>
      </c>
      <c r="AI444" s="20">
        <v>0.0</v>
      </c>
      <c r="AJ444" s="20">
        <v>114389.91</v>
      </c>
      <c r="AK444" s="20">
        <v>340726.41</v>
      </c>
      <c r="AL444" s="20">
        <v>2.0</v>
      </c>
      <c r="AM444" s="20">
        <v>376.2</v>
      </c>
      <c r="AN444" s="20">
        <v>0.0</v>
      </c>
      <c r="AS444" s="11" t="str">
        <f>VLOOKUP(C444,'mayo-26'!B:AS,44,0)</f>
        <v>CONTABILIDAD.TODOENUNO@GMAIL.COM</v>
      </c>
      <c r="AT444" s="12" t="str">
        <f>VLOOKUP(C444,'mayo-26'!B:AT,45,0)</f>
        <v>CORREO ELECTRONICO CERTIFICADO 472</v>
      </c>
    </row>
    <row r="445" ht="14.25" customHeight="1">
      <c r="A445" s="20" t="s">
        <v>954</v>
      </c>
      <c r="B445" s="20">
        <v>455370.0</v>
      </c>
      <c r="C445" s="20">
        <v>291.0</v>
      </c>
      <c r="D445" s="21">
        <v>291.0</v>
      </c>
      <c r="E445" s="20">
        <v>9.0238192E7</v>
      </c>
      <c r="F445" s="20">
        <v>9.0238192E7</v>
      </c>
      <c r="G445" s="20" t="s">
        <v>148</v>
      </c>
      <c r="H445" s="20" t="s">
        <v>149</v>
      </c>
      <c r="I445" s="1" t="str">
        <f>VLOOKUP(C445,'mayo-26'!B:H,7,0)</f>
        <v>CALLE 10 NO 0E-16 EDF CENTRO EMPRESARIAL BLOQUE B HOTEL TONCHALA</v>
      </c>
      <c r="J445" s="1" t="s">
        <v>955</v>
      </c>
      <c r="K445" s="10" t="str">
        <f>VLOOKUP(C445,'mayo-26'!B:J,9,0)</f>
        <v>NO</v>
      </c>
      <c r="L445" s="1" t="str">
        <f>VLOOKUP(C445,'mayo-26'!B:K,10,0)</f>
        <v>COLEGIOS ZONA SUR</v>
      </c>
      <c r="M445" s="20" t="s">
        <v>52</v>
      </c>
      <c r="N445" s="20" t="s">
        <v>53</v>
      </c>
      <c r="O445" s="20" t="s">
        <v>861</v>
      </c>
      <c r="P445" s="20" t="s">
        <v>126</v>
      </c>
      <c r="Q445" s="20" t="s">
        <v>56</v>
      </c>
      <c r="R445" s="20" t="s">
        <v>57</v>
      </c>
      <c r="S445" s="20" t="s">
        <v>143</v>
      </c>
      <c r="T445" s="20" t="s">
        <v>59</v>
      </c>
      <c r="U445" s="20">
        <v>2026.0</v>
      </c>
      <c r="V445" s="20">
        <v>6.0</v>
      </c>
      <c r="W445" s="20">
        <v>1.081875429E9</v>
      </c>
      <c r="X445" s="20">
        <v>1.081893901E9</v>
      </c>
      <c r="Y445" s="22">
        <v>46182.0</v>
      </c>
      <c r="Z445" s="22">
        <v>46207.0</v>
      </c>
      <c r="AA445" s="20">
        <v>206158.44</v>
      </c>
      <c r="AB445" s="20">
        <v>206158.44</v>
      </c>
      <c r="AC445" s="20">
        <v>0.0</v>
      </c>
      <c r="AD445" s="20">
        <v>888.0</v>
      </c>
      <c r="AE445" s="20">
        <v>0.0</v>
      </c>
      <c r="AF445" s="20">
        <v>0.0</v>
      </c>
      <c r="AG445" s="20">
        <v>0.0</v>
      </c>
      <c r="AH445" s="20">
        <v>0.0</v>
      </c>
      <c r="AI445" s="20">
        <v>0.0</v>
      </c>
      <c r="AJ445" s="20">
        <v>206158.44</v>
      </c>
      <c r="AK445" s="20">
        <v>615456.98</v>
      </c>
      <c r="AL445" s="20">
        <v>3.0</v>
      </c>
      <c r="AM445" s="20">
        <v>250.8</v>
      </c>
      <c r="AN445" s="20">
        <v>0.0</v>
      </c>
      <c r="AS445" s="11" t="str">
        <f>VLOOKUP(C445,'mayo-26'!B:AS,44,0)</f>
        <v>AREAFINANCIERA@SEMCUCUTA.GOV.CO</v>
      </c>
      <c r="AT445" s="12" t="str">
        <f>VLOOKUP(C445,'mayo-26'!B:AT,45,0)</f>
        <v>CARTERA</v>
      </c>
    </row>
    <row r="446" ht="14.25" customHeight="1">
      <c r="A446" s="20" t="s">
        <v>956</v>
      </c>
      <c r="B446" s="20">
        <v>285191.0</v>
      </c>
      <c r="C446" s="20">
        <v>29435.0</v>
      </c>
      <c r="D446" s="21">
        <v>29435.0</v>
      </c>
      <c r="E446" s="20">
        <v>204088.0</v>
      </c>
      <c r="F446" s="20">
        <v>204088.0</v>
      </c>
      <c r="G446" s="20">
        <v>9.00276962E8</v>
      </c>
      <c r="H446" s="20" t="s">
        <v>128</v>
      </c>
      <c r="I446" s="1" t="str">
        <f>VLOOKUP(C446,'mayo-26'!B:H,7,0)</f>
        <v>KDX 73-2 1116</v>
      </c>
      <c r="J446" s="1" t="s">
        <v>863</v>
      </c>
      <c r="K446" s="10" t="str">
        <f>VLOOKUP(C446,'mayo-26'!B:J,9,0)</f>
        <v>NO</v>
      </c>
      <c r="L446" s="1" t="str">
        <f>VLOOKUP(C446,'mayo-26'!B:K,10,0)</f>
        <v>D1</v>
      </c>
      <c r="M446" s="20" t="s">
        <v>52</v>
      </c>
      <c r="N446" s="20" t="s">
        <v>89</v>
      </c>
      <c r="O446" s="20" t="s">
        <v>861</v>
      </c>
      <c r="P446" s="20" t="s">
        <v>126</v>
      </c>
      <c r="Q446" s="20" t="s">
        <v>131</v>
      </c>
      <c r="R446" s="20" t="s">
        <v>132</v>
      </c>
      <c r="S446" s="20" t="s">
        <v>133</v>
      </c>
      <c r="T446" s="20" t="s">
        <v>59</v>
      </c>
      <c r="U446" s="20">
        <v>2026.0</v>
      </c>
      <c r="V446" s="20">
        <v>6.0</v>
      </c>
      <c r="W446" s="20">
        <v>1.081875658E9</v>
      </c>
      <c r="X446" s="20">
        <v>1.08189413E9</v>
      </c>
      <c r="Y446" s="22">
        <v>46182.0</v>
      </c>
      <c r="Z446" s="22">
        <v>46207.0</v>
      </c>
      <c r="AA446" s="20">
        <v>113128.5</v>
      </c>
      <c r="AB446" s="20">
        <v>113128.5</v>
      </c>
      <c r="AC446" s="20">
        <v>37709.5</v>
      </c>
      <c r="AD446" s="20">
        <v>0.0</v>
      </c>
      <c r="AE446" s="20">
        <v>0.0</v>
      </c>
      <c r="AF446" s="20">
        <v>0.0</v>
      </c>
      <c r="AG446" s="20">
        <v>0.0</v>
      </c>
      <c r="AH446" s="20">
        <v>0.0</v>
      </c>
      <c r="AI446" s="20">
        <v>0.0</v>
      </c>
      <c r="AJ446" s="20">
        <v>113128.5</v>
      </c>
      <c r="AK446" s="20">
        <v>113128.5</v>
      </c>
      <c r="AL446" s="20">
        <v>0.0</v>
      </c>
      <c r="AM446" s="20">
        <v>376.2</v>
      </c>
      <c r="AN446" s="20">
        <v>0.0</v>
      </c>
      <c r="AS446" s="11" t="str">
        <f>VLOOKUP(C446,'mayo-26'!B:AS,44,0)</f>
        <v>ALBA.CELIS@D1.COM.CO;CARMEN.DAVILA@D1.COM.CO</v>
      </c>
      <c r="AT446" s="12" t="str">
        <f>VLOOKUP(C446,'mayo-26'!B:AT,45,0)</f>
        <v>CORREO ELECTRONICO CERTIFICADO 472</v>
      </c>
    </row>
    <row r="447" ht="14.25" customHeight="1">
      <c r="A447" s="20" t="s">
        <v>957</v>
      </c>
      <c r="B447" s="20">
        <v>296.0</v>
      </c>
      <c r="C447" s="20">
        <v>295.0</v>
      </c>
      <c r="D447" s="21">
        <v>295.0</v>
      </c>
      <c r="E447" s="20">
        <v>9.0239422E7</v>
      </c>
      <c r="F447" s="20">
        <v>9.0239422E7</v>
      </c>
      <c r="G447" s="20" t="s">
        <v>958</v>
      </c>
      <c r="H447" s="20" t="s">
        <v>959</v>
      </c>
      <c r="I447" s="1" t="str">
        <f>VLOOKUP(C447,'mayo-26'!B:H,7,0)</f>
        <v>CLL 18 AVE 1 Y 2 COLEGIO</v>
      </c>
      <c r="J447" s="1">
        <v>0.0</v>
      </c>
      <c r="K447" s="10" t="str">
        <f>VLOOKUP(C447,'mayo-26'!B:J,9,0)</f>
        <v>CENTRO</v>
      </c>
      <c r="L447" s="1" t="str">
        <f>VLOOKUP(C447,'mayo-26'!B:K,10,0)</f>
        <v>CENTRO</v>
      </c>
      <c r="M447" s="20" t="s">
        <v>52</v>
      </c>
      <c r="N447" s="20" t="s">
        <v>89</v>
      </c>
      <c r="O447" s="20" t="s">
        <v>861</v>
      </c>
      <c r="P447" s="20" t="s">
        <v>126</v>
      </c>
      <c r="Q447" s="20" t="s">
        <v>56</v>
      </c>
      <c r="R447" s="20" t="s">
        <v>90</v>
      </c>
      <c r="S447" s="20" t="s">
        <v>143</v>
      </c>
      <c r="T447" s="20" t="s">
        <v>59</v>
      </c>
      <c r="U447" s="20">
        <v>2026.0</v>
      </c>
      <c r="V447" s="20">
        <v>6.0</v>
      </c>
      <c r="W447" s="20">
        <v>1.081875432E9</v>
      </c>
      <c r="X447" s="20">
        <v>1.081893904E9</v>
      </c>
      <c r="Y447" s="22">
        <v>46182.0</v>
      </c>
      <c r="Z447" s="22">
        <v>46207.0</v>
      </c>
      <c r="AA447" s="20">
        <v>779472.84</v>
      </c>
      <c r="AB447" s="20">
        <v>779472.84</v>
      </c>
      <c r="AC447" s="20">
        <v>259824.28</v>
      </c>
      <c r="AD447" s="20">
        <v>2540.0</v>
      </c>
      <c r="AE447" s="20">
        <v>0.0</v>
      </c>
      <c r="AF447" s="20">
        <v>0.0</v>
      </c>
      <c r="AG447" s="20">
        <v>0.0</v>
      </c>
      <c r="AH447" s="20">
        <v>0.0</v>
      </c>
      <c r="AI447" s="20">
        <v>0.0</v>
      </c>
      <c r="AJ447" s="20">
        <v>779472.84</v>
      </c>
      <c r="AK447" s="20">
        <v>779473.75</v>
      </c>
      <c r="AL447" s="20">
        <v>1.0</v>
      </c>
      <c r="AM447" s="20">
        <v>376.2</v>
      </c>
      <c r="AN447" s="20">
        <v>0.0</v>
      </c>
      <c r="AS447" s="11" t="str">
        <f>VLOOKUP(C447,'mayo-26'!B:AS,44,0)</f>
        <v>CONTADORA@COLPRESANTATERESACUCUTA.EDU.CO</v>
      </c>
      <c r="AT447" s="12" t="str">
        <f>VLOOKUP(C447,'mayo-26'!B:AT,45,0)</f>
        <v>VERIFICADOR</v>
      </c>
    </row>
    <row r="448" ht="14.25" customHeight="1">
      <c r="A448" s="20" t="s">
        <v>960</v>
      </c>
      <c r="B448" s="20">
        <v>300.0</v>
      </c>
      <c r="C448" s="20">
        <v>299.0</v>
      </c>
      <c r="D448" s="21">
        <v>299.0</v>
      </c>
      <c r="E448" s="20">
        <v>9.0239509E7</v>
      </c>
      <c r="F448" s="20">
        <v>9.0239509E7</v>
      </c>
      <c r="G448" s="20">
        <v>8.07003087E8</v>
      </c>
      <c r="H448" s="20" t="s">
        <v>961</v>
      </c>
      <c r="I448" s="1" t="str">
        <f>VLOOKUP(C448,'mayo-26'!B:H,7,0)</f>
        <v>AVE 1 16-60</v>
      </c>
      <c r="J448" s="1" t="s">
        <v>343</v>
      </c>
      <c r="K448" s="10" t="str">
        <f>VLOOKUP(C448,'mayo-26'!B:J,9,0)</f>
        <v>NO</v>
      </c>
      <c r="L448" s="1" t="str">
        <f>VLOOKUP(C448,'mayo-26'!B:K,10,0)</f>
        <v>NO</v>
      </c>
      <c r="M448" s="20" t="s">
        <v>52</v>
      </c>
      <c r="N448" s="20" t="s">
        <v>89</v>
      </c>
      <c r="O448" s="20" t="s">
        <v>861</v>
      </c>
      <c r="P448" s="20" t="s">
        <v>126</v>
      </c>
      <c r="Q448" s="20" t="s">
        <v>56</v>
      </c>
      <c r="R448" s="20" t="s">
        <v>90</v>
      </c>
      <c r="S448" s="20" t="s">
        <v>143</v>
      </c>
      <c r="T448" s="20" t="s">
        <v>59</v>
      </c>
      <c r="U448" s="20">
        <v>2026.0</v>
      </c>
      <c r="V448" s="20">
        <v>6.0</v>
      </c>
      <c r="W448" s="20">
        <v>1.081875436E9</v>
      </c>
      <c r="X448" s="20">
        <v>1.081893908E9</v>
      </c>
      <c r="Y448" s="22">
        <v>46182.0</v>
      </c>
      <c r="Z448" s="22">
        <v>46207.0</v>
      </c>
      <c r="AA448" s="20">
        <v>986060.07</v>
      </c>
      <c r="AB448" s="20">
        <v>986060.07</v>
      </c>
      <c r="AC448" s="20">
        <v>327190.51</v>
      </c>
      <c r="AD448" s="20">
        <v>3250.0</v>
      </c>
      <c r="AE448" s="20">
        <v>4488.56</v>
      </c>
      <c r="AF448" s="20">
        <v>0.0</v>
      </c>
      <c r="AG448" s="20">
        <v>0.0</v>
      </c>
      <c r="AH448" s="20">
        <v>0.0</v>
      </c>
      <c r="AI448" s="20">
        <v>0.0</v>
      </c>
      <c r="AJ448" s="20">
        <v>986060.07</v>
      </c>
      <c r="AK448" s="20">
        <v>1989750.0</v>
      </c>
      <c r="AL448" s="20">
        <v>2.0</v>
      </c>
      <c r="AM448" s="20">
        <v>376.2</v>
      </c>
      <c r="AN448" s="20">
        <v>0.0</v>
      </c>
      <c r="AS448" s="11" t="str">
        <f>VLOOKUP(C448,'mayo-26'!B:AS,44,0)</f>
        <v>CLUBDELCOMERCIOCU@HOTMAIL.COM</v>
      </c>
      <c r="AT448" s="12" t="str">
        <f>VLOOKUP(C448,'mayo-26'!B:AT,45,0)</f>
        <v>CORREO ELECTRONICO CERTIFICADO 472</v>
      </c>
    </row>
    <row r="449" ht="14.25" customHeight="1">
      <c r="A449" s="20" t="s">
        <v>962</v>
      </c>
      <c r="B449" s="20">
        <v>455370.0</v>
      </c>
      <c r="C449" s="20">
        <v>303.0</v>
      </c>
      <c r="D449" s="21">
        <v>303.0</v>
      </c>
      <c r="E449" s="20">
        <v>9.0239559E7</v>
      </c>
      <c r="F449" s="20">
        <v>9.0239559E7</v>
      </c>
      <c r="G449" s="20" t="s">
        <v>148</v>
      </c>
      <c r="H449" s="20" t="s">
        <v>149</v>
      </c>
      <c r="I449" s="1" t="str">
        <f>VLOOKUP(C449,'mayo-26'!B:H,7,0)</f>
        <v>CALLE 10 NO 0E-16 EDF CENTRO EMPRESARIAL BLOQUE B HOTEL TONCHALA</v>
      </c>
      <c r="J449" s="1" t="s">
        <v>343</v>
      </c>
      <c r="K449" s="10" t="str">
        <f>VLOOKUP(C449,'mayo-26'!B:J,9,0)</f>
        <v>NO</v>
      </c>
      <c r="L449" s="1" t="str">
        <f>VLOOKUP(C449,'mayo-26'!B:K,10,0)</f>
        <v>COLEGIOS ZONA SUR</v>
      </c>
      <c r="M449" s="20" t="s">
        <v>52</v>
      </c>
      <c r="N449" s="20" t="s">
        <v>53</v>
      </c>
      <c r="O449" s="20" t="s">
        <v>861</v>
      </c>
      <c r="P449" s="20" t="s">
        <v>126</v>
      </c>
      <c r="Q449" s="20" t="s">
        <v>56</v>
      </c>
      <c r="R449" s="20" t="s">
        <v>57</v>
      </c>
      <c r="S449" s="20" t="s">
        <v>143</v>
      </c>
      <c r="T449" s="20" t="s">
        <v>59</v>
      </c>
      <c r="U449" s="20">
        <v>2026.0</v>
      </c>
      <c r="V449" s="20">
        <v>6.0</v>
      </c>
      <c r="W449" s="20">
        <v>1.08187544E9</v>
      </c>
      <c r="X449" s="20">
        <v>1.081893912E9</v>
      </c>
      <c r="Y449" s="22">
        <v>46182.0</v>
      </c>
      <c r="Z449" s="22">
        <v>46207.0</v>
      </c>
      <c r="AA449" s="20">
        <v>1198624.16</v>
      </c>
      <c r="AB449" s="20">
        <v>1198624.16</v>
      </c>
      <c r="AC449" s="20">
        <v>0.0</v>
      </c>
      <c r="AD449" s="20">
        <v>6118.0</v>
      </c>
      <c r="AE449" s="20">
        <v>0.0</v>
      </c>
      <c r="AF449" s="20">
        <v>0.0</v>
      </c>
      <c r="AG449" s="20">
        <v>0.0</v>
      </c>
      <c r="AH449" s="20">
        <v>0.0</v>
      </c>
      <c r="AI449" s="20">
        <v>0.0</v>
      </c>
      <c r="AJ449" s="20">
        <v>1198624.16</v>
      </c>
      <c r="AK449" s="20">
        <v>3569507.67</v>
      </c>
      <c r="AL449" s="20">
        <v>3.0</v>
      </c>
      <c r="AM449" s="20">
        <v>250.8</v>
      </c>
      <c r="AN449" s="20">
        <v>0.0</v>
      </c>
      <c r="AS449" s="11" t="str">
        <f>VLOOKUP(C449,'mayo-26'!B:AS,44,0)</f>
        <v>AREAFINANCIERA@SEMCUCUTA.GOV.CO</v>
      </c>
      <c r="AT449" s="12" t="str">
        <f>VLOOKUP(C449,'mayo-26'!B:AT,45,0)</f>
        <v>CARTERA</v>
      </c>
    </row>
    <row r="450" ht="14.25" customHeight="1">
      <c r="A450" s="20" t="s">
        <v>963</v>
      </c>
      <c r="B450" s="20">
        <v>355.0</v>
      </c>
      <c r="C450" s="20">
        <v>307.0</v>
      </c>
      <c r="D450" s="21">
        <v>307.0</v>
      </c>
      <c r="E450" s="20">
        <v>9.0239952E7</v>
      </c>
      <c r="F450" s="20">
        <v>9.0239952E7</v>
      </c>
      <c r="G450" s="20" t="s">
        <v>964</v>
      </c>
      <c r="H450" s="20" t="s">
        <v>965</v>
      </c>
      <c r="I450" s="1" t="str">
        <f>VLOOKUP(C450,'mayo-26'!B:H,7,0)</f>
        <v>AV 5 CL 13 Y 14 BRR CENTRO</v>
      </c>
      <c r="J450" s="1" t="s">
        <v>343</v>
      </c>
      <c r="K450" s="10" t="str">
        <f>VLOOKUP(C450,'mayo-26'!B:J,9,0)</f>
        <v>NO</v>
      </c>
      <c r="L450" s="1" t="str">
        <f>VLOOKUP(C450,'mayo-26'!B:K,10,0)</f>
        <v>GOBERNACION</v>
      </c>
      <c r="M450" s="20" t="s">
        <v>52</v>
      </c>
      <c r="N450" s="20" t="s">
        <v>53</v>
      </c>
      <c r="O450" s="20" t="s">
        <v>861</v>
      </c>
      <c r="P450" s="20" t="s">
        <v>126</v>
      </c>
      <c r="Q450" s="20" t="s">
        <v>131</v>
      </c>
      <c r="R450" s="20" t="s">
        <v>151</v>
      </c>
      <c r="S450" s="20" t="s">
        <v>133</v>
      </c>
      <c r="T450" s="20" t="s">
        <v>59</v>
      </c>
      <c r="U450" s="20">
        <v>2026.0</v>
      </c>
      <c r="V450" s="20">
        <v>6.0</v>
      </c>
      <c r="W450" s="20">
        <v>1.081875443E9</v>
      </c>
      <c r="X450" s="20">
        <v>1.081893915E9</v>
      </c>
      <c r="Y450" s="22">
        <v>46182.0</v>
      </c>
      <c r="Z450" s="22">
        <v>46207.0</v>
      </c>
      <c r="AA450" s="20">
        <v>75419.0</v>
      </c>
      <c r="AB450" s="20">
        <v>75419.0</v>
      </c>
      <c r="AC450" s="20">
        <v>0.0</v>
      </c>
      <c r="AD450" s="20">
        <v>0.0</v>
      </c>
      <c r="AE450" s="20">
        <v>0.0</v>
      </c>
      <c r="AF450" s="20">
        <v>0.0</v>
      </c>
      <c r="AG450" s="20">
        <v>0.0</v>
      </c>
      <c r="AH450" s="20">
        <v>0.0</v>
      </c>
      <c r="AI450" s="20">
        <v>0.0</v>
      </c>
      <c r="AJ450" s="20">
        <v>75419.0</v>
      </c>
      <c r="AK450" s="20">
        <v>75419.0</v>
      </c>
      <c r="AL450" s="20">
        <v>0.0</v>
      </c>
      <c r="AM450" s="20">
        <v>250.8</v>
      </c>
      <c r="AN450" s="20">
        <v>0.0</v>
      </c>
      <c r="AS450" s="11" t="str">
        <f>VLOOKUP(C450,'mayo-26'!B:AS,44,0)</f>
        <v>SERVICIOSADMINISTRATIVOS@NORTEDESANTANDER.GOV.CO / SECHACIENDA@NORTEDESANTANDER.GOV.CO</v>
      </c>
      <c r="AT450" s="12" t="str">
        <f>VLOOKUP(C450,'mayo-26'!B:AT,45,0)</f>
        <v>CORREO ELECTRONICO CERTIFICADO 472</v>
      </c>
    </row>
    <row r="451" ht="14.25" customHeight="1">
      <c r="A451" s="20" t="s">
        <v>966</v>
      </c>
      <c r="B451" s="20">
        <v>312.0</v>
      </c>
      <c r="C451" s="20">
        <v>311.0</v>
      </c>
      <c r="D451" s="21">
        <v>311.0</v>
      </c>
      <c r="E451" s="20">
        <v>9.0240155E7</v>
      </c>
      <c r="F451" s="20">
        <v>9.0240155E7</v>
      </c>
      <c r="G451" s="20">
        <v>8.90500675E8</v>
      </c>
      <c r="H451" s="20" t="s">
        <v>967</v>
      </c>
      <c r="I451" s="1" t="str">
        <f>VLOOKUP(C451,'mayo-26'!B:H,7,0)</f>
        <v>CLL 14 1-76</v>
      </c>
      <c r="J451" s="1" t="s">
        <v>343</v>
      </c>
      <c r="K451" s="10" t="str">
        <f>VLOOKUP(C451,'mayo-26'!B:J,9,0)</f>
        <v>NO</v>
      </c>
      <c r="L451" s="1" t="str">
        <f>VLOOKUP(C451,'mayo-26'!B:K,10,0)</f>
        <v>COMFAORIENTE</v>
      </c>
      <c r="M451" s="20" t="s">
        <v>52</v>
      </c>
      <c r="N451" s="20" t="s">
        <v>53</v>
      </c>
      <c r="O451" s="20" t="s">
        <v>861</v>
      </c>
      <c r="P451" s="20" t="s">
        <v>126</v>
      </c>
      <c r="Q451" s="20" t="s">
        <v>56</v>
      </c>
      <c r="R451" s="20" t="s">
        <v>90</v>
      </c>
      <c r="S451" s="20" t="s">
        <v>143</v>
      </c>
      <c r="T451" s="20" t="s">
        <v>59</v>
      </c>
      <c r="U451" s="20">
        <v>2026.0</v>
      </c>
      <c r="V451" s="20">
        <v>6.0</v>
      </c>
      <c r="W451" s="20">
        <v>1.081875447E9</v>
      </c>
      <c r="X451" s="20">
        <v>1.081893919E9</v>
      </c>
      <c r="Y451" s="22">
        <v>46182.0</v>
      </c>
      <c r="Z451" s="22">
        <v>46207.0</v>
      </c>
      <c r="AA451" s="20">
        <v>1186516.63</v>
      </c>
      <c r="AB451" s="20">
        <v>1186516.63</v>
      </c>
      <c r="AC451" s="20">
        <v>395505.55</v>
      </c>
      <c r="AD451" s="20">
        <v>3970.0</v>
      </c>
      <c r="AE451" s="20">
        <v>0.0</v>
      </c>
      <c r="AF451" s="20">
        <v>0.0</v>
      </c>
      <c r="AG451" s="20">
        <v>0.0</v>
      </c>
      <c r="AH451" s="20">
        <v>0.0</v>
      </c>
      <c r="AI451" s="20">
        <v>0.0</v>
      </c>
      <c r="AJ451" s="20">
        <v>1186516.63</v>
      </c>
      <c r="AK451" s="20">
        <v>1186516.63</v>
      </c>
      <c r="AL451" s="20">
        <v>0.0</v>
      </c>
      <c r="AM451" s="20">
        <v>376.2</v>
      </c>
      <c r="AN451" s="20">
        <v>0.0</v>
      </c>
      <c r="AS451" s="11" t="str">
        <f>VLOOKUP(C451,'mayo-26'!B:AS,44,0)</f>
        <v>MANTENIMIENTO@COMFAORIENTE.COM;  TALENTOHUMANO@COMFAORIENTE.COM</v>
      </c>
      <c r="AT451" s="12" t="str">
        <f>VLOOKUP(C451,'mayo-26'!B:AT,45,0)</f>
        <v>CORREO ELECTRONICO CERTIFICADO 472</v>
      </c>
    </row>
    <row r="452" ht="14.25" customHeight="1">
      <c r="A452" s="20" t="s">
        <v>968</v>
      </c>
      <c r="B452" s="20">
        <v>316.0</v>
      </c>
      <c r="C452" s="20">
        <v>315.0</v>
      </c>
      <c r="D452" s="21">
        <v>315.0</v>
      </c>
      <c r="E452" s="20">
        <v>9.0240307E7</v>
      </c>
      <c r="F452" s="20">
        <v>9.0240307E7</v>
      </c>
      <c r="G452" s="20">
        <v>8.6000302E8</v>
      </c>
      <c r="H452" s="20" t="s">
        <v>969</v>
      </c>
      <c r="I452" s="1" t="str">
        <f>VLOOKUP(C452,'mayo-26'!B:H,7,0)</f>
        <v>AVE 0 12-26</v>
      </c>
      <c r="J452" s="1" t="s">
        <v>343</v>
      </c>
      <c r="K452" s="10" t="str">
        <f>VLOOKUP(C452,'mayo-26'!B:J,9,0)</f>
        <v>NO</v>
      </c>
      <c r="L452" s="1" t="str">
        <f>VLOOKUP(C452,'mayo-26'!B:K,10,0)</f>
        <v>NO</v>
      </c>
      <c r="M452" s="20" t="s">
        <v>52</v>
      </c>
      <c r="N452" s="20" t="s">
        <v>89</v>
      </c>
      <c r="O452" s="20" t="s">
        <v>861</v>
      </c>
      <c r="P452" s="20" t="s">
        <v>126</v>
      </c>
      <c r="Q452" s="20" t="s">
        <v>56</v>
      </c>
      <c r="R452" s="20" t="s">
        <v>90</v>
      </c>
      <c r="S452" s="20" t="s">
        <v>143</v>
      </c>
      <c r="T452" s="20" t="s">
        <v>59</v>
      </c>
      <c r="U452" s="20">
        <v>2026.0</v>
      </c>
      <c r="V452" s="20">
        <v>6.0</v>
      </c>
      <c r="W452" s="20">
        <v>1.081875451E9</v>
      </c>
      <c r="X452" s="20">
        <v>1.081893923E9</v>
      </c>
      <c r="Y452" s="22">
        <v>46182.0</v>
      </c>
      <c r="Z452" s="22">
        <v>46207.0</v>
      </c>
      <c r="AA452" s="20">
        <v>301712.12</v>
      </c>
      <c r="AB452" s="20">
        <v>301712.12</v>
      </c>
      <c r="AC452" s="20">
        <v>99473.71</v>
      </c>
      <c r="AD452" s="20">
        <v>850.0</v>
      </c>
      <c r="AE452" s="20">
        <v>3291.01</v>
      </c>
      <c r="AF452" s="20">
        <v>0.0</v>
      </c>
      <c r="AG452" s="20">
        <v>0.0</v>
      </c>
      <c r="AH452" s="20">
        <v>0.0</v>
      </c>
      <c r="AI452" s="20">
        <v>0.0</v>
      </c>
      <c r="AJ452" s="20">
        <v>301712.12</v>
      </c>
      <c r="AK452" s="20">
        <v>894280.23</v>
      </c>
      <c r="AL452" s="20">
        <v>2.0</v>
      </c>
      <c r="AM452" s="20">
        <v>376.2</v>
      </c>
      <c r="AN452" s="20">
        <v>0.0</v>
      </c>
      <c r="AS452" s="11" t="str">
        <f>VLOOKUP(C452,'mayo-26'!B:AS,44,0)</f>
        <v>carlosandres.vera@bbva.com; sandra.quintero@bbva.com; yuranipaola.hurtado@bbva.com</v>
      </c>
      <c r="AT452" s="12" t="str">
        <f>VLOOKUP(C452,'mayo-26'!B:AT,45,0)</f>
        <v>CORREO ELECTRONICO CERTIFICADO 472</v>
      </c>
    </row>
    <row r="453" ht="14.25" customHeight="1">
      <c r="A453" s="20" t="s">
        <v>970</v>
      </c>
      <c r="B453" s="20">
        <v>324.0</v>
      </c>
      <c r="C453" s="20">
        <v>323.0</v>
      </c>
      <c r="D453" s="21">
        <v>323.0</v>
      </c>
      <c r="E453" s="20">
        <v>9.0240785E7</v>
      </c>
      <c r="F453" s="20">
        <v>9.0240785E7</v>
      </c>
      <c r="G453" s="20">
        <v>1.3211812E7</v>
      </c>
      <c r="H453" s="20" t="s">
        <v>971</v>
      </c>
      <c r="I453" s="1" t="str">
        <f>VLOOKUP(C453,'mayo-26'!B:H,7,0)</f>
        <v>AVE 4 10-89</v>
      </c>
      <c r="J453" s="1" t="s">
        <v>343</v>
      </c>
      <c r="K453" s="10" t="str">
        <f>VLOOKUP(C453,'mayo-26'!B:J,9,0)</f>
        <v>NO</v>
      </c>
      <c r="L453" s="1" t="str">
        <f>VLOOKUP(C453,'mayo-26'!B:K,10,0)</f>
        <v>NO</v>
      </c>
      <c r="M453" s="20" t="s">
        <v>52</v>
      </c>
      <c r="N453" s="20" t="s">
        <v>89</v>
      </c>
      <c r="O453" s="20" t="s">
        <v>861</v>
      </c>
      <c r="P453" s="20" t="s">
        <v>126</v>
      </c>
      <c r="Q453" s="20" t="s">
        <v>56</v>
      </c>
      <c r="R453" s="20" t="s">
        <v>90</v>
      </c>
      <c r="S453" s="20" t="s">
        <v>143</v>
      </c>
      <c r="T453" s="20" t="s">
        <v>59</v>
      </c>
      <c r="U453" s="20">
        <v>2026.0</v>
      </c>
      <c r="V453" s="20">
        <v>6.0</v>
      </c>
      <c r="W453" s="20">
        <v>1.081875454E9</v>
      </c>
      <c r="X453" s="20">
        <v>1.081893926E9</v>
      </c>
      <c r="Y453" s="22">
        <v>46182.0</v>
      </c>
      <c r="Z453" s="22">
        <v>46207.0</v>
      </c>
      <c r="AA453" s="20">
        <v>230106.07</v>
      </c>
      <c r="AB453" s="20">
        <v>230106.07</v>
      </c>
      <c r="AC453" s="20">
        <v>76702.03</v>
      </c>
      <c r="AD453" s="20">
        <v>610.0</v>
      </c>
      <c r="AE453" s="20">
        <v>0.0</v>
      </c>
      <c r="AF453" s="20">
        <v>0.0</v>
      </c>
      <c r="AG453" s="20">
        <v>0.0</v>
      </c>
      <c r="AH453" s="20">
        <v>0.0</v>
      </c>
      <c r="AI453" s="20">
        <v>0.0</v>
      </c>
      <c r="AJ453" s="20">
        <v>230106.07</v>
      </c>
      <c r="AK453" s="20">
        <v>230106.07</v>
      </c>
      <c r="AL453" s="20">
        <v>0.0</v>
      </c>
      <c r="AM453" s="20">
        <v>376.2</v>
      </c>
      <c r="AN453" s="20">
        <v>0.0</v>
      </c>
      <c r="AS453" s="11" t="str">
        <f>VLOOKUP(C453,'mayo-26'!B:AS,44,0)</f>
        <v>CONTABILIDAD@SAAD.COM.CO</v>
      </c>
      <c r="AT453" s="12" t="str">
        <f>VLOOKUP(C453,'mayo-26'!B:AT,45,0)</f>
        <v>CORREO ELECTRONICO CERTIFICADO 472</v>
      </c>
    </row>
    <row r="454" ht="14.25" customHeight="1">
      <c r="A454" s="20" t="s">
        <v>972</v>
      </c>
      <c r="B454" s="20">
        <v>328.0</v>
      </c>
      <c r="C454" s="20">
        <v>327.0</v>
      </c>
      <c r="D454" s="21">
        <v>327.0</v>
      </c>
      <c r="E454" s="20">
        <v>9.0240879E7</v>
      </c>
      <c r="F454" s="20">
        <v>9.0240879E7</v>
      </c>
      <c r="G454" s="20">
        <v>9.0240879E7</v>
      </c>
      <c r="H454" s="20" t="s">
        <v>973</v>
      </c>
      <c r="I454" s="1" t="str">
        <f>VLOOKUP(C454,'mayo-26'!B:H,7,0)</f>
        <v>AV 2 10-47 L103</v>
      </c>
      <c r="J454" s="1" t="s">
        <v>343</v>
      </c>
      <c r="K454" s="10" t="str">
        <f>VLOOKUP(C454,'mayo-26'!B:J,9,0)</f>
        <v>CENTRO</v>
      </c>
      <c r="L454" s="1" t="str">
        <f>VLOOKUP(C454,'mayo-26'!B:K,10,0)</f>
        <v>CENTRO</v>
      </c>
      <c r="M454" s="20" t="s">
        <v>52</v>
      </c>
      <c r="N454" s="20" t="s">
        <v>89</v>
      </c>
      <c r="O454" s="20" t="s">
        <v>861</v>
      </c>
      <c r="P454" s="20" t="s">
        <v>126</v>
      </c>
      <c r="Q454" s="20" t="s">
        <v>131</v>
      </c>
      <c r="R454" s="20" t="s">
        <v>363</v>
      </c>
      <c r="S454" s="20" t="s">
        <v>133</v>
      </c>
      <c r="T454" s="20" t="s">
        <v>59</v>
      </c>
      <c r="U454" s="20">
        <v>2026.0</v>
      </c>
      <c r="V454" s="20">
        <v>6.0</v>
      </c>
      <c r="W454" s="20">
        <v>1.081875459E9</v>
      </c>
      <c r="X454" s="20">
        <v>1.081893931E9</v>
      </c>
      <c r="Y454" s="22">
        <v>46182.0</v>
      </c>
      <c r="Z454" s="22">
        <v>46207.0</v>
      </c>
      <c r="AA454" s="20">
        <v>78514.57</v>
      </c>
      <c r="AB454" s="20">
        <v>78514.57</v>
      </c>
      <c r="AC454" s="20">
        <v>25122.0</v>
      </c>
      <c r="AD454" s="20">
        <v>0.0</v>
      </c>
      <c r="AE454" s="20">
        <v>3148.57</v>
      </c>
      <c r="AF454" s="20">
        <v>0.0</v>
      </c>
      <c r="AG454" s="20">
        <v>0.0</v>
      </c>
      <c r="AH454" s="20">
        <v>0.0</v>
      </c>
      <c r="AI454" s="20">
        <v>0.0</v>
      </c>
      <c r="AJ454" s="20">
        <v>78514.57</v>
      </c>
      <c r="AK454" s="20">
        <v>211561.87</v>
      </c>
      <c r="AL454" s="20">
        <v>2.0</v>
      </c>
      <c r="AM454" s="20">
        <v>376.2</v>
      </c>
      <c r="AN454" s="20">
        <v>0.0</v>
      </c>
      <c r="AS454" s="11" t="str">
        <f>VLOOKUP(C454,'mayo-26'!B:AS,44,0)</f>
        <v>#ERROR!</v>
      </c>
      <c r="AT454" s="12" t="str">
        <f>VLOOKUP(C454,'mayo-26'!B:AT,45,0)</f>
        <v>VERIFICADOR</v>
      </c>
    </row>
    <row r="455" ht="14.25" customHeight="1">
      <c r="A455" s="20" t="s">
        <v>974</v>
      </c>
      <c r="B455" s="20">
        <v>332.0</v>
      </c>
      <c r="C455" s="20">
        <v>331.0</v>
      </c>
      <c r="D455" s="21">
        <v>331.0</v>
      </c>
      <c r="E455" s="20">
        <v>9.0240885E7</v>
      </c>
      <c r="F455" s="20">
        <v>9.0240885E7</v>
      </c>
      <c r="G455" s="20">
        <v>9.0240885E7</v>
      </c>
      <c r="H455" s="20" t="s">
        <v>973</v>
      </c>
      <c r="I455" s="1" t="str">
        <f>VLOOKUP(C455,'mayo-26'!B:H,7,0)</f>
        <v>AVE 2 10-47 LOCAL.201</v>
      </c>
      <c r="J455" s="1" t="s">
        <v>343</v>
      </c>
      <c r="K455" s="10" t="str">
        <f>VLOOKUP(C455,'mayo-26'!B:J,9,0)</f>
        <v>CENTRO</v>
      </c>
      <c r="L455" s="1" t="str">
        <f>VLOOKUP(C455,'mayo-26'!B:K,10,0)</f>
        <v>CENTRO</v>
      </c>
      <c r="M455" s="20" t="s">
        <v>52</v>
      </c>
      <c r="N455" s="20" t="s">
        <v>89</v>
      </c>
      <c r="O455" s="20" t="s">
        <v>861</v>
      </c>
      <c r="P455" s="20" t="s">
        <v>126</v>
      </c>
      <c r="Q455" s="20" t="s">
        <v>131</v>
      </c>
      <c r="R455" s="20" t="s">
        <v>363</v>
      </c>
      <c r="S455" s="20" t="s">
        <v>133</v>
      </c>
      <c r="T455" s="20" t="s">
        <v>59</v>
      </c>
      <c r="U455" s="20">
        <v>2026.0</v>
      </c>
      <c r="V455" s="20">
        <v>6.0</v>
      </c>
      <c r="W455" s="20">
        <v>1.081875463E9</v>
      </c>
      <c r="X455" s="20">
        <v>1.081893935E9</v>
      </c>
      <c r="Y455" s="22">
        <v>46182.0</v>
      </c>
      <c r="Z455" s="22">
        <v>46207.0</v>
      </c>
      <c r="AA455" s="20">
        <v>75366.0</v>
      </c>
      <c r="AB455" s="20">
        <v>75366.0</v>
      </c>
      <c r="AC455" s="20">
        <v>25122.0</v>
      </c>
      <c r="AD455" s="20">
        <v>0.0</v>
      </c>
      <c r="AE455" s="20">
        <v>0.0</v>
      </c>
      <c r="AF455" s="20">
        <v>0.0</v>
      </c>
      <c r="AG455" s="20">
        <v>0.0</v>
      </c>
      <c r="AH455" s="20">
        <v>0.0</v>
      </c>
      <c r="AI455" s="20">
        <v>0.0</v>
      </c>
      <c r="AJ455" s="20">
        <v>75366.0</v>
      </c>
      <c r="AK455" s="20">
        <v>75366.0</v>
      </c>
      <c r="AL455" s="20">
        <v>0.0</v>
      </c>
      <c r="AM455" s="20">
        <v>376.2</v>
      </c>
      <c r="AN455" s="20">
        <v>0.0</v>
      </c>
      <c r="AS455" s="11" t="str">
        <f>VLOOKUP(C455,'mayo-26'!B:AS,44,0)</f>
        <v>GERARDOBASTOS@HOTMAIL.COM;PATRI-ZULUAGA@HOTMAIL.COM</v>
      </c>
      <c r="AT455" s="12" t="str">
        <f>VLOOKUP(C455,'mayo-26'!B:AT,45,0)</f>
        <v>VERIFICADOR</v>
      </c>
    </row>
    <row r="456" ht="14.25" customHeight="1">
      <c r="A456" s="20" t="s">
        <v>975</v>
      </c>
      <c r="B456" s="20">
        <v>340.0</v>
      </c>
      <c r="C456" s="20">
        <v>339.0</v>
      </c>
      <c r="D456" s="21">
        <v>339.0</v>
      </c>
      <c r="E456" s="20">
        <v>9.0241236E7</v>
      </c>
      <c r="F456" s="20">
        <v>9.0241236E7</v>
      </c>
      <c r="G456" s="20" t="s">
        <v>875</v>
      </c>
      <c r="H456" s="20" t="s">
        <v>976</v>
      </c>
      <c r="I456" s="1" t="str">
        <f>VLOOKUP(C456,'mayo-26'!B:H,7,0)</f>
        <v>AVE 0 9-30</v>
      </c>
      <c r="J456" s="1" t="s">
        <v>443</v>
      </c>
      <c r="K456" s="10" t="str">
        <f>VLOOKUP(C456,'mayo-26'!B:J,9,0)</f>
        <v>NO</v>
      </c>
      <c r="L456" s="1" t="str">
        <f>VLOOKUP(C456,'mayo-26'!B:K,10,0)</f>
        <v>NO</v>
      </c>
      <c r="M456" s="20" t="s">
        <v>52</v>
      </c>
      <c r="N456" s="20" t="s">
        <v>89</v>
      </c>
      <c r="O456" s="20" t="s">
        <v>861</v>
      </c>
      <c r="P456" s="20" t="s">
        <v>126</v>
      </c>
      <c r="Q456" s="20" t="s">
        <v>56</v>
      </c>
      <c r="R456" s="20" t="s">
        <v>57</v>
      </c>
      <c r="S456" s="20" t="s">
        <v>143</v>
      </c>
      <c r="T456" s="20" t="s">
        <v>59</v>
      </c>
      <c r="U456" s="20">
        <v>2026.0</v>
      </c>
      <c r="V456" s="20">
        <v>6.0</v>
      </c>
      <c r="W456" s="20">
        <v>1.081875465E9</v>
      </c>
      <c r="X456" s="20">
        <v>1.081893937E9</v>
      </c>
      <c r="Y456" s="22">
        <v>46182.0</v>
      </c>
      <c r="Z456" s="22">
        <v>46207.0</v>
      </c>
      <c r="AA456" s="20">
        <v>146287.9</v>
      </c>
      <c r="AB456" s="20">
        <v>146287.9</v>
      </c>
      <c r="AC456" s="20">
        <v>0.0</v>
      </c>
      <c r="AD456" s="20">
        <v>572.5</v>
      </c>
      <c r="AE456" s="20">
        <v>0.0</v>
      </c>
      <c r="AF456" s="20">
        <v>0.0</v>
      </c>
      <c r="AG456" s="20">
        <v>0.0</v>
      </c>
      <c r="AH456" s="20">
        <v>0.0</v>
      </c>
      <c r="AI456" s="20">
        <v>0.0</v>
      </c>
      <c r="AJ456" s="20">
        <v>146287.9</v>
      </c>
      <c r="AK456" s="20">
        <v>146287.9</v>
      </c>
      <c r="AL456" s="20">
        <v>0.0</v>
      </c>
      <c r="AM456" s="20">
        <v>250.8</v>
      </c>
      <c r="AN456" s="20">
        <v>0.0</v>
      </c>
      <c r="AS456" s="11" t="str">
        <f>VLOOKUP(C456,'mayo-26'!B:AS,44,0)</f>
        <v>OFIREGISCUCUTA@SUPERNOTARIADO.GOV.CO</v>
      </c>
      <c r="AT456" s="12" t="str">
        <f>VLOOKUP(C456,'mayo-26'!B:AT,45,0)</f>
        <v>CORREO ELECTRONICO CERTIFICADO 472</v>
      </c>
    </row>
    <row r="457" ht="14.25" customHeight="1">
      <c r="A457" s="20" t="s">
        <v>977</v>
      </c>
      <c r="B457" s="20">
        <v>341408.0</v>
      </c>
      <c r="C457" s="20">
        <v>341407.0</v>
      </c>
      <c r="D457" s="21">
        <v>341407.0</v>
      </c>
      <c r="E457" s="20">
        <v>12187.0</v>
      </c>
      <c r="F457" s="20">
        <v>12187.0</v>
      </c>
      <c r="G457" s="20">
        <v>8.30129327E8</v>
      </c>
      <c r="H457" s="20" t="s">
        <v>978</v>
      </c>
      <c r="I457" s="1" t="str">
        <f>VLOOKUP(C457,'mayo-26'!B:H,7,0)</f>
        <v>AVENIDA 0 #11-29 QUINTA VELEZ</v>
      </c>
      <c r="J457" s="1" t="s">
        <v>928</v>
      </c>
      <c r="K457" s="10" t="str">
        <f>VLOOKUP(C457,'mayo-26'!B:J,9,0)</f>
        <v>NO</v>
      </c>
      <c r="L457" s="1" t="str">
        <f>VLOOKUP(C457,'mayo-26'!B:K,10,0)</f>
        <v>VERTEBRA</v>
      </c>
      <c r="M457" s="20" t="s">
        <v>52</v>
      </c>
      <c r="N457" s="20" t="s">
        <v>89</v>
      </c>
      <c r="O457" s="20" t="s">
        <v>861</v>
      </c>
      <c r="P457" s="20" t="s">
        <v>126</v>
      </c>
      <c r="Q457" s="20" t="s">
        <v>131</v>
      </c>
      <c r="R457" s="20" t="s">
        <v>132</v>
      </c>
      <c r="S457" s="20" t="s">
        <v>133</v>
      </c>
      <c r="T457" s="20" t="s">
        <v>59</v>
      </c>
      <c r="U457" s="20">
        <v>2026.0</v>
      </c>
      <c r="V457" s="20">
        <v>6.0</v>
      </c>
      <c r="W457" s="20">
        <v>1.081875695E9</v>
      </c>
      <c r="X457" s="20">
        <v>1.081894167E9</v>
      </c>
      <c r="Y457" s="22">
        <v>46182.0</v>
      </c>
      <c r="Z457" s="22">
        <v>46207.0</v>
      </c>
      <c r="AA457" s="20">
        <v>113128.5</v>
      </c>
      <c r="AB457" s="20">
        <v>113128.5</v>
      </c>
      <c r="AC457" s="20">
        <v>37709.5</v>
      </c>
      <c r="AD457" s="20">
        <v>0.0</v>
      </c>
      <c r="AE457" s="20">
        <v>0.0</v>
      </c>
      <c r="AF457" s="20">
        <v>0.0</v>
      </c>
      <c r="AG457" s="20">
        <v>0.0</v>
      </c>
      <c r="AH457" s="20">
        <v>0.0</v>
      </c>
      <c r="AI457" s="20">
        <v>0.0</v>
      </c>
      <c r="AJ457" s="20">
        <v>113128.5</v>
      </c>
      <c r="AK457" s="20">
        <v>113128.5</v>
      </c>
      <c r="AL457" s="20">
        <v>0.0</v>
      </c>
      <c r="AM457" s="20">
        <v>376.2</v>
      </c>
      <c r="AN457" s="20">
        <v>0.0</v>
      </c>
      <c r="AS457" s="11" t="str">
        <f>VLOOKUP(C457,'mayo-26'!B:AS,44,0)</f>
        <v>FACTURAS@VERTEBRA.TECH</v>
      </c>
      <c r="AT457" s="12" t="str">
        <f>VLOOKUP(C457,'mayo-26'!B:AT,45,0)</f>
        <v>CORREO ELECTRONICO CERTIFICADO 472</v>
      </c>
    </row>
    <row r="458" ht="14.25" customHeight="1">
      <c r="A458" s="20" t="s">
        <v>979</v>
      </c>
      <c r="B458" s="20">
        <v>348.0</v>
      </c>
      <c r="C458" s="20">
        <v>347.0</v>
      </c>
      <c r="D458" s="21">
        <v>347.0</v>
      </c>
      <c r="E458" s="20">
        <v>9.0242109E7</v>
      </c>
      <c r="F458" s="20">
        <v>9.0242109E7</v>
      </c>
      <c r="G458" s="20">
        <v>9.01155475E8</v>
      </c>
      <c r="H458" s="20" t="s">
        <v>980</v>
      </c>
      <c r="I458" s="1" t="str">
        <f>VLOOKUP(C458,'mayo-26'!B:H,7,0)</f>
        <v>CLL 7 6-25-33 SUPER IDEAL</v>
      </c>
      <c r="J458" s="1" t="s">
        <v>860</v>
      </c>
      <c r="K458" s="10" t="str">
        <f>VLOOKUP(C458,'mayo-26'!B:J,9,0)</f>
        <v>NO</v>
      </c>
      <c r="L458" s="1" t="str">
        <f>VLOOKUP(C458,'mayo-26'!B:K,10,0)</f>
        <v>NO</v>
      </c>
      <c r="M458" s="20" t="s">
        <v>52</v>
      </c>
      <c r="N458" s="20" t="s">
        <v>89</v>
      </c>
      <c r="O458" s="20" t="s">
        <v>861</v>
      </c>
      <c r="P458" s="20" t="s">
        <v>126</v>
      </c>
      <c r="Q458" s="20" t="s">
        <v>56</v>
      </c>
      <c r="R458" s="20" t="s">
        <v>90</v>
      </c>
      <c r="S458" s="20" t="s">
        <v>143</v>
      </c>
      <c r="T458" s="20" t="s">
        <v>59</v>
      </c>
      <c r="U458" s="20">
        <v>2026.0</v>
      </c>
      <c r="V458" s="20">
        <v>6.0</v>
      </c>
      <c r="W458" s="20">
        <v>1.081875469E9</v>
      </c>
      <c r="X458" s="20">
        <v>1.081893941E9</v>
      </c>
      <c r="Y458" s="22">
        <v>46182.0</v>
      </c>
      <c r="Z458" s="22">
        <v>46207.0</v>
      </c>
      <c r="AA458" s="20">
        <v>412279.51</v>
      </c>
      <c r="AB458" s="20">
        <v>412279.51</v>
      </c>
      <c r="AC458" s="20">
        <v>137426.51</v>
      </c>
      <c r="AD458" s="20">
        <v>1250.0</v>
      </c>
      <c r="AE458" s="20">
        <v>0.0</v>
      </c>
      <c r="AF458" s="20">
        <v>0.0</v>
      </c>
      <c r="AG458" s="20">
        <v>0.0</v>
      </c>
      <c r="AH458" s="20">
        <v>0.0</v>
      </c>
      <c r="AI458" s="20">
        <v>0.0</v>
      </c>
      <c r="AJ458" s="20">
        <v>412279.51</v>
      </c>
      <c r="AK458" s="20">
        <v>412279.51</v>
      </c>
      <c r="AL458" s="20">
        <v>0.0</v>
      </c>
      <c r="AM458" s="20">
        <v>376.2</v>
      </c>
      <c r="AN458" s="20">
        <v>0.0</v>
      </c>
      <c r="AS458" s="11" t="str">
        <f>VLOOKUP(C458,'mayo-26'!B:AS,44,0)</f>
        <v>SUPERMERCADOELIDEAL@HOTMAIL.COM</v>
      </c>
      <c r="AT458" s="12" t="str">
        <f>VLOOKUP(C458,'mayo-26'!B:AT,45,0)</f>
        <v>CORREO ELECTRONICO CERTIFICADO 472</v>
      </c>
    </row>
    <row r="459" ht="14.25" customHeight="1">
      <c r="A459" s="20" t="s">
        <v>981</v>
      </c>
      <c r="B459" s="20">
        <v>355.0</v>
      </c>
      <c r="C459" s="20">
        <v>355.0</v>
      </c>
      <c r="D459" s="21">
        <v>355.0</v>
      </c>
      <c r="E459" s="20">
        <v>9.0242455E7</v>
      </c>
      <c r="F459" s="20">
        <v>9.0242455E7</v>
      </c>
      <c r="G459" s="20" t="s">
        <v>964</v>
      </c>
      <c r="H459" s="20" t="s">
        <v>965</v>
      </c>
      <c r="I459" s="1" t="str">
        <f>VLOOKUP(C459,'mayo-26'!B:H,7,0)</f>
        <v>AV 5 CL 13 Y 14 BRR CENTRO</v>
      </c>
      <c r="J459" s="1" t="s">
        <v>982</v>
      </c>
      <c r="K459" s="10" t="str">
        <f>VLOOKUP(C459,'mayo-26'!B:J,9,0)</f>
        <v>NO</v>
      </c>
      <c r="L459" s="1" t="str">
        <f>VLOOKUP(C459,'mayo-26'!B:K,10,0)</f>
        <v>GOBERNACION</v>
      </c>
      <c r="M459" s="20" t="s">
        <v>52</v>
      </c>
      <c r="N459" s="20" t="s">
        <v>53</v>
      </c>
      <c r="O459" s="20" t="s">
        <v>861</v>
      </c>
      <c r="P459" s="20" t="s">
        <v>126</v>
      </c>
      <c r="Q459" s="20" t="s">
        <v>56</v>
      </c>
      <c r="R459" s="20" t="s">
        <v>57</v>
      </c>
      <c r="S459" s="20" t="s">
        <v>143</v>
      </c>
      <c r="T459" s="20" t="s">
        <v>59</v>
      </c>
      <c r="U459" s="20">
        <v>2026.0</v>
      </c>
      <c r="V459" s="20">
        <v>6.0</v>
      </c>
      <c r="W459" s="20">
        <v>1.081875472E9</v>
      </c>
      <c r="X459" s="20">
        <v>1.081893944E9</v>
      </c>
      <c r="Y459" s="22">
        <v>46182.0</v>
      </c>
      <c r="Z459" s="22">
        <v>46207.0</v>
      </c>
      <c r="AA459" s="20">
        <v>151980.82</v>
      </c>
      <c r="AB459" s="20">
        <v>151980.82</v>
      </c>
      <c r="AC459" s="20">
        <v>0.0</v>
      </c>
      <c r="AD459" s="20">
        <v>602.5</v>
      </c>
      <c r="AE459" s="20">
        <v>0.0</v>
      </c>
      <c r="AF459" s="20">
        <v>0.0</v>
      </c>
      <c r="AG459" s="20">
        <v>0.0</v>
      </c>
      <c r="AH459" s="20">
        <v>0.0</v>
      </c>
      <c r="AI459" s="20">
        <v>0.0</v>
      </c>
      <c r="AJ459" s="20">
        <v>151980.82</v>
      </c>
      <c r="AK459" s="20">
        <v>151980.82</v>
      </c>
      <c r="AL459" s="20">
        <v>0.0</v>
      </c>
      <c r="AM459" s="20">
        <v>250.8</v>
      </c>
      <c r="AN459" s="20">
        <v>0.0</v>
      </c>
      <c r="AS459" s="11" t="str">
        <f>VLOOKUP(C459,'mayo-26'!B:AS,44,0)</f>
        <v>SERVICIOSADMINISTRATIVOS@NORTEDESANTANDER.GOV.CO / SECHACIENDA@NORTEDESANTANDER.GOV.CO</v>
      </c>
      <c r="AT459" s="12" t="str">
        <f>VLOOKUP(C459,'mayo-26'!B:AT,45,0)</f>
        <v>CORREO ELECTRONICO CERTIFICADO 472</v>
      </c>
    </row>
    <row r="460" ht="14.25" customHeight="1">
      <c r="A460" s="20" t="s">
        <v>983</v>
      </c>
      <c r="B460" s="20">
        <v>360.0</v>
      </c>
      <c r="C460" s="20">
        <v>359.0</v>
      </c>
      <c r="D460" s="21">
        <v>359.0</v>
      </c>
      <c r="E460" s="20">
        <v>9.0242834E7</v>
      </c>
      <c r="F460" s="20">
        <v>9.0242834E7</v>
      </c>
      <c r="G460" s="20" t="s">
        <v>875</v>
      </c>
      <c r="H460" s="20" t="s">
        <v>984</v>
      </c>
      <c r="I460" s="1" t="str">
        <f>VLOOKUP(C460,'mayo-26'!B:H,7,0)</f>
        <v>CLL 11 5-19 - CENTRO</v>
      </c>
      <c r="J460" s="1" t="s">
        <v>982</v>
      </c>
      <c r="K460" s="10" t="str">
        <f>VLOOKUP(C460,'mayo-26'!B:J,9,0)</f>
        <v>NO</v>
      </c>
      <c r="L460" s="1" t="str">
        <f>VLOOKUP(C460,'mayo-26'!B:K,10,0)</f>
        <v>ENTIDADES</v>
      </c>
      <c r="M460" s="20" t="s">
        <v>52</v>
      </c>
      <c r="N460" s="20" t="s">
        <v>89</v>
      </c>
      <c r="O460" s="20" t="s">
        <v>861</v>
      </c>
      <c r="P460" s="20" t="s">
        <v>126</v>
      </c>
      <c r="Q460" s="20" t="s">
        <v>131</v>
      </c>
      <c r="R460" s="20" t="s">
        <v>151</v>
      </c>
      <c r="S460" s="20" t="s">
        <v>133</v>
      </c>
      <c r="T460" s="20" t="s">
        <v>59</v>
      </c>
      <c r="U460" s="20">
        <v>2026.0</v>
      </c>
      <c r="V460" s="20">
        <v>6.0</v>
      </c>
      <c r="W460" s="20">
        <v>1.081875476E9</v>
      </c>
      <c r="X460" s="20">
        <v>1.081893948E9</v>
      </c>
      <c r="Y460" s="22">
        <v>46182.0</v>
      </c>
      <c r="Z460" s="22">
        <v>46207.0</v>
      </c>
      <c r="AA460" s="20">
        <v>75419.0</v>
      </c>
      <c r="AB460" s="20">
        <v>75419.0</v>
      </c>
      <c r="AC460" s="20">
        <v>0.0</v>
      </c>
      <c r="AD460" s="20">
        <v>0.0</v>
      </c>
      <c r="AE460" s="20">
        <v>0.0</v>
      </c>
      <c r="AF460" s="20">
        <v>0.0</v>
      </c>
      <c r="AG460" s="20">
        <v>0.0</v>
      </c>
      <c r="AH460" s="20">
        <v>0.0</v>
      </c>
      <c r="AI460" s="20">
        <v>0.0</v>
      </c>
      <c r="AJ460" s="20">
        <v>75419.0</v>
      </c>
      <c r="AK460" s="20">
        <v>379982.23</v>
      </c>
      <c r="AL460" s="20">
        <v>5.0</v>
      </c>
      <c r="AM460" s="20">
        <v>250.8</v>
      </c>
      <c r="AN460" s="20">
        <v>0.0</v>
      </c>
      <c r="AS460" s="11" t="str">
        <f>VLOOKUP(C460,'mayo-26'!B:AS,44,0)</f>
        <v>hernando.vergara@cucuta.gov.co</v>
      </c>
      <c r="AT460" s="12" t="str">
        <f>VLOOKUP(C460,'mayo-26'!B:AT,45,0)</f>
        <v>CARTERA</v>
      </c>
    </row>
    <row r="461" ht="14.25" customHeight="1">
      <c r="A461" s="20" t="s">
        <v>985</v>
      </c>
      <c r="B461" s="20">
        <v>364.0</v>
      </c>
      <c r="C461" s="20">
        <v>363.0</v>
      </c>
      <c r="D461" s="21">
        <v>363.0</v>
      </c>
      <c r="E461" s="20">
        <v>9.0242839E7</v>
      </c>
      <c r="F461" s="20">
        <v>9.0242839E7</v>
      </c>
      <c r="G461" s="20">
        <v>8.07002508E8</v>
      </c>
      <c r="H461" s="20" t="s">
        <v>986</v>
      </c>
      <c r="I461" s="1" t="str">
        <f>VLOOKUP(C461,'mayo-26'!B:H,7,0)</f>
        <v>AVE 5 11-39</v>
      </c>
      <c r="J461" s="1" t="s">
        <v>982</v>
      </c>
      <c r="K461" s="10" t="str">
        <f>VLOOKUP(C461,'mayo-26'!B:J,9,0)</f>
        <v>NO</v>
      </c>
      <c r="L461" s="1" t="str">
        <f>VLOOKUP(C461,'mayo-26'!B:K,10,0)</f>
        <v>NO</v>
      </c>
      <c r="M461" s="20" t="s">
        <v>52</v>
      </c>
      <c r="N461" s="20" t="s">
        <v>89</v>
      </c>
      <c r="O461" s="20" t="s">
        <v>861</v>
      </c>
      <c r="P461" s="20" t="s">
        <v>126</v>
      </c>
      <c r="Q461" s="20" t="s">
        <v>56</v>
      </c>
      <c r="R461" s="20" t="s">
        <v>90</v>
      </c>
      <c r="S461" s="20" t="s">
        <v>143</v>
      </c>
      <c r="T461" s="20" t="s">
        <v>59</v>
      </c>
      <c r="U461" s="20">
        <v>2026.0</v>
      </c>
      <c r="V461" s="20">
        <v>6.0</v>
      </c>
      <c r="W461" s="20">
        <v>1.08187548E9</v>
      </c>
      <c r="X461" s="20">
        <v>1.081893952E9</v>
      </c>
      <c r="Y461" s="22">
        <v>46182.0</v>
      </c>
      <c r="Z461" s="22">
        <v>46207.0</v>
      </c>
      <c r="AA461" s="20">
        <v>414682.06</v>
      </c>
      <c r="AB461" s="20">
        <v>414682.06</v>
      </c>
      <c r="AC461" s="20">
        <v>137426.51</v>
      </c>
      <c r="AD461" s="20">
        <v>1250.0</v>
      </c>
      <c r="AE461" s="20">
        <v>2402.55</v>
      </c>
      <c r="AF461" s="20">
        <v>0.0</v>
      </c>
      <c r="AG461" s="20">
        <v>0.0</v>
      </c>
      <c r="AH461" s="20">
        <v>0.0</v>
      </c>
      <c r="AI461" s="20">
        <v>0.0</v>
      </c>
      <c r="AJ461" s="20">
        <v>414682.06</v>
      </c>
      <c r="AK461" s="20">
        <v>829411.04</v>
      </c>
      <c r="AL461" s="20">
        <v>1.0</v>
      </c>
      <c r="AM461" s="20">
        <v>376.2</v>
      </c>
      <c r="AN461" s="20">
        <v>0.0</v>
      </c>
      <c r="AS461" s="11" t="str">
        <f>VLOOKUP(C461,'mayo-26'!B:AS,44,0)</f>
        <v>PHCUCUTA@GMAIL.COM</v>
      </c>
      <c r="AT461" s="12" t="str">
        <f>VLOOKUP(C461,'mayo-26'!B:AT,45,0)</f>
        <v>CORREO ELECTRONICO CERTIFICADO 472</v>
      </c>
    </row>
    <row r="462" ht="14.25" customHeight="1">
      <c r="A462" s="20" t="s">
        <v>987</v>
      </c>
      <c r="B462" s="20">
        <v>285191.0</v>
      </c>
      <c r="C462" s="20">
        <v>363179.0</v>
      </c>
      <c r="D462" s="21">
        <v>367364.0</v>
      </c>
      <c r="E462" s="20">
        <v>1019464.0</v>
      </c>
      <c r="F462" s="20">
        <v>1019464.0</v>
      </c>
      <c r="G462" s="20">
        <v>9.00276962E8</v>
      </c>
      <c r="H462" s="20" t="s">
        <v>128</v>
      </c>
      <c r="I462" s="1" t="str">
        <f>VLOOKUP(C462,'mayo-26'!B:H,7,0)</f>
        <v>KDX 73-2 1116</v>
      </c>
      <c r="J462" s="1" t="s">
        <v>910</v>
      </c>
      <c r="K462" s="10" t="str">
        <f>VLOOKUP(C462,'mayo-26'!B:J,9,0)</f>
        <v>NO</v>
      </c>
      <c r="L462" s="1" t="str">
        <f>VLOOKUP(C462,'mayo-26'!B:K,10,0)</f>
        <v>D1</v>
      </c>
      <c r="M462" s="20" t="s">
        <v>52</v>
      </c>
      <c r="N462" s="20" t="s">
        <v>89</v>
      </c>
      <c r="O462" s="20" t="s">
        <v>861</v>
      </c>
      <c r="P462" s="20" t="s">
        <v>126</v>
      </c>
      <c r="Q462" s="20" t="s">
        <v>131</v>
      </c>
      <c r="R462" s="20" t="s">
        <v>132</v>
      </c>
      <c r="S462" s="20" t="s">
        <v>133</v>
      </c>
      <c r="T462" s="20" t="s">
        <v>59</v>
      </c>
      <c r="U462" s="20">
        <v>2026.0</v>
      </c>
      <c r="V462" s="20">
        <v>6.0</v>
      </c>
      <c r="W462" s="20">
        <v>1.081875698E9</v>
      </c>
      <c r="X462" s="20">
        <v>1.08189417E9</v>
      </c>
      <c r="Y462" s="22">
        <v>46182.0</v>
      </c>
      <c r="Z462" s="22">
        <v>46207.0</v>
      </c>
      <c r="AA462" s="20">
        <v>113128.5</v>
      </c>
      <c r="AB462" s="20">
        <v>113128.5</v>
      </c>
      <c r="AC462" s="20">
        <v>37709.5</v>
      </c>
      <c r="AD462" s="20">
        <v>0.0</v>
      </c>
      <c r="AE462" s="20">
        <v>0.0</v>
      </c>
      <c r="AF462" s="20">
        <v>0.0</v>
      </c>
      <c r="AG462" s="20">
        <v>0.0</v>
      </c>
      <c r="AH462" s="20">
        <v>0.0</v>
      </c>
      <c r="AI462" s="20">
        <v>0.0</v>
      </c>
      <c r="AJ462" s="20">
        <v>113128.5</v>
      </c>
      <c r="AK462" s="20">
        <v>113128.5</v>
      </c>
      <c r="AL462" s="20">
        <v>0.0</v>
      </c>
      <c r="AM462" s="20">
        <v>376.2</v>
      </c>
      <c r="AN462" s="20">
        <v>0.0</v>
      </c>
      <c r="AS462" s="11" t="str">
        <f>VLOOKUP(C462,'mayo-26'!B:AS,44,0)</f>
        <v>ALBA.CELIS@D1.COM.CO;CARMEN.DAVILA@D1.COM.CO</v>
      </c>
      <c r="AT462" s="12" t="str">
        <f>VLOOKUP(C462,'mayo-26'!B:AT,45,0)</f>
        <v>CORREO ELECTRONICO CERTIFICADO 472</v>
      </c>
    </row>
    <row r="463" ht="14.25" customHeight="1">
      <c r="A463" s="20" t="s">
        <v>988</v>
      </c>
      <c r="B463" s="20">
        <v>379557.0</v>
      </c>
      <c r="C463" s="20">
        <v>366631.0</v>
      </c>
      <c r="D463" s="21">
        <v>373109.0</v>
      </c>
      <c r="G463" s="20" t="s">
        <v>989</v>
      </c>
      <c r="H463" s="20" t="s">
        <v>990</v>
      </c>
      <c r="I463" s="1" t="str">
        <f>VLOOKUP(C463,'mayo-26'!B:H,7,0)</f>
        <v>CC JARDIN PLAZA L75</v>
      </c>
      <c r="J463" s="1" t="s">
        <v>991</v>
      </c>
      <c r="K463" s="10" t="str">
        <f>VLOOKUP(C463,'mayo-26'!B:J,9,0)</f>
        <v>JARDIN PLAZA</v>
      </c>
      <c r="L463" s="1" t="str">
        <f>VLOOKUP(C463,'mayo-26'!B:K,10,0)</f>
        <v>JARDIN PLAZA</v>
      </c>
      <c r="M463" s="20" t="s">
        <v>52</v>
      </c>
      <c r="N463" s="20" t="s">
        <v>89</v>
      </c>
      <c r="O463" s="20" t="s">
        <v>861</v>
      </c>
      <c r="P463" s="20" t="s">
        <v>126</v>
      </c>
      <c r="Q463" s="20" t="s">
        <v>56</v>
      </c>
      <c r="R463" s="20" t="s">
        <v>90</v>
      </c>
      <c r="S463" s="20" t="s">
        <v>143</v>
      </c>
      <c r="T463" s="20" t="s">
        <v>59</v>
      </c>
      <c r="U463" s="20">
        <v>2026.0</v>
      </c>
      <c r="V463" s="20">
        <v>6.0</v>
      </c>
      <c r="W463" s="20">
        <v>1.081875701E9</v>
      </c>
      <c r="X463" s="20">
        <v>1.081894173E9</v>
      </c>
      <c r="Y463" s="22">
        <v>46182.0</v>
      </c>
      <c r="Z463" s="22">
        <v>46207.0</v>
      </c>
      <c r="AA463" s="20">
        <v>127633.51</v>
      </c>
      <c r="AB463" s="20">
        <v>127633.51</v>
      </c>
      <c r="AC463" s="20">
        <v>42544.51</v>
      </c>
      <c r="AD463" s="20">
        <v>250.0</v>
      </c>
      <c r="AE463" s="20">
        <v>0.0</v>
      </c>
      <c r="AF463" s="20">
        <v>0.0</v>
      </c>
      <c r="AG463" s="20">
        <v>0.0</v>
      </c>
      <c r="AH463" s="20">
        <v>0.0</v>
      </c>
      <c r="AI463" s="20">
        <v>0.0</v>
      </c>
      <c r="AJ463" s="20">
        <v>127633.51</v>
      </c>
      <c r="AK463" s="20">
        <v>127633.51</v>
      </c>
      <c r="AL463" s="20">
        <v>0.0</v>
      </c>
      <c r="AM463" s="20">
        <v>376.2</v>
      </c>
      <c r="AN463" s="20">
        <v>0.0</v>
      </c>
      <c r="AS463" s="11" t="str">
        <f>VLOOKUP(C463,'mayo-26'!B:AS,44,0)</f>
        <v>BOTICAJARDINP@HOTMAIL.COM</v>
      </c>
      <c r="AT463" s="12" t="str">
        <f>VLOOKUP(C463,'mayo-26'!B:AT,45,0)</f>
        <v>VERIFICADOR</v>
      </c>
    </row>
    <row r="464" ht="14.25" customHeight="1">
      <c r="A464" s="20" t="s">
        <v>992</v>
      </c>
      <c r="B464" s="20">
        <v>379561.0</v>
      </c>
      <c r="C464" s="20">
        <v>366635.0</v>
      </c>
      <c r="D464" s="21">
        <v>373113.0</v>
      </c>
      <c r="G464" s="20" t="s">
        <v>993</v>
      </c>
      <c r="H464" s="20" t="s">
        <v>994</v>
      </c>
      <c r="I464" s="1" t="str">
        <f>VLOOKUP(C464,'mayo-26'!B:H,7,0)</f>
        <v>CC JARDIN PLAZA L49</v>
      </c>
      <c r="J464" s="1" t="s">
        <v>991</v>
      </c>
      <c r="K464" s="10" t="str">
        <f>VLOOKUP(C464,'mayo-26'!B:J,9,0)</f>
        <v>JARDIN PLAZA</v>
      </c>
      <c r="L464" s="1" t="str">
        <f>VLOOKUP(C464,'mayo-26'!B:K,10,0)</f>
        <v>JARDIN PLAZA</v>
      </c>
      <c r="M464" s="20" t="s">
        <v>52</v>
      </c>
      <c r="N464" s="20" t="s">
        <v>89</v>
      </c>
      <c r="O464" s="20" t="s">
        <v>861</v>
      </c>
      <c r="P464" s="20" t="s">
        <v>126</v>
      </c>
      <c r="Q464" s="20" t="s">
        <v>56</v>
      </c>
      <c r="R464" s="20" t="s">
        <v>90</v>
      </c>
      <c r="S464" s="20" t="s">
        <v>143</v>
      </c>
      <c r="T464" s="20" t="s">
        <v>59</v>
      </c>
      <c r="U464" s="20">
        <v>2026.0</v>
      </c>
      <c r="V464" s="20">
        <v>6.0</v>
      </c>
      <c r="W464" s="20">
        <v>1.081875705E9</v>
      </c>
      <c r="X464" s="20">
        <v>1.081894177E9</v>
      </c>
      <c r="Y464" s="22">
        <v>46182.0</v>
      </c>
      <c r="Z464" s="22">
        <v>46207.0</v>
      </c>
      <c r="AA464" s="20">
        <v>129434.3</v>
      </c>
      <c r="AB464" s="20">
        <v>129434.3</v>
      </c>
      <c r="AC464" s="20">
        <v>42544.51</v>
      </c>
      <c r="AD464" s="20">
        <v>250.0</v>
      </c>
      <c r="AE464" s="20">
        <v>1800.79</v>
      </c>
      <c r="AF464" s="20">
        <v>0.0</v>
      </c>
      <c r="AG464" s="20">
        <v>0.0</v>
      </c>
      <c r="AH464" s="20">
        <v>0.0</v>
      </c>
      <c r="AI464" s="20">
        <v>0.0</v>
      </c>
      <c r="AJ464" s="20">
        <v>129434.3</v>
      </c>
      <c r="AK464" s="20">
        <v>393302.24</v>
      </c>
      <c r="AL464" s="20">
        <v>3.0</v>
      </c>
      <c r="AM464" s="20">
        <v>376.2</v>
      </c>
      <c r="AN464" s="20">
        <v>0.0</v>
      </c>
      <c r="AS464" s="11" t="str">
        <f>VLOOKUP(C464,'mayo-26'!B:AS,44,0)</f>
        <v>CAROLINASANCHEZ.2131@GMAIL.COM</v>
      </c>
      <c r="AT464" s="12" t="str">
        <f>VLOOKUP(C464,'mayo-26'!B:AT,45,0)</f>
        <v>VERIFICADOR</v>
      </c>
    </row>
    <row r="465" ht="14.25" customHeight="1">
      <c r="A465" s="20" t="s">
        <v>995</v>
      </c>
      <c r="B465" s="20">
        <v>386514.0</v>
      </c>
      <c r="C465" s="20">
        <v>370539.0</v>
      </c>
      <c r="D465" s="21">
        <v>378723.0</v>
      </c>
      <c r="G465" s="20">
        <v>9.01823554E8</v>
      </c>
      <c r="H465" s="20" t="s">
        <v>996</v>
      </c>
      <c r="I465" s="1" t="str">
        <f>VLOOKUP(C465,'mayo-26'!B:H,7,0)</f>
        <v>LC S02 CC JARDÍN PLAZA</v>
      </c>
      <c r="J465" s="1" t="s">
        <v>991</v>
      </c>
      <c r="K465" s="10" t="str">
        <f>VLOOKUP(C465,'mayo-26'!B:J,9,0)</f>
        <v>JARDIN PLAZA</v>
      </c>
      <c r="L465" s="1" t="str">
        <f>VLOOKUP(C465,'mayo-26'!B:K,10,0)</f>
        <v>JARDIN PLAZA</v>
      </c>
      <c r="M465" s="20" t="s">
        <v>52</v>
      </c>
      <c r="N465" s="20" t="s">
        <v>89</v>
      </c>
      <c r="O465" s="20" t="s">
        <v>861</v>
      </c>
      <c r="P465" s="20" t="s">
        <v>126</v>
      </c>
      <c r="Q465" s="20" t="s">
        <v>131</v>
      </c>
      <c r="R465" s="20" t="s">
        <v>363</v>
      </c>
      <c r="S465" s="20" t="s">
        <v>133</v>
      </c>
      <c r="T465" s="20" t="s">
        <v>59</v>
      </c>
      <c r="U465" s="20">
        <v>2026.0</v>
      </c>
      <c r="V465" s="20">
        <v>6.0</v>
      </c>
      <c r="W465" s="20">
        <v>1.081875711E9</v>
      </c>
      <c r="X465" s="20">
        <v>1.081894183E9</v>
      </c>
      <c r="Y465" s="22">
        <v>46182.0</v>
      </c>
      <c r="Z465" s="22">
        <v>46207.0</v>
      </c>
      <c r="AA465" s="20">
        <v>75366.0</v>
      </c>
      <c r="AB465" s="20">
        <v>75366.0</v>
      </c>
      <c r="AC465" s="20">
        <v>25122.0</v>
      </c>
      <c r="AD465" s="20">
        <v>0.0</v>
      </c>
      <c r="AE465" s="20">
        <v>0.0</v>
      </c>
      <c r="AF465" s="20">
        <v>0.0</v>
      </c>
      <c r="AG465" s="20">
        <v>0.0</v>
      </c>
      <c r="AH465" s="20">
        <v>0.0</v>
      </c>
      <c r="AI465" s="20">
        <v>0.0</v>
      </c>
      <c r="AJ465" s="20">
        <v>75366.0</v>
      </c>
      <c r="AK465" s="20">
        <v>158575.5</v>
      </c>
      <c r="AL465" s="20">
        <v>1.0</v>
      </c>
      <c r="AM465" s="20">
        <v>376.2</v>
      </c>
      <c r="AN465" s="20">
        <v>0.0</v>
      </c>
      <c r="AS465" s="11" t="str">
        <f>VLOOKUP(C465,'mayo-26'!B:AS,44,0)</f>
        <v>AMBIENTAL@JARDINPLAZA.COM</v>
      </c>
      <c r="AT465" s="12" t="str">
        <f>VLOOKUP(C465,'mayo-26'!B:AT,45,0)</f>
        <v>VERIFICADOR</v>
      </c>
    </row>
    <row r="466" ht="14.25" customHeight="1">
      <c r="A466" s="20" t="s">
        <v>997</v>
      </c>
      <c r="B466" s="20">
        <v>372.0</v>
      </c>
      <c r="C466" s="20">
        <v>371.0</v>
      </c>
      <c r="D466" s="21">
        <v>371.0</v>
      </c>
      <c r="E466" s="20">
        <v>9.0243071E7</v>
      </c>
      <c r="F466" s="20">
        <v>9.0243071E7</v>
      </c>
      <c r="G466" s="20">
        <v>9.01768321E8</v>
      </c>
      <c r="H466" s="20" t="s">
        <v>998</v>
      </c>
      <c r="I466" s="1" t="str">
        <f>VLOOKUP(C466,'mayo-26'!B:H,7,0)</f>
        <v>CLL 11A 6-87</v>
      </c>
      <c r="J466" s="1" t="s">
        <v>982</v>
      </c>
      <c r="K466" s="10" t="str">
        <f>VLOOKUP(C466,'mayo-26'!B:J,9,0)</f>
        <v>NO</v>
      </c>
      <c r="L466" s="1" t="str">
        <f>VLOOKUP(C466,'mayo-26'!B:K,10,0)</f>
        <v>GOBERNACION</v>
      </c>
      <c r="M466" s="20" t="s">
        <v>52</v>
      </c>
      <c r="N466" s="20" t="s">
        <v>89</v>
      </c>
      <c r="O466" s="20" t="s">
        <v>861</v>
      </c>
      <c r="P466" s="20" t="s">
        <v>126</v>
      </c>
      <c r="Q466" s="20" t="s">
        <v>56</v>
      </c>
      <c r="R466" s="20" t="s">
        <v>90</v>
      </c>
      <c r="S466" s="20" t="s">
        <v>143</v>
      </c>
      <c r="T466" s="20" t="s">
        <v>59</v>
      </c>
      <c r="U466" s="20">
        <v>2026.0</v>
      </c>
      <c r="V466" s="20">
        <v>6.0</v>
      </c>
      <c r="W466" s="20">
        <v>1.081875486E9</v>
      </c>
      <c r="X466" s="20">
        <v>1.081893958E9</v>
      </c>
      <c r="Y466" s="22">
        <v>46182.0</v>
      </c>
      <c r="Z466" s="22">
        <v>46207.0</v>
      </c>
      <c r="AA466" s="20">
        <v>127633.51</v>
      </c>
      <c r="AB466" s="20">
        <v>127633.51</v>
      </c>
      <c r="AC466" s="20">
        <v>42544.51</v>
      </c>
      <c r="AD466" s="20">
        <v>250.0</v>
      </c>
      <c r="AE466" s="20">
        <v>0.0</v>
      </c>
      <c r="AF466" s="20">
        <v>0.0</v>
      </c>
      <c r="AG466" s="20">
        <v>0.0</v>
      </c>
      <c r="AH466" s="20">
        <v>0.0</v>
      </c>
      <c r="AI466" s="20">
        <v>0.0</v>
      </c>
      <c r="AJ466" s="20">
        <v>127633.02</v>
      </c>
      <c r="AK466" s="20">
        <v>127633.02</v>
      </c>
      <c r="AL466" s="20">
        <v>0.0</v>
      </c>
      <c r="AM466" s="20">
        <v>376.2</v>
      </c>
      <c r="AN466" s="20">
        <v>0.0</v>
      </c>
      <c r="AQ466" s="20">
        <v>0.49</v>
      </c>
      <c r="AS466" s="11" t="str">
        <f>VLOOKUP(C466,'mayo-26'!B:AS,44,0)</f>
        <v>IRMASANCHEZLAZO1972@HOTMAIL.COM</v>
      </c>
      <c r="AT466" s="12" t="str">
        <f>VLOOKUP(C466,'mayo-26'!B:AT,45,0)</f>
        <v>CORREO ELECTRONICO CERTIFICADO 472</v>
      </c>
    </row>
    <row r="467" ht="14.25" customHeight="1">
      <c r="A467" s="20" t="s">
        <v>999</v>
      </c>
      <c r="B467" s="20">
        <v>285191.0</v>
      </c>
      <c r="C467" s="20">
        <v>371567.0</v>
      </c>
      <c r="D467" s="21">
        <v>380466.0</v>
      </c>
      <c r="E467" s="20">
        <v>1018474.0</v>
      </c>
      <c r="F467" s="20">
        <v>1018474.0</v>
      </c>
      <c r="G467" s="20">
        <v>9.00276962E8</v>
      </c>
      <c r="H467" s="20" t="s">
        <v>128</v>
      </c>
      <c r="I467" s="1" t="str">
        <f>VLOOKUP(C467,'mayo-26'!B:H,7,0)</f>
        <v>KDX 73-2 1116</v>
      </c>
      <c r="J467" s="1" t="s">
        <v>1000</v>
      </c>
      <c r="K467" s="10" t="str">
        <f>VLOOKUP(C467,'mayo-26'!B:J,9,0)</f>
        <v>NO</v>
      </c>
      <c r="L467" s="1" t="str">
        <f>VLOOKUP(C467,'mayo-26'!B:K,10,0)</f>
        <v>D1</v>
      </c>
      <c r="M467" s="20" t="s">
        <v>52</v>
      </c>
      <c r="N467" s="20" t="s">
        <v>89</v>
      </c>
      <c r="O467" s="20" t="s">
        <v>861</v>
      </c>
      <c r="P467" s="20" t="s">
        <v>126</v>
      </c>
      <c r="Q467" s="20" t="s">
        <v>131</v>
      </c>
      <c r="R467" s="20" t="s">
        <v>132</v>
      </c>
      <c r="S467" s="20" t="s">
        <v>133</v>
      </c>
      <c r="T467" s="20" t="s">
        <v>59</v>
      </c>
      <c r="U467" s="20">
        <v>2026.0</v>
      </c>
      <c r="V467" s="20">
        <v>6.0</v>
      </c>
      <c r="W467" s="20">
        <v>1.081875717E9</v>
      </c>
      <c r="X467" s="20">
        <v>1.081894189E9</v>
      </c>
      <c r="Y467" s="22">
        <v>46182.0</v>
      </c>
      <c r="Z467" s="22">
        <v>46207.0</v>
      </c>
      <c r="AA467" s="20">
        <v>113128.5</v>
      </c>
      <c r="AB467" s="20">
        <v>113128.5</v>
      </c>
      <c r="AC467" s="20">
        <v>37709.5</v>
      </c>
      <c r="AD467" s="20">
        <v>0.0</v>
      </c>
      <c r="AE467" s="20">
        <v>0.0</v>
      </c>
      <c r="AF467" s="20">
        <v>0.0</v>
      </c>
      <c r="AG467" s="20">
        <v>0.0</v>
      </c>
      <c r="AH467" s="20">
        <v>0.0</v>
      </c>
      <c r="AI467" s="20">
        <v>0.0</v>
      </c>
      <c r="AJ467" s="20">
        <v>113128.5</v>
      </c>
      <c r="AK467" s="20">
        <v>113128.5</v>
      </c>
      <c r="AL467" s="20">
        <v>0.0</v>
      </c>
      <c r="AM467" s="20">
        <v>376.2</v>
      </c>
      <c r="AN467" s="20">
        <v>0.0</v>
      </c>
      <c r="AS467" s="11" t="str">
        <f>VLOOKUP(C467,'mayo-26'!B:AS,44,0)</f>
        <v>ALBA.CELIS@D1.COM.CO;CARMEN.DAVILA@D1.COM.CO</v>
      </c>
      <c r="AT467" s="12" t="str">
        <f>VLOOKUP(C467,'mayo-26'!B:AT,45,0)</f>
        <v>CORREO ELECTRONICO CERTIFICADO 472</v>
      </c>
    </row>
    <row r="468" ht="14.25" customHeight="1">
      <c r="A468" s="20" t="s">
        <v>1001</v>
      </c>
      <c r="B468" s="20">
        <v>389405.0</v>
      </c>
      <c r="C468" s="20">
        <v>371631.0</v>
      </c>
      <c r="D468" s="21">
        <v>380791.0</v>
      </c>
      <c r="G468" s="20" t="s">
        <v>1002</v>
      </c>
      <c r="H468" s="20" t="s">
        <v>1003</v>
      </c>
      <c r="I468" s="1" t="str">
        <f>VLOOKUP(C468,'mayo-26'!B:H,7,0)</f>
        <v>JARDIN PLAZA # 13-70 L. RM 3</v>
      </c>
      <c r="J468" s="1" t="s">
        <v>991</v>
      </c>
      <c r="K468" s="10" t="str">
        <f>VLOOKUP(C468,'mayo-26'!B:J,9,0)</f>
        <v>JARDIN PLAZA</v>
      </c>
      <c r="L468" s="1" t="str">
        <f>VLOOKUP(C468,'mayo-26'!B:K,10,0)</f>
        <v>JARDIN PLAZA</v>
      </c>
      <c r="M468" s="20" t="s">
        <v>52</v>
      </c>
      <c r="N468" s="20" t="s">
        <v>89</v>
      </c>
      <c r="O468" s="20" t="s">
        <v>861</v>
      </c>
      <c r="P468" s="20" t="s">
        <v>126</v>
      </c>
      <c r="Q468" s="20" t="s">
        <v>56</v>
      </c>
      <c r="R468" s="20" t="s">
        <v>90</v>
      </c>
      <c r="S468" s="20" t="s">
        <v>143</v>
      </c>
      <c r="T468" s="20" t="s">
        <v>59</v>
      </c>
      <c r="U468" s="20">
        <v>2026.0</v>
      </c>
      <c r="V468" s="20">
        <v>6.0</v>
      </c>
      <c r="W468" s="20">
        <v>1.08187572E9</v>
      </c>
      <c r="X468" s="20">
        <v>1.081894192E9</v>
      </c>
      <c r="Y468" s="22">
        <v>46182.0</v>
      </c>
      <c r="Z468" s="22">
        <v>46207.0</v>
      </c>
      <c r="AA468" s="20">
        <v>412279.51</v>
      </c>
      <c r="AB468" s="20">
        <v>412279.51</v>
      </c>
      <c r="AC468" s="20">
        <v>137426.51</v>
      </c>
      <c r="AD468" s="20">
        <v>1250.0</v>
      </c>
      <c r="AE468" s="20">
        <v>0.0</v>
      </c>
      <c r="AF468" s="20">
        <v>0.0</v>
      </c>
      <c r="AG468" s="20">
        <v>0.0</v>
      </c>
      <c r="AH468" s="20">
        <v>0.0</v>
      </c>
      <c r="AI468" s="20">
        <v>0.0</v>
      </c>
      <c r="AJ468" s="20">
        <v>412279.51</v>
      </c>
      <c r="AK468" s="20">
        <v>412280.02</v>
      </c>
      <c r="AL468" s="20">
        <v>1.0</v>
      </c>
      <c r="AM468" s="20">
        <v>376.2</v>
      </c>
      <c r="AN468" s="20">
        <v>0.0</v>
      </c>
      <c r="AS468" s="11" t="str">
        <f>VLOOKUP(C468,'mayo-26'!B:AS,44,0)</f>
        <v>MAPRI424@YAHOO.COM</v>
      </c>
      <c r="AT468" s="12" t="str">
        <f>VLOOKUP(C468,'mayo-26'!B:AT,45,0)</f>
        <v>VERIFICADOR</v>
      </c>
    </row>
    <row r="469" ht="14.25" customHeight="1">
      <c r="A469" s="20" t="s">
        <v>1004</v>
      </c>
      <c r="B469" s="20">
        <v>403623.0</v>
      </c>
      <c r="C469" s="20">
        <v>380239.0</v>
      </c>
      <c r="D469" s="21">
        <v>392448.0</v>
      </c>
      <c r="G469" s="20" t="s">
        <v>1005</v>
      </c>
      <c r="H469" s="20" t="s">
        <v>1006</v>
      </c>
      <c r="I469" s="1" t="str">
        <f>VLOOKUP(C469,'mayo-26'!B:H,7,0)</f>
        <v>CL 44 # 8 - 31 BOGOTA D.C.</v>
      </c>
      <c r="J469" s="1" t="s">
        <v>76</v>
      </c>
      <c r="K469" s="10" t="str">
        <f>VLOOKUP(C469,'mayo-26'!B:J,9,0)</f>
        <v>NO</v>
      </c>
      <c r="L469" s="1" t="str">
        <f>VLOOKUP(C469,'mayo-26'!B:K,10,0)</f>
        <v>NO</v>
      </c>
      <c r="M469" s="20" t="s">
        <v>52</v>
      </c>
      <c r="N469" s="20" t="s">
        <v>89</v>
      </c>
      <c r="O469" s="20" t="s">
        <v>861</v>
      </c>
      <c r="P469" s="20" t="s">
        <v>126</v>
      </c>
      <c r="Q469" s="20" t="s">
        <v>56</v>
      </c>
      <c r="R469" s="20" t="s">
        <v>57</v>
      </c>
      <c r="S469" s="20" t="s">
        <v>58</v>
      </c>
      <c r="T469" s="20" t="s">
        <v>59</v>
      </c>
      <c r="U469" s="20">
        <v>2026.0</v>
      </c>
      <c r="V469" s="20">
        <v>6.0</v>
      </c>
      <c r="W469" s="20">
        <v>1.081875725E9</v>
      </c>
      <c r="X469" s="20">
        <v>1.081894197E9</v>
      </c>
      <c r="Y469" s="22">
        <v>46182.0</v>
      </c>
      <c r="Z469" s="22">
        <v>46207.0</v>
      </c>
      <c r="AA469" s="20">
        <v>256825.43</v>
      </c>
      <c r="AB469" s="20">
        <v>256825.43</v>
      </c>
      <c r="AC469" s="20">
        <v>0.0</v>
      </c>
      <c r="AD469" s="20">
        <v>1155.0</v>
      </c>
      <c r="AE469" s="20">
        <v>0.0</v>
      </c>
      <c r="AF469" s="20">
        <v>0.0</v>
      </c>
      <c r="AG469" s="20">
        <v>0.0</v>
      </c>
      <c r="AH469" s="20">
        <v>0.0</v>
      </c>
      <c r="AI469" s="20">
        <v>0.0</v>
      </c>
      <c r="AJ469" s="20">
        <v>256825.43</v>
      </c>
      <c r="AK469" s="20">
        <v>1083856.85</v>
      </c>
      <c r="AL469" s="20">
        <v>2.0</v>
      </c>
      <c r="AM469" s="20">
        <v>250.8</v>
      </c>
      <c r="AN469" s="20">
        <v>0.0</v>
      </c>
      <c r="AS469" s="11" t="str">
        <f>VLOOKUP(C469,'mayo-26'!B:AS,44,0)</f>
        <v>FE.CLINICA@NEFROUROS.NET</v>
      </c>
      <c r="AT469" s="12" t="str">
        <f>VLOOKUP(C469,'mayo-26'!B:AT,45,0)</f>
        <v>CORREO ELECTRONICO CERTIFICADO 472</v>
      </c>
    </row>
    <row r="470" ht="14.25" customHeight="1">
      <c r="A470" s="20" t="s">
        <v>1007</v>
      </c>
      <c r="B470" s="20">
        <v>701.0</v>
      </c>
      <c r="C470" s="20">
        <v>387.0</v>
      </c>
      <c r="D470" s="21">
        <v>387.0</v>
      </c>
      <c r="E470" s="20">
        <v>9.0243269E7</v>
      </c>
      <c r="F470" s="20">
        <v>9.0243269E7</v>
      </c>
      <c r="G470" s="20" t="s">
        <v>1008</v>
      </c>
      <c r="H470" s="20" t="s">
        <v>1009</v>
      </c>
      <c r="I470" s="1" t="str">
        <f>VLOOKUP(C470,'mayo-26'!B:H,7,0)</f>
        <v>L45 CC JARDIN PLAZA</v>
      </c>
      <c r="J470" s="1" t="s">
        <v>982</v>
      </c>
      <c r="K470" s="10" t="str">
        <f>VLOOKUP(C470,'mayo-26'!B:J,9,0)</f>
        <v>NO</v>
      </c>
      <c r="L470" s="1" t="str">
        <f>VLOOKUP(C470,'mayo-26'!B:K,10,0)</f>
        <v>BANCOLOMBIA</v>
      </c>
      <c r="M470" s="20" t="s">
        <v>52</v>
      </c>
      <c r="N470" s="20" t="s">
        <v>89</v>
      </c>
      <c r="O470" s="20" t="s">
        <v>861</v>
      </c>
      <c r="P470" s="20" t="s">
        <v>126</v>
      </c>
      <c r="Q470" s="20" t="s">
        <v>56</v>
      </c>
      <c r="R470" s="20" t="s">
        <v>90</v>
      </c>
      <c r="S470" s="20" t="s">
        <v>143</v>
      </c>
      <c r="T470" s="20" t="s">
        <v>59</v>
      </c>
      <c r="U470" s="20">
        <v>2026.0</v>
      </c>
      <c r="V470" s="20">
        <v>6.0</v>
      </c>
      <c r="W470" s="20">
        <v>1.08187549E9</v>
      </c>
      <c r="X470" s="20">
        <v>1.081893962E9</v>
      </c>
      <c r="Y470" s="22">
        <v>46182.0</v>
      </c>
      <c r="Z470" s="22">
        <v>46207.0</v>
      </c>
      <c r="AA470" s="20">
        <v>234375.77</v>
      </c>
      <c r="AB470" s="20">
        <v>234375.77</v>
      </c>
      <c r="AC470" s="20">
        <v>78125.26</v>
      </c>
      <c r="AD470" s="20">
        <v>625.0</v>
      </c>
      <c r="AE470" s="20">
        <v>0.0</v>
      </c>
      <c r="AF470" s="20">
        <v>0.0</v>
      </c>
      <c r="AG470" s="20">
        <v>0.0</v>
      </c>
      <c r="AH470" s="20">
        <v>0.0</v>
      </c>
      <c r="AI470" s="20">
        <v>0.0</v>
      </c>
      <c r="AJ470" s="20">
        <v>234375.77</v>
      </c>
      <c r="AK470" s="20">
        <v>234375.77</v>
      </c>
      <c r="AL470" s="20">
        <v>0.0</v>
      </c>
      <c r="AM470" s="20">
        <v>376.2</v>
      </c>
      <c r="AN470" s="20">
        <v>0.0</v>
      </c>
      <c r="AS470" s="11" t="str">
        <f>VLOOKUP(C470,'mayo-26'!B:AS,44,0)</f>
        <v>ROBOTICASP.FMS.CO@SODEXO.COM</v>
      </c>
      <c r="AT470" s="12" t="str">
        <f>VLOOKUP(C470,'mayo-26'!B:AT,45,0)</f>
        <v>CORREO ELECTRONICO CERTIFICADO 472</v>
      </c>
    </row>
    <row r="471" ht="14.25" customHeight="1">
      <c r="A471" s="20" t="s">
        <v>1010</v>
      </c>
      <c r="B471" s="20">
        <v>392.0</v>
      </c>
      <c r="C471" s="20">
        <v>391.0</v>
      </c>
      <c r="D471" s="21">
        <v>391.0</v>
      </c>
      <c r="E471" s="20">
        <v>9.024334E7</v>
      </c>
      <c r="F471" s="20">
        <v>9.024334E7</v>
      </c>
      <c r="G471" s="20" t="s">
        <v>1011</v>
      </c>
      <c r="H471" s="20" t="s">
        <v>1012</v>
      </c>
      <c r="I471" s="1" t="str">
        <f>VLOOKUP(C471,'mayo-26'!B:H,7,0)</f>
        <v>CLL 10 5-50</v>
      </c>
      <c r="J471" s="1" t="s">
        <v>982</v>
      </c>
      <c r="K471" s="10" t="str">
        <f>VLOOKUP(C471,'mayo-26'!B:J,9,0)</f>
        <v>NO</v>
      </c>
      <c r="L471" s="1" t="str">
        <f>VLOOKUP(C471,'mayo-26'!B:K,10,0)</f>
        <v>NO</v>
      </c>
      <c r="M471" s="20" t="s">
        <v>52</v>
      </c>
      <c r="N471" s="20" t="s">
        <v>89</v>
      </c>
      <c r="O471" s="20" t="s">
        <v>861</v>
      </c>
      <c r="P471" s="20" t="s">
        <v>126</v>
      </c>
      <c r="Q471" s="20" t="s">
        <v>56</v>
      </c>
      <c r="R471" s="20" t="s">
        <v>90</v>
      </c>
      <c r="S471" s="20" t="s">
        <v>143</v>
      </c>
      <c r="T471" s="20" t="s">
        <v>59</v>
      </c>
      <c r="U471" s="20">
        <v>2026.0</v>
      </c>
      <c r="V471" s="20">
        <v>6.0</v>
      </c>
      <c r="W471" s="20">
        <v>1.081875493E9</v>
      </c>
      <c r="X471" s="20">
        <v>1.081893965E9</v>
      </c>
      <c r="Y471" s="22">
        <v>46182.0</v>
      </c>
      <c r="Z471" s="22">
        <v>46207.0</v>
      </c>
      <c r="AA471" s="20">
        <v>362466.48</v>
      </c>
      <c r="AB471" s="20">
        <v>362466.48</v>
      </c>
      <c r="AC471" s="20">
        <v>120822.17</v>
      </c>
      <c r="AD471" s="20">
        <v>1075.0</v>
      </c>
      <c r="AE471" s="20">
        <v>0.0</v>
      </c>
      <c r="AF471" s="20">
        <v>0.0</v>
      </c>
      <c r="AG471" s="20">
        <v>0.0</v>
      </c>
      <c r="AH471" s="20">
        <v>0.0</v>
      </c>
      <c r="AI471" s="20">
        <v>0.0</v>
      </c>
      <c r="AJ471" s="20">
        <v>362466.48</v>
      </c>
      <c r="AK471" s="20">
        <v>362466.48</v>
      </c>
      <c r="AL471" s="20">
        <v>0.0</v>
      </c>
      <c r="AM471" s="20">
        <v>376.2</v>
      </c>
      <c r="AN471" s="20">
        <v>0.0</v>
      </c>
      <c r="AS471" s="11" t="str">
        <f>VLOOKUP(C471,'mayo-26'!B:AS,44,0)</f>
        <v>AGROBANCARIO@HOTMAIL.COM</v>
      </c>
      <c r="AT471" s="12" t="str">
        <f>VLOOKUP(C471,'mayo-26'!B:AT,45,0)</f>
        <v>CORREO ELECTRONICO CERTIFICADO 472</v>
      </c>
    </row>
    <row r="472" ht="14.25" customHeight="1">
      <c r="A472" s="20" t="s">
        <v>1013</v>
      </c>
      <c r="B472" s="20">
        <v>396.0</v>
      </c>
      <c r="C472" s="20">
        <v>395.0</v>
      </c>
      <c r="D472" s="21">
        <v>395.0</v>
      </c>
      <c r="E472" s="20">
        <v>9.0243927E7</v>
      </c>
      <c r="F472" s="20">
        <v>9.0243927E7</v>
      </c>
      <c r="G472" s="20">
        <v>8.90502801E8</v>
      </c>
      <c r="H472" s="20" t="s">
        <v>1014</v>
      </c>
      <c r="I472" s="1" t="str">
        <f>VLOOKUP(C472,'mayo-26'!B:H,7,0)</f>
        <v>CLL 16 4-12 LA OPINION</v>
      </c>
      <c r="J472" s="1" t="s">
        <v>1015</v>
      </c>
      <c r="K472" s="10" t="str">
        <f>VLOOKUP(C472,'mayo-26'!B:J,9,0)</f>
        <v>NO</v>
      </c>
      <c r="L472" s="1" t="str">
        <f>VLOOKUP(C472,'mayo-26'!B:K,10,0)</f>
        <v>NO</v>
      </c>
      <c r="M472" s="20" t="s">
        <v>52</v>
      </c>
      <c r="N472" s="20" t="s">
        <v>89</v>
      </c>
      <c r="O472" s="20" t="s">
        <v>861</v>
      </c>
      <c r="P472" s="20" t="s">
        <v>126</v>
      </c>
      <c r="Q472" s="20" t="s">
        <v>56</v>
      </c>
      <c r="R472" s="20" t="s">
        <v>90</v>
      </c>
      <c r="S472" s="20" t="s">
        <v>143</v>
      </c>
      <c r="T472" s="20" t="s">
        <v>59</v>
      </c>
      <c r="U472" s="20">
        <v>2026.0</v>
      </c>
      <c r="V472" s="20">
        <v>6.0</v>
      </c>
      <c r="W472" s="20">
        <v>1.081875497E9</v>
      </c>
      <c r="X472" s="20">
        <v>1.081893969E9</v>
      </c>
      <c r="Y472" s="22">
        <v>46182.0</v>
      </c>
      <c r="Z472" s="22">
        <v>46207.0</v>
      </c>
      <c r="AA472" s="20">
        <v>313077.74</v>
      </c>
      <c r="AB472" s="20">
        <v>313077.74</v>
      </c>
      <c r="AC472" s="20">
        <v>103553.63</v>
      </c>
      <c r="AD472" s="20">
        <v>893.0</v>
      </c>
      <c r="AE472" s="20">
        <v>2416.86</v>
      </c>
      <c r="AF472" s="20">
        <v>0.0</v>
      </c>
      <c r="AG472" s="20">
        <v>0.0</v>
      </c>
      <c r="AH472" s="20">
        <v>0.0</v>
      </c>
      <c r="AI472" s="20">
        <v>0.0</v>
      </c>
      <c r="AJ472" s="20">
        <v>313077.74</v>
      </c>
      <c r="AK472" s="20">
        <v>313078.69</v>
      </c>
      <c r="AL472" s="20">
        <v>1.0</v>
      </c>
      <c r="AM472" s="20">
        <v>376.2</v>
      </c>
      <c r="AN472" s="20">
        <v>0.0</v>
      </c>
      <c r="AS472" s="11" t="str">
        <f>VLOOKUP(C472,'mayo-26'!B:AS,44,0)</f>
        <v>890502801@FACTUREINBOX.CO</v>
      </c>
      <c r="AT472" s="12" t="str">
        <f>VLOOKUP(C472,'mayo-26'!B:AT,45,0)</f>
        <v>CORREO ELECTRONICO CERTIFICADO 472</v>
      </c>
    </row>
    <row r="473" ht="14.25" customHeight="1">
      <c r="A473" s="20" t="s">
        <v>1016</v>
      </c>
      <c r="B473" s="20">
        <v>455370.0</v>
      </c>
      <c r="C473" s="20">
        <v>403.0</v>
      </c>
      <c r="D473" s="21">
        <v>403.0</v>
      </c>
      <c r="E473" s="20">
        <v>9.0246555E7</v>
      </c>
      <c r="F473" s="20">
        <v>9.0246555E7</v>
      </c>
      <c r="G473" s="20" t="s">
        <v>148</v>
      </c>
      <c r="H473" s="20" t="s">
        <v>149</v>
      </c>
      <c r="I473" s="1" t="str">
        <f>VLOOKUP(C473,'mayo-26'!B:H,7,0)</f>
        <v>CALLE 10 NO 0E-16 EDF CENTRO EMPRESARIAL BLOQUE B HOTEL TONCHALA</v>
      </c>
      <c r="J473" s="1" t="s">
        <v>1017</v>
      </c>
      <c r="K473" s="10" t="str">
        <f>VLOOKUP(C473,'mayo-26'!B:J,9,0)</f>
        <v>NO</v>
      </c>
      <c r="L473" s="1" t="str">
        <f>VLOOKUP(C473,'mayo-26'!B:K,10,0)</f>
        <v>COLEGIOS ZONA SUR</v>
      </c>
      <c r="M473" s="20" t="s">
        <v>52</v>
      </c>
      <c r="N473" s="20" t="s">
        <v>53</v>
      </c>
      <c r="O473" s="20" t="s">
        <v>861</v>
      </c>
      <c r="P473" s="20" t="s">
        <v>126</v>
      </c>
      <c r="Q473" s="20" t="s">
        <v>56</v>
      </c>
      <c r="R473" s="20" t="s">
        <v>57</v>
      </c>
      <c r="S473" s="20" t="s">
        <v>143</v>
      </c>
      <c r="T473" s="20" t="s">
        <v>59</v>
      </c>
      <c r="U473" s="20">
        <v>2026.0</v>
      </c>
      <c r="V473" s="20">
        <v>6.0</v>
      </c>
      <c r="W473" s="20">
        <v>1.081875501E9</v>
      </c>
      <c r="X473" s="20">
        <v>1.081893973E9</v>
      </c>
      <c r="Y473" s="22">
        <v>46182.0</v>
      </c>
      <c r="Z473" s="22">
        <v>46207.0</v>
      </c>
      <c r="AA473" s="20">
        <v>242213.6</v>
      </c>
      <c r="AB473" s="20">
        <v>242213.6</v>
      </c>
      <c r="AC473" s="20">
        <v>0.0</v>
      </c>
      <c r="AD473" s="20">
        <v>1078.0</v>
      </c>
      <c r="AE473" s="20">
        <v>0.0</v>
      </c>
      <c r="AF473" s="20">
        <v>0.0</v>
      </c>
      <c r="AG473" s="20">
        <v>0.0</v>
      </c>
      <c r="AH473" s="20">
        <v>0.0</v>
      </c>
      <c r="AI473" s="20">
        <v>0.0</v>
      </c>
      <c r="AJ473" s="20">
        <v>242213.6</v>
      </c>
      <c r="AK473" s="20">
        <v>722774.3</v>
      </c>
      <c r="AL473" s="20">
        <v>3.0</v>
      </c>
      <c r="AM473" s="20">
        <v>250.8</v>
      </c>
      <c r="AN473" s="20">
        <v>0.0</v>
      </c>
      <c r="AS473" s="11" t="str">
        <f>VLOOKUP(C473,'mayo-26'!B:AS,44,0)</f>
        <v>AREAFINANCIERA@SEMCUCUTA.GOV.CO</v>
      </c>
      <c r="AT473" s="12" t="str">
        <f>VLOOKUP(C473,'mayo-26'!B:AT,45,0)</f>
        <v>CARTERA</v>
      </c>
    </row>
    <row r="474" ht="14.25" customHeight="1">
      <c r="A474" s="20" t="s">
        <v>1018</v>
      </c>
      <c r="B474" s="20">
        <v>455370.0</v>
      </c>
      <c r="C474" s="20">
        <v>407.0</v>
      </c>
      <c r="D474" s="21">
        <v>407.0</v>
      </c>
      <c r="E474" s="20">
        <v>9.0248385E7</v>
      </c>
      <c r="F474" s="20">
        <v>9.0248385E7</v>
      </c>
      <c r="G474" s="20" t="s">
        <v>148</v>
      </c>
      <c r="H474" s="20" t="s">
        <v>149</v>
      </c>
      <c r="I474" s="1" t="str">
        <f>VLOOKUP(C474,'mayo-26'!B:H,7,0)</f>
        <v>CALLE 10 NO 0E-16 EDF CENTRO EMPRESARIAL BLOQUE B HOTEL TONCHALA</v>
      </c>
      <c r="J474" s="1" t="s">
        <v>860</v>
      </c>
      <c r="K474" s="10" t="str">
        <f>VLOOKUP(C474,'mayo-26'!B:J,9,0)</f>
        <v>NO</v>
      </c>
      <c r="L474" s="1" t="str">
        <f>VLOOKUP(C474,'mayo-26'!B:K,10,0)</f>
        <v>COLEGIOS ZONA SUR</v>
      </c>
      <c r="M474" s="20" t="s">
        <v>52</v>
      </c>
      <c r="N474" s="20" t="s">
        <v>53</v>
      </c>
      <c r="O474" s="20" t="s">
        <v>861</v>
      </c>
      <c r="P474" s="20" t="s">
        <v>126</v>
      </c>
      <c r="Q474" s="20" t="s">
        <v>56</v>
      </c>
      <c r="R474" s="20" t="s">
        <v>57</v>
      </c>
      <c r="S474" s="20" t="s">
        <v>143</v>
      </c>
      <c r="T474" s="20" t="s">
        <v>59</v>
      </c>
      <c r="U474" s="20">
        <v>2026.0</v>
      </c>
      <c r="V474" s="20">
        <v>6.0</v>
      </c>
      <c r="W474" s="20">
        <v>1.081875505E9</v>
      </c>
      <c r="X474" s="20">
        <v>1.081893977E9</v>
      </c>
      <c r="Y474" s="22">
        <v>46182.0</v>
      </c>
      <c r="Z474" s="22">
        <v>46207.0</v>
      </c>
      <c r="AA474" s="20">
        <v>296675.87</v>
      </c>
      <c r="AB474" s="20">
        <v>296675.87</v>
      </c>
      <c r="AC474" s="20">
        <v>0.0</v>
      </c>
      <c r="AD474" s="20">
        <v>1365.0</v>
      </c>
      <c r="AE474" s="20">
        <v>0.0</v>
      </c>
      <c r="AF474" s="20">
        <v>0.0</v>
      </c>
      <c r="AG474" s="20">
        <v>0.0</v>
      </c>
      <c r="AH474" s="20">
        <v>0.0</v>
      </c>
      <c r="AI474" s="20">
        <v>0.0</v>
      </c>
      <c r="AJ474" s="20">
        <v>296675.87</v>
      </c>
      <c r="AK474" s="20">
        <v>884879.94</v>
      </c>
      <c r="AL474" s="20">
        <v>3.0</v>
      </c>
      <c r="AM474" s="20">
        <v>250.8</v>
      </c>
      <c r="AN474" s="20">
        <v>0.0</v>
      </c>
      <c r="AS474" s="11" t="str">
        <f>VLOOKUP(C474,'mayo-26'!B:AS,44,0)</f>
        <v>AREAFINANCIERA@SEMCUCUTA.GOV.CO</v>
      </c>
      <c r="AT474" s="12" t="str">
        <f>VLOOKUP(C474,'mayo-26'!B:AT,45,0)</f>
        <v>CARTERA</v>
      </c>
    </row>
    <row r="475" ht="14.25" customHeight="1">
      <c r="A475" s="20" t="s">
        <v>1019</v>
      </c>
      <c r="B475" s="20">
        <v>232.0</v>
      </c>
      <c r="C475" s="20">
        <v>411.0</v>
      </c>
      <c r="D475" s="21">
        <v>411.0</v>
      </c>
      <c r="E475" s="20">
        <v>9.0250372E7</v>
      </c>
      <c r="F475" s="20">
        <v>9.0250372E7</v>
      </c>
      <c r="G475" s="20">
        <v>8.30122566E8</v>
      </c>
      <c r="H475" s="20" t="s">
        <v>193</v>
      </c>
      <c r="I475" s="1" t="str">
        <f>VLOOKUP(C475,'mayo-26'!B:H,7,0)</f>
        <v>AV 0 N 10-61</v>
      </c>
      <c r="J475" s="1" t="s">
        <v>982</v>
      </c>
      <c r="K475" s="10" t="str">
        <f>VLOOKUP(C475,'mayo-26'!B:J,9,0)</f>
        <v>NO</v>
      </c>
      <c r="L475" s="1" t="str">
        <f>VLOOKUP(C475,'mayo-26'!B:K,10,0)</f>
        <v>MOVISTAR</v>
      </c>
      <c r="M475" s="20" t="s">
        <v>52</v>
      </c>
      <c r="N475" s="20" t="s">
        <v>53</v>
      </c>
      <c r="O475" s="20" t="s">
        <v>861</v>
      </c>
      <c r="P475" s="20" t="s">
        <v>126</v>
      </c>
      <c r="Q475" s="20" t="s">
        <v>131</v>
      </c>
      <c r="R475" s="20" t="s">
        <v>151</v>
      </c>
      <c r="S475" s="20" t="s">
        <v>133</v>
      </c>
      <c r="T475" s="20" t="s">
        <v>59</v>
      </c>
      <c r="U475" s="20">
        <v>2026.0</v>
      </c>
      <c r="V475" s="20">
        <v>6.0</v>
      </c>
      <c r="W475" s="20">
        <v>1.081875508E9</v>
      </c>
      <c r="X475" s="20">
        <v>1.08189398E9</v>
      </c>
      <c r="Y475" s="22">
        <v>46182.0</v>
      </c>
      <c r="Z475" s="22">
        <v>46207.0</v>
      </c>
      <c r="AA475" s="20">
        <v>75419.0</v>
      </c>
      <c r="AB475" s="20">
        <v>75419.0</v>
      </c>
      <c r="AC475" s="20">
        <v>0.0</v>
      </c>
      <c r="AD475" s="20">
        <v>0.0</v>
      </c>
      <c r="AE475" s="20">
        <v>0.0</v>
      </c>
      <c r="AF475" s="20">
        <v>0.0</v>
      </c>
      <c r="AG475" s="20">
        <v>0.0</v>
      </c>
      <c r="AH475" s="20">
        <v>0.0</v>
      </c>
      <c r="AI475" s="20">
        <v>0.0</v>
      </c>
      <c r="AJ475" s="20">
        <v>75419.0</v>
      </c>
      <c r="AK475" s="20">
        <v>2837707.55</v>
      </c>
      <c r="AL475" s="20">
        <v>46.0</v>
      </c>
      <c r="AM475" s="20">
        <v>250.8</v>
      </c>
      <c r="AN475" s="20">
        <v>0.0</v>
      </c>
      <c r="AS475" s="11" t="str">
        <f>VLOOKUP(C475,'mayo-26'!B:AS,44,0)</f>
        <v>SERVICIOSPUBLICOS.TC@TELEFONICA.COM; D.CRUZ02@TELEFONICA.COM</v>
      </c>
      <c r="AT475" s="12" t="str">
        <f>VLOOKUP(C475,'mayo-26'!B:AT,45,0)</f>
        <v>CORREO ELECTRONICO CERTIFICADO 472</v>
      </c>
    </row>
    <row r="476" ht="14.25" customHeight="1">
      <c r="A476" s="20" t="s">
        <v>1020</v>
      </c>
      <c r="B476" s="20">
        <v>455370.0</v>
      </c>
      <c r="C476" s="20">
        <v>415.0</v>
      </c>
      <c r="D476" s="21">
        <v>415.0</v>
      </c>
      <c r="E476" s="20">
        <v>9.0250914E7</v>
      </c>
      <c r="F476" s="20">
        <v>9.0250914E7</v>
      </c>
      <c r="G476" s="20" t="s">
        <v>148</v>
      </c>
      <c r="H476" s="20" t="s">
        <v>149</v>
      </c>
      <c r="I476" s="1" t="str">
        <f>VLOOKUP(C476,'mayo-26'!B:H,7,0)</f>
        <v>CALLE 10 NO 0E-16 EDF CENTRO EMPRESARIAL BLOQUE B HOTEL TONCHALA</v>
      </c>
      <c r="J476" s="1" t="s">
        <v>1021</v>
      </c>
      <c r="K476" s="10" t="str">
        <f>VLOOKUP(C476,'mayo-26'!B:J,9,0)</f>
        <v>NO</v>
      </c>
      <c r="L476" s="1" t="str">
        <f>VLOOKUP(C476,'mayo-26'!B:K,10,0)</f>
        <v>COLEGIOS ZONA SUR</v>
      </c>
      <c r="M476" s="20" t="s">
        <v>52</v>
      </c>
      <c r="N476" s="20" t="s">
        <v>53</v>
      </c>
      <c r="O476" s="20" t="s">
        <v>861</v>
      </c>
      <c r="P476" s="20" t="s">
        <v>126</v>
      </c>
      <c r="Q476" s="20" t="s">
        <v>56</v>
      </c>
      <c r="R476" s="20" t="s">
        <v>57</v>
      </c>
      <c r="S476" s="20" t="s">
        <v>143</v>
      </c>
      <c r="T476" s="20" t="s">
        <v>59</v>
      </c>
      <c r="U476" s="20">
        <v>2026.0</v>
      </c>
      <c r="V476" s="20">
        <v>6.0</v>
      </c>
      <c r="W476" s="20">
        <v>1.081875515E9</v>
      </c>
      <c r="X476" s="20">
        <v>1.081893987E9</v>
      </c>
      <c r="Y476" s="22">
        <v>46182.0</v>
      </c>
      <c r="Z476" s="22">
        <v>46207.0</v>
      </c>
      <c r="AA476" s="20">
        <v>275422.29</v>
      </c>
      <c r="AB476" s="20">
        <v>275422.29</v>
      </c>
      <c r="AC476" s="20">
        <v>0.0</v>
      </c>
      <c r="AD476" s="20">
        <v>1253.0</v>
      </c>
      <c r="AE476" s="20">
        <v>0.0</v>
      </c>
      <c r="AF476" s="20">
        <v>0.0</v>
      </c>
      <c r="AG476" s="20">
        <v>0.0</v>
      </c>
      <c r="AH476" s="20">
        <v>0.0</v>
      </c>
      <c r="AI476" s="20">
        <v>0.0</v>
      </c>
      <c r="AJ476" s="20">
        <v>275422.29</v>
      </c>
      <c r="AK476" s="20">
        <v>821619.18</v>
      </c>
      <c r="AL476" s="20">
        <v>3.0</v>
      </c>
      <c r="AM476" s="20">
        <v>250.8</v>
      </c>
      <c r="AN476" s="20">
        <v>0.0</v>
      </c>
      <c r="AS476" s="11" t="str">
        <f>VLOOKUP(C476,'mayo-26'!B:AS,44,0)</f>
        <v>AREAFINANCIERA@SEMCUCUTA.GOV.CO</v>
      </c>
      <c r="AT476" s="12" t="str">
        <f>VLOOKUP(C476,'mayo-26'!B:AT,45,0)</f>
        <v>CARTERA</v>
      </c>
    </row>
    <row r="477" ht="14.25" customHeight="1">
      <c r="A477" s="20" t="s">
        <v>1022</v>
      </c>
      <c r="B477" s="20">
        <v>455370.0</v>
      </c>
      <c r="C477" s="20">
        <v>423.0</v>
      </c>
      <c r="D477" s="21">
        <v>423.0</v>
      </c>
      <c r="E477" s="20">
        <v>9.0253305E7</v>
      </c>
      <c r="F477" s="20">
        <v>9.0253305E7</v>
      </c>
      <c r="G477" s="20" t="s">
        <v>148</v>
      </c>
      <c r="H477" s="20" t="s">
        <v>149</v>
      </c>
      <c r="I477" s="1" t="str">
        <f>VLOOKUP(C477,'mayo-26'!B:H,7,0)</f>
        <v>CALLE 10 NO 0E-16 EDF CENTRO EMPRESARIAL BLOQUE B HOTEL TONCHALA</v>
      </c>
      <c r="J477" s="1" t="s">
        <v>1023</v>
      </c>
      <c r="K477" s="10" t="str">
        <f>VLOOKUP(C477,'mayo-26'!B:J,9,0)</f>
        <v>NO</v>
      </c>
      <c r="L477" s="1" t="str">
        <f>VLOOKUP(C477,'mayo-26'!B:K,10,0)</f>
        <v>COLEGIOS ZONA SUR</v>
      </c>
      <c r="M477" s="20" t="s">
        <v>52</v>
      </c>
      <c r="N477" s="20" t="s">
        <v>53</v>
      </c>
      <c r="O477" s="20" t="s">
        <v>861</v>
      </c>
      <c r="P477" s="20" t="s">
        <v>126</v>
      </c>
      <c r="Q477" s="20" t="s">
        <v>56</v>
      </c>
      <c r="R477" s="20" t="s">
        <v>57</v>
      </c>
      <c r="S477" s="20" t="s">
        <v>143</v>
      </c>
      <c r="T477" s="20" t="s">
        <v>59</v>
      </c>
      <c r="U477" s="20">
        <v>2026.0</v>
      </c>
      <c r="V477" s="20">
        <v>6.0</v>
      </c>
      <c r="W477" s="20">
        <v>1.081875518E9</v>
      </c>
      <c r="X477" s="20">
        <v>1.08189399E9</v>
      </c>
      <c r="Y477" s="22">
        <v>46182.0</v>
      </c>
      <c r="Z477" s="22">
        <v>46207.0</v>
      </c>
      <c r="AA477" s="20">
        <v>760648.84</v>
      </c>
      <c r="AB477" s="20">
        <v>760648.84</v>
      </c>
      <c r="AC477" s="20">
        <v>0.0</v>
      </c>
      <c r="AD477" s="20">
        <v>3810.0</v>
      </c>
      <c r="AE477" s="20">
        <v>0.0</v>
      </c>
      <c r="AF477" s="20">
        <v>0.0</v>
      </c>
      <c r="AG477" s="20">
        <v>0.0</v>
      </c>
      <c r="AH477" s="20">
        <v>0.0</v>
      </c>
      <c r="AI477" s="20">
        <v>0.0</v>
      </c>
      <c r="AJ477" s="20">
        <v>760648.84</v>
      </c>
      <c r="AK477" s="20">
        <v>2265884.38</v>
      </c>
      <c r="AL477" s="20">
        <v>3.0</v>
      </c>
      <c r="AM477" s="20">
        <v>250.8</v>
      </c>
      <c r="AN477" s="20">
        <v>0.0</v>
      </c>
      <c r="AS477" s="11" t="str">
        <f>VLOOKUP(C477,'mayo-26'!B:AS,44,0)</f>
        <v>AREAFINANCIERA@SEMCUCUTA.GOV.CO</v>
      </c>
      <c r="AT477" s="12" t="str">
        <f>VLOOKUP(C477,'mayo-26'!B:AT,45,0)</f>
        <v>CARTERA</v>
      </c>
    </row>
    <row r="478" ht="14.25" customHeight="1">
      <c r="A478" s="20" t="s">
        <v>1024</v>
      </c>
      <c r="B478" s="20">
        <v>455228.0</v>
      </c>
      <c r="C478" s="20">
        <v>425267.0</v>
      </c>
      <c r="D478" s="21">
        <v>441053.0</v>
      </c>
      <c r="G478" s="20">
        <v>9.00342297E8</v>
      </c>
      <c r="H478" s="20" t="s">
        <v>1025</v>
      </c>
      <c r="I478" s="1" t="str">
        <f>VLOOKUP(C478,'mayo-26'!B:H,7,0)</f>
        <v>LC 14 CC JARDIN PLAZA CÚCUTA</v>
      </c>
      <c r="J478" s="1" t="s">
        <v>991</v>
      </c>
      <c r="K478" s="10" t="str">
        <f>VLOOKUP(C478,'mayo-26'!B:J,9,0)</f>
        <v>JARDIN PLAZA</v>
      </c>
      <c r="L478" s="1" t="str">
        <f>VLOOKUP(C478,'mayo-26'!B:K,10,0)</f>
        <v>JARDIN PLAZA</v>
      </c>
      <c r="M478" s="20" t="s">
        <v>52</v>
      </c>
      <c r="N478" s="20" t="s">
        <v>89</v>
      </c>
      <c r="O478" s="20" t="s">
        <v>861</v>
      </c>
      <c r="P478" s="20" t="s">
        <v>126</v>
      </c>
      <c r="Q478" s="20" t="s">
        <v>131</v>
      </c>
      <c r="R478" s="20" t="s">
        <v>132</v>
      </c>
      <c r="S478" s="20" t="s">
        <v>133</v>
      </c>
      <c r="T478" s="20" t="s">
        <v>59</v>
      </c>
      <c r="U478" s="20">
        <v>2026.0</v>
      </c>
      <c r="V478" s="20">
        <v>6.0</v>
      </c>
      <c r="W478" s="20">
        <v>1.081875731E9</v>
      </c>
      <c r="X478" s="20">
        <v>1.081894203E9</v>
      </c>
      <c r="Y478" s="22">
        <v>46182.0</v>
      </c>
      <c r="Z478" s="22">
        <v>46207.0</v>
      </c>
      <c r="AA478" s="20">
        <v>113128.5</v>
      </c>
      <c r="AB478" s="20">
        <v>113128.5</v>
      </c>
      <c r="AC478" s="20">
        <v>37709.5</v>
      </c>
      <c r="AD478" s="20">
        <v>0.0</v>
      </c>
      <c r="AE478" s="20">
        <v>0.0</v>
      </c>
      <c r="AF478" s="20">
        <v>0.0</v>
      </c>
      <c r="AG478" s="20">
        <v>0.0</v>
      </c>
      <c r="AH478" s="20">
        <v>0.0</v>
      </c>
      <c r="AI478" s="20">
        <v>0.0</v>
      </c>
      <c r="AJ478" s="20">
        <v>113128.5</v>
      </c>
      <c r="AK478" s="20">
        <v>113128.5</v>
      </c>
      <c r="AL478" s="20">
        <v>0.0</v>
      </c>
      <c r="AM478" s="20">
        <v>376.2</v>
      </c>
      <c r="AN478" s="20">
        <v>0.0</v>
      </c>
      <c r="AS478" s="11" t="str">
        <f>VLOOKUP(C478,'mayo-26'!B:AS,44,0)</f>
        <v>FINANCIERA@ARTUROCALLE.COM.CO</v>
      </c>
      <c r="AT478" s="12" t="str">
        <f>VLOOKUP(C478,'mayo-26'!B:AT,45,0)</f>
        <v>VERIFICADOR</v>
      </c>
    </row>
    <row r="479" ht="14.25" customHeight="1">
      <c r="A479" s="20" t="s">
        <v>1026</v>
      </c>
      <c r="B479" s="20">
        <v>428.0</v>
      </c>
      <c r="C479" s="20">
        <v>427.0</v>
      </c>
      <c r="D479" s="21">
        <v>427.0</v>
      </c>
      <c r="E479" s="20">
        <v>9.0253715E7</v>
      </c>
      <c r="F479" s="20">
        <v>9.0253715E7</v>
      </c>
      <c r="G479" s="20" t="s">
        <v>1027</v>
      </c>
      <c r="H479" s="20" t="s">
        <v>1028</v>
      </c>
      <c r="I479" s="1" t="str">
        <f>VLOOKUP(C479,'mayo-26'!B:H,7,0)</f>
        <v>AVE GRAN COLOMBIA 12E-96</v>
      </c>
      <c r="J479" s="1" t="s">
        <v>902</v>
      </c>
      <c r="K479" s="10" t="str">
        <f>VLOOKUP(C479,'mayo-26'!B:J,9,0)</f>
        <v>NO</v>
      </c>
      <c r="L479" s="1" t="str">
        <f>VLOOKUP(C479,'mayo-26'!B:K,10,0)</f>
        <v>UFPS</v>
      </c>
      <c r="M479" s="20" t="s">
        <v>52</v>
      </c>
      <c r="N479" s="20" t="s">
        <v>89</v>
      </c>
      <c r="O479" s="20" t="s">
        <v>861</v>
      </c>
      <c r="P479" s="20" t="s">
        <v>126</v>
      </c>
      <c r="Q479" s="20" t="s">
        <v>56</v>
      </c>
      <c r="R479" s="20" t="s">
        <v>57</v>
      </c>
      <c r="S479" s="20" t="s">
        <v>143</v>
      </c>
      <c r="T479" s="20" t="s">
        <v>59</v>
      </c>
      <c r="U479" s="20">
        <v>2026.0</v>
      </c>
      <c r="V479" s="20">
        <v>6.0</v>
      </c>
      <c r="W479" s="20">
        <v>1.081875523E9</v>
      </c>
      <c r="X479" s="20">
        <v>1.081893995E9</v>
      </c>
      <c r="Y479" s="22">
        <v>46182.0</v>
      </c>
      <c r="Z479" s="22">
        <v>46207.0</v>
      </c>
      <c r="AA479" s="20">
        <v>7947011.52</v>
      </c>
      <c r="AB479" s="20">
        <v>7947011.52</v>
      </c>
      <c r="AC479" s="20">
        <v>0.0</v>
      </c>
      <c r="AD479" s="20">
        <v>41680.0</v>
      </c>
      <c r="AE479" s="20">
        <v>0.0</v>
      </c>
      <c r="AF479" s="20">
        <v>0.0</v>
      </c>
      <c r="AG479" s="20">
        <v>0.0</v>
      </c>
      <c r="AH479" s="20">
        <v>0.0</v>
      </c>
      <c r="AI479" s="20">
        <v>0.0</v>
      </c>
      <c r="AJ479" s="20">
        <v>7947011.52</v>
      </c>
      <c r="AK479" s="20">
        <v>7947011.52</v>
      </c>
      <c r="AL479" s="20">
        <v>0.0</v>
      </c>
      <c r="AM479" s="20">
        <v>250.8</v>
      </c>
      <c r="AN479" s="20">
        <v>0.0</v>
      </c>
      <c r="AS479" s="11" t="str">
        <f>VLOOKUP(C479,'mayo-26'!B:AS,44,0)</f>
        <v>viceadministrativa@ufps.edu.co</v>
      </c>
      <c r="AT479" s="12" t="str">
        <f>VLOOKUP(C479,'mayo-26'!B:AT,45,0)</f>
        <v>CORREO ELECTRONICO CERTIFICADO 472</v>
      </c>
    </row>
    <row r="480" ht="14.25" customHeight="1">
      <c r="A480" s="20" t="s">
        <v>1029</v>
      </c>
      <c r="B480" s="20">
        <v>463239.0</v>
      </c>
      <c r="C480" s="20">
        <v>429543.0</v>
      </c>
      <c r="D480" s="21">
        <v>448045.0</v>
      </c>
      <c r="G480" s="20">
        <v>9.1497719E7</v>
      </c>
      <c r="H480" s="20" t="s">
        <v>1030</v>
      </c>
      <c r="I480" s="1" t="str">
        <f>VLOOKUP(C480,'mayo-26'!B:H,7,0)</f>
        <v>CC JARDIN PLAZA L 29</v>
      </c>
      <c r="J480" s="1">
        <v>0.0</v>
      </c>
      <c r="K480" s="10" t="str">
        <f>VLOOKUP(C480,'mayo-26'!B:J,9,0)</f>
        <v>JARDIN PLAZA</v>
      </c>
      <c r="L480" s="1" t="str">
        <f>VLOOKUP(C480,'mayo-26'!B:K,10,0)</f>
        <v>JARDIN PLAZA</v>
      </c>
      <c r="M480" s="20" t="s">
        <v>52</v>
      </c>
      <c r="N480" s="20" t="s">
        <v>53</v>
      </c>
      <c r="O480" s="20" t="s">
        <v>861</v>
      </c>
      <c r="P480" s="20" t="s">
        <v>126</v>
      </c>
      <c r="Q480" s="20" t="s">
        <v>56</v>
      </c>
      <c r="R480" s="20" t="s">
        <v>90</v>
      </c>
      <c r="S480" s="20" t="s">
        <v>143</v>
      </c>
      <c r="T480" s="20" t="s">
        <v>59</v>
      </c>
      <c r="U480" s="20">
        <v>2026.0</v>
      </c>
      <c r="V480" s="20">
        <v>6.0</v>
      </c>
      <c r="W480" s="20">
        <v>1.081875735E9</v>
      </c>
      <c r="X480" s="20">
        <v>1.081894207E9</v>
      </c>
      <c r="Y480" s="22">
        <v>46182.0</v>
      </c>
      <c r="Z480" s="22">
        <v>46207.0</v>
      </c>
      <c r="AA480" s="20">
        <v>130659.93</v>
      </c>
      <c r="AB480" s="20">
        <v>130659.93</v>
      </c>
      <c r="AC480" s="20">
        <v>42829.15</v>
      </c>
      <c r="AD480" s="20">
        <v>253.0</v>
      </c>
      <c r="AE480" s="20">
        <v>2172.49</v>
      </c>
      <c r="AF480" s="20">
        <v>0.0</v>
      </c>
      <c r="AG480" s="20">
        <v>0.0</v>
      </c>
      <c r="AH480" s="20">
        <v>0.0</v>
      </c>
      <c r="AI480" s="20">
        <v>0.0</v>
      </c>
      <c r="AJ480" s="20">
        <v>130659.93</v>
      </c>
      <c r="AK480" s="20">
        <v>262584.2</v>
      </c>
      <c r="AL480" s="20">
        <v>2.0</v>
      </c>
      <c r="AM480" s="20">
        <v>376.2</v>
      </c>
      <c r="AN480" s="20">
        <v>0.0</v>
      </c>
      <c r="AS480" s="11" t="str">
        <f>VLOOKUP(C480,'mayo-26'!B:AS,44,0)</f>
        <v>NOMINAS@MOMA.COM.CO; ASISCOMERCIAL@MOMA.COM.CO</v>
      </c>
      <c r="AT480" s="12" t="str">
        <f>VLOOKUP(C480,'mayo-26'!B:AT,45,0)</f>
        <v>VERIFICADOR</v>
      </c>
    </row>
    <row r="481" ht="14.25" customHeight="1">
      <c r="A481" s="20" t="s">
        <v>1031</v>
      </c>
      <c r="B481" s="20">
        <v>464114.0</v>
      </c>
      <c r="C481" s="20">
        <v>429547.0</v>
      </c>
      <c r="D481" s="21">
        <v>448057.0</v>
      </c>
      <c r="G481" s="20" t="s">
        <v>1032</v>
      </c>
      <c r="H481" s="20" t="s">
        <v>1033</v>
      </c>
      <c r="I481" s="1" t="str">
        <f>VLOOKUP(C481,'mayo-26'!B:H,7,0)</f>
        <v>CC JARDIN PLAZA RM1</v>
      </c>
      <c r="J481" s="1" t="s">
        <v>991</v>
      </c>
      <c r="K481" s="10" t="str">
        <f>VLOOKUP(C481,'mayo-26'!B:J,9,0)</f>
        <v>JARDIN PLAZA</v>
      </c>
      <c r="L481" s="1" t="str">
        <f>VLOOKUP(C481,'mayo-26'!B:K,10,0)</f>
        <v>KFC</v>
      </c>
      <c r="M481" s="20" t="s">
        <v>52</v>
      </c>
      <c r="N481" s="20" t="s">
        <v>89</v>
      </c>
      <c r="O481" s="20" t="s">
        <v>861</v>
      </c>
      <c r="P481" s="20" t="s">
        <v>126</v>
      </c>
      <c r="Q481" s="20" t="s">
        <v>56</v>
      </c>
      <c r="R481" s="20" t="s">
        <v>90</v>
      </c>
      <c r="S481" s="20" t="s">
        <v>143</v>
      </c>
      <c r="T481" s="20" t="s">
        <v>59</v>
      </c>
      <c r="U481" s="20">
        <v>2026.0</v>
      </c>
      <c r="V481" s="20">
        <v>6.0</v>
      </c>
      <c r="W481" s="20">
        <v>1.081875739E9</v>
      </c>
      <c r="X481" s="20">
        <v>1.081894211E9</v>
      </c>
      <c r="Y481" s="22">
        <v>46182.0</v>
      </c>
      <c r="Z481" s="22">
        <v>46207.0</v>
      </c>
      <c r="AA481" s="20">
        <v>483441.0</v>
      </c>
      <c r="AB481" s="20">
        <v>483441.0</v>
      </c>
      <c r="AC481" s="20">
        <v>161147.0</v>
      </c>
      <c r="AD481" s="20">
        <v>1500.0</v>
      </c>
      <c r="AE481" s="20">
        <v>0.0</v>
      </c>
      <c r="AF481" s="20">
        <v>0.0</v>
      </c>
      <c r="AG481" s="20">
        <v>0.0</v>
      </c>
      <c r="AH481" s="20">
        <v>0.0</v>
      </c>
      <c r="AI481" s="20">
        <v>0.0</v>
      </c>
      <c r="AJ481" s="20">
        <v>483441.0</v>
      </c>
      <c r="AK481" s="20">
        <v>483441.0</v>
      </c>
      <c r="AL481" s="20">
        <v>0.0</v>
      </c>
      <c r="AM481" s="20">
        <v>376.2</v>
      </c>
      <c r="AN481" s="20">
        <v>0.0</v>
      </c>
      <c r="AS481" s="11" t="str">
        <f>VLOOKUP(C481,'mayo-26'!B:AS,44,0)</f>
        <v>RADICACION.FACTURAS@KFC.CO</v>
      </c>
      <c r="AT481" s="12" t="str">
        <f>VLOOKUP(C481,'mayo-26'!B:AT,45,0)</f>
        <v>VERIFICADOR</v>
      </c>
    </row>
    <row r="482" ht="14.25" customHeight="1">
      <c r="A482" s="20" t="s">
        <v>1034</v>
      </c>
      <c r="B482" s="20">
        <v>464127.0</v>
      </c>
      <c r="C482" s="20">
        <v>429551.0</v>
      </c>
      <c r="D482" s="21">
        <v>448067.0</v>
      </c>
      <c r="G482" s="20" t="s">
        <v>1035</v>
      </c>
      <c r="H482" s="20" t="s">
        <v>1036</v>
      </c>
      <c r="I482" s="1" t="str">
        <f>VLOOKUP(C482,'mayo-26'!B:H,7,0)</f>
        <v>CC JARDIN PLAZA L55</v>
      </c>
      <c r="J482" s="1" t="s">
        <v>991</v>
      </c>
      <c r="K482" s="10" t="str">
        <f>VLOOKUP(C482,'mayo-26'!B:J,9,0)</f>
        <v>JARDIN PLAZA</v>
      </c>
      <c r="L482" s="1" t="str">
        <f>VLOOKUP(C482,'mayo-26'!B:K,10,0)</f>
        <v>JARDIN PLAZA</v>
      </c>
      <c r="M482" s="20" t="s">
        <v>52</v>
      </c>
      <c r="N482" s="20" t="s">
        <v>89</v>
      </c>
      <c r="O482" s="20" t="s">
        <v>861</v>
      </c>
      <c r="P482" s="20" t="s">
        <v>126</v>
      </c>
      <c r="Q482" s="20" t="s">
        <v>56</v>
      </c>
      <c r="R482" s="20" t="s">
        <v>90</v>
      </c>
      <c r="S482" s="20" t="s">
        <v>143</v>
      </c>
      <c r="T482" s="20" t="s">
        <v>59</v>
      </c>
      <c r="U482" s="20">
        <v>2026.0</v>
      </c>
      <c r="V482" s="20">
        <v>6.0</v>
      </c>
      <c r="W482" s="20">
        <v>1.081875742E9</v>
      </c>
      <c r="X482" s="20">
        <v>1.081894214E9</v>
      </c>
      <c r="Y482" s="22">
        <v>46182.0</v>
      </c>
      <c r="Z482" s="22">
        <v>46207.0</v>
      </c>
      <c r="AA482" s="20">
        <v>129917.12</v>
      </c>
      <c r="AB482" s="20">
        <v>129917.12</v>
      </c>
      <c r="AC482" s="20">
        <v>42829.15</v>
      </c>
      <c r="AD482" s="20">
        <v>253.0</v>
      </c>
      <c r="AE482" s="20">
        <v>1429.68</v>
      </c>
      <c r="AF482" s="20">
        <v>0.0</v>
      </c>
      <c r="AG482" s="20">
        <v>0.0</v>
      </c>
      <c r="AH482" s="20">
        <v>0.0</v>
      </c>
      <c r="AI482" s="20">
        <v>0.0</v>
      </c>
      <c r="AJ482" s="20">
        <v>129917.12</v>
      </c>
      <c r="AK482" s="20">
        <v>391972.55</v>
      </c>
      <c r="AL482" s="20">
        <v>3.0</v>
      </c>
      <c r="AM482" s="20">
        <v>376.2</v>
      </c>
      <c r="AN482" s="20">
        <v>0.0</v>
      </c>
      <c r="AS482" s="11" t="str">
        <f>VLOOKUP(C482,'mayo-26'!B:AS,44,0)</f>
        <v>CONTABILIDADMALU@GMAIL.COM</v>
      </c>
      <c r="AT482" s="12" t="str">
        <f>VLOOKUP(C482,'mayo-26'!B:AT,45,0)</f>
        <v>VERIFICADOR</v>
      </c>
    </row>
    <row r="483" ht="14.25" customHeight="1">
      <c r="A483" s="20" t="s">
        <v>1037</v>
      </c>
      <c r="B483" s="20">
        <v>464135.0</v>
      </c>
      <c r="C483" s="20">
        <v>429555.0</v>
      </c>
      <c r="D483" s="21">
        <v>448073.0</v>
      </c>
      <c r="G483" s="20" t="s">
        <v>1038</v>
      </c>
      <c r="H483" s="20" t="s">
        <v>1039</v>
      </c>
      <c r="I483" s="1" t="str">
        <f>VLOOKUP(C483,'mayo-26'!B:H,7,0)</f>
        <v>CC JARDIN PLAZA R17</v>
      </c>
      <c r="J483" s="1" t="s">
        <v>991</v>
      </c>
      <c r="K483" s="10" t="str">
        <f>VLOOKUP(C483,'mayo-26'!B:J,9,0)</f>
        <v>JARDIN PLAZA-ADMINISTRACION</v>
      </c>
      <c r="L483" s="1" t="str">
        <f>VLOOKUP(C483,'mayo-26'!B:K,10,0)</f>
        <v>JARDIN PLAZA-ADMINISTRACION</v>
      </c>
      <c r="M483" s="20" t="s">
        <v>52</v>
      </c>
      <c r="N483" s="20" t="s">
        <v>89</v>
      </c>
      <c r="O483" s="20" t="s">
        <v>861</v>
      </c>
      <c r="P483" s="20" t="s">
        <v>126</v>
      </c>
      <c r="Q483" s="20" t="s">
        <v>131</v>
      </c>
      <c r="R483" s="20" t="s">
        <v>132</v>
      </c>
      <c r="S483" s="20" t="s">
        <v>133</v>
      </c>
      <c r="T483" s="20" t="s">
        <v>163</v>
      </c>
      <c r="U483" s="20">
        <v>2026.0</v>
      </c>
      <c r="V483" s="20">
        <v>6.0</v>
      </c>
      <c r="W483" s="20">
        <v>1.081875745E9</v>
      </c>
      <c r="X483" s="20">
        <v>1.081894217E9</v>
      </c>
      <c r="Y483" s="22">
        <v>46182.0</v>
      </c>
      <c r="Z483" s="22">
        <v>46207.0</v>
      </c>
      <c r="AA483" s="20">
        <v>56481.87</v>
      </c>
      <c r="AB483" s="20">
        <v>56481.87</v>
      </c>
      <c r="AC483" s="20">
        <v>18616.0</v>
      </c>
      <c r="AD483" s="20">
        <v>0.0</v>
      </c>
      <c r="AE483" s="20">
        <v>633.87</v>
      </c>
      <c r="AF483" s="20">
        <v>0.0</v>
      </c>
      <c r="AG483" s="20">
        <v>0.0</v>
      </c>
      <c r="AH483" s="20">
        <v>0.0</v>
      </c>
      <c r="AI483" s="20">
        <v>0.0</v>
      </c>
      <c r="AJ483" s="20">
        <v>56481.87</v>
      </c>
      <c r="AK483" s="20">
        <v>172261.63</v>
      </c>
      <c r="AL483" s="20">
        <v>2.0</v>
      </c>
      <c r="AM483" s="20">
        <v>376.2</v>
      </c>
      <c r="AN483" s="20">
        <v>0.0</v>
      </c>
      <c r="AS483" s="11" t="str">
        <f>VLOOKUP(C483,'mayo-26'!B:AS,44,0)</f>
        <v>AMBIENTAL@JARDINPLAZA.COM</v>
      </c>
      <c r="AT483" s="12" t="str">
        <f>VLOOKUP(C483,'mayo-26'!B:AT,45,0)</f>
        <v>CORREO ELECTRONICO CERTIFICADO 472</v>
      </c>
    </row>
    <row r="484" ht="14.25" customHeight="1">
      <c r="A484" s="20" t="s">
        <v>1040</v>
      </c>
      <c r="B484" s="20">
        <v>432.0</v>
      </c>
      <c r="C484" s="20">
        <v>431.0</v>
      </c>
      <c r="D484" s="21">
        <v>431.0</v>
      </c>
      <c r="E484" s="20">
        <v>9.0253729E7</v>
      </c>
      <c r="F484" s="20">
        <v>9.0253729E7</v>
      </c>
      <c r="G484" s="20" t="s">
        <v>1041</v>
      </c>
      <c r="H484" s="20" t="s">
        <v>1042</v>
      </c>
      <c r="I484" s="1" t="str">
        <f>VLOOKUP(C484,'mayo-26'!B:H,7,0)</f>
        <v>EDIF ROSETAL OFIC</v>
      </c>
      <c r="J484" s="1" t="s">
        <v>982</v>
      </c>
      <c r="K484" s="10" t="str">
        <f>VLOOKUP(C484,'mayo-26'!B:J,9,0)</f>
        <v>NO</v>
      </c>
      <c r="L484" s="1" t="str">
        <f>VLOOKUP(C484,'mayo-26'!B:K,10,0)</f>
        <v>NO</v>
      </c>
      <c r="M484" s="20" t="s">
        <v>52</v>
      </c>
      <c r="N484" s="20" t="s">
        <v>89</v>
      </c>
      <c r="O484" s="20" t="s">
        <v>861</v>
      </c>
      <c r="P484" s="20" t="s">
        <v>126</v>
      </c>
      <c r="Q484" s="20" t="s">
        <v>56</v>
      </c>
      <c r="R484" s="20" t="s">
        <v>57</v>
      </c>
      <c r="S484" s="20" t="s">
        <v>143</v>
      </c>
      <c r="T484" s="20" t="s">
        <v>59</v>
      </c>
      <c r="U484" s="20">
        <v>2026.0</v>
      </c>
      <c r="V484" s="20">
        <v>6.0</v>
      </c>
      <c r="W484" s="20">
        <v>1.081875527E9</v>
      </c>
      <c r="X484" s="20">
        <v>1.081893999E9</v>
      </c>
      <c r="Y484" s="22">
        <v>46182.0</v>
      </c>
      <c r="Z484" s="22">
        <v>46207.0</v>
      </c>
      <c r="AA484" s="20">
        <v>316126.67</v>
      </c>
      <c r="AB484" s="20">
        <v>316126.67</v>
      </c>
      <c r="AC484" s="20">
        <v>0.0</v>
      </c>
      <c r="AD484" s="20">
        <v>1467.5</v>
      </c>
      <c r="AE484" s="20">
        <v>0.0</v>
      </c>
      <c r="AF484" s="20">
        <v>0.0</v>
      </c>
      <c r="AG484" s="20">
        <v>0.0</v>
      </c>
      <c r="AH484" s="20">
        <v>0.0</v>
      </c>
      <c r="AI484" s="20">
        <v>0.0</v>
      </c>
      <c r="AJ484" s="20">
        <v>316126.67</v>
      </c>
      <c r="AK484" s="20">
        <v>316126.67</v>
      </c>
      <c r="AL484" s="20">
        <v>0.0</v>
      </c>
      <c r="AM484" s="20">
        <v>250.8</v>
      </c>
      <c r="AN484" s="20">
        <v>0.0</v>
      </c>
      <c r="AS484" s="11" t="str">
        <f>VLOOKUP(C484,'mayo-26'!B:AS,44,0)</f>
        <v>MASAIB971@GMAIL.COM</v>
      </c>
      <c r="AT484" s="12" t="str">
        <f>VLOOKUP(C484,'mayo-26'!B:AT,45,0)</f>
        <v>CORREO ELECTRONICO CERTIFICADO 472</v>
      </c>
    </row>
    <row r="485" ht="14.25" customHeight="1">
      <c r="A485" s="20" t="s">
        <v>1043</v>
      </c>
      <c r="B485" s="20">
        <v>436.0</v>
      </c>
      <c r="C485" s="20">
        <v>435.0</v>
      </c>
      <c r="D485" s="21">
        <v>435.0</v>
      </c>
      <c r="E485" s="20">
        <v>9.0256537E7</v>
      </c>
      <c r="F485" s="20">
        <v>9.0256537E7</v>
      </c>
      <c r="G485" s="20" t="s">
        <v>1044</v>
      </c>
      <c r="H485" s="20" t="s">
        <v>1045</v>
      </c>
      <c r="I485" s="1" t="str">
        <f>VLOOKUP(C485,'mayo-26'!B:H,7,0)</f>
        <v>AV 0 NO 12-66 EDIFICIO DOMUS CENTER LOCAL 106</v>
      </c>
      <c r="J485" s="1" t="s">
        <v>982</v>
      </c>
      <c r="K485" s="10" t="str">
        <f>VLOOKUP(C485,'mayo-26'!B:J,9,0)</f>
        <v>CENTRO</v>
      </c>
      <c r="L485" s="1" t="str">
        <f>VLOOKUP(C485,'mayo-26'!B:K,10,0)</f>
        <v>CENTRO</v>
      </c>
      <c r="M485" s="20" t="s">
        <v>52</v>
      </c>
      <c r="N485" s="20" t="s">
        <v>89</v>
      </c>
      <c r="O485" s="20" t="s">
        <v>861</v>
      </c>
      <c r="P485" s="20" t="s">
        <v>126</v>
      </c>
      <c r="Q485" s="20" t="s">
        <v>56</v>
      </c>
      <c r="R485" s="20" t="s">
        <v>90</v>
      </c>
      <c r="S485" s="20" t="s">
        <v>143</v>
      </c>
      <c r="T485" s="20" t="s">
        <v>59</v>
      </c>
      <c r="U485" s="20">
        <v>2026.0</v>
      </c>
      <c r="V485" s="20">
        <v>6.0</v>
      </c>
      <c r="W485" s="20">
        <v>1.081875531E9</v>
      </c>
      <c r="X485" s="20">
        <v>1.081894003E9</v>
      </c>
      <c r="Y485" s="22">
        <v>46182.0</v>
      </c>
      <c r="Z485" s="22">
        <v>46207.0</v>
      </c>
      <c r="AA485" s="20">
        <v>127633.51</v>
      </c>
      <c r="AB485" s="20">
        <v>127633.51</v>
      </c>
      <c r="AC485" s="20">
        <v>42544.51</v>
      </c>
      <c r="AD485" s="20">
        <v>250.0</v>
      </c>
      <c r="AE485" s="20">
        <v>0.0</v>
      </c>
      <c r="AF485" s="20">
        <v>0.0</v>
      </c>
      <c r="AG485" s="20">
        <v>0.0</v>
      </c>
      <c r="AH485" s="20">
        <v>0.0</v>
      </c>
      <c r="AI485" s="20">
        <v>0.0</v>
      </c>
      <c r="AJ485" s="20">
        <v>127633.51</v>
      </c>
      <c r="AK485" s="20">
        <v>127633.51</v>
      </c>
      <c r="AL485" s="20">
        <v>0.0</v>
      </c>
      <c r="AM485" s="20">
        <v>376.2</v>
      </c>
      <c r="AN485" s="20">
        <v>0.0</v>
      </c>
      <c r="AS485" s="11" t="str">
        <f>VLOOKUP(C485,'mayo-26'!B:AS,44,0)</f>
        <v>CORRESPONDENCIAYNOTIFICACIONES2@JRCINS.CO</v>
      </c>
      <c r="AT485" s="12" t="str">
        <f>VLOOKUP(C485,'mayo-26'!B:AT,45,0)</f>
        <v>VERIFICADOR</v>
      </c>
    </row>
    <row r="486" ht="14.25" customHeight="1">
      <c r="A486" s="20" t="s">
        <v>1046</v>
      </c>
      <c r="B486" s="20">
        <v>314877.0</v>
      </c>
      <c r="C486" s="20">
        <v>439.0</v>
      </c>
      <c r="D486" s="21">
        <v>439.0</v>
      </c>
      <c r="E486" s="20">
        <v>9.0256549E7</v>
      </c>
      <c r="F486" s="20">
        <v>9.0256549E7</v>
      </c>
      <c r="G486" s="20">
        <v>8.60503159E8</v>
      </c>
      <c r="H486" s="20" t="s">
        <v>371</v>
      </c>
      <c r="I486" s="1" t="str">
        <f>VLOOKUP(C486,'mayo-26'!B:H,7,0)</f>
        <v>AVE LIBERTADORES CANAL BOGOTA LOC 23 1079</v>
      </c>
      <c r="J486" s="1" t="s">
        <v>982</v>
      </c>
      <c r="K486" s="10" t="str">
        <f>VLOOKUP(C486,'mayo-26'!B:J,9,0)</f>
        <v>NO</v>
      </c>
      <c r="L486" s="1" t="str">
        <f>VLOOKUP(C486,'mayo-26'!B:K,10,0)</f>
        <v>PASH</v>
      </c>
      <c r="M486" s="20" t="s">
        <v>52</v>
      </c>
      <c r="N486" s="20" t="s">
        <v>89</v>
      </c>
      <c r="O486" s="20" t="s">
        <v>861</v>
      </c>
      <c r="P486" s="20" t="s">
        <v>126</v>
      </c>
      <c r="Q486" s="20" t="s">
        <v>131</v>
      </c>
      <c r="R486" s="20" t="s">
        <v>363</v>
      </c>
      <c r="S486" s="20" t="s">
        <v>133</v>
      </c>
      <c r="T486" s="20" t="s">
        <v>59</v>
      </c>
      <c r="U486" s="20">
        <v>2026.0</v>
      </c>
      <c r="V486" s="20">
        <v>6.0</v>
      </c>
      <c r="W486" s="20">
        <v>1.081875534E9</v>
      </c>
      <c r="X486" s="20">
        <v>1.081894006E9</v>
      </c>
      <c r="Y486" s="22">
        <v>46182.0</v>
      </c>
      <c r="Z486" s="22">
        <v>46207.0</v>
      </c>
      <c r="AA486" s="20">
        <v>75366.0</v>
      </c>
      <c r="AB486" s="20">
        <v>75366.0</v>
      </c>
      <c r="AC486" s="20">
        <v>25122.0</v>
      </c>
      <c r="AD486" s="20">
        <v>0.0</v>
      </c>
      <c r="AE486" s="20">
        <v>0.0</v>
      </c>
      <c r="AF486" s="20">
        <v>0.0</v>
      </c>
      <c r="AG486" s="20">
        <v>0.0</v>
      </c>
      <c r="AH486" s="20">
        <v>0.0</v>
      </c>
      <c r="AI486" s="20">
        <v>0.0</v>
      </c>
      <c r="AJ486" s="20">
        <v>75366.0</v>
      </c>
      <c r="AK486" s="20">
        <v>75366.0</v>
      </c>
      <c r="AL486" s="20">
        <v>0.0</v>
      </c>
      <c r="AM486" s="20">
        <v>376.2</v>
      </c>
      <c r="AN486" s="20">
        <v>0.0</v>
      </c>
      <c r="AS486" s="11" t="str">
        <f>VLOOKUP(C486,'mayo-26'!B:AS,44,0)</f>
        <v>SERVICIOSPUBLICOS@PASH.COM.CO; abayona@tekstelas.com; kguavita@tekstelas.com</v>
      </c>
      <c r="AT486" s="12" t="str">
        <f>VLOOKUP(C486,'mayo-26'!B:AT,45,0)</f>
        <v>CORREO ELECTRONICO CERTIFICADO 472</v>
      </c>
    </row>
    <row r="487" ht="14.25" customHeight="1">
      <c r="A487" s="20" t="s">
        <v>1047</v>
      </c>
      <c r="B487" s="20">
        <v>456.0</v>
      </c>
      <c r="C487" s="20">
        <v>455.0</v>
      </c>
      <c r="D487" s="21">
        <v>455.0</v>
      </c>
      <c r="E487" s="20">
        <v>9.0256807E7</v>
      </c>
      <c r="F487" s="20">
        <v>9.0256807E7</v>
      </c>
      <c r="G487" s="20">
        <v>9.00155107E8</v>
      </c>
      <c r="H487" s="20" t="s">
        <v>1048</v>
      </c>
      <c r="I487" s="1" t="str">
        <f>VLOOKUP(C487,'mayo-26'!B:H,7,0)</f>
        <v>CALLE 11 CON AVENIDA 2E - 90 DIAGONAL S</v>
      </c>
      <c r="J487" s="1" t="s">
        <v>942</v>
      </c>
      <c r="K487" s="10" t="str">
        <f>VLOOKUP(C487,'mayo-26'!B:J,9,0)</f>
        <v>NO</v>
      </c>
      <c r="L487" s="1" t="str">
        <f>VLOOKUP(C487,'mayo-26'!B:K,10,0)</f>
        <v>METRO</v>
      </c>
      <c r="M487" s="20" t="s">
        <v>52</v>
      </c>
      <c r="N487" s="20" t="s">
        <v>53</v>
      </c>
      <c r="O487" s="20" t="s">
        <v>861</v>
      </c>
      <c r="P487" s="20" t="s">
        <v>126</v>
      </c>
      <c r="Q487" s="20" t="s">
        <v>56</v>
      </c>
      <c r="R487" s="20" t="s">
        <v>90</v>
      </c>
      <c r="S487" s="20" t="s">
        <v>58</v>
      </c>
      <c r="T487" s="20" t="s">
        <v>59</v>
      </c>
      <c r="U487" s="20">
        <v>2026.0</v>
      </c>
      <c r="V487" s="20">
        <v>6.0</v>
      </c>
      <c r="W487" s="20">
        <v>1.081875538E9</v>
      </c>
      <c r="X487" s="20">
        <v>1.08189401E9</v>
      </c>
      <c r="Y487" s="22">
        <v>46182.0</v>
      </c>
      <c r="Z487" s="22">
        <v>46207.0</v>
      </c>
      <c r="AA487" s="20">
        <v>2027787.88</v>
      </c>
      <c r="AB487" s="20">
        <v>2027787.88</v>
      </c>
      <c r="AC487" s="20">
        <v>675929.3</v>
      </c>
      <c r="AD487" s="20">
        <v>6925.5</v>
      </c>
      <c r="AE487" s="20">
        <v>0.0</v>
      </c>
      <c r="AF487" s="20">
        <v>0.0</v>
      </c>
      <c r="AG487" s="20">
        <v>0.0</v>
      </c>
      <c r="AH487" s="20">
        <v>0.0</v>
      </c>
      <c r="AI487" s="20">
        <v>0.0</v>
      </c>
      <c r="AJ487" s="20">
        <v>2027787.88</v>
      </c>
      <c r="AK487" s="20">
        <v>2027788.44</v>
      </c>
      <c r="AL487" s="20">
        <v>1.0</v>
      </c>
      <c r="AM487" s="20">
        <v>376.2</v>
      </c>
      <c r="AN487" s="20">
        <v>0.0</v>
      </c>
      <c r="AS487" s="11" t="str">
        <f>VLOOKUP(C487,'mayo-26'!B:AS,44,0)</f>
        <v>BLEIDYS.LINDARTECAMARGO@CENCOSUD.COM.CO</v>
      </c>
      <c r="AT487" s="12" t="str">
        <f>VLOOKUP(C487,'mayo-26'!B:AT,45,0)</f>
        <v>CORREO ELECTRONICO CERTIFICADO 472</v>
      </c>
    </row>
    <row r="488" ht="14.25" customHeight="1">
      <c r="A488" s="20" t="s">
        <v>1049</v>
      </c>
      <c r="B488" s="20">
        <v>699.0</v>
      </c>
      <c r="C488" s="20">
        <v>456667.0</v>
      </c>
      <c r="D488" s="21">
        <v>482804.0</v>
      </c>
      <c r="E488" s="20">
        <v>1091316.0</v>
      </c>
      <c r="F488" s="20">
        <v>1091316.0</v>
      </c>
      <c r="G488" s="20">
        <v>9.00480569E8</v>
      </c>
      <c r="H488" s="20" t="s">
        <v>141</v>
      </c>
      <c r="I488" s="1" t="str">
        <f>VLOOKUP(C488,'mayo-26'!B:H,7,0)</f>
        <v>CLL 12 4-52 CENTRO</v>
      </c>
      <c r="J488" s="1" t="s">
        <v>1050</v>
      </c>
      <c r="K488" s="10" t="str">
        <f>VLOOKUP(C488,'mayo-26'!B:J,9,0)</f>
        <v>NO</v>
      </c>
      <c r="L488" s="1" t="str">
        <f>VLOOKUP(C488,'mayo-26'!B:K,10,0)</f>
        <v>ARA CUCUTA</v>
      </c>
      <c r="M488" s="20" t="s">
        <v>52</v>
      </c>
      <c r="N488" s="20" t="s">
        <v>53</v>
      </c>
      <c r="O488" s="20" t="s">
        <v>861</v>
      </c>
      <c r="P488" s="20" t="s">
        <v>126</v>
      </c>
      <c r="Q488" s="20" t="s">
        <v>56</v>
      </c>
      <c r="R488" s="20" t="s">
        <v>90</v>
      </c>
      <c r="S488" s="20" t="s">
        <v>143</v>
      </c>
      <c r="T488" s="20" t="s">
        <v>59</v>
      </c>
      <c r="U488" s="20">
        <v>2026.0</v>
      </c>
      <c r="V488" s="20">
        <v>6.0</v>
      </c>
      <c r="W488" s="20">
        <v>1.081875749E9</v>
      </c>
      <c r="X488" s="20">
        <v>1.081894221E9</v>
      </c>
      <c r="Y488" s="22">
        <v>46182.0</v>
      </c>
      <c r="Z488" s="22">
        <v>46207.0</v>
      </c>
      <c r="AA488" s="20">
        <v>724149.4</v>
      </c>
      <c r="AB488" s="20">
        <v>724149.4</v>
      </c>
      <c r="AC488" s="20">
        <v>238760.49</v>
      </c>
      <c r="AD488" s="20">
        <v>2318.0</v>
      </c>
      <c r="AE488" s="20">
        <v>7867.95</v>
      </c>
      <c r="AF488" s="20">
        <v>0.0</v>
      </c>
      <c r="AG488" s="20">
        <v>0.0</v>
      </c>
      <c r="AH488" s="20">
        <v>0.0</v>
      </c>
      <c r="AI488" s="20">
        <v>0.0</v>
      </c>
      <c r="AJ488" s="20">
        <v>724149.4</v>
      </c>
      <c r="AK488" s="20">
        <v>2142608.46</v>
      </c>
      <c r="AL488" s="20">
        <v>2.0</v>
      </c>
      <c r="AM488" s="20">
        <v>376.2</v>
      </c>
      <c r="AN488" s="20">
        <v>0.0</v>
      </c>
      <c r="AS488" s="11" t="str">
        <f>VLOOKUP(C488,'mayo-26'!B:AS,44,0)</f>
        <v>COORDINADOR.OPERACIONES.R11@JERONIMO-MARTINS.COM</v>
      </c>
      <c r="AT488" s="12" t="str">
        <f>VLOOKUP(C488,'mayo-26'!B:AT,45,0)</f>
        <v>CORREO ELECTRONICO CERTIFICADO 472</v>
      </c>
    </row>
    <row r="489" ht="14.25" customHeight="1">
      <c r="A489" s="20" t="s">
        <v>1051</v>
      </c>
      <c r="B489" s="20">
        <v>684.0</v>
      </c>
      <c r="C489" s="20">
        <v>458439.0</v>
      </c>
      <c r="D489" s="21">
        <v>485950.0</v>
      </c>
      <c r="G489" s="20" t="s">
        <v>1052</v>
      </c>
      <c r="H489" s="20" t="s">
        <v>1053</v>
      </c>
      <c r="I489" s="1" t="str">
        <f>VLOOKUP(C489,'mayo-26'!B:H,7,0)</f>
        <v>L 53 CC JARDIN PALZA</v>
      </c>
      <c r="J489" s="1" t="s">
        <v>991</v>
      </c>
      <c r="K489" s="10" t="str">
        <f>VLOOKUP(C489,'mayo-26'!B:J,9,0)</f>
        <v>JARDIN PLAZA</v>
      </c>
      <c r="L489" s="1" t="str">
        <f>VLOOKUP(C489,'mayo-26'!B:K,10,0)</f>
        <v>JARDIN PLAZA</v>
      </c>
      <c r="M489" s="20" t="s">
        <v>52</v>
      </c>
      <c r="N489" s="20" t="s">
        <v>89</v>
      </c>
      <c r="O489" s="20" t="s">
        <v>861</v>
      </c>
      <c r="P489" s="20" t="s">
        <v>126</v>
      </c>
      <c r="Q489" s="20" t="s">
        <v>56</v>
      </c>
      <c r="R489" s="20" t="s">
        <v>90</v>
      </c>
      <c r="S489" s="20" t="s">
        <v>143</v>
      </c>
      <c r="T489" s="20" t="s">
        <v>59</v>
      </c>
      <c r="U489" s="20">
        <v>2026.0</v>
      </c>
      <c r="V489" s="20">
        <v>6.0</v>
      </c>
      <c r="W489" s="20">
        <v>1.081875753E9</v>
      </c>
      <c r="X489" s="20">
        <v>1.081894225E9</v>
      </c>
      <c r="Y489" s="22">
        <v>46182.0</v>
      </c>
      <c r="Z489" s="22">
        <v>46207.0</v>
      </c>
      <c r="AA489" s="20">
        <v>128487.44</v>
      </c>
      <c r="AB489" s="20">
        <v>128487.44</v>
      </c>
      <c r="AC489" s="20">
        <v>42829.15</v>
      </c>
      <c r="AD489" s="20">
        <v>253.0</v>
      </c>
      <c r="AE489" s="20">
        <v>0.0</v>
      </c>
      <c r="AF489" s="20">
        <v>0.0</v>
      </c>
      <c r="AG489" s="20">
        <v>0.0</v>
      </c>
      <c r="AH489" s="20">
        <v>0.0</v>
      </c>
      <c r="AI489" s="20">
        <v>0.0</v>
      </c>
      <c r="AJ489" s="20">
        <v>128487.44</v>
      </c>
      <c r="AK489" s="20">
        <v>257763.72</v>
      </c>
      <c r="AL489" s="20">
        <v>1.0</v>
      </c>
      <c r="AM489" s="20">
        <v>376.2</v>
      </c>
      <c r="AN489" s="20">
        <v>0.0</v>
      </c>
      <c r="AS489" s="11" t="str">
        <f>VLOOKUP(C489,'mayo-26'!B:AS,44,0)</f>
        <v>AMBIENTAL@JARDINPLAZA.COM</v>
      </c>
      <c r="AT489" s="12" t="str">
        <f>VLOOKUP(C489,'mayo-26'!B:AT,45,0)</f>
        <v>VERIFICADOR</v>
      </c>
    </row>
    <row r="490" ht="14.25" customHeight="1">
      <c r="A490" s="20" t="s">
        <v>1054</v>
      </c>
      <c r="B490" s="20">
        <v>511783.0</v>
      </c>
      <c r="C490" s="20">
        <v>461075.0</v>
      </c>
      <c r="D490" s="21">
        <v>489747.0</v>
      </c>
      <c r="G490" s="20" t="s">
        <v>1055</v>
      </c>
      <c r="H490" s="20" t="s">
        <v>1053</v>
      </c>
      <c r="I490" s="1" t="str">
        <f>VLOOKUP(C490,'mayo-26'!B:H,7,0)</f>
        <v>CC JARDIN PLAZA LC L6 L8</v>
      </c>
      <c r="J490" s="1" t="s">
        <v>991</v>
      </c>
      <c r="K490" s="10" t="str">
        <f>VLOOKUP(C490,'mayo-26'!B:J,9,0)</f>
        <v>JARDIN PLAZA-ADMINISTRACION</v>
      </c>
      <c r="L490" s="1" t="str">
        <f>VLOOKUP(C490,'mayo-26'!B:K,10,0)</f>
        <v>JARDIN PLAZA-ADMINISTRACION</v>
      </c>
      <c r="M490" s="20" t="s">
        <v>52</v>
      </c>
      <c r="N490" s="20" t="s">
        <v>89</v>
      </c>
      <c r="O490" s="20" t="s">
        <v>861</v>
      </c>
      <c r="P490" s="20" t="s">
        <v>126</v>
      </c>
      <c r="Q490" s="20" t="s">
        <v>131</v>
      </c>
      <c r="R490" s="20" t="s">
        <v>132</v>
      </c>
      <c r="S490" s="20" t="s">
        <v>133</v>
      </c>
      <c r="T490" s="20" t="s">
        <v>59</v>
      </c>
      <c r="U490" s="20">
        <v>2026.0</v>
      </c>
      <c r="V490" s="20">
        <v>6.0</v>
      </c>
      <c r="W490" s="20">
        <v>1.081875756E9</v>
      </c>
      <c r="X490" s="20">
        <v>1.081894228E9</v>
      </c>
      <c r="Y490" s="22">
        <v>46182.0</v>
      </c>
      <c r="Z490" s="22">
        <v>46207.0</v>
      </c>
      <c r="AA490" s="20">
        <v>119740.86</v>
      </c>
      <c r="AB490" s="20">
        <v>119740.86</v>
      </c>
      <c r="AC490" s="20">
        <v>37709.5</v>
      </c>
      <c r="AD490" s="20">
        <v>0.0</v>
      </c>
      <c r="AE490" s="20">
        <v>6612.36</v>
      </c>
      <c r="AF490" s="20">
        <v>0.0</v>
      </c>
      <c r="AG490" s="20">
        <v>0.0</v>
      </c>
      <c r="AH490" s="20">
        <v>0.0</v>
      </c>
      <c r="AI490" s="20">
        <v>0.0</v>
      </c>
      <c r="AJ490" s="20">
        <v>119740.86</v>
      </c>
      <c r="AK490" s="20">
        <v>604610.91</v>
      </c>
      <c r="AL490" s="20">
        <v>6.0</v>
      </c>
      <c r="AM490" s="20">
        <v>376.2</v>
      </c>
      <c r="AN490" s="20">
        <v>0.0</v>
      </c>
      <c r="AS490" s="11" t="str">
        <f>VLOOKUP(C490,'mayo-26'!B:AS,44,0)</f>
        <v>AMBIENTAL@JARDINPLAZA.COM</v>
      </c>
      <c r="AT490" s="12" t="str">
        <f>VLOOKUP(C490,'mayo-26'!B:AT,45,0)</f>
        <v>CORREO ELECTRONICO CERTIFICADO 472</v>
      </c>
    </row>
    <row r="491" ht="14.25" customHeight="1">
      <c r="A491" s="20" t="s">
        <v>1056</v>
      </c>
      <c r="B491" s="20">
        <v>511837.0</v>
      </c>
      <c r="C491" s="20">
        <v>461095.0</v>
      </c>
      <c r="D491" s="21">
        <v>489788.0</v>
      </c>
      <c r="G491" s="20" t="s">
        <v>1057</v>
      </c>
      <c r="H491" s="20" t="s">
        <v>1058</v>
      </c>
      <c r="I491" s="1" t="str">
        <f>VLOOKUP(C491,'mayo-26'!B:H,7,0)</f>
        <v>CC JARDIN PLAZA LC 44</v>
      </c>
      <c r="J491" s="1" t="s">
        <v>991</v>
      </c>
      <c r="K491" s="10" t="str">
        <f>VLOOKUP(C491,'mayo-26'!B:J,9,0)</f>
        <v>JARDIN PLAZA-ADMINISTRACION</v>
      </c>
      <c r="L491" s="1" t="str">
        <f>VLOOKUP(C491,'mayo-26'!B:K,10,0)</f>
        <v>JARDIN PLAZA-ADMINISTRACION</v>
      </c>
      <c r="M491" s="20" t="s">
        <v>52</v>
      </c>
      <c r="N491" s="20" t="s">
        <v>89</v>
      </c>
      <c r="O491" s="20" t="s">
        <v>861</v>
      </c>
      <c r="P491" s="20" t="s">
        <v>126</v>
      </c>
      <c r="Q491" s="20" t="s">
        <v>131</v>
      </c>
      <c r="R491" s="20" t="s">
        <v>132</v>
      </c>
      <c r="S491" s="20" t="s">
        <v>133</v>
      </c>
      <c r="T491" s="20" t="s">
        <v>163</v>
      </c>
      <c r="U491" s="20">
        <v>2026.0</v>
      </c>
      <c r="V491" s="20">
        <v>6.0</v>
      </c>
      <c r="W491" s="20">
        <v>1.081875762E9</v>
      </c>
      <c r="X491" s="20">
        <v>1.081894234E9</v>
      </c>
      <c r="Y491" s="22">
        <v>46182.0</v>
      </c>
      <c r="Z491" s="22">
        <v>46207.0</v>
      </c>
      <c r="AA491" s="20">
        <v>56481.87</v>
      </c>
      <c r="AB491" s="20">
        <v>56481.87</v>
      </c>
      <c r="AC491" s="20">
        <v>18616.0</v>
      </c>
      <c r="AD491" s="20">
        <v>0.0</v>
      </c>
      <c r="AE491" s="20">
        <v>633.87</v>
      </c>
      <c r="AF491" s="20">
        <v>0.0</v>
      </c>
      <c r="AG491" s="20">
        <v>0.0</v>
      </c>
      <c r="AH491" s="20">
        <v>0.0</v>
      </c>
      <c r="AI491" s="20">
        <v>0.0</v>
      </c>
      <c r="AJ491" s="20">
        <v>56481.87</v>
      </c>
      <c r="AK491" s="20">
        <v>172261.63</v>
      </c>
      <c r="AL491" s="20">
        <v>2.0</v>
      </c>
      <c r="AM491" s="20">
        <v>376.2</v>
      </c>
      <c r="AN491" s="20">
        <v>0.0</v>
      </c>
      <c r="AS491" s="11" t="str">
        <f>VLOOKUP(C491,'mayo-26'!B:AS,44,0)</f>
        <v>AMBIENTAL@JARDINPLAZA.COM</v>
      </c>
      <c r="AT491" s="12" t="str">
        <f>VLOOKUP(C491,'mayo-26'!B:AT,45,0)</f>
        <v>CORREO ELECTRONICO CERTIFICADO 472</v>
      </c>
    </row>
    <row r="492" ht="14.25" customHeight="1">
      <c r="A492" s="20" t="s">
        <v>1059</v>
      </c>
      <c r="B492" s="20">
        <v>297.0</v>
      </c>
      <c r="C492" s="20">
        <v>462275.0</v>
      </c>
      <c r="D492" s="21">
        <v>491740.0</v>
      </c>
      <c r="G492" s="20" t="s">
        <v>135</v>
      </c>
      <c r="H492" s="20" t="s">
        <v>136</v>
      </c>
      <c r="I492" s="1" t="str">
        <f>VLOOKUP(C492,'mayo-26'!B:H,7,0)</f>
        <v>AVE 4 17-89 - 0239431</v>
      </c>
      <c r="J492" s="1">
        <v>0.0</v>
      </c>
      <c r="K492" s="10" t="str">
        <f>VLOOKUP(C492,'mayo-26'!B:J,9,0)</f>
        <v>NO</v>
      </c>
      <c r="L492" s="1" t="str">
        <f>VLOOKUP(C492,'mayo-26'!B:K,10,0)</f>
        <v>IMSALUD</v>
      </c>
      <c r="M492" s="20" t="s">
        <v>52</v>
      </c>
      <c r="N492" s="20" t="s">
        <v>1060</v>
      </c>
      <c r="O492" s="20" t="s">
        <v>861</v>
      </c>
      <c r="P492" s="20" t="s">
        <v>126</v>
      </c>
      <c r="Q492" s="20" t="s">
        <v>131</v>
      </c>
      <c r="R492" s="20" t="s">
        <v>151</v>
      </c>
      <c r="S492" s="20" t="s">
        <v>133</v>
      </c>
      <c r="T492" s="20" t="s">
        <v>59</v>
      </c>
      <c r="U492" s="20">
        <v>2026.0</v>
      </c>
      <c r="V492" s="20">
        <v>6.0</v>
      </c>
      <c r="W492" s="20">
        <v>1.081875766E9</v>
      </c>
      <c r="X492" s="20">
        <v>1.081894238E9</v>
      </c>
      <c r="Y492" s="22">
        <v>46182.0</v>
      </c>
      <c r="Z492" s="22">
        <v>46207.0</v>
      </c>
      <c r="AA492" s="20">
        <v>41568.0</v>
      </c>
      <c r="AB492" s="20">
        <v>41568.0</v>
      </c>
      <c r="AC492" s="20">
        <v>0.0</v>
      </c>
      <c r="AD492" s="20">
        <v>0.0</v>
      </c>
      <c r="AE492" s="20">
        <v>0.0</v>
      </c>
      <c r="AF492" s="20">
        <v>0.0</v>
      </c>
      <c r="AG492" s="20">
        <v>0.0</v>
      </c>
      <c r="AH492" s="20">
        <v>0.0</v>
      </c>
      <c r="AI492" s="20">
        <v>0.0</v>
      </c>
      <c r="AJ492" s="20">
        <v>41568.0</v>
      </c>
      <c r="AK492" s="20">
        <v>41568.0</v>
      </c>
      <c r="AL492" s="20">
        <v>0.0</v>
      </c>
      <c r="AM492" s="20">
        <v>250.8</v>
      </c>
      <c r="AN492" s="20">
        <v>0.0</v>
      </c>
      <c r="AS492" s="11" t="str">
        <f>VLOOKUP(C492,'mayo-26'!B:AS,44,0)</f>
        <v>SUBFINANCIERA@IMSALUD.GOV.CO</v>
      </c>
      <c r="AT492" s="12" t="str">
        <f>VLOOKUP(C492,'mayo-26'!B:AT,45,0)</f>
        <v>CORREO ELECTRONICO CERTIFICADO 472</v>
      </c>
    </row>
    <row r="493" ht="14.25" customHeight="1">
      <c r="A493" s="20" t="s">
        <v>1061</v>
      </c>
      <c r="B493" s="20">
        <v>515079.0</v>
      </c>
      <c r="C493" s="20">
        <v>462319.0</v>
      </c>
      <c r="D493" s="21">
        <v>492088.0</v>
      </c>
      <c r="G493" s="20" t="s">
        <v>1062</v>
      </c>
      <c r="H493" s="20" t="s">
        <v>1063</v>
      </c>
      <c r="I493" s="1" t="str">
        <f>VLOOKUP(C493,'mayo-26'!B:H,7,0)</f>
        <v>CC JARDIN PLAZALC 42</v>
      </c>
      <c r="J493" s="1" t="s">
        <v>991</v>
      </c>
      <c r="K493" s="10" t="str">
        <f>VLOOKUP(C493,'mayo-26'!B:J,9,0)</f>
        <v>JARDIN PLAZA</v>
      </c>
      <c r="L493" s="1" t="str">
        <f>VLOOKUP(C493,'mayo-26'!B:K,10,0)</f>
        <v>JARDIN PLAZA</v>
      </c>
      <c r="M493" s="20" t="s">
        <v>52</v>
      </c>
      <c r="N493" s="20" t="s">
        <v>89</v>
      </c>
      <c r="O493" s="20" t="s">
        <v>861</v>
      </c>
      <c r="P493" s="20" t="s">
        <v>126</v>
      </c>
      <c r="Q493" s="20" t="s">
        <v>56</v>
      </c>
      <c r="R493" s="20" t="s">
        <v>90</v>
      </c>
      <c r="S493" s="20" t="s">
        <v>143</v>
      </c>
      <c r="T493" s="20" t="s">
        <v>59</v>
      </c>
      <c r="U493" s="20">
        <v>2026.0</v>
      </c>
      <c r="V493" s="20">
        <v>6.0</v>
      </c>
      <c r="W493" s="20">
        <v>1.081875771E9</v>
      </c>
      <c r="X493" s="20">
        <v>1.081894243E9</v>
      </c>
      <c r="Y493" s="22">
        <v>46182.0</v>
      </c>
      <c r="Z493" s="22">
        <v>46207.0</v>
      </c>
      <c r="AA493" s="20">
        <v>128487.44</v>
      </c>
      <c r="AB493" s="20">
        <v>128487.44</v>
      </c>
      <c r="AC493" s="20">
        <v>42829.15</v>
      </c>
      <c r="AD493" s="20">
        <v>253.0</v>
      </c>
      <c r="AE493" s="20">
        <v>0.0</v>
      </c>
      <c r="AF493" s="20">
        <v>0.0</v>
      </c>
      <c r="AG493" s="20">
        <v>0.0</v>
      </c>
      <c r="AH493" s="20">
        <v>0.0</v>
      </c>
      <c r="AI493" s="20">
        <v>0.0</v>
      </c>
      <c r="AJ493" s="20">
        <v>128487.44</v>
      </c>
      <c r="AK493" s="20">
        <v>128487.44</v>
      </c>
      <c r="AL493" s="20">
        <v>0.0</v>
      </c>
      <c r="AM493" s="20">
        <v>376.2</v>
      </c>
      <c r="AN493" s="20">
        <v>0.0</v>
      </c>
      <c r="AS493" s="11" t="str">
        <f>VLOOKUP(C493,'mayo-26'!B:AS,44,0)</f>
        <v>FACT@ELEGANTHOMECOLOMBIA.COM</v>
      </c>
      <c r="AT493" s="12" t="str">
        <f>VLOOKUP(C493,'mayo-26'!B:AT,45,0)</f>
        <v>VERIFICADOR</v>
      </c>
    </row>
    <row r="494" ht="14.25" customHeight="1">
      <c r="A494" s="20" t="s">
        <v>1064</v>
      </c>
      <c r="B494" s="20">
        <v>515504.0</v>
      </c>
      <c r="C494" s="20">
        <v>462367.0</v>
      </c>
      <c r="D494" s="21">
        <v>492276.0</v>
      </c>
      <c r="G494" s="20" t="s">
        <v>1065</v>
      </c>
      <c r="H494" s="20" t="s">
        <v>1066</v>
      </c>
      <c r="I494" s="1" t="str">
        <f>VLOOKUP(C494,'mayo-26'!B:H,7,0)</f>
        <v>CC JARDIN PLAZA LC R 15</v>
      </c>
      <c r="J494" s="1" t="s">
        <v>991</v>
      </c>
      <c r="K494" s="10" t="str">
        <f>VLOOKUP(C494,'mayo-26'!B:J,9,0)</f>
        <v>JARDIN PLAZA</v>
      </c>
      <c r="L494" s="1" t="str">
        <f>VLOOKUP(C494,'mayo-26'!B:K,10,0)</f>
        <v>JARDIN PLAZA</v>
      </c>
      <c r="M494" s="20" t="s">
        <v>52</v>
      </c>
      <c r="N494" s="20" t="s">
        <v>89</v>
      </c>
      <c r="O494" s="20" t="s">
        <v>861</v>
      </c>
      <c r="P494" s="20" t="s">
        <v>126</v>
      </c>
      <c r="Q494" s="20" t="s">
        <v>56</v>
      </c>
      <c r="R494" s="20" t="s">
        <v>90</v>
      </c>
      <c r="S494" s="20" t="s">
        <v>143</v>
      </c>
      <c r="T494" s="20" t="s">
        <v>59</v>
      </c>
      <c r="U494" s="20">
        <v>2026.0</v>
      </c>
      <c r="V494" s="20">
        <v>6.0</v>
      </c>
      <c r="W494" s="20">
        <v>1.081875774E9</v>
      </c>
      <c r="X494" s="20">
        <v>1.081894246E9</v>
      </c>
      <c r="Y494" s="22">
        <v>46182.0</v>
      </c>
      <c r="Z494" s="22">
        <v>46207.0</v>
      </c>
      <c r="AA494" s="20">
        <v>132434.47</v>
      </c>
      <c r="AB494" s="20">
        <v>132434.47</v>
      </c>
      <c r="AC494" s="20">
        <v>42829.15</v>
      </c>
      <c r="AD494" s="20">
        <v>253.0</v>
      </c>
      <c r="AE494" s="20">
        <v>3947.03</v>
      </c>
      <c r="AF494" s="20">
        <v>0.0</v>
      </c>
      <c r="AG494" s="20">
        <v>0.0</v>
      </c>
      <c r="AH494" s="20">
        <v>0.0</v>
      </c>
      <c r="AI494" s="20">
        <v>0.0</v>
      </c>
      <c r="AJ494" s="20">
        <v>132434.47</v>
      </c>
      <c r="AK494" s="20">
        <v>411596.52</v>
      </c>
      <c r="AL494" s="20">
        <v>3.0</v>
      </c>
      <c r="AM494" s="20">
        <v>376.2</v>
      </c>
      <c r="AN494" s="20">
        <v>0.0</v>
      </c>
      <c r="AS494" s="11" t="str">
        <f>VLOOKUP(C494,'mayo-26'!B:AS,44,0)</f>
        <v>DELLAMORE22@GMAIL.COM</v>
      </c>
      <c r="AT494" s="12" t="str">
        <f>VLOOKUP(C494,'mayo-26'!B:AT,45,0)</f>
        <v>VERIFICADOR</v>
      </c>
    </row>
    <row r="495" ht="14.25" customHeight="1">
      <c r="A495" s="20" t="s">
        <v>1067</v>
      </c>
      <c r="B495" s="20">
        <v>464.0</v>
      </c>
      <c r="C495" s="20">
        <v>463.0</v>
      </c>
      <c r="D495" s="21">
        <v>463.0</v>
      </c>
      <c r="E495" s="20">
        <v>9.0257774E7</v>
      </c>
      <c r="F495" s="20">
        <v>9.0257774E7</v>
      </c>
      <c r="G495" s="20">
        <v>8.30037946E8</v>
      </c>
      <c r="H495" s="20" t="s">
        <v>1068</v>
      </c>
      <c r="I495" s="1" t="str">
        <f>VLOOKUP(C495,'mayo-26'!B:H,7,0)</f>
        <v>C.C. VENTURA PLAZA LOC 247</v>
      </c>
      <c r="J495" s="1" t="s">
        <v>982</v>
      </c>
      <c r="K495" s="10" t="str">
        <f>VLOOKUP(C495,'mayo-26'!B:J,9,0)</f>
        <v>NO</v>
      </c>
      <c r="L495" s="1" t="str">
        <f>VLOOKUP(C495,'mayo-26'!B:K,10,0)</f>
        <v>NO</v>
      </c>
      <c r="M495" s="20" t="s">
        <v>52</v>
      </c>
      <c r="N495" s="20" t="s">
        <v>89</v>
      </c>
      <c r="O495" s="20" t="s">
        <v>861</v>
      </c>
      <c r="P495" s="20" t="s">
        <v>126</v>
      </c>
      <c r="Q495" s="20" t="s">
        <v>131</v>
      </c>
      <c r="R495" s="20" t="s">
        <v>132</v>
      </c>
      <c r="S495" s="20" t="s">
        <v>133</v>
      </c>
      <c r="T495" s="20" t="s">
        <v>59</v>
      </c>
      <c r="U495" s="20">
        <v>2026.0</v>
      </c>
      <c r="V495" s="20">
        <v>6.0</v>
      </c>
      <c r="W495" s="20">
        <v>1.081875543E9</v>
      </c>
      <c r="X495" s="20">
        <v>1.081894015E9</v>
      </c>
      <c r="Y495" s="22">
        <v>46182.0</v>
      </c>
      <c r="Z495" s="22">
        <v>46207.0</v>
      </c>
      <c r="AA495" s="20">
        <v>113128.5</v>
      </c>
      <c r="AB495" s="20">
        <v>113128.5</v>
      </c>
      <c r="AC495" s="20">
        <v>37709.5</v>
      </c>
      <c r="AD495" s="20">
        <v>0.0</v>
      </c>
      <c r="AE495" s="20">
        <v>0.0</v>
      </c>
      <c r="AF495" s="20">
        <v>0.0</v>
      </c>
      <c r="AG495" s="20">
        <v>0.0</v>
      </c>
      <c r="AH495" s="20">
        <v>0.0</v>
      </c>
      <c r="AI495" s="20">
        <v>0.0</v>
      </c>
      <c r="AJ495" s="20">
        <v>113128.5</v>
      </c>
      <c r="AK495" s="20">
        <v>113129.0</v>
      </c>
      <c r="AL495" s="20">
        <v>1.0</v>
      </c>
      <c r="AM495" s="20">
        <v>376.2</v>
      </c>
      <c r="AN495" s="20">
        <v>0.0</v>
      </c>
      <c r="AS495" s="11" t="str">
        <f>VLOOKUP(C495,'mayo-26'!B:AS,44,0)</f>
        <v>UP128@PANAMERICANA.COM.CO</v>
      </c>
      <c r="AT495" s="12" t="str">
        <f>VLOOKUP(C495,'mayo-26'!B:AT,45,0)</f>
        <v>CORREO ELECTRONICO CERTIFICADO 472</v>
      </c>
    </row>
    <row r="496" ht="14.25" customHeight="1">
      <c r="A496" s="20" t="s">
        <v>1069</v>
      </c>
      <c r="B496" s="20">
        <v>518045.0</v>
      </c>
      <c r="C496" s="20">
        <v>463287.0</v>
      </c>
      <c r="D496" s="21">
        <v>494000.0</v>
      </c>
      <c r="G496" s="20">
        <v>1.034304681E9</v>
      </c>
      <c r="H496" s="20" t="s">
        <v>1070</v>
      </c>
      <c r="I496" s="1" t="str">
        <f>VLOOKUP(C496,'mayo-26'!B:H,7,0)</f>
        <v>LC R24 CL 14 3 127 CC JARDIN PLAZA</v>
      </c>
      <c r="J496" s="1" t="s">
        <v>991</v>
      </c>
      <c r="K496" s="10" t="str">
        <f>VLOOKUP(C496,'mayo-26'!B:J,9,0)</f>
        <v>JARDIN PLAZA</v>
      </c>
      <c r="L496" s="1" t="str">
        <f>VLOOKUP(C496,'mayo-26'!B:K,10,0)</f>
        <v>JARDIN PLAZA</v>
      </c>
      <c r="M496" s="20" t="s">
        <v>52</v>
      </c>
      <c r="N496" s="20" t="s">
        <v>53</v>
      </c>
      <c r="O496" s="20" t="s">
        <v>861</v>
      </c>
      <c r="P496" s="20" t="s">
        <v>126</v>
      </c>
      <c r="Q496" s="20" t="s">
        <v>56</v>
      </c>
      <c r="R496" s="20" t="s">
        <v>90</v>
      </c>
      <c r="S496" s="20" t="s">
        <v>143</v>
      </c>
      <c r="T496" s="20" t="s">
        <v>59</v>
      </c>
      <c r="U496" s="20">
        <v>2026.0</v>
      </c>
      <c r="V496" s="20">
        <v>6.0</v>
      </c>
      <c r="W496" s="20">
        <v>1.081875778E9</v>
      </c>
      <c r="X496" s="20">
        <v>1.08189425E9</v>
      </c>
      <c r="Y496" s="22">
        <v>46182.0</v>
      </c>
      <c r="Z496" s="22">
        <v>46207.0</v>
      </c>
      <c r="AA496" s="20">
        <v>128487.44</v>
      </c>
      <c r="AB496" s="20">
        <v>128487.44</v>
      </c>
      <c r="AC496" s="20">
        <v>42829.15</v>
      </c>
      <c r="AD496" s="20">
        <v>253.0</v>
      </c>
      <c r="AE496" s="20">
        <v>0.0</v>
      </c>
      <c r="AF496" s="20">
        <v>0.0</v>
      </c>
      <c r="AG496" s="20">
        <v>0.0</v>
      </c>
      <c r="AH496" s="20">
        <v>0.0</v>
      </c>
      <c r="AI496" s="20">
        <v>0.0</v>
      </c>
      <c r="AJ496" s="20">
        <v>128487.44</v>
      </c>
      <c r="AK496" s="20">
        <v>128487.44</v>
      </c>
      <c r="AL496" s="20">
        <v>0.0</v>
      </c>
      <c r="AM496" s="20">
        <v>376.2</v>
      </c>
      <c r="AN496" s="20">
        <v>0.0</v>
      </c>
      <c r="AS496" s="11" t="str">
        <f>VLOOKUP(C496,'mayo-26'!B:AS,44,0)</f>
        <v>MEATMARKETEXPRESS@GMAIL.COM</v>
      </c>
      <c r="AT496" s="12" t="str">
        <f>VLOOKUP(C496,'mayo-26'!B:AT,45,0)</f>
        <v>VERIFICADOR</v>
      </c>
    </row>
    <row r="497" ht="14.25" customHeight="1">
      <c r="A497" s="20" t="s">
        <v>1071</v>
      </c>
      <c r="B497" s="20">
        <v>699.0</v>
      </c>
      <c r="C497" s="20">
        <v>463835.0</v>
      </c>
      <c r="D497" s="21">
        <v>494832.0</v>
      </c>
      <c r="E497" s="20">
        <v>1108451.0</v>
      </c>
      <c r="F497" s="20">
        <v>1108451.0</v>
      </c>
      <c r="G497" s="20">
        <v>9.00480569E8</v>
      </c>
      <c r="H497" s="20" t="s">
        <v>141</v>
      </c>
      <c r="I497" s="1" t="str">
        <f>VLOOKUP(C497,'mayo-26'!B:H,7,0)</f>
        <v>CLL 12 4-52 CENTRO</v>
      </c>
      <c r="J497" s="1" t="s">
        <v>877</v>
      </c>
      <c r="K497" s="10" t="str">
        <f>VLOOKUP(C497,'mayo-26'!B:J,9,0)</f>
        <v>NO</v>
      </c>
      <c r="L497" s="1" t="str">
        <f>VLOOKUP(C497,'mayo-26'!B:K,10,0)</f>
        <v>ARA CUCUTA</v>
      </c>
      <c r="M497" s="20" t="s">
        <v>52</v>
      </c>
      <c r="N497" s="20" t="s">
        <v>53</v>
      </c>
      <c r="O497" s="20" t="s">
        <v>861</v>
      </c>
      <c r="P497" s="20" t="s">
        <v>126</v>
      </c>
      <c r="Q497" s="20" t="s">
        <v>56</v>
      </c>
      <c r="R497" s="20" t="s">
        <v>90</v>
      </c>
      <c r="S497" s="20" t="s">
        <v>143</v>
      </c>
      <c r="T497" s="20" t="s">
        <v>59</v>
      </c>
      <c r="U497" s="20">
        <v>2026.0</v>
      </c>
      <c r="V497" s="20">
        <v>6.0</v>
      </c>
      <c r="W497" s="20">
        <v>1.081875782E9</v>
      </c>
      <c r="X497" s="20">
        <v>1.081894254E9</v>
      </c>
      <c r="Y497" s="22">
        <v>46182.0</v>
      </c>
      <c r="Z497" s="22">
        <v>46207.0</v>
      </c>
      <c r="AA497" s="20">
        <v>822169.75</v>
      </c>
      <c r="AB497" s="20">
        <v>822169.75</v>
      </c>
      <c r="AC497" s="20">
        <v>274056.59</v>
      </c>
      <c r="AD497" s="20">
        <v>2690.0</v>
      </c>
      <c r="AE497" s="20">
        <v>0.0</v>
      </c>
      <c r="AF497" s="20">
        <v>0.0</v>
      </c>
      <c r="AG497" s="20">
        <v>0.0</v>
      </c>
      <c r="AH497" s="20">
        <v>0.0</v>
      </c>
      <c r="AI497" s="20">
        <v>0.0</v>
      </c>
      <c r="AJ497" s="20">
        <v>822169.75</v>
      </c>
      <c r="AK497" s="20">
        <v>1645300.14</v>
      </c>
      <c r="AL497" s="20">
        <v>1.0</v>
      </c>
      <c r="AM497" s="20">
        <v>376.2</v>
      </c>
      <c r="AN497" s="20">
        <v>0.0</v>
      </c>
      <c r="AS497" s="11" t="str">
        <f>VLOOKUP(C497,'mayo-26'!B:AS,44,0)</f>
        <v>COORDINADOR.OPERACIONES.R11@JERONIMO-MARTINS.COM</v>
      </c>
      <c r="AT497" s="12" t="str">
        <f>VLOOKUP(C497,'mayo-26'!B:AT,45,0)</f>
        <v>CORREO ELECTRONICO CERTIFICADO 472</v>
      </c>
    </row>
    <row r="498" ht="14.25" customHeight="1">
      <c r="A498" s="20" t="s">
        <v>1072</v>
      </c>
      <c r="B498" s="20">
        <v>341408.0</v>
      </c>
      <c r="C498" s="20">
        <v>470135.0</v>
      </c>
      <c r="D498" s="21">
        <v>505285.0</v>
      </c>
      <c r="E498" s="20">
        <v>1118616.0</v>
      </c>
      <c r="F498" s="20">
        <v>1118616.0</v>
      </c>
      <c r="G498" s="20">
        <v>8.30129327E8</v>
      </c>
      <c r="H498" s="20" t="s">
        <v>978</v>
      </c>
      <c r="I498" s="1" t="str">
        <f>VLOOKUP(C498,'mayo-26'!B:H,7,0)</f>
        <v>AVENIDA 0 #11-29 QUINTA VELEZ</v>
      </c>
      <c r="J498" s="1" t="s">
        <v>1073</v>
      </c>
      <c r="K498" s="10" t="str">
        <f>VLOOKUP(C498,'mayo-26'!B:J,9,0)</f>
        <v>NO</v>
      </c>
      <c r="L498" s="1" t="str">
        <f>VLOOKUP(C498,'mayo-26'!B:K,10,0)</f>
        <v>VERTEBRA</v>
      </c>
      <c r="M498" s="20" t="s">
        <v>52</v>
      </c>
      <c r="N498" s="20" t="s">
        <v>89</v>
      </c>
      <c r="O498" s="20" t="s">
        <v>861</v>
      </c>
      <c r="P498" s="20" t="s">
        <v>126</v>
      </c>
      <c r="Q498" s="20" t="s">
        <v>131</v>
      </c>
      <c r="R498" s="20" t="s">
        <v>132</v>
      </c>
      <c r="S498" s="20" t="s">
        <v>133</v>
      </c>
      <c r="T498" s="20" t="s">
        <v>59</v>
      </c>
      <c r="U498" s="20">
        <v>2026.0</v>
      </c>
      <c r="V498" s="20">
        <v>6.0</v>
      </c>
      <c r="W498" s="20">
        <v>1.081875786E9</v>
      </c>
      <c r="X498" s="20">
        <v>1.081894258E9</v>
      </c>
      <c r="Y498" s="22">
        <v>46182.0</v>
      </c>
      <c r="Z498" s="22">
        <v>46207.0</v>
      </c>
      <c r="AA498" s="20">
        <v>113128.5</v>
      </c>
      <c r="AB498" s="20">
        <v>113128.5</v>
      </c>
      <c r="AC498" s="20">
        <v>37709.5</v>
      </c>
      <c r="AD498" s="20">
        <v>0.0</v>
      </c>
      <c r="AE498" s="20">
        <v>0.0</v>
      </c>
      <c r="AF498" s="20">
        <v>0.0</v>
      </c>
      <c r="AG498" s="20">
        <v>0.0</v>
      </c>
      <c r="AH498" s="20">
        <v>0.0</v>
      </c>
      <c r="AI498" s="20">
        <v>0.0</v>
      </c>
      <c r="AJ498" s="20">
        <v>113128.5</v>
      </c>
      <c r="AK498" s="20">
        <v>113128.5</v>
      </c>
      <c r="AL498" s="20">
        <v>0.0</v>
      </c>
      <c r="AM498" s="20">
        <v>376.2</v>
      </c>
      <c r="AN498" s="20">
        <v>0.0</v>
      </c>
      <c r="AS498" s="11" t="str">
        <f>VLOOKUP(C498,'mayo-26'!B:AS,44,0)</f>
        <v>FACTURAS@VERTEBRA.TECH</v>
      </c>
      <c r="AT498" s="12" t="str">
        <f>VLOOKUP(C498,'mayo-26'!B:AT,45,0)</f>
        <v>CORREO ELECTRONICO CERTIFICADO 472</v>
      </c>
    </row>
    <row r="499" ht="14.25" customHeight="1">
      <c r="A499" s="20" t="s">
        <v>1074</v>
      </c>
      <c r="B499" s="20">
        <v>431.0</v>
      </c>
      <c r="C499" s="20">
        <v>471.0</v>
      </c>
      <c r="D499" s="21">
        <v>471.0</v>
      </c>
      <c r="E499" s="20">
        <v>9.0258443E7</v>
      </c>
      <c r="F499" s="20">
        <v>9.0258443E7</v>
      </c>
      <c r="G499" s="20" t="s">
        <v>620</v>
      </c>
      <c r="H499" s="20" t="s">
        <v>621</v>
      </c>
      <c r="I499" s="1" t="str">
        <f>VLOOKUP(C499,'mayo-26'!B:H,7,0)</f>
        <v>EDIFICIO SAN JOSE 2O PISO</v>
      </c>
      <c r="J499" s="1" t="s">
        <v>1075</v>
      </c>
      <c r="K499" s="10" t="str">
        <f>VLOOKUP(C499,'mayo-26'!B:J,9,0)</f>
        <v>NO</v>
      </c>
      <c r="L499" s="1" t="str">
        <f>VLOOKUP(C499,'mayo-26'!B:K,10,0)</f>
        <v>AGUAS KPITAL</v>
      </c>
      <c r="M499" s="20" t="s">
        <v>52</v>
      </c>
      <c r="N499" s="20" t="s">
        <v>89</v>
      </c>
      <c r="O499" s="20" t="s">
        <v>861</v>
      </c>
      <c r="P499" s="20" t="s">
        <v>126</v>
      </c>
      <c r="Q499" s="20" t="s">
        <v>56</v>
      </c>
      <c r="R499" s="20" t="s">
        <v>90</v>
      </c>
      <c r="S499" s="20" t="s">
        <v>143</v>
      </c>
      <c r="T499" s="20" t="s">
        <v>59</v>
      </c>
      <c r="U499" s="20">
        <v>2026.0</v>
      </c>
      <c r="V499" s="20">
        <v>6.0</v>
      </c>
      <c r="W499" s="20">
        <v>1.081875547E9</v>
      </c>
      <c r="X499" s="20">
        <v>1.081894019E9</v>
      </c>
      <c r="Y499" s="22">
        <v>46182.0</v>
      </c>
      <c r="Z499" s="22">
        <v>46207.0</v>
      </c>
      <c r="AA499" s="20">
        <v>176367.5</v>
      </c>
      <c r="AB499" s="20">
        <v>176367.5</v>
      </c>
      <c r="AC499" s="20">
        <v>58674.44</v>
      </c>
      <c r="AD499" s="20">
        <v>420.0</v>
      </c>
      <c r="AE499" s="20">
        <v>344.18</v>
      </c>
      <c r="AF499" s="20">
        <v>0.0</v>
      </c>
      <c r="AG499" s="20">
        <v>0.0</v>
      </c>
      <c r="AH499" s="20">
        <v>0.0</v>
      </c>
      <c r="AI499" s="20">
        <v>0.0</v>
      </c>
      <c r="AJ499" s="20">
        <v>176367.5</v>
      </c>
      <c r="AK499" s="20">
        <v>354102.53</v>
      </c>
      <c r="AL499" s="20">
        <v>1.0</v>
      </c>
      <c r="AM499" s="20">
        <v>376.2</v>
      </c>
      <c r="AN499" s="20">
        <v>0.0</v>
      </c>
      <c r="AS499" s="11" t="str">
        <f>VLOOKUP(C499,'mayo-26'!B:AS,44,0)</f>
        <v>RADICACION.CEINDOC@AKC.CO;SAMMY.OMANA@AKC.CO</v>
      </c>
      <c r="AT499" s="12" t="str">
        <f>VLOOKUP(C499,'mayo-26'!B:AT,45,0)</f>
        <v>CORREO ELECTRONICO CERTIFICADO 472</v>
      </c>
    </row>
    <row r="500" ht="14.25" customHeight="1">
      <c r="A500" s="20" t="s">
        <v>1076</v>
      </c>
      <c r="B500" s="20">
        <v>341408.0</v>
      </c>
      <c r="C500" s="20">
        <v>471411.0</v>
      </c>
      <c r="D500" s="21">
        <v>508214.0</v>
      </c>
      <c r="E500" s="20">
        <v>1123202.0</v>
      </c>
      <c r="F500" s="20">
        <v>1123202.0</v>
      </c>
      <c r="G500" s="20">
        <v>8.30129327E8</v>
      </c>
      <c r="H500" s="20" t="s">
        <v>978</v>
      </c>
      <c r="I500" s="1" t="str">
        <f>VLOOKUP(C500,'mayo-26'!B:H,7,0)</f>
        <v>AVENIDA 0 #11-29 QUINTA VELEZ</v>
      </c>
      <c r="J500" s="1" t="s">
        <v>1000</v>
      </c>
      <c r="K500" s="10" t="str">
        <f>VLOOKUP(C500,'mayo-26'!B:J,9,0)</f>
        <v>NO</v>
      </c>
      <c r="L500" s="1" t="str">
        <f>VLOOKUP(C500,'mayo-26'!B:K,10,0)</f>
        <v>VERTEBRA</v>
      </c>
      <c r="M500" s="20" t="s">
        <v>52</v>
      </c>
      <c r="N500" s="20" t="s">
        <v>89</v>
      </c>
      <c r="O500" s="20" t="s">
        <v>861</v>
      </c>
      <c r="P500" s="20" t="s">
        <v>126</v>
      </c>
      <c r="Q500" s="20" t="s">
        <v>131</v>
      </c>
      <c r="R500" s="20" t="s">
        <v>132</v>
      </c>
      <c r="S500" s="20" t="s">
        <v>133</v>
      </c>
      <c r="T500" s="20" t="s">
        <v>59</v>
      </c>
      <c r="U500" s="20">
        <v>2026.0</v>
      </c>
      <c r="V500" s="20">
        <v>6.0</v>
      </c>
      <c r="W500" s="20">
        <v>1.081875789E9</v>
      </c>
      <c r="X500" s="20">
        <v>1.081894261E9</v>
      </c>
      <c r="Y500" s="22">
        <v>46182.0</v>
      </c>
      <c r="Z500" s="22">
        <v>46207.0</v>
      </c>
      <c r="AA500" s="20">
        <v>113647.9</v>
      </c>
      <c r="AB500" s="20">
        <v>113647.9</v>
      </c>
      <c r="AC500" s="20">
        <v>37709.5</v>
      </c>
      <c r="AD500" s="20">
        <v>0.0</v>
      </c>
      <c r="AE500" s="20">
        <v>519.4</v>
      </c>
      <c r="AF500" s="20">
        <v>0.0</v>
      </c>
      <c r="AG500" s="20">
        <v>0.0</v>
      </c>
      <c r="AH500" s="20">
        <v>0.0</v>
      </c>
      <c r="AI500" s="20">
        <v>0.0</v>
      </c>
      <c r="AJ500" s="20">
        <v>113647.9</v>
      </c>
      <c r="AK500" s="20">
        <v>122152.49</v>
      </c>
      <c r="AL500" s="20">
        <v>1.0</v>
      </c>
      <c r="AM500" s="20">
        <v>376.2</v>
      </c>
      <c r="AN500" s="20">
        <v>0.0</v>
      </c>
      <c r="AS500" s="11" t="str">
        <f>VLOOKUP(C500,'mayo-26'!B:AS,44,0)</f>
        <v>FACTURAS@VERTEBRA.TECH</v>
      </c>
      <c r="AT500" s="12" t="str">
        <f>VLOOKUP(C500,'mayo-26'!B:AT,45,0)</f>
        <v>CORREO ELECTRONICO CERTIFICADO 472</v>
      </c>
    </row>
    <row r="501" ht="14.25" customHeight="1">
      <c r="A501" s="20" t="s">
        <v>1077</v>
      </c>
      <c r="B501" s="20">
        <v>550244.0</v>
      </c>
      <c r="C501" s="20">
        <v>475999.0</v>
      </c>
      <c r="D501" s="21">
        <v>516688.0</v>
      </c>
      <c r="E501" s="20">
        <v>1140408.0</v>
      </c>
      <c r="F501" s="20">
        <v>1140408.0</v>
      </c>
      <c r="G501" s="20" t="s">
        <v>1078</v>
      </c>
      <c r="H501" s="20" t="s">
        <v>1079</v>
      </c>
      <c r="I501" s="1" t="str">
        <f>VLOOKUP(C501,'mayo-26'!B:H,7,0)</f>
        <v>AVE 0 11-119 LOC 4 (LTE 10 MNZ 27 ESQ)</v>
      </c>
      <c r="J501" s="1" t="s">
        <v>942</v>
      </c>
      <c r="K501" s="10" t="str">
        <f>VLOOKUP(C501,'mayo-26'!B:J,9,0)</f>
        <v>NO</v>
      </c>
      <c r="L501" s="1" t="str">
        <f>VLOOKUP(C501,'mayo-26'!B:K,10,0)</f>
        <v>DROGUERIAS Y FARMACIAS CRUZ VERDE S A S</v>
      </c>
      <c r="M501" s="20" t="s">
        <v>52</v>
      </c>
      <c r="N501" s="20" t="s">
        <v>89</v>
      </c>
      <c r="O501" s="20" t="s">
        <v>861</v>
      </c>
      <c r="P501" s="20" t="s">
        <v>126</v>
      </c>
      <c r="Q501" s="20" t="s">
        <v>131</v>
      </c>
      <c r="R501" s="20" t="s">
        <v>538</v>
      </c>
      <c r="S501" s="20" t="s">
        <v>133</v>
      </c>
      <c r="T501" s="20" t="s">
        <v>59</v>
      </c>
      <c r="U501" s="20">
        <v>2026.0</v>
      </c>
      <c r="V501" s="20">
        <v>6.0</v>
      </c>
      <c r="W501" s="20">
        <v>1.081875794E9</v>
      </c>
      <c r="X501" s="20">
        <v>1.081894266E9</v>
      </c>
      <c r="Y501" s="22">
        <v>46182.0</v>
      </c>
      <c r="Z501" s="22">
        <v>46207.0</v>
      </c>
      <c r="AA501" s="20">
        <v>102028.87</v>
      </c>
      <c r="AB501" s="20">
        <v>102028.87</v>
      </c>
      <c r="AC501" s="20">
        <v>31416.0</v>
      </c>
      <c r="AD501" s="20">
        <v>0.0</v>
      </c>
      <c r="AE501" s="20">
        <v>7780.87</v>
      </c>
      <c r="AF501" s="20">
        <v>0.0</v>
      </c>
      <c r="AG501" s="20">
        <v>0.0</v>
      </c>
      <c r="AH501" s="20">
        <v>0.0</v>
      </c>
      <c r="AI501" s="20">
        <v>0.0</v>
      </c>
      <c r="AJ501" s="20">
        <v>102028.87</v>
      </c>
      <c r="AK501" s="20">
        <v>642999.91</v>
      </c>
      <c r="AL501" s="20">
        <v>6.0</v>
      </c>
      <c r="AM501" s="20">
        <v>376.2</v>
      </c>
      <c r="AN501" s="20">
        <v>0.0</v>
      </c>
      <c r="AS501" s="11" t="str">
        <f>VLOOKUP(C501,'mayo-26'!B:AS,44,0)</f>
        <v>serviciospublicos@cruzverde.com.co, notificacionesjudiciales@cruzverde.com.co</v>
      </c>
      <c r="AT501" s="12" t="str">
        <f>VLOOKUP(C501,'mayo-26'!B:AT,45,0)</f>
        <v>CORREO ELECTRONICO CERTIFICADO 472</v>
      </c>
    </row>
    <row r="502" ht="14.25" customHeight="1">
      <c r="B502" s="20">
        <v>480.0</v>
      </c>
      <c r="C502" s="20">
        <v>479.0</v>
      </c>
      <c r="D502" s="21">
        <v>479.0</v>
      </c>
      <c r="E502" s="20">
        <v>9.0259172E7</v>
      </c>
      <c r="F502" s="20">
        <v>9.0259172E7</v>
      </c>
      <c r="G502" s="20">
        <v>9010251.0</v>
      </c>
      <c r="H502" s="20" t="s">
        <v>1080</v>
      </c>
      <c r="I502" s="1" t="str">
        <f>VLOOKUP(C502,'mayo-26'!B:H,7,0)</f>
        <v>#N/A</v>
      </c>
      <c r="J502" s="1" t="e">
        <v>#N/A</v>
      </c>
      <c r="K502" s="10" t="str">
        <f>VLOOKUP(C502,'mayo-26'!B:J,9,0)</f>
        <v>#N/A</v>
      </c>
      <c r="L502" s="1" t="str">
        <f>VLOOKUP(C502,'mayo-26'!B:K,10,0)</f>
        <v>#N/A</v>
      </c>
      <c r="M502" s="20" t="s">
        <v>52</v>
      </c>
      <c r="N502" s="20" t="s">
        <v>89</v>
      </c>
      <c r="O502" s="20" t="s">
        <v>861</v>
      </c>
      <c r="P502" s="20" t="s">
        <v>126</v>
      </c>
      <c r="Q502" s="20" t="s">
        <v>56</v>
      </c>
      <c r="R502" s="20" t="s">
        <v>90</v>
      </c>
      <c r="S502" s="20" t="s">
        <v>143</v>
      </c>
      <c r="T502" s="20" t="s">
        <v>59</v>
      </c>
      <c r="U502" s="20">
        <v>2026.0</v>
      </c>
      <c r="V502" s="20">
        <v>6.0</v>
      </c>
      <c r="W502" s="20">
        <v>1.081875549E9</v>
      </c>
      <c r="X502" s="20">
        <v>1.081894021E9</v>
      </c>
      <c r="Y502" s="22">
        <v>46182.0</v>
      </c>
      <c r="Z502" s="22">
        <v>46207.0</v>
      </c>
      <c r="AA502" s="20">
        <v>603194.78</v>
      </c>
      <c r="AB502" s="20">
        <v>603194.78</v>
      </c>
      <c r="AC502" s="20">
        <v>154505.27</v>
      </c>
      <c r="AD502" s="20">
        <v>1430.0</v>
      </c>
      <c r="AE502" s="20">
        <v>139678.99</v>
      </c>
      <c r="AF502" s="20">
        <v>0.0</v>
      </c>
      <c r="AG502" s="20">
        <v>0.0</v>
      </c>
      <c r="AH502" s="20">
        <v>0.0</v>
      </c>
      <c r="AI502" s="20">
        <v>0.0</v>
      </c>
      <c r="AJ502" s="20">
        <v>603194.78</v>
      </c>
      <c r="AK502" s="20">
        <v>9129747.05</v>
      </c>
      <c r="AL502" s="20">
        <v>18.0</v>
      </c>
      <c r="AM502" s="20">
        <v>376.2</v>
      </c>
      <c r="AN502" s="20">
        <v>0.0</v>
      </c>
      <c r="AS502" s="11" t="str">
        <f>VLOOKUP(C502,'mayo-26'!B:AS,44,0)</f>
        <v>#N/A</v>
      </c>
      <c r="AT502" s="12" t="str">
        <f>VLOOKUP(C502,'mayo-26'!B:AT,45,0)</f>
        <v>#N/A</v>
      </c>
    </row>
    <row r="503" ht="14.25" customHeight="1">
      <c r="A503" s="20" t="s">
        <v>1081</v>
      </c>
      <c r="B503" s="20">
        <v>562694.0</v>
      </c>
      <c r="C503" s="20">
        <v>481223.0</v>
      </c>
      <c r="D503" s="21">
        <v>526035.0</v>
      </c>
      <c r="G503" s="20" t="s">
        <v>1082</v>
      </c>
      <c r="H503" s="20" t="s">
        <v>1083</v>
      </c>
      <c r="I503" s="1" t="str">
        <f>VLOOKUP(C503,'mayo-26'!B:H,7,0)</f>
        <v>CENTRO COMERCIAL JARDÍN PLAZA CÚCUTA LOCAL A15</v>
      </c>
      <c r="J503" s="1" t="s">
        <v>991</v>
      </c>
      <c r="K503" s="10" t="str">
        <f>VLOOKUP(C503,'mayo-26'!B:J,9,0)</f>
        <v>JARDIN PLAZA</v>
      </c>
      <c r="L503" s="1" t="str">
        <f>VLOOKUP(C503,'mayo-26'!B:K,10,0)</f>
        <v>JARDIN PLAZA</v>
      </c>
      <c r="M503" s="20" t="s">
        <v>52</v>
      </c>
      <c r="N503" s="20" t="s">
        <v>89</v>
      </c>
      <c r="O503" s="20" t="s">
        <v>861</v>
      </c>
      <c r="P503" s="20" t="s">
        <v>126</v>
      </c>
      <c r="Q503" s="20" t="s">
        <v>56</v>
      </c>
      <c r="R503" s="20" t="s">
        <v>90</v>
      </c>
      <c r="S503" s="20" t="s">
        <v>143</v>
      </c>
      <c r="T503" s="20" t="s">
        <v>59</v>
      </c>
      <c r="U503" s="20">
        <v>2026.0</v>
      </c>
      <c r="V503" s="20">
        <v>6.0</v>
      </c>
      <c r="W503" s="20">
        <v>1.081875798E9</v>
      </c>
      <c r="X503" s="20">
        <v>1.08189427E9</v>
      </c>
      <c r="Y503" s="22">
        <v>46182.0</v>
      </c>
      <c r="Z503" s="22">
        <v>46207.0</v>
      </c>
      <c r="AA503" s="20">
        <v>128487.44</v>
      </c>
      <c r="AB503" s="20">
        <v>128487.44</v>
      </c>
      <c r="AC503" s="20">
        <v>42829.15</v>
      </c>
      <c r="AD503" s="20">
        <v>253.0</v>
      </c>
      <c r="AE503" s="20">
        <v>0.0</v>
      </c>
      <c r="AF503" s="20">
        <v>0.0</v>
      </c>
      <c r="AG503" s="20">
        <v>0.0</v>
      </c>
      <c r="AH503" s="20">
        <v>0.0</v>
      </c>
      <c r="AI503" s="20">
        <v>0.0</v>
      </c>
      <c r="AJ503" s="20">
        <v>128487.44</v>
      </c>
      <c r="AK503" s="20">
        <v>128487.44</v>
      </c>
      <c r="AL503" s="20">
        <v>0.0</v>
      </c>
      <c r="AM503" s="20">
        <v>376.2</v>
      </c>
      <c r="AN503" s="20">
        <v>0.0</v>
      </c>
      <c r="AS503" s="11" t="str">
        <f>VLOOKUP(C503,'mayo-26'!B:AS,44,0)</f>
        <v>AMBIENTAL@JARDINPLAZA.COM</v>
      </c>
      <c r="AT503" s="12" t="str">
        <f>VLOOKUP(C503,'mayo-26'!B:AT,45,0)</f>
        <v>VERIFICADOR</v>
      </c>
    </row>
    <row r="504" ht="14.25" customHeight="1">
      <c r="A504" s="20" t="s">
        <v>1084</v>
      </c>
      <c r="B504" s="20">
        <v>484.0</v>
      </c>
      <c r="C504" s="20">
        <v>483.0</v>
      </c>
      <c r="D504" s="21">
        <v>483.0</v>
      </c>
      <c r="E504" s="20">
        <v>9.0259607E7</v>
      </c>
      <c r="F504" s="20">
        <v>9.0259607E7</v>
      </c>
      <c r="G504" s="20" t="s">
        <v>1085</v>
      </c>
      <c r="H504" s="20" t="s">
        <v>1086</v>
      </c>
      <c r="I504" s="1" t="str">
        <f>VLOOKUP(C504,'mayo-26'!B:H,7,0)</f>
        <v>CENTRO COMERCIAL BOLIVAR BL D</v>
      </c>
      <c r="J504" s="1" t="s">
        <v>863</v>
      </c>
      <c r="K504" s="10" t="str">
        <f>VLOOKUP(C504,'mayo-26'!B:J,9,0)</f>
        <v>NO</v>
      </c>
      <c r="L504" s="1" t="str">
        <f>VLOOKUP(C504,'mayo-26'!B:K,10,0)</f>
        <v>NO</v>
      </c>
      <c r="M504" s="20" t="s">
        <v>52</v>
      </c>
      <c r="N504" s="20" t="s">
        <v>89</v>
      </c>
      <c r="O504" s="20" t="s">
        <v>861</v>
      </c>
      <c r="P504" s="20" t="s">
        <v>126</v>
      </c>
      <c r="Q504" s="20" t="s">
        <v>56</v>
      </c>
      <c r="R504" s="20" t="s">
        <v>90</v>
      </c>
      <c r="S504" s="20" t="s">
        <v>58</v>
      </c>
      <c r="T504" s="20" t="s">
        <v>59</v>
      </c>
      <c r="U504" s="20">
        <v>2026.0</v>
      </c>
      <c r="V504" s="20">
        <v>6.0</v>
      </c>
      <c r="W504" s="20">
        <v>1.081875554E9</v>
      </c>
      <c r="X504" s="20">
        <v>1.081894026E9</v>
      </c>
      <c r="Y504" s="22">
        <v>46182.0</v>
      </c>
      <c r="Z504" s="22">
        <v>46207.0</v>
      </c>
      <c r="AA504" s="20">
        <v>2382029.83</v>
      </c>
      <c r="AB504" s="20">
        <v>2382029.83</v>
      </c>
      <c r="AC504" s="20">
        <v>794009.95</v>
      </c>
      <c r="AD504" s="20">
        <v>8170.0</v>
      </c>
      <c r="AE504" s="20">
        <v>0.0</v>
      </c>
      <c r="AF504" s="20">
        <v>0.0</v>
      </c>
      <c r="AG504" s="20">
        <v>0.0</v>
      </c>
      <c r="AH504" s="20">
        <v>0.0</v>
      </c>
      <c r="AI504" s="20">
        <v>0.0</v>
      </c>
      <c r="AJ504" s="20">
        <v>2382029.83</v>
      </c>
      <c r="AK504" s="20">
        <v>2382029.83</v>
      </c>
      <c r="AL504" s="20">
        <v>0.0</v>
      </c>
      <c r="AM504" s="20">
        <v>376.2</v>
      </c>
      <c r="AN504" s="20">
        <v>0.0</v>
      </c>
      <c r="AS504" s="11" t="str">
        <f>VLOOKUP(C504,'mayo-26'!B:AS,44,0)</f>
        <v>MAN01.ST15@MAKRO.COM.CO</v>
      </c>
      <c r="AT504" s="12" t="str">
        <f>VLOOKUP(C504,'mayo-26'!B:AT,45,0)</f>
        <v>CORREO ELECTRONICO CERTIFICADO 472</v>
      </c>
    </row>
    <row r="505" ht="14.25" customHeight="1">
      <c r="A505" s="20" t="s">
        <v>1087</v>
      </c>
      <c r="B505" s="20">
        <v>699.0</v>
      </c>
      <c r="C505" s="20">
        <v>49151.0</v>
      </c>
      <c r="D505" s="21">
        <v>49151.0</v>
      </c>
      <c r="E505" s="20">
        <v>16845.0</v>
      </c>
      <c r="F505" s="20">
        <v>16845.0</v>
      </c>
      <c r="G505" s="20">
        <v>9.00480569E8</v>
      </c>
      <c r="H505" s="20" t="s">
        <v>141</v>
      </c>
      <c r="I505" s="1" t="str">
        <f>VLOOKUP(C505,'mayo-26'!B:H,7,0)</f>
        <v>CLL 12 4-52 CENTRO</v>
      </c>
      <c r="J505" s="1" t="s">
        <v>343</v>
      </c>
      <c r="K505" s="10" t="str">
        <f>VLOOKUP(C505,'mayo-26'!B:J,9,0)</f>
        <v>NO</v>
      </c>
      <c r="L505" s="1" t="str">
        <f>VLOOKUP(C505,'mayo-26'!B:K,10,0)</f>
        <v>ARA CUCUTA</v>
      </c>
      <c r="M505" s="20" t="s">
        <v>52</v>
      </c>
      <c r="N505" s="20" t="s">
        <v>53</v>
      </c>
      <c r="O505" s="20" t="s">
        <v>861</v>
      </c>
      <c r="P505" s="20" t="s">
        <v>126</v>
      </c>
      <c r="Q505" s="20" t="s">
        <v>131</v>
      </c>
      <c r="R505" s="20" t="s">
        <v>132</v>
      </c>
      <c r="S505" s="20" t="s">
        <v>133</v>
      </c>
      <c r="T505" s="20" t="s">
        <v>59</v>
      </c>
      <c r="U505" s="20">
        <v>2026.0</v>
      </c>
      <c r="V505" s="20">
        <v>6.0</v>
      </c>
      <c r="W505" s="20">
        <v>1.081875662E9</v>
      </c>
      <c r="X505" s="20">
        <v>1.081894134E9</v>
      </c>
      <c r="Y505" s="22">
        <v>46182.0</v>
      </c>
      <c r="Z505" s="22">
        <v>46207.0</v>
      </c>
      <c r="AA505" s="20">
        <v>114640.67</v>
      </c>
      <c r="AB505" s="20">
        <v>114640.67</v>
      </c>
      <c r="AC505" s="20">
        <v>37709.5</v>
      </c>
      <c r="AD505" s="20">
        <v>0.0</v>
      </c>
      <c r="AE505" s="20">
        <v>1512.17</v>
      </c>
      <c r="AF505" s="20">
        <v>0.0</v>
      </c>
      <c r="AG505" s="20">
        <v>0.0</v>
      </c>
      <c r="AH505" s="20">
        <v>0.0</v>
      </c>
      <c r="AI505" s="20">
        <v>0.0</v>
      </c>
      <c r="AJ505" s="20">
        <v>114640.67</v>
      </c>
      <c r="AK505" s="20">
        <v>354571.25</v>
      </c>
      <c r="AL505" s="20">
        <v>3.0</v>
      </c>
      <c r="AM505" s="20">
        <v>376.2</v>
      </c>
      <c r="AN505" s="20">
        <v>0.0</v>
      </c>
      <c r="AS505" s="11" t="str">
        <f>VLOOKUP(C505,'mayo-26'!B:AS,44,0)</f>
        <v>COORDINADOR.OPERACIONES.R11@JERONIMO-MARTINS.COM</v>
      </c>
      <c r="AT505" s="12" t="str">
        <f>VLOOKUP(C505,'mayo-26'!B:AT,45,0)</f>
        <v>CORREO ELECTRONICO CERTIFICADO 472</v>
      </c>
    </row>
    <row r="506" ht="14.25" customHeight="1">
      <c r="A506" s="20" t="s">
        <v>1088</v>
      </c>
      <c r="B506" s="20">
        <v>492.0</v>
      </c>
      <c r="C506" s="20">
        <v>491.0</v>
      </c>
      <c r="D506" s="21">
        <v>491.0</v>
      </c>
      <c r="E506" s="20">
        <v>9.0265378E7</v>
      </c>
      <c r="F506" s="20">
        <v>9.0265378E7</v>
      </c>
      <c r="G506" s="20" t="s">
        <v>1089</v>
      </c>
      <c r="H506" s="20" t="s">
        <v>1090</v>
      </c>
      <c r="I506" s="1" t="str">
        <f>VLOOKUP(C506,'mayo-26'!B:H,7,0)</f>
        <v>AUTOPISTA INTERNACIONAL</v>
      </c>
      <c r="J506" s="1" t="s">
        <v>1023</v>
      </c>
      <c r="K506" s="10" t="str">
        <f>VLOOKUP(C506,'mayo-26'!B:J,9,0)</f>
        <v>VILLA DEL ROSARIO</v>
      </c>
      <c r="L506" s="1" t="str">
        <f>VLOOKUP(C506,'mayo-26'!B:K,10,0)</f>
        <v>NO</v>
      </c>
      <c r="M506" s="20" t="s">
        <v>52</v>
      </c>
      <c r="N506" s="20" t="s">
        <v>89</v>
      </c>
      <c r="O506" s="20" t="s">
        <v>861</v>
      </c>
      <c r="P506" s="20" t="s">
        <v>126</v>
      </c>
      <c r="Q506" s="20" t="s">
        <v>131</v>
      </c>
      <c r="R506" s="20" t="s">
        <v>132</v>
      </c>
      <c r="S506" s="20" t="s">
        <v>133</v>
      </c>
      <c r="T506" s="20" t="s">
        <v>59</v>
      </c>
      <c r="U506" s="20">
        <v>2026.0</v>
      </c>
      <c r="V506" s="20">
        <v>6.0</v>
      </c>
      <c r="W506" s="20">
        <v>1.081875559E9</v>
      </c>
      <c r="X506" s="20">
        <v>1.081894031E9</v>
      </c>
      <c r="Y506" s="22">
        <v>46182.0</v>
      </c>
      <c r="Z506" s="22">
        <v>46207.0</v>
      </c>
      <c r="AA506" s="20">
        <v>113128.5</v>
      </c>
      <c r="AB506" s="20">
        <v>113128.5</v>
      </c>
      <c r="AC506" s="20">
        <v>37709.5</v>
      </c>
      <c r="AD506" s="20">
        <v>0.0</v>
      </c>
      <c r="AE506" s="20">
        <v>0.0</v>
      </c>
      <c r="AF506" s="20">
        <v>0.0</v>
      </c>
      <c r="AG506" s="20">
        <v>0.0</v>
      </c>
      <c r="AH506" s="20">
        <v>0.0</v>
      </c>
      <c r="AI506" s="20">
        <v>0.0</v>
      </c>
      <c r="AJ506" s="20">
        <v>113128.5</v>
      </c>
      <c r="AK506" s="20">
        <v>227040.0</v>
      </c>
      <c r="AL506" s="20">
        <v>1.0</v>
      </c>
      <c r="AM506" s="20">
        <v>376.2</v>
      </c>
      <c r="AN506" s="20">
        <v>0.0</v>
      </c>
      <c r="AS506" s="11" t="str">
        <f>VLOOKUP(C506,'mayo-26'!B:AS,44,0)</f>
        <v>CUCUTAMOTORS@MIFACTURAELECTRONICA.COM.CO</v>
      </c>
      <c r="AT506" s="12" t="str">
        <f>VLOOKUP(C506,'mayo-26'!B:AT,45,0)</f>
        <v>VERIFICADOR</v>
      </c>
    </row>
    <row r="507" ht="14.25" customHeight="1">
      <c r="A507" s="20" t="s">
        <v>1091</v>
      </c>
      <c r="B507" s="20">
        <v>49768.0</v>
      </c>
      <c r="C507" s="20">
        <v>49767.0</v>
      </c>
      <c r="D507" s="21">
        <v>49767.0</v>
      </c>
      <c r="E507" s="20">
        <v>19103.0</v>
      </c>
      <c r="F507" s="20">
        <v>19103.0</v>
      </c>
      <c r="G507" s="20">
        <v>9.01502579E8</v>
      </c>
      <c r="H507" s="20" t="s">
        <v>1092</v>
      </c>
      <c r="I507" s="1" t="str">
        <f>VLOOKUP(C507,'mayo-26'!B:H,7,0)</f>
        <v>AVE 5 7-90 CENTRO</v>
      </c>
      <c r="J507" s="1" t="s">
        <v>1093</v>
      </c>
      <c r="K507" s="10" t="str">
        <f>VLOOKUP(C507,'mayo-26'!B:J,9,0)</f>
        <v>NO</v>
      </c>
      <c r="L507" s="1" t="str">
        <f>VLOOKUP(C507,'mayo-26'!B:K,10,0)</f>
        <v>NO</v>
      </c>
      <c r="M507" s="20" t="s">
        <v>52</v>
      </c>
      <c r="N507" s="20" t="s">
        <v>89</v>
      </c>
      <c r="O507" s="20" t="s">
        <v>861</v>
      </c>
      <c r="P507" s="20" t="s">
        <v>126</v>
      </c>
      <c r="Q507" s="20" t="s">
        <v>131</v>
      </c>
      <c r="R507" s="20" t="s">
        <v>132</v>
      </c>
      <c r="S507" s="20" t="s">
        <v>133</v>
      </c>
      <c r="T507" s="20" t="s">
        <v>59</v>
      </c>
      <c r="U507" s="20">
        <v>2026.0</v>
      </c>
      <c r="V507" s="20">
        <v>6.0</v>
      </c>
      <c r="W507" s="20">
        <v>1.081875666E9</v>
      </c>
      <c r="X507" s="20">
        <v>1.081894138E9</v>
      </c>
      <c r="Y507" s="22">
        <v>46182.0</v>
      </c>
      <c r="Z507" s="22">
        <v>46207.0</v>
      </c>
      <c r="AA507" s="20">
        <v>113128.5</v>
      </c>
      <c r="AB507" s="20">
        <v>113128.5</v>
      </c>
      <c r="AC507" s="20">
        <v>37709.5</v>
      </c>
      <c r="AD507" s="20">
        <v>0.0</v>
      </c>
      <c r="AE507" s="20">
        <v>0.0</v>
      </c>
      <c r="AF507" s="20">
        <v>0.0</v>
      </c>
      <c r="AG507" s="20">
        <v>0.0</v>
      </c>
      <c r="AH507" s="20">
        <v>0.0</v>
      </c>
      <c r="AI507" s="20">
        <v>0.0</v>
      </c>
      <c r="AJ507" s="20">
        <v>113128.5</v>
      </c>
      <c r="AK507" s="20">
        <v>113128.5</v>
      </c>
      <c r="AL507" s="20">
        <v>0.0</v>
      </c>
      <c r="AM507" s="20">
        <v>376.2</v>
      </c>
      <c r="AN507" s="20">
        <v>0.0</v>
      </c>
      <c r="AS507" s="11" t="str">
        <f>VLOOKUP(C507,'mayo-26'!B:AS,44,0)</f>
        <v>GROUPDUBO@HOTMAIL.COM</v>
      </c>
      <c r="AT507" s="12" t="str">
        <f>VLOOKUP(C507,'mayo-26'!B:AT,45,0)</f>
        <v>CORREO ELECTRONICO CERTIFICADO 472</v>
      </c>
    </row>
    <row r="508" ht="14.25" customHeight="1">
      <c r="A508" s="20" t="s">
        <v>1094</v>
      </c>
      <c r="B508" s="20">
        <v>593608.0</v>
      </c>
      <c r="C508" s="20">
        <v>497855.0</v>
      </c>
      <c r="D508" s="21">
        <v>550414.0</v>
      </c>
      <c r="G508" s="20">
        <v>8.00149695E8</v>
      </c>
      <c r="H508" s="20" t="s">
        <v>1095</v>
      </c>
      <c r="I508" s="1" t="str">
        <f>VLOOKUP(C508,'mayo-26'!B:H,7,0)</f>
        <v>L A16 CC JARDIN PLAZA</v>
      </c>
      <c r="J508" s="1" t="s">
        <v>991</v>
      </c>
      <c r="K508" s="10" t="str">
        <f>VLOOKUP(C508,'mayo-26'!B:J,9,0)</f>
        <v>JARDIN PLAZA</v>
      </c>
      <c r="L508" s="1" t="str">
        <f>VLOOKUP(C508,'mayo-26'!B:K,10,0)</f>
        <v>JARDIN PLAZA</v>
      </c>
      <c r="M508" s="20" t="s">
        <v>52</v>
      </c>
      <c r="N508" s="20" t="s">
        <v>53</v>
      </c>
      <c r="O508" s="20" t="s">
        <v>861</v>
      </c>
      <c r="P508" s="20" t="s">
        <v>126</v>
      </c>
      <c r="Q508" s="20" t="s">
        <v>131</v>
      </c>
      <c r="R508" s="20" t="s">
        <v>363</v>
      </c>
      <c r="S508" s="20" t="s">
        <v>133</v>
      </c>
      <c r="T508" s="20" t="s">
        <v>59</v>
      </c>
      <c r="U508" s="20">
        <v>2026.0</v>
      </c>
      <c r="V508" s="20">
        <v>6.0</v>
      </c>
      <c r="W508" s="20">
        <v>1.081875803E9</v>
      </c>
      <c r="X508" s="20">
        <v>1.081894275E9</v>
      </c>
      <c r="Y508" s="22">
        <v>46182.0</v>
      </c>
      <c r="Z508" s="22">
        <v>46207.0</v>
      </c>
      <c r="AA508" s="20">
        <v>75366.0</v>
      </c>
      <c r="AB508" s="20">
        <v>75366.0</v>
      </c>
      <c r="AC508" s="20">
        <v>25122.0</v>
      </c>
      <c r="AD508" s="20">
        <v>0.0</v>
      </c>
      <c r="AE508" s="20">
        <v>0.0</v>
      </c>
      <c r="AF508" s="20">
        <v>0.0</v>
      </c>
      <c r="AG508" s="20">
        <v>0.0</v>
      </c>
      <c r="AH508" s="20">
        <v>0.0</v>
      </c>
      <c r="AI508" s="20">
        <v>0.0</v>
      </c>
      <c r="AJ508" s="20">
        <v>75366.0</v>
      </c>
      <c r="AK508" s="20">
        <v>75366.0</v>
      </c>
      <c r="AL508" s="20">
        <v>0.0</v>
      </c>
      <c r="AM508" s="20">
        <v>376.2</v>
      </c>
      <c r="AN508" s="20">
        <v>0.0</v>
      </c>
      <c r="AS508" s="11" t="str">
        <f>VLOOKUP(C508,'mayo-26'!B:AS,44,0)</f>
        <v>CVCO.1304@CRUZVERDE.COM.CO</v>
      </c>
      <c r="AT508" s="12" t="str">
        <f>VLOOKUP(C508,'mayo-26'!B:AT,45,0)</f>
        <v>VERIFICADOR</v>
      </c>
    </row>
    <row r="509" ht="14.25" customHeight="1">
      <c r="A509" s="20" t="s">
        <v>1096</v>
      </c>
      <c r="B509" s="20">
        <v>593985.0</v>
      </c>
      <c r="C509" s="20">
        <v>497911.0</v>
      </c>
      <c r="D509" s="21">
        <v>550655.0</v>
      </c>
      <c r="G509" s="20" t="s">
        <v>1097</v>
      </c>
      <c r="H509" s="20" t="s">
        <v>1098</v>
      </c>
      <c r="I509" s="1" t="str">
        <f>VLOOKUP(C509,'mayo-26'!B:H,7,0)</f>
        <v>LOCAL LC R32 CC JARDIN PLAZA</v>
      </c>
      <c r="J509" s="1">
        <v>0.0</v>
      </c>
      <c r="K509" s="10" t="str">
        <f>VLOOKUP(C509,'mayo-26'!B:J,9,0)</f>
        <v>JARDIN PLAZA</v>
      </c>
      <c r="L509" s="1" t="str">
        <f>VLOOKUP(C509,'mayo-26'!B:K,10,0)</f>
        <v>JARDIN PLAZA</v>
      </c>
      <c r="M509" s="20" t="s">
        <v>52</v>
      </c>
      <c r="N509" s="20" t="s">
        <v>89</v>
      </c>
      <c r="O509" s="20" t="s">
        <v>861</v>
      </c>
      <c r="P509" s="20" t="s">
        <v>126</v>
      </c>
      <c r="Q509" s="20" t="s">
        <v>131</v>
      </c>
      <c r="R509" s="20" t="s">
        <v>363</v>
      </c>
      <c r="S509" s="20" t="s">
        <v>143</v>
      </c>
      <c r="T509" s="20" t="s">
        <v>59</v>
      </c>
      <c r="U509" s="20">
        <v>2026.0</v>
      </c>
      <c r="V509" s="20">
        <v>6.0</v>
      </c>
      <c r="W509" s="20">
        <v>1.081875807E9</v>
      </c>
      <c r="X509" s="20">
        <v>1.081894279E9</v>
      </c>
      <c r="Y509" s="22">
        <v>46182.0</v>
      </c>
      <c r="Z509" s="22">
        <v>46207.0</v>
      </c>
      <c r="AA509" s="20">
        <v>128487.44</v>
      </c>
      <c r="AB509" s="20">
        <v>128487.44</v>
      </c>
      <c r="AC509" s="20">
        <v>42829.15</v>
      </c>
      <c r="AD509" s="20">
        <v>253.0</v>
      </c>
      <c r="AE509" s="20">
        <v>0.0</v>
      </c>
      <c r="AF509" s="20">
        <v>0.0</v>
      </c>
      <c r="AG509" s="20">
        <v>0.0</v>
      </c>
      <c r="AH509" s="20">
        <v>0.0</v>
      </c>
      <c r="AI509" s="20">
        <v>0.0</v>
      </c>
      <c r="AJ509" s="20">
        <v>128487.44</v>
      </c>
      <c r="AK509" s="20">
        <v>128487.44</v>
      </c>
      <c r="AL509" s="20">
        <v>0.0</v>
      </c>
      <c r="AM509" s="20">
        <v>376.2</v>
      </c>
      <c r="AN509" s="20">
        <v>0.0</v>
      </c>
      <c r="AS509" s="11" t="str">
        <f>VLOOKUP(C509,'mayo-26'!B:AS,44,0)</f>
        <v>RECEPCION.FACTURAELECTRONICA@BBI.COM.CO</v>
      </c>
      <c r="AT509" s="12" t="str">
        <f>VLOOKUP(C509,'mayo-26'!B:AT,45,0)</f>
        <v>VERIFICADOR</v>
      </c>
    </row>
    <row r="510" ht="14.25" customHeight="1">
      <c r="A510" s="20" t="s">
        <v>1099</v>
      </c>
      <c r="B510" s="20">
        <v>594066.0</v>
      </c>
      <c r="C510" s="20">
        <v>497919.0</v>
      </c>
      <c r="D510" s="21">
        <v>550704.0</v>
      </c>
      <c r="G510" s="20">
        <v>9.00611019E8</v>
      </c>
      <c r="H510" s="20" t="s">
        <v>1100</v>
      </c>
      <c r="I510" s="1" t="str">
        <f>VLOOKUP(C510,'mayo-26'!B:H,7,0)</f>
        <v>ANILLO VIAL ORIENTAL 13-70 CC JARDIN PLAZA</v>
      </c>
      <c r="J510" s="1" t="s">
        <v>991</v>
      </c>
      <c r="K510" s="10" t="str">
        <f>VLOOKUP(C510,'mayo-26'!B:J,9,0)</f>
        <v>JARDIN PLAZA</v>
      </c>
      <c r="L510" s="1" t="str">
        <f>VLOOKUP(C510,'mayo-26'!B:K,10,0)</f>
        <v>JARDIN PLAZA</v>
      </c>
      <c r="M510" s="20" t="s">
        <v>52</v>
      </c>
      <c r="N510" s="20" t="s">
        <v>89</v>
      </c>
      <c r="O510" s="20" t="s">
        <v>861</v>
      </c>
      <c r="P510" s="20" t="s">
        <v>126</v>
      </c>
      <c r="Q510" s="20" t="s">
        <v>131</v>
      </c>
      <c r="R510" s="20" t="s">
        <v>363</v>
      </c>
      <c r="S510" s="20" t="s">
        <v>133</v>
      </c>
      <c r="T510" s="20" t="s">
        <v>59</v>
      </c>
      <c r="U510" s="20">
        <v>2026.0</v>
      </c>
      <c r="V510" s="20">
        <v>6.0</v>
      </c>
      <c r="W510" s="20">
        <v>1.081875811E9</v>
      </c>
      <c r="X510" s="20">
        <v>1.081894283E9</v>
      </c>
      <c r="Y510" s="22">
        <v>46182.0</v>
      </c>
      <c r="Z510" s="22">
        <v>46207.0</v>
      </c>
      <c r="AA510" s="20">
        <v>75366.0</v>
      </c>
      <c r="AB510" s="20">
        <v>75366.0</v>
      </c>
      <c r="AC510" s="20">
        <v>25122.0</v>
      </c>
      <c r="AD510" s="20">
        <v>0.0</v>
      </c>
      <c r="AE510" s="20">
        <v>0.0</v>
      </c>
      <c r="AF510" s="20">
        <v>0.0</v>
      </c>
      <c r="AG510" s="20">
        <v>0.0</v>
      </c>
      <c r="AH510" s="20">
        <v>0.0</v>
      </c>
      <c r="AI510" s="20">
        <v>0.0</v>
      </c>
      <c r="AJ510" s="20">
        <v>75366.0</v>
      </c>
      <c r="AK510" s="20">
        <v>75366.0</v>
      </c>
      <c r="AL510" s="20">
        <v>0.0</v>
      </c>
      <c r="AM510" s="20">
        <v>376.2</v>
      </c>
      <c r="AN510" s="20">
        <v>0.0</v>
      </c>
      <c r="AS510" s="11" t="str">
        <f>VLOOKUP(C510,'mayo-26'!B:AS,44,0)</f>
        <v>JARDIN_PLAZA_CUCUTA@GRUPOBOTICARIO.COM;LEGAL@GRUPOBOTICARIO.COM.CO</v>
      </c>
      <c r="AT510" s="12" t="str">
        <f>VLOOKUP(C510,'mayo-26'!B:AT,45,0)</f>
        <v>VERIFICADOR</v>
      </c>
    </row>
    <row r="511" ht="14.25" customHeight="1">
      <c r="A511" s="20" t="s">
        <v>1101</v>
      </c>
      <c r="B511" s="20">
        <v>504.0</v>
      </c>
      <c r="C511" s="20">
        <v>503.0</v>
      </c>
      <c r="D511" s="21">
        <v>503.0</v>
      </c>
      <c r="E511" s="20">
        <v>9.0268039E7</v>
      </c>
      <c r="F511" s="20">
        <v>9.0268039E7</v>
      </c>
      <c r="G511" s="20" t="s">
        <v>1102</v>
      </c>
      <c r="H511" s="20" t="s">
        <v>1103</v>
      </c>
      <c r="I511" s="1" t="str">
        <f>VLOOKUP(C511,'mayo-26'!B:H,7,0)</f>
        <v>CALLE 8N 0 125 BARRIO LATINO</v>
      </c>
      <c r="J511" s="1" t="s">
        <v>443</v>
      </c>
      <c r="K511" s="10" t="str">
        <f>VLOOKUP(C511,'mayo-26'!B:J,9,0)</f>
        <v>NO</v>
      </c>
      <c r="L511" s="1" t="str">
        <f>VLOOKUP(C511,'mayo-26'!B:K,10,0)</f>
        <v>NO</v>
      </c>
      <c r="M511" s="20" t="s">
        <v>52</v>
      </c>
      <c r="N511" s="20" t="s">
        <v>89</v>
      </c>
      <c r="O511" s="20" t="s">
        <v>861</v>
      </c>
      <c r="P511" s="20" t="s">
        <v>126</v>
      </c>
      <c r="Q511" s="20" t="s">
        <v>131</v>
      </c>
      <c r="R511" s="20" t="s">
        <v>132</v>
      </c>
      <c r="S511" s="20" t="s">
        <v>133</v>
      </c>
      <c r="T511" s="20" t="s">
        <v>59</v>
      </c>
      <c r="U511" s="20">
        <v>2026.0</v>
      </c>
      <c r="V511" s="20">
        <v>6.0</v>
      </c>
      <c r="W511" s="20">
        <v>1.081875563E9</v>
      </c>
      <c r="X511" s="20">
        <v>1.081894035E9</v>
      </c>
      <c r="Y511" s="22">
        <v>46182.0</v>
      </c>
      <c r="Z511" s="22">
        <v>46207.0</v>
      </c>
      <c r="AA511" s="20">
        <v>113128.5</v>
      </c>
      <c r="AB511" s="20">
        <v>113128.5</v>
      </c>
      <c r="AC511" s="20">
        <v>37709.5</v>
      </c>
      <c r="AD511" s="20">
        <v>0.0</v>
      </c>
      <c r="AE511" s="20">
        <v>0.0</v>
      </c>
      <c r="AF511" s="20">
        <v>0.0</v>
      </c>
      <c r="AG511" s="20">
        <v>0.0</v>
      </c>
      <c r="AH511" s="20">
        <v>0.0</v>
      </c>
      <c r="AI511" s="20">
        <v>0.0</v>
      </c>
      <c r="AJ511" s="20">
        <v>113128.5</v>
      </c>
      <c r="AK511" s="20">
        <v>113128.5</v>
      </c>
      <c r="AL511" s="20">
        <v>0.0</v>
      </c>
      <c r="AM511" s="20">
        <v>376.2</v>
      </c>
      <c r="AN511" s="20">
        <v>0.0</v>
      </c>
      <c r="AS511" s="11" t="str">
        <f>VLOOKUP(C511,'mayo-26'!B:AS,44,0)</f>
        <v>JMG.MAC@HOTMAIL.COM</v>
      </c>
      <c r="AT511" s="12" t="str">
        <f>VLOOKUP(C511,'mayo-26'!B:AT,45,0)</f>
        <v>CORREO ELECTRONICO CERTIFICADO 472</v>
      </c>
    </row>
    <row r="512" ht="14.25" customHeight="1">
      <c r="A512" s="20" t="s">
        <v>1104</v>
      </c>
      <c r="B512" s="20">
        <v>52440.0</v>
      </c>
      <c r="C512" s="20">
        <v>52439.0</v>
      </c>
      <c r="D512" s="21">
        <v>52439.0</v>
      </c>
      <c r="E512" s="20">
        <v>103170.0</v>
      </c>
      <c r="F512" s="20">
        <v>103170.0</v>
      </c>
      <c r="G512" s="20" t="s">
        <v>1105</v>
      </c>
      <c r="H512" s="20" t="s">
        <v>1106</v>
      </c>
      <c r="I512" s="1" t="str">
        <f>VLOOKUP(C512,'mayo-26'!B:H,7,0)</f>
        <v>AVE 5 12-80</v>
      </c>
      <c r="J512" s="1" t="s">
        <v>640</v>
      </c>
      <c r="K512" s="10" t="str">
        <f>VLOOKUP(C512,'mayo-26'!B:J,9,0)</f>
        <v>NO</v>
      </c>
      <c r="L512" s="1" t="str">
        <f>VLOOKUP(C512,'mayo-26'!B:K,10,0)</f>
        <v>D1</v>
      </c>
      <c r="M512" s="20" t="s">
        <v>52</v>
      </c>
      <c r="N512" s="20" t="s">
        <v>89</v>
      </c>
      <c r="O512" s="20" t="s">
        <v>861</v>
      </c>
      <c r="P512" s="20" t="s">
        <v>126</v>
      </c>
      <c r="Q512" s="20" t="s">
        <v>131</v>
      </c>
      <c r="R512" s="20" t="s">
        <v>132</v>
      </c>
      <c r="S512" s="20" t="s">
        <v>133</v>
      </c>
      <c r="T512" s="20" t="s">
        <v>59</v>
      </c>
      <c r="U512" s="20">
        <v>2026.0</v>
      </c>
      <c r="V512" s="20">
        <v>6.0</v>
      </c>
      <c r="W512" s="20">
        <v>1.081875671E9</v>
      </c>
      <c r="X512" s="20">
        <v>1.081894143E9</v>
      </c>
      <c r="Y512" s="22">
        <v>46182.0</v>
      </c>
      <c r="Z512" s="22">
        <v>46207.0</v>
      </c>
      <c r="AA512" s="20">
        <v>113128.5</v>
      </c>
      <c r="AB512" s="20">
        <v>113128.5</v>
      </c>
      <c r="AC512" s="20">
        <v>37709.5</v>
      </c>
      <c r="AD512" s="20">
        <v>0.0</v>
      </c>
      <c r="AE512" s="20">
        <v>0.0</v>
      </c>
      <c r="AF512" s="20">
        <v>0.0</v>
      </c>
      <c r="AG512" s="20">
        <v>0.0</v>
      </c>
      <c r="AH512" s="20">
        <v>0.0</v>
      </c>
      <c r="AI512" s="20">
        <v>0.0</v>
      </c>
      <c r="AJ512" s="20">
        <v>113128.5</v>
      </c>
      <c r="AK512" s="20">
        <v>113129.0</v>
      </c>
      <c r="AL512" s="20">
        <v>1.0</v>
      </c>
      <c r="AM512" s="20">
        <v>376.2</v>
      </c>
      <c r="AN512" s="20">
        <v>0.0</v>
      </c>
      <c r="AS512" s="11" t="str">
        <f>VLOOKUP(C512,'mayo-26'!B:AS,44,0)</f>
        <v>ALBA.CELIS@D1.COM.CO;CARMEN.DAVILA@D1.COM.CO</v>
      </c>
      <c r="AT512" s="12" t="str">
        <f>VLOOKUP(C512,'mayo-26'!B:AT,45,0)</f>
        <v>CORREO ELECTRONICO CERTIFICADO 472</v>
      </c>
    </row>
    <row r="513" ht="14.25" customHeight="1">
      <c r="A513" s="20" t="s">
        <v>1107</v>
      </c>
      <c r="B513" s="20">
        <v>314877.0</v>
      </c>
      <c r="C513" s="20">
        <v>52447.0</v>
      </c>
      <c r="D513" s="21">
        <v>52447.0</v>
      </c>
      <c r="E513" s="20">
        <v>103149.0</v>
      </c>
      <c r="F513" s="20">
        <v>103149.0</v>
      </c>
      <c r="G513" s="20">
        <v>8.60503159E8</v>
      </c>
      <c r="H513" s="20" t="s">
        <v>371</v>
      </c>
      <c r="I513" s="1" t="str">
        <f>VLOOKUP(C513,'mayo-26'!B:H,7,0)</f>
        <v>AVE LIBERTADORES CANAL BOGOTA LOC 23 1079</v>
      </c>
      <c r="J513" s="1" t="s">
        <v>640</v>
      </c>
      <c r="K513" s="10" t="str">
        <f>VLOOKUP(C513,'mayo-26'!B:J,9,0)</f>
        <v>NO</v>
      </c>
      <c r="L513" s="1" t="str">
        <f>VLOOKUP(C513,'mayo-26'!B:K,10,0)</f>
        <v>PASH</v>
      </c>
      <c r="M513" s="20" t="s">
        <v>52</v>
      </c>
      <c r="N513" s="20" t="s">
        <v>89</v>
      </c>
      <c r="O513" s="20" t="s">
        <v>861</v>
      </c>
      <c r="P513" s="20" t="s">
        <v>126</v>
      </c>
      <c r="Q513" s="20" t="s">
        <v>131</v>
      </c>
      <c r="R513" s="20" t="s">
        <v>132</v>
      </c>
      <c r="S513" s="20" t="s">
        <v>133</v>
      </c>
      <c r="T513" s="20" t="s">
        <v>59</v>
      </c>
      <c r="U513" s="20">
        <v>2026.0</v>
      </c>
      <c r="V513" s="20">
        <v>6.0</v>
      </c>
      <c r="W513" s="20">
        <v>1.081875675E9</v>
      </c>
      <c r="X513" s="20">
        <v>1.081894147E9</v>
      </c>
      <c r="Y513" s="22">
        <v>46182.0</v>
      </c>
      <c r="Z513" s="22">
        <v>46207.0</v>
      </c>
      <c r="AA513" s="20">
        <v>113128.5</v>
      </c>
      <c r="AB513" s="20">
        <v>113128.5</v>
      </c>
      <c r="AC513" s="20">
        <v>37709.5</v>
      </c>
      <c r="AD513" s="20">
        <v>0.0</v>
      </c>
      <c r="AE513" s="20">
        <v>0.0</v>
      </c>
      <c r="AF513" s="20">
        <v>0.0</v>
      </c>
      <c r="AG513" s="20">
        <v>0.0</v>
      </c>
      <c r="AH513" s="20">
        <v>0.0</v>
      </c>
      <c r="AI513" s="20">
        <v>0.0</v>
      </c>
      <c r="AJ513" s="20">
        <v>113128.5</v>
      </c>
      <c r="AK513" s="20">
        <v>113128.5</v>
      </c>
      <c r="AL513" s="20">
        <v>0.0</v>
      </c>
      <c r="AM513" s="20">
        <v>376.2</v>
      </c>
      <c r="AN513" s="20">
        <v>0.0</v>
      </c>
      <c r="AS513" s="11" t="str">
        <f>VLOOKUP(C513,'mayo-26'!B:AS,44,0)</f>
        <v>SERVICIOSPUBLICOS@PASH.COM.CO; abayona@tekstelas.com; kguavita@tekstelas.com</v>
      </c>
      <c r="AT513" s="12" t="str">
        <f>VLOOKUP(C513,'mayo-26'!B:AT,45,0)</f>
        <v>CORREO ELECTRONICO CERTIFICADO 472</v>
      </c>
    </row>
    <row r="514" ht="14.25" customHeight="1">
      <c r="A514" s="20" t="s">
        <v>1108</v>
      </c>
      <c r="B514" s="20">
        <v>355.0</v>
      </c>
      <c r="C514" s="20">
        <v>571.0</v>
      </c>
      <c r="D514" s="21">
        <v>571.0</v>
      </c>
      <c r="E514" s="20">
        <v>9.0270118E7</v>
      </c>
      <c r="F514" s="20">
        <v>9.0270118E7</v>
      </c>
      <c r="G514" s="20" t="s">
        <v>964</v>
      </c>
      <c r="H514" s="20" t="s">
        <v>965</v>
      </c>
      <c r="I514" s="1" t="str">
        <f>VLOOKUP(C514,'mayo-26'!B:H,7,0)</f>
        <v>AV 5 CL 13 Y 14 BRR CENTRO</v>
      </c>
      <c r="J514" s="1" t="s">
        <v>919</v>
      </c>
      <c r="K514" s="10" t="str">
        <f>VLOOKUP(C514,'mayo-26'!B:J,9,0)</f>
        <v>NO</v>
      </c>
      <c r="L514" s="1" t="str">
        <f>VLOOKUP(C514,'mayo-26'!B:K,10,0)</f>
        <v>GOBERNACION</v>
      </c>
      <c r="M514" s="20" t="s">
        <v>52</v>
      </c>
      <c r="N514" s="20" t="s">
        <v>89</v>
      </c>
      <c r="O514" s="20" t="s">
        <v>861</v>
      </c>
      <c r="P514" s="20" t="s">
        <v>126</v>
      </c>
      <c r="Q514" s="20" t="s">
        <v>131</v>
      </c>
      <c r="R514" s="20" t="s">
        <v>151</v>
      </c>
      <c r="S514" s="20" t="s">
        <v>133</v>
      </c>
      <c r="T514" s="20" t="s">
        <v>59</v>
      </c>
      <c r="U514" s="20">
        <v>2026.0</v>
      </c>
      <c r="V514" s="20">
        <v>6.0</v>
      </c>
      <c r="W514" s="20">
        <v>1.081875567E9</v>
      </c>
      <c r="X514" s="20">
        <v>1.081894039E9</v>
      </c>
      <c r="Y514" s="22">
        <v>46182.0</v>
      </c>
      <c r="Z514" s="22">
        <v>46207.0</v>
      </c>
      <c r="AA514" s="20">
        <v>75419.0</v>
      </c>
      <c r="AB514" s="20">
        <v>75419.0</v>
      </c>
      <c r="AC514" s="20">
        <v>0.0</v>
      </c>
      <c r="AD514" s="20">
        <v>0.0</v>
      </c>
      <c r="AE514" s="20">
        <v>0.0</v>
      </c>
      <c r="AF514" s="20">
        <v>0.0</v>
      </c>
      <c r="AG514" s="20">
        <v>0.0</v>
      </c>
      <c r="AH514" s="20">
        <v>0.0</v>
      </c>
      <c r="AI514" s="20">
        <v>0.0</v>
      </c>
      <c r="AJ514" s="20">
        <v>75419.0</v>
      </c>
      <c r="AK514" s="20">
        <v>75419.0</v>
      </c>
      <c r="AL514" s="20">
        <v>0.0</v>
      </c>
      <c r="AM514" s="20">
        <v>250.8</v>
      </c>
      <c r="AN514" s="20">
        <v>0.0</v>
      </c>
      <c r="AS514" s="11" t="str">
        <f>VLOOKUP(C514,'mayo-26'!B:AS,44,0)</f>
        <v>SERVICIOSADMINISTRATIVOS@NORTEDESANTANDER.GOV.CO / SECHACIENDA@NORTEDESANTANDER.GOV.CO</v>
      </c>
      <c r="AT514" s="12" t="str">
        <f>VLOOKUP(C514,'mayo-26'!B:AT,45,0)</f>
        <v>CORREO ELECTRONICO CERTIFICADO 472</v>
      </c>
    </row>
    <row r="515" ht="14.25" customHeight="1">
      <c r="A515" s="20" t="s">
        <v>1109</v>
      </c>
      <c r="B515" s="20">
        <v>147.0</v>
      </c>
      <c r="C515" s="20">
        <v>575.0</v>
      </c>
      <c r="D515" s="21">
        <v>575.0</v>
      </c>
      <c r="E515" s="20">
        <v>9.0274083E7</v>
      </c>
      <c r="F515" s="20">
        <v>9.0274083E7</v>
      </c>
      <c r="G515" s="20" t="s">
        <v>179</v>
      </c>
      <c r="H515" s="20" t="s">
        <v>180</v>
      </c>
      <c r="I515" s="1" t="str">
        <f>VLOOKUP(C515,'mayo-26'!B:H,7,0)</f>
        <v>AVE 3 CLL 24 GARITA # 1</v>
      </c>
      <c r="J515" s="1" t="s">
        <v>1110</v>
      </c>
      <c r="K515" s="10" t="str">
        <f>VLOOKUP(C515,'mayo-26'!B:J,9,0)</f>
        <v>NO</v>
      </c>
      <c r="L515" s="1" t="str">
        <f>VLOOKUP(C515,'mayo-26'!B:K,10,0)</f>
        <v>POLICIA</v>
      </c>
      <c r="M515" s="20" t="s">
        <v>52</v>
      </c>
      <c r="N515" s="20" t="s">
        <v>89</v>
      </c>
      <c r="O515" s="20" t="s">
        <v>861</v>
      </c>
      <c r="P515" s="20" t="s">
        <v>126</v>
      </c>
      <c r="Q515" s="20" t="s">
        <v>131</v>
      </c>
      <c r="R515" s="20" t="s">
        <v>1111</v>
      </c>
      <c r="S515" s="20" t="s">
        <v>133</v>
      </c>
      <c r="T515" s="20" t="s">
        <v>59</v>
      </c>
      <c r="U515" s="20">
        <v>2026.0</v>
      </c>
      <c r="V515" s="20">
        <v>6.0</v>
      </c>
      <c r="W515" s="20">
        <v>1.081875571E9</v>
      </c>
      <c r="X515" s="20">
        <v>1.081894043E9</v>
      </c>
      <c r="Y515" s="22">
        <v>46182.0</v>
      </c>
      <c r="Z515" s="22">
        <v>46207.0</v>
      </c>
      <c r="AA515" s="20">
        <v>50244.0</v>
      </c>
      <c r="AB515" s="20">
        <v>50244.0</v>
      </c>
      <c r="AC515" s="20">
        <v>0.0</v>
      </c>
      <c r="AD515" s="20">
        <v>0.0</v>
      </c>
      <c r="AE515" s="20">
        <v>0.0</v>
      </c>
      <c r="AF515" s="20">
        <v>0.0</v>
      </c>
      <c r="AG515" s="20">
        <v>0.0</v>
      </c>
      <c r="AH515" s="20">
        <v>0.0</v>
      </c>
      <c r="AI515" s="20">
        <v>0.0</v>
      </c>
      <c r="AJ515" s="20">
        <v>50244.0</v>
      </c>
      <c r="AK515" s="20">
        <v>101005.0</v>
      </c>
      <c r="AL515" s="20">
        <v>1.0</v>
      </c>
      <c r="AM515" s="20">
        <v>250.8</v>
      </c>
      <c r="AN515" s="20">
        <v>0.0</v>
      </c>
      <c r="AS515" s="11" t="str">
        <f>VLOOKUP(C515,'mayo-26'!B:AS,44,0)</f>
        <v>MECUC.GUBIR@POLICIA.GOV.CO</v>
      </c>
      <c r="AT515" s="12" t="str">
        <f>VLOOKUP(C515,'mayo-26'!B:AT,45,0)</f>
        <v>CORREO ELECTRONICO CERTIFICADO 472</v>
      </c>
    </row>
    <row r="516" ht="14.25" customHeight="1">
      <c r="A516" s="20" t="s">
        <v>1112</v>
      </c>
      <c r="B516" s="20">
        <v>147.0</v>
      </c>
      <c r="C516" s="20">
        <v>579.0</v>
      </c>
      <c r="D516" s="21">
        <v>579.0</v>
      </c>
      <c r="E516" s="20">
        <v>9.0274087E7</v>
      </c>
      <c r="F516" s="20">
        <v>9.0274087E7</v>
      </c>
      <c r="G516" s="20" t="s">
        <v>179</v>
      </c>
      <c r="H516" s="20" t="s">
        <v>180</v>
      </c>
      <c r="I516" s="1" t="str">
        <f>VLOOKUP(C516,'mayo-26'!B:H,7,0)</f>
        <v>AVE 3 CLL 24 GARITA # 1</v>
      </c>
      <c r="J516" s="1" t="s">
        <v>982</v>
      </c>
      <c r="K516" s="10" t="str">
        <f>VLOOKUP(C516,'mayo-26'!B:J,9,0)</f>
        <v>NO</v>
      </c>
      <c r="L516" s="1" t="str">
        <f>VLOOKUP(C516,'mayo-26'!B:K,10,0)</f>
        <v>POLICIA</v>
      </c>
      <c r="M516" s="20" t="s">
        <v>52</v>
      </c>
      <c r="N516" s="20" t="s">
        <v>89</v>
      </c>
      <c r="O516" s="20" t="s">
        <v>861</v>
      </c>
      <c r="P516" s="20" t="s">
        <v>126</v>
      </c>
      <c r="Q516" s="20" t="s">
        <v>131</v>
      </c>
      <c r="R516" s="20" t="s">
        <v>1111</v>
      </c>
      <c r="S516" s="20" t="s">
        <v>133</v>
      </c>
      <c r="T516" s="20" t="s">
        <v>59</v>
      </c>
      <c r="U516" s="20">
        <v>2026.0</v>
      </c>
      <c r="V516" s="20">
        <v>6.0</v>
      </c>
      <c r="W516" s="20">
        <v>1.081875575E9</v>
      </c>
      <c r="X516" s="20">
        <v>1.081894047E9</v>
      </c>
      <c r="Y516" s="22">
        <v>46182.0</v>
      </c>
      <c r="Z516" s="22">
        <v>46207.0</v>
      </c>
      <c r="AA516" s="20">
        <v>50244.0</v>
      </c>
      <c r="AB516" s="20">
        <v>50244.0</v>
      </c>
      <c r="AC516" s="20">
        <v>0.0</v>
      </c>
      <c r="AD516" s="20">
        <v>0.0</v>
      </c>
      <c r="AE516" s="20">
        <v>0.0</v>
      </c>
      <c r="AF516" s="20">
        <v>0.0</v>
      </c>
      <c r="AG516" s="20">
        <v>0.0</v>
      </c>
      <c r="AH516" s="20">
        <v>0.0</v>
      </c>
      <c r="AI516" s="20">
        <v>0.0</v>
      </c>
      <c r="AJ516" s="20">
        <v>50244.0</v>
      </c>
      <c r="AK516" s="20">
        <v>101005.0</v>
      </c>
      <c r="AL516" s="20">
        <v>1.0</v>
      </c>
      <c r="AM516" s="20">
        <v>250.8</v>
      </c>
      <c r="AN516" s="20">
        <v>0.0</v>
      </c>
      <c r="AS516" s="11" t="str">
        <f>VLOOKUP(C516,'mayo-26'!B:AS,44,0)</f>
        <v>MECUC.GUBIR@POLICIA.GOV.CO</v>
      </c>
      <c r="AT516" s="12" t="str">
        <f>VLOOKUP(C516,'mayo-26'!B:AT,45,0)</f>
        <v>CORREO ELECTRONICO CERTIFICADO 472</v>
      </c>
    </row>
    <row r="517" ht="14.25" customHeight="1">
      <c r="A517" s="20" t="s">
        <v>1113</v>
      </c>
      <c r="B517" s="20">
        <v>699.0</v>
      </c>
      <c r="C517" s="20">
        <v>60071.0</v>
      </c>
      <c r="D517" s="21">
        <v>60071.0</v>
      </c>
      <c r="E517" s="20">
        <v>15766.0</v>
      </c>
      <c r="F517" s="20">
        <v>15766.0</v>
      </c>
      <c r="G517" s="20">
        <v>9.00480569E8</v>
      </c>
      <c r="H517" s="20" t="s">
        <v>141</v>
      </c>
      <c r="I517" s="1" t="str">
        <f>VLOOKUP(C517,'mayo-26'!B:H,7,0)</f>
        <v>CLL 12 4-52 CENTRO</v>
      </c>
      <c r="J517" s="1" t="s">
        <v>1114</v>
      </c>
      <c r="K517" s="10" t="str">
        <f>VLOOKUP(C517,'mayo-26'!B:J,9,0)</f>
        <v>NO</v>
      </c>
      <c r="L517" s="1" t="str">
        <f>VLOOKUP(C517,'mayo-26'!B:K,10,0)</f>
        <v>ARA CUCUTA</v>
      </c>
      <c r="M517" s="20" t="s">
        <v>52</v>
      </c>
      <c r="N517" s="20" t="s">
        <v>53</v>
      </c>
      <c r="O517" s="20" t="s">
        <v>861</v>
      </c>
      <c r="P517" s="20" t="s">
        <v>126</v>
      </c>
      <c r="Q517" s="20" t="s">
        <v>56</v>
      </c>
      <c r="R517" s="20" t="s">
        <v>90</v>
      </c>
      <c r="S517" s="20" t="s">
        <v>143</v>
      </c>
      <c r="T517" s="20" t="s">
        <v>59</v>
      </c>
      <c r="U517" s="20">
        <v>2026.0</v>
      </c>
      <c r="V517" s="20">
        <v>6.0</v>
      </c>
      <c r="W517" s="20">
        <v>1.081875677E9</v>
      </c>
      <c r="X517" s="20">
        <v>1.081894149E9</v>
      </c>
      <c r="Y517" s="22">
        <v>46182.0</v>
      </c>
      <c r="Z517" s="22">
        <v>46207.0</v>
      </c>
      <c r="AA517" s="20">
        <v>254721.79</v>
      </c>
      <c r="AB517" s="20">
        <v>254721.79</v>
      </c>
      <c r="AC517" s="20">
        <v>82394.95</v>
      </c>
      <c r="AD517" s="20">
        <v>670.0</v>
      </c>
      <c r="AE517" s="20">
        <v>7536.96</v>
      </c>
      <c r="AF517" s="20">
        <v>0.0</v>
      </c>
      <c r="AG517" s="20">
        <v>0.0</v>
      </c>
      <c r="AH517" s="20">
        <v>0.0</v>
      </c>
      <c r="AI517" s="20">
        <v>0.0</v>
      </c>
      <c r="AJ517" s="20">
        <v>254721.79</v>
      </c>
      <c r="AK517" s="20">
        <v>992411.1</v>
      </c>
      <c r="AL517" s="20">
        <v>3.0</v>
      </c>
      <c r="AM517" s="20">
        <v>376.2</v>
      </c>
      <c r="AN517" s="20">
        <v>0.0</v>
      </c>
      <c r="AS517" s="11" t="str">
        <f>VLOOKUP(C517,'mayo-26'!B:AS,44,0)</f>
        <v>COORDINADOR.OPERACIONES.R11@JERONIMO-MARTINS.COM</v>
      </c>
      <c r="AT517" s="12" t="str">
        <f>VLOOKUP(C517,'mayo-26'!B:AT,45,0)</f>
        <v>CORREO ELECTRONICO CERTIFICADO 472</v>
      </c>
    </row>
    <row r="518" ht="14.25" customHeight="1">
      <c r="A518" s="20" t="s">
        <v>1115</v>
      </c>
      <c r="B518" s="20">
        <v>60076.0</v>
      </c>
      <c r="C518" s="20">
        <v>60075.0</v>
      </c>
      <c r="D518" s="21">
        <v>60075.0</v>
      </c>
      <c r="E518" s="20">
        <v>15762.0</v>
      </c>
      <c r="F518" s="20">
        <v>15762.0</v>
      </c>
      <c r="G518" s="20">
        <v>15762.0</v>
      </c>
      <c r="H518" s="20" t="s">
        <v>1116</v>
      </c>
      <c r="I518" s="1" t="str">
        <f>VLOOKUP(C518,'mayo-26'!B:H,7,0)</f>
        <v>CLL 15 1E-09</v>
      </c>
      <c r="J518" s="1" t="s">
        <v>942</v>
      </c>
      <c r="K518" s="10" t="str">
        <f>VLOOKUP(C518,'mayo-26'!B:J,9,0)</f>
        <v>NO</v>
      </c>
      <c r="L518" s="1" t="str">
        <f>VLOOKUP(C518,'mayo-26'!B:K,10,0)</f>
        <v>NO</v>
      </c>
      <c r="M518" s="20" t="s">
        <v>52</v>
      </c>
      <c r="N518" s="20" t="s">
        <v>89</v>
      </c>
      <c r="O518" s="20" t="s">
        <v>861</v>
      </c>
      <c r="P518" s="20" t="s">
        <v>126</v>
      </c>
      <c r="Q518" s="20" t="s">
        <v>218</v>
      </c>
      <c r="R518" s="20" t="s">
        <v>943</v>
      </c>
      <c r="S518" s="20" t="s">
        <v>133</v>
      </c>
      <c r="T518" s="20" t="s">
        <v>59</v>
      </c>
      <c r="U518" s="20">
        <v>2026.0</v>
      </c>
      <c r="V518" s="20">
        <v>6.0</v>
      </c>
      <c r="W518" s="20">
        <v>1.081875681E9</v>
      </c>
      <c r="X518" s="20">
        <v>1.081894153E9</v>
      </c>
      <c r="Y518" s="22">
        <v>46182.0</v>
      </c>
      <c r="Z518" s="22">
        <v>46207.0</v>
      </c>
      <c r="AA518" s="20">
        <v>85310.6</v>
      </c>
      <c r="AB518" s="20">
        <v>85310.6</v>
      </c>
      <c r="AC518" s="20">
        <v>28269.0</v>
      </c>
      <c r="AD518" s="20">
        <v>0.0</v>
      </c>
      <c r="AE518" s="20">
        <v>503.6</v>
      </c>
      <c r="AF518" s="20">
        <v>0.0</v>
      </c>
      <c r="AG518" s="20">
        <v>0.0</v>
      </c>
      <c r="AH518" s="20">
        <v>0.0</v>
      </c>
      <c r="AI518" s="20">
        <v>0.0</v>
      </c>
      <c r="AJ518" s="20">
        <v>85310.6</v>
      </c>
      <c r="AK518" s="20">
        <v>170894.61</v>
      </c>
      <c r="AL518" s="20">
        <v>1.0</v>
      </c>
      <c r="AM518" s="20">
        <v>376.2</v>
      </c>
      <c r="AN518" s="20">
        <v>0.0</v>
      </c>
      <c r="AS518" s="11" t="str">
        <f>VLOOKUP(C518,'mayo-26'!B:AS,44,0)</f>
        <v>LINA.ESPINELM@CLARO.COM.CO</v>
      </c>
      <c r="AT518" s="12" t="str">
        <f>VLOOKUP(C518,'mayo-26'!B:AT,45,0)</f>
        <v>CORREO ELECTRONICO CERTIFICADO 472</v>
      </c>
    </row>
    <row r="519" ht="14.25" customHeight="1">
      <c r="A519" s="20" t="s">
        <v>1117</v>
      </c>
      <c r="B519" s="20">
        <v>616.0</v>
      </c>
      <c r="C519" s="20">
        <v>615.0</v>
      </c>
      <c r="D519" s="21">
        <v>615.0</v>
      </c>
      <c r="E519" s="20">
        <v>9.0284641E7</v>
      </c>
      <c r="F519" s="20">
        <v>9.0284641E7</v>
      </c>
      <c r="G519" s="20" t="s">
        <v>1118</v>
      </c>
      <c r="H519" s="20" t="s">
        <v>1119</v>
      </c>
      <c r="I519" s="1" t="str">
        <f>VLOOKUP(C519,'mayo-26'!B:H,7,0)</f>
        <v>CL 97 23 60 ED PROKSOL P 8 - 0284641</v>
      </c>
      <c r="J519" s="1" t="s">
        <v>76</v>
      </c>
      <c r="K519" s="10" t="str">
        <f>VLOOKUP(C519,'mayo-26'!B:J,9,0)</f>
        <v>NO</v>
      </c>
      <c r="L519" s="1" t="str">
        <f>VLOOKUP(C519,'mayo-26'!B:K,10,0)</f>
        <v>NO</v>
      </c>
      <c r="M519" s="20" t="s">
        <v>52</v>
      </c>
      <c r="N519" s="20" t="s">
        <v>89</v>
      </c>
      <c r="O519" s="20" t="s">
        <v>861</v>
      </c>
      <c r="P519" s="20" t="s">
        <v>126</v>
      </c>
      <c r="Q519" s="20" t="s">
        <v>56</v>
      </c>
      <c r="R519" s="20" t="s">
        <v>90</v>
      </c>
      <c r="S519" s="20" t="s">
        <v>143</v>
      </c>
      <c r="T519" s="20" t="s">
        <v>59</v>
      </c>
      <c r="U519" s="20">
        <v>2026.0</v>
      </c>
      <c r="V519" s="20">
        <v>6.0</v>
      </c>
      <c r="W519" s="20">
        <v>1.081875579E9</v>
      </c>
      <c r="X519" s="20">
        <v>1.081894051E9</v>
      </c>
      <c r="Y519" s="22">
        <v>46182.0</v>
      </c>
      <c r="Z519" s="22">
        <v>46207.0</v>
      </c>
      <c r="AA519" s="20">
        <v>441287.27</v>
      </c>
      <c r="AB519" s="20">
        <v>441287.27</v>
      </c>
      <c r="AC519" s="20">
        <v>145681.24</v>
      </c>
      <c r="AD519" s="20">
        <v>1337.0</v>
      </c>
      <c r="AE519" s="20">
        <v>4243.56</v>
      </c>
      <c r="AF519" s="20">
        <v>0.0</v>
      </c>
      <c r="AG519" s="20">
        <v>0.0</v>
      </c>
      <c r="AH519" s="20">
        <v>0.0</v>
      </c>
      <c r="AI519" s="20">
        <v>0.0</v>
      </c>
      <c r="AJ519" s="20">
        <v>441287.27</v>
      </c>
      <c r="AK519" s="20">
        <v>883127.78</v>
      </c>
      <c r="AL519" s="20">
        <v>1.0</v>
      </c>
      <c r="AM519" s="20">
        <v>376.2</v>
      </c>
      <c r="AN519" s="20">
        <v>0.0</v>
      </c>
      <c r="AS519" s="11" t="str">
        <f>VLOOKUP(C519,'mayo-26'!B:AS,44,0)</f>
        <v>FACTURACIONUVRP@SACYR.COM</v>
      </c>
      <c r="AT519" s="12" t="str">
        <f>VLOOKUP(C519,'mayo-26'!B:AT,45,0)</f>
        <v>CORREO ELECTRONICO CERTIFICADO 472</v>
      </c>
    </row>
    <row r="520" ht="14.25" customHeight="1">
      <c r="A520" s="20" t="s">
        <v>1120</v>
      </c>
      <c r="B520" s="20">
        <v>632.0</v>
      </c>
      <c r="C520" s="20">
        <v>631.0</v>
      </c>
      <c r="D520" s="21">
        <v>631.0</v>
      </c>
      <c r="E520" s="20">
        <v>9.0290496E7</v>
      </c>
      <c r="F520" s="20">
        <v>9.0290496E7</v>
      </c>
      <c r="G520" s="20">
        <v>8.90107487E8</v>
      </c>
      <c r="H520" s="20" t="s">
        <v>1121</v>
      </c>
      <c r="I520" s="1" t="str">
        <f>VLOOKUP(C520,'mayo-26'!B:H,7,0)</f>
        <v>AV 0 1AN-37</v>
      </c>
      <c r="J520" s="1" t="s">
        <v>923</v>
      </c>
      <c r="K520" s="10" t="str">
        <f>VLOOKUP(C520,'mayo-26'!B:J,9,0)</f>
        <v>NO</v>
      </c>
      <c r="L520" s="1" t="str">
        <f>VLOOKUP(C520,'mayo-26'!B:K,10,0)</f>
        <v>OLIMPICA</v>
      </c>
      <c r="M520" s="20" t="s">
        <v>52</v>
      </c>
      <c r="N520" s="20" t="s">
        <v>53</v>
      </c>
      <c r="O520" s="20" t="s">
        <v>861</v>
      </c>
      <c r="P520" s="20" t="s">
        <v>126</v>
      </c>
      <c r="Q520" s="20" t="s">
        <v>56</v>
      </c>
      <c r="R520" s="20" t="s">
        <v>90</v>
      </c>
      <c r="S520" s="20" t="s">
        <v>143</v>
      </c>
      <c r="T520" s="20" t="s">
        <v>59</v>
      </c>
      <c r="U520" s="20">
        <v>2026.0</v>
      </c>
      <c r="V520" s="20">
        <v>6.0</v>
      </c>
      <c r="W520" s="20">
        <v>1.081875584E9</v>
      </c>
      <c r="X520" s="20">
        <v>1.081894056E9</v>
      </c>
      <c r="Y520" s="22">
        <v>46182.0</v>
      </c>
      <c r="Z520" s="22">
        <v>46207.0</v>
      </c>
      <c r="AA520" s="20">
        <v>647112.48</v>
      </c>
      <c r="AB520" s="20">
        <v>647112.48</v>
      </c>
      <c r="AC520" s="20">
        <v>215704.17</v>
      </c>
      <c r="AD520" s="20">
        <v>2075.0</v>
      </c>
      <c r="AE520" s="20">
        <v>0.0</v>
      </c>
      <c r="AF520" s="20">
        <v>0.0</v>
      </c>
      <c r="AG520" s="20">
        <v>0.0</v>
      </c>
      <c r="AH520" s="20">
        <v>0.0</v>
      </c>
      <c r="AI520" s="20">
        <v>0.0</v>
      </c>
      <c r="AJ520" s="20">
        <v>647112.48</v>
      </c>
      <c r="AK520" s="20">
        <v>647112.48</v>
      </c>
      <c r="AL520" s="20">
        <v>0.0</v>
      </c>
      <c r="AM520" s="20">
        <v>376.2</v>
      </c>
      <c r="AN520" s="20">
        <v>0.0</v>
      </c>
      <c r="AS520" s="11" t="str">
        <f>VLOOKUP(C520,'mayo-26'!B:AS,44,0)</f>
        <v>MSANCHEZ@OLIMPICA.COM.CO</v>
      </c>
      <c r="AT520" s="12" t="str">
        <f>VLOOKUP(C520,'mayo-26'!B:AT,45,0)</f>
        <v>CORREO ELECTRONICO CERTIFICADO 472</v>
      </c>
    </row>
    <row r="521" ht="14.25" customHeight="1">
      <c r="A521" s="20" t="s">
        <v>1122</v>
      </c>
      <c r="B521" s="20">
        <v>636.0</v>
      </c>
      <c r="C521" s="20">
        <v>635.0</v>
      </c>
      <c r="D521" s="21">
        <v>635.0</v>
      </c>
      <c r="E521" s="20">
        <v>9.0290679E7</v>
      </c>
      <c r="F521" s="20">
        <v>9.0290679E7</v>
      </c>
      <c r="G521" s="20" t="s">
        <v>1123</v>
      </c>
      <c r="H521" s="20" t="s">
        <v>1124</v>
      </c>
      <c r="I521" s="1" t="str">
        <f>VLOOKUP(C521,'mayo-26'!B:H,7,0)</f>
        <v>L16 CC JARDIN PLAZA</v>
      </c>
      <c r="J521" s="1" t="s">
        <v>991</v>
      </c>
      <c r="K521" s="10" t="str">
        <f>VLOOKUP(C521,'mayo-26'!B:J,9,0)</f>
        <v>JARDIN PLAZA</v>
      </c>
      <c r="L521" s="1" t="str">
        <f>VLOOKUP(C521,'mayo-26'!B:K,10,0)</f>
        <v>JARDIN PLAZA</v>
      </c>
      <c r="M521" s="20" t="s">
        <v>52</v>
      </c>
      <c r="N521" s="20" t="s">
        <v>89</v>
      </c>
      <c r="O521" s="20" t="s">
        <v>861</v>
      </c>
      <c r="P521" s="20" t="s">
        <v>126</v>
      </c>
      <c r="Q521" s="20" t="s">
        <v>131</v>
      </c>
      <c r="R521" s="20" t="s">
        <v>132</v>
      </c>
      <c r="S521" s="20" t="s">
        <v>133</v>
      </c>
      <c r="T521" s="20" t="s">
        <v>163</v>
      </c>
      <c r="U521" s="20">
        <v>2026.0</v>
      </c>
      <c r="V521" s="20">
        <v>6.0</v>
      </c>
      <c r="W521" s="20">
        <v>1.081875587E9</v>
      </c>
      <c r="X521" s="20">
        <v>1.081894059E9</v>
      </c>
      <c r="Y521" s="22">
        <v>46182.0</v>
      </c>
      <c r="Z521" s="22">
        <v>46207.0</v>
      </c>
      <c r="AA521" s="20">
        <v>55848.0</v>
      </c>
      <c r="AB521" s="20">
        <v>55848.0</v>
      </c>
      <c r="AC521" s="20">
        <v>18616.0</v>
      </c>
      <c r="AD521" s="20">
        <v>0.0</v>
      </c>
      <c r="AE521" s="20">
        <v>0.0</v>
      </c>
      <c r="AF521" s="20">
        <v>0.0</v>
      </c>
      <c r="AG521" s="20">
        <v>0.0</v>
      </c>
      <c r="AH521" s="20">
        <v>0.0</v>
      </c>
      <c r="AI521" s="20">
        <v>0.0</v>
      </c>
      <c r="AJ521" s="20">
        <v>55848.0</v>
      </c>
      <c r="AK521" s="20">
        <v>55848.0</v>
      </c>
      <c r="AL521" s="20">
        <v>0.0</v>
      </c>
      <c r="AM521" s="20">
        <v>376.2</v>
      </c>
      <c r="AN521" s="20">
        <v>0.0</v>
      </c>
      <c r="AS521" s="11" t="str">
        <f>VLOOKUP(C521,'mayo-26'!B:AS,44,0)</f>
        <v>FACTURASCONEXIONESCELULARES@GMAIL.COM</v>
      </c>
      <c r="AT521" s="12" t="str">
        <f>VLOOKUP(C521,'mayo-26'!B:AT,45,0)</f>
        <v>VERIFICADOR</v>
      </c>
    </row>
    <row r="522" ht="14.25" customHeight="1">
      <c r="A522" s="20" t="s">
        <v>1125</v>
      </c>
      <c r="B522" s="20">
        <v>640.0</v>
      </c>
      <c r="C522" s="20">
        <v>639.0</v>
      </c>
      <c r="D522" s="21">
        <v>639.0</v>
      </c>
      <c r="E522" s="20">
        <v>9.0290683E7</v>
      </c>
      <c r="F522" s="20">
        <v>9.0290683E7</v>
      </c>
      <c r="G522" s="20">
        <v>1.090496088E9</v>
      </c>
      <c r="H522" s="20" t="s">
        <v>1126</v>
      </c>
      <c r="I522" s="1" t="str">
        <f>VLOOKUP(C522,'mayo-26'!B:H,7,0)</f>
        <v>S07 CC JARDIN PLAZA</v>
      </c>
      <c r="J522" s="1" t="s">
        <v>991</v>
      </c>
      <c r="K522" s="10" t="str">
        <f>VLOOKUP(C522,'mayo-26'!B:J,9,0)</f>
        <v>JARDIN PLAZA</v>
      </c>
      <c r="L522" s="1" t="str">
        <f>VLOOKUP(C522,'mayo-26'!B:K,10,0)</f>
        <v>JARDIN PLAZA</v>
      </c>
      <c r="M522" s="20" t="s">
        <v>52</v>
      </c>
      <c r="N522" s="20" t="s">
        <v>89</v>
      </c>
      <c r="O522" s="20" t="s">
        <v>861</v>
      </c>
      <c r="P522" s="20" t="s">
        <v>126</v>
      </c>
      <c r="Q522" s="20" t="s">
        <v>56</v>
      </c>
      <c r="R522" s="20" t="s">
        <v>90</v>
      </c>
      <c r="S522" s="20" t="s">
        <v>143</v>
      </c>
      <c r="T522" s="20" t="s">
        <v>59</v>
      </c>
      <c r="U522" s="20">
        <v>2026.0</v>
      </c>
      <c r="V522" s="20">
        <v>6.0</v>
      </c>
      <c r="W522" s="20">
        <v>1.081875589E9</v>
      </c>
      <c r="X522" s="20">
        <v>1.081894061E9</v>
      </c>
      <c r="Y522" s="22">
        <v>46182.0</v>
      </c>
      <c r="Z522" s="22">
        <v>46207.0</v>
      </c>
      <c r="AA522" s="20">
        <v>127716.87</v>
      </c>
      <c r="AB522" s="20">
        <v>127716.87</v>
      </c>
      <c r="AC522" s="20">
        <v>42544.51</v>
      </c>
      <c r="AD522" s="20">
        <v>250.0</v>
      </c>
      <c r="AE522" s="20">
        <v>83.36</v>
      </c>
      <c r="AF522" s="20">
        <v>0.0</v>
      </c>
      <c r="AG522" s="20">
        <v>0.0</v>
      </c>
      <c r="AH522" s="20">
        <v>0.0</v>
      </c>
      <c r="AI522" s="20">
        <v>0.0</v>
      </c>
      <c r="AJ522" s="20">
        <v>127716.87</v>
      </c>
      <c r="AK522" s="20">
        <v>256139.0</v>
      </c>
      <c r="AL522" s="20">
        <v>1.0</v>
      </c>
      <c r="AM522" s="20">
        <v>376.2</v>
      </c>
      <c r="AN522" s="20">
        <v>0.0</v>
      </c>
      <c r="AS522" s="11" t="str">
        <f>VLOOKUP(C522,'mayo-26'!B:AS,44,0)</f>
        <v>WAGA3004@GMAIL.COM</v>
      </c>
      <c r="AT522" s="12" t="str">
        <f>VLOOKUP(C522,'mayo-26'!B:AT,45,0)</f>
        <v>VERIFICADOR</v>
      </c>
    </row>
    <row r="523" ht="14.25" customHeight="1">
      <c r="A523" s="20" t="s">
        <v>1127</v>
      </c>
      <c r="B523" s="20">
        <v>644.0</v>
      </c>
      <c r="C523" s="20">
        <v>643.0</v>
      </c>
      <c r="D523" s="21">
        <v>643.0</v>
      </c>
      <c r="E523" s="20">
        <v>9.0290687E7</v>
      </c>
      <c r="F523" s="20">
        <v>9.0290687E7</v>
      </c>
      <c r="G523" s="20" t="s">
        <v>1128</v>
      </c>
      <c r="H523" s="20" t="s">
        <v>1129</v>
      </c>
      <c r="I523" s="1" t="str">
        <f>VLOOKUP(C523,'mayo-26'!B:H,7,0)</f>
        <v>A05 CC JARDIN PLAZA</v>
      </c>
      <c r="J523" s="1" t="s">
        <v>991</v>
      </c>
      <c r="K523" s="10" t="str">
        <f>VLOOKUP(C523,'mayo-26'!B:J,9,0)</f>
        <v>JARDIN PLAZA</v>
      </c>
      <c r="L523" s="1" t="str">
        <f>VLOOKUP(C523,'mayo-26'!B:K,10,0)</f>
        <v>JARDIN PLAZA</v>
      </c>
      <c r="M523" s="20" t="s">
        <v>52</v>
      </c>
      <c r="N523" s="20" t="s">
        <v>89</v>
      </c>
      <c r="O523" s="20" t="s">
        <v>861</v>
      </c>
      <c r="P523" s="20" t="s">
        <v>126</v>
      </c>
      <c r="Q523" s="20" t="s">
        <v>56</v>
      </c>
      <c r="R523" s="20" t="s">
        <v>90</v>
      </c>
      <c r="S523" s="20" t="s">
        <v>143</v>
      </c>
      <c r="T523" s="20" t="s">
        <v>59</v>
      </c>
      <c r="U523" s="20">
        <v>2026.0</v>
      </c>
      <c r="V523" s="20">
        <v>6.0</v>
      </c>
      <c r="W523" s="20">
        <v>1.081875595E9</v>
      </c>
      <c r="X523" s="20">
        <v>1.081894067E9</v>
      </c>
      <c r="Y523" s="22">
        <v>46182.0</v>
      </c>
      <c r="Z523" s="22">
        <v>46207.0</v>
      </c>
      <c r="AA523" s="20">
        <v>140516.68</v>
      </c>
      <c r="AB523" s="20">
        <v>140516.68</v>
      </c>
      <c r="AC523" s="20">
        <v>42544.51</v>
      </c>
      <c r="AD523" s="20">
        <v>250.0</v>
      </c>
      <c r="AE523" s="20">
        <v>12883.17</v>
      </c>
      <c r="AF523" s="20">
        <v>0.0</v>
      </c>
      <c r="AG523" s="20">
        <v>0.0</v>
      </c>
      <c r="AH523" s="20">
        <v>0.0</v>
      </c>
      <c r="AI523" s="20">
        <v>0.0</v>
      </c>
      <c r="AJ523" s="20">
        <v>140516.68</v>
      </c>
      <c r="AK523" s="20">
        <v>1013533.4</v>
      </c>
      <c r="AL523" s="20">
        <v>7.0</v>
      </c>
      <c r="AM523" s="20">
        <v>376.2</v>
      </c>
      <c r="AN523" s="20">
        <v>0.0</v>
      </c>
      <c r="AS523" s="11" t="str">
        <f>VLOOKUP(C523,'mayo-26'!B:AS,44,0)</f>
        <v>ADMINISFACTURACUCUTA@FITNESSPEOPLECMD.COM</v>
      </c>
      <c r="AT523" s="12" t="str">
        <f>VLOOKUP(C523,'mayo-26'!B:AT,45,0)</f>
        <v>VERIFICADOR</v>
      </c>
    </row>
    <row r="524" ht="14.25" customHeight="1">
      <c r="A524" s="20" t="s">
        <v>1130</v>
      </c>
      <c r="B524" s="20">
        <v>648.0</v>
      </c>
      <c r="C524" s="20">
        <v>647.0</v>
      </c>
      <c r="D524" s="21">
        <v>647.0</v>
      </c>
      <c r="E524" s="20">
        <v>9.0290691E7</v>
      </c>
      <c r="F524" s="20">
        <v>9.0290691E7</v>
      </c>
      <c r="G524" s="20" t="s">
        <v>1131</v>
      </c>
      <c r="H524" s="20" t="s">
        <v>1132</v>
      </c>
      <c r="I524" s="1" t="str">
        <f>VLOOKUP(C524,'mayo-26'!B:H,7,0)</f>
        <v>K03 CC JARDIN PLAZA</v>
      </c>
      <c r="J524" s="1" t="s">
        <v>991</v>
      </c>
      <c r="K524" s="10" t="str">
        <f>VLOOKUP(C524,'mayo-26'!B:J,9,0)</f>
        <v>JARDIN PLAZA</v>
      </c>
      <c r="L524" s="1" t="str">
        <f>VLOOKUP(C524,'mayo-26'!B:K,10,0)</f>
        <v>JARDIN PLAZA</v>
      </c>
      <c r="M524" s="20" t="s">
        <v>52</v>
      </c>
      <c r="N524" s="20" t="s">
        <v>89</v>
      </c>
      <c r="O524" s="20" t="s">
        <v>861</v>
      </c>
      <c r="P524" s="20" t="s">
        <v>126</v>
      </c>
      <c r="Q524" s="20" t="s">
        <v>56</v>
      </c>
      <c r="R524" s="20" t="s">
        <v>90</v>
      </c>
      <c r="S524" s="20" t="s">
        <v>143</v>
      </c>
      <c r="T524" s="20" t="s">
        <v>59</v>
      </c>
      <c r="U524" s="20">
        <v>2026.0</v>
      </c>
      <c r="V524" s="20">
        <v>6.0</v>
      </c>
      <c r="W524" s="20">
        <v>1.081875599E9</v>
      </c>
      <c r="X524" s="20">
        <v>1.081894071E9</v>
      </c>
      <c r="Y524" s="22">
        <v>46182.0</v>
      </c>
      <c r="Z524" s="22">
        <v>46207.0</v>
      </c>
      <c r="AA524" s="20">
        <v>127633.51</v>
      </c>
      <c r="AB524" s="20">
        <v>127633.51</v>
      </c>
      <c r="AC524" s="20">
        <v>42544.51</v>
      </c>
      <c r="AD524" s="20">
        <v>250.0</v>
      </c>
      <c r="AE524" s="20">
        <v>0.0</v>
      </c>
      <c r="AF524" s="20">
        <v>0.0</v>
      </c>
      <c r="AG524" s="20">
        <v>0.0</v>
      </c>
      <c r="AH524" s="20">
        <v>0.0</v>
      </c>
      <c r="AI524" s="20">
        <v>0.0</v>
      </c>
      <c r="AJ524" s="20">
        <v>127633.51</v>
      </c>
      <c r="AK524" s="20">
        <v>127633.51</v>
      </c>
      <c r="AL524" s="20">
        <v>0.0</v>
      </c>
      <c r="AM524" s="20">
        <v>376.2</v>
      </c>
      <c r="AN524" s="20">
        <v>0.0</v>
      </c>
      <c r="AS524" s="11" t="str">
        <f>VLOOKUP(C524,'mayo-26'!B:AS,44,0)</f>
        <v>IMPUESTOS@GOYURT.COM.CO;ASISTENTE2.GOYURT@GMAIL.COM</v>
      </c>
      <c r="AT524" s="12" t="str">
        <f>VLOOKUP(C524,'mayo-26'!B:AT,45,0)</f>
        <v>VERIFICADOR</v>
      </c>
    </row>
    <row r="525" ht="14.25" customHeight="1">
      <c r="A525" s="20" t="s">
        <v>1133</v>
      </c>
      <c r="B525" s="20">
        <v>684.0</v>
      </c>
      <c r="C525" s="20">
        <v>651.0</v>
      </c>
      <c r="D525" s="21">
        <v>651.0</v>
      </c>
      <c r="E525" s="20">
        <v>9.0290695E7</v>
      </c>
      <c r="F525" s="20">
        <v>9.0290695E7</v>
      </c>
      <c r="G525" s="20" t="s">
        <v>1052</v>
      </c>
      <c r="H525" s="20" t="s">
        <v>1053</v>
      </c>
      <c r="I525" s="1" t="str">
        <f>VLOOKUP(C525,'mayo-26'!B:H,7,0)</f>
        <v>L 53 CC JARDIN PALZA</v>
      </c>
      <c r="J525" s="1" t="s">
        <v>991</v>
      </c>
      <c r="K525" s="10" t="str">
        <f>VLOOKUP(C525,'mayo-26'!B:J,9,0)</f>
        <v>JARDIN PLAZA-ADMINISTRACION</v>
      </c>
      <c r="L525" s="1" t="str">
        <f>VLOOKUP(C525,'mayo-26'!B:K,10,0)</f>
        <v>JARDIN PLAZA-ADMINISTRACION</v>
      </c>
      <c r="M525" s="20" t="s">
        <v>52</v>
      </c>
      <c r="N525" s="20" t="s">
        <v>89</v>
      </c>
      <c r="O525" s="20" t="s">
        <v>861</v>
      </c>
      <c r="P525" s="20" t="s">
        <v>126</v>
      </c>
      <c r="Q525" s="20" t="s">
        <v>56</v>
      </c>
      <c r="R525" s="20" t="s">
        <v>90</v>
      </c>
      <c r="S525" s="20" t="s">
        <v>143</v>
      </c>
      <c r="T525" s="20" t="s">
        <v>59</v>
      </c>
      <c r="U525" s="20">
        <v>2026.0</v>
      </c>
      <c r="V525" s="20">
        <v>6.0</v>
      </c>
      <c r="W525" s="20">
        <v>1.081875602E9</v>
      </c>
      <c r="X525" s="20">
        <v>1.081894074E9</v>
      </c>
      <c r="Y525" s="22">
        <v>46182.0</v>
      </c>
      <c r="Z525" s="22">
        <v>46207.0</v>
      </c>
      <c r="AA525" s="20">
        <v>4262205.4</v>
      </c>
      <c r="AB525" s="20">
        <v>4262205.4</v>
      </c>
      <c r="AC525" s="20">
        <v>1405334.67</v>
      </c>
      <c r="AD525" s="20">
        <v>14613.0</v>
      </c>
      <c r="AE525" s="20">
        <v>46201.4</v>
      </c>
      <c r="AF525" s="20">
        <v>0.0</v>
      </c>
      <c r="AG525" s="20">
        <v>0.0</v>
      </c>
      <c r="AH525" s="20">
        <v>0.0</v>
      </c>
      <c r="AI525" s="20">
        <v>0.0</v>
      </c>
      <c r="AJ525" s="20">
        <v>4262205.4</v>
      </c>
      <c r="AK525" s="20">
        <v>1.265158022E7</v>
      </c>
      <c r="AL525" s="20">
        <v>3.0</v>
      </c>
      <c r="AM525" s="20">
        <v>376.2</v>
      </c>
      <c r="AN525" s="20">
        <v>0.0</v>
      </c>
      <c r="AS525" s="11" t="str">
        <f>VLOOKUP(C525,'mayo-26'!B:AS,44,0)</f>
        <v>AMBIENTAL@JARDINPLAZA.COM</v>
      </c>
      <c r="AT525" s="12" t="str">
        <f>VLOOKUP(C525,'mayo-26'!B:AT,45,0)</f>
        <v>CORREO ELECTRONICO CERTIFICADO 472</v>
      </c>
    </row>
    <row r="526" ht="14.25" customHeight="1">
      <c r="A526" s="20" t="s">
        <v>1134</v>
      </c>
      <c r="B526" s="20">
        <v>656.0</v>
      </c>
      <c r="C526" s="20">
        <v>655.0</v>
      </c>
      <c r="D526" s="21">
        <v>655.0</v>
      </c>
      <c r="E526" s="20">
        <v>9.0290699E7</v>
      </c>
      <c r="F526" s="20">
        <v>9.0290699E7</v>
      </c>
      <c r="G526" s="20" t="s">
        <v>1135</v>
      </c>
      <c r="H526" s="20" t="s">
        <v>1136</v>
      </c>
      <c r="I526" s="1" t="str">
        <f>VLOOKUP(C526,'mayo-26'!B:H,7,0)</f>
        <v>K29 CC JARDIN PLAZA</v>
      </c>
      <c r="J526" s="1" t="s">
        <v>991</v>
      </c>
      <c r="K526" s="10" t="str">
        <f>VLOOKUP(C526,'mayo-26'!B:J,9,0)</f>
        <v>JARDIN PLAZA</v>
      </c>
      <c r="L526" s="1" t="str">
        <f>VLOOKUP(C526,'mayo-26'!B:K,10,0)</f>
        <v>VERTEBRA</v>
      </c>
      <c r="M526" s="20" t="s">
        <v>52</v>
      </c>
      <c r="N526" s="20" t="s">
        <v>89</v>
      </c>
      <c r="O526" s="20" t="s">
        <v>861</v>
      </c>
      <c r="P526" s="20" t="s">
        <v>126</v>
      </c>
      <c r="Q526" s="20" t="s">
        <v>56</v>
      </c>
      <c r="R526" s="20" t="s">
        <v>90</v>
      </c>
      <c r="S526" s="20" t="s">
        <v>143</v>
      </c>
      <c r="T526" s="20" t="s">
        <v>59</v>
      </c>
      <c r="U526" s="20">
        <v>2026.0</v>
      </c>
      <c r="V526" s="20">
        <v>6.0</v>
      </c>
      <c r="W526" s="20">
        <v>1.081875606E9</v>
      </c>
      <c r="X526" s="20">
        <v>1.081894078E9</v>
      </c>
      <c r="Y526" s="22">
        <v>46182.0</v>
      </c>
      <c r="Z526" s="22">
        <v>46207.0</v>
      </c>
      <c r="AA526" s="20">
        <v>178869.79</v>
      </c>
      <c r="AB526" s="20">
        <v>178869.79</v>
      </c>
      <c r="AC526" s="20">
        <v>59623.27</v>
      </c>
      <c r="AD526" s="20">
        <v>430.0</v>
      </c>
      <c r="AE526" s="20">
        <v>0.0</v>
      </c>
      <c r="AF526" s="20">
        <v>0.0</v>
      </c>
      <c r="AG526" s="20">
        <v>0.0</v>
      </c>
      <c r="AH526" s="20">
        <v>0.0</v>
      </c>
      <c r="AI526" s="20">
        <v>0.0</v>
      </c>
      <c r="AJ526" s="20">
        <v>178869.79</v>
      </c>
      <c r="AK526" s="20">
        <v>178869.79</v>
      </c>
      <c r="AL526" s="20">
        <v>0.0</v>
      </c>
      <c r="AM526" s="20">
        <v>376.2</v>
      </c>
      <c r="AN526" s="20">
        <v>0.0</v>
      </c>
      <c r="AS526" s="11" t="str">
        <f>VLOOKUP(C526,'mayo-26'!B:AS,44,0)</f>
        <v>FACTURAS@VERTEBRA.TECH</v>
      </c>
      <c r="AT526" s="12" t="str">
        <f>VLOOKUP(C526,'mayo-26'!B:AT,45,0)</f>
        <v>VERIFICADOR</v>
      </c>
    </row>
    <row r="527" ht="14.25" customHeight="1">
      <c r="A527" s="20" t="s">
        <v>1137</v>
      </c>
      <c r="B527" s="20">
        <v>684.0</v>
      </c>
      <c r="C527" s="20">
        <v>659.0</v>
      </c>
      <c r="D527" s="21">
        <v>659.0</v>
      </c>
      <c r="E527" s="20">
        <v>9.0290703E7</v>
      </c>
      <c r="F527" s="20">
        <v>9.0290703E7</v>
      </c>
      <c r="G527" s="20" t="s">
        <v>1052</v>
      </c>
      <c r="H527" s="20" t="s">
        <v>1053</v>
      </c>
      <c r="I527" s="1" t="str">
        <f>VLOOKUP(C527,'mayo-26'!B:H,7,0)</f>
        <v>L 53 CC JARDIN PALZA</v>
      </c>
      <c r="J527" s="1" t="s">
        <v>991</v>
      </c>
      <c r="K527" s="10" t="str">
        <f>VLOOKUP(C527,'mayo-26'!B:J,9,0)</f>
        <v>JARDIN PLAZA</v>
      </c>
      <c r="L527" s="1" t="str">
        <f>VLOOKUP(C527,'mayo-26'!B:K,10,0)</f>
        <v>JARDIN PLAZA</v>
      </c>
      <c r="M527" s="20" t="s">
        <v>52</v>
      </c>
      <c r="N527" s="20" t="s">
        <v>89</v>
      </c>
      <c r="O527" s="20" t="s">
        <v>861</v>
      </c>
      <c r="P527" s="20" t="s">
        <v>126</v>
      </c>
      <c r="Q527" s="20" t="s">
        <v>131</v>
      </c>
      <c r="R527" s="20" t="s">
        <v>132</v>
      </c>
      <c r="S527" s="20" t="s">
        <v>133</v>
      </c>
      <c r="T527" s="20" t="s">
        <v>59</v>
      </c>
      <c r="U527" s="20">
        <v>2026.0</v>
      </c>
      <c r="V527" s="20">
        <v>6.0</v>
      </c>
      <c r="W527" s="20">
        <v>1.081875609E9</v>
      </c>
      <c r="X527" s="20">
        <v>1.081894081E9</v>
      </c>
      <c r="Y527" s="22">
        <v>46182.0</v>
      </c>
      <c r="Z527" s="22">
        <v>46207.0</v>
      </c>
      <c r="AA527" s="20">
        <v>113128.5</v>
      </c>
      <c r="AB527" s="20">
        <v>113128.5</v>
      </c>
      <c r="AC527" s="20">
        <v>37709.5</v>
      </c>
      <c r="AD527" s="20">
        <v>0.0</v>
      </c>
      <c r="AE527" s="20">
        <v>0.0</v>
      </c>
      <c r="AF527" s="20">
        <v>0.0</v>
      </c>
      <c r="AG527" s="20">
        <v>0.0</v>
      </c>
      <c r="AH527" s="20">
        <v>0.0</v>
      </c>
      <c r="AI527" s="20">
        <v>0.0</v>
      </c>
      <c r="AJ527" s="20">
        <v>113128.5</v>
      </c>
      <c r="AK527" s="20">
        <v>113129.0</v>
      </c>
      <c r="AL527" s="20">
        <v>1.0</v>
      </c>
      <c r="AM527" s="20">
        <v>376.2</v>
      </c>
      <c r="AN527" s="20">
        <v>0.0</v>
      </c>
      <c r="AS527" s="11" t="str">
        <f>VLOOKUP(C527,'mayo-26'!B:AS,44,0)</f>
        <v>AMBIENTAL@JARDINPLAZA.COM</v>
      </c>
      <c r="AT527" s="12" t="str">
        <f>VLOOKUP(C527,'mayo-26'!B:AT,45,0)</f>
        <v>VERIFICADOR</v>
      </c>
    </row>
    <row r="528" ht="14.25" customHeight="1">
      <c r="A528" s="20" t="s">
        <v>1138</v>
      </c>
      <c r="B528" s="20">
        <v>664.0</v>
      </c>
      <c r="C528" s="20">
        <v>663.0</v>
      </c>
      <c r="D528" s="21">
        <v>663.0</v>
      </c>
      <c r="E528" s="20">
        <v>9.0290707E7</v>
      </c>
      <c r="F528" s="20">
        <v>9.0290707E7</v>
      </c>
      <c r="G528" s="20">
        <v>8.8283692E7</v>
      </c>
      <c r="H528" s="20" t="s">
        <v>1139</v>
      </c>
      <c r="I528" s="1" t="str">
        <f>VLOOKUP(C528,'mayo-26'!B:H,7,0)</f>
        <v>L25 CC JARDIN PLAZA</v>
      </c>
      <c r="J528" s="1" t="s">
        <v>991</v>
      </c>
      <c r="K528" s="10" t="str">
        <f>VLOOKUP(C528,'mayo-26'!B:J,9,0)</f>
        <v>JARDIN PLAZA</v>
      </c>
      <c r="L528" s="1" t="str">
        <f>VLOOKUP(C528,'mayo-26'!B:K,10,0)</f>
        <v>JARDIN PLAZA</v>
      </c>
      <c r="M528" s="20" t="s">
        <v>52</v>
      </c>
      <c r="N528" s="20" t="s">
        <v>89</v>
      </c>
      <c r="O528" s="20" t="s">
        <v>861</v>
      </c>
      <c r="P528" s="20" t="s">
        <v>126</v>
      </c>
      <c r="Q528" s="20" t="s">
        <v>56</v>
      </c>
      <c r="R528" s="20" t="s">
        <v>90</v>
      </c>
      <c r="S528" s="20" t="s">
        <v>143</v>
      </c>
      <c r="T528" s="20" t="s">
        <v>59</v>
      </c>
      <c r="U528" s="20">
        <v>2026.0</v>
      </c>
      <c r="V528" s="20">
        <v>6.0</v>
      </c>
      <c r="W528" s="20">
        <v>1.081875612E9</v>
      </c>
      <c r="X528" s="20">
        <v>1.081894084E9</v>
      </c>
      <c r="Y528" s="22">
        <v>46182.0</v>
      </c>
      <c r="Z528" s="22">
        <v>46207.0</v>
      </c>
      <c r="AA528" s="20">
        <v>127633.51</v>
      </c>
      <c r="AB528" s="20">
        <v>127633.51</v>
      </c>
      <c r="AC528" s="20">
        <v>42544.51</v>
      </c>
      <c r="AD528" s="20">
        <v>250.0</v>
      </c>
      <c r="AE528" s="20">
        <v>0.0</v>
      </c>
      <c r="AF528" s="20">
        <v>0.0</v>
      </c>
      <c r="AG528" s="20">
        <v>0.0</v>
      </c>
      <c r="AH528" s="20">
        <v>0.0</v>
      </c>
      <c r="AI528" s="20">
        <v>0.0</v>
      </c>
      <c r="AJ528" s="20">
        <v>127633.51</v>
      </c>
      <c r="AK528" s="20">
        <v>127633.51</v>
      </c>
      <c r="AL528" s="20">
        <v>0.0</v>
      </c>
      <c r="AM528" s="20">
        <v>376.2</v>
      </c>
      <c r="AN528" s="20">
        <v>0.0</v>
      </c>
      <c r="AS528" s="11" t="str">
        <f>VLOOKUP(C528,'mayo-26'!B:AS,44,0)</f>
        <v>fabiangelvez22@hotmail.com</v>
      </c>
      <c r="AT528" s="12" t="str">
        <f>VLOOKUP(C528,'mayo-26'!B:AT,45,0)</f>
        <v>VERIFICADOR</v>
      </c>
    </row>
    <row r="529" ht="14.25" customHeight="1">
      <c r="A529" s="20" t="s">
        <v>1140</v>
      </c>
      <c r="B529" s="20">
        <v>684.0</v>
      </c>
      <c r="C529" s="20">
        <v>667.0</v>
      </c>
      <c r="D529" s="21">
        <v>667.0</v>
      </c>
      <c r="E529" s="20">
        <v>9.0290711E7</v>
      </c>
      <c r="F529" s="20">
        <v>9.0290711E7</v>
      </c>
      <c r="G529" s="20" t="s">
        <v>1052</v>
      </c>
      <c r="H529" s="20" t="s">
        <v>1053</v>
      </c>
      <c r="I529" s="1" t="str">
        <f>VLOOKUP(C529,'mayo-26'!B:H,7,0)</f>
        <v>L 53 CC JARDIN PALZA</v>
      </c>
      <c r="J529" s="1" t="s">
        <v>991</v>
      </c>
      <c r="K529" s="10" t="str">
        <f>VLOOKUP(C529,'mayo-26'!B:J,9,0)</f>
        <v>JARDIN PLAZA-ADMINISTRACION</v>
      </c>
      <c r="L529" s="1" t="str">
        <f>VLOOKUP(C529,'mayo-26'!B:K,10,0)</f>
        <v>JARDIN PLAZA-ADMINISTRACION</v>
      </c>
      <c r="M529" s="20" t="s">
        <v>52</v>
      </c>
      <c r="N529" s="20" t="s">
        <v>89</v>
      </c>
      <c r="O529" s="20" t="s">
        <v>861</v>
      </c>
      <c r="P529" s="20" t="s">
        <v>126</v>
      </c>
      <c r="Q529" s="20" t="s">
        <v>131</v>
      </c>
      <c r="R529" s="20" t="s">
        <v>132</v>
      </c>
      <c r="S529" s="20" t="s">
        <v>133</v>
      </c>
      <c r="T529" s="20" t="s">
        <v>163</v>
      </c>
      <c r="U529" s="20">
        <v>2026.0</v>
      </c>
      <c r="V529" s="20">
        <v>6.0</v>
      </c>
      <c r="W529" s="20">
        <v>1.081875616E9</v>
      </c>
      <c r="X529" s="20">
        <v>1.081894088E9</v>
      </c>
      <c r="Y529" s="22">
        <v>46182.0</v>
      </c>
      <c r="Z529" s="22">
        <v>46207.0</v>
      </c>
      <c r="AA529" s="20">
        <v>56481.87</v>
      </c>
      <c r="AB529" s="20">
        <v>56481.87</v>
      </c>
      <c r="AC529" s="20">
        <v>18616.0</v>
      </c>
      <c r="AD529" s="20">
        <v>0.0</v>
      </c>
      <c r="AE529" s="20">
        <v>633.87</v>
      </c>
      <c r="AF529" s="20">
        <v>0.0</v>
      </c>
      <c r="AG529" s="20">
        <v>0.0</v>
      </c>
      <c r="AH529" s="20">
        <v>0.0</v>
      </c>
      <c r="AI529" s="20">
        <v>0.0</v>
      </c>
      <c r="AJ529" s="20">
        <v>56481.87</v>
      </c>
      <c r="AK529" s="20">
        <v>172261.63</v>
      </c>
      <c r="AL529" s="20">
        <v>2.0</v>
      </c>
      <c r="AM529" s="20">
        <v>376.2</v>
      </c>
      <c r="AN529" s="20">
        <v>0.0</v>
      </c>
      <c r="AS529" s="11" t="str">
        <f>VLOOKUP(C529,'mayo-26'!B:AS,44,0)</f>
        <v>AMBIENTAL@JARDINPLAZA.COM</v>
      </c>
      <c r="AT529" s="12" t="str">
        <f>VLOOKUP(C529,'mayo-26'!B:AT,45,0)</f>
        <v>CORREO ELECTRONICO CERTIFICADO 472</v>
      </c>
    </row>
    <row r="530" ht="14.25" customHeight="1">
      <c r="A530" s="20" t="s">
        <v>1141</v>
      </c>
      <c r="B530" s="20">
        <v>672.0</v>
      </c>
      <c r="C530" s="20">
        <v>671.0</v>
      </c>
      <c r="D530" s="21">
        <v>671.0</v>
      </c>
      <c r="E530" s="20">
        <v>9.0290715E7</v>
      </c>
      <c r="F530" s="20">
        <v>9.0290715E7</v>
      </c>
      <c r="G530" s="20" t="s">
        <v>1142</v>
      </c>
      <c r="H530" s="20" t="s">
        <v>1143</v>
      </c>
      <c r="I530" s="1" t="str">
        <f>VLOOKUP(C530,'mayo-26'!B:H,7,0)</f>
        <v>R21 CC JARDIN PLAZA</v>
      </c>
      <c r="J530" s="1" t="s">
        <v>991</v>
      </c>
      <c r="K530" s="10" t="str">
        <f>VLOOKUP(C530,'mayo-26'!B:J,9,0)</f>
        <v>JARDIN PLAZA</v>
      </c>
      <c r="L530" s="1" t="str">
        <f>VLOOKUP(C530,'mayo-26'!B:K,10,0)</f>
        <v>JARDIN PLAZA</v>
      </c>
      <c r="M530" s="20" t="s">
        <v>52</v>
      </c>
      <c r="N530" s="20" t="s">
        <v>89</v>
      </c>
      <c r="O530" s="20" t="s">
        <v>861</v>
      </c>
      <c r="P530" s="20" t="s">
        <v>126</v>
      </c>
      <c r="Q530" s="20" t="s">
        <v>56</v>
      </c>
      <c r="R530" s="20" t="s">
        <v>90</v>
      </c>
      <c r="S530" s="20" t="s">
        <v>143</v>
      </c>
      <c r="T530" s="20" t="s">
        <v>59</v>
      </c>
      <c r="U530" s="20">
        <v>2026.0</v>
      </c>
      <c r="V530" s="20">
        <v>6.0</v>
      </c>
      <c r="W530" s="20">
        <v>1.08187562E9</v>
      </c>
      <c r="X530" s="20">
        <v>1.081894092E9</v>
      </c>
      <c r="Y530" s="22">
        <v>46182.0</v>
      </c>
      <c r="Z530" s="22">
        <v>46207.0</v>
      </c>
      <c r="AA530" s="20">
        <v>205163.02</v>
      </c>
      <c r="AB530" s="20">
        <v>205163.02</v>
      </c>
      <c r="AC530" s="20">
        <v>66976.63</v>
      </c>
      <c r="AD530" s="20">
        <v>507.5</v>
      </c>
      <c r="AE530" s="20">
        <v>4233.16</v>
      </c>
      <c r="AF530" s="20">
        <v>0.0</v>
      </c>
      <c r="AG530" s="20">
        <v>0.0</v>
      </c>
      <c r="AH530" s="20">
        <v>0.0</v>
      </c>
      <c r="AI530" s="20">
        <v>0.0</v>
      </c>
      <c r="AJ530" s="20">
        <v>205163.02</v>
      </c>
      <c r="AK530" s="20">
        <v>585126.1</v>
      </c>
      <c r="AL530" s="20">
        <v>2.0</v>
      </c>
      <c r="AM530" s="20">
        <v>376.2</v>
      </c>
      <c r="AN530" s="20">
        <v>0.0</v>
      </c>
      <c r="AS530" s="11" t="str">
        <f>VLOOKUP(C530,'mayo-26'!B:AS,44,0)</f>
        <v>contabilidadzirus@outlook.com</v>
      </c>
      <c r="AT530" s="12" t="str">
        <f>VLOOKUP(C530,'mayo-26'!B:AT,45,0)</f>
        <v>VERIFICADOR</v>
      </c>
    </row>
    <row r="531" ht="14.25" customHeight="1">
      <c r="A531" s="20" t="s">
        <v>1144</v>
      </c>
      <c r="B531" s="20">
        <v>680.0</v>
      </c>
      <c r="C531" s="20">
        <v>679.0</v>
      </c>
      <c r="D531" s="21">
        <v>679.0</v>
      </c>
      <c r="E531" s="20">
        <v>9.0290746E7</v>
      </c>
      <c r="F531" s="20">
        <v>9.0290746E7</v>
      </c>
      <c r="G531" s="20" t="s">
        <v>1145</v>
      </c>
      <c r="H531" s="20" t="s">
        <v>1146</v>
      </c>
      <c r="I531" s="1" t="str">
        <f>VLOOKUP(C531,'mayo-26'!B:H,7,0)</f>
        <v>L33 CC JARDIN PLAZA</v>
      </c>
      <c r="J531" s="1" t="s">
        <v>991</v>
      </c>
      <c r="K531" s="10" t="str">
        <f>VLOOKUP(C531,'mayo-26'!B:J,9,0)</f>
        <v>JARDIN PLAZA</v>
      </c>
      <c r="L531" s="1" t="str">
        <f>VLOOKUP(C531,'mayo-26'!B:K,10,0)</f>
        <v>JARDIN PLAZA</v>
      </c>
      <c r="M531" s="20" t="s">
        <v>52</v>
      </c>
      <c r="N531" s="20" t="s">
        <v>89</v>
      </c>
      <c r="O531" s="20" t="s">
        <v>861</v>
      </c>
      <c r="P531" s="20" t="s">
        <v>126</v>
      </c>
      <c r="Q531" s="20" t="s">
        <v>56</v>
      </c>
      <c r="R531" s="20" t="s">
        <v>90</v>
      </c>
      <c r="S531" s="20" t="s">
        <v>143</v>
      </c>
      <c r="T531" s="20" t="s">
        <v>59</v>
      </c>
      <c r="U531" s="20">
        <v>2026.0</v>
      </c>
      <c r="V531" s="20">
        <v>6.0</v>
      </c>
      <c r="W531" s="20">
        <v>1.081875624E9</v>
      </c>
      <c r="X531" s="20">
        <v>1.081894096E9</v>
      </c>
      <c r="Y531" s="22">
        <v>46182.0</v>
      </c>
      <c r="Z531" s="22">
        <v>46207.0</v>
      </c>
      <c r="AA531" s="20">
        <v>127633.51</v>
      </c>
      <c r="AB531" s="20">
        <v>127633.51</v>
      </c>
      <c r="AC531" s="20">
        <v>42544.51</v>
      </c>
      <c r="AD531" s="20">
        <v>250.0</v>
      </c>
      <c r="AE531" s="20">
        <v>0.0</v>
      </c>
      <c r="AF531" s="20">
        <v>0.0</v>
      </c>
      <c r="AG531" s="20">
        <v>0.0</v>
      </c>
      <c r="AH531" s="20">
        <v>0.0</v>
      </c>
      <c r="AI531" s="20">
        <v>0.0</v>
      </c>
      <c r="AJ531" s="20">
        <v>127633.51</v>
      </c>
      <c r="AK531" s="20">
        <v>127633.51</v>
      </c>
      <c r="AL531" s="20">
        <v>0.0</v>
      </c>
      <c r="AM531" s="20">
        <v>376.2</v>
      </c>
      <c r="AN531" s="20">
        <v>0.0</v>
      </c>
      <c r="AS531" s="11" t="str">
        <f>VLOOKUP(C531,'mayo-26'!B:AS,44,0)</f>
        <v>FACTURAELECTRONICA@MUSSI.COM.CO</v>
      </c>
      <c r="AT531" s="12" t="str">
        <f>VLOOKUP(C531,'mayo-26'!B:AT,45,0)</f>
        <v>VERIFICADOR-CORREO ELECTRONICO CERTIFICADO 472</v>
      </c>
    </row>
    <row r="532" ht="14.25" customHeight="1">
      <c r="A532" s="20" t="s">
        <v>1147</v>
      </c>
      <c r="B532" s="20">
        <v>684.0</v>
      </c>
      <c r="C532" s="20">
        <v>683.0</v>
      </c>
      <c r="D532" s="21">
        <v>683.0</v>
      </c>
      <c r="E532" s="20">
        <v>9.0290763E7</v>
      </c>
      <c r="F532" s="20">
        <v>9.0290763E7</v>
      </c>
      <c r="G532" s="20" t="s">
        <v>1052</v>
      </c>
      <c r="H532" s="20" t="s">
        <v>1053</v>
      </c>
      <c r="I532" s="1" t="str">
        <f>VLOOKUP(C532,'mayo-26'!B:H,7,0)</f>
        <v>L 53 CC JARDIN PALZA</v>
      </c>
      <c r="J532" s="1" t="s">
        <v>76</v>
      </c>
      <c r="K532" s="10" t="str">
        <f>VLOOKUP(C532,'mayo-26'!B:J,9,0)</f>
        <v>JARDIN PLAZA</v>
      </c>
      <c r="L532" s="1" t="str">
        <f>VLOOKUP(C532,'mayo-26'!B:K,10,0)</f>
        <v>JARDIN PLAZA</v>
      </c>
      <c r="M532" s="20" t="s">
        <v>52</v>
      </c>
      <c r="N532" s="20" t="s">
        <v>89</v>
      </c>
      <c r="O532" s="20" t="s">
        <v>861</v>
      </c>
      <c r="P532" s="20" t="s">
        <v>126</v>
      </c>
      <c r="Q532" s="20" t="s">
        <v>131</v>
      </c>
      <c r="R532" s="20" t="s">
        <v>132</v>
      </c>
      <c r="S532" s="20" t="s">
        <v>133</v>
      </c>
      <c r="T532" s="20" t="s">
        <v>59</v>
      </c>
      <c r="U532" s="20">
        <v>2026.0</v>
      </c>
      <c r="V532" s="20">
        <v>6.0</v>
      </c>
      <c r="W532" s="20">
        <v>1.081875628E9</v>
      </c>
      <c r="X532" s="20">
        <v>1.0818941E9</v>
      </c>
      <c r="Y532" s="22">
        <v>46182.0</v>
      </c>
      <c r="Z532" s="22">
        <v>46207.0</v>
      </c>
      <c r="AA532" s="20">
        <v>113128.5</v>
      </c>
      <c r="AB532" s="20">
        <v>113128.5</v>
      </c>
      <c r="AC532" s="20">
        <v>37709.5</v>
      </c>
      <c r="AD532" s="20">
        <v>0.0</v>
      </c>
      <c r="AE532" s="20">
        <v>0.0</v>
      </c>
      <c r="AF532" s="20">
        <v>0.0</v>
      </c>
      <c r="AG532" s="20">
        <v>0.0</v>
      </c>
      <c r="AH532" s="20">
        <v>0.0</v>
      </c>
      <c r="AI532" s="20">
        <v>0.0</v>
      </c>
      <c r="AJ532" s="20">
        <v>113128.5</v>
      </c>
      <c r="AK532" s="20">
        <v>113128.5</v>
      </c>
      <c r="AL532" s="20">
        <v>0.0</v>
      </c>
      <c r="AM532" s="20">
        <v>376.2</v>
      </c>
      <c r="AN532" s="20">
        <v>0.0</v>
      </c>
      <c r="AS532" s="11" t="str">
        <f>VLOOKUP(C532,'mayo-26'!B:AS,44,0)</f>
        <v>pos1062@gco.com.co</v>
      </c>
      <c r="AT532" s="12" t="str">
        <f>VLOOKUP(C532,'mayo-26'!B:AT,45,0)</f>
        <v>VERIFICADOR</v>
      </c>
    </row>
    <row r="533" ht="14.25" customHeight="1">
      <c r="A533" s="20" t="s">
        <v>1148</v>
      </c>
      <c r="B533" s="20">
        <v>688.0</v>
      </c>
      <c r="C533" s="20">
        <v>687.0</v>
      </c>
      <c r="D533" s="21">
        <v>687.0</v>
      </c>
      <c r="E533" s="20">
        <v>9.0290847E7</v>
      </c>
      <c r="F533" s="20">
        <v>9.0290847E7</v>
      </c>
      <c r="G533" s="20">
        <v>9.0290847E7</v>
      </c>
      <c r="H533" s="20" t="s">
        <v>1149</v>
      </c>
      <c r="I533" s="1" t="str">
        <f>VLOOKUP(C533,'mayo-26'!B:H,7,0)</f>
        <v>CRA 14 # 94-44 OFC. 701</v>
      </c>
      <c r="J533" s="1" t="s">
        <v>991</v>
      </c>
      <c r="K533" s="10" t="str">
        <f>VLOOKUP(C533,'mayo-26'!B:J,9,0)</f>
        <v>JARDIN PLAZA</v>
      </c>
      <c r="L533" s="1" t="str">
        <f>VLOOKUP(C533,'mayo-26'!B:K,10,0)</f>
        <v>JARDIN PLAZA</v>
      </c>
      <c r="M533" s="20" t="s">
        <v>52</v>
      </c>
      <c r="N533" s="20" t="s">
        <v>89</v>
      </c>
      <c r="O533" s="20" t="s">
        <v>861</v>
      </c>
      <c r="P533" s="20" t="s">
        <v>126</v>
      </c>
      <c r="Q533" s="20" t="s">
        <v>56</v>
      </c>
      <c r="R533" s="20" t="s">
        <v>90</v>
      </c>
      <c r="S533" s="20" t="s">
        <v>143</v>
      </c>
      <c r="T533" s="20" t="s">
        <v>59</v>
      </c>
      <c r="U533" s="20">
        <v>2026.0</v>
      </c>
      <c r="V533" s="20">
        <v>6.0</v>
      </c>
      <c r="W533" s="20">
        <v>1.081875632E9</v>
      </c>
      <c r="X533" s="20">
        <v>1.081894104E9</v>
      </c>
      <c r="Y533" s="22">
        <v>46182.0</v>
      </c>
      <c r="Z533" s="22">
        <v>46207.0</v>
      </c>
      <c r="AA533" s="20">
        <v>127633.51</v>
      </c>
      <c r="AB533" s="20">
        <v>127633.51</v>
      </c>
      <c r="AC533" s="20">
        <v>42544.51</v>
      </c>
      <c r="AD533" s="20">
        <v>250.0</v>
      </c>
      <c r="AE533" s="20">
        <v>0.0</v>
      </c>
      <c r="AF533" s="20">
        <v>0.0</v>
      </c>
      <c r="AG533" s="20">
        <v>0.0</v>
      </c>
      <c r="AH533" s="20">
        <v>0.0</v>
      </c>
      <c r="AI533" s="20">
        <v>0.0</v>
      </c>
      <c r="AJ533" s="20">
        <v>127633.51</v>
      </c>
      <c r="AK533" s="20">
        <v>127633.51</v>
      </c>
      <c r="AL533" s="20">
        <v>0.0</v>
      </c>
      <c r="AM533" s="20">
        <v>376.2</v>
      </c>
      <c r="AN533" s="20">
        <v>0.0</v>
      </c>
      <c r="AS533" s="11" t="str">
        <f>VLOOKUP(C533,'mayo-26'!B:AS,44,0)</f>
        <v>ADMINISTRACION@MASTERSERIES.COM.CO</v>
      </c>
      <c r="AT533" s="12" t="str">
        <f>VLOOKUP(C533,'mayo-26'!B:AT,45,0)</f>
        <v>VERIFICADOR</v>
      </c>
    </row>
    <row r="534" ht="14.25" customHeight="1">
      <c r="A534" s="20" t="s">
        <v>1150</v>
      </c>
      <c r="B534" s="20">
        <v>692.0</v>
      </c>
      <c r="C534" s="20">
        <v>691.0</v>
      </c>
      <c r="D534" s="21">
        <v>691.0</v>
      </c>
      <c r="E534" s="20">
        <v>9.0290851E7</v>
      </c>
      <c r="F534" s="20">
        <v>9.0290851E7</v>
      </c>
      <c r="G534" s="20">
        <v>9.01095463E8</v>
      </c>
      <c r="H534" s="20" t="s">
        <v>1151</v>
      </c>
      <c r="I534" s="1" t="str">
        <f>VLOOKUP(C534,'mayo-26'!B:H,7,0)</f>
        <v>L46 CC JARDIN PLAZA</v>
      </c>
      <c r="J534" s="1" t="s">
        <v>991</v>
      </c>
      <c r="K534" s="10" t="str">
        <f>VLOOKUP(C534,'mayo-26'!B:J,9,0)</f>
        <v>JARDIN PLAZA</v>
      </c>
      <c r="L534" s="1" t="str">
        <f>VLOOKUP(C534,'mayo-26'!B:K,10,0)</f>
        <v>JARDIN PLAZA</v>
      </c>
      <c r="M534" s="20" t="s">
        <v>52</v>
      </c>
      <c r="N534" s="20" t="s">
        <v>89</v>
      </c>
      <c r="O534" s="20" t="s">
        <v>861</v>
      </c>
      <c r="P534" s="20" t="s">
        <v>126</v>
      </c>
      <c r="Q534" s="20" t="s">
        <v>56</v>
      </c>
      <c r="R534" s="20" t="s">
        <v>90</v>
      </c>
      <c r="S534" s="20" t="s">
        <v>143</v>
      </c>
      <c r="T534" s="20" t="s">
        <v>59</v>
      </c>
      <c r="U534" s="20">
        <v>2026.0</v>
      </c>
      <c r="V534" s="20">
        <v>6.0</v>
      </c>
      <c r="W534" s="20">
        <v>1.081875636E9</v>
      </c>
      <c r="X534" s="20">
        <v>1.081894108E9</v>
      </c>
      <c r="Y534" s="22">
        <v>46182.0</v>
      </c>
      <c r="Z534" s="22">
        <v>46207.0</v>
      </c>
      <c r="AA534" s="20">
        <v>127633.51</v>
      </c>
      <c r="AB534" s="20">
        <v>127633.51</v>
      </c>
      <c r="AC534" s="20">
        <v>42544.51</v>
      </c>
      <c r="AD534" s="20">
        <v>250.0</v>
      </c>
      <c r="AE534" s="20">
        <v>0.0</v>
      </c>
      <c r="AF534" s="20">
        <v>0.0</v>
      </c>
      <c r="AG534" s="20">
        <v>0.0</v>
      </c>
      <c r="AH534" s="20">
        <v>0.0</v>
      </c>
      <c r="AI534" s="20">
        <v>0.0</v>
      </c>
      <c r="AJ534" s="20">
        <v>127633.51</v>
      </c>
      <c r="AK534" s="20">
        <v>127633.64</v>
      </c>
      <c r="AL534" s="20">
        <v>1.0</v>
      </c>
      <c r="AM534" s="20">
        <v>376.2</v>
      </c>
      <c r="AN534" s="20">
        <v>0.0</v>
      </c>
      <c r="AS534" s="11" t="str">
        <f>VLOOKUP(C534,'mayo-26'!B:AS,44,0)</f>
        <v>OPTICACIENTIFICAPLUSS@HOTMAIL.COM</v>
      </c>
      <c r="AT534" s="12" t="str">
        <f>VLOOKUP(C534,'mayo-26'!B:AT,45,0)</f>
        <v>VERIFICADOR</v>
      </c>
    </row>
    <row r="535" ht="14.25" customHeight="1">
      <c r="A535" s="20" t="s">
        <v>1152</v>
      </c>
      <c r="B535" s="20">
        <v>696.0</v>
      </c>
      <c r="C535" s="20">
        <v>695.0</v>
      </c>
      <c r="D535" s="21">
        <v>695.0</v>
      </c>
      <c r="E535" s="20">
        <v>9.0290855E7</v>
      </c>
      <c r="F535" s="20">
        <v>9.0290855E7</v>
      </c>
      <c r="G535" s="20">
        <v>9.00914444E8</v>
      </c>
      <c r="H535" s="20" t="s">
        <v>1153</v>
      </c>
      <c r="I535" s="1" t="str">
        <f>VLOOKUP(C535,'mayo-26'!B:H,7,0)</f>
        <v>L76A CC JARDIN PLAZA</v>
      </c>
      <c r="J535" s="1" t="s">
        <v>991</v>
      </c>
      <c r="K535" s="10" t="str">
        <f>VLOOKUP(C535,'mayo-26'!B:J,9,0)</f>
        <v>JARDIN PLAZA</v>
      </c>
      <c r="L535" s="1" t="str">
        <f>VLOOKUP(C535,'mayo-26'!B:K,10,0)</f>
        <v>JARDIN PLAZA</v>
      </c>
      <c r="M535" s="20" t="s">
        <v>52</v>
      </c>
      <c r="N535" s="20" t="s">
        <v>89</v>
      </c>
      <c r="O535" s="20" t="s">
        <v>861</v>
      </c>
      <c r="P535" s="20" t="s">
        <v>126</v>
      </c>
      <c r="Q535" s="20" t="s">
        <v>56</v>
      </c>
      <c r="R535" s="20" t="s">
        <v>90</v>
      </c>
      <c r="S535" s="20" t="s">
        <v>143</v>
      </c>
      <c r="T535" s="20" t="s">
        <v>59</v>
      </c>
      <c r="U535" s="20">
        <v>2026.0</v>
      </c>
      <c r="V535" s="20">
        <v>6.0</v>
      </c>
      <c r="W535" s="20">
        <v>1.081875642E9</v>
      </c>
      <c r="X535" s="20">
        <v>1.081894114E9</v>
      </c>
      <c r="Y535" s="22">
        <v>46182.0</v>
      </c>
      <c r="Z535" s="22">
        <v>46207.0</v>
      </c>
      <c r="AA535" s="20">
        <v>129053.83</v>
      </c>
      <c r="AB535" s="20">
        <v>129053.83</v>
      </c>
      <c r="AC535" s="20">
        <v>42544.51</v>
      </c>
      <c r="AD535" s="20">
        <v>250.0</v>
      </c>
      <c r="AE535" s="20">
        <v>1420.32</v>
      </c>
      <c r="AF535" s="20">
        <v>0.0</v>
      </c>
      <c r="AG535" s="20">
        <v>0.0</v>
      </c>
      <c r="AH535" s="20">
        <v>0.0</v>
      </c>
      <c r="AI535" s="20">
        <v>0.0</v>
      </c>
      <c r="AJ535" s="20">
        <v>129053.83</v>
      </c>
      <c r="AK535" s="20">
        <v>384064.34</v>
      </c>
      <c r="AL535" s="20">
        <v>2.0</v>
      </c>
      <c r="AM535" s="20">
        <v>376.2</v>
      </c>
      <c r="AN535" s="20">
        <v>0.0</v>
      </c>
      <c r="AS535" s="11" t="str">
        <f>VLOOKUP(C535,'mayo-26'!B:AS,44,0)</f>
        <v>LILIENYOI.JARDINPLAZACUCUTA@FASTMODA.COM.CO</v>
      </c>
      <c r="AT535" s="12" t="str">
        <f>VLOOKUP(C535,'mayo-26'!B:AT,45,0)</f>
        <v>VERIFICADOR</v>
      </c>
    </row>
    <row r="536" ht="14.25" customHeight="1">
      <c r="A536" s="20" t="s">
        <v>1154</v>
      </c>
      <c r="B536" s="20">
        <v>704.0</v>
      </c>
      <c r="C536" s="20">
        <v>703.0</v>
      </c>
      <c r="D536" s="21">
        <v>703.0</v>
      </c>
      <c r="E536" s="20">
        <v>9.0291876E7</v>
      </c>
      <c r="F536" s="20">
        <v>9.0291876E7</v>
      </c>
      <c r="G536" s="20">
        <v>9.00641079E8</v>
      </c>
      <c r="H536" s="20" t="s">
        <v>1155</v>
      </c>
      <c r="I536" s="1" t="str">
        <f>VLOOKUP(C536,'mayo-26'!B:H,7,0)</f>
        <v>K08 CC JARDIN PLAZA</v>
      </c>
      <c r="J536" s="1" t="s">
        <v>991</v>
      </c>
      <c r="K536" s="10" t="str">
        <f>VLOOKUP(C536,'mayo-26'!B:J,9,0)</f>
        <v>JARDIN PLAZA</v>
      </c>
      <c r="L536" s="1" t="str">
        <f>VLOOKUP(C536,'mayo-26'!B:K,10,0)</f>
        <v>JARDIN PLAZA</v>
      </c>
      <c r="M536" s="20" t="s">
        <v>52</v>
      </c>
      <c r="N536" s="20" t="s">
        <v>89</v>
      </c>
      <c r="O536" s="20" t="s">
        <v>861</v>
      </c>
      <c r="P536" s="20" t="s">
        <v>126</v>
      </c>
      <c r="Q536" s="20" t="s">
        <v>56</v>
      </c>
      <c r="R536" s="20" t="s">
        <v>90</v>
      </c>
      <c r="S536" s="20" t="s">
        <v>143</v>
      </c>
      <c r="T536" s="20" t="s">
        <v>59</v>
      </c>
      <c r="U536" s="20">
        <v>2026.0</v>
      </c>
      <c r="V536" s="20">
        <v>6.0</v>
      </c>
      <c r="W536" s="20">
        <v>1.081875645E9</v>
      </c>
      <c r="X536" s="20">
        <v>1.081894117E9</v>
      </c>
      <c r="Y536" s="22">
        <v>46182.0</v>
      </c>
      <c r="Z536" s="22">
        <v>46207.0</v>
      </c>
      <c r="AA536" s="20">
        <v>127633.51</v>
      </c>
      <c r="AB536" s="20">
        <v>127633.51</v>
      </c>
      <c r="AC536" s="20">
        <v>42544.51</v>
      </c>
      <c r="AD536" s="20">
        <v>250.0</v>
      </c>
      <c r="AE536" s="20">
        <v>0.0</v>
      </c>
      <c r="AF536" s="20">
        <v>0.0</v>
      </c>
      <c r="AG536" s="20">
        <v>0.0</v>
      </c>
      <c r="AH536" s="20">
        <v>0.0</v>
      </c>
      <c r="AI536" s="20">
        <v>0.0</v>
      </c>
      <c r="AJ536" s="20">
        <v>127633.51</v>
      </c>
      <c r="AK536" s="20">
        <v>127633.51</v>
      </c>
      <c r="AL536" s="20">
        <v>0.0</v>
      </c>
      <c r="AM536" s="20">
        <v>376.2</v>
      </c>
      <c r="AN536" s="20">
        <v>0.0</v>
      </c>
      <c r="AS536" s="11" t="str">
        <f>VLOOKUP(C536,'mayo-26'!B:AS,44,0)</f>
        <v>NAPINZON95@HOTMAIL.COM</v>
      </c>
      <c r="AT536" s="12" t="str">
        <f>VLOOKUP(C536,'mayo-26'!B:AT,45,0)</f>
        <v>VERIFICADOR</v>
      </c>
    </row>
    <row r="537" ht="14.25" customHeight="1">
      <c r="A537" s="20" t="s">
        <v>1156</v>
      </c>
      <c r="B537" s="20">
        <v>92044.0</v>
      </c>
      <c r="C537" s="20">
        <v>92043.0</v>
      </c>
      <c r="D537" s="21">
        <v>92043.0</v>
      </c>
      <c r="E537" s="20">
        <v>452330.0</v>
      </c>
      <c r="F537" s="20">
        <v>452330.0</v>
      </c>
      <c r="G537" s="20">
        <v>1.3171773E7</v>
      </c>
      <c r="H537" s="20" t="s">
        <v>1157</v>
      </c>
      <c r="I537" s="1" t="str">
        <f>VLOOKUP(C537,'mayo-26'!B:H,7,0)</f>
        <v>CLL 5 A N 18 E - 07</v>
      </c>
      <c r="J537" s="1" t="s">
        <v>1158</v>
      </c>
      <c r="K537" s="10" t="str">
        <f>VLOOKUP(C537,'mayo-26'!B:J,9,0)</f>
        <v>ZONA NORTE</v>
      </c>
      <c r="L537" s="1" t="str">
        <f>VLOOKUP(C537,'mayo-26'!B:K,10,0)</f>
        <v>NO</v>
      </c>
      <c r="M537" s="20" t="s">
        <v>52</v>
      </c>
      <c r="N537" s="20" t="s">
        <v>89</v>
      </c>
      <c r="O537" s="20" t="s">
        <v>861</v>
      </c>
      <c r="P537" s="20" t="s">
        <v>126</v>
      </c>
      <c r="Q537" s="20" t="s">
        <v>131</v>
      </c>
      <c r="R537" s="20" t="s">
        <v>132</v>
      </c>
      <c r="S537" s="20" t="s">
        <v>133</v>
      </c>
      <c r="T537" s="20" t="s">
        <v>59</v>
      </c>
      <c r="U537" s="20">
        <v>2026.0</v>
      </c>
      <c r="V537" s="20">
        <v>6.0</v>
      </c>
      <c r="W537" s="20">
        <v>1.081875684E9</v>
      </c>
      <c r="X537" s="20">
        <v>1.081894156E9</v>
      </c>
      <c r="Y537" s="22">
        <v>46182.0</v>
      </c>
      <c r="Z537" s="22">
        <v>46207.0</v>
      </c>
      <c r="AA537" s="20">
        <v>114389.91</v>
      </c>
      <c r="AB537" s="20">
        <v>114389.91</v>
      </c>
      <c r="AC537" s="20">
        <v>37709.5</v>
      </c>
      <c r="AD537" s="20">
        <v>0.0</v>
      </c>
      <c r="AE537" s="20">
        <v>1261.41</v>
      </c>
      <c r="AF537" s="20">
        <v>0.0</v>
      </c>
      <c r="AG537" s="20">
        <v>0.0</v>
      </c>
      <c r="AH537" s="20">
        <v>0.0</v>
      </c>
      <c r="AI537" s="20">
        <v>0.0</v>
      </c>
      <c r="AJ537" s="20">
        <v>114389.91</v>
      </c>
      <c r="AK537" s="20">
        <v>340726.41</v>
      </c>
      <c r="AL537" s="20">
        <v>2.0</v>
      </c>
      <c r="AM537" s="20">
        <v>376.2</v>
      </c>
      <c r="AN537" s="20">
        <v>0.0</v>
      </c>
      <c r="AS537" s="11" t="str">
        <f>VLOOKUP(C537,'mayo-26'!B:AS,44,0)</f>
        <v>SUPERMERCADOPLAYAHERMOSA@GMAIL.COM; CONTABILIDAD.TODOENUNO@GMAIL.COM; JJOSEZAMBRANO@GMAIL.COM</v>
      </c>
      <c r="AT537" s="12" t="str">
        <f>VLOOKUP(C537,'mayo-26'!B:AT,45,0)</f>
        <v>VERIFICADOR</v>
      </c>
    </row>
    <row r="538" ht="14.25" customHeight="1">
      <c r="A538" s="20" t="s">
        <v>1159</v>
      </c>
      <c r="B538" s="20">
        <v>314877.0</v>
      </c>
      <c r="C538" s="20">
        <v>95907.0</v>
      </c>
      <c r="D538" s="21">
        <v>95907.0</v>
      </c>
      <c r="E538" s="20">
        <v>457575.0</v>
      </c>
      <c r="F538" s="20">
        <v>457575.0</v>
      </c>
      <c r="G538" s="20">
        <v>8.60503159E8</v>
      </c>
      <c r="H538" s="20" t="s">
        <v>371</v>
      </c>
      <c r="I538" s="1" t="str">
        <f>VLOOKUP(C538,'mayo-26'!B:H,7,0)</f>
        <v>AVE LIBERTADORES CANAL BOGOTA LOC 23 1079</v>
      </c>
      <c r="J538" s="1" t="s">
        <v>942</v>
      </c>
      <c r="K538" s="10" t="str">
        <f>VLOOKUP(C538,'mayo-26'!B:J,9,0)</f>
        <v>CENTRO</v>
      </c>
      <c r="L538" s="1" t="str">
        <f>VLOOKUP(C538,'mayo-26'!B:K,10,0)</f>
        <v>PASH</v>
      </c>
      <c r="M538" s="20" t="s">
        <v>52</v>
      </c>
      <c r="N538" s="20" t="s">
        <v>89</v>
      </c>
      <c r="O538" s="20" t="s">
        <v>861</v>
      </c>
      <c r="P538" s="20" t="s">
        <v>126</v>
      </c>
      <c r="Q538" s="20" t="s">
        <v>131</v>
      </c>
      <c r="R538" s="20" t="s">
        <v>132</v>
      </c>
      <c r="S538" s="20" t="s">
        <v>133</v>
      </c>
      <c r="T538" s="20" t="s">
        <v>59</v>
      </c>
      <c r="U538" s="20">
        <v>2026.0</v>
      </c>
      <c r="V538" s="20">
        <v>6.0</v>
      </c>
      <c r="W538" s="20">
        <v>1.081875687E9</v>
      </c>
      <c r="X538" s="20">
        <v>1.081894159E9</v>
      </c>
      <c r="Y538" s="22">
        <v>46182.0</v>
      </c>
      <c r="Z538" s="22">
        <v>46207.0</v>
      </c>
      <c r="AA538" s="20">
        <v>113128.5</v>
      </c>
      <c r="AB538" s="20">
        <v>113128.5</v>
      </c>
      <c r="AC538" s="20">
        <v>37709.5</v>
      </c>
      <c r="AD538" s="20">
        <v>0.0</v>
      </c>
      <c r="AE538" s="20">
        <v>0.0</v>
      </c>
      <c r="AF538" s="20">
        <v>0.0</v>
      </c>
      <c r="AG538" s="20">
        <v>0.0</v>
      </c>
      <c r="AH538" s="20">
        <v>0.0</v>
      </c>
      <c r="AI538" s="20">
        <v>0.0</v>
      </c>
      <c r="AJ538" s="20">
        <v>113128.5</v>
      </c>
      <c r="AK538" s="20">
        <v>113128.5</v>
      </c>
      <c r="AL538" s="20">
        <v>0.0</v>
      </c>
      <c r="AM538" s="20">
        <v>376.2</v>
      </c>
      <c r="AN538" s="20">
        <v>0.0</v>
      </c>
      <c r="AS538" s="11" t="str">
        <f>VLOOKUP(C538,'mayo-26'!B:AS,44,0)</f>
        <v>SERVICIOSPUBLICOS@PASH.COM.CO; abayona@tekstelas.com; kguavita@tekstelas.com</v>
      </c>
      <c r="AT538" s="12" t="str">
        <f>VLOOKUP(C538,'mayo-26'!B:AT,45,0)</f>
        <v>VERIFICADOR</v>
      </c>
    </row>
    <row r="539" ht="14.25" customHeight="1">
      <c r="A539" s="20" t="s">
        <v>1160</v>
      </c>
      <c r="B539" s="20">
        <v>103083.0</v>
      </c>
      <c r="C539" s="20">
        <v>103082.0</v>
      </c>
      <c r="D539" s="21">
        <v>103082.0</v>
      </c>
      <c r="E539" s="20">
        <v>532115.0</v>
      </c>
      <c r="F539" s="20">
        <v>532115.0</v>
      </c>
      <c r="G539" s="20" t="s">
        <v>1161</v>
      </c>
      <c r="H539" s="20" t="s">
        <v>1162</v>
      </c>
      <c r="I539" s="1" t="str">
        <f>VLOOKUP(C539,'mayo-26'!B:H,7,0)</f>
        <v>CLL 17N 18E-14</v>
      </c>
      <c r="J539" s="1" t="s">
        <v>1110</v>
      </c>
      <c r="K539" s="10" t="str">
        <f>VLOOKUP(C539,'mayo-26'!B:J,9,0)</f>
        <v>NO</v>
      </c>
      <c r="L539" s="1" t="str">
        <f>VLOOKUP(C539,'mayo-26'!B:K,10,0)</f>
        <v>INMOBILIARIA CUFOR</v>
      </c>
      <c r="M539" s="20" t="s">
        <v>52</v>
      </c>
      <c r="N539" s="20" t="s">
        <v>89</v>
      </c>
      <c r="O539" s="20" t="s">
        <v>861</v>
      </c>
      <c r="P539" s="20" t="s">
        <v>126</v>
      </c>
      <c r="Q539" s="20" t="s">
        <v>131</v>
      </c>
      <c r="R539" s="20" t="s">
        <v>132</v>
      </c>
      <c r="S539" s="20" t="s">
        <v>133</v>
      </c>
      <c r="T539" s="20" t="s">
        <v>59</v>
      </c>
      <c r="U539" s="20">
        <v>2026.0</v>
      </c>
      <c r="V539" s="20">
        <v>6.0</v>
      </c>
      <c r="W539" s="20">
        <v>1.081875738E9</v>
      </c>
      <c r="X539" s="20">
        <v>1.08189421E9</v>
      </c>
      <c r="Y539" s="22">
        <v>46182.0</v>
      </c>
      <c r="Z539" s="22">
        <v>46207.0</v>
      </c>
      <c r="AA539" s="20">
        <v>113128.5</v>
      </c>
      <c r="AB539" s="20">
        <v>113128.5</v>
      </c>
      <c r="AC539" s="20">
        <v>37709.5</v>
      </c>
      <c r="AD539" s="20">
        <v>0.0</v>
      </c>
      <c r="AE539" s="20">
        <v>0.0</v>
      </c>
      <c r="AF539" s="20">
        <v>0.0</v>
      </c>
      <c r="AG539" s="20">
        <v>0.0</v>
      </c>
      <c r="AH539" s="20">
        <v>0.0</v>
      </c>
      <c r="AI539" s="20">
        <v>0.0</v>
      </c>
      <c r="AJ539" s="20">
        <v>113128.5</v>
      </c>
      <c r="AK539" s="20">
        <v>113128.5</v>
      </c>
      <c r="AL539" s="20">
        <v>0.0</v>
      </c>
      <c r="AM539" s="20">
        <v>376.2</v>
      </c>
      <c r="AN539" s="20">
        <v>0.0</v>
      </c>
      <c r="AS539" s="11" t="str">
        <f>VLOOKUP(C539,'mayo-26'!B:AS,44,0)</f>
        <v>CONTABILIDAD@CN.LAGRANCOSECHASAS.COM</v>
      </c>
      <c r="AT539" s="12" t="str">
        <f>VLOOKUP(C539,'mayo-26'!B:AT,45,0)</f>
        <v>CORREO ELECTRONICO CERTIFICADO 472</v>
      </c>
    </row>
    <row r="540" ht="14.25" customHeight="1">
      <c r="A540" s="20" t="s">
        <v>1163</v>
      </c>
      <c r="B540" s="20">
        <v>297.0</v>
      </c>
      <c r="C540" s="20">
        <v>103694.0</v>
      </c>
      <c r="D540" s="21">
        <v>103694.0</v>
      </c>
      <c r="E540" s="20">
        <v>197631.0</v>
      </c>
      <c r="F540" s="20">
        <v>197631.0</v>
      </c>
      <c r="G540" s="20" t="s">
        <v>135</v>
      </c>
      <c r="H540" s="20" t="s">
        <v>136</v>
      </c>
      <c r="I540" s="1" t="str">
        <f>VLOOKUP(C540,'mayo-26'!B:H,7,0)</f>
        <v>AVE 4 17-89 - 0239431</v>
      </c>
      <c r="J540" s="1" t="s">
        <v>1021</v>
      </c>
      <c r="K540" s="10" t="str">
        <f>VLOOKUP(C540,'mayo-26'!B:J,9,0)</f>
        <v>NO</v>
      </c>
      <c r="L540" s="1" t="str">
        <f>VLOOKUP(C540,'mayo-26'!B:K,10,0)</f>
        <v>IMSALUD</v>
      </c>
      <c r="M540" s="20" t="s">
        <v>52</v>
      </c>
      <c r="N540" s="20" t="s">
        <v>53</v>
      </c>
      <c r="O540" s="20" t="s">
        <v>861</v>
      </c>
      <c r="P540" s="20" t="s">
        <v>126</v>
      </c>
      <c r="Q540" s="20" t="s">
        <v>131</v>
      </c>
      <c r="R540" s="20" t="s">
        <v>139</v>
      </c>
      <c r="S540" s="20" t="s">
        <v>133</v>
      </c>
      <c r="T540" s="20" t="s">
        <v>59</v>
      </c>
      <c r="U540" s="20">
        <v>2026.0</v>
      </c>
      <c r="V540" s="20">
        <v>6.0</v>
      </c>
      <c r="W540" s="20">
        <v>1.081875743E9</v>
      </c>
      <c r="X540" s="20">
        <v>1.081894215E9</v>
      </c>
      <c r="Y540" s="22">
        <v>46182.0</v>
      </c>
      <c r="Z540" s="22">
        <v>46207.0</v>
      </c>
      <c r="AA540" s="20">
        <v>62832.0</v>
      </c>
      <c r="AB540" s="20">
        <v>62832.0</v>
      </c>
      <c r="AC540" s="20">
        <v>0.0</v>
      </c>
      <c r="AD540" s="20">
        <v>0.0</v>
      </c>
      <c r="AE540" s="20">
        <v>0.0</v>
      </c>
      <c r="AF540" s="20">
        <v>0.0</v>
      </c>
      <c r="AG540" s="20">
        <v>0.0</v>
      </c>
      <c r="AH540" s="20">
        <v>0.0</v>
      </c>
      <c r="AI540" s="20">
        <v>0.0</v>
      </c>
      <c r="AJ540" s="20">
        <v>62832.0</v>
      </c>
      <c r="AK540" s="20">
        <v>62832.0</v>
      </c>
      <c r="AL540" s="20">
        <v>0.0</v>
      </c>
      <c r="AM540" s="20">
        <v>250.8</v>
      </c>
      <c r="AN540" s="20">
        <v>0.0</v>
      </c>
      <c r="AS540" s="11" t="str">
        <f>VLOOKUP(C540,'mayo-26'!B:AS,44,0)</f>
        <v>SUBFINANCIERA@IMSALUD.GOV.CO</v>
      </c>
      <c r="AT540" s="12" t="str">
        <f>VLOOKUP(C540,'mayo-26'!B:AT,45,0)</f>
        <v>CORREO ELECTRONICO CERTIFICADO 472</v>
      </c>
    </row>
    <row r="541" ht="14.25" customHeight="1">
      <c r="A541" s="20" t="s">
        <v>1164</v>
      </c>
      <c r="B541" s="20">
        <v>104179.0</v>
      </c>
      <c r="C541" s="20">
        <v>104178.0</v>
      </c>
      <c r="D541" s="21">
        <v>104178.0</v>
      </c>
      <c r="E541" s="20">
        <v>181794.0</v>
      </c>
      <c r="F541" s="20">
        <v>181794.0</v>
      </c>
      <c r="G541" s="20" t="s">
        <v>1165</v>
      </c>
      <c r="H541" s="20" t="s">
        <v>1166</v>
      </c>
      <c r="I541" s="1" t="str">
        <f>VLOOKUP(C541,'mayo-26'!B:H,7,0)</f>
        <v>AVE 5 12-53</v>
      </c>
      <c r="J541" s="1" t="s">
        <v>76</v>
      </c>
      <c r="K541" s="10" t="str">
        <f>VLOOKUP(C541,'mayo-26'!B:J,9,0)</f>
        <v>NO</v>
      </c>
      <c r="L541" s="1" t="str">
        <f>VLOOKUP(C541,'mayo-26'!B:K,10,0)</f>
        <v>NO</v>
      </c>
      <c r="M541" s="20" t="s">
        <v>52</v>
      </c>
      <c r="N541" s="20" t="s">
        <v>89</v>
      </c>
      <c r="O541" s="20" t="s">
        <v>861</v>
      </c>
      <c r="P541" s="20" t="s">
        <v>126</v>
      </c>
      <c r="Q541" s="20" t="s">
        <v>131</v>
      </c>
      <c r="R541" s="20" t="s">
        <v>132</v>
      </c>
      <c r="S541" s="20" t="s">
        <v>133</v>
      </c>
      <c r="T541" s="20" t="s">
        <v>59</v>
      </c>
      <c r="U541" s="20">
        <v>2026.0</v>
      </c>
      <c r="V541" s="20">
        <v>6.0</v>
      </c>
      <c r="W541" s="20">
        <v>1.081875747E9</v>
      </c>
      <c r="X541" s="20">
        <v>1.081894219E9</v>
      </c>
      <c r="Y541" s="22">
        <v>46182.0</v>
      </c>
      <c r="Z541" s="22">
        <v>46207.0</v>
      </c>
      <c r="AA541" s="20">
        <v>113796.31</v>
      </c>
      <c r="AB541" s="20">
        <v>113796.31</v>
      </c>
      <c r="AC541" s="20">
        <v>37709.5</v>
      </c>
      <c r="AD541" s="20">
        <v>0.0</v>
      </c>
      <c r="AE541" s="20">
        <v>667.81</v>
      </c>
      <c r="AF541" s="20">
        <v>0.0</v>
      </c>
      <c r="AG541" s="20">
        <v>0.0</v>
      </c>
      <c r="AH541" s="20">
        <v>0.0</v>
      </c>
      <c r="AI541" s="20">
        <v>0.0</v>
      </c>
      <c r="AJ541" s="20">
        <v>113796.31</v>
      </c>
      <c r="AK541" s="20">
        <v>227707.82</v>
      </c>
      <c r="AL541" s="20">
        <v>1.0</v>
      </c>
      <c r="AM541" s="20">
        <v>376.2</v>
      </c>
      <c r="AN541" s="20">
        <v>0.0</v>
      </c>
      <c r="AS541" s="11" t="str">
        <f>VLOOKUP(C541,'mayo-26'!B:AS,44,0)</f>
        <v>LINA.ESPINELM@CLARO.COM.CO</v>
      </c>
      <c r="AT541" s="12" t="str">
        <f>VLOOKUP(C541,'mayo-26'!B:AT,45,0)</f>
        <v>CORREO ELECTRONICO CERTIFICADO 472</v>
      </c>
    </row>
    <row r="542" ht="14.25" customHeight="1">
      <c r="A542" s="20" t="s">
        <v>1167</v>
      </c>
      <c r="B542" s="20">
        <v>365.0</v>
      </c>
      <c r="C542" s="20">
        <v>108742.0</v>
      </c>
      <c r="D542" s="21">
        <v>108742.0</v>
      </c>
      <c r="E542" s="20">
        <v>180016.0</v>
      </c>
      <c r="F542" s="20">
        <v>180016.0</v>
      </c>
      <c r="G542" s="20">
        <v>8.60034594E8</v>
      </c>
      <c r="H542" s="20" t="s">
        <v>1168</v>
      </c>
      <c r="I542" s="1" t="str">
        <f>VLOOKUP(C542,'mayo-26'!B:H,7,0)</f>
        <v>AVE 5 11-25 - CENTRO</v>
      </c>
      <c r="J542" s="1" t="s">
        <v>1169</v>
      </c>
      <c r="K542" s="10" t="str">
        <f>VLOOKUP(C542,'mayo-26'!B:J,9,0)</f>
        <v>NO</v>
      </c>
      <c r="L542" s="1" t="str">
        <f>VLOOKUP(C542,'mayo-26'!B:K,10,0)</f>
        <v>COLPATRIA</v>
      </c>
      <c r="M542" s="20" t="s">
        <v>52</v>
      </c>
      <c r="N542" s="20" t="s">
        <v>53</v>
      </c>
      <c r="O542" s="20" t="s">
        <v>861</v>
      </c>
      <c r="P542" s="20" t="s">
        <v>126</v>
      </c>
      <c r="Q542" s="20" t="s">
        <v>131</v>
      </c>
      <c r="R542" s="20" t="s">
        <v>132</v>
      </c>
      <c r="S542" s="20" t="s">
        <v>133</v>
      </c>
      <c r="T542" s="20" t="s">
        <v>59</v>
      </c>
      <c r="U542" s="20">
        <v>2026.0</v>
      </c>
      <c r="V542" s="20">
        <v>6.0</v>
      </c>
      <c r="W542" s="20">
        <v>1.081875751E9</v>
      </c>
      <c r="X542" s="20">
        <v>1.081894223E9</v>
      </c>
      <c r="Y542" s="22">
        <v>46182.0</v>
      </c>
      <c r="Z542" s="22">
        <v>46207.0</v>
      </c>
      <c r="AA542" s="20">
        <v>113128.5</v>
      </c>
      <c r="AB542" s="20">
        <v>113128.5</v>
      </c>
      <c r="AC542" s="20">
        <v>37709.5</v>
      </c>
      <c r="AD542" s="20">
        <v>0.0</v>
      </c>
      <c r="AE542" s="20">
        <v>0.0</v>
      </c>
      <c r="AF542" s="20">
        <v>0.0</v>
      </c>
      <c r="AG542" s="20">
        <v>0.0</v>
      </c>
      <c r="AH542" s="20">
        <v>0.0</v>
      </c>
      <c r="AI542" s="20">
        <v>0.0</v>
      </c>
      <c r="AJ542" s="20">
        <v>113128.5</v>
      </c>
      <c r="AK542" s="20">
        <v>113128.5</v>
      </c>
      <c r="AL542" s="20">
        <v>0.0</v>
      </c>
      <c r="AM542" s="20">
        <v>376.2</v>
      </c>
      <c r="AN542" s="20">
        <v>0.0</v>
      </c>
      <c r="AS542" s="11" t="str">
        <f>VLOOKUP(C542,'mayo-26'!B:AS,44,0)</f>
        <v>YOLVER.MARIO@SCOTIABANKCOLPATRIA.COM</v>
      </c>
      <c r="AT542" s="12" t="str">
        <f>VLOOKUP(C542,'mayo-26'!B:AT,45,0)</f>
        <v>CORREO ELECTRONICO CERTIFICADO 472</v>
      </c>
    </row>
    <row r="543" ht="14.25" customHeight="1">
      <c r="A543" s="20" t="s">
        <v>1170</v>
      </c>
      <c r="B543" s="20">
        <v>147.0</v>
      </c>
      <c r="C543" s="20">
        <v>109994.0</v>
      </c>
      <c r="D543" s="21">
        <v>109994.0</v>
      </c>
      <c r="E543" s="20">
        <v>403690.0</v>
      </c>
      <c r="F543" s="20">
        <v>403690.0</v>
      </c>
      <c r="G543" s="20" t="s">
        <v>179</v>
      </c>
      <c r="H543" s="20" t="s">
        <v>180</v>
      </c>
      <c r="I543" s="1" t="str">
        <f>VLOOKUP(C543,'mayo-26'!B:H,7,0)</f>
        <v>AVE 3 CLL 24 GARITA # 1</v>
      </c>
      <c r="J543" s="1" t="s">
        <v>902</v>
      </c>
      <c r="K543" s="10" t="str">
        <f>VLOOKUP(C543,'mayo-26'!B:J,9,0)</f>
        <v>NO</v>
      </c>
      <c r="L543" s="1" t="str">
        <f>VLOOKUP(C543,'mayo-26'!B:K,10,0)</f>
        <v>POLICIA</v>
      </c>
      <c r="M543" s="20" t="s">
        <v>52</v>
      </c>
      <c r="N543" s="20" t="s">
        <v>89</v>
      </c>
      <c r="O543" s="20" t="s">
        <v>861</v>
      </c>
      <c r="P543" s="20" t="s">
        <v>126</v>
      </c>
      <c r="Q543" s="20" t="s">
        <v>131</v>
      </c>
      <c r="R543" s="20" t="s">
        <v>1111</v>
      </c>
      <c r="S543" s="20" t="s">
        <v>133</v>
      </c>
      <c r="T543" s="20" t="s">
        <v>59</v>
      </c>
      <c r="U543" s="20">
        <v>2026.0</v>
      </c>
      <c r="V543" s="20">
        <v>6.0</v>
      </c>
      <c r="W543" s="20">
        <v>1.081875755E9</v>
      </c>
      <c r="X543" s="20">
        <v>1.081894227E9</v>
      </c>
      <c r="Y543" s="22">
        <v>46182.0</v>
      </c>
      <c r="Z543" s="22">
        <v>46207.0</v>
      </c>
      <c r="AA543" s="20">
        <v>50244.0</v>
      </c>
      <c r="AB543" s="20">
        <v>50244.0</v>
      </c>
      <c r="AC543" s="20">
        <v>0.0</v>
      </c>
      <c r="AD543" s="20">
        <v>0.0</v>
      </c>
      <c r="AE543" s="20">
        <v>0.0</v>
      </c>
      <c r="AF543" s="20">
        <v>0.0</v>
      </c>
      <c r="AG543" s="20">
        <v>0.0</v>
      </c>
      <c r="AH543" s="20">
        <v>0.0</v>
      </c>
      <c r="AI543" s="20">
        <v>0.0</v>
      </c>
      <c r="AJ543" s="20">
        <v>50244.0</v>
      </c>
      <c r="AK543" s="20">
        <v>101005.0</v>
      </c>
      <c r="AL543" s="20">
        <v>1.0</v>
      </c>
      <c r="AM543" s="20">
        <v>250.8</v>
      </c>
      <c r="AN543" s="20">
        <v>0.0</v>
      </c>
      <c r="AS543" s="11" t="str">
        <f>VLOOKUP(C543,'mayo-26'!B:AS,44,0)</f>
        <v>MECUC.GUBIR@POLICIA.GOV.CO</v>
      </c>
      <c r="AT543" s="12" t="str">
        <f>VLOOKUP(C543,'mayo-26'!B:AT,45,0)</f>
        <v>CORREO ELECTRONICO CERTIFICADO 472</v>
      </c>
    </row>
    <row r="544" ht="14.25" customHeight="1">
      <c r="A544" s="20" t="s">
        <v>1171</v>
      </c>
      <c r="B544" s="20">
        <v>455370.0</v>
      </c>
      <c r="C544" s="20">
        <v>110.0</v>
      </c>
      <c r="D544" s="21">
        <v>110.0</v>
      </c>
      <c r="E544" s="20">
        <v>9.0200153E7</v>
      </c>
      <c r="F544" s="20">
        <v>9.0200153E7</v>
      </c>
      <c r="G544" s="20" t="s">
        <v>148</v>
      </c>
      <c r="H544" s="20" t="s">
        <v>149</v>
      </c>
      <c r="I544" s="1" t="str">
        <f>VLOOKUP(C544,'mayo-26'!B:H,7,0)</f>
        <v>CALLE 10 NO 0E-16 EDF CENTRO EMPRESARIAL BLOQUE B HOTEL TONCHALA</v>
      </c>
      <c r="J544" s="1" t="s">
        <v>1172</v>
      </c>
      <c r="K544" s="10" t="str">
        <f>VLOOKUP(C544,'mayo-26'!B:J,9,0)</f>
        <v>NO</v>
      </c>
      <c r="L544" s="1" t="str">
        <f>VLOOKUP(C544,'mayo-26'!B:K,10,0)</f>
        <v>COLEGIOS ZONA SUR</v>
      </c>
      <c r="M544" s="20" t="s">
        <v>52</v>
      </c>
      <c r="N544" s="20" t="s">
        <v>53</v>
      </c>
      <c r="O544" s="20" t="s">
        <v>861</v>
      </c>
      <c r="P544" s="20" t="s">
        <v>126</v>
      </c>
      <c r="Q544" s="20" t="s">
        <v>56</v>
      </c>
      <c r="R544" s="20" t="s">
        <v>57</v>
      </c>
      <c r="S544" s="20" t="s">
        <v>143</v>
      </c>
      <c r="T544" s="20" t="s">
        <v>59</v>
      </c>
      <c r="U544" s="20">
        <v>2026.0</v>
      </c>
      <c r="V544" s="20">
        <v>6.0</v>
      </c>
      <c r="W544" s="20">
        <v>1.081875314E9</v>
      </c>
      <c r="X544" s="20">
        <v>1.081893785E9</v>
      </c>
      <c r="Y544" s="22">
        <v>46182.0</v>
      </c>
      <c r="Z544" s="22">
        <v>46207.0</v>
      </c>
      <c r="AA544" s="20">
        <v>85658.29</v>
      </c>
      <c r="AB544" s="20">
        <v>85658.29</v>
      </c>
      <c r="AC544" s="20">
        <v>0.0</v>
      </c>
      <c r="AD544" s="20">
        <v>253.0</v>
      </c>
      <c r="AE544" s="20">
        <v>0.0</v>
      </c>
      <c r="AF544" s="20">
        <v>0.0</v>
      </c>
      <c r="AG544" s="20">
        <v>0.0</v>
      </c>
      <c r="AH544" s="20">
        <v>0.0</v>
      </c>
      <c r="AI544" s="20">
        <v>0.0</v>
      </c>
      <c r="AJ544" s="20">
        <v>85658.29</v>
      </c>
      <c r="AK544" s="20">
        <v>256791.18</v>
      </c>
      <c r="AL544" s="20">
        <v>3.0</v>
      </c>
      <c r="AM544" s="20">
        <v>250.8</v>
      </c>
      <c r="AN544" s="20">
        <v>0.0</v>
      </c>
      <c r="AS544" s="11" t="str">
        <f>VLOOKUP(C544,'mayo-26'!B:AS,44,0)</f>
        <v>AREAFINANCIERA@SEMCUCUTA.GOV.CO</v>
      </c>
      <c r="AT544" s="12" t="str">
        <f>VLOOKUP(C544,'mayo-26'!B:AT,45,0)</f>
        <v>CARTERA</v>
      </c>
    </row>
    <row r="545" ht="14.25" customHeight="1">
      <c r="A545" s="20" t="s">
        <v>1173</v>
      </c>
      <c r="B545" s="20">
        <v>111175.0</v>
      </c>
      <c r="C545" s="20">
        <v>111174.0</v>
      </c>
      <c r="D545" s="21">
        <v>111174.0</v>
      </c>
      <c r="E545" s="20">
        <v>426420.0</v>
      </c>
      <c r="F545" s="20">
        <v>426420.0</v>
      </c>
      <c r="G545" s="20">
        <v>9.01591228E8</v>
      </c>
      <c r="H545" s="20" t="s">
        <v>1174</v>
      </c>
      <c r="I545" s="1" t="str">
        <f>VLOOKUP(C545,'mayo-26'!B:H,7,0)</f>
        <v>VIA ANILLO VIAL DGN INTERFERIAS BDG 1</v>
      </c>
      <c r="J545" s="1" t="s">
        <v>991</v>
      </c>
      <c r="K545" s="10" t="str">
        <f>VLOOKUP(C545,'mayo-26'!B:J,9,0)</f>
        <v>NO</v>
      </c>
      <c r="L545" s="1" t="str">
        <f>VLOOKUP(C545,'mayo-26'!B:K,10,0)</f>
        <v>NO</v>
      </c>
      <c r="M545" s="20" t="s">
        <v>52</v>
      </c>
      <c r="N545" s="20" t="s">
        <v>89</v>
      </c>
      <c r="O545" s="20" t="s">
        <v>861</v>
      </c>
      <c r="P545" s="20" t="s">
        <v>126</v>
      </c>
      <c r="Q545" s="20" t="s">
        <v>131</v>
      </c>
      <c r="R545" s="20" t="s">
        <v>132</v>
      </c>
      <c r="S545" s="20" t="s">
        <v>133</v>
      </c>
      <c r="T545" s="20" t="s">
        <v>59</v>
      </c>
      <c r="U545" s="20">
        <v>2026.0</v>
      </c>
      <c r="V545" s="20">
        <v>6.0</v>
      </c>
      <c r="W545" s="20">
        <v>1.081875758E9</v>
      </c>
      <c r="X545" s="20">
        <v>1.08189423E9</v>
      </c>
      <c r="Y545" s="22">
        <v>46182.0</v>
      </c>
      <c r="Z545" s="22">
        <v>46207.0</v>
      </c>
      <c r="AA545" s="20">
        <v>114389.91</v>
      </c>
      <c r="AB545" s="20">
        <v>114389.91</v>
      </c>
      <c r="AC545" s="20">
        <v>37709.5</v>
      </c>
      <c r="AD545" s="20">
        <v>0.0</v>
      </c>
      <c r="AE545" s="20">
        <v>1261.41</v>
      </c>
      <c r="AF545" s="20">
        <v>0.0</v>
      </c>
      <c r="AG545" s="20">
        <v>0.0</v>
      </c>
      <c r="AH545" s="20">
        <v>0.0</v>
      </c>
      <c r="AI545" s="20">
        <v>0.0</v>
      </c>
      <c r="AJ545" s="20">
        <v>114389.91</v>
      </c>
      <c r="AK545" s="20">
        <v>340726.41</v>
      </c>
      <c r="AL545" s="20">
        <v>2.0</v>
      </c>
      <c r="AM545" s="20">
        <v>376.2</v>
      </c>
      <c r="AN545" s="20">
        <v>0.0</v>
      </c>
      <c r="AS545" s="11" t="str">
        <f>VLOOKUP(C545,'mayo-26'!B:AS,44,0)</f>
        <v>GRUPOCOXTIN@GMAIL.COM</v>
      </c>
      <c r="AT545" s="12" t="str">
        <f>VLOOKUP(C545,'mayo-26'!B:AT,45,0)</f>
        <v>CORREO ELECTRONICO CERTIFICADO 472</v>
      </c>
    </row>
    <row r="546" ht="14.25" customHeight="1">
      <c r="A546" s="20" t="s">
        <v>1175</v>
      </c>
      <c r="B546" s="20">
        <v>404633.0</v>
      </c>
      <c r="C546" s="20">
        <v>112686.0</v>
      </c>
      <c r="D546" s="21">
        <v>112686.0</v>
      </c>
      <c r="E546" s="20">
        <v>83.0</v>
      </c>
      <c r="F546" s="20">
        <v>83.0</v>
      </c>
      <c r="G546" s="20">
        <v>8.60002964E8</v>
      </c>
      <c r="H546" s="20" t="s">
        <v>705</v>
      </c>
      <c r="I546" s="1" t="str">
        <f>VLOOKUP(C546,'mayo-26'!B:H,7,0)</f>
        <v>AVE 6 10-82 - CENTRO</v>
      </c>
      <c r="J546" s="1" t="s">
        <v>640</v>
      </c>
      <c r="K546" s="10" t="str">
        <f>VLOOKUP(C546,'mayo-26'!B:J,9,0)</f>
        <v>NO</v>
      </c>
      <c r="L546" s="1" t="str">
        <f>VLOOKUP(C546,'mayo-26'!B:K,10,0)</f>
        <v>BANCO BOGOTA</v>
      </c>
      <c r="M546" s="20" t="s">
        <v>52</v>
      </c>
      <c r="N546" s="20" t="s">
        <v>53</v>
      </c>
      <c r="O546" s="20" t="s">
        <v>861</v>
      </c>
      <c r="P546" s="20" t="s">
        <v>126</v>
      </c>
      <c r="Q546" s="20" t="s">
        <v>131</v>
      </c>
      <c r="R546" s="20" t="s">
        <v>132</v>
      </c>
      <c r="S546" s="20" t="s">
        <v>133</v>
      </c>
      <c r="T546" s="20" t="s">
        <v>59</v>
      </c>
      <c r="U546" s="20">
        <v>2026.0</v>
      </c>
      <c r="V546" s="20">
        <v>6.0</v>
      </c>
      <c r="W546" s="20">
        <v>1.081875761E9</v>
      </c>
      <c r="X546" s="20">
        <v>1.081894233E9</v>
      </c>
      <c r="Y546" s="22">
        <v>46182.0</v>
      </c>
      <c r="Z546" s="22">
        <v>46207.0</v>
      </c>
      <c r="AA546" s="20">
        <v>113128.5</v>
      </c>
      <c r="AB546" s="20">
        <v>113128.5</v>
      </c>
      <c r="AC546" s="20">
        <v>37709.5</v>
      </c>
      <c r="AD546" s="20">
        <v>0.0</v>
      </c>
      <c r="AE546" s="20">
        <v>0.0</v>
      </c>
      <c r="AF546" s="20">
        <v>0.0</v>
      </c>
      <c r="AG546" s="20">
        <v>0.0</v>
      </c>
      <c r="AH546" s="20">
        <v>0.0</v>
      </c>
      <c r="AI546" s="20">
        <v>0.0</v>
      </c>
      <c r="AJ546" s="20">
        <v>113128.5</v>
      </c>
      <c r="AK546" s="20">
        <v>113129.0</v>
      </c>
      <c r="AL546" s="20">
        <v>1.0</v>
      </c>
      <c r="AM546" s="20">
        <v>376.2</v>
      </c>
      <c r="AN546" s="20">
        <v>0.0</v>
      </c>
      <c r="AS546" s="11" t="str">
        <f>VLOOKUP(C546,'mayo-26'!B:AS,44,0)</f>
        <v>AVS3260@BANCODEBOGOTA.COM.CO</v>
      </c>
      <c r="AT546" s="12" t="str">
        <f>VLOOKUP(C546,'mayo-26'!B:AT,45,0)</f>
        <v>CORREO ELECTRONICO CERTIFICADO 472</v>
      </c>
    </row>
    <row r="547" ht="14.25" customHeight="1">
      <c r="A547" s="20" t="s">
        <v>1176</v>
      </c>
      <c r="B547" s="20">
        <v>285191.0</v>
      </c>
      <c r="C547" s="20">
        <v>115030.0</v>
      </c>
      <c r="D547" s="21">
        <v>115030.0</v>
      </c>
      <c r="E547" s="20">
        <v>612587.0</v>
      </c>
      <c r="F547" s="20">
        <v>612587.0</v>
      </c>
      <c r="G547" s="20">
        <v>9.00276962E8</v>
      </c>
      <c r="H547" s="20" t="s">
        <v>128</v>
      </c>
      <c r="I547" s="1" t="str">
        <f>VLOOKUP(C547,'mayo-26'!B:H,7,0)</f>
        <v>KDX 73-2 1116</v>
      </c>
      <c r="J547" s="1" t="s">
        <v>1050</v>
      </c>
      <c r="K547" s="10" t="str">
        <f>VLOOKUP(C547,'mayo-26'!B:J,9,0)</f>
        <v>NO</v>
      </c>
      <c r="L547" s="1" t="str">
        <f>VLOOKUP(C547,'mayo-26'!B:K,10,0)</f>
        <v>D1</v>
      </c>
      <c r="M547" s="20" t="s">
        <v>52</v>
      </c>
      <c r="N547" s="20" t="s">
        <v>53</v>
      </c>
      <c r="O547" s="20" t="s">
        <v>861</v>
      </c>
      <c r="P547" s="20" t="s">
        <v>126</v>
      </c>
      <c r="Q547" s="20" t="s">
        <v>131</v>
      </c>
      <c r="R547" s="20" t="s">
        <v>132</v>
      </c>
      <c r="S547" s="20" t="s">
        <v>133</v>
      </c>
      <c r="T547" s="20" t="s">
        <v>59</v>
      </c>
      <c r="U547" s="20">
        <v>2026.0</v>
      </c>
      <c r="V547" s="20">
        <v>6.0</v>
      </c>
      <c r="W547" s="20">
        <v>1.081875765E9</v>
      </c>
      <c r="X547" s="20">
        <v>1.081894237E9</v>
      </c>
      <c r="Y547" s="22">
        <v>46182.0</v>
      </c>
      <c r="Z547" s="22">
        <v>46207.0</v>
      </c>
      <c r="AA547" s="20">
        <v>113128.5</v>
      </c>
      <c r="AB547" s="20">
        <v>113128.5</v>
      </c>
      <c r="AC547" s="20">
        <v>37709.5</v>
      </c>
      <c r="AD547" s="20">
        <v>0.0</v>
      </c>
      <c r="AE547" s="20">
        <v>0.0</v>
      </c>
      <c r="AF547" s="20">
        <v>0.0</v>
      </c>
      <c r="AG547" s="20">
        <v>0.0</v>
      </c>
      <c r="AH547" s="20">
        <v>0.0</v>
      </c>
      <c r="AI547" s="20">
        <v>0.0</v>
      </c>
      <c r="AJ547" s="20">
        <v>113128.5</v>
      </c>
      <c r="AK547" s="20">
        <v>113128.5</v>
      </c>
      <c r="AL547" s="20">
        <v>0.0</v>
      </c>
      <c r="AM547" s="20">
        <v>376.2</v>
      </c>
      <c r="AN547" s="20">
        <v>0.0</v>
      </c>
      <c r="AS547" s="11" t="str">
        <f>VLOOKUP(C547,'mayo-26'!B:AS,44,0)</f>
        <v>ALBA.CELIS@D1.COM.CO;CARMEN.DAVILA@D1.COM.CO</v>
      </c>
      <c r="AT547" s="12" t="str">
        <f>VLOOKUP(C547,'mayo-26'!B:AT,45,0)</f>
        <v>CORREO ELECTRONICO CERTIFICADO 472</v>
      </c>
    </row>
    <row r="548" ht="14.25" customHeight="1">
      <c r="A548" s="20" t="s">
        <v>1177</v>
      </c>
      <c r="B548" s="20">
        <v>455370.0</v>
      </c>
      <c r="C548" s="20">
        <v>118.0</v>
      </c>
      <c r="D548" s="21">
        <v>118.0</v>
      </c>
      <c r="E548" s="20">
        <v>9.0204803E7</v>
      </c>
      <c r="F548" s="20">
        <v>9.0204803E7</v>
      </c>
      <c r="G548" s="20" t="s">
        <v>148</v>
      </c>
      <c r="H548" s="20" t="s">
        <v>149</v>
      </c>
      <c r="I548" s="1" t="str">
        <f>VLOOKUP(C548,'mayo-26'!B:H,7,0)</f>
        <v>CALLE 10 NO 0E-16 EDF CENTRO EMPRESARIAL BLOQUE B HOTEL TONCHALA</v>
      </c>
      <c r="J548" s="1" t="s">
        <v>873</v>
      </c>
      <c r="K548" s="10" t="str">
        <f>VLOOKUP(C548,'mayo-26'!B:J,9,0)</f>
        <v>NO</v>
      </c>
      <c r="L548" s="1" t="str">
        <f>VLOOKUP(C548,'mayo-26'!B:K,10,0)</f>
        <v>COLEGIOS ZONA SUR</v>
      </c>
      <c r="M548" s="20" t="s">
        <v>52</v>
      </c>
      <c r="N548" s="20" t="s">
        <v>53</v>
      </c>
      <c r="O548" s="20" t="s">
        <v>861</v>
      </c>
      <c r="P548" s="20" t="s">
        <v>126</v>
      </c>
      <c r="Q548" s="20" t="s">
        <v>56</v>
      </c>
      <c r="R548" s="20" t="s">
        <v>57</v>
      </c>
      <c r="S548" s="20" t="s">
        <v>143</v>
      </c>
      <c r="T548" s="20" t="s">
        <v>59</v>
      </c>
      <c r="U548" s="20">
        <v>2026.0</v>
      </c>
      <c r="V548" s="20">
        <v>6.0</v>
      </c>
      <c r="W548" s="20">
        <v>1.08187532E9</v>
      </c>
      <c r="X548" s="20">
        <v>1.081893792E9</v>
      </c>
      <c r="Y548" s="22">
        <v>46182.0</v>
      </c>
      <c r="Z548" s="22">
        <v>46207.0</v>
      </c>
      <c r="AA548" s="20">
        <v>248286.04</v>
      </c>
      <c r="AB548" s="20">
        <v>248286.04</v>
      </c>
      <c r="AC548" s="20">
        <v>0.0</v>
      </c>
      <c r="AD548" s="20">
        <v>1110.0</v>
      </c>
      <c r="AE548" s="20">
        <v>0.0</v>
      </c>
      <c r="AF548" s="20">
        <v>0.0</v>
      </c>
      <c r="AG548" s="20">
        <v>0.0</v>
      </c>
      <c r="AH548" s="20">
        <v>0.0</v>
      </c>
      <c r="AI548" s="20">
        <v>0.0</v>
      </c>
      <c r="AJ548" s="20">
        <v>248286.04</v>
      </c>
      <c r="AK548" s="20">
        <v>740848.78</v>
      </c>
      <c r="AL548" s="20">
        <v>3.0</v>
      </c>
      <c r="AM548" s="20">
        <v>250.8</v>
      </c>
      <c r="AN548" s="20">
        <v>0.0</v>
      </c>
      <c r="AS548" s="11" t="str">
        <f>VLOOKUP(C548,'mayo-26'!B:AS,44,0)</f>
        <v>AREAFINANCIERA@SEMCUCUTA.GOV.CO</v>
      </c>
      <c r="AT548" s="12" t="str">
        <f>VLOOKUP(C548,'mayo-26'!B:AT,45,0)</f>
        <v>CARTERA</v>
      </c>
    </row>
    <row r="549" ht="14.25" customHeight="1">
      <c r="A549" s="20" t="s">
        <v>1178</v>
      </c>
      <c r="B549" s="20">
        <v>280920.0</v>
      </c>
      <c r="C549" s="20">
        <v>118290.0</v>
      </c>
      <c r="D549" s="21">
        <v>118290.0</v>
      </c>
      <c r="E549" s="20">
        <v>645078.0</v>
      </c>
      <c r="F549" s="20">
        <v>645078.0</v>
      </c>
      <c r="G549" s="20">
        <v>9.00576569E8</v>
      </c>
      <c r="H549" s="20" t="s">
        <v>161</v>
      </c>
      <c r="I549" s="1" t="str">
        <f>VLOOKUP(C549,'mayo-26'!B:H,7,0)</f>
        <v>AVE 12 5AN-84 1142</v>
      </c>
      <c r="J549" s="1" t="s">
        <v>1050</v>
      </c>
      <c r="K549" s="10" t="str">
        <f>VLOOKUP(C549,'mayo-26'!B:J,9,0)</f>
        <v>NO</v>
      </c>
      <c r="L549" s="1" t="str">
        <f>VLOOKUP(C549,'mayo-26'!B:K,10,0)</f>
        <v>BETEL</v>
      </c>
      <c r="M549" s="20" t="s">
        <v>52</v>
      </c>
      <c r="N549" s="20" t="s">
        <v>89</v>
      </c>
      <c r="O549" s="20" t="s">
        <v>861</v>
      </c>
      <c r="P549" s="20" t="s">
        <v>126</v>
      </c>
      <c r="Q549" s="20" t="s">
        <v>56</v>
      </c>
      <c r="R549" s="20" t="s">
        <v>90</v>
      </c>
      <c r="S549" s="20" t="s">
        <v>143</v>
      </c>
      <c r="T549" s="20" t="s">
        <v>59</v>
      </c>
      <c r="U549" s="20">
        <v>2026.0</v>
      </c>
      <c r="V549" s="20">
        <v>6.0</v>
      </c>
      <c r="W549" s="20">
        <v>1.081875769E9</v>
      </c>
      <c r="X549" s="20">
        <v>1.081894241E9</v>
      </c>
      <c r="Y549" s="22">
        <v>46182.0</v>
      </c>
      <c r="Z549" s="22">
        <v>46207.0</v>
      </c>
      <c r="AA549" s="20">
        <v>448222.6</v>
      </c>
      <c r="AB549" s="20">
        <v>448222.6</v>
      </c>
      <c r="AC549" s="20">
        <v>136240.48</v>
      </c>
      <c r="AD549" s="20">
        <v>1237.5</v>
      </c>
      <c r="AE549" s="20">
        <v>39501.17</v>
      </c>
      <c r="AF549" s="20">
        <v>0.0</v>
      </c>
      <c r="AG549" s="20">
        <v>0.0</v>
      </c>
      <c r="AH549" s="20">
        <v>0.0</v>
      </c>
      <c r="AI549" s="20">
        <v>0.0</v>
      </c>
      <c r="AJ549" s="20">
        <v>448222.6</v>
      </c>
      <c r="AK549" s="20">
        <v>1321117.97</v>
      </c>
      <c r="AL549" s="20">
        <v>3.0</v>
      </c>
      <c r="AM549" s="20">
        <v>376.2</v>
      </c>
      <c r="AN549" s="20">
        <v>0.0</v>
      </c>
      <c r="AS549" s="11" t="str">
        <f>VLOOKUP(C549,'mayo-26'!B:AS,44,0)</f>
        <v>COORDTESORERIASUPERBETEL@GMAIL.COM</v>
      </c>
      <c r="AT549" s="12" t="str">
        <f>VLOOKUP(C549,'mayo-26'!B:AT,45,0)</f>
        <v>CORREO ELECTRONICO CERTIFICADO 472</v>
      </c>
    </row>
    <row r="550" ht="14.25" customHeight="1">
      <c r="A550" s="20" t="s">
        <v>1179</v>
      </c>
      <c r="B550" s="20">
        <v>699.0</v>
      </c>
      <c r="C550" s="20">
        <v>119134.0</v>
      </c>
      <c r="D550" s="21">
        <v>119134.0</v>
      </c>
      <c r="E550" s="20">
        <v>653367.0</v>
      </c>
      <c r="F550" s="20">
        <v>653367.0</v>
      </c>
      <c r="G550" s="20">
        <v>9.00480569E8</v>
      </c>
      <c r="H550" s="20" t="s">
        <v>141</v>
      </c>
      <c r="I550" s="1" t="str">
        <f>VLOOKUP(C550,'mayo-26'!B:H,7,0)</f>
        <v>CLL 12 4-52 CENTRO</v>
      </c>
      <c r="J550" s="1" t="s">
        <v>640</v>
      </c>
      <c r="K550" s="10" t="str">
        <f>VLOOKUP(C550,'mayo-26'!B:J,9,0)</f>
        <v>NO</v>
      </c>
      <c r="L550" s="1" t="str">
        <f>VLOOKUP(C550,'mayo-26'!B:K,10,0)</f>
        <v>ARA CUCUTA</v>
      </c>
      <c r="M550" s="20" t="s">
        <v>52</v>
      </c>
      <c r="N550" s="20" t="s">
        <v>53</v>
      </c>
      <c r="O550" s="20" t="s">
        <v>861</v>
      </c>
      <c r="P550" s="20" t="s">
        <v>126</v>
      </c>
      <c r="Q550" s="20" t="s">
        <v>56</v>
      </c>
      <c r="R550" s="20" t="s">
        <v>90</v>
      </c>
      <c r="S550" s="20" t="s">
        <v>143</v>
      </c>
      <c r="T550" s="20" t="s">
        <v>59</v>
      </c>
      <c r="U550" s="20">
        <v>2026.0</v>
      </c>
      <c r="V550" s="20">
        <v>6.0</v>
      </c>
      <c r="W550" s="20">
        <v>1.081875773E9</v>
      </c>
      <c r="X550" s="20">
        <v>1.081894245E9</v>
      </c>
      <c r="Y550" s="22">
        <v>46182.0</v>
      </c>
      <c r="Z550" s="22">
        <v>46207.0</v>
      </c>
      <c r="AA550" s="20">
        <v>449283.48</v>
      </c>
      <c r="AB550" s="20">
        <v>449283.48</v>
      </c>
      <c r="AC550" s="20">
        <v>149761.16</v>
      </c>
      <c r="AD550" s="20">
        <v>1380.0</v>
      </c>
      <c r="AE550" s="20">
        <v>0.0</v>
      </c>
      <c r="AF550" s="20">
        <v>0.0</v>
      </c>
      <c r="AG550" s="20">
        <v>0.0</v>
      </c>
      <c r="AH550" s="20">
        <v>0.0</v>
      </c>
      <c r="AI550" s="20">
        <v>0.0</v>
      </c>
      <c r="AJ550" s="20">
        <v>449283.48</v>
      </c>
      <c r="AK550" s="20">
        <v>449283.48</v>
      </c>
      <c r="AL550" s="20">
        <v>0.0</v>
      </c>
      <c r="AM550" s="20">
        <v>376.2</v>
      </c>
      <c r="AN550" s="20">
        <v>0.0</v>
      </c>
      <c r="AS550" s="11" t="str">
        <f>VLOOKUP(C550,'mayo-26'!B:AS,44,0)</f>
        <v>COORDINADOR.OPERACIONES.R11@JERONIMO-MARTINS.COM</v>
      </c>
      <c r="AT550" s="12" t="str">
        <f>VLOOKUP(C550,'mayo-26'!B:AT,45,0)</f>
        <v>CORREO ELECTRONICO CERTIFICADO 472</v>
      </c>
    </row>
    <row r="551" ht="14.25" customHeight="1">
      <c r="A551" s="20" t="s">
        <v>1180</v>
      </c>
      <c r="B551" s="20">
        <v>297.0</v>
      </c>
      <c r="C551" s="20">
        <v>119714.0</v>
      </c>
      <c r="D551" s="21">
        <v>119714.0</v>
      </c>
      <c r="E551" s="20">
        <v>660082.0</v>
      </c>
      <c r="F551" s="20">
        <v>660082.0</v>
      </c>
      <c r="G551" s="20" t="s">
        <v>135</v>
      </c>
      <c r="H551" s="20" t="s">
        <v>136</v>
      </c>
      <c r="I551" s="1" t="str">
        <f>VLOOKUP(C551,'mayo-26'!B:H,7,0)</f>
        <v>AVE 4 17-89 - 0239431</v>
      </c>
      <c r="J551" s="1" t="s">
        <v>1181</v>
      </c>
      <c r="K551" s="10" t="str">
        <f>VLOOKUP(C551,'mayo-26'!B:J,9,0)</f>
        <v>NO</v>
      </c>
      <c r="L551" s="1" t="str">
        <f>VLOOKUP(C551,'mayo-26'!B:K,10,0)</f>
        <v>IMSALUD</v>
      </c>
      <c r="M551" s="20" t="s">
        <v>52</v>
      </c>
      <c r="N551" s="20" t="s">
        <v>53</v>
      </c>
      <c r="O551" s="20" t="s">
        <v>861</v>
      </c>
      <c r="P551" s="20" t="s">
        <v>126</v>
      </c>
      <c r="Q551" s="20" t="s">
        <v>131</v>
      </c>
      <c r="R551" s="20" t="s">
        <v>151</v>
      </c>
      <c r="S551" s="20" t="s">
        <v>133</v>
      </c>
      <c r="T551" s="20" t="s">
        <v>59</v>
      </c>
      <c r="U551" s="20">
        <v>2026.0</v>
      </c>
      <c r="V551" s="20">
        <v>6.0</v>
      </c>
      <c r="W551" s="20">
        <v>1.081875777E9</v>
      </c>
      <c r="X551" s="20">
        <v>1.081894249E9</v>
      </c>
      <c r="Y551" s="22">
        <v>46182.0</v>
      </c>
      <c r="Z551" s="22">
        <v>46207.0</v>
      </c>
      <c r="AA551" s="20">
        <v>75419.0</v>
      </c>
      <c r="AB551" s="20">
        <v>75419.0</v>
      </c>
      <c r="AC551" s="20">
        <v>0.0</v>
      </c>
      <c r="AD551" s="20">
        <v>0.0</v>
      </c>
      <c r="AE551" s="20">
        <v>0.0</v>
      </c>
      <c r="AF551" s="20">
        <v>0.0</v>
      </c>
      <c r="AG551" s="20">
        <v>0.0</v>
      </c>
      <c r="AH551" s="20">
        <v>0.0</v>
      </c>
      <c r="AI551" s="20">
        <v>0.0</v>
      </c>
      <c r="AJ551" s="20">
        <v>75419.0</v>
      </c>
      <c r="AK551" s="20">
        <v>75419.0</v>
      </c>
      <c r="AL551" s="20">
        <v>0.0</v>
      </c>
      <c r="AM551" s="20">
        <v>250.8</v>
      </c>
      <c r="AN551" s="20">
        <v>0.0</v>
      </c>
      <c r="AS551" s="11" t="str">
        <f>VLOOKUP(C551,'mayo-26'!B:AS,44,0)</f>
        <v>SUBFINANCIERA@IMSALUD.GOV.CO</v>
      </c>
      <c r="AT551" s="12" t="str">
        <f>VLOOKUP(C551,'mayo-26'!B:AT,45,0)</f>
        <v>CORREO ELECTRONICO CERTIFICADO 472</v>
      </c>
    </row>
    <row r="552" ht="14.25" customHeight="1">
      <c r="A552" s="20" t="s">
        <v>1182</v>
      </c>
      <c r="B552" s="20">
        <v>141.0</v>
      </c>
      <c r="C552" s="20">
        <v>120490.0</v>
      </c>
      <c r="D552" s="21">
        <v>120490.0</v>
      </c>
      <c r="E552" s="20">
        <v>648846.0</v>
      </c>
      <c r="F552" s="20">
        <v>648846.0</v>
      </c>
      <c r="G552" s="20">
        <v>8.90500514E8</v>
      </c>
      <c r="H552" s="20" t="s">
        <v>145</v>
      </c>
      <c r="I552" s="1" t="str">
        <f>VLOOKUP(C552,'mayo-26'!B:H,7,0)</f>
        <v>AV 2 CALLE 39 LIBERTAD</v>
      </c>
      <c r="J552" s="1" t="s">
        <v>991</v>
      </c>
      <c r="K552" s="10" t="str">
        <f>VLOOKUP(C552,'mayo-26'!B:J,9,0)</f>
        <v>NO</v>
      </c>
      <c r="L552" s="1" t="str">
        <f>VLOOKUP(C552,'mayo-26'!B:K,10,0)</f>
        <v>CENS</v>
      </c>
      <c r="M552" s="20" t="s">
        <v>52</v>
      </c>
      <c r="N552" s="20" t="s">
        <v>53</v>
      </c>
      <c r="O552" s="20" t="s">
        <v>861</v>
      </c>
      <c r="P552" s="20" t="s">
        <v>126</v>
      </c>
      <c r="Q552" s="20" t="s">
        <v>56</v>
      </c>
      <c r="R552" s="20" t="s">
        <v>90</v>
      </c>
      <c r="S552" s="20" t="s">
        <v>143</v>
      </c>
      <c r="T552" s="20" t="s">
        <v>59</v>
      </c>
      <c r="U552" s="20">
        <v>2026.0</v>
      </c>
      <c r="V552" s="20">
        <v>6.0</v>
      </c>
      <c r="W552" s="20">
        <v>1.081875781E9</v>
      </c>
      <c r="X552" s="20">
        <v>1.081894253E9</v>
      </c>
      <c r="Y552" s="22">
        <v>46182.0</v>
      </c>
      <c r="Z552" s="22">
        <v>46207.0</v>
      </c>
      <c r="AA552" s="20">
        <v>181004.63</v>
      </c>
      <c r="AB552" s="20">
        <v>181004.63</v>
      </c>
      <c r="AC552" s="20">
        <v>60334.88</v>
      </c>
      <c r="AD552" s="20">
        <v>437.5</v>
      </c>
      <c r="AE552" s="20">
        <v>0.0</v>
      </c>
      <c r="AF552" s="20">
        <v>0.0</v>
      </c>
      <c r="AG552" s="20">
        <v>0.0</v>
      </c>
      <c r="AH552" s="20">
        <v>0.0</v>
      </c>
      <c r="AI552" s="20">
        <v>0.0</v>
      </c>
      <c r="AJ552" s="20">
        <v>181004.63</v>
      </c>
      <c r="AK552" s="20">
        <v>181004.63</v>
      </c>
      <c r="AL552" s="20">
        <v>0.0</v>
      </c>
      <c r="AM552" s="20">
        <v>376.2</v>
      </c>
      <c r="AN552" s="20">
        <v>0.0</v>
      </c>
      <c r="AS552" s="11" t="str">
        <f>VLOOKUP(C552,'mayo-26'!B:AS,44,0)</f>
        <v>FACTURAELECTRONICACENS@GRUPO-EPM.COM</v>
      </c>
      <c r="AT552" s="12" t="str">
        <f>VLOOKUP(C552,'mayo-26'!B:AT,45,0)</f>
        <v>CORREO ELECTRONICO CERTIFICADO 472</v>
      </c>
    </row>
    <row r="553" ht="14.25" customHeight="1">
      <c r="A553" s="20" t="s">
        <v>1183</v>
      </c>
      <c r="B553" s="20">
        <v>121811.0</v>
      </c>
      <c r="C553" s="20">
        <v>121810.0</v>
      </c>
      <c r="D553" s="21">
        <v>121810.0</v>
      </c>
      <c r="E553" s="20">
        <v>1001172.0</v>
      </c>
      <c r="F553" s="20">
        <v>1001172.0</v>
      </c>
      <c r="G553" s="20">
        <v>1001172.0</v>
      </c>
      <c r="H553" s="20" t="s">
        <v>1184</v>
      </c>
      <c r="I553" s="1" t="str">
        <f>VLOOKUP(C553,'mayo-26'!B:H,7,0)</f>
        <v>CLL 10 10-58</v>
      </c>
      <c r="J553" s="1" t="s">
        <v>860</v>
      </c>
      <c r="K553" s="10" t="str">
        <f>VLOOKUP(C553,'mayo-26'!B:J,9,0)</f>
        <v>CENTRO</v>
      </c>
      <c r="L553" s="1" t="str">
        <f>VLOOKUP(C553,'mayo-26'!B:K,10,0)</f>
        <v>NO</v>
      </c>
      <c r="M553" s="20" t="s">
        <v>52</v>
      </c>
      <c r="N553" s="20" t="s">
        <v>89</v>
      </c>
      <c r="O553" s="20" t="s">
        <v>861</v>
      </c>
      <c r="P553" s="20" t="s">
        <v>126</v>
      </c>
      <c r="Q553" s="20" t="s">
        <v>218</v>
      </c>
      <c r="R553" s="20" t="s">
        <v>219</v>
      </c>
      <c r="S553" s="20" t="s">
        <v>133</v>
      </c>
      <c r="T553" s="20" t="s">
        <v>59</v>
      </c>
      <c r="U553" s="20">
        <v>2026.0</v>
      </c>
      <c r="V553" s="20">
        <v>6.0</v>
      </c>
      <c r="W553" s="20">
        <v>1.081875785E9</v>
      </c>
      <c r="X553" s="20">
        <v>1.081894257E9</v>
      </c>
      <c r="Y553" s="22">
        <v>46182.0</v>
      </c>
      <c r="Z553" s="22">
        <v>46207.0</v>
      </c>
      <c r="AA553" s="20">
        <v>49934.3</v>
      </c>
      <c r="AB553" s="20">
        <v>49934.3</v>
      </c>
      <c r="AC553" s="20">
        <v>-1650.7</v>
      </c>
      <c r="AD553" s="20">
        <v>0.0</v>
      </c>
      <c r="AE553" s="20">
        <v>0.0</v>
      </c>
      <c r="AF553" s="20">
        <v>0.0</v>
      </c>
      <c r="AG553" s="20">
        <v>0.0</v>
      </c>
      <c r="AH553" s="20">
        <v>0.0</v>
      </c>
      <c r="AI553" s="20">
        <v>0.0</v>
      </c>
      <c r="AJ553" s="20">
        <v>49934.3</v>
      </c>
      <c r="AK553" s="20">
        <v>49935.11</v>
      </c>
      <c r="AL553" s="20">
        <v>1.0</v>
      </c>
      <c r="AM553" s="20">
        <v>242.77</v>
      </c>
      <c r="AN553" s="20">
        <v>0.0</v>
      </c>
      <c r="AS553" s="11" t="str">
        <f>VLOOKUP(C553,'mayo-26'!B:AS,44,0)</f>
        <v/>
      </c>
      <c r="AT553" s="12" t="str">
        <f>VLOOKUP(C553,'mayo-26'!B:AT,45,0)</f>
        <v>VERIFICADOR</v>
      </c>
    </row>
    <row r="554" ht="14.25" customHeight="1">
      <c r="A554" s="20" t="s">
        <v>1185</v>
      </c>
      <c r="B554" s="20">
        <v>297.0</v>
      </c>
      <c r="C554" s="20">
        <v>122.0</v>
      </c>
      <c r="D554" s="21">
        <v>122.0</v>
      </c>
      <c r="E554" s="20">
        <v>9.0206533E7</v>
      </c>
      <c r="F554" s="20">
        <v>9.0206533E7</v>
      </c>
      <c r="G554" s="20" t="s">
        <v>135</v>
      </c>
      <c r="H554" s="20" t="s">
        <v>136</v>
      </c>
      <c r="I554" s="1" t="str">
        <f>VLOOKUP(C554,'mayo-26'!B:H,7,0)</f>
        <v>AVE 4 17-89 - 0239431</v>
      </c>
      <c r="J554" s="1" t="s">
        <v>873</v>
      </c>
      <c r="K554" s="10" t="str">
        <f>VLOOKUP(C554,'mayo-26'!B:J,9,0)</f>
        <v>NO</v>
      </c>
      <c r="L554" s="1" t="str">
        <f>VLOOKUP(C554,'mayo-26'!B:K,10,0)</f>
        <v>IMSALUD</v>
      </c>
      <c r="M554" s="20" t="s">
        <v>52</v>
      </c>
      <c r="N554" s="20" t="s">
        <v>53</v>
      </c>
      <c r="O554" s="20" t="s">
        <v>861</v>
      </c>
      <c r="P554" s="20" t="s">
        <v>126</v>
      </c>
      <c r="Q554" s="20" t="s">
        <v>131</v>
      </c>
      <c r="R554" s="20" t="s">
        <v>151</v>
      </c>
      <c r="S554" s="20" t="s">
        <v>133</v>
      </c>
      <c r="T554" s="20" t="s">
        <v>59</v>
      </c>
      <c r="U554" s="20">
        <v>2026.0</v>
      </c>
      <c r="V554" s="20">
        <v>6.0</v>
      </c>
      <c r="W554" s="20">
        <v>1.081875321E9</v>
      </c>
      <c r="X554" s="20">
        <v>1.081893793E9</v>
      </c>
      <c r="Y554" s="22">
        <v>46182.0</v>
      </c>
      <c r="Z554" s="22">
        <v>46207.0</v>
      </c>
      <c r="AA554" s="20">
        <v>75419.0</v>
      </c>
      <c r="AB554" s="20">
        <v>75419.0</v>
      </c>
      <c r="AC554" s="20">
        <v>0.0</v>
      </c>
      <c r="AD554" s="20">
        <v>0.0</v>
      </c>
      <c r="AE554" s="20">
        <v>0.0</v>
      </c>
      <c r="AF554" s="20">
        <v>0.0</v>
      </c>
      <c r="AG554" s="20">
        <v>0.0</v>
      </c>
      <c r="AH554" s="20">
        <v>0.0</v>
      </c>
      <c r="AI554" s="20">
        <v>0.0</v>
      </c>
      <c r="AJ554" s="20">
        <v>75419.0</v>
      </c>
      <c r="AK554" s="20">
        <v>75419.0</v>
      </c>
      <c r="AL554" s="20">
        <v>0.0</v>
      </c>
      <c r="AM554" s="20">
        <v>250.8</v>
      </c>
      <c r="AN554" s="20">
        <v>0.0</v>
      </c>
      <c r="AS554" s="11" t="str">
        <f>VLOOKUP(C554,'mayo-26'!B:AS,44,0)</f>
        <v>SUBFINANCIERA@IMSALUD.GOV.CO</v>
      </c>
      <c r="AT554" s="12" t="str">
        <f>VLOOKUP(C554,'mayo-26'!B:AT,45,0)</f>
        <v>CORREO ELECTRONICO CERTIFICADO 472</v>
      </c>
    </row>
    <row r="555" ht="14.25" customHeight="1">
      <c r="A555" s="20" t="s">
        <v>1186</v>
      </c>
      <c r="B555" s="20">
        <v>699.0</v>
      </c>
      <c r="C555" s="20">
        <v>122050.0</v>
      </c>
      <c r="D555" s="21">
        <v>122050.0</v>
      </c>
      <c r="E555" s="20">
        <v>1004982.0</v>
      </c>
      <c r="F555" s="20">
        <v>1004982.0</v>
      </c>
      <c r="G555" s="20">
        <v>9.00480569E8</v>
      </c>
      <c r="H555" s="20" t="s">
        <v>141</v>
      </c>
      <c r="I555" s="1" t="str">
        <f>VLOOKUP(C555,'mayo-26'!B:H,7,0)</f>
        <v>CLL 12 4-52 CENTRO</v>
      </c>
      <c r="J555" s="1" t="s">
        <v>1187</v>
      </c>
      <c r="K555" s="10" t="str">
        <f>VLOOKUP(C555,'mayo-26'!B:J,9,0)</f>
        <v>NO</v>
      </c>
      <c r="L555" s="1" t="str">
        <f>VLOOKUP(C555,'mayo-26'!B:K,10,0)</f>
        <v>ARA CUCUTA</v>
      </c>
      <c r="M555" s="20" t="s">
        <v>52</v>
      </c>
      <c r="N555" s="20" t="s">
        <v>53</v>
      </c>
      <c r="O555" s="20" t="s">
        <v>861</v>
      </c>
      <c r="P555" s="20" t="s">
        <v>126</v>
      </c>
      <c r="Q555" s="20" t="s">
        <v>131</v>
      </c>
      <c r="R555" s="20" t="s">
        <v>363</v>
      </c>
      <c r="S555" s="20" t="s">
        <v>133</v>
      </c>
      <c r="T555" s="20" t="s">
        <v>59</v>
      </c>
      <c r="U555" s="20">
        <v>2026.0</v>
      </c>
      <c r="V555" s="20">
        <v>6.0</v>
      </c>
      <c r="W555" s="20">
        <v>1.081875792E9</v>
      </c>
      <c r="X555" s="20">
        <v>1.081894264E9</v>
      </c>
      <c r="Y555" s="22">
        <v>46182.0</v>
      </c>
      <c r="Z555" s="22">
        <v>46207.0</v>
      </c>
      <c r="AA555" s="20">
        <v>75366.0</v>
      </c>
      <c r="AB555" s="20">
        <v>75366.0</v>
      </c>
      <c r="AC555" s="20">
        <v>25122.0</v>
      </c>
      <c r="AD555" s="20">
        <v>0.0</v>
      </c>
      <c r="AE555" s="20">
        <v>0.0</v>
      </c>
      <c r="AF555" s="20">
        <v>0.0</v>
      </c>
      <c r="AG555" s="20">
        <v>0.0</v>
      </c>
      <c r="AH555" s="20">
        <v>0.0</v>
      </c>
      <c r="AI555" s="20">
        <v>0.0</v>
      </c>
      <c r="AJ555" s="20">
        <v>75366.0</v>
      </c>
      <c r="AK555" s="20">
        <v>155412.28</v>
      </c>
      <c r="AL555" s="20">
        <v>1.0</v>
      </c>
      <c r="AM555" s="20">
        <v>376.2</v>
      </c>
      <c r="AN555" s="20">
        <v>0.0</v>
      </c>
      <c r="AS555" s="11" t="str">
        <f>VLOOKUP(C555,'mayo-26'!B:AS,44,0)</f>
        <v>COORDINADOR.OPERACIONES.R11@JERONIMO-MARTINS.COM</v>
      </c>
      <c r="AT555" s="12" t="str">
        <f>VLOOKUP(C555,'mayo-26'!B:AT,45,0)</f>
        <v>CORREO ELECTRONICO CERTIFICADO 472</v>
      </c>
    </row>
    <row r="556" ht="14.25" customHeight="1">
      <c r="A556" s="20" t="s">
        <v>1188</v>
      </c>
      <c r="B556" s="20">
        <v>643.0</v>
      </c>
      <c r="C556" s="20">
        <v>122718.0</v>
      </c>
      <c r="D556" s="21">
        <v>122718.0</v>
      </c>
      <c r="E556" s="20">
        <v>17040.0</v>
      </c>
      <c r="F556" s="20">
        <v>17040.0</v>
      </c>
      <c r="G556" s="20" t="s">
        <v>1189</v>
      </c>
      <c r="H556" s="20" t="s">
        <v>1190</v>
      </c>
      <c r="I556" s="1" t="str">
        <f>VLOOKUP(C556,'mayo-26'!B:H,7,0)</f>
        <v>AV ANILLO VIAL ORIENTAL JARDIN PLAZA</v>
      </c>
      <c r="J556" s="1" t="s">
        <v>640</v>
      </c>
      <c r="K556" s="10" t="str">
        <f>VLOOKUP(C556,'mayo-26'!B:J,9,0)</f>
        <v>CENTRO</v>
      </c>
      <c r="L556" s="1" t="str">
        <f>VLOOKUP(C556,'mayo-26'!B:K,10,0)</f>
        <v>CENTRO</v>
      </c>
      <c r="M556" s="20" t="s">
        <v>52</v>
      </c>
      <c r="N556" s="20" t="s">
        <v>89</v>
      </c>
      <c r="O556" s="20" t="s">
        <v>861</v>
      </c>
      <c r="P556" s="20" t="s">
        <v>126</v>
      </c>
      <c r="Q556" s="20" t="s">
        <v>131</v>
      </c>
      <c r="R556" s="20" t="s">
        <v>363</v>
      </c>
      <c r="S556" s="20" t="s">
        <v>133</v>
      </c>
      <c r="T556" s="20" t="s">
        <v>59</v>
      </c>
      <c r="U556" s="20">
        <v>2026.0</v>
      </c>
      <c r="V556" s="20">
        <v>6.0</v>
      </c>
      <c r="W556" s="20">
        <v>1.081875797E9</v>
      </c>
      <c r="X556" s="20">
        <v>1.081894269E9</v>
      </c>
      <c r="Y556" s="22">
        <v>46182.0</v>
      </c>
      <c r="Z556" s="22">
        <v>46207.0</v>
      </c>
      <c r="AA556" s="20">
        <v>75366.0</v>
      </c>
      <c r="AB556" s="20">
        <v>75366.0</v>
      </c>
      <c r="AC556" s="20">
        <v>25122.0</v>
      </c>
      <c r="AD556" s="20">
        <v>0.0</v>
      </c>
      <c r="AE556" s="20">
        <v>0.0</v>
      </c>
      <c r="AF556" s="20">
        <v>0.0</v>
      </c>
      <c r="AG556" s="20">
        <v>0.0</v>
      </c>
      <c r="AH556" s="20">
        <v>0.0</v>
      </c>
      <c r="AI556" s="20">
        <v>0.0</v>
      </c>
      <c r="AJ556" s="20">
        <v>75366.0</v>
      </c>
      <c r="AK556" s="20">
        <v>75366.0</v>
      </c>
      <c r="AL556" s="20">
        <v>0.0</v>
      </c>
      <c r="AM556" s="20">
        <v>376.2</v>
      </c>
      <c r="AN556" s="20">
        <v>0.0</v>
      </c>
      <c r="AS556" s="11" t="str">
        <f>VLOOKUP(C556,'mayo-26'!B:AS,44,0)</f>
        <v>RECEPCIONFACTURAS@QUEST.COM.CO</v>
      </c>
      <c r="AT556" s="12" t="str">
        <f>VLOOKUP(C556,'mayo-26'!B:AT,45,0)</f>
        <v>VERIFICADOR</v>
      </c>
    </row>
    <row r="557" ht="14.25" customHeight="1">
      <c r="A557" s="20" t="s">
        <v>1191</v>
      </c>
      <c r="B557" s="20">
        <v>141.0</v>
      </c>
      <c r="C557" s="20">
        <v>123758.0</v>
      </c>
      <c r="D557" s="21">
        <v>123758.0</v>
      </c>
      <c r="E557" s="20">
        <v>527004.0</v>
      </c>
      <c r="F557" s="20">
        <v>527004.0</v>
      </c>
      <c r="G557" s="20">
        <v>8.90500514E8</v>
      </c>
      <c r="H557" s="20" t="s">
        <v>145</v>
      </c>
      <c r="I557" s="1" t="str">
        <f>VLOOKUP(C557,'mayo-26'!B:H,7,0)</f>
        <v>AV 2 CALLE 39 LIBERTAD</v>
      </c>
      <c r="J557" s="1" t="s">
        <v>991</v>
      </c>
      <c r="K557" s="10" t="str">
        <f>VLOOKUP(C557,'mayo-26'!B:J,9,0)</f>
        <v>NO</v>
      </c>
      <c r="L557" s="1" t="str">
        <f>VLOOKUP(C557,'mayo-26'!B:K,10,0)</f>
        <v>CENS</v>
      </c>
      <c r="M557" s="20" t="s">
        <v>52</v>
      </c>
      <c r="N557" s="20" t="s">
        <v>53</v>
      </c>
      <c r="O557" s="20" t="s">
        <v>861</v>
      </c>
      <c r="P557" s="20" t="s">
        <v>126</v>
      </c>
      <c r="Q557" s="20" t="s">
        <v>131</v>
      </c>
      <c r="R557" s="20" t="s">
        <v>363</v>
      </c>
      <c r="S557" s="20" t="s">
        <v>133</v>
      </c>
      <c r="T557" s="20" t="s">
        <v>59</v>
      </c>
      <c r="U557" s="20">
        <v>2026.0</v>
      </c>
      <c r="V557" s="20">
        <v>6.0</v>
      </c>
      <c r="W557" s="20">
        <v>1.081875801E9</v>
      </c>
      <c r="X557" s="20">
        <v>1.081894273E9</v>
      </c>
      <c r="Y557" s="22">
        <v>46182.0</v>
      </c>
      <c r="Z557" s="22">
        <v>46207.0</v>
      </c>
      <c r="AA557" s="20">
        <v>75366.0</v>
      </c>
      <c r="AB557" s="20">
        <v>75366.0</v>
      </c>
      <c r="AC557" s="20">
        <v>25122.0</v>
      </c>
      <c r="AD557" s="20">
        <v>0.0</v>
      </c>
      <c r="AE557" s="20">
        <v>0.0</v>
      </c>
      <c r="AF557" s="20">
        <v>0.0</v>
      </c>
      <c r="AG557" s="20">
        <v>0.0</v>
      </c>
      <c r="AH557" s="20">
        <v>0.0</v>
      </c>
      <c r="AI557" s="20">
        <v>0.0</v>
      </c>
      <c r="AJ557" s="20">
        <v>75366.0</v>
      </c>
      <c r="AK557" s="20">
        <v>75366.0</v>
      </c>
      <c r="AL557" s="20">
        <v>0.0</v>
      </c>
      <c r="AM557" s="20">
        <v>376.2</v>
      </c>
      <c r="AN557" s="20">
        <v>0.0</v>
      </c>
      <c r="AS557" s="11" t="str">
        <f>VLOOKUP(C557,'mayo-26'!B:AS,44,0)</f>
        <v>FACTURAELECTRONICACENS@GRUPO-EPM.COM</v>
      </c>
      <c r="AT557" s="12" t="str">
        <f>VLOOKUP(C557,'mayo-26'!B:AT,45,0)</f>
        <v>CORREO ELECTRONICO CERTIFICADO 472</v>
      </c>
    </row>
    <row r="558" ht="14.25" customHeight="1">
      <c r="A558" s="20" t="s">
        <v>1192</v>
      </c>
      <c r="B558" s="20">
        <v>147.0</v>
      </c>
      <c r="C558" s="20">
        <v>124518.0</v>
      </c>
      <c r="D558" s="21">
        <v>124518.0</v>
      </c>
      <c r="E558" s="20">
        <v>514303.0</v>
      </c>
      <c r="F558" s="20">
        <v>514303.0</v>
      </c>
      <c r="G558" s="20" t="s">
        <v>179</v>
      </c>
      <c r="H558" s="20" t="s">
        <v>180</v>
      </c>
      <c r="I558" s="1" t="str">
        <f>VLOOKUP(C558,'mayo-26'!B:H,7,0)</f>
        <v>AVE 3 CLL 24 GARITA # 1</v>
      </c>
      <c r="J558" s="1" t="s">
        <v>1193</v>
      </c>
      <c r="K558" s="10" t="str">
        <f>VLOOKUP(C558,'mayo-26'!B:J,9,0)</f>
        <v>NO</v>
      </c>
      <c r="L558" s="1" t="str">
        <f>VLOOKUP(C558,'mayo-26'!B:K,10,0)</f>
        <v>POLICIA</v>
      </c>
      <c r="M558" s="20" t="s">
        <v>52</v>
      </c>
      <c r="N558" s="20" t="s">
        <v>269</v>
      </c>
      <c r="O558" s="20" t="s">
        <v>861</v>
      </c>
      <c r="P558" s="20" t="s">
        <v>126</v>
      </c>
      <c r="Q558" s="20" t="s">
        <v>131</v>
      </c>
      <c r="R558" s="20" t="s">
        <v>1111</v>
      </c>
      <c r="S558" s="20" t="s">
        <v>133</v>
      </c>
      <c r="T558" s="20" t="s">
        <v>59</v>
      </c>
      <c r="U558" s="20">
        <v>2026.0</v>
      </c>
      <c r="V558" s="20">
        <v>6.0</v>
      </c>
      <c r="W558" s="20">
        <v>1.081875804E9</v>
      </c>
      <c r="X558" s="20">
        <v>1.081894276E9</v>
      </c>
      <c r="Y558" s="22">
        <v>46182.0</v>
      </c>
      <c r="Z558" s="22">
        <v>46207.0</v>
      </c>
      <c r="AA558" s="20">
        <v>16393.0</v>
      </c>
      <c r="AB558" s="20">
        <v>16393.0</v>
      </c>
      <c r="AC558" s="20">
        <v>0.0</v>
      </c>
      <c r="AD558" s="20">
        <v>0.0</v>
      </c>
      <c r="AE558" s="20">
        <v>0.0</v>
      </c>
      <c r="AF558" s="20">
        <v>0.0</v>
      </c>
      <c r="AG558" s="20">
        <v>0.0</v>
      </c>
      <c r="AH558" s="20">
        <v>0.0</v>
      </c>
      <c r="AI558" s="20">
        <v>0.0</v>
      </c>
      <c r="AJ558" s="20">
        <v>16393.0</v>
      </c>
      <c r="AK558" s="20">
        <v>32790.0</v>
      </c>
      <c r="AL558" s="20">
        <v>1.0</v>
      </c>
      <c r="AM558" s="20">
        <v>250.8</v>
      </c>
      <c r="AN558" s="20">
        <v>0.0</v>
      </c>
      <c r="AS558" s="11" t="str">
        <f>VLOOKUP(C558,'mayo-26'!B:AS,44,0)</f>
        <v>MECUC.GUBIR@POLICIA.GOV.CO</v>
      </c>
      <c r="AT558" s="12" t="str">
        <f>VLOOKUP(C558,'mayo-26'!B:AT,45,0)</f>
        <v>CORREO ELECTRONICO CERTIFICADO 472</v>
      </c>
    </row>
    <row r="559" ht="14.25" customHeight="1">
      <c r="B559" s="20">
        <v>124931.0</v>
      </c>
      <c r="C559" s="20">
        <v>124930.0</v>
      </c>
      <c r="D559" s="21">
        <v>124930.0</v>
      </c>
      <c r="E559" s="20">
        <v>1006310.0</v>
      </c>
      <c r="F559" s="20">
        <v>1006310.0</v>
      </c>
      <c r="G559" s="20" t="s">
        <v>1194</v>
      </c>
      <c r="H559" s="20" t="s">
        <v>1195</v>
      </c>
      <c r="I559" s="1" t="str">
        <f>VLOOKUP(C559,'mayo-26'!B:H,7,0)</f>
        <v>#N/A</v>
      </c>
      <c r="J559" s="1" t="e">
        <v>#N/A</v>
      </c>
      <c r="K559" s="10" t="str">
        <f>VLOOKUP(C559,'mayo-26'!B:J,9,0)</f>
        <v>#N/A</v>
      </c>
      <c r="L559" s="1" t="str">
        <f>VLOOKUP(C559,'mayo-26'!B:K,10,0)</f>
        <v>#N/A</v>
      </c>
      <c r="M559" s="20" t="s">
        <v>52</v>
      </c>
      <c r="N559" s="20" t="s">
        <v>89</v>
      </c>
      <c r="O559" s="20" t="s">
        <v>861</v>
      </c>
      <c r="P559" s="20" t="s">
        <v>126</v>
      </c>
      <c r="Q559" s="20" t="s">
        <v>131</v>
      </c>
      <c r="R559" s="20" t="s">
        <v>132</v>
      </c>
      <c r="S559" s="20" t="s">
        <v>133</v>
      </c>
      <c r="T559" s="20" t="s">
        <v>163</v>
      </c>
      <c r="U559" s="20">
        <v>2026.0</v>
      </c>
      <c r="V559" s="20">
        <v>6.0</v>
      </c>
      <c r="W559" s="20">
        <v>1.081875806E9</v>
      </c>
      <c r="X559" s="20">
        <v>1.081894278E9</v>
      </c>
      <c r="Y559" s="22">
        <v>46182.0</v>
      </c>
      <c r="Z559" s="22">
        <v>46207.0</v>
      </c>
      <c r="AA559" s="20">
        <v>286884.45</v>
      </c>
      <c r="AB559" s="20">
        <v>286884.45</v>
      </c>
      <c r="AC559" s="20">
        <v>18616.0</v>
      </c>
      <c r="AD559" s="20">
        <v>0.0</v>
      </c>
      <c r="AE559" s="20">
        <v>231036.45</v>
      </c>
      <c r="AF559" s="20">
        <v>0.0</v>
      </c>
      <c r="AG559" s="20">
        <v>0.0</v>
      </c>
      <c r="AH559" s="20">
        <v>0.0</v>
      </c>
      <c r="AI559" s="20">
        <v>0.0</v>
      </c>
      <c r="AJ559" s="20">
        <v>286884.45</v>
      </c>
      <c r="AK559" s="20">
        <v>1.374903832E7</v>
      </c>
      <c r="AL559" s="20">
        <v>18.0</v>
      </c>
      <c r="AM559" s="20">
        <v>376.2</v>
      </c>
      <c r="AN559" s="20">
        <v>0.0</v>
      </c>
      <c r="AS559" s="11" t="str">
        <f>VLOOKUP(C559,'mayo-26'!B:AS,44,0)</f>
        <v>#N/A</v>
      </c>
      <c r="AT559" s="12" t="str">
        <f>VLOOKUP(C559,'mayo-26'!B:AT,45,0)</f>
        <v>#N/A</v>
      </c>
    </row>
    <row r="560" ht="14.25" customHeight="1">
      <c r="A560" s="20" t="s">
        <v>1196</v>
      </c>
      <c r="B560" s="20">
        <v>297.0</v>
      </c>
      <c r="C560" s="20">
        <v>130.0</v>
      </c>
      <c r="D560" s="21">
        <v>130.0</v>
      </c>
      <c r="E560" s="20">
        <v>9.0211112E7</v>
      </c>
      <c r="F560" s="20">
        <v>9.0211112E7</v>
      </c>
      <c r="G560" s="20" t="s">
        <v>135</v>
      </c>
      <c r="H560" s="20" t="s">
        <v>136</v>
      </c>
      <c r="I560" s="1" t="str">
        <f>VLOOKUP(C560,'mayo-26'!B:H,7,0)</f>
        <v>AVE 4 17-89 - 0239431</v>
      </c>
      <c r="J560" s="1" t="s">
        <v>880</v>
      </c>
      <c r="K560" s="10" t="str">
        <f>VLOOKUP(C560,'mayo-26'!B:J,9,0)</f>
        <v>NO</v>
      </c>
      <c r="L560" s="1" t="str">
        <f>VLOOKUP(C560,'mayo-26'!B:K,10,0)</f>
        <v>IMSALUD</v>
      </c>
      <c r="M560" s="20" t="s">
        <v>52</v>
      </c>
      <c r="N560" s="20" t="s">
        <v>53</v>
      </c>
      <c r="O560" s="20" t="s">
        <v>861</v>
      </c>
      <c r="P560" s="20" t="s">
        <v>126</v>
      </c>
      <c r="Q560" s="20" t="s">
        <v>131</v>
      </c>
      <c r="R560" s="20" t="s">
        <v>151</v>
      </c>
      <c r="S560" s="20" t="s">
        <v>133</v>
      </c>
      <c r="T560" s="20" t="s">
        <v>59</v>
      </c>
      <c r="U560" s="20">
        <v>2026.0</v>
      </c>
      <c r="V560" s="20">
        <v>6.0</v>
      </c>
      <c r="W560" s="20">
        <v>1.081875326E9</v>
      </c>
      <c r="X560" s="20">
        <v>1.081893798E9</v>
      </c>
      <c r="Y560" s="22">
        <v>46182.0</v>
      </c>
      <c r="Z560" s="22">
        <v>46207.0</v>
      </c>
      <c r="AA560" s="20">
        <v>75419.0</v>
      </c>
      <c r="AB560" s="20">
        <v>75419.0</v>
      </c>
      <c r="AC560" s="20">
        <v>0.0</v>
      </c>
      <c r="AD560" s="20">
        <v>0.0</v>
      </c>
      <c r="AE560" s="20">
        <v>0.0</v>
      </c>
      <c r="AF560" s="20">
        <v>0.0</v>
      </c>
      <c r="AG560" s="20">
        <v>0.0</v>
      </c>
      <c r="AH560" s="20">
        <v>0.0</v>
      </c>
      <c r="AI560" s="20">
        <v>0.0</v>
      </c>
      <c r="AJ560" s="20">
        <v>75419.0</v>
      </c>
      <c r="AK560" s="20">
        <v>75419.0</v>
      </c>
      <c r="AL560" s="20">
        <v>0.0</v>
      </c>
      <c r="AM560" s="20">
        <v>250.8</v>
      </c>
      <c r="AN560" s="20">
        <v>0.0</v>
      </c>
      <c r="AS560" s="11" t="str">
        <f>VLOOKUP(C560,'mayo-26'!B:AS,44,0)</f>
        <v>SUBFINANCIERA@IMSALUD.GOV.CO</v>
      </c>
      <c r="AT560" s="12" t="str">
        <f>VLOOKUP(C560,'mayo-26'!B:AT,45,0)</f>
        <v>CORREO ELECTRONICO CERTIFICADO 472</v>
      </c>
    </row>
    <row r="561" ht="14.25" customHeight="1">
      <c r="A561" s="20" t="s">
        <v>1197</v>
      </c>
      <c r="B561" s="20">
        <v>135.0</v>
      </c>
      <c r="C561" s="20">
        <v>134.0</v>
      </c>
      <c r="D561" s="21">
        <v>134.0</v>
      </c>
      <c r="E561" s="20">
        <v>9.0213098E7</v>
      </c>
      <c r="F561" s="20">
        <v>9.0213098E7</v>
      </c>
      <c r="G561" s="20">
        <v>8.90050477E8</v>
      </c>
      <c r="H561" s="20" t="s">
        <v>1198</v>
      </c>
      <c r="I561" s="1" t="str">
        <f>VLOOKUP(C561,'mayo-26'!B:H,7,0)</f>
        <v>AVE 16 # 11-10 LIBERTAD</v>
      </c>
      <c r="J561" s="1" t="s">
        <v>882</v>
      </c>
      <c r="K561" s="10" t="str">
        <f>VLOOKUP(C561,'mayo-26'!B:J,9,0)</f>
        <v>NO</v>
      </c>
      <c r="L561" s="1" t="str">
        <f>VLOOKUP(C561,'mayo-26'!B:K,10,0)</f>
        <v>COLEGIOS ZONA SUR</v>
      </c>
      <c r="M561" s="20" t="s">
        <v>52</v>
      </c>
      <c r="N561" s="20" t="s">
        <v>89</v>
      </c>
      <c r="O561" s="20" t="s">
        <v>861</v>
      </c>
      <c r="P561" s="20" t="s">
        <v>126</v>
      </c>
      <c r="Q561" s="20" t="s">
        <v>56</v>
      </c>
      <c r="R561" s="20" t="s">
        <v>57</v>
      </c>
      <c r="S561" s="20" t="s">
        <v>143</v>
      </c>
      <c r="T561" s="20" t="s">
        <v>59</v>
      </c>
      <c r="U561" s="20">
        <v>2026.0</v>
      </c>
      <c r="V561" s="20">
        <v>6.0</v>
      </c>
      <c r="W561" s="20">
        <v>1.081875329E9</v>
      </c>
      <c r="X561" s="20">
        <v>1.081893801E9</v>
      </c>
      <c r="Y561" s="22">
        <v>46182.0</v>
      </c>
      <c r="Z561" s="22">
        <v>46207.0</v>
      </c>
      <c r="AA561" s="20">
        <v>1168261.92</v>
      </c>
      <c r="AB561" s="20">
        <v>1168261.92</v>
      </c>
      <c r="AC561" s="20">
        <v>0.0</v>
      </c>
      <c r="AD561" s="20">
        <v>5958.0</v>
      </c>
      <c r="AE561" s="20">
        <v>0.0</v>
      </c>
      <c r="AF561" s="20">
        <v>0.0</v>
      </c>
      <c r="AG561" s="20">
        <v>0.0</v>
      </c>
      <c r="AH561" s="20">
        <v>0.0</v>
      </c>
      <c r="AI561" s="20">
        <v>0.0</v>
      </c>
      <c r="AJ561" s="20">
        <v>1168261.92</v>
      </c>
      <c r="AK561" s="20">
        <v>3479134.94</v>
      </c>
      <c r="AL561" s="20">
        <v>3.0</v>
      </c>
      <c r="AM561" s="20">
        <v>250.8</v>
      </c>
      <c r="AN561" s="20">
        <v>0.0</v>
      </c>
      <c r="AS561" s="11" t="str">
        <f>VLOOKUP(C561,'mayo-26'!B:AS,44,0)</f>
        <v>AREAFINANCIERA@SEMCUCUTA.GOV.CO</v>
      </c>
      <c r="AT561" s="12" t="str">
        <f>VLOOKUP(C561,'mayo-26'!B:AT,45,0)</f>
        <v>CARTERA</v>
      </c>
    </row>
    <row r="562" ht="14.25" customHeight="1">
      <c r="A562" s="20" t="s">
        <v>1199</v>
      </c>
      <c r="B562" s="20">
        <v>147.0</v>
      </c>
      <c r="C562" s="20">
        <v>13598.0</v>
      </c>
      <c r="D562" s="21">
        <v>13598.0</v>
      </c>
      <c r="E562" s="20">
        <v>13260.0</v>
      </c>
      <c r="F562" s="20">
        <v>13260.0</v>
      </c>
      <c r="G562" s="20" t="s">
        <v>179</v>
      </c>
      <c r="H562" s="20" t="s">
        <v>180</v>
      </c>
      <c r="I562" s="1" t="str">
        <f>VLOOKUP(C562,'mayo-26'!B:H,7,0)</f>
        <v>AVE 3 CLL 24 GARITA # 1</v>
      </c>
      <c r="J562" s="1" t="s">
        <v>915</v>
      </c>
      <c r="K562" s="10" t="str">
        <f>VLOOKUP(C562,'mayo-26'!B:J,9,0)</f>
        <v>NO</v>
      </c>
      <c r="L562" s="1" t="str">
        <f>VLOOKUP(C562,'mayo-26'!B:K,10,0)</f>
        <v>POLICIA</v>
      </c>
      <c r="M562" s="20" t="s">
        <v>52</v>
      </c>
      <c r="N562" s="20" t="s">
        <v>89</v>
      </c>
      <c r="O562" s="20" t="s">
        <v>861</v>
      </c>
      <c r="P562" s="20" t="s">
        <v>126</v>
      </c>
      <c r="Q562" s="20" t="s">
        <v>131</v>
      </c>
      <c r="R562" s="20" t="s">
        <v>1111</v>
      </c>
      <c r="S562" s="20" t="s">
        <v>133</v>
      </c>
      <c r="T562" s="20" t="s">
        <v>59</v>
      </c>
      <c r="U562" s="20">
        <v>2026.0</v>
      </c>
      <c r="V562" s="20">
        <v>6.0</v>
      </c>
      <c r="W562" s="20">
        <v>1.081875703E9</v>
      </c>
      <c r="X562" s="20">
        <v>1.081894175E9</v>
      </c>
      <c r="Y562" s="22">
        <v>46182.0</v>
      </c>
      <c r="Z562" s="22">
        <v>46207.0</v>
      </c>
      <c r="AA562" s="20">
        <v>50244.0</v>
      </c>
      <c r="AB562" s="20">
        <v>50244.0</v>
      </c>
      <c r="AC562" s="20">
        <v>0.0</v>
      </c>
      <c r="AD562" s="20">
        <v>0.0</v>
      </c>
      <c r="AE562" s="20">
        <v>0.0</v>
      </c>
      <c r="AF562" s="20">
        <v>0.0</v>
      </c>
      <c r="AG562" s="20">
        <v>0.0</v>
      </c>
      <c r="AH562" s="20">
        <v>0.0</v>
      </c>
      <c r="AI562" s="20">
        <v>0.0</v>
      </c>
      <c r="AJ562" s="20">
        <v>50244.0</v>
      </c>
      <c r="AK562" s="20">
        <v>101005.0</v>
      </c>
      <c r="AL562" s="20">
        <v>1.0</v>
      </c>
      <c r="AM562" s="20">
        <v>250.8</v>
      </c>
      <c r="AN562" s="20">
        <v>0.0</v>
      </c>
      <c r="AS562" s="11" t="str">
        <f>VLOOKUP(C562,'mayo-26'!B:AS,44,0)</f>
        <v>MECUC.GUBIR@POLICIA.GOV.CO</v>
      </c>
      <c r="AT562" s="12" t="str">
        <f>VLOOKUP(C562,'mayo-26'!B:AT,45,0)</f>
        <v>CORREO ELECTRONICO CERTIFICADO 472</v>
      </c>
    </row>
    <row r="563" ht="14.25" customHeight="1">
      <c r="A563" s="20" t="s">
        <v>1200</v>
      </c>
      <c r="B563" s="20">
        <v>147.0</v>
      </c>
      <c r="C563" s="20">
        <v>142.0</v>
      </c>
      <c r="D563" s="21">
        <v>142.0</v>
      </c>
      <c r="E563" s="20">
        <v>9.0216541E7</v>
      </c>
      <c r="F563" s="20">
        <v>9.0216541E7</v>
      </c>
      <c r="G563" s="20" t="s">
        <v>179</v>
      </c>
      <c r="H563" s="20" t="s">
        <v>180</v>
      </c>
      <c r="I563" s="1" t="str">
        <f>VLOOKUP(C563,'mayo-26'!B:H,7,0)</f>
        <v>AVE 3 CLL 24 GARITA # 1</v>
      </c>
      <c r="J563" s="1" t="s">
        <v>888</v>
      </c>
      <c r="K563" s="10" t="str">
        <f>VLOOKUP(C563,'mayo-26'!B:J,9,0)</f>
        <v>NO</v>
      </c>
      <c r="L563" s="1" t="str">
        <f>VLOOKUP(C563,'mayo-26'!B:K,10,0)</f>
        <v>POLICIA</v>
      </c>
      <c r="M563" s="20" t="s">
        <v>52</v>
      </c>
      <c r="N563" s="20" t="s">
        <v>89</v>
      </c>
      <c r="O563" s="20" t="s">
        <v>861</v>
      </c>
      <c r="P563" s="20" t="s">
        <v>126</v>
      </c>
      <c r="Q563" s="20" t="s">
        <v>56</v>
      </c>
      <c r="R563" s="20" t="s">
        <v>57</v>
      </c>
      <c r="S563" s="20" t="s">
        <v>143</v>
      </c>
      <c r="T563" s="20" t="s">
        <v>59</v>
      </c>
      <c r="U563" s="20">
        <v>2026.0</v>
      </c>
      <c r="V563" s="20">
        <v>6.0</v>
      </c>
      <c r="W563" s="20">
        <v>1.081875333E9</v>
      </c>
      <c r="X563" s="20">
        <v>1.081893805E9</v>
      </c>
      <c r="Y563" s="22">
        <v>46182.0</v>
      </c>
      <c r="Z563" s="22">
        <v>46207.0</v>
      </c>
      <c r="AA563" s="20">
        <v>85089.0</v>
      </c>
      <c r="AB563" s="20">
        <v>85089.0</v>
      </c>
      <c r="AC563" s="20">
        <v>0.0</v>
      </c>
      <c r="AD563" s="20">
        <v>250.0</v>
      </c>
      <c r="AE563" s="20">
        <v>0.0</v>
      </c>
      <c r="AF563" s="20">
        <v>0.0</v>
      </c>
      <c r="AG563" s="20">
        <v>0.0</v>
      </c>
      <c r="AH563" s="20">
        <v>0.0</v>
      </c>
      <c r="AI563" s="20">
        <v>0.0</v>
      </c>
      <c r="AJ563" s="20">
        <v>85089.0</v>
      </c>
      <c r="AK563" s="20">
        <v>170704.0</v>
      </c>
      <c r="AL563" s="20">
        <v>2.0</v>
      </c>
      <c r="AM563" s="20">
        <v>250.8</v>
      </c>
      <c r="AN563" s="20">
        <v>0.0</v>
      </c>
      <c r="AS563" s="11" t="str">
        <f>VLOOKUP(C563,'mayo-26'!B:AS,44,0)</f>
        <v>MECUC.GUBIR@POLICIA.GOV.CO</v>
      </c>
      <c r="AT563" s="12" t="str">
        <f>VLOOKUP(C563,'mayo-26'!B:AT,45,0)</f>
        <v>CORREO ELECTRONICO CERTIFICADO 472</v>
      </c>
    </row>
    <row r="564" ht="14.25" customHeight="1">
      <c r="A564" s="20" t="s">
        <v>1201</v>
      </c>
      <c r="B564" s="20">
        <v>147.0</v>
      </c>
      <c r="C564" s="20">
        <v>146.0</v>
      </c>
      <c r="D564" s="21">
        <v>146.0</v>
      </c>
      <c r="E564" s="20">
        <v>9.0217283E7</v>
      </c>
      <c r="F564" s="20">
        <v>9.0217283E7</v>
      </c>
      <c r="G564" s="20" t="s">
        <v>179</v>
      </c>
      <c r="H564" s="20" t="s">
        <v>180</v>
      </c>
      <c r="I564" s="1" t="str">
        <f>VLOOKUP(C564,'mayo-26'!B:H,7,0)</f>
        <v>AVE 3 CLL 24 GARITA # 1</v>
      </c>
      <c r="J564" s="1" t="s">
        <v>1023</v>
      </c>
      <c r="K564" s="10" t="str">
        <f>VLOOKUP(C564,'mayo-26'!B:J,9,0)</f>
        <v>NO</v>
      </c>
      <c r="L564" s="1" t="str">
        <f>VLOOKUP(C564,'mayo-26'!B:K,10,0)</f>
        <v>POLICIA</v>
      </c>
      <c r="M564" s="20" t="s">
        <v>52</v>
      </c>
      <c r="N564" s="20" t="s">
        <v>89</v>
      </c>
      <c r="O564" s="20" t="s">
        <v>861</v>
      </c>
      <c r="P564" s="20" t="s">
        <v>126</v>
      </c>
      <c r="Q564" s="20" t="s">
        <v>56</v>
      </c>
      <c r="R564" s="20" t="s">
        <v>57</v>
      </c>
      <c r="S564" s="20" t="s">
        <v>143</v>
      </c>
      <c r="T564" s="20" t="s">
        <v>59</v>
      </c>
      <c r="U564" s="20">
        <v>2026.0</v>
      </c>
      <c r="V564" s="20">
        <v>6.0</v>
      </c>
      <c r="W564" s="20">
        <v>1.081875337E9</v>
      </c>
      <c r="X564" s="20">
        <v>1.081893809E9</v>
      </c>
      <c r="Y564" s="22">
        <v>46182.0</v>
      </c>
      <c r="Z564" s="22">
        <v>46207.0</v>
      </c>
      <c r="AA564" s="20">
        <v>2428199.99</v>
      </c>
      <c r="AB564" s="20">
        <v>2428199.99</v>
      </c>
      <c r="AC564" s="20">
        <v>0.0</v>
      </c>
      <c r="AD564" s="20">
        <v>12597.5</v>
      </c>
      <c r="AE564" s="20">
        <v>0.0</v>
      </c>
      <c r="AF564" s="20">
        <v>0.0</v>
      </c>
      <c r="AG564" s="20">
        <v>0.0</v>
      </c>
      <c r="AH564" s="20">
        <v>0.0</v>
      </c>
      <c r="AI564" s="20">
        <v>0.0</v>
      </c>
      <c r="AJ564" s="20">
        <v>2428199.99</v>
      </c>
      <c r="AK564" s="20">
        <v>4857505.75</v>
      </c>
      <c r="AL564" s="20">
        <v>1.0</v>
      </c>
      <c r="AM564" s="20">
        <v>250.8</v>
      </c>
      <c r="AN564" s="20">
        <v>0.0</v>
      </c>
      <c r="AS564" s="11" t="str">
        <f>VLOOKUP(C564,'mayo-26'!B:AS,44,0)</f>
        <v>MECUC.GUBIR@POLICIA.GOV.CO</v>
      </c>
      <c r="AT564" s="12" t="str">
        <f>VLOOKUP(C564,'mayo-26'!B:AT,45,0)</f>
        <v>CORREO ELECTRONICO CERTIFICADO 472</v>
      </c>
    </row>
    <row r="565" ht="14.25" customHeight="1">
      <c r="A565" s="20" t="s">
        <v>1202</v>
      </c>
      <c r="B565" s="20">
        <v>151.0</v>
      </c>
      <c r="C565" s="20">
        <v>150.0</v>
      </c>
      <c r="D565" s="21">
        <v>150.0</v>
      </c>
      <c r="E565" s="20">
        <v>9.0217752E7</v>
      </c>
      <c r="F565" s="20">
        <v>9.0217752E7</v>
      </c>
      <c r="G565" s="20">
        <v>8.90930668E8</v>
      </c>
      <c r="H565" s="20" t="s">
        <v>1203</v>
      </c>
      <c r="I565" s="1" t="str">
        <f>VLOOKUP(C565,'mayo-26'!B:H,7,0)</f>
        <v>AVE 3 21-36</v>
      </c>
      <c r="J565" s="1" t="s">
        <v>863</v>
      </c>
      <c r="K565" s="10" t="str">
        <f>VLOOKUP(C565,'mayo-26'!B:J,9,0)</f>
        <v>NO</v>
      </c>
      <c r="L565" s="1" t="str">
        <f>VLOOKUP(C565,'mayo-26'!B:K,10,0)</f>
        <v>NO</v>
      </c>
      <c r="M565" s="20" t="s">
        <v>52</v>
      </c>
      <c r="N565" s="20" t="s">
        <v>89</v>
      </c>
      <c r="O565" s="20" t="s">
        <v>861</v>
      </c>
      <c r="P565" s="20" t="s">
        <v>126</v>
      </c>
      <c r="Q565" s="20" t="s">
        <v>56</v>
      </c>
      <c r="R565" s="20" t="s">
        <v>90</v>
      </c>
      <c r="S565" s="20" t="s">
        <v>143</v>
      </c>
      <c r="T565" s="20" t="s">
        <v>59</v>
      </c>
      <c r="U565" s="20">
        <v>2026.0</v>
      </c>
      <c r="V565" s="20">
        <v>6.0</v>
      </c>
      <c r="W565" s="20">
        <v>1.081875341E9</v>
      </c>
      <c r="X565" s="20">
        <v>1.081893813E9</v>
      </c>
      <c r="Y565" s="22">
        <v>46182.0</v>
      </c>
      <c r="Z565" s="22">
        <v>46207.0</v>
      </c>
      <c r="AA565" s="20">
        <v>3340535.92</v>
      </c>
      <c r="AB565" s="20">
        <v>3340535.92</v>
      </c>
      <c r="AC565" s="20">
        <v>958155.8</v>
      </c>
      <c r="AD565" s="20">
        <v>9900.0</v>
      </c>
      <c r="AE565" s="20">
        <v>466068.52</v>
      </c>
      <c r="AF565" s="20">
        <v>0.0</v>
      </c>
      <c r="AG565" s="20">
        <v>0.0</v>
      </c>
      <c r="AH565" s="20">
        <v>0.0</v>
      </c>
      <c r="AI565" s="20">
        <v>0.0</v>
      </c>
      <c r="AJ565" s="20">
        <v>3340535.92</v>
      </c>
      <c r="AK565" s="20">
        <v>3.323770296E7</v>
      </c>
      <c r="AL565" s="20">
        <v>10.0</v>
      </c>
      <c r="AM565" s="20">
        <v>376.2</v>
      </c>
      <c r="AN565" s="20">
        <v>0.0</v>
      </c>
      <c r="AS565" s="11" t="str">
        <f>VLOOKUP(C565,'mayo-26'!B:AS,44,0)</f>
        <v>contabilidad@hotel-bolivar.com</v>
      </c>
      <c r="AT565" s="12" t="str">
        <f>VLOOKUP(C565,'mayo-26'!B:AT,45,0)</f>
        <v>CORREO ELECTRONICO CERTIFICADO 472</v>
      </c>
    </row>
    <row r="566" ht="14.25" customHeight="1">
      <c r="A566" s="20" t="s">
        <v>1204</v>
      </c>
      <c r="B566" s="20">
        <v>297.0</v>
      </c>
      <c r="C566" s="20">
        <v>15258.0</v>
      </c>
      <c r="D566" s="21">
        <v>15258.0</v>
      </c>
      <c r="E566" s="20">
        <v>323728.0</v>
      </c>
      <c r="F566" s="20">
        <v>323728.0</v>
      </c>
      <c r="G566" s="20" t="s">
        <v>135</v>
      </c>
      <c r="H566" s="20" t="s">
        <v>136</v>
      </c>
      <c r="I566" s="1" t="str">
        <f>VLOOKUP(C566,'mayo-26'!B:H,7,0)</f>
        <v>AVE 4 17-89 - 0239431</v>
      </c>
      <c r="J566" s="1" t="s">
        <v>1205</v>
      </c>
      <c r="K566" s="10" t="str">
        <f>VLOOKUP(C566,'mayo-26'!B:J,9,0)</f>
        <v>NO</v>
      </c>
      <c r="L566" s="1" t="str">
        <f>VLOOKUP(C566,'mayo-26'!B:K,10,0)</f>
        <v>IMSALUD</v>
      </c>
      <c r="M566" s="20" t="s">
        <v>52</v>
      </c>
      <c r="N566" s="20" t="s">
        <v>53</v>
      </c>
      <c r="O566" s="20" t="s">
        <v>861</v>
      </c>
      <c r="P566" s="20" t="s">
        <v>126</v>
      </c>
      <c r="Q566" s="20" t="s">
        <v>131</v>
      </c>
      <c r="R566" s="20" t="s">
        <v>538</v>
      </c>
      <c r="S566" s="20" t="s">
        <v>133</v>
      </c>
      <c r="T566" s="20" t="s">
        <v>59</v>
      </c>
      <c r="U566" s="20">
        <v>2026.0</v>
      </c>
      <c r="V566" s="20">
        <v>6.0</v>
      </c>
      <c r="W566" s="20">
        <v>1.081875706E9</v>
      </c>
      <c r="X566" s="20">
        <v>1.081894178E9</v>
      </c>
      <c r="Y566" s="22">
        <v>46182.0</v>
      </c>
      <c r="Z566" s="22">
        <v>46207.0</v>
      </c>
      <c r="AA566" s="20">
        <v>94248.0</v>
      </c>
      <c r="AB566" s="20">
        <v>94248.0</v>
      </c>
      <c r="AC566" s="20">
        <v>31416.0</v>
      </c>
      <c r="AD566" s="20">
        <v>0.0</v>
      </c>
      <c r="AE566" s="20">
        <v>0.0</v>
      </c>
      <c r="AF566" s="20">
        <v>0.0</v>
      </c>
      <c r="AG566" s="20">
        <v>0.0</v>
      </c>
      <c r="AH566" s="20">
        <v>0.0</v>
      </c>
      <c r="AI566" s="20">
        <v>0.0</v>
      </c>
      <c r="AJ566" s="20">
        <v>94248.0</v>
      </c>
      <c r="AK566" s="20">
        <v>94248.0</v>
      </c>
      <c r="AL566" s="20">
        <v>0.0</v>
      </c>
      <c r="AM566" s="20">
        <v>376.2</v>
      </c>
      <c r="AN566" s="20">
        <v>0.0</v>
      </c>
      <c r="AS566" s="11" t="str">
        <f>VLOOKUP(C566,'mayo-26'!B:AS,44,0)</f>
        <v>SUBFINANCIERA@IMSALUD.GOV.CO</v>
      </c>
      <c r="AT566" s="12" t="str">
        <f>VLOOKUP(C566,'mayo-26'!B:AT,45,0)</f>
        <v>CORREO ELECTRONICO CERTIFICADO 472</v>
      </c>
    </row>
    <row r="567" ht="14.25" customHeight="1">
      <c r="A567" s="20" t="s">
        <v>1206</v>
      </c>
      <c r="B567" s="20">
        <v>155.0</v>
      </c>
      <c r="C567" s="20">
        <v>154.0</v>
      </c>
      <c r="D567" s="21">
        <v>154.0</v>
      </c>
      <c r="E567" s="20">
        <v>9.0217993E7</v>
      </c>
      <c r="F567" s="20">
        <v>9.0217993E7</v>
      </c>
      <c r="G567" s="20" t="s">
        <v>1207</v>
      </c>
      <c r="H567" s="20" t="s">
        <v>1208</v>
      </c>
      <c r="I567" s="1" t="str">
        <f>VLOOKUP(C567,'mayo-26'!B:H,7,0)</f>
        <v>CR SAN RAFAEL TENNIS</v>
      </c>
      <c r="J567" s="1" t="s">
        <v>895</v>
      </c>
      <c r="K567" s="10" t="str">
        <f>VLOOKUP(C567,'mayo-26'!B:J,9,0)</f>
        <v>NO</v>
      </c>
      <c r="L567" s="1" t="str">
        <f>VLOOKUP(C567,'mayo-26'!B:K,10,0)</f>
        <v>NO</v>
      </c>
      <c r="M567" s="20" t="s">
        <v>52</v>
      </c>
      <c r="N567" s="20" t="s">
        <v>89</v>
      </c>
      <c r="O567" s="20" t="s">
        <v>861</v>
      </c>
      <c r="P567" s="20" t="s">
        <v>126</v>
      </c>
      <c r="Q567" s="20" t="s">
        <v>56</v>
      </c>
      <c r="R567" s="20" t="s">
        <v>90</v>
      </c>
      <c r="S567" s="20" t="s">
        <v>143</v>
      </c>
      <c r="T567" s="20" t="s">
        <v>59</v>
      </c>
      <c r="U567" s="20">
        <v>2026.0</v>
      </c>
      <c r="V567" s="20">
        <v>6.0</v>
      </c>
      <c r="W567" s="20">
        <v>1.081875348E9</v>
      </c>
      <c r="X567" s="20">
        <v>1.08189382E9</v>
      </c>
      <c r="Y567" s="22">
        <v>46182.0</v>
      </c>
      <c r="Z567" s="22">
        <v>46207.0</v>
      </c>
      <c r="AA567" s="20">
        <v>5613473.55</v>
      </c>
      <c r="AB567" s="20">
        <v>5613473.55</v>
      </c>
      <c r="AC567" s="20">
        <v>1871157.85</v>
      </c>
      <c r="AD567" s="20">
        <v>19522.5</v>
      </c>
      <c r="AE567" s="20">
        <v>0.0</v>
      </c>
      <c r="AF567" s="20">
        <v>0.0</v>
      </c>
      <c r="AG567" s="20">
        <v>0.0</v>
      </c>
      <c r="AH567" s="20">
        <v>0.0</v>
      </c>
      <c r="AI567" s="20">
        <v>0.0</v>
      </c>
      <c r="AJ567" s="20">
        <v>5613473.55</v>
      </c>
      <c r="AK567" s="20">
        <v>5613473.55</v>
      </c>
      <c r="AL567" s="20">
        <v>0.0</v>
      </c>
      <c r="AM567" s="20">
        <v>376.2</v>
      </c>
      <c r="AN567" s="20">
        <v>0.0</v>
      </c>
      <c r="AS567" s="11" t="str">
        <f>VLOOKUP(C567,'mayo-26'!B:AS,44,0)</f>
        <v>TESORERIA@TENNISGOLFCLUB.COM.CO</v>
      </c>
      <c r="AT567" s="12" t="str">
        <f>VLOOKUP(C567,'mayo-26'!B:AT,45,0)</f>
        <v>CORREO ELECTRONICO CERTIFICADO 472</v>
      </c>
    </row>
    <row r="568" ht="14.25" customHeight="1">
      <c r="A568" s="20" t="s">
        <v>1209</v>
      </c>
      <c r="B568" s="20">
        <v>232.0</v>
      </c>
      <c r="C568" s="20">
        <v>158.0</v>
      </c>
      <c r="D568" s="21">
        <v>158.0</v>
      </c>
      <c r="E568" s="20">
        <v>9.02191E7</v>
      </c>
      <c r="F568" s="20">
        <v>9.02191E7</v>
      </c>
      <c r="G568" s="20">
        <v>8.30122566E8</v>
      </c>
      <c r="H568" s="20" t="s">
        <v>193</v>
      </c>
      <c r="I568" s="1" t="str">
        <f>VLOOKUP(C568,'mayo-26'!B:H,7,0)</f>
        <v>AV 0 N 10-61</v>
      </c>
      <c r="J568" s="1" t="s">
        <v>1210</v>
      </c>
      <c r="K568" s="10" t="str">
        <f>VLOOKUP(C568,'mayo-26'!B:J,9,0)</f>
        <v>NO</v>
      </c>
      <c r="L568" s="1" t="str">
        <f>VLOOKUP(C568,'mayo-26'!B:K,10,0)</f>
        <v>MOVISTAR</v>
      </c>
      <c r="M568" s="20" t="s">
        <v>52</v>
      </c>
      <c r="N568" s="20" t="s">
        <v>53</v>
      </c>
      <c r="O568" s="20" t="s">
        <v>861</v>
      </c>
      <c r="P568" s="20" t="s">
        <v>126</v>
      </c>
      <c r="Q568" s="20" t="s">
        <v>131</v>
      </c>
      <c r="R568" s="20" t="s">
        <v>151</v>
      </c>
      <c r="S568" s="20" t="s">
        <v>133</v>
      </c>
      <c r="T568" s="20" t="s">
        <v>59</v>
      </c>
      <c r="U568" s="20">
        <v>2026.0</v>
      </c>
      <c r="V568" s="20">
        <v>6.0</v>
      </c>
      <c r="W568" s="20">
        <v>1.081875353E9</v>
      </c>
      <c r="X568" s="20">
        <v>1.081893825E9</v>
      </c>
      <c r="Y568" s="22">
        <v>46182.0</v>
      </c>
      <c r="Z568" s="22">
        <v>46207.0</v>
      </c>
      <c r="AA568" s="20">
        <v>75419.0</v>
      </c>
      <c r="AB568" s="20">
        <v>75419.0</v>
      </c>
      <c r="AC568" s="20">
        <v>0.0</v>
      </c>
      <c r="AD568" s="20">
        <v>0.0</v>
      </c>
      <c r="AE568" s="20">
        <v>0.0</v>
      </c>
      <c r="AF568" s="20">
        <v>0.0</v>
      </c>
      <c r="AG568" s="20">
        <v>0.0</v>
      </c>
      <c r="AH568" s="20">
        <v>0.0</v>
      </c>
      <c r="AI568" s="20">
        <v>0.0</v>
      </c>
      <c r="AJ568" s="20">
        <v>75419.0</v>
      </c>
      <c r="AK568" s="20">
        <v>2837707.55</v>
      </c>
      <c r="AL568" s="20">
        <v>46.0</v>
      </c>
      <c r="AM568" s="20">
        <v>250.8</v>
      </c>
      <c r="AN568" s="20">
        <v>0.0</v>
      </c>
      <c r="AS568" s="11" t="str">
        <f>VLOOKUP(C568,'mayo-26'!B:AS,44,0)</f>
        <v>SERVICIOSPUBLICOS.TC@TELEFONICA.COM; D.CRUZ02@TELEFONICA.COM</v>
      </c>
      <c r="AT568" s="12" t="str">
        <f>VLOOKUP(C568,'mayo-26'!B:AT,45,0)</f>
        <v>CORREO ELECTRONICO CERTIFICADO 472</v>
      </c>
    </row>
    <row r="569" ht="14.25" customHeight="1">
      <c r="A569" s="20" t="s">
        <v>1211</v>
      </c>
      <c r="B569" s="20">
        <v>163.0</v>
      </c>
      <c r="C569" s="20">
        <v>162.0</v>
      </c>
      <c r="D569" s="21">
        <v>162.0</v>
      </c>
      <c r="E569" s="20">
        <v>9.0219359E7</v>
      </c>
      <c r="F569" s="20">
        <v>9.0219359E7</v>
      </c>
      <c r="G569" s="20">
        <v>8.9050006E8</v>
      </c>
      <c r="H569" s="20" t="s">
        <v>1212</v>
      </c>
      <c r="I569" s="1" t="str">
        <f>VLOOKUP(C569,'mayo-26'!B:H,7,0)</f>
        <v>AVE 11E 8-41 CLINICA</v>
      </c>
      <c r="J569" s="1" t="s">
        <v>902</v>
      </c>
      <c r="K569" s="10" t="str">
        <f>VLOOKUP(C569,'mayo-26'!B:J,9,0)</f>
        <v>NO</v>
      </c>
      <c r="L569" s="1" t="str">
        <f>VLOOKUP(C569,'mayo-26'!B:K,10,0)</f>
        <v>NO</v>
      </c>
      <c r="M569" s="20" t="s">
        <v>52</v>
      </c>
      <c r="N569" s="20" t="s">
        <v>89</v>
      </c>
      <c r="O569" s="20" t="s">
        <v>861</v>
      </c>
      <c r="P569" s="20" t="s">
        <v>126</v>
      </c>
      <c r="Q569" s="20" t="s">
        <v>56</v>
      </c>
      <c r="R569" s="20" t="s">
        <v>90</v>
      </c>
      <c r="S569" s="20" t="s">
        <v>58</v>
      </c>
      <c r="T569" s="20" t="s">
        <v>59</v>
      </c>
      <c r="U569" s="20">
        <v>2026.0</v>
      </c>
      <c r="V569" s="20">
        <v>6.0</v>
      </c>
      <c r="W569" s="20">
        <v>1.08187536E9</v>
      </c>
      <c r="X569" s="20">
        <v>1.081893832E9</v>
      </c>
      <c r="Y569" s="22">
        <v>46182.0</v>
      </c>
      <c r="Z569" s="22">
        <v>46207.0</v>
      </c>
      <c r="AA569" s="20">
        <v>4809073.99</v>
      </c>
      <c r="AB569" s="20">
        <v>4809073.99</v>
      </c>
      <c r="AC569" s="20">
        <v>1584377.0</v>
      </c>
      <c r="AD569" s="20">
        <v>16500.0</v>
      </c>
      <c r="AE569" s="20">
        <v>55942.99</v>
      </c>
      <c r="AF569" s="20">
        <v>0.0</v>
      </c>
      <c r="AG569" s="20">
        <v>0.0</v>
      </c>
      <c r="AH569" s="20">
        <v>0.0</v>
      </c>
      <c r="AI569" s="20">
        <v>0.0</v>
      </c>
      <c r="AJ569" s="20">
        <v>4809073.99</v>
      </c>
      <c r="AK569" s="20">
        <v>9808851.91</v>
      </c>
      <c r="AL569" s="20">
        <v>2.0</v>
      </c>
      <c r="AM569" s="20">
        <v>376.2</v>
      </c>
      <c r="AN569" s="20">
        <v>0.0</v>
      </c>
      <c r="AS569" s="11" t="str">
        <f>VLOOKUP(C569,'mayo-26'!B:AS,44,0)</f>
        <v>COMPRASYSERVICIOSCSA@GMAIL.COM</v>
      </c>
      <c r="AT569" s="12" t="str">
        <f>VLOOKUP(C569,'mayo-26'!B:AT,45,0)</f>
        <v>CORREO ELECTRONICO CERTIFICADO 472</v>
      </c>
    </row>
    <row r="570" ht="14.25" customHeight="1">
      <c r="A570" s="20" t="s">
        <v>1213</v>
      </c>
      <c r="B570" s="20">
        <v>455370.0</v>
      </c>
      <c r="C570" s="20">
        <v>166.0</v>
      </c>
      <c r="D570" s="21">
        <v>166.0</v>
      </c>
      <c r="E570" s="20">
        <v>9.022126E7</v>
      </c>
      <c r="F570" s="20">
        <v>9.022126E7</v>
      </c>
      <c r="G570" s="20" t="s">
        <v>148</v>
      </c>
      <c r="H570" s="20" t="s">
        <v>149</v>
      </c>
      <c r="I570" s="1" t="str">
        <f>VLOOKUP(C570,'mayo-26'!B:H,7,0)</f>
        <v>CALLE 10 NO 0E-16 EDF CENTRO EMPRESARIAL BLOQUE B HOTEL TONCHALA</v>
      </c>
      <c r="J570" s="1" t="s">
        <v>1214</v>
      </c>
      <c r="K570" s="10" t="str">
        <f>VLOOKUP(C570,'mayo-26'!B:J,9,0)</f>
        <v>NO</v>
      </c>
      <c r="L570" s="1" t="str">
        <f>VLOOKUP(C570,'mayo-26'!B:K,10,0)</f>
        <v>COLEGIOS ZONA SUR</v>
      </c>
      <c r="M570" s="20" t="s">
        <v>52</v>
      </c>
      <c r="N570" s="20" t="s">
        <v>53</v>
      </c>
      <c r="O570" s="20" t="s">
        <v>861</v>
      </c>
      <c r="P570" s="20" t="s">
        <v>126</v>
      </c>
      <c r="Q570" s="20" t="s">
        <v>56</v>
      </c>
      <c r="R570" s="20" t="s">
        <v>57</v>
      </c>
      <c r="S570" s="20" t="s">
        <v>143</v>
      </c>
      <c r="T570" s="20" t="s">
        <v>59</v>
      </c>
      <c r="U570" s="20">
        <v>2026.0</v>
      </c>
      <c r="V570" s="20">
        <v>6.0</v>
      </c>
      <c r="W570" s="20">
        <v>1.081875364E9</v>
      </c>
      <c r="X570" s="20">
        <v>1.081893836E9</v>
      </c>
      <c r="Y570" s="22">
        <v>46182.0</v>
      </c>
      <c r="Z570" s="22">
        <v>46207.0</v>
      </c>
      <c r="AA570" s="20">
        <v>1223673.0</v>
      </c>
      <c r="AB570" s="20">
        <v>1223673.0</v>
      </c>
      <c r="AC570" s="20">
        <v>0.0</v>
      </c>
      <c r="AD570" s="20">
        <v>6250.0</v>
      </c>
      <c r="AE570" s="20">
        <v>0.0</v>
      </c>
      <c r="AF570" s="20">
        <v>0.0</v>
      </c>
      <c r="AG570" s="20">
        <v>0.0</v>
      </c>
      <c r="AH570" s="20">
        <v>0.0</v>
      </c>
      <c r="AI570" s="20">
        <v>0.0</v>
      </c>
      <c r="AJ570" s="20">
        <v>1223673.0</v>
      </c>
      <c r="AK570" s="20">
        <v>3644064.24</v>
      </c>
      <c r="AL570" s="20">
        <v>3.0</v>
      </c>
      <c r="AM570" s="20">
        <v>250.8</v>
      </c>
      <c r="AN570" s="20">
        <v>0.0</v>
      </c>
      <c r="AS570" s="11" t="str">
        <f>VLOOKUP(C570,'mayo-26'!B:AS,44,0)</f>
        <v>AREAFINANCIERA@SEMCUCUTA.GOV.CO</v>
      </c>
      <c r="AT570" s="12" t="str">
        <f>VLOOKUP(C570,'mayo-26'!B:AT,45,0)</f>
        <v>CARTERA</v>
      </c>
    </row>
    <row r="571" ht="14.25" customHeight="1">
      <c r="A571" s="20" t="s">
        <v>1215</v>
      </c>
      <c r="B571" s="20">
        <v>171.0</v>
      </c>
      <c r="C571" s="20">
        <v>170.0</v>
      </c>
      <c r="D571" s="21">
        <v>170.0</v>
      </c>
      <c r="E571" s="20">
        <v>9.0221836E7</v>
      </c>
      <c r="F571" s="20">
        <v>9.0221836E7</v>
      </c>
      <c r="G571" s="20" t="s">
        <v>1216</v>
      </c>
      <c r="H571" s="20" t="s">
        <v>1217</v>
      </c>
      <c r="I571" s="1" t="str">
        <f>VLOOKUP(C571,'mayo-26'!B:H,7,0)</f>
        <v>CLL 4N AVE 11E GUAIMARAL</v>
      </c>
      <c r="J571" s="1" t="s">
        <v>910</v>
      </c>
      <c r="K571" s="10" t="str">
        <f>VLOOKUP(C571,'mayo-26'!B:J,9,0)</f>
        <v>NO</v>
      </c>
      <c r="L571" s="1" t="str">
        <f>VLOOKUP(C571,'mayo-26'!B:K,10,0)</f>
        <v>COLEGIOS ZONA SUR</v>
      </c>
      <c r="M571" s="20" t="s">
        <v>52</v>
      </c>
      <c r="N571" s="20" t="s">
        <v>89</v>
      </c>
      <c r="O571" s="20" t="s">
        <v>861</v>
      </c>
      <c r="P571" s="20" t="s">
        <v>126</v>
      </c>
      <c r="Q571" s="20" t="s">
        <v>56</v>
      </c>
      <c r="R571" s="20" t="s">
        <v>57</v>
      </c>
      <c r="S571" s="20" t="s">
        <v>58</v>
      </c>
      <c r="T571" s="20" t="s">
        <v>59</v>
      </c>
      <c r="U571" s="20">
        <v>2026.0</v>
      </c>
      <c r="V571" s="20">
        <v>6.0</v>
      </c>
      <c r="W571" s="20">
        <v>1.081875371E9</v>
      </c>
      <c r="X571" s="20">
        <v>1.081893843E9</v>
      </c>
      <c r="Y571" s="22">
        <v>46182.0</v>
      </c>
      <c r="Z571" s="22">
        <v>46207.0</v>
      </c>
      <c r="AA571" s="20">
        <v>1200901.32</v>
      </c>
      <c r="AB571" s="20">
        <v>1200901.32</v>
      </c>
      <c r="AC571" s="20">
        <v>0.0</v>
      </c>
      <c r="AD571" s="20">
        <v>6130.0</v>
      </c>
      <c r="AE571" s="20">
        <v>0.0</v>
      </c>
      <c r="AF571" s="20">
        <v>0.0</v>
      </c>
      <c r="AG571" s="20">
        <v>0.0</v>
      </c>
      <c r="AH571" s="20">
        <v>0.0</v>
      </c>
      <c r="AI571" s="20">
        <v>0.0</v>
      </c>
      <c r="AJ571" s="20">
        <v>1200901.32</v>
      </c>
      <c r="AK571" s="20">
        <v>3520453.72</v>
      </c>
      <c r="AL571" s="20">
        <v>3.0</v>
      </c>
      <c r="AM571" s="20">
        <v>250.8</v>
      </c>
      <c r="AN571" s="20">
        <v>0.0</v>
      </c>
      <c r="AS571" s="11" t="str">
        <f>VLOOKUP(C571,'mayo-26'!B:AS,44,0)</f>
        <v>col_inem@yahoo.es</v>
      </c>
      <c r="AT571" s="12" t="str">
        <f>VLOOKUP(C571,'mayo-26'!B:AT,45,0)</f>
        <v>CARTERA</v>
      </c>
    </row>
    <row r="572" ht="14.25" customHeight="1">
      <c r="A572" s="20" t="s">
        <v>1218</v>
      </c>
      <c r="B572" s="20">
        <v>280920.0</v>
      </c>
      <c r="C572" s="20">
        <v>174.0</v>
      </c>
      <c r="D572" s="21">
        <v>174.0</v>
      </c>
      <c r="E572" s="20">
        <v>9.0221881E7</v>
      </c>
      <c r="F572" s="20">
        <v>9.0221881E7</v>
      </c>
      <c r="G572" s="20">
        <v>9.00576569E8</v>
      </c>
      <c r="H572" s="20" t="s">
        <v>161</v>
      </c>
      <c r="I572" s="1" t="str">
        <f>VLOOKUP(C572,'mayo-26'!B:H,7,0)</f>
        <v>AVE 12 5AN-84 1142</v>
      </c>
      <c r="J572" s="1" t="s">
        <v>1219</v>
      </c>
      <c r="K572" s="10" t="str">
        <f>VLOOKUP(C572,'mayo-26'!B:J,9,0)</f>
        <v>NO</v>
      </c>
      <c r="L572" s="1" t="str">
        <f>VLOOKUP(C572,'mayo-26'!B:K,10,0)</f>
        <v>BETEL</v>
      </c>
      <c r="M572" s="20" t="s">
        <v>52</v>
      </c>
      <c r="N572" s="20" t="s">
        <v>89</v>
      </c>
      <c r="O572" s="20" t="s">
        <v>861</v>
      </c>
      <c r="P572" s="20" t="s">
        <v>126</v>
      </c>
      <c r="Q572" s="20" t="s">
        <v>56</v>
      </c>
      <c r="R572" s="20" t="s">
        <v>90</v>
      </c>
      <c r="S572" s="20" t="s">
        <v>143</v>
      </c>
      <c r="T572" s="20" t="s">
        <v>59</v>
      </c>
      <c r="U572" s="20">
        <v>2026.0</v>
      </c>
      <c r="V572" s="20">
        <v>6.0</v>
      </c>
      <c r="W572" s="20">
        <v>1.081875377E9</v>
      </c>
      <c r="X572" s="20">
        <v>1.081893849E9</v>
      </c>
      <c r="Y572" s="22">
        <v>46182.0</v>
      </c>
      <c r="Z572" s="22">
        <v>46207.0</v>
      </c>
      <c r="AA572" s="20">
        <v>624147.41</v>
      </c>
      <c r="AB572" s="20">
        <v>624147.41</v>
      </c>
      <c r="AC572" s="20">
        <v>185104.72</v>
      </c>
      <c r="AD572" s="20">
        <v>1752.5</v>
      </c>
      <c r="AE572" s="20">
        <v>68833.27</v>
      </c>
      <c r="AF572" s="20">
        <v>0.0</v>
      </c>
      <c r="AG572" s="20">
        <v>0.0</v>
      </c>
      <c r="AH572" s="20">
        <v>0.0</v>
      </c>
      <c r="AI572" s="20">
        <v>0.0</v>
      </c>
      <c r="AJ572" s="20">
        <v>624147.41</v>
      </c>
      <c r="AK572" s="20">
        <v>5131723.73</v>
      </c>
      <c r="AL572" s="20">
        <v>8.0</v>
      </c>
      <c r="AM572" s="20">
        <v>376.2</v>
      </c>
      <c r="AN572" s="20">
        <v>0.0</v>
      </c>
      <c r="AS572" s="11" t="str">
        <f>VLOOKUP(C572,'mayo-26'!B:AS,44,0)</f>
        <v>COORDTESORERIASUPERBETEL@GMAIL.COM</v>
      </c>
      <c r="AT572" s="12" t="str">
        <f>VLOOKUP(C572,'mayo-26'!B:AT,45,0)</f>
        <v>CORREO ELECTRONICO CERTIFICADO 472</v>
      </c>
    </row>
    <row r="573" ht="14.25" customHeight="1">
      <c r="A573" s="20" t="s">
        <v>1220</v>
      </c>
      <c r="B573" s="20">
        <v>297.0</v>
      </c>
      <c r="C573" s="20">
        <v>178.0</v>
      </c>
      <c r="D573" s="21">
        <v>178.0</v>
      </c>
      <c r="E573" s="20">
        <v>9.0223862E7</v>
      </c>
      <c r="F573" s="20">
        <v>9.0223862E7</v>
      </c>
      <c r="G573" s="20" t="s">
        <v>135</v>
      </c>
      <c r="H573" s="20" t="s">
        <v>136</v>
      </c>
      <c r="I573" s="1" t="str">
        <f>VLOOKUP(C573,'mayo-26'!B:H,7,0)</f>
        <v>AVE 4 17-89 - 0239431</v>
      </c>
      <c r="J573" s="1" t="s">
        <v>1221</v>
      </c>
      <c r="K573" s="10" t="str">
        <f>VLOOKUP(C573,'mayo-26'!B:J,9,0)</f>
        <v>NO</v>
      </c>
      <c r="L573" s="1" t="str">
        <f>VLOOKUP(C573,'mayo-26'!B:K,10,0)</f>
        <v>IMSALUD</v>
      </c>
      <c r="M573" s="20" t="s">
        <v>52</v>
      </c>
      <c r="N573" s="20" t="s">
        <v>53</v>
      </c>
      <c r="O573" s="20" t="s">
        <v>861</v>
      </c>
      <c r="P573" s="20" t="s">
        <v>126</v>
      </c>
      <c r="Q573" s="20" t="s">
        <v>131</v>
      </c>
      <c r="R573" s="20" t="s">
        <v>151</v>
      </c>
      <c r="S573" s="20" t="s">
        <v>133</v>
      </c>
      <c r="T573" s="20" t="s">
        <v>59</v>
      </c>
      <c r="U573" s="20">
        <v>2026.0</v>
      </c>
      <c r="V573" s="20">
        <v>6.0</v>
      </c>
      <c r="W573" s="20">
        <v>1.081875381E9</v>
      </c>
      <c r="X573" s="20">
        <v>1.081893853E9</v>
      </c>
      <c r="Y573" s="22">
        <v>46182.0</v>
      </c>
      <c r="Z573" s="22">
        <v>46207.0</v>
      </c>
      <c r="AA573" s="20">
        <v>75419.0</v>
      </c>
      <c r="AB573" s="20">
        <v>75419.0</v>
      </c>
      <c r="AC573" s="20">
        <v>0.0</v>
      </c>
      <c r="AD573" s="20">
        <v>0.0</v>
      </c>
      <c r="AE573" s="20">
        <v>0.0</v>
      </c>
      <c r="AF573" s="20">
        <v>0.0</v>
      </c>
      <c r="AG573" s="20">
        <v>0.0</v>
      </c>
      <c r="AH573" s="20">
        <v>0.0</v>
      </c>
      <c r="AI573" s="20">
        <v>0.0</v>
      </c>
      <c r="AJ573" s="20">
        <v>75419.0</v>
      </c>
      <c r="AK573" s="20">
        <v>75419.0</v>
      </c>
      <c r="AL573" s="20">
        <v>0.0</v>
      </c>
      <c r="AM573" s="20">
        <v>250.8</v>
      </c>
      <c r="AN573" s="20">
        <v>0.0</v>
      </c>
      <c r="AS573" s="11" t="str">
        <f>VLOOKUP(C573,'mayo-26'!B:AS,44,0)</f>
        <v>SUBFINANCIERA@IMSALUD.GOV.CO</v>
      </c>
      <c r="AT573" s="12" t="str">
        <f>VLOOKUP(C573,'mayo-26'!B:AT,45,0)</f>
        <v>CORREO ELECTRONICO CERTIFICADO 472</v>
      </c>
    </row>
    <row r="574" ht="14.25" customHeight="1">
      <c r="A574" s="20" t="s">
        <v>1222</v>
      </c>
      <c r="B574" s="20">
        <v>191.0</v>
      </c>
      <c r="C574" s="20">
        <v>190.0</v>
      </c>
      <c r="D574" s="21">
        <v>190.0</v>
      </c>
      <c r="E574" s="20">
        <v>9.0229169E7</v>
      </c>
      <c r="F574" s="20">
        <v>9.0229169E7</v>
      </c>
      <c r="G574" s="20" t="s">
        <v>1223</v>
      </c>
      <c r="H574" s="20" t="s">
        <v>1224</v>
      </c>
      <c r="I574" s="1" t="str">
        <f>VLOOKUP(C574,'mayo-26'!B:H,7,0)</f>
        <v>CLL 5N 7AE-160</v>
      </c>
      <c r="J574" s="1" t="s">
        <v>1225</v>
      </c>
      <c r="K574" s="10" t="str">
        <f>VLOOKUP(C574,'mayo-26'!B:J,9,0)</f>
        <v>NO</v>
      </c>
      <c r="L574" s="1" t="str">
        <f>VLOOKUP(C574,'mayo-26'!B:K,10,0)</f>
        <v>NO</v>
      </c>
      <c r="M574" s="20" t="s">
        <v>52</v>
      </c>
      <c r="N574" s="20" t="s">
        <v>89</v>
      </c>
      <c r="O574" s="20" t="s">
        <v>861</v>
      </c>
      <c r="P574" s="20" t="s">
        <v>126</v>
      </c>
      <c r="Q574" s="20" t="s">
        <v>56</v>
      </c>
      <c r="R574" s="20" t="s">
        <v>90</v>
      </c>
      <c r="S574" s="20" t="s">
        <v>143</v>
      </c>
      <c r="T574" s="20" t="s">
        <v>59</v>
      </c>
      <c r="U574" s="20">
        <v>2026.0</v>
      </c>
      <c r="V574" s="20">
        <v>6.0</v>
      </c>
      <c r="W574" s="20">
        <v>1.081875385E9</v>
      </c>
      <c r="X574" s="20">
        <v>1.081893857E9</v>
      </c>
      <c r="Y574" s="22">
        <v>46182.0</v>
      </c>
      <c r="Z574" s="22">
        <v>46207.0</v>
      </c>
      <c r="AA574" s="20">
        <v>1005054.82</v>
      </c>
      <c r="AB574" s="20">
        <v>1005054.82</v>
      </c>
      <c r="AC574" s="20">
        <v>335018.28</v>
      </c>
      <c r="AD574" s="20">
        <v>3332.5</v>
      </c>
      <c r="AE574" s="20">
        <v>0.0</v>
      </c>
      <c r="AF574" s="20">
        <v>0.0</v>
      </c>
      <c r="AG574" s="20">
        <v>0.0</v>
      </c>
      <c r="AH574" s="20">
        <v>0.0</v>
      </c>
      <c r="AI574" s="20">
        <v>0.0</v>
      </c>
      <c r="AJ574" s="20">
        <v>1005054.82</v>
      </c>
      <c r="AK574" s="20">
        <v>1005054.82</v>
      </c>
      <c r="AL574" s="20">
        <v>0.0</v>
      </c>
      <c r="AM574" s="20">
        <v>376.2</v>
      </c>
      <c r="AN574" s="20">
        <v>0.0</v>
      </c>
      <c r="AS574" s="11" t="str">
        <f>VLOOKUP(C574,'mayo-26'!B:AS,44,0)</f>
        <v>PAGADURIA@COLEGIOEBENEZER.EDU.CO</v>
      </c>
      <c r="AT574" s="12" t="str">
        <f>VLOOKUP(C574,'mayo-26'!B:AT,45,0)</f>
        <v>CORREO ELECTRONICO CERTIFICADO 472</v>
      </c>
    </row>
    <row r="575" ht="14.25" customHeight="1">
      <c r="A575" s="20" t="s">
        <v>1226</v>
      </c>
      <c r="B575" s="20">
        <v>232.0</v>
      </c>
      <c r="C575" s="20">
        <v>194.0</v>
      </c>
      <c r="D575" s="21">
        <v>194.0</v>
      </c>
      <c r="E575" s="20">
        <v>9.0230169E7</v>
      </c>
      <c r="F575" s="20">
        <v>9.0230169E7</v>
      </c>
      <c r="G575" s="20">
        <v>8.30122566E8</v>
      </c>
      <c r="H575" s="20" t="s">
        <v>193</v>
      </c>
      <c r="I575" s="1" t="str">
        <f>VLOOKUP(C575,'mayo-26'!B:H,7,0)</f>
        <v>AV 0 N 10-61</v>
      </c>
      <c r="J575" s="1" t="s">
        <v>915</v>
      </c>
      <c r="K575" s="10" t="str">
        <f>VLOOKUP(C575,'mayo-26'!B:J,9,0)</f>
        <v>NO</v>
      </c>
      <c r="L575" s="1" t="str">
        <f>VLOOKUP(C575,'mayo-26'!B:K,10,0)</f>
        <v>MOVISTAR</v>
      </c>
      <c r="M575" s="20" t="s">
        <v>52</v>
      </c>
      <c r="N575" s="20" t="s">
        <v>53</v>
      </c>
      <c r="O575" s="20" t="s">
        <v>861</v>
      </c>
      <c r="P575" s="20" t="s">
        <v>126</v>
      </c>
      <c r="Q575" s="20" t="s">
        <v>131</v>
      </c>
      <c r="R575" s="20" t="s">
        <v>151</v>
      </c>
      <c r="S575" s="20" t="s">
        <v>133</v>
      </c>
      <c r="T575" s="20" t="s">
        <v>59</v>
      </c>
      <c r="U575" s="20">
        <v>2026.0</v>
      </c>
      <c r="V575" s="20">
        <v>6.0</v>
      </c>
      <c r="W575" s="20">
        <v>1.081875387E9</v>
      </c>
      <c r="X575" s="20">
        <v>1.081893859E9</v>
      </c>
      <c r="Y575" s="22">
        <v>46182.0</v>
      </c>
      <c r="Z575" s="22">
        <v>46207.0</v>
      </c>
      <c r="AA575" s="20">
        <v>75419.0</v>
      </c>
      <c r="AB575" s="20">
        <v>75419.0</v>
      </c>
      <c r="AC575" s="20">
        <v>0.0</v>
      </c>
      <c r="AD575" s="20">
        <v>0.0</v>
      </c>
      <c r="AE575" s="20">
        <v>0.0</v>
      </c>
      <c r="AF575" s="20">
        <v>0.0</v>
      </c>
      <c r="AG575" s="20">
        <v>0.0</v>
      </c>
      <c r="AH575" s="20">
        <v>0.0</v>
      </c>
      <c r="AI575" s="20">
        <v>0.0</v>
      </c>
      <c r="AJ575" s="20">
        <v>75419.0</v>
      </c>
      <c r="AK575" s="20">
        <v>301092.0</v>
      </c>
      <c r="AL575" s="20">
        <v>3.0</v>
      </c>
      <c r="AM575" s="20">
        <v>250.8</v>
      </c>
      <c r="AN575" s="20">
        <v>0.0</v>
      </c>
      <c r="AS575" s="11" t="str">
        <f>VLOOKUP(C575,'mayo-26'!B:AS,44,0)</f>
        <v>SERVICIOSPUBLICOS.TC@TELEFONICA.COM; D.CRUZ02@TELEFONICA.COM</v>
      </c>
      <c r="AT575" s="12" t="str">
        <f>VLOOKUP(C575,'mayo-26'!B:AT,45,0)</f>
        <v>CORREO ELECTRONICO CERTIFICADO 472</v>
      </c>
    </row>
    <row r="576" ht="14.25" customHeight="1">
      <c r="A576" s="20" t="s">
        <v>1227</v>
      </c>
      <c r="B576" s="20">
        <v>199.0</v>
      </c>
      <c r="C576" s="20">
        <v>198.0</v>
      </c>
      <c r="D576" s="21">
        <v>198.0</v>
      </c>
      <c r="E576" s="20">
        <v>9.0230832E7</v>
      </c>
      <c r="F576" s="20">
        <v>9.0230832E7</v>
      </c>
      <c r="G576" s="20" t="s">
        <v>1228</v>
      </c>
      <c r="H576" s="20" t="s">
        <v>1229</v>
      </c>
      <c r="I576" s="1" t="str">
        <f>VLOOKUP(C576,'mayo-26'!B:H,7,0)</f>
        <v>AVENIDA GRAN COLOMBIA</v>
      </c>
      <c r="J576" s="1" t="s">
        <v>919</v>
      </c>
      <c r="K576" s="10" t="str">
        <f>VLOOKUP(C576,'mayo-26'!B:J,9,0)</f>
        <v>NO</v>
      </c>
      <c r="L576" s="1" t="str">
        <f>VLOOKUP(C576,'mayo-26'!B:K,10,0)</f>
        <v>NO</v>
      </c>
      <c r="M576" s="20" t="s">
        <v>52</v>
      </c>
      <c r="N576" s="20" t="s">
        <v>89</v>
      </c>
      <c r="O576" s="20" t="s">
        <v>861</v>
      </c>
      <c r="P576" s="20" t="s">
        <v>126</v>
      </c>
      <c r="Q576" s="20" t="s">
        <v>56</v>
      </c>
      <c r="R576" s="20" t="s">
        <v>57</v>
      </c>
      <c r="S576" s="20" t="s">
        <v>58</v>
      </c>
      <c r="T576" s="20" t="s">
        <v>59</v>
      </c>
      <c r="U576" s="20">
        <v>2026.0</v>
      </c>
      <c r="V576" s="20">
        <v>6.0</v>
      </c>
      <c r="W576" s="20">
        <v>1.081875391E9</v>
      </c>
      <c r="X576" s="20">
        <v>1.081893863E9</v>
      </c>
      <c r="Y576" s="22">
        <v>46182.0</v>
      </c>
      <c r="Z576" s="22">
        <v>46207.0</v>
      </c>
      <c r="AA576" s="20">
        <v>2751273.2</v>
      </c>
      <c r="AB576" s="20">
        <v>2751273.2</v>
      </c>
      <c r="AC576" s="20">
        <v>0.0</v>
      </c>
      <c r="AD576" s="20">
        <v>14300.0</v>
      </c>
      <c r="AE576" s="20">
        <v>0.0</v>
      </c>
      <c r="AF576" s="20">
        <v>0.0</v>
      </c>
      <c r="AG576" s="20">
        <v>0.0</v>
      </c>
      <c r="AH576" s="20">
        <v>0.0</v>
      </c>
      <c r="AI576" s="20">
        <v>0.0</v>
      </c>
      <c r="AJ576" s="20">
        <v>2751273.2</v>
      </c>
      <c r="AK576" s="20">
        <v>2751273.2</v>
      </c>
      <c r="AL576" s="20">
        <v>0.0</v>
      </c>
      <c r="AM576" s="20">
        <v>250.8</v>
      </c>
      <c r="AN576" s="20">
        <v>0.0</v>
      </c>
      <c r="AS576" s="11" t="str">
        <f>VLOOKUP(C576,'mayo-26'!B:AS,44,0)</f>
        <v>SERVPUBCUC@CENDOJ.RAMAJUDICIAL.GOV.CO</v>
      </c>
      <c r="AT576" s="12" t="str">
        <f>VLOOKUP(C576,'mayo-26'!B:AT,45,0)</f>
        <v>CORREO ELECTRONICO CERTIFICADO 472</v>
      </c>
    </row>
    <row r="577" ht="14.25" customHeight="1">
      <c r="A577" s="20" t="s">
        <v>1230</v>
      </c>
      <c r="B577" s="20">
        <v>455370.0</v>
      </c>
      <c r="C577" s="20">
        <v>218.0</v>
      </c>
      <c r="D577" s="21">
        <v>218.0</v>
      </c>
      <c r="E577" s="20">
        <v>9.0231265E7</v>
      </c>
      <c r="F577" s="20">
        <v>9.0231265E7</v>
      </c>
      <c r="G577" s="20" t="s">
        <v>148</v>
      </c>
      <c r="H577" s="20" t="s">
        <v>149</v>
      </c>
      <c r="I577" s="1" t="str">
        <f>VLOOKUP(C577,'mayo-26'!B:H,7,0)</f>
        <v>CALLE 10 NO 0E-16 EDF CENTRO EMPRESARIAL BLOQUE B HOTEL TONCHALA</v>
      </c>
      <c r="J577" s="1" t="s">
        <v>1231</v>
      </c>
      <c r="K577" s="10" t="str">
        <f>VLOOKUP(C577,'mayo-26'!B:J,9,0)</f>
        <v>NO</v>
      </c>
      <c r="L577" s="1" t="str">
        <f>VLOOKUP(C577,'mayo-26'!B:K,10,0)</f>
        <v>COLEGIOS ZONA SUR</v>
      </c>
      <c r="M577" s="20" t="s">
        <v>52</v>
      </c>
      <c r="N577" s="20" t="s">
        <v>53</v>
      </c>
      <c r="O577" s="20" t="s">
        <v>861</v>
      </c>
      <c r="P577" s="20" t="s">
        <v>126</v>
      </c>
      <c r="Q577" s="20" t="s">
        <v>56</v>
      </c>
      <c r="R577" s="20" t="s">
        <v>57</v>
      </c>
      <c r="S577" s="20" t="s">
        <v>143</v>
      </c>
      <c r="T577" s="20" t="s">
        <v>59</v>
      </c>
      <c r="U577" s="20">
        <v>2026.0</v>
      </c>
      <c r="V577" s="20">
        <v>6.0</v>
      </c>
      <c r="W577" s="20">
        <v>1.081875395E9</v>
      </c>
      <c r="X577" s="20">
        <v>1.081893867E9</v>
      </c>
      <c r="Y577" s="22">
        <v>46182.0</v>
      </c>
      <c r="Z577" s="22">
        <v>46207.0</v>
      </c>
      <c r="AA577" s="20">
        <v>1069015.35</v>
      </c>
      <c r="AB577" s="20">
        <v>1069015.35</v>
      </c>
      <c r="AC577" s="20">
        <v>0.0</v>
      </c>
      <c r="AD577" s="20">
        <v>5435.0</v>
      </c>
      <c r="AE577" s="20">
        <v>0.0</v>
      </c>
      <c r="AF577" s="20">
        <v>0.0</v>
      </c>
      <c r="AG577" s="20">
        <v>0.0</v>
      </c>
      <c r="AH577" s="20">
        <v>0.0</v>
      </c>
      <c r="AI577" s="20">
        <v>0.0</v>
      </c>
      <c r="AJ577" s="20">
        <v>1069015.35</v>
      </c>
      <c r="AK577" s="20">
        <v>3183729.9</v>
      </c>
      <c r="AL577" s="20">
        <v>3.0</v>
      </c>
      <c r="AM577" s="20">
        <v>250.8</v>
      </c>
      <c r="AN577" s="20">
        <v>0.0</v>
      </c>
      <c r="AS577" s="11" t="str">
        <f>VLOOKUP(C577,'mayo-26'!B:AS,44,0)</f>
        <v>AREAFINANCIERA@SEMCUCUTA.GOV.CO</v>
      </c>
      <c r="AT577" s="12" t="str">
        <f>VLOOKUP(C577,'mayo-26'!B:AT,45,0)</f>
        <v>CARTERA</v>
      </c>
    </row>
    <row r="578" ht="14.25" customHeight="1">
      <c r="A578" s="20" t="s">
        <v>1232</v>
      </c>
      <c r="B578" s="20">
        <v>223.0</v>
      </c>
      <c r="C578" s="20">
        <v>222.0</v>
      </c>
      <c r="D578" s="21">
        <v>222.0</v>
      </c>
      <c r="E578" s="20">
        <v>9.0232607E7</v>
      </c>
      <c r="F578" s="20">
        <v>9.0232607E7</v>
      </c>
      <c r="G578" s="20" t="s">
        <v>1233</v>
      </c>
      <c r="H578" s="20" t="s">
        <v>1234</v>
      </c>
      <c r="I578" s="1" t="str">
        <f>VLOOKUP(C578,'mayo-26'!B:H,7,0)</f>
        <v>AVE 9E 0-10 - 0232607</v>
      </c>
      <c r="J578" s="1" t="s">
        <v>1235</v>
      </c>
      <c r="K578" s="10" t="str">
        <f>VLOOKUP(C578,'mayo-26'!B:J,9,0)</f>
        <v>NO</v>
      </c>
      <c r="L578" s="1" t="str">
        <f>VLOOKUP(C578,'mayo-26'!B:K,10,0)</f>
        <v>NO</v>
      </c>
      <c r="M578" s="20" t="s">
        <v>52</v>
      </c>
      <c r="N578" s="20" t="s">
        <v>89</v>
      </c>
      <c r="O578" s="20" t="s">
        <v>861</v>
      </c>
      <c r="P578" s="20" t="s">
        <v>126</v>
      </c>
      <c r="Q578" s="20" t="s">
        <v>56</v>
      </c>
      <c r="R578" s="20" t="s">
        <v>57</v>
      </c>
      <c r="S578" s="20" t="s">
        <v>143</v>
      </c>
      <c r="T578" s="20" t="s">
        <v>59</v>
      </c>
      <c r="U578" s="20">
        <v>2026.0</v>
      </c>
      <c r="V578" s="20">
        <v>6.0</v>
      </c>
      <c r="W578" s="20">
        <v>1.081875399E9</v>
      </c>
      <c r="X578" s="20">
        <v>1.081893871E9</v>
      </c>
      <c r="Y578" s="22">
        <v>46182.0</v>
      </c>
      <c r="Z578" s="22">
        <v>46207.0</v>
      </c>
      <c r="AA578" s="20">
        <v>209384.43</v>
      </c>
      <c r="AB578" s="20">
        <v>209384.43</v>
      </c>
      <c r="AC578" s="20">
        <v>0.0</v>
      </c>
      <c r="AD578" s="20">
        <v>905.0</v>
      </c>
      <c r="AE578" s="20">
        <v>0.0</v>
      </c>
      <c r="AF578" s="20">
        <v>0.0</v>
      </c>
      <c r="AG578" s="20">
        <v>0.0</v>
      </c>
      <c r="AH578" s="20">
        <v>0.0</v>
      </c>
      <c r="AI578" s="20">
        <v>0.0</v>
      </c>
      <c r="AJ578" s="20">
        <v>209384.43</v>
      </c>
      <c r="AK578" s="20">
        <v>209384.43</v>
      </c>
      <c r="AL578" s="20">
        <v>0.0</v>
      </c>
      <c r="AM578" s="20">
        <v>250.8</v>
      </c>
      <c r="AN578" s="20">
        <v>0.0</v>
      </c>
      <c r="AS578" s="11" t="str">
        <f>VLOOKUP(C578,'mayo-26'!B:AS,44,0)</f>
        <v>INSTITUTOLAESPERANZA06@HOTMAIL.COM</v>
      </c>
      <c r="AT578" s="12" t="str">
        <f>VLOOKUP(C578,'mayo-26'!B:AT,45,0)</f>
        <v>CORREO ELECTRONICO CERTIFICADO 472</v>
      </c>
    </row>
    <row r="579" ht="14.25" customHeight="1">
      <c r="A579" s="20" t="s">
        <v>1236</v>
      </c>
      <c r="B579" s="20">
        <v>227.0</v>
      </c>
      <c r="C579" s="20">
        <v>226.0</v>
      </c>
      <c r="D579" s="21">
        <v>226.0</v>
      </c>
      <c r="E579" s="20">
        <v>9.0235028E7</v>
      </c>
      <c r="F579" s="20">
        <v>9.0235028E7</v>
      </c>
      <c r="G579" s="20" t="s">
        <v>1237</v>
      </c>
      <c r="H579" s="20" t="s">
        <v>1238</v>
      </c>
      <c r="I579" s="1" t="str">
        <f>VLOOKUP(C579,'mayo-26'!B:H,7,0)</f>
        <v>AVE 0 CLL 10A 0E 95 LC 101</v>
      </c>
      <c r="J579" s="1" t="s">
        <v>982</v>
      </c>
      <c r="K579" s="10" t="str">
        <f>VLOOKUP(C579,'mayo-26'!B:J,9,0)</f>
        <v>NO</v>
      </c>
      <c r="L579" s="1" t="str">
        <f>VLOOKUP(C579,'mayo-26'!B:K,10,0)</f>
        <v>NO</v>
      </c>
      <c r="M579" s="20" t="s">
        <v>52</v>
      </c>
      <c r="N579" s="20" t="s">
        <v>89</v>
      </c>
      <c r="O579" s="20" t="s">
        <v>861</v>
      </c>
      <c r="P579" s="20" t="s">
        <v>126</v>
      </c>
      <c r="Q579" s="20" t="s">
        <v>56</v>
      </c>
      <c r="R579" s="20" t="s">
        <v>90</v>
      </c>
      <c r="S579" s="20" t="s">
        <v>143</v>
      </c>
      <c r="T579" s="20" t="s">
        <v>59</v>
      </c>
      <c r="U579" s="20">
        <v>2026.0</v>
      </c>
      <c r="V579" s="20">
        <v>6.0</v>
      </c>
      <c r="W579" s="20">
        <v>1.081875402E9</v>
      </c>
      <c r="X579" s="20">
        <v>1.081893874E9</v>
      </c>
      <c r="Y579" s="22">
        <v>46182.0</v>
      </c>
      <c r="Z579" s="22">
        <v>46207.0</v>
      </c>
      <c r="AA579" s="20">
        <v>410144.67</v>
      </c>
      <c r="AB579" s="20">
        <v>410144.67</v>
      </c>
      <c r="AC579" s="20">
        <v>136714.89</v>
      </c>
      <c r="AD579" s="20">
        <v>1242.5</v>
      </c>
      <c r="AE579" s="20">
        <v>0.0</v>
      </c>
      <c r="AF579" s="20">
        <v>0.0</v>
      </c>
      <c r="AG579" s="20">
        <v>0.0</v>
      </c>
      <c r="AH579" s="20">
        <v>0.0</v>
      </c>
      <c r="AI579" s="20">
        <v>0.0</v>
      </c>
      <c r="AJ579" s="20">
        <v>410144.67</v>
      </c>
      <c r="AK579" s="20">
        <v>410144.67</v>
      </c>
      <c r="AL579" s="20">
        <v>0.0</v>
      </c>
      <c r="AM579" s="20">
        <v>376.2</v>
      </c>
      <c r="AN579" s="20">
        <v>0.0</v>
      </c>
      <c r="AS579" s="11" t="str">
        <f>VLOOKUP(C579,'mayo-26'!B:AS,44,0)</f>
        <v>CONTABILIDAD@HOTELTONCHALA.COM.CO</v>
      </c>
      <c r="AT579" s="12" t="str">
        <f>VLOOKUP(C579,'mayo-26'!B:AT,45,0)</f>
        <v>CORREO ELECTRONICO CERTIFICADO 472</v>
      </c>
    </row>
    <row r="580" ht="14.25" customHeight="1">
      <c r="A580" s="20" t="s">
        <v>1239</v>
      </c>
      <c r="B580" s="20">
        <v>235.0</v>
      </c>
      <c r="C580" s="20">
        <v>234.0</v>
      </c>
      <c r="D580" s="21">
        <v>234.0</v>
      </c>
      <c r="E580" s="20">
        <v>9.0235105E7</v>
      </c>
      <c r="F580" s="20">
        <v>9.0235105E7</v>
      </c>
      <c r="G580" s="20" t="s">
        <v>1240</v>
      </c>
      <c r="H580" s="20" t="s">
        <v>1241</v>
      </c>
      <c r="I580" s="1" t="str">
        <f>VLOOKUP(C580,'mayo-26'!B:H,7,0)</f>
        <v>CLL 13 3E-278 - 0235105</v>
      </c>
      <c r="J580" s="1" t="s">
        <v>931</v>
      </c>
      <c r="K580" s="10" t="str">
        <f>VLOOKUP(C580,'mayo-26'!B:J,9,0)</f>
        <v>NO</v>
      </c>
      <c r="L580" s="1" t="str">
        <f>VLOOKUP(C580,'mayo-26'!B:K,10,0)</f>
        <v>NO</v>
      </c>
      <c r="M580" s="20" t="s">
        <v>52</v>
      </c>
      <c r="N580" s="20" t="s">
        <v>89</v>
      </c>
      <c r="O580" s="20" t="s">
        <v>861</v>
      </c>
      <c r="P580" s="20" t="s">
        <v>126</v>
      </c>
      <c r="Q580" s="20" t="s">
        <v>56</v>
      </c>
      <c r="R580" s="20" t="s">
        <v>57</v>
      </c>
      <c r="S580" s="20" t="s">
        <v>143</v>
      </c>
      <c r="T580" s="20" t="s">
        <v>59</v>
      </c>
      <c r="U580" s="20">
        <v>2026.0</v>
      </c>
      <c r="V580" s="20">
        <v>6.0</v>
      </c>
      <c r="W580" s="20">
        <v>1.081875406E9</v>
      </c>
      <c r="X580" s="20">
        <v>1.081893878E9</v>
      </c>
      <c r="Y580" s="22">
        <v>46182.0</v>
      </c>
      <c r="Z580" s="22">
        <v>46207.0</v>
      </c>
      <c r="AA580" s="20">
        <v>407687.8</v>
      </c>
      <c r="AB580" s="20">
        <v>407687.8</v>
      </c>
      <c r="AC580" s="20">
        <v>0.0</v>
      </c>
      <c r="AD580" s="20">
        <v>1950.0</v>
      </c>
      <c r="AE580" s="20">
        <v>0.0</v>
      </c>
      <c r="AF580" s="20">
        <v>0.0</v>
      </c>
      <c r="AG580" s="20">
        <v>0.0</v>
      </c>
      <c r="AH580" s="20">
        <v>0.0</v>
      </c>
      <c r="AI580" s="20">
        <v>0.0</v>
      </c>
      <c r="AJ580" s="20">
        <v>407687.8</v>
      </c>
      <c r="AK580" s="20">
        <v>407687.8</v>
      </c>
      <c r="AL580" s="20">
        <v>0.0</v>
      </c>
      <c r="AM580" s="20">
        <v>250.8</v>
      </c>
      <c r="AN580" s="20">
        <v>0.0</v>
      </c>
      <c r="AS580" s="11" t="str">
        <f>VLOOKUP(C580,'mayo-26'!B:AS,44,0)</f>
        <v>hrincon@corponor.gov.co</v>
      </c>
      <c r="AT580" s="12" t="str">
        <f>VLOOKUP(C580,'mayo-26'!B:AT,45,0)</f>
        <v>CORREO ELECTRONICO CERTIFICADO 472</v>
      </c>
    </row>
    <row r="581" ht="14.25" customHeight="1">
      <c r="A581" s="20" t="s">
        <v>1242</v>
      </c>
      <c r="B581" s="20">
        <v>251.0</v>
      </c>
      <c r="C581" s="20">
        <v>250.0</v>
      </c>
      <c r="D581" s="21">
        <v>250.0</v>
      </c>
      <c r="E581" s="20">
        <v>9.0235269E7</v>
      </c>
      <c r="F581" s="20">
        <v>9.0235269E7</v>
      </c>
      <c r="G581" s="20" t="s">
        <v>1243</v>
      </c>
      <c r="H581" s="20" t="s">
        <v>934</v>
      </c>
      <c r="I581" s="1" t="str">
        <f>VLOOKUP(C581,'mayo-26'!B:H,7,0)</f>
        <v>AVE 0 11-153 LOC 1</v>
      </c>
      <c r="J581" s="1" t="s">
        <v>931</v>
      </c>
      <c r="K581" s="10" t="str">
        <f>VLOOKUP(C581,'mayo-26'!B:J,9,0)</f>
        <v>CENTRO</v>
      </c>
      <c r="L581" s="1" t="str">
        <f>VLOOKUP(C581,'mayo-26'!B:K,10,0)</f>
        <v>CENTRO</v>
      </c>
      <c r="M581" s="20" t="s">
        <v>52</v>
      </c>
      <c r="N581" s="20" t="s">
        <v>89</v>
      </c>
      <c r="O581" s="20" t="s">
        <v>861</v>
      </c>
      <c r="P581" s="20" t="s">
        <v>126</v>
      </c>
      <c r="Q581" s="20" t="s">
        <v>131</v>
      </c>
      <c r="R581" s="20" t="s">
        <v>363</v>
      </c>
      <c r="S581" s="20" t="s">
        <v>133</v>
      </c>
      <c r="T581" s="20" t="s">
        <v>59</v>
      </c>
      <c r="U581" s="20">
        <v>2026.0</v>
      </c>
      <c r="V581" s="20">
        <v>6.0</v>
      </c>
      <c r="W581" s="20">
        <v>1.081875407E9</v>
      </c>
      <c r="X581" s="20">
        <v>1.081893879E9</v>
      </c>
      <c r="Y581" s="22">
        <v>46182.0</v>
      </c>
      <c r="Z581" s="22">
        <v>46207.0</v>
      </c>
      <c r="AA581" s="20">
        <v>75366.0</v>
      </c>
      <c r="AB581" s="20">
        <v>75366.0</v>
      </c>
      <c r="AC581" s="20">
        <v>25122.0</v>
      </c>
      <c r="AD581" s="20">
        <v>0.0</v>
      </c>
      <c r="AE581" s="20">
        <v>0.0</v>
      </c>
      <c r="AF581" s="20">
        <v>0.0</v>
      </c>
      <c r="AG581" s="20">
        <v>0.0</v>
      </c>
      <c r="AH581" s="20">
        <v>0.0</v>
      </c>
      <c r="AI581" s="20">
        <v>0.0</v>
      </c>
      <c r="AJ581" s="20">
        <v>75366.0</v>
      </c>
      <c r="AK581" s="20">
        <v>151507.5</v>
      </c>
      <c r="AL581" s="20">
        <v>1.0</v>
      </c>
      <c r="AM581" s="20">
        <v>376.2</v>
      </c>
      <c r="AN581" s="20">
        <v>0.0</v>
      </c>
      <c r="AS581" s="11" t="str">
        <f>VLOOKUP(C581,'mayo-26'!B:AS,44,0)</f>
        <v>PEACHSEXSHOPBUSSINESS@GMAIL.COM</v>
      </c>
      <c r="AT581" s="12" t="str">
        <f>VLOOKUP(C581,'mayo-26'!B:AT,45,0)</f>
        <v>VERIFICADOR</v>
      </c>
    </row>
    <row r="582" ht="14.25" customHeight="1">
      <c r="A582" s="20" t="s">
        <v>1244</v>
      </c>
      <c r="B582" s="20">
        <v>255.0</v>
      </c>
      <c r="C582" s="20">
        <v>254.0</v>
      </c>
      <c r="D582" s="21">
        <v>254.0</v>
      </c>
      <c r="E582" s="20">
        <v>9.0235273E7</v>
      </c>
      <c r="F582" s="20">
        <v>9.0235273E7</v>
      </c>
      <c r="G582" s="20">
        <v>8.30087661E8</v>
      </c>
      <c r="H582" s="20" t="s">
        <v>934</v>
      </c>
      <c r="I582" s="1" t="str">
        <f>VLOOKUP(C582,'mayo-26'!B:H,7,0)</f>
        <v>AVE 0 11-153 LOC 5</v>
      </c>
      <c r="J582" s="1" t="s">
        <v>931</v>
      </c>
      <c r="K582" s="10" t="str">
        <f>VLOOKUP(C582,'mayo-26'!B:J,9,0)</f>
        <v>CENTRO</v>
      </c>
      <c r="L582" s="1" t="str">
        <f>VLOOKUP(C582,'mayo-26'!B:K,10,0)</f>
        <v>CENTRO</v>
      </c>
      <c r="M582" s="20" t="s">
        <v>52</v>
      </c>
      <c r="N582" s="20" t="s">
        <v>89</v>
      </c>
      <c r="O582" s="20" t="s">
        <v>861</v>
      </c>
      <c r="P582" s="20" t="s">
        <v>126</v>
      </c>
      <c r="Q582" s="20" t="s">
        <v>131</v>
      </c>
      <c r="R582" s="20" t="s">
        <v>363</v>
      </c>
      <c r="S582" s="20" t="s">
        <v>133</v>
      </c>
      <c r="T582" s="20" t="s">
        <v>59</v>
      </c>
      <c r="U582" s="20">
        <v>2026.0</v>
      </c>
      <c r="V582" s="20">
        <v>6.0</v>
      </c>
      <c r="W582" s="20">
        <v>1.081875412E9</v>
      </c>
      <c r="X582" s="20">
        <v>1.081893884E9</v>
      </c>
      <c r="Y582" s="22">
        <v>46182.0</v>
      </c>
      <c r="Z582" s="22">
        <v>46207.0</v>
      </c>
      <c r="AA582" s="20">
        <v>76809.77</v>
      </c>
      <c r="AB582" s="20">
        <v>76809.77</v>
      </c>
      <c r="AC582" s="20">
        <v>25122.0</v>
      </c>
      <c r="AD582" s="20">
        <v>0.0</v>
      </c>
      <c r="AE582" s="20">
        <v>1443.77</v>
      </c>
      <c r="AF582" s="20">
        <v>0.0</v>
      </c>
      <c r="AG582" s="20">
        <v>0.0</v>
      </c>
      <c r="AH582" s="20">
        <v>0.0</v>
      </c>
      <c r="AI582" s="20">
        <v>0.0</v>
      </c>
      <c r="AJ582" s="20">
        <v>76809.77</v>
      </c>
      <c r="AK582" s="20">
        <v>76810.36</v>
      </c>
      <c r="AL582" s="20">
        <v>1.0</v>
      </c>
      <c r="AM582" s="20">
        <v>376.2</v>
      </c>
      <c r="AN582" s="20">
        <v>0.0</v>
      </c>
      <c r="AS582" s="11" t="str">
        <f>VLOOKUP(C582,'mayo-26'!B:AS,44,0)</f>
        <v>DANYELI.ACUNA@LAASCENSION.COM</v>
      </c>
      <c r="AT582" s="12" t="str">
        <f>VLOOKUP(C582,'mayo-26'!B:AT,45,0)</f>
        <v>VERIFICADOR</v>
      </c>
    </row>
    <row r="583" ht="14.25" customHeight="1">
      <c r="A583" s="20" t="s">
        <v>1245</v>
      </c>
      <c r="B583" s="20">
        <v>259.0</v>
      </c>
      <c r="C583" s="20">
        <v>258.0</v>
      </c>
      <c r="D583" s="21">
        <v>258.0</v>
      </c>
      <c r="E583" s="20">
        <v>9.0235277E7</v>
      </c>
      <c r="F583" s="20">
        <v>9.0235277E7</v>
      </c>
      <c r="G583" s="20">
        <v>6.0306507E7</v>
      </c>
      <c r="H583" s="20" t="s">
        <v>934</v>
      </c>
      <c r="I583" s="1" t="str">
        <f>VLOOKUP(C583,'mayo-26'!B:H,7,0)</f>
        <v>AVE 0 11-153 301</v>
      </c>
      <c r="J583" s="1" t="s">
        <v>931</v>
      </c>
      <c r="K583" s="10" t="str">
        <f>VLOOKUP(C583,'mayo-26'!B:J,9,0)</f>
        <v>CENTRO</v>
      </c>
      <c r="L583" s="1" t="str">
        <f>VLOOKUP(C583,'mayo-26'!B:K,10,0)</f>
        <v>CENTRO</v>
      </c>
      <c r="M583" s="20" t="s">
        <v>52</v>
      </c>
      <c r="N583" s="20" t="s">
        <v>89</v>
      </c>
      <c r="O583" s="20" t="s">
        <v>861</v>
      </c>
      <c r="P583" s="20" t="s">
        <v>126</v>
      </c>
      <c r="Q583" s="20" t="s">
        <v>218</v>
      </c>
      <c r="R583" s="20" t="s">
        <v>938</v>
      </c>
      <c r="S583" s="20" t="s">
        <v>133</v>
      </c>
      <c r="T583" s="20" t="s">
        <v>59</v>
      </c>
      <c r="U583" s="20">
        <v>2026.0</v>
      </c>
      <c r="V583" s="20">
        <v>6.0</v>
      </c>
      <c r="W583" s="20">
        <v>1.081875415E9</v>
      </c>
      <c r="X583" s="20">
        <v>1.081893887E9</v>
      </c>
      <c r="Y583" s="22">
        <v>46182.0</v>
      </c>
      <c r="Z583" s="22">
        <v>46207.0</v>
      </c>
      <c r="AA583" s="20">
        <v>53134.0</v>
      </c>
      <c r="AB583" s="20">
        <v>53134.0</v>
      </c>
      <c r="AC583" s="20">
        <v>0.0</v>
      </c>
      <c r="AD583" s="20">
        <v>0.0</v>
      </c>
      <c r="AE583" s="20">
        <v>0.0</v>
      </c>
      <c r="AF583" s="20">
        <v>0.0</v>
      </c>
      <c r="AG583" s="20">
        <v>0.0</v>
      </c>
      <c r="AH583" s="20">
        <v>0.0</v>
      </c>
      <c r="AI583" s="20">
        <v>0.0</v>
      </c>
      <c r="AJ583" s="20">
        <v>53134.0</v>
      </c>
      <c r="AK583" s="20">
        <v>53134.0</v>
      </c>
      <c r="AL583" s="20">
        <v>0.0</v>
      </c>
      <c r="AM583" s="20">
        <v>250.8</v>
      </c>
      <c r="AN583" s="20">
        <v>0.0</v>
      </c>
      <c r="AS583" s="11" t="str">
        <f>VLOOKUP(C583,'mayo-26'!B:AS,44,0)</f>
        <v>ABOGADA@NUBIAMORALESDEDUPLAT.ONMICROSOFT.COM</v>
      </c>
      <c r="AT583" s="12" t="str">
        <f>VLOOKUP(C583,'mayo-26'!B:AT,45,0)</f>
        <v>VERIFICADOR</v>
      </c>
    </row>
    <row r="584" ht="14.25" customHeight="1">
      <c r="A584" s="20" t="s">
        <v>1246</v>
      </c>
      <c r="B584" s="20">
        <v>263.0</v>
      </c>
      <c r="C584" s="20">
        <v>262.0</v>
      </c>
      <c r="D584" s="21">
        <v>262.0</v>
      </c>
      <c r="E584" s="20">
        <v>9.0235282E7</v>
      </c>
      <c r="F584" s="20">
        <v>9.0235282E7</v>
      </c>
      <c r="G584" s="20">
        <v>9.0235282E7</v>
      </c>
      <c r="H584" s="20" t="s">
        <v>934</v>
      </c>
      <c r="I584" s="1" t="str">
        <f>VLOOKUP(C584,'mayo-26'!B:H,7,0)</f>
        <v>AV.0 # 11-153. 403</v>
      </c>
      <c r="J584" s="1" t="s">
        <v>931</v>
      </c>
      <c r="K584" s="10" t="str">
        <f>VLOOKUP(C584,'mayo-26'!B:J,9,0)</f>
        <v>CENTRO</v>
      </c>
      <c r="L584" s="1" t="str">
        <f>VLOOKUP(C584,'mayo-26'!B:K,10,0)</f>
        <v>CENTRO</v>
      </c>
      <c r="M584" s="20" t="s">
        <v>52</v>
      </c>
      <c r="N584" s="20" t="s">
        <v>89</v>
      </c>
      <c r="O584" s="20" t="s">
        <v>861</v>
      </c>
      <c r="P584" s="20" t="s">
        <v>126</v>
      </c>
      <c r="Q584" s="20" t="s">
        <v>218</v>
      </c>
      <c r="R584" s="20" t="s">
        <v>938</v>
      </c>
      <c r="S584" s="20" t="s">
        <v>133</v>
      </c>
      <c r="T584" s="20" t="s">
        <v>59</v>
      </c>
      <c r="U584" s="20">
        <v>2026.0</v>
      </c>
      <c r="V584" s="20">
        <v>6.0</v>
      </c>
      <c r="W584" s="20">
        <v>1.081875419E9</v>
      </c>
      <c r="X584" s="20">
        <v>1.081893891E9</v>
      </c>
      <c r="Y584" s="22">
        <v>46182.0</v>
      </c>
      <c r="Z584" s="22">
        <v>46207.0</v>
      </c>
      <c r="AA584" s="20">
        <v>53134.0</v>
      </c>
      <c r="AB584" s="20">
        <v>53134.0</v>
      </c>
      <c r="AC584" s="20">
        <v>0.0</v>
      </c>
      <c r="AD584" s="20">
        <v>0.0</v>
      </c>
      <c r="AE584" s="20">
        <v>0.0</v>
      </c>
      <c r="AF584" s="20">
        <v>0.0</v>
      </c>
      <c r="AG584" s="20">
        <v>0.0</v>
      </c>
      <c r="AH584" s="20">
        <v>0.0</v>
      </c>
      <c r="AI584" s="20">
        <v>0.0</v>
      </c>
      <c r="AJ584" s="20">
        <v>53134.0</v>
      </c>
      <c r="AK584" s="20">
        <v>53134.0</v>
      </c>
      <c r="AL584" s="20">
        <v>0.0</v>
      </c>
      <c r="AM584" s="20">
        <v>250.8</v>
      </c>
      <c r="AN584" s="20">
        <v>0.0</v>
      </c>
      <c r="AS584" s="11" t="str">
        <f>VLOOKUP(C584,'mayo-26'!B:AS,44,0)</f>
        <v>#ERROR!</v>
      </c>
      <c r="AT584" s="12" t="str">
        <f>VLOOKUP(C584,'mayo-26'!B:AT,45,0)</f>
        <v>VERIFICADOR</v>
      </c>
    </row>
    <row r="585" ht="14.25" customHeight="1">
      <c r="A585" s="20" t="s">
        <v>1247</v>
      </c>
      <c r="B585" s="20">
        <v>267.0</v>
      </c>
      <c r="C585" s="20">
        <v>266.0</v>
      </c>
      <c r="D585" s="21">
        <v>266.0</v>
      </c>
      <c r="E585" s="20">
        <v>9.0235539E7</v>
      </c>
      <c r="F585" s="20">
        <v>9.0235539E7</v>
      </c>
      <c r="G585" s="20">
        <v>8.05011262E8</v>
      </c>
      <c r="H585" s="20" t="s">
        <v>1248</v>
      </c>
      <c r="I585" s="1" t="str">
        <f>VLOOKUP(C585,'mayo-26'!B:H,7,0)</f>
        <v>CLL 13 1E-39 CENTRO NEFROLOGI</v>
      </c>
      <c r="J585" s="1" t="s">
        <v>942</v>
      </c>
      <c r="K585" s="10" t="str">
        <f>VLOOKUP(C585,'mayo-26'!B:J,9,0)</f>
        <v>NO</v>
      </c>
      <c r="L585" s="1" t="str">
        <f>VLOOKUP(C585,'mayo-26'!B:K,10,0)</f>
        <v>NO</v>
      </c>
      <c r="M585" s="20" t="s">
        <v>52</v>
      </c>
      <c r="N585" s="20" t="s">
        <v>89</v>
      </c>
      <c r="O585" s="20" t="s">
        <v>861</v>
      </c>
      <c r="P585" s="20" t="s">
        <v>126</v>
      </c>
      <c r="Q585" s="20" t="s">
        <v>56</v>
      </c>
      <c r="R585" s="20" t="s">
        <v>90</v>
      </c>
      <c r="S585" s="20" t="s">
        <v>143</v>
      </c>
      <c r="T585" s="20" t="s">
        <v>59</v>
      </c>
      <c r="U585" s="20">
        <v>2026.0</v>
      </c>
      <c r="V585" s="20">
        <v>6.0</v>
      </c>
      <c r="W585" s="20">
        <v>1.081875422E9</v>
      </c>
      <c r="X585" s="20">
        <v>1.081893894E9</v>
      </c>
      <c r="Y585" s="22">
        <v>46182.0</v>
      </c>
      <c r="Z585" s="22">
        <v>46207.0</v>
      </c>
      <c r="AA585" s="20">
        <v>726745.35</v>
      </c>
      <c r="AB585" s="20">
        <v>726745.35</v>
      </c>
      <c r="AC585" s="20">
        <v>240847.88</v>
      </c>
      <c r="AD585" s="20">
        <v>2340.0</v>
      </c>
      <c r="AE585" s="20">
        <v>4201.71</v>
      </c>
      <c r="AF585" s="20">
        <v>0.0</v>
      </c>
      <c r="AG585" s="20">
        <v>0.0</v>
      </c>
      <c r="AH585" s="20">
        <v>0.0</v>
      </c>
      <c r="AI585" s="20">
        <v>0.0</v>
      </c>
      <c r="AJ585" s="20">
        <v>726744.97</v>
      </c>
      <c r="AK585" s="20">
        <v>726744.97</v>
      </c>
      <c r="AL585" s="20">
        <v>0.0</v>
      </c>
      <c r="AM585" s="20">
        <v>376.2</v>
      </c>
      <c r="AN585" s="20">
        <v>0.0</v>
      </c>
      <c r="AQ585" s="20">
        <v>0.38</v>
      </c>
      <c r="AS585" s="11" t="str">
        <f>VLOOKUP(C585,'mayo-26'!B:AS,44,0)</f>
        <v>EDWIN_CORREA@BAXTER.COM</v>
      </c>
      <c r="AT585" s="12" t="str">
        <f>VLOOKUP(C585,'mayo-26'!B:AT,45,0)</f>
        <v>CORREO ELECTRONICO CERTIFICADO 472</v>
      </c>
    </row>
    <row r="586" ht="14.25" customHeight="1">
      <c r="A586" s="20" t="s">
        <v>1249</v>
      </c>
      <c r="B586" s="20">
        <v>271.0</v>
      </c>
      <c r="C586" s="20">
        <v>270.0</v>
      </c>
      <c r="D586" s="21">
        <v>270.0</v>
      </c>
      <c r="E586" s="20">
        <v>9.0236215E7</v>
      </c>
      <c r="F586" s="20">
        <v>9.0236215E7</v>
      </c>
      <c r="G586" s="20">
        <v>9.0236215E7</v>
      </c>
      <c r="H586" s="20" t="s">
        <v>941</v>
      </c>
      <c r="I586" s="1" t="str">
        <f>VLOOKUP(C586,'mayo-26'!B:H,7,0)</f>
        <v>CLL 14 4E-23 APTO 201</v>
      </c>
      <c r="J586" s="1" t="s">
        <v>942</v>
      </c>
      <c r="K586" s="10" t="str">
        <f>VLOOKUP(C586,'mayo-26'!B:J,9,0)</f>
        <v>CENTRO</v>
      </c>
      <c r="L586" s="1" t="str">
        <f>VLOOKUP(C586,'mayo-26'!B:K,10,0)</f>
        <v>EDIFICIO ATLANTE LTDA</v>
      </c>
      <c r="M586" s="20" t="s">
        <v>52</v>
      </c>
      <c r="N586" s="20" t="s">
        <v>53</v>
      </c>
      <c r="O586" s="20" t="s">
        <v>861</v>
      </c>
      <c r="P586" s="20" t="s">
        <v>126</v>
      </c>
      <c r="Q586" s="20" t="s">
        <v>218</v>
      </c>
      <c r="R586" s="20" t="s">
        <v>943</v>
      </c>
      <c r="S586" s="20" t="s">
        <v>133</v>
      </c>
      <c r="T586" s="20" t="s">
        <v>59</v>
      </c>
      <c r="U586" s="20">
        <v>2026.0</v>
      </c>
      <c r="V586" s="20">
        <v>6.0</v>
      </c>
      <c r="W586" s="20">
        <v>1.081875428E9</v>
      </c>
      <c r="X586" s="20">
        <v>1.0818939E9</v>
      </c>
      <c r="Y586" s="22">
        <v>46182.0</v>
      </c>
      <c r="Z586" s="22">
        <v>46207.0</v>
      </c>
      <c r="AA586" s="20">
        <v>84807.0</v>
      </c>
      <c r="AB586" s="20">
        <v>84807.0</v>
      </c>
      <c r="AC586" s="20">
        <v>28269.0</v>
      </c>
      <c r="AD586" s="20">
        <v>0.0</v>
      </c>
      <c r="AE586" s="20">
        <v>0.0</v>
      </c>
      <c r="AF586" s="20">
        <v>0.0</v>
      </c>
      <c r="AG586" s="20">
        <v>0.0</v>
      </c>
      <c r="AH586" s="20">
        <v>0.0</v>
      </c>
      <c r="AI586" s="20">
        <v>0.0</v>
      </c>
      <c r="AJ586" s="20">
        <v>84807.0</v>
      </c>
      <c r="AK586" s="20">
        <v>84807.64</v>
      </c>
      <c r="AL586" s="20">
        <v>1.0</v>
      </c>
      <c r="AM586" s="20">
        <v>376.2</v>
      </c>
      <c r="AN586" s="20">
        <v>0.0</v>
      </c>
      <c r="AS586" s="11" t="str">
        <f>VLOOKUP(C586,'mayo-26'!B:AS,44,0)</f>
        <v>CINOVA1934@YAHOO.COM</v>
      </c>
      <c r="AT586" s="12" t="str">
        <f>VLOOKUP(C586,'mayo-26'!B:AT,45,0)</f>
        <v>VERIFICADOR</v>
      </c>
    </row>
    <row r="587" ht="14.25" customHeight="1">
      <c r="A587" s="20" t="s">
        <v>1250</v>
      </c>
      <c r="B587" s="20">
        <v>275.0</v>
      </c>
      <c r="C587" s="20">
        <v>274.0</v>
      </c>
      <c r="D587" s="21">
        <v>274.0</v>
      </c>
      <c r="E587" s="20">
        <v>9.0236219E7</v>
      </c>
      <c r="F587" s="20">
        <v>9.0236219E7</v>
      </c>
      <c r="G587" s="20">
        <v>9.0236219E7</v>
      </c>
      <c r="H587" s="20" t="s">
        <v>941</v>
      </c>
      <c r="I587" s="1" t="str">
        <f>VLOOKUP(C587,'mayo-26'!B:H,7,0)</f>
        <v>CLL 14 4E-23 APTO 401</v>
      </c>
      <c r="J587" s="1" t="s">
        <v>942</v>
      </c>
      <c r="K587" s="10" t="str">
        <f>VLOOKUP(C587,'mayo-26'!B:J,9,0)</f>
        <v>CENTRO </v>
      </c>
      <c r="L587" s="1" t="str">
        <f>VLOOKUP(C587,'mayo-26'!B:K,10,0)</f>
        <v>EDIFICIO ATLANTE LTDA</v>
      </c>
      <c r="M587" s="20" t="s">
        <v>52</v>
      </c>
      <c r="N587" s="20" t="s">
        <v>89</v>
      </c>
      <c r="O587" s="20" t="s">
        <v>861</v>
      </c>
      <c r="P587" s="20" t="s">
        <v>126</v>
      </c>
      <c r="Q587" s="20" t="s">
        <v>218</v>
      </c>
      <c r="R587" s="20" t="s">
        <v>943</v>
      </c>
      <c r="S587" s="20" t="s">
        <v>133</v>
      </c>
      <c r="T587" s="20" t="s">
        <v>59</v>
      </c>
      <c r="U587" s="20">
        <v>2026.0</v>
      </c>
      <c r="V587" s="20">
        <v>6.0</v>
      </c>
      <c r="W587" s="20">
        <v>1.081875433E9</v>
      </c>
      <c r="X587" s="20">
        <v>1.081893905E9</v>
      </c>
      <c r="Y587" s="22">
        <v>46182.0</v>
      </c>
      <c r="Z587" s="22">
        <v>46207.0</v>
      </c>
      <c r="AA587" s="20">
        <v>94258.19</v>
      </c>
      <c r="AB587" s="20">
        <v>94258.19</v>
      </c>
      <c r="AC587" s="20">
        <v>28269.0</v>
      </c>
      <c r="AD587" s="20">
        <v>0.0</v>
      </c>
      <c r="AE587" s="20">
        <v>9451.19</v>
      </c>
      <c r="AF587" s="20">
        <v>0.0</v>
      </c>
      <c r="AG587" s="20">
        <v>0.0</v>
      </c>
      <c r="AH587" s="20">
        <v>0.0</v>
      </c>
      <c r="AI587" s="20">
        <v>0.0</v>
      </c>
      <c r="AJ587" s="20">
        <v>94258.19</v>
      </c>
      <c r="AK587" s="20">
        <v>722797.39</v>
      </c>
      <c r="AL587" s="20">
        <v>8.0</v>
      </c>
      <c r="AM587" s="20">
        <v>376.2</v>
      </c>
      <c r="AN587" s="20">
        <v>0.0</v>
      </c>
      <c r="AS587" s="11" t="str">
        <f>VLOOKUP(C587,'mayo-26'!B:AS,44,0)</f>
        <v>inmobiliariabellohogar@hotmail.com</v>
      </c>
      <c r="AT587" s="12" t="str">
        <f>VLOOKUP(C587,'mayo-26'!B:AT,45,0)</f>
        <v>VERIFICADOR</v>
      </c>
    </row>
    <row r="588" ht="14.25" customHeight="1">
      <c r="A588" s="20" t="s">
        <v>1251</v>
      </c>
      <c r="B588" s="20">
        <v>279.0</v>
      </c>
      <c r="C588" s="20">
        <v>278.0</v>
      </c>
      <c r="D588" s="21">
        <v>278.0</v>
      </c>
      <c r="E588" s="20">
        <v>9.0236223E7</v>
      </c>
      <c r="F588" s="20">
        <v>9.0236223E7</v>
      </c>
      <c r="G588" s="20">
        <v>6.0370469E7</v>
      </c>
      <c r="H588" s="20" t="s">
        <v>1252</v>
      </c>
      <c r="I588" s="1" t="str">
        <f>VLOOKUP(C588,'mayo-26'!B:H,7,0)</f>
        <v>CLL 14 4E-23 APTO 601</v>
      </c>
      <c r="J588" s="1" t="s">
        <v>942</v>
      </c>
      <c r="K588" s="10" t="str">
        <f>VLOOKUP(C588,'mayo-26'!B:J,9,0)</f>
        <v>CENTRO</v>
      </c>
      <c r="L588" s="1" t="str">
        <f>VLOOKUP(C588,'mayo-26'!B:K,10,0)</f>
        <v>EDIFICIO ATLANTE LTDA</v>
      </c>
      <c r="M588" s="20" t="s">
        <v>52</v>
      </c>
      <c r="N588" s="20" t="s">
        <v>89</v>
      </c>
      <c r="O588" s="20" t="s">
        <v>861</v>
      </c>
      <c r="P588" s="20" t="s">
        <v>126</v>
      </c>
      <c r="Q588" s="20" t="s">
        <v>218</v>
      </c>
      <c r="R588" s="20" t="s">
        <v>943</v>
      </c>
      <c r="S588" s="20" t="s">
        <v>133</v>
      </c>
      <c r="T588" s="20" t="s">
        <v>59</v>
      </c>
      <c r="U588" s="20">
        <v>2026.0</v>
      </c>
      <c r="V588" s="20">
        <v>6.0</v>
      </c>
      <c r="W588" s="20">
        <v>1.081875437E9</v>
      </c>
      <c r="X588" s="20">
        <v>1.081893909E9</v>
      </c>
      <c r="Y588" s="22">
        <v>46182.0</v>
      </c>
      <c r="Z588" s="22">
        <v>46207.0</v>
      </c>
      <c r="AA588" s="20">
        <v>84807.0</v>
      </c>
      <c r="AB588" s="20">
        <v>84807.0</v>
      </c>
      <c r="AC588" s="20">
        <v>28269.0</v>
      </c>
      <c r="AD588" s="20">
        <v>0.0</v>
      </c>
      <c r="AE588" s="20">
        <v>0.0</v>
      </c>
      <c r="AF588" s="20">
        <v>0.0</v>
      </c>
      <c r="AG588" s="20">
        <v>0.0</v>
      </c>
      <c r="AH588" s="20">
        <v>0.0</v>
      </c>
      <c r="AI588" s="20">
        <v>0.0</v>
      </c>
      <c r="AJ588" s="20">
        <v>84807.0</v>
      </c>
      <c r="AK588" s="20">
        <v>84807.0</v>
      </c>
      <c r="AL588" s="20">
        <v>0.0</v>
      </c>
      <c r="AM588" s="20">
        <v>376.2</v>
      </c>
      <c r="AN588" s="20">
        <v>0.0</v>
      </c>
      <c r="AS588" s="11" t="str">
        <f>VLOOKUP(C588,'mayo-26'!B:AS,44,0)</f>
        <v>PECOSA2807@HOTMAIL.COM</v>
      </c>
      <c r="AT588" s="12" t="str">
        <f>VLOOKUP(C588,'mayo-26'!B:AT,45,0)</f>
        <v>VERIFICADOR</v>
      </c>
    </row>
    <row r="589" ht="14.25" customHeight="1">
      <c r="A589" s="20" t="s">
        <v>1253</v>
      </c>
      <c r="B589" s="20">
        <v>283.0</v>
      </c>
      <c r="C589" s="20">
        <v>282.0</v>
      </c>
      <c r="D589" s="21">
        <v>282.0</v>
      </c>
      <c r="E589" s="20">
        <v>9.0236754E7</v>
      </c>
      <c r="F589" s="20">
        <v>9.0236754E7</v>
      </c>
      <c r="G589" s="20">
        <v>8.60009112E8</v>
      </c>
      <c r="H589" s="20" t="s">
        <v>1254</v>
      </c>
      <c r="I589" s="1" t="str">
        <f>VLOOKUP(C589,'mayo-26'!B:H,7,0)</f>
        <v>CLL 22 0B-09</v>
      </c>
      <c r="J589" s="1" t="s">
        <v>123</v>
      </c>
      <c r="K589" s="10" t="str">
        <f>VLOOKUP(C589,'mayo-26'!B:J,9,0)</f>
        <v>NO</v>
      </c>
      <c r="L589" s="1" t="str">
        <f>VLOOKUP(C589,'mayo-26'!B:K,10,0)</f>
        <v>NO</v>
      </c>
      <c r="M589" s="20" t="s">
        <v>52</v>
      </c>
      <c r="N589" s="20" t="s">
        <v>89</v>
      </c>
      <c r="O589" s="20" t="s">
        <v>861</v>
      </c>
      <c r="P589" s="20" t="s">
        <v>126</v>
      </c>
      <c r="Q589" s="20" t="s">
        <v>56</v>
      </c>
      <c r="R589" s="20" t="s">
        <v>90</v>
      </c>
      <c r="S589" s="20" t="s">
        <v>143</v>
      </c>
      <c r="T589" s="20" t="s">
        <v>59</v>
      </c>
      <c r="U589" s="20">
        <v>2026.0</v>
      </c>
      <c r="V589" s="20">
        <v>6.0</v>
      </c>
      <c r="W589" s="20">
        <v>1.081875442E9</v>
      </c>
      <c r="X589" s="20">
        <v>1.081893914E9</v>
      </c>
      <c r="Y589" s="22">
        <v>46182.0</v>
      </c>
      <c r="Z589" s="22">
        <v>46207.0</v>
      </c>
      <c r="AA589" s="20">
        <v>728948.19</v>
      </c>
      <c r="AB589" s="20">
        <v>728948.19</v>
      </c>
      <c r="AC589" s="20">
        <v>242982.73</v>
      </c>
      <c r="AD589" s="20">
        <v>2362.5</v>
      </c>
      <c r="AE589" s="20">
        <v>0.0</v>
      </c>
      <c r="AF589" s="20">
        <v>0.0</v>
      </c>
      <c r="AG589" s="20">
        <v>0.0</v>
      </c>
      <c r="AH589" s="20">
        <v>0.0</v>
      </c>
      <c r="AI589" s="20">
        <v>0.0</v>
      </c>
      <c r="AJ589" s="20">
        <v>728948.19</v>
      </c>
      <c r="AK589" s="20">
        <v>728948.19</v>
      </c>
      <c r="AL589" s="20">
        <v>0.0</v>
      </c>
      <c r="AM589" s="20">
        <v>376.2</v>
      </c>
      <c r="AN589" s="20">
        <v>0.0</v>
      </c>
      <c r="AS589" s="11" t="str">
        <f>VLOOKUP(C589,'mayo-26'!B:AS,44,0)</f>
        <v>colcardenalscucuta@gmail.com</v>
      </c>
      <c r="AT589" s="12" t="str">
        <f>VLOOKUP(C589,'mayo-26'!B:AT,45,0)</f>
        <v>CORREO ELECTRONICO CERTIFICADO 472</v>
      </c>
    </row>
    <row r="590" ht="14.25" customHeight="1">
      <c r="A590" s="20" t="s">
        <v>1255</v>
      </c>
      <c r="B590" s="20">
        <v>455370.0</v>
      </c>
      <c r="C590" s="20">
        <v>286.0</v>
      </c>
      <c r="D590" s="21">
        <v>286.0</v>
      </c>
      <c r="E590" s="20">
        <v>9.0237085E7</v>
      </c>
      <c r="F590" s="20">
        <v>9.0237085E7</v>
      </c>
      <c r="G590" s="20" t="s">
        <v>148</v>
      </c>
      <c r="H590" s="20" t="s">
        <v>149</v>
      </c>
      <c r="I590" s="1" t="str">
        <f>VLOOKUP(C590,'mayo-26'!B:H,7,0)</f>
        <v>CALLE 10 NO 0E-16 EDF CENTRO EMPRESARIAL BLOQUE B HOTEL TONCHALA</v>
      </c>
      <c r="J590" s="1" t="s">
        <v>1256</v>
      </c>
      <c r="K590" s="10" t="str">
        <f>VLOOKUP(C590,'mayo-26'!B:J,9,0)</f>
        <v>NO</v>
      </c>
      <c r="L590" s="1" t="str">
        <f>VLOOKUP(C590,'mayo-26'!B:K,10,0)</f>
        <v>COLEGIOS ZONA SUR</v>
      </c>
      <c r="M590" s="20" t="s">
        <v>52</v>
      </c>
      <c r="N590" s="20" t="s">
        <v>53</v>
      </c>
      <c r="O590" s="20" t="s">
        <v>861</v>
      </c>
      <c r="P590" s="20" t="s">
        <v>126</v>
      </c>
      <c r="Q590" s="20" t="s">
        <v>56</v>
      </c>
      <c r="R590" s="20" t="s">
        <v>57</v>
      </c>
      <c r="S590" s="20" t="s">
        <v>143</v>
      </c>
      <c r="T590" s="20" t="s">
        <v>59</v>
      </c>
      <c r="U590" s="20">
        <v>2026.0</v>
      </c>
      <c r="V590" s="20">
        <v>6.0</v>
      </c>
      <c r="W590" s="20">
        <v>1.081875444E9</v>
      </c>
      <c r="X590" s="20">
        <v>1.081893916E9</v>
      </c>
      <c r="Y590" s="22">
        <v>46182.0</v>
      </c>
      <c r="Z590" s="22">
        <v>46207.0</v>
      </c>
      <c r="AA590" s="20">
        <v>333679.84</v>
      </c>
      <c r="AB590" s="20">
        <v>333679.84</v>
      </c>
      <c r="AC590" s="20">
        <v>0.0</v>
      </c>
      <c r="AD590" s="20">
        <v>1560.0</v>
      </c>
      <c r="AE590" s="20">
        <v>0.0</v>
      </c>
      <c r="AF590" s="20">
        <v>0.0</v>
      </c>
      <c r="AG590" s="20">
        <v>0.0</v>
      </c>
      <c r="AH590" s="20">
        <v>0.0</v>
      </c>
      <c r="AI590" s="20">
        <v>0.0</v>
      </c>
      <c r="AJ590" s="20">
        <v>333679.84</v>
      </c>
      <c r="AK590" s="20">
        <v>995020.72</v>
      </c>
      <c r="AL590" s="20">
        <v>3.0</v>
      </c>
      <c r="AM590" s="20">
        <v>250.8</v>
      </c>
      <c r="AN590" s="20">
        <v>0.0</v>
      </c>
      <c r="AS590" s="11" t="str">
        <f>VLOOKUP(C590,'mayo-26'!B:AS,44,0)</f>
        <v>AREAFINANCIERA@SEMCUCUTA.GOV.CO</v>
      </c>
      <c r="AT590" s="12" t="str">
        <f>VLOOKUP(C590,'mayo-26'!B:AT,45,0)</f>
        <v>CARTERA</v>
      </c>
    </row>
    <row r="591" ht="14.25" customHeight="1">
      <c r="A591" s="20" t="s">
        <v>1257</v>
      </c>
      <c r="B591" s="20">
        <v>295.0</v>
      </c>
      <c r="C591" s="20">
        <v>294.0</v>
      </c>
      <c r="D591" s="21">
        <v>294.0</v>
      </c>
      <c r="E591" s="20">
        <v>9.0239386E7</v>
      </c>
      <c r="F591" s="20">
        <v>9.0239386E7</v>
      </c>
      <c r="G591" s="20" t="s">
        <v>1258</v>
      </c>
      <c r="H591" s="20" t="s">
        <v>1259</v>
      </c>
      <c r="I591" s="1" t="str">
        <f>VLOOKUP(C591,'mayo-26'!B:H,7,0)</f>
        <v>AVE 1 17-93 LA PLAYA TOTALIZADOR</v>
      </c>
      <c r="J591" s="1" t="s">
        <v>343</v>
      </c>
      <c r="K591" s="10" t="str">
        <f>VLOOKUP(C591,'mayo-26'!B:J,9,0)</f>
        <v>NO</v>
      </c>
      <c r="L591" s="1" t="str">
        <f>VLOOKUP(C591,'mayo-26'!B:K,10,0)</f>
        <v>NO</v>
      </c>
      <c r="M591" s="20" t="s">
        <v>52</v>
      </c>
      <c r="N591" s="20" t="s">
        <v>89</v>
      </c>
      <c r="O591" s="20" t="s">
        <v>861</v>
      </c>
      <c r="P591" s="20" t="s">
        <v>126</v>
      </c>
      <c r="Q591" s="20" t="s">
        <v>56</v>
      </c>
      <c r="R591" s="20" t="s">
        <v>57</v>
      </c>
      <c r="S591" s="20" t="s">
        <v>143</v>
      </c>
      <c r="T591" s="20" t="s">
        <v>59</v>
      </c>
      <c r="U591" s="20">
        <v>2026.0</v>
      </c>
      <c r="V591" s="20">
        <v>6.0</v>
      </c>
      <c r="W591" s="20">
        <v>1.081875449E9</v>
      </c>
      <c r="X591" s="20">
        <v>1.081893921E9</v>
      </c>
      <c r="Y591" s="22">
        <v>46182.0</v>
      </c>
      <c r="Z591" s="22">
        <v>46207.0</v>
      </c>
      <c r="AA591" s="20">
        <v>225514.36</v>
      </c>
      <c r="AB591" s="20">
        <v>225514.36</v>
      </c>
      <c r="AC591" s="20">
        <v>0.0</v>
      </c>
      <c r="AD591" s="20">
        <v>990.0</v>
      </c>
      <c r="AE591" s="20">
        <v>0.0</v>
      </c>
      <c r="AF591" s="20">
        <v>0.0</v>
      </c>
      <c r="AG591" s="20">
        <v>0.0</v>
      </c>
      <c r="AH591" s="20">
        <v>0.0</v>
      </c>
      <c r="AI591" s="20">
        <v>0.0</v>
      </c>
      <c r="AJ591" s="20">
        <v>225514.36</v>
      </c>
      <c r="AK591" s="20">
        <v>225515.25</v>
      </c>
      <c r="AL591" s="20">
        <v>1.0</v>
      </c>
      <c r="AM591" s="20">
        <v>250.8</v>
      </c>
      <c r="AN591" s="20">
        <v>0.0</v>
      </c>
      <c r="AS591" s="11" t="str">
        <f>VLOOKUP(C591,'mayo-26'!B:AS,44,0)</f>
        <v>CENTROMEDICONORTECUCUTA@HOTMAIL.COM</v>
      </c>
      <c r="AT591" s="12" t="str">
        <f>VLOOKUP(C591,'mayo-26'!B:AT,45,0)</f>
        <v>CORREO ELECTRONICO CERTIFICADO 472</v>
      </c>
    </row>
    <row r="592" ht="14.25" customHeight="1">
      <c r="A592" s="20" t="s">
        <v>1260</v>
      </c>
      <c r="B592" s="20">
        <v>307.0</v>
      </c>
      <c r="C592" s="20">
        <v>306.0</v>
      </c>
      <c r="D592" s="21">
        <v>306.0</v>
      </c>
      <c r="E592" s="20">
        <v>9.0239865E7</v>
      </c>
      <c r="F592" s="20">
        <v>9.0239865E7</v>
      </c>
      <c r="G592" s="20">
        <v>8.00254697E8</v>
      </c>
      <c r="H592" s="20" t="s">
        <v>1261</v>
      </c>
      <c r="I592" s="1" t="str">
        <f>VLOOKUP(C592,'mayo-26'!B:H,7,0)</f>
        <v>CLL 14 0-73</v>
      </c>
      <c r="J592" s="1" t="s">
        <v>343</v>
      </c>
      <c r="K592" s="10" t="str">
        <f>VLOOKUP(C592,'mayo-26'!B:J,9,0)</f>
        <v>NO</v>
      </c>
      <c r="L592" s="1" t="str">
        <f>VLOOKUP(C592,'mayo-26'!B:K,10,0)</f>
        <v>NO</v>
      </c>
      <c r="M592" s="20" t="s">
        <v>52</v>
      </c>
      <c r="N592" s="20" t="s">
        <v>89</v>
      </c>
      <c r="O592" s="20" t="s">
        <v>861</v>
      </c>
      <c r="P592" s="20" t="s">
        <v>126</v>
      </c>
      <c r="Q592" s="20" t="s">
        <v>56</v>
      </c>
      <c r="R592" s="20" t="s">
        <v>90</v>
      </c>
      <c r="S592" s="20" t="s">
        <v>143</v>
      </c>
      <c r="T592" s="20" t="s">
        <v>59</v>
      </c>
      <c r="U592" s="20">
        <v>2026.0</v>
      </c>
      <c r="V592" s="20">
        <v>6.0</v>
      </c>
      <c r="W592" s="20">
        <v>1.081875452E9</v>
      </c>
      <c r="X592" s="20">
        <v>1.081893924E9</v>
      </c>
      <c r="Y592" s="22">
        <v>46182.0</v>
      </c>
      <c r="Z592" s="22">
        <v>46207.0</v>
      </c>
      <c r="AA592" s="20">
        <v>251962.38</v>
      </c>
      <c r="AB592" s="20">
        <v>251962.38</v>
      </c>
      <c r="AC592" s="20">
        <v>83580.97</v>
      </c>
      <c r="AD592" s="20">
        <v>682.5</v>
      </c>
      <c r="AE592" s="20">
        <v>1219.47</v>
      </c>
      <c r="AF592" s="20">
        <v>0.0</v>
      </c>
      <c r="AG592" s="20">
        <v>0.0</v>
      </c>
      <c r="AH592" s="20">
        <v>0.0</v>
      </c>
      <c r="AI592" s="20">
        <v>0.0</v>
      </c>
      <c r="AJ592" s="20">
        <v>251962.38</v>
      </c>
      <c r="AK592" s="20">
        <v>482922.26</v>
      </c>
      <c r="AL592" s="20">
        <v>1.0</v>
      </c>
      <c r="AM592" s="20">
        <v>376.2</v>
      </c>
      <c r="AN592" s="20">
        <v>0.0</v>
      </c>
      <c r="AS592" s="11" t="str">
        <f>VLOOKUP(C592,'mayo-26'!B:AS,44,0)</f>
        <v>AUXCONTABLE2CUCUTA@LOSOLIVOS.CO</v>
      </c>
      <c r="AT592" s="12" t="str">
        <f>VLOOKUP(C592,'mayo-26'!B:AT,45,0)</f>
        <v>CORREO ELECTRONICO CERTIFICADO 472</v>
      </c>
    </row>
    <row r="593" ht="14.25" customHeight="1">
      <c r="A593" s="20" t="s">
        <v>1262</v>
      </c>
      <c r="B593" s="20">
        <v>311.0</v>
      </c>
      <c r="C593" s="20">
        <v>310.0</v>
      </c>
      <c r="D593" s="21">
        <v>310.0</v>
      </c>
      <c r="E593" s="20">
        <v>9.024015E7</v>
      </c>
      <c r="F593" s="20">
        <v>9.024015E7</v>
      </c>
      <c r="G593" s="20" t="s">
        <v>1263</v>
      </c>
      <c r="H593" s="20" t="s">
        <v>1264</v>
      </c>
      <c r="I593" s="1" t="str">
        <f>VLOOKUP(C593,'mayo-26'!B:H,7,0)</f>
        <v>CLL 13 N° 1-75</v>
      </c>
      <c r="J593" s="1" t="s">
        <v>343</v>
      </c>
      <c r="K593" s="10" t="str">
        <f>VLOOKUP(C593,'mayo-26'!B:J,9,0)</f>
        <v>NO</v>
      </c>
      <c r="L593" s="1" t="str">
        <f>VLOOKUP(C593,'mayo-26'!B:K,10,0)</f>
        <v>NO</v>
      </c>
      <c r="M593" s="20" t="s">
        <v>52</v>
      </c>
      <c r="N593" s="20" t="s">
        <v>89</v>
      </c>
      <c r="O593" s="20" t="s">
        <v>861</v>
      </c>
      <c r="P593" s="20" t="s">
        <v>126</v>
      </c>
      <c r="Q593" s="20" t="s">
        <v>56</v>
      </c>
      <c r="R593" s="20" t="s">
        <v>57</v>
      </c>
      <c r="S593" s="20" t="s">
        <v>143</v>
      </c>
      <c r="T593" s="20" t="s">
        <v>59</v>
      </c>
      <c r="U593" s="20">
        <v>2026.0</v>
      </c>
      <c r="V593" s="20">
        <v>6.0</v>
      </c>
      <c r="W593" s="20">
        <v>1.081875458E9</v>
      </c>
      <c r="X593" s="20">
        <v>1.08189393E9</v>
      </c>
      <c r="Y593" s="22">
        <v>46182.0</v>
      </c>
      <c r="Z593" s="22">
        <v>46207.0</v>
      </c>
      <c r="AA593" s="20">
        <v>132530.0</v>
      </c>
      <c r="AB593" s="20">
        <v>132530.0</v>
      </c>
      <c r="AC593" s="20">
        <v>0.0</v>
      </c>
      <c r="AD593" s="20">
        <v>500.0</v>
      </c>
      <c r="AE593" s="20">
        <v>0.0</v>
      </c>
      <c r="AF593" s="20">
        <v>0.0</v>
      </c>
      <c r="AG593" s="20">
        <v>0.0</v>
      </c>
      <c r="AH593" s="20">
        <v>0.0</v>
      </c>
      <c r="AI593" s="20">
        <v>0.0</v>
      </c>
      <c r="AJ593" s="20">
        <v>132530.0</v>
      </c>
      <c r="AK593" s="20">
        <v>132530.0</v>
      </c>
      <c r="AL593" s="20">
        <v>0.0</v>
      </c>
      <c r="AM593" s="20">
        <v>250.8</v>
      </c>
      <c r="AN593" s="20">
        <v>0.0</v>
      </c>
      <c r="AS593" s="11" t="str">
        <f>VLOOKUP(C593,'mayo-26'!B:AS,44,0)</f>
        <v>FACTURACIONFBMP@LATURENA.CO</v>
      </c>
      <c r="AT593" s="12" t="str">
        <f>VLOOKUP(C593,'mayo-26'!B:AT,45,0)</f>
        <v>CORREO ELECTRONICO CERTIFICADO 472</v>
      </c>
    </row>
    <row r="594" ht="14.25" customHeight="1">
      <c r="A594" s="20" t="s">
        <v>1265</v>
      </c>
      <c r="B594" s="20">
        <v>315.0</v>
      </c>
      <c r="C594" s="20">
        <v>314.0</v>
      </c>
      <c r="D594" s="21">
        <v>314.0</v>
      </c>
      <c r="E594" s="20">
        <v>9.024019E7</v>
      </c>
      <c r="F594" s="20">
        <v>9.024019E7</v>
      </c>
      <c r="G594" s="20" t="s">
        <v>1266</v>
      </c>
      <c r="H594" s="20" t="s">
        <v>1267</v>
      </c>
      <c r="I594" s="1" t="str">
        <f>VLOOKUP(C594,'mayo-26'!B:H,7,0)</f>
        <v>AVE 2 12-23 - LA PLAYA</v>
      </c>
      <c r="J594" s="1" t="s">
        <v>343</v>
      </c>
      <c r="K594" s="10" t="str">
        <f>VLOOKUP(C594,'mayo-26'!B:J,9,0)</f>
        <v>NO</v>
      </c>
      <c r="L594" s="1" t="str">
        <f>VLOOKUP(C594,'mayo-26'!B:K,10,0)</f>
        <v>NO</v>
      </c>
      <c r="M594" s="20" t="s">
        <v>52</v>
      </c>
      <c r="N594" s="20" t="s">
        <v>89</v>
      </c>
      <c r="O594" s="20" t="s">
        <v>861</v>
      </c>
      <c r="P594" s="20" t="s">
        <v>126</v>
      </c>
      <c r="Q594" s="20" t="s">
        <v>56</v>
      </c>
      <c r="R594" s="20" t="s">
        <v>57</v>
      </c>
      <c r="S594" s="20" t="s">
        <v>143</v>
      </c>
      <c r="T594" s="20" t="s">
        <v>59</v>
      </c>
      <c r="U594" s="20">
        <v>2026.0</v>
      </c>
      <c r="V594" s="20">
        <v>6.0</v>
      </c>
      <c r="W594" s="20">
        <v>1.08187546E9</v>
      </c>
      <c r="X594" s="20">
        <v>1.081893932E9</v>
      </c>
      <c r="Y594" s="22">
        <v>46182.0</v>
      </c>
      <c r="Z594" s="22">
        <v>46207.0</v>
      </c>
      <c r="AA594" s="20">
        <v>192780.07</v>
      </c>
      <c r="AB594" s="20">
        <v>192780.07</v>
      </c>
      <c r="AC594" s="20">
        <v>0.0</v>
      </c>
      <c r="AD594" s="20">
        <v>817.5</v>
      </c>
      <c r="AE594" s="20">
        <v>0.0</v>
      </c>
      <c r="AF594" s="20">
        <v>0.0</v>
      </c>
      <c r="AG594" s="20">
        <v>0.0</v>
      </c>
      <c r="AH594" s="20">
        <v>0.0</v>
      </c>
      <c r="AI594" s="20">
        <v>0.0</v>
      </c>
      <c r="AJ594" s="20">
        <v>192780.07</v>
      </c>
      <c r="AK594" s="20">
        <v>192780.07</v>
      </c>
      <c r="AL594" s="20">
        <v>0.0</v>
      </c>
      <c r="AM594" s="20">
        <v>250.8</v>
      </c>
      <c r="AN594" s="20">
        <v>0.0</v>
      </c>
      <c r="AS594" s="11" t="str">
        <f>VLOOKUP(C594,'mayo-26'!B:AS,44,0)</f>
        <v>bibliocucuta@gmail.com</v>
      </c>
      <c r="AT594" s="12" t="str">
        <f>VLOOKUP(C594,'mayo-26'!B:AT,45,0)</f>
        <v>CORREO ELECTRONICO CERTIFICADO 472</v>
      </c>
    </row>
    <row r="595" ht="14.25" customHeight="1">
      <c r="A595" s="20" t="s">
        <v>1268</v>
      </c>
      <c r="B595" s="20">
        <v>455370.0</v>
      </c>
      <c r="C595" s="20">
        <v>318.0</v>
      </c>
      <c r="D595" s="21">
        <v>318.0</v>
      </c>
      <c r="E595" s="20">
        <v>9.0240359E7</v>
      </c>
      <c r="F595" s="20">
        <v>9.0240359E7</v>
      </c>
      <c r="G595" s="20" t="s">
        <v>148</v>
      </c>
      <c r="H595" s="20" t="s">
        <v>149</v>
      </c>
      <c r="I595" s="1" t="str">
        <f>VLOOKUP(C595,'mayo-26'!B:H,7,0)</f>
        <v>CALLE 10 NO 0E-16 EDF CENTRO EMPRESARIAL BLOQUE B HOTEL TONCHALA</v>
      </c>
      <c r="J595" s="1" t="s">
        <v>343</v>
      </c>
      <c r="K595" s="10" t="str">
        <f>VLOOKUP(C595,'mayo-26'!B:J,9,0)</f>
        <v>NO</v>
      </c>
      <c r="L595" s="1" t="str">
        <f>VLOOKUP(C595,'mayo-26'!B:K,10,0)</f>
        <v>COLEGIOS ZONA SUR</v>
      </c>
      <c r="M595" s="20" t="s">
        <v>52</v>
      </c>
      <c r="N595" s="20" t="s">
        <v>53</v>
      </c>
      <c r="O595" s="20" t="s">
        <v>861</v>
      </c>
      <c r="P595" s="20" t="s">
        <v>126</v>
      </c>
      <c r="Q595" s="20" t="s">
        <v>56</v>
      </c>
      <c r="R595" s="20" t="s">
        <v>57</v>
      </c>
      <c r="S595" s="20" t="s">
        <v>143</v>
      </c>
      <c r="T595" s="20" t="s">
        <v>59</v>
      </c>
      <c r="U595" s="20">
        <v>2026.0</v>
      </c>
      <c r="V595" s="20">
        <v>6.0</v>
      </c>
      <c r="W595" s="20">
        <v>1.081875464E9</v>
      </c>
      <c r="X595" s="20">
        <v>1.081893936E9</v>
      </c>
      <c r="Y595" s="22">
        <v>46182.0</v>
      </c>
      <c r="Z595" s="22">
        <v>46207.0</v>
      </c>
      <c r="AA595" s="20">
        <v>272006.55</v>
      </c>
      <c r="AB595" s="20">
        <v>272006.55</v>
      </c>
      <c r="AC595" s="20">
        <v>0.0</v>
      </c>
      <c r="AD595" s="20">
        <v>1235.0</v>
      </c>
      <c r="AE595" s="20">
        <v>0.0</v>
      </c>
      <c r="AF595" s="20">
        <v>0.0</v>
      </c>
      <c r="AG595" s="20">
        <v>0.0</v>
      </c>
      <c r="AH595" s="20">
        <v>0.0</v>
      </c>
      <c r="AI595" s="20">
        <v>0.0</v>
      </c>
      <c r="AJ595" s="20">
        <v>272006.55</v>
      </c>
      <c r="AK595" s="20">
        <v>811452.3</v>
      </c>
      <c r="AL595" s="20">
        <v>3.0</v>
      </c>
      <c r="AM595" s="20">
        <v>250.8</v>
      </c>
      <c r="AN595" s="20">
        <v>0.0</v>
      </c>
      <c r="AS595" s="11" t="str">
        <f>VLOOKUP(C595,'mayo-26'!B:AS,44,0)</f>
        <v>AREAFINANCIERA@SEMCUCUTA.GOV.CO</v>
      </c>
      <c r="AT595" s="12" t="str">
        <f>VLOOKUP(C595,'mayo-26'!B:AT,45,0)</f>
        <v>CARTERA</v>
      </c>
    </row>
    <row r="596" ht="14.25" customHeight="1">
      <c r="A596" s="20" t="s">
        <v>1269</v>
      </c>
      <c r="B596" s="20">
        <v>323.0</v>
      </c>
      <c r="C596" s="20">
        <v>322.0</v>
      </c>
      <c r="D596" s="21">
        <v>322.0</v>
      </c>
      <c r="E596" s="20">
        <v>9.0240662E7</v>
      </c>
      <c r="F596" s="20">
        <v>9.0240662E7</v>
      </c>
      <c r="G596" s="20">
        <v>8.90500893E8</v>
      </c>
      <c r="H596" s="20" t="s">
        <v>1270</v>
      </c>
      <c r="I596" s="1" t="str">
        <f>VLOOKUP(C596,'mayo-26'!B:H,7,0)</f>
        <v>CLL 12 2-38</v>
      </c>
      <c r="J596" s="1" t="s">
        <v>343</v>
      </c>
      <c r="K596" s="10" t="str">
        <f>VLOOKUP(C596,'mayo-26'!B:J,9,0)</f>
        <v>NO</v>
      </c>
      <c r="L596" s="1" t="str">
        <f>VLOOKUP(C596,'mayo-26'!B:K,10,0)</f>
        <v>NO</v>
      </c>
      <c r="M596" s="20" t="s">
        <v>52</v>
      </c>
      <c r="N596" s="20" t="s">
        <v>89</v>
      </c>
      <c r="O596" s="20" t="s">
        <v>861</v>
      </c>
      <c r="P596" s="20" t="s">
        <v>126</v>
      </c>
      <c r="Q596" s="20" t="s">
        <v>56</v>
      </c>
      <c r="R596" s="20" t="s">
        <v>90</v>
      </c>
      <c r="S596" s="20" t="s">
        <v>143</v>
      </c>
      <c r="T596" s="20" t="s">
        <v>59</v>
      </c>
      <c r="U596" s="20">
        <v>2026.0</v>
      </c>
      <c r="V596" s="20">
        <v>6.0</v>
      </c>
      <c r="W596" s="20">
        <v>1.081875468E9</v>
      </c>
      <c r="X596" s="20">
        <v>1.08189394E9</v>
      </c>
      <c r="Y596" s="22">
        <v>46182.0</v>
      </c>
      <c r="Z596" s="22">
        <v>46207.0</v>
      </c>
      <c r="AA596" s="20">
        <v>390931.08</v>
      </c>
      <c r="AB596" s="20">
        <v>390931.08</v>
      </c>
      <c r="AC596" s="20">
        <v>130310.37</v>
      </c>
      <c r="AD596" s="20">
        <v>1175.0</v>
      </c>
      <c r="AE596" s="20">
        <v>0.0</v>
      </c>
      <c r="AF596" s="20">
        <v>0.0</v>
      </c>
      <c r="AG596" s="20">
        <v>0.0</v>
      </c>
      <c r="AH596" s="20">
        <v>0.0</v>
      </c>
      <c r="AI596" s="20">
        <v>0.0</v>
      </c>
      <c r="AJ596" s="20">
        <v>390931.08</v>
      </c>
      <c r="AK596" s="20">
        <v>782715.99</v>
      </c>
      <c r="AL596" s="20">
        <v>1.0</v>
      </c>
      <c r="AM596" s="20">
        <v>376.2</v>
      </c>
      <c r="AN596" s="20">
        <v>0.0</v>
      </c>
      <c r="AS596" s="11" t="str">
        <f>VLOOKUP(C596,'mayo-26'!B:AS,44,0)</f>
        <v>CONTABILIDAD@LICANCERCUCUTA.ORG</v>
      </c>
      <c r="AT596" s="12" t="str">
        <f>VLOOKUP(C596,'mayo-26'!B:AT,45,0)</f>
        <v>CORREO ELECTRONICO CERTIFICADO 472</v>
      </c>
    </row>
    <row r="597" ht="14.25" customHeight="1">
      <c r="A597" s="20" t="s">
        <v>1271</v>
      </c>
      <c r="B597" s="20">
        <v>327.0</v>
      </c>
      <c r="C597" s="20">
        <v>326.0</v>
      </c>
      <c r="D597" s="21">
        <v>326.0</v>
      </c>
      <c r="E597" s="20">
        <v>9.0240878E7</v>
      </c>
      <c r="F597" s="20">
        <v>9.0240878E7</v>
      </c>
      <c r="G597" s="20">
        <v>9.0240878E7</v>
      </c>
      <c r="H597" s="20" t="s">
        <v>1272</v>
      </c>
      <c r="I597" s="1" t="str">
        <f>VLOOKUP(C597,'mayo-26'!B:H,7,0)</f>
        <v>AVE 2 # 10-47 L- 104 PARQUEADERO</v>
      </c>
      <c r="J597" s="1" t="s">
        <v>343</v>
      </c>
      <c r="K597" s="10" t="str">
        <f>VLOOKUP(C597,'mayo-26'!B:J,9,0)</f>
        <v>CENTRO</v>
      </c>
      <c r="L597" s="1" t="str">
        <f>VLOOKUP(C597,'mayo-26'!B:K,10,0)</f>
        <v>CENTRO</v>
      </c>
      <c r="M597" s="20" t="s">
        <v>52</v>
      </c>
      <c r="N597" s="20" t="s">
        <v>89</v>
      </c>
      <c r="O597" s="20" t="s">
        <v>861</v>
      </c>
      <c r="P597" s="20" t="s">
        <v>126</v>
      </c>
      <c r="Q597" s="20" t="s">
        <v>131</v>
      </c>
      <c r="R597" s="20" t="s">
        <v>363</v>
      </c>
      <c r="S597" s="20" t="s">
        <v>133</v>
      </c>
      <c r="T597" s="20" t="s">
        <v>59</v>
      </c>
      <c r="U597" s="20">
        <v>2026.0</v>
      </c>
      <c r="V597" s="20">
        <v>6.0</v>
      </c>
      <c r="W597" s="20">
        <v>1.081875473E9</v>
      </c>
      <c r="X597" s="20">
        <v>1.081893945E9</v>
      </c>
      <c r="Y597" s="22">
        <v>46182.0</v>
      </c>
      <c r="Z597" s="22">
        <v>46207.0</v>
      </c>
      <c r="AA597" s="20">
        <v>75366.0</v>
      </c>
      <c r="AB597" s="20">
        <v>75366.0</v>
      </c>
      <c r="AC597" s="20">
        <v>25122.0</v>
      </c>
      <c r="AD597" s="20">
        <v>0.0</v>
      </c>
      <c r="AE597" s="20">
        <v>0.0</v>
      </c>
      <c r="AF597" s="20">
        <v>0.0</v>
      </c>
      <c r="AG597" s="20">
        <v>0.0</v>
      </c>
      <c r="AH597" s="20">
        <v>0.0</v>
      </c>
      <c r="AI597" s="20">
        <v>0.0</v>
      </c>
      <c r="AJ597" s="20">
        <v>75366.0</v>
      </c>
      <c r="AK597" s="20">
        <v>75366.5</v>
      </c>
      <c r="AL597" s="20">
        <v>1.0</v>
      </c>
      <c r="AM597" s="20">
        <v>376.2</v>
      </c>
      <c r="AN597" s="20">
        <v>0.0</v>
      </c>
      <c r="AS597" s="11" t="str">
        <f>VLOOKUP(C597,'mayo-26'!B:AS,44,0)</f>
        <v>PATRI_ZULUAGA@HOTMAIL.COM;PATRI-ZULUAGA@HOTMAIL.COM</v>
      </c>
      <c r="AT597" s="12" t="str">
        <f>VLOOKUP(C597,'mayo-26'!B:AT,45,0)</f>
        <v>VERIFICADOR</v>
      </c>
    </row>
    <row r="598" ht="14.25" customHeight="1">
      <c r="A598" s="20" t="s">
        <v>1273</v>
      </c>
      <c r="B598" s="20">
        <v>331.0</v>
      </c>
      <c r="C598" s="20">
        <v>330.0</v>
      </c>
      <c r="D598" s="21">
        <v>330.0</v>
      </c>
      <c r="E598" s="20">
        <v>9.0240882E7</v>
      </c>
      <c r="F598" s="20">
        <v>9.0240882E7</v>
      </c>
      <c r="G598" s="20">
        <v>9.0240882E7</v>
      </c>
      <c r="H598" s="20" t="s">
        <v>1274</v>
      </c>
      <c r="I598" s="1" t="str">
        <f>VLOOKUP(C598,'mayo-26'!B:H,7,0)</f>
        <v>AVE 2 10-47 LOCAL.204</v>
      </c>
      <c r="J598" s="1" t="s">
        <v>343</v>
      </c>
      <c r="K598" s="10" t="str">
        <f>VLOOKUP(C598,'mayo-26'!B:J,9,0)</f>
        <v>CENTRO</v>
      </c>
      <c r="L598" s="1" t="str">
        <f>VLOOKUP(C598,'mayo-26'!B:K,10,0)</f>
        <v>CENTRO</v>
      </c>
      <c r="M598" s="20" t="s">
        <v>52</v>
      </c>
      <c r="N598" s="20" t="s">
        <v>89</v>
      </c>
      <c r="O598" s="20" t="s">
        <v>861</v>
      </c>
      <c r="P598" s="20" t="s">
        <v>126</v>
      </c>
      <c r="Q598" s="20" t="s">
        <v>131</v>
      </c>
      <c r="R598" s="20" t="s">
        <v>363</v>
      </c>
      <c r="S598" s="20" t="s">
        <v>133</v>
      </c>
      <c r="T598" s="20" t="s">
        <v>59</v>
      </c>
      <c r="U598" s="20">
        <v>2026.0</v>
      </c>
      <c r="V598" s="20">
        <v>6.0</v>
      </c>
      <c r="W598" s="20">
        <v>1.081875477E9</v>
      </c>
      <c r="X598" s="20">
        <v>1.081893949E9</v>
      </c>
      <c r="Y598" s="22">
        <v>46182.0</v>
      </c>
      <c r="Z598" s="22">
        <v>46207.0</v>
      </c>
      <c r="AA598" s="20">
        <v>75366.0</v>
      </c>
      <c r="AB598" s="20">
        <v>75366.0</v>
      </c>
      <c r="AC598" s="20">
        <v>25122.0</v>
      </c>
      <c r="AD598" s="20">
        <v>0.0</v>
      </c>
      <c r="AE598" s="20">
        <v>0.0</v>
      </c>
      <c r="AF598" s="20">
        <v>0.0</v>
      </c>
      <c r="AG598" s="20">
        <v>0.0</v>
      </c>
      <c r="AH598" s="20">
        <v>0.0</v>
      </c>
      <c r="AI598" s="20">
        <v>0.0</v>
      </c>
      <c r="AJ598" s="20">
        <v>75366.0</v>
      </c>
      <c r="AK598" s="20">
        <v>75366.5</v>
      </c>
      <c r="AL598" s="20">
        <v>1.0</v>
      </c>
      <c r="AM598" s="20">
        <v>376.2</v>
      </c>
      <c r="AN598" s="20">
        <v>0.0</v>
      </c>
      <c r="AS598" s="11" t="str">
        <f>VLOOKUP(C598,'mayo-26'!B:AS,44,0)</f>
        <v>AUREOINMOBILIARIA1617@GMAIL.COM</v>
      </c>
      <c r="AT598" s="12" t="str">
        <f>VLOOKUP(C598,'mayo-26'!B:AT,45,0)</f>
        <v>VERIFICADOR</v>
      </c>
    </row>
    <row r="599" ht="14.25" customHeight="1">
      <c r="A599" s="20" t="s">
        <v>1275</v>
      </c>
      <c r="B599" s="20">
        <v>335.0</v>
      </c>
      <c r="C599" s="20">
        <v>334.0</v>
      </c>
      <c r="D599" s="21">
        <v>334.0</v>
      </c>
      <c r="E599" s="20">
        <v>9.0241083E7</v>
      </c>
      <c r="F599" s="20">
        <v>9.0241083E7</v>
      </c>
      <c r="G599" s="20" t="s">
        <v>1276</v>
      </c>
      <c r="H599" s="20" t="s">
        <v>1277</v>
      </c>
      <c r="I599" s="1" t="str">
        <f>VLOOKUP(C599,'mayo-26'!B:H,7,0)</f>
        <v>PALACIO NACIONAL 3 PISO</v>
      </c>
      <c r="J599" s="1" t="s">
        <v>343</v>
      </c>
      <c r="K599" s="10" t="str">
        <f>VLOOKUP(C599,'mayo-26'!B:J,9,0)</f>
        <v>NO</v>
      </c>
      <c r="L599" s="1" t="str">
        <f>VLOOKUP(C599,'mayo-26'!B:K,10,0)</f>
        <v>NO</v>
      </c>
      <c r="M599" s="20" t="s">
        <v>52</v>
      </c>
      <c r="N599" s="20" t="s">
        <v>89</v>
      </c>
      <c r="O599" s="20" t="s">
        <v>861</v>
      </c>
      <c r="P599" s="20" t="s">
        <v>126</v>
      </c>
      <c r="Q599" s="20" t="s">
        <v>131</v>
      </c>
      <c r="R599" s="20" t="s">
        <v>151</v>
      </c>
      <c r="S599" s="20" t="s">
        <v>133</v>
      </c>
      <c r="T599" s="20" t="s">
        <v>59</v>
      </c>
      <c r="U599" s="20">
        <v>2026.0</v>
      </c>
      <c r="V599" s="20">
        <v>6.0</v>
      </c>
      <c r="W599" s="20">
        <v>1.081875481E9</v>
      </c>
      <c r="X599" s="20">
        <v>1.081893953E9</v>
      </c>
      <c r="Y599" s="22">
        <v>46182.0</v>
      </c>
      <c r="Z599" s="22">
        <v>46207.0</v>
      </c>
      <c r="AA599" s="20">
        <v>75419.0</v>
      </c>
      <c r="AB599" s="20">
        <v>75419.0</v>
      </c>
      <c r="AC599" s="20">
        <v>0.0</v>
      </c>
      <c r="AD599" s="20">
        <v>0.0</v>
      </c>
      <c r="AE599" s="20">
        <v>0.0</v>
      </c>
      <c r="AF599" s="20">
        <v>0.0</v>
      </c>
      <c r="AG599" s="20">
        <v>0.0</v>
      </c>
      <c r="AH599" s="20">
        <v>0.0</v>
      </c>
      <c r="AI599" s="20">
        <v>0.0</v>
      </c>
      <c r="AJ599" s="20">
        <v>75419.0</v>
      </c>
      <c r="AK599" s="20">
        <v>75419.0</v>
      </c>
      <c r="AL599" s="20">
        <v>0.0</v>
      </c>
      <c r="AM599" s="20">
        <v>250.8</v>
      </c>
      <c r="AN599" s="20">
        <v>0.0</v>
      </c>
      <c r="AS599" s="11" t="str">
        <f>VLOOKUP(C599,'mayo-26'!B:AS,44,0)</f>
        <v>NFRAMON@REGISTRADURIA.GOV.CO</v>
      </c>
      <c r="AT599" s="12" t="str">
        <f>VLOOKUP(C599,'mayo-26'!B:AT,45,0)</f>
        <v>CORREO ELECTRONICO CERTIFICADO 472</v>
      </c>
    </row>
    <row r="600" ht="14.25" customHeight="1">
      <c r="A600" s="20" t="s">
        <v>1278</v>
      </c>
      <c r="B600" s="20">
        <v>339.0</v>
      </c>
      <c r="C600" s="20">
        <v>338.0</v>
      </c>
      <c r="D600" s="21">
        <v>338.0</v>
      </c>
      <c r="E600" s="20">
        <v>9.0241226E7</v>
      </c>
      <c r="F600" s="20">
        <v>9.0241226E7</v>
      </c>
      <c r="G600" s="20" t="s">
        <v>1279</v>
      </c>
      <c r="H600" s="20" t="s">
        <v>1280</v>
      </c>
      <c r="I600" s="1" t="str">
        <f>VLOOKUP(C600,'mayo-26'!B:H,7,0)</f>
        <v>CLL 9 AV 1 ESQUINA</v>
      </c>
      <c r="J600" s="1" t="s">
        <v>443</v>
      </c>
      <c r="K600" s="10" t="str">
        <f>VLOOKUP(C600,'mayo-26'!B:J,9,0)</f>
        <v>NO</v>
      </c>
      <c r="L600" s="1" t="str">
        <f>VLOOKUP(C600,'mayo-26'!B:K,10,0)</f>
        <v>NO</v>
      </c>
      <c r="M600" s="20" t="s">
        <v>52</v>
      </c>
      <c r="N600" s="20" t="s">
        <v>89</v>
      </c>
      <c r="O600" s="20" t="s">
        <v>861</v>
      </c>
      <c r="P600" s="20" t="s">
        <v>126</v>
      </c>
      <c r="Q600" s="20" t="s">
        <v>56</v>
      </c>
      <c r="R600" s="20" t="s">
        <v>57</v>
      </c>
      <c r="S600" s="20" t="s">
        <v>143</v>
      </c>
      <c r="T600" s="20" t="s">
        <v>59</v>
      </c>
      <c r="U600" s="20">
        <v>2026.0</v>
      </c>
      <c r="V600" s="20">
        <v>6.0</v>
      </c>
      <c r="W600" s="20">
        <v>1.081875484E9</v>
      </c>
      <c r="X600" s="20">
        <v>1.081893956E9</v>
      </c>
      <c r="Y600" s="22">
        <v>46182.0</v>
      </c>
      <c r="Z600" s="22">
        <v>46207.0</v>
      </c>
      <c r="AA600" s="20">
        <v>1009714.1</v>
      </c>
      <c r="AB600" s="20">
        <v>1009714.1</v>
      </c>
      <c r="AC600" s="20">
        <v>0.0</v>
      </c>
      <c r="AD600" s="20">
        <v>5122.5</v>
      </c>
      <c r="AE600" s="20">
        <v>0.0</v>
      </c>
      <c r="AF600" s="20">
        <v>0.0</v>
      </c>
      <c r="AG600" s="20">
        <v>0.0</v>
      </c>
      <c r="AH600" s="20">
        <v>0.0</v>
      </c>
      <c r="AI600" s="20">
        <v>0.0</v>
      </c>
      <c r="AJ600" s="20">
        <v>1009714.1</v>
      </c>
      <c r="AK600" s="20">
        <v>1009714.1</v>
      </c>
      <c r="AL600" s="20">
        <v>0.0</v>
      </c>
      <c r="AM600" s="20">
        <v>250.8</v>
      </c>
      <c r="AN600" s="20">
        <v>0.0</v>
      </c>
      <c r="AS600" s="11" t="str">
        <f>VLOOKUP(C600,'mayo-26'!B:AS,44,0)</f>
        <v>SERVICIOADMINISTRATIVOS@CONFANORTE.COM.CO</v>
      </c>
      <c r="AT600" s="12" t="str">
        <f>VLOOKUP(C600,'mayo-26'!B:AT,45,0)</f>
        <v>CORREO ELECTRONICO CERTIFICADO 472</v>
      </c>
    </row>
    <row r="601" ht="14.25" customHeight="1">
      <c r="A601" s="20" t="s">
        <v>1281</v>
      </c>
      <c r="B601" s="20">
        <v>343.0</v>
      </c>
      <c r="C601" s="20">
        <v>342.0</v>
      </c>
      <c r="D601" s="21">
        <v>342.0</v>
      </c>
      <c r="E601" s="20">
        <v>9.0241429E7</v>
      </c>
      <c r="F601" s="20">
        <v>9.0241429E7</v>
      </c>
      <c r="G601" s="20">
        <v>8.00197268E8</v>
      </c>
      <c r="H601" s="20" t="s">
        <v>1282</v>
      </c>
      <c r="I601" s="1" t="str">
        <f>VLOOKUP(C601,'mayo-26'!B:H,7,0)</f>
        <v>CLL 9 # 3-50 PALACIO NACIONAL</v>
      </c>
      <c r="J601" s="1" t="s">
        <v>443</v>
      </c>
      <c r="K601" s="10" t="str">
        <f>VLOOKUP(C601,'mayo-26'!B:J,9,0)</f>
        <v>NO</v>
      </c>
      <c r="L601" s="1" t="str">
        <f>VLOOKUP(C601,'mayo-26'!B:K,10,0)</f>
        <v>ADUANA</v>
      </c>
      <c r="M601" s="20" t="s">
        <v>52</v>
      </c>
      <c r="N601" s="20" t="s">
        <v>89</v>
      </c>
      <c r="O601" s="20" t="s">
        <v>861</v>
      </c>
      <c r="P601" s="20" t="s">
        <v>126</v>
      </c>
      <c r="Q601" s="20" t="s">
        <v>56</v>
      </c>
      <c r="R601" s="20" t="s">
        <v>57</v>
      </c>
      <c r="S601" s="20" t="s">
        <v>143</v>
      </c>
      <c r="T601" s="20" t="s">
        <v>59</v>
      </c>
      <c r="U601" s="20">
        <v>2026.0</v>
      </c>
      <c r="V601" s="20">
        <v>6.0</v>
      </c>
      <c r="W601" s="20">
        <v>1.081875487E9</v>
      </c>
      <c r="X601" s="20">
        <v>1.081893959E9</v>
      </c>
      <c r="Y601" s="22">
        <v>46182.0</v>
      </c>
      <c r="Z601" s="22">
        <v>46207.0</v>
      </c>
      <c r="AA601" s="20">
        <v>512058.0</v>
      </c>
      <c r="AB601" s="20">
        <v>512058.0</v>
      </c>
      <c r="AC601" s="20">
        <v>0.0</v>
      </c>
      <c r="AD601" s="20">
        <v>2500.0</v>
      </c>
      <c r="AE601" s="20">
        <v>0.0</v>
      </c>
      <c r="AF601" s="20">
        <v>0.0</v>
      </c>
      <c r="AG601" s="20">
        <v>0.0</v>
      </c>
      <c r="AH601" s="20">
        <v>0.0</v>
      </c>
      <c r="AI601" s="20">
        <v>0.0</v>
      </c>
      <c r="AJ601" s="20">
        <v>512058.0</v>
      </c>
      <c r="AK601" s="20">
        <v>512058.0</v>
      </c>
      <c r="AL601" s="20">
        <v>0.0</v>
      </c>
      <c r="AM601" s="20">
        <v>250.8</v>
      </c>
      <c r="AN601" s="20">
        <v>0.0</v>
      </c>
      <c r="AS601" s="11" t="str">
        <f>VLOOKUP(C601,'mayo-26'!B:AS,44,0)</f>
        <v>CORRESP_ENTRADA_CUCUTA-ADU@DIAN.GOV.CO</v>
      </c>
      <c r="AT601" s="12" t="str">
        <f>VLOOKUP(C601,'mayo-26'!B:AT,45,0)</f>
        <v>CORREO ELECTRONICO CERTIFICADO 472</v>
      </c>
    </row>
    <row r="602" ht="14.25" customHeight="1">
      <c r="A602" s="20" t="s">
        <v>1283</v>
      </c>
      <c r="B602" s="20">
        <v>344867.0</v>
      </c>
      <c r="C602" s="20">
        <v>344866.0</v>
      </c>
      <c r="D602" s="21">
        <v>344866.0</v>
      </c>
      <c r="E602" s="20">
        <v>155063.0</v>
      </c>
      <c r="F602" s="20">
        <v>155063.0</v>
      </c>
      <c r="G602" s="20" t="s">
        <v>1284</v>
      </c>
      <c r="H602" s="20" t="s">
        <v>1285</v>
      </c>
      <c r="I602" s="1" t="str">
        <f>VLOOKUP(C602,'mayo-26'!B:H,7,0)</f>
        <v>VIA AL PORTICO 1205</v>
      </c>
      <c r="J602" s="1" t="s">
        <v>1256</v>
      </c>
      <c r="K602" s="10" t="str">
        <f>VLOOKUP(C602,'mayo-26'!B:J,9,0)</f>
        <v>NO</v>
      </c>
      <c r="L602" s="1" t="str">
        <f>VLOOKUP(C602,'mayo-26'!B:K,10,0)</f>
        <v>MAZA</v>
      </c>
      <c r="M602" s="20" t="s">
        <v>52</v>
      </c>
      <c r="N602" s="20" t="s">
        <v>89</v>
      </c>
      <c r="O602" s="20" t="s">
        <v>861</v>
      </c>
      <c r="P602" s="20" t="s">
        <v>126</v>
      </c>
      <c r="Q602" s="20" t="s">
        <v>131</v>
      </c>
      <c r="R602" s="20" t="s">
        <v>139</v>
      </c>
      <c r="S602" s="20" t="s">
        <v>133</v>
      </c>
      <c r="T602" s="20" t="s">
        <v>59</v>
      </c>
      <c r="U602" s="20">
        <v>2026.0</v>
      </c>
      <c r="V602" s="20">
        <v>6.0</v>
      </c>
      <c r="W602" s="20">
        <v>1.08187581E9</v>
      </c>
      <c r="X602" s="20">
        <v>1.081894282E9</v>
      </c>
      <c r="Y602" s="22">
        <v>46182.0</v>
      </c>
      <c r="Z602" s="22">
        <v>46207.0</v>
      </c>
      <c r="AA602" s="20">
        <v>62832.0</v>
      </c>
      <c r="AB602" s="20">
        <v>62832.0</v>
      </c>
      <c r="AC602" s="20">
        <v>0.0</v>
      </c>
      <c r="AD602" s="20">
        <v>0.0</v>
      </c>
      <c r="AE602" s="20">
        <v>0.0</v>
      </c>
      <c r="AF602" s="20">
        <v>0.0</v>
      </c>
      <c r="AG602" s="20">
        <v>0.0</v>
      </c>
      <c r="AH602" s="20">
        <v>0.0</v>
      </c>
      <c r="AI602" s="20">
        <v>0.0</v>
      </c>
      <c r="AJ602" s="20">
        <v>62832.0</v>
      </c>
      <c r="AK602" s="20">
        <v>62832.0</v>
      </c>
      <c r="AL602" s="20">
        <v>0.0</v>
      </c>
      <c r="AM602" s="20">
        <v>250.8</v>
      </c>
      <c r="AN602" s="20">
        <v>0.0</v>
      </c>
      <c r="AS602" s="11" t="str">
        <f>VLOOKUP(C602,'mayo-26'!B:AS,44,0)</f>
        <v>CENTRALDEPAGOSSERVICIODEASEO@GMAIL.COM</v>
      </c>
      <c r="AT602" s="12" t="str">
        <f>VLOOKUP(C602,'mayo-26'!B:AT,45,0)</f>
        <v>CORREO ELECTRONICO CERTIFICADO 472</v>
      </c>
    </row>
    <row r="603" ht="14.25" customHeight="1">
      <c r="A603" s="20" t="s">
        <v>1286</v>
      </c>
      <c r="B603" s="20">
        <v>347.0</v>
      </c>
      <c r="C603" s="20">
        <v>346.0</v>
      </c>
      <c r="D603" s="21">
        <v>346.0</v>
      </c>
      <c r="E603" s="20">
        <v>9.0241958E7</v>
      </c>
      <c r="F603" s="20">
        <v>9.0241958E7</v>
      </c>
      <c r="G603" s="20">
        <v>8.00158137E8</v>
      </c>
      <c r="H603" s="20" t="s">
        <v>1287</v>
      </c>
      <c r="I603" s="1" t="str">
        <f>VLOOKUP(C603,'mayo-26'!B:H,7,0)</f>
        <v>CLL 6 460 62 HIELOS CUCUTA</v>
      </c>
      <c r="J603" s="1" t="s">
        <v>443</v>
      </c>
      <c r="K603" s="10" t="str">
        <f>VLOOKUP(C603,'mayo-26'!B:J,9,0)</f>
        <v>CENTRO</v>
      </c>
      <c r="L603" s="1" t="str">
        <f>VLOOKUP(C603,'mayo-26'!B:K,10,0)</f>
        <v>CENTRO</v>
      </c>
      <c r="M603" s="20" t="s">
        <v>52</v>
      </c>
      <c r="N603" s="20" t="s">
        <v>89</v>
      </c>
      <c r="O603" s="20" t="s">
        <v>861</v>
      </c>
      <c r="P603" s="20" t="s">
        <v>126</v>
      </c>
      <c r="Q603" s="20" t="s">
        <v>56</v>
      </c>
      <c r="R603" s="20" t="s">
        <v>90</v>
      </c>
      <c r="S603" s="20" t="s">
        <v>143</v>
      </c>
      <c r="T603" s="20" t="s">
        <v>59</v>
      </c>
      <c r="U603" s="20">
        <v>2026.0</v>
      </c>
      <c r="V603" s="20">
        <v>6.0</v>
      </c>
      <c r="W603" s="20">
        <v>1.081875491E9</v>
      </c>
      <c r="X603" s="20">
        <v>1.081893963E9</v>
      </c>
      <c r="Y603" s="22">
        <v>46182.0</v>
      </c>
      <c r="Z603" s="22">
        <v>46207.0</v>
      </c>
      <c r="AA603" s="20">
        <v>299132.74</v>
      </c>
      <c r="AB603" s="20">
        <v>299132.74</v>
      </c>
      <c r="AC603" s="20">
        <v>99710.92</v>
      </c>
      <c r="AD603" s="20">
        <v>852.5</v>
      </c>
      <c r="AE603" s="20">
        <v>0.0</v>
      </c>
      <c r="AF603" s="20">
        <v>0.0</v>
      </c>
      <c r="AG603" s="20">
        <v>0.0</v>
      </c>
      <c r="AH603" s="20">
        <v>0.0</v>
      </c>
      <c r="AI603" s="20">
        <v>0.0</v>
      </c>
      <c r="AJ603" s="20">
        <v>299132.74</v>
      </c>
      <c r="AK603" s="20">
        <v>299133.39</v>
      </c>
      <c r="AL603" s="20">
        <v>1.0</v>
      </c>
      <c r="AM603" s="20">
        <v>376.2</v>
      </c>
      <c r="AN603" s="20">
        <v>0.0</v>
      </c>
      <c r="AS603" s="11" t="str">
        <f>VLOOKUP(C603,'mayo-26'!B:AS,44,0)</f>
        <v>FACTURAHIELOSCUCUTA@HOTMAIL.COM</v>
      </c>
      <c r="AT603" s="12" t="str">
        <f>VLOOKUP(C603,'mayo-26'!B:AT,45,0)</f>
        <v>VERIFICADOR</v>
      </c>
    </row>
    <row r="604" ht="14.25" customHeight="1">
      <c r="A604" s="20" t="s">
        <v>1288</v>
      </c>
      <c r="B604" s="20">
        <v>355.0</v>
      </c>
      <c r="C604" s="20">
        <v>354.0</v>
      </c>
      <c r="D604" s="21">
        <v>354.0</v>
      </c>
      <c r="E604" s="20">
        <v>9.0242454E7</v>
      </c>
      <c r="F604" s="20">
        <v>9.0242454E7</v>
      </c>
      <c r="G604" s="20" t="s">
        <v>964</v>
      </c>
      <c r="H604" s="20" t="s">
        <v>965</v>
      </c>
      <c r="I604" s="1" t="str">
        <f>VLOOKUP(C604,'mayo-26'!B:H,7,0)</f>
        <v>AV 5 CL 13 Y 14 BRR CENTRO</v>
      </c>
      <c r="J604" s="1" t="s">
        <v>982</v>
      </c>
      <c r="K604" s="10" t="str">
        <f>VLOOKUP(C604,'mayo-26'!B:J,9,0)</f>
        <v>NO</v>
      </c>
      <c r="L604" s="1" t="str">
        <f>VLOOKUP(C604,'mayo-26'!B:K,10,0)</f>
        <v>GOBERNACION</v>
      </c>
      <c r="M604" s="20" t="s">
        <v>52</v>
      </c>
      <c r="N604" s="20" t="s">
        <v>89</v>
      </c>
      <c r="O604" s="20" t="s">
        <v>861</v>
      </c>
      <c r="P604" s="20" t="s">
        <v>126</v>
      </c>
      <c r="Q604" s="20" t="s">
        <v>131</v>
      </c>
      <c r="R604" s="20" t="s">
        <v>151</v>
      </c>
      <c r="S604" s="20" t="s">
        <v>133</v>
      </c>
      <c r="T604" s="20" t="s">
        <v>59</v>
      </c>
      <c r="U604" s="20">
        <v>2026.0</v>
      </c>
      <c r="V604" s="20">
        <v>6.0</v>
      </c>
      <c r="W604" s="20">
        <v>1.081875494E9</v>
      </c>
      <c r="X604" s="20">
        <v>1.081893966E9</v>
      </c>
      <c r="Y604" s="22">
        <v>46182.0</v>
      </c>
      <c r="Z604" s="22">
        <v>46207.0</v>
      </c>
      <c r="AA604" s="20">
        <v>75419.0</v>
      </c>
      <c r="AB604" s="20">
        <v>75419.0</v>
      </c>
      <c r="AC604" s="20">
        <v>0.0</v>
      </c>
      <c r="AD604" s="20">
        <v>0.0</v>
      </c>
      <c r="AE604" s="20">
        <v>0.0</v>
      </c>
      <c r="AF604" s="20">
        <v>0.0</v>
      </c>
      <c r="AG604" s="20">
        <v>0.0</v>
      </c>
      <c r="AH604" s="20">
        <v>0.0</v>
      </c>
      <c r="AI604" s="20">
        <v>0.0</v>
      </c>
      <c r="AJ604" s="20">
        <v>75419.0</v>
      </c>
      <c r="AK604" s="20">
        <v>75419.0</v>
      </c>
      <c r="AL604" s="20">
        <v>0.0</v>
      </c>
      <c r="AM604" s="20">
        <v>250.8</v>
      </c>
      <c r="AN604" s="20">
        <v>0.0</v>
      </c>
      <c r="AS604" s="11" t="str">
        <f>VLOOKUP(C604,'mayo-26'!B:AS,44,0)</f>
        <v>SERVICIOSADMINISTRATIVOS@NORTEDESANTANDER.GOV.CO / SECHACIENDA@NORTEDESANTANDER.GOV.CO</v>
      </c>
      <c r="AT604" s="12" t="str">
        <f>VLOOKUP(C604,'mayo-26'!B:AT,45,0)</f>
        <v>CORREO ELECTRONICO CERTIFICADO 472</v>
      </c>
    </row>
    <row r="605" ht="14.25" customHeight="1">
      <c r="A605" s="20" t="s">
        <v>1289</v>
      </c>
      <c r="B605" s="20">
        <v>359.0</v>
      </c>
      <c r="C605" s="20">
        <v>358.0</v>
      </c>
      <c r="D605" s="21">
        <v>358.0</v>
      </c>
      <c r="E605" s="20">
        <v>9.0242832E7</v>
      </c>
      <c r="F605" s="20">
        <v>9.0242832E7</v>
      </c>
      <c r="G605" s="20" t="s">
        <v>1290</v>
      </c>
      <c r="H605" s="20" t="s">
        <v>1291</v>
      </c>
      <c r="I605" s="1" t="str">
        <f>VLOOKUP(C605,'mayo-26'!B:H,7,0)</f>
        <v>CLL 11 5-49 - 0242832</v>
      </c>
      <c r="J605" s="1" t="s">
        <v>982</v>
      </c>
      <c r="K605" s="10" t="str">
        <f>VLOOKUP(C605,'mayo-26'!B:J,9,0)</f>
        <v>NO</v>
      </c>
      <c r="L605" s="1" t="str">
        <f>VLOOKUP(C605,'mayo-26'!B:K,10,0)</f>
        <v>ENTIDADES</v>
      </c>
      <c r="M605" s="20" t="s">
        <v>52</v>
      </c>
      <c r="N605" s="20" t="s">
        <v>89</v>
      </c>
      <c r="O605" s="20" t="s">
        <v>861</v>
      </c>
      <c r="P605" s="20" t="s">
        <v>126</v>
      </c>
      <c r="Q605" s="20" t="s">
        <v>56</v>
      </c>
      <c r="R605" s="20" t="s">
        <v>57</v>
      </c>
      <c r="S605" s="20" t="s">
        <v>143</v>
      </c>
      <c r="T605" s="20" t="s">
        <v>59</v>
      </c>
      <c r="U605" s="20">
        <v>2026.0</v>
      </c>
      <c r="V605" s="20">
        <v>6.0</v>
      </c>
      <c r="W605" s="20">
        <v>1.081875498E9</v>
      </c>
      <c r="X605" s="20">
        <v>1.08189397E9</v>
      </c>
      <c r="Y605" s="22">
        <v>46182.0</v>
      </c>
      <c r="Z605" s="22">
        <v>46207.0</v>
      </c>
      <c r="AA605" s="20">
        <v>520597.39</v>
      </c>
      <c r="AB605" s="20">
        <v>520597.39</v>
      </c>
      <c r="AC605" s="20">
        <v>0.0</v>
      </c>
      <c r="AD605" s="20">
        <v>2545.0</v>
      </c>
      <c r="AE605" s="20">
        <v>0.0</v>
      </c>
      <c r="AF605" s="20">
        <v>0.0</v>
      </c>
      <c r="AG605" s="20">
        <v>0.0</v>
      </c>
      <c r="AH605" s="20">
        <v>0.0</v>
      </c>
      <c r="AI605" s="20">
        <v>0.0</v>
      </c>
      <c r="AJ605" s="20">
        <v>520597.39</v>
      </c>
      <c r="AK605" s="20">
        <v>1660904.56</v>
      </c>
      <c r="AL605" s="20">
        <v>3.0</v>
      </c>
      <c r="AM605" s="20">
        <v>250.8</v>
      </c>
      <c r="AN605" s="20">
        <v>0.0</v>
      </c>
      <c r="AS605" s="11" t="str">
        <f>VLOOKUP(C605,'mayo-26'!B:AS,44,0)</f>
        <v>hernando.vergara@cucuta.gov.co</v>
      </c>
      <c r="AT605" s="12" t="str">
        <f>VLOOKUP(C605,'mayo-26'!B:AT,45,0)</f>
        <v>CARTERA</v>
      </c>
    </row>
    <row r="606" ht="14.25" customHeight="1">
      <c r="A606" s="20" t="s">
        <v>1292</v>
      </c>
      <c r="B606" s="20">
        <v>363.0</v>
      </c>
      <c r="C606" s="20">
        <v>362.0</v>
      </c>
      <c r="D606" s="21">
        <v>362.0</v>
      </c>
      <c r="E606" s="20">
        <v>9.0242837E7</v>
      </c>
      <c r="F606" s="20">
        <v>9.0242837E7</v>
      </c>
      <c r="G606" s="20" t="s">
        <v>1293</v>
      </c>
      <c r="H606" s="20" t="s">
        <v>1294</v>
      </c>
      <c r="I606" s="1" t="str">
        <f>VLOOKUP(C606,'mayo-26'!B:H,7,0)</f>
        <v>AVE 5 11-58</v>
      </c>
      <c r="J606" s="1" t="s">
        <v>982</v>
      </c>
      <c r="K606" s="10" t="str">
        <f>VLOOKUP(C606,'mayo-26'!B:J,9,0)</f>
        <v>NO</v>
      </c>
      <c r="L606" s="1" t="str">
        <f>VLOOKUP(C606,'mayo-26'!B:K,10,0)</f>
        <v>NO</v>
      </c>
      <c r="M606" s="20" t="s">
        <v>52</v>
      </c>
      <c r="N606" s="20" t="s">
        <v>89</v>
      </c>
      <c r="O606" s="20" t="s">
        <v>861</v>
      </c>
      <c r="P606" s="20" t="s">
        <v>126</v>
      </c>
      <c r="Q606" s="20" t="s">
        <v>56</v>
      </c>
      <c r="R606" s="20" t="s">
        <v>90</v>
      </c>
      <c r="S606" s="20" t="s">
        <v>143</v>
      </c>
      <c r="T606" s="20" t="s">
        <v>59</v>
      </c>
      <c r="U606" s="20">
        <v>2026.0</v>
      </c>
      <c r="V606" s="20">
        <v>6.0</v>
      </c>
      <c r="W606" s="20">
        <v>1.0818755E9</v>
      </c>
      <c r="X606" s="20">
        <v>1.081893972E9</v>
      </c>
      <c r="Y606" s="22">
        <v>46182.0</v>
      </c>
      <c r="Z606" s="22">
        <v>46207.0</v>
      </c>
      <c r="AA606" s="20">
        <v>269956.51</v>
      </c>
      <c r="AB606" s="20">
        <v>269956.51</v>
      </c>
      <c r="AC606" s="20">
        <v>89985.51</v>
      </c>
      <c r="AD606" s="20">
        <v>750.0</v>
      </c>
      <c r="AE606" s="20">
        <v>0.0</v>
      </c>
      <c r="AF606" s="20">
        <v>0.0</v>
      </c>
      <c r="AG606" s="20">
        <v>0.0</v>
      </c>
      <c r="AH606" s="20">
        <v>0.0</v>
      </c>
      <c r="AI606" s="20">
        <v>0.0</v>
      </c>
      <c r="AJ606" s="20">
        <v>269956.51</v>
      </c>
      <c r="AK606" s="20">
        <v>269956.51</v>
      </c>
      <c r="AL606" s="20">
        <v>0.0</v>
      </c>
      <c r="AM606" s="20">
        <v>376.2</v>
      </c>
      <c r="AN606" s="20">
        <v>0.0</v>
      </c>
      <c r="AS606" s="11" t="str">
        <f>VLOOKUP(C606,'mayo-26'!B:AS,44,0)</f>
        <v>MIGUEL_MOLINA@BANCOPOPULAR.COM.CO;LUZ_VALENCIA@BANCOPOPULAR.COM.CO</v>
      </c>
      <c r="AT606" s="12" t="str">
        <f>VLOOKUP(C606,'mayo-26'!B:AT,45,0)</f>
        <v>CORREO ELECTRONICO CERTIFICADO 472</v>
      </c>
    </row>
    <row r="607" ht="14.25" customHeight="1">
      <c r="A607" s="20" t="s">
        <v>1295</v>
      </c>
      <c r="B607" s="20">
        <v>367.0</v>
      </c>
      <c r="C607" s="20">
        <v>366.0</v>
      </c>
      <c r="D607" s="21">
        <v>366.0</v>
      </c>
      <c r="E607" s="20">
        <v>9.0242938E7</v>
      </c>
      <c r="F607" s="20">
        <v>9.0242938E7</v>
      </c>
      <c r="G607" s="20" t="s">
        <v>1296</v>
      </c>
      <c r="H607" s="20" t="s">
        <v>1297</v>
      </c>
      <c r="I607" s="1" t="str">
        <f>VLOOKUP(C607,'mayo-26'!B:H,7,0)</f>
        <v>CLL 11 4-43 ADM</v>
      </c>
      <c r="J607" s="1" t="s">
        <v>982</v>
      </c>
      <c r="K607" s="10" t="str">
        <f>VLOOKUP(C607,'mayo-26'!B:J,9,0)</f>
        <v>NO</v>
      </c>
      <c r="L607" s="1" t="str">
        <f>VLOOKUP(C607,'mayo-26'!B:K,10,0)</f>
        <v>NO</v>
      </c>
      <c r="M607" s="20" t="s">
        <v>52</v>
      </c>
      <c r="N607" s="20" t="s">
        <v>89</v>
      </c>
      <c r="O607" s="20" t="s">
        <v>861</v>
      </c>
      <c r="P607" s="20" t="s">
        <v>126</v>
      </c>
      <c r="Q607" s="20" t="s">
        <v>56</v>
      </c>
      <c r="R607" s="20" t="s">
        <v>90</v>
      </c>
      <c r="S607" s="20" t="s">
        <v>143</v>
      </c>
      <c r="T607" s="20" t="s">
        <v>59</v>
      </c>
      <c r="U607" s="20">
        <v>2026.0</v>
      </c>
      <c r="V607" s="20">
        <v>6.0</v>
      </c>
      <c r="W607" s="20">
        <v>1.081875503E9</v>
      </c>
      <c r="X607" s="20">
        <v>1.081893975E9</v>
      </c>
      <c r="Y607" s="22">
        <v>46182.0</v>
      </c>
      <c r="Z607" s="22">
        <v>46207.0</v>
      </c>
      <c r="AA607" s="20">
        <v>170330.4</v>
      </c>
      <c r="AB607" s="20">
        <v>170330.4</v>
      </c>
      <c r="AC607" s="20">
        <v>56776.8</v>
      </c>
      <c r="AD607" s="20">
        <v>400.0</v>
      </c>
      <c r="AE607" s="20">
        <v>0.0</v>
      </c>
      <c r="AF607" s="20">
        <v>0.0</v>
      </c>
      <c r="AG607" s="20">
        <v>0.0</v>
      </c>
      <c r="AH607" s="20">
        <v>0.0</v>
      </c>
      <c r="AI607" s="20">
        <v>0.0</v>
      </c>
      <c r="AJ607" s="20">
        <v>170330.4</v>
      </c>
      <c r="AK607" s="20">
        <v>170331.0</v>
      </c>
      <c r="AL607" s="20">
        <v>1.0</v>
      </c>
      <c r="AM607" s="20">
        <v>376.2</v>
      </c>
      <c r="AN607" s="20">
        <v>0.0</v>
      </c>
      <c r="AS607" s="11" t="str">
        <f>VLOOKUP(C607,'mayo-26'!B:AS,44,0)</f>
        <v>CENTROINTERLECS@YAHOO.COM</v>
      </c>
      <c r="AT607" s="12" t="str">
        <f>VLOOKUP(C607,'mayo-26'!B:AT,45,0)</f>
        <v>CORREO ELECTRONICO CERTIFICADO 472</v>
      </c>
    </row>
    <row r="608" ht="14.25" customHeight="1">
      <c r="A608" s="20" t="s">
        <v>1298</v>
      </c>
      <c r="B608" s="20">
        <v>379560.0</v>
      </c>
      <c r="C608" s="20">
        <v>366634.0</v>
      </c>
      <c r="D608" s="21">
        <v>373112.0</v>
      </c>
      <c r="G608" s="20" t="s">
        <v>1299</v>
      </c>
      <c r="H608" s="20" t="s">
        <v>1300</v>
      </c>
      <c r="I608" s="1" t="str">
        <f>VLOOKUP(C608,'mayo-26'!B:H,7,0)</f>
        <v>CC JARDIN PLAZA L54</v>
      </c>
      <c r="J608" s="1" t="s">
        <v>991</v>
      </c>
      <c r="K608" s="10" t="str">
        <f>VLOOKUP(C608,'mayo-26'!B:J,9,0)</f>
        <v>JARDIN PLAZA</v>
      </c>
      <c r="L608" s="1" t="str">
        <f>VLOOKUP(C608,'mayo-26'!B:K,10,0)</f>
        <v>JARDIN PLAZA</v>
      </c>
      <c r="M608" s="20" t="s">
        <v>52</v>
      </c>
      <c r="N608" s="20" t="s">
        <v>89</v>
      </c>
      <c r="O608" s="20" t="s">
        <v>861</v>
      </c>
      <c r="P608" s="20" t="s">
        <v>126</v>
      </c>
      <c r="Q608" s="20" t="s">
        <v>56</v>
      </c>
      <c r="R608" s="20" t="s">
        <v>90</v>
      </c>
      <c r="S608" s="20" t="s">
        <v>143</v>
      </c>
      <c r="T608" s="20" t="s">
        <v>59</v>
      </c>
      <c r="U608" s="20">
        <v>2026.0</v>
      </c>
      <c r="V608" s="20">
        <v>6.0</v>
      </c>
      <c r="W608" s="20">
        <v>1.081875814E9</v>
      </c>
      <c r="X608" s="20">
        <v>1.081894286E9</v>
      </c>
      <c r="Y608" s="22">
        <v>46182.0</v>
      </c>
      <c r="Z608" s="22">
        <v>46207.0</v>
      </c>
      <c r="AA608" s="20">
        <v>131554.7</v>
      </c>
      <c r="AB608" s="20">
        <v>131554.7</v>
      </c>
      <c r="AC608" s="20">
        <v>42544.51</v>
      </c>
      <c r="AD608" s="20">
        <v>250.0</v>
      </c>
      <c r="AE608" s="20">
        <v>3921.19</v>
      </c>
      <c r="AF608" s="20">
        <v>0.0</v>
      </c>
      <c r="AG608" s="20">
        <v>0.0</v>
      </c>
      <c r="AH608" s="20">
        <v>0.0</v>
      </c>
      <c r="AI608" s="20">
        <v>0.0</v>
      </c>
      <c r="AJ608" s="20">
        <v>131554.7</v>
      </c>
      <c r="AK608" s="20">
        <v>517038.5</v>
      </c>
      <c r="AL608" s="20">
        <v>3.0</v>
      </c>
      <c r="AM608" s="20">
        <v>376.2</v>
      </c>
      <c r="AN608" s="20">
        <v>0.0</v>
      </c>
      <c r="AS608" s="11" t="str">
        <f>VLOOKUP(C608,'mayo-26'!B:AS,44,0)</f>
        <v>CUCUTA@EUROPIEL.COM.MX</v>
      </c>
      <c r="AT608" s="12" t="str">
        <f>VLOOKUP(C608,'mayo-26'!B:AT,45,0)</f>
        <v>VERIFICADOR</v>
      </c>
    </row>
    <row r="609" ht="14.25" customHeight="1">
      <c r="A609" s="20" t="s">
        <v>1301</v>
      </c>
      <c r="B609" s="20">
        <v>382942.0</v>
      </c>
      <c r="C609" s="20">
        <v>368102.0</v>
      </c>
      <c r="D609" s="21">
        <v>375651.0</v>
      </c>
      <c r="G609" s="20" t="s">
        <v>1302</v>
      </c>
      <c r="H609" s="20" t="s">
        <v>1303</v>
      </c>
      <c r="I609" s="1" t="str">
        <f>VLOOKUP(C609,'mayo-26'!B:H,7,0)</f>
        <v>LC 11B CC JARDIN PLAZA</v>
      </c>
      <c r="J609" s="1" t="s">
        <v>991</v>
      </c>
      <c r="K609" s="10" t="str">
        <f>VLOOKUP(C609,'mayo-26'!B:J,9,0)</f>
        <v>JARDIN PLAZA</v>
      </c>
      <c r="L609" s="1" t="str">
        <f>VLOOKUP(C609,'mayo-26'!B:K,10,0)</f>
        <v>JARDIN PLAZA</v>
      </c>
      <c r="M609" s="20" t="s">
        <v>52</v>
      </c>
      <c r="N609" s="20" t="s">
        <v>89</v>
      </c>
      <c r="O609" s="20" t="s">
        <v>861</v>
      </c>
      <c r="P609" s="20" t="s">
        <v>126</v>
      </c>
      <c r="Q609" s="20" t="s">
        <v>56</v>
      </c>
      <c r="R609" s="20" t="s">
        <v>90</v>
      </c>
      <c r="S609" s="20" t="s">
        <v>143</v>
      </c>
      <c r="T609" s="20" t="s">
        <v>59</v>
      </c>
      <c r="U609" s="20">
        <v>2026.0</v>
      </c>
      <c r="V609" s="20">
        <v>6.0</v>
      </c>
      <c r="W609" s="20">
        <v>1.081875817E9</v>
      </c>
      <c r="X609" s="20">
        <v>1.081894289E9</v>
      </c>
      <c r="Y609" s="22">
        <v>46182.0</v>
      </c>
      <c r="Z609" s="22">
        <v>46207.0</v>
      </c>
      <c r="AA609" s="20">
        <v>127633.51</v>
      </c>
      <c r="AB609" s="20">
        <v>127633.51</v>
      </c>
      <c r="AC609" s="20">
        <v>42544.51</v>
      </c>
      <c r="AD609" s="20">
        <v>250.0</v>
      </c>
      <c r="AE609" s="20">
        <v>0.0</v>
      </c>
      <c r="AF609" s="20">
        <v>0.0</v>
      </c>
      <c r="AG609" s="20">
        <v>0.0</v>
      </c>
      <c r="AH609" s="20">
        <v>0.0</v>
      </c>
      <c r="AI609" s="20">
        <v>0.0</v>
      </c>
      <c r="AJ609" s="20">
        <v>127633.51</v>
      </c>
      <c r="AK609" s="20">
        <v>256421.2</v>
      </c>
      <c r="AL609" s="20">
        <v>1.0</v>
      </c>
      <c r="AM609" s="20">
        <v>376.2</v>
      </c>
      <c r="AN609" s="20">
        <v>0.0</v>
      </c>
      <c r="AS609" s="11" t="str">
        <f>VLOOKUP(C609,'mayo-26'!B:AS,44,0)</f>
        <v>SESJARDINCUCUTA@IMAGIQ.CO</v>
      </c>
      <c r="AT609" s="12" t="str">
        <f>VLOOKUP(C609,'mayo-26'!B:AT,45,0)</f>
        <v>VERIFICADOR</v>
      </c>
    </row>
    <row r="610" ht="14.25" customHeight="1">
      <c r="A610" s="20" t="s">
        <v>1304</v>
      </c>
      <c r="B610" s="20">
        <v>297.0</v>
      </c>
      <c r="C610" s="20">
        <v>369838.0</v>
      </c>
      <c r="D610" s="21">
        <v>377852.0</v>
      </c>
      <c r="E610" s="20">
        <v>152303.0</v>
      </c>
      <c r="F610" s="20">
        <v>152303.0</v>
      </c>
      <c r="G610" s="20" t="s">
        <v>135</v>
      </c>
      <c r="H610" s="20" t="s">
        <v>136</v>
      </c>
      <c r="I610" s="1" t="str">
        <f>VLOOKUP(C610,'mayo-26'!B:H,7,0)</f>
        <v>AVE 4 17-89 - 0239431</v>
      </c>
      <c r="J610" s="1" t="s">
        <v>1305</v>
      </c>
      <c r="K610" s="10" t="str">
        <f>VLOOKUP(C610,'mayo-26'!B:J,9,0)</f>
        <v>NO</v>
      </c>
      <c r="L610" s="1" t="str">
        <f>VLOOKUP(C610,'mayo-26'!B:K,10,0)</f>
        <v>IMSALUD</v>
      </c>
      <c r="M610" s="20" t="s">
        <v>52</v>
      </c>
      <c r="N610" s="20" t="s">
        <v>1060</v>
      </c>
      <c r="O610" s="20" t="s">
        <v>861</v>
      </c>
      <c r="P610" s="20" t="s">
        <v>126</v>
      </c>
      <c r="Q610" s="20" t="s">
        <v>131</v>
      </c>
      <c r="R610" s="20" t="s">
        <v>1111</v>
      </c>
      <c r="S610" s="20" t="s">
        <v>133</v>
      </c>
      <c r="T610" s="20" t="s">
        <v>59</v>
      </c>
      <c r="U610" s="20">
        <v>2026.0</v>
      </c>
      <c r="V610" s="20">
        <v>6.0</v>
      </c>
      <c r="W610" s="20">
        <v>1.08187582E9</v>
      </c>
      <c r="X610" s="20">
        <v>1.081894292E9</v>
      </c>
      <c r="Y610" s="22">
        <v>46182.0</v>
      </c>
      <c r="Z610" s="22">
        <v>46207.0</v>
      </c>
      <c r="AA610" s="20">
        <v>16393.0</v>
      </c>
      <c r="AB610" s="20">
        <v>16393.0</v>
      </c>
      <c r="AC610" s="20">
        <v>0.0</v>
      </c>
      <c r="AD610" s="20">
        <v>0.0</v>
      </c>
      <c r="AE610" s="20">
        <v>0.0</v>
      </c>
      <c r="AF610" s="20">
        <v>0.0</v>
      </c>
      <c r="AG610" s="20">
        <v>0.0</v>
      </c>
      <c r="AH610" s="20">
        <v>0.0</v>
      </c>
      <c r="AI610" s="20">
        <v>0.0</v>
      </c>
      <c r="AJ610" s="20">
        <v>16393.0</v>
      </c>
      <c r="AK610" s="20">
        <v>16393.0</v>
      </c>
      <c r="AL610" s="20">
        <v>0.0</v>
      </c>
      <c r="AM610" s="20">
        <v>250.8</v>
      </c>
      <c r="AN610" s="20">
        <v>0.0</v>
      </c>
      <c r="AS610" s="11" t="str">
        <f>VLOOKUP(C610,'mayo-26'!B:AS,44,0)</f>
        <v>SUBFINANCIERA@IMSALUD.GOV.CO</v>
      </c>
      <c r="AT610" s="12" t="str">
        <f>VLOOKUP(C610,'mayo-26'!B:AT,45,0)</f>
        <v>CORREO ELECTRONICO CERTIFICADO 472</v>
      </c>
    </row>
    <row r="611" ht="14.25" customHeight="1">
      <c r="A611" s="20" t="s">
        <v>1306</v>
      </c>
      <c r="B611" s="20">
        <v>386513.0</v>
      </c>
      <c r="C611" s="20">
        <v>370538.0</v>
      </c>
      <c r="D611" s="21">
        <v>378722.0</v>
      </c>
      <c r="G611" s="20" t="s">
        <v>1307</v>
      </c>
      <c r="H611" s="20" t="s">
        <v>1308</v>
      </c>
      <c r="I611" s="1" t="str">
        <f>VLOOKUP(C611,'mayo-26'!B:H,7,0)</f>
        <v>LC 69-70 CC JARDÍN PLAZA</v>
      </c>
      <c r="J611" s="1" t="s">
        <v>991</v>
      </c>
      <c r="K611" s="10" t="str">
        <f>VLOOKUP(C611,'mayo-26'!B:J,9,0)</f>
        <v>JARDIN PLAZA</v>
      </c>
      <c r="L611" s="1" t="str">
        <f>VLOOKUP(C611,'mayo-26'!B:K,10,0)</f>
        <v>JARDIN PLAZA</v>
      </c>
      <c r="M611" s="20" t="s">
        <v>52</v>
      </c>
      <c r="N611" s="20" t="s">
        <v>89</v>
      </c>
      <c r="O611" s="20" t="s">
        <v>861</v>
      </c>
      <c r="P611" s="20" t="s">
        <v>126</v>
      </c>
      <c r="Q611" s="20" t="s">
        <v>56</v>
      </c>
      <c r="R611" s="20" t="s">
        <v>90</v>
      </c>
      <c r="S611" s="20" t="s">
        <v>143</v>
      </c>
      <c r="T611" s="20" t="s">
        <v>59</v>
      </c>
      <c r="U611" s="20">
        <v>2026.0</v>
      </c>
      <c r="V611" s="20">
        <v>6.0</v>
      </c>
      <c r="W611" s="20">
        <v>1.081875823E9</v>
      </c>
      <c r="X611" s="20">
        <v>1.081894295E9</v>
      </c>
      <c r="Y611" s="22">
        <v>46182.0</v>
      </c>
      <c r="Z611" s="22">
        <v>46207.0</v>
      </c>
      <c r="AA611" s="20">
        <v>127633.51</v>
      </c>
      <c r="AB611" s="20">
        <v>127633.51</v>
      </c>
      <c r="AC611" s="20">
        <v>42544.51</v>
      </c>
      <c r="AD611" s="20">
        <v>250.0</v>
      </c>
      <c r="AE611" s="20">
        <v>0.0</v>
      </c>
      <c r="AF611" s="20">
        <v>0.0</v>
      </c>
      <c r="AG611" s="20">
        <v>0.0</v>
      </c>
      <c r="AH611" s="20">
        <v>0.0</v>
      </c>
      <c r="AI611" s="20">
        <v>0.0</v>
      </c>
      <c r="AJ611" s="20">
        <v>127633.51</v>
      </c>
      <c r="AK611" s="20">
        <v>127633.51</v>
      </c>
      <c r="AL611" s="20">
        <v>0.0</v>
      </c>
      <c r="AM611" s="20">
        <v>376.2</v>
      </c>
      <c r="AN611" s="20">
        <v>0.0</v>
      </c>
      <c r="AS611" s="11" t="str">
        <f>VLOOKUP(C611,'mayo-26'!B:AS,44,0)</f>
        <v>SERVICIOSPUBLICOS@SPORTLINE.COM.CO</v>
      </c>
      <c r="AT611" s="12" t="str">
        <f>VLOOKUP(C611,'mayo-26'!B:AT,45,0)</f>
        <v>VERIFICADOR</v>
      </c>
    </row>
    <row r="612" ht="14.25" customHeight="1">
      <c r="A612" s="20" t="s">
        <v>1309</v>
      </c>
      <c r="B612" s="20">
        <v>386682.0</v>
      </c>
      <c r="C612" s="20">
        <v>370562.0</v>
      </c>
      <c r="D612" s="21">
        <v>378806.0</v>
      </c>
      <c r="G612" s="20" t="s">
        <v>1310</v>
      </c>
      <c r="H612" s="20" t="s">
        <v>1311</v>
      </c>
      <c r="I612" s="1" t="str">
        <f>VLOOKUP(C612,'mayo-26'!B:H,7,0)</f>
        <v>LC 66 CC JARDIN PLAZA</v>
      </c>
      <c r="J612" s="1" t="s">
        <v>991</v>
      </c>
      <c r="K612" s="10" t="str">
        <f>VLOOKUP(C612,'mayo-26'!B:J,9,0)</f>
        <v>JARDIN PLAZA</v>
      </c>
      <c r="L612" s="1" t="str">
        <f>VLOOKUP(C612,'mayo-26'!B:K,10,0)</f>
        <v>JARDIN PLAZA</v>
      </c>
      <c r="M612" s="20" t="s">
        <v>52</v>
      </c>
      <c r="N612" s="20" t="s">
        <v>89</v>
      </c>
      <c r="O612" s="20" t="s">
        <v>861</v>
      </c>
      <c r="P612" s="20" t="s">
        <v>126</v>
      </c>
      <c r="Q612" s="20" t="s">
        <v>56</v>
      </c>
      <c r="R612" s="20" t="s">
        <v>90</v>
      </c>
      <c r="S612" s="20" t="s">
        <v>143</v>
      </c>
      <c r="T612" s="20" t="s">
        <v>59</v>
      </c>
      <c r="U612" s="20">
        <v>2026.0</v>
      </c>
      <c r="V612" s="20">
        <v>6.0</v>
      </c>
      <c r="W612" s="20">
        <v>1.081875826E9</v>
      </c>
      <c r="X612" s="20">
        <v>1.081894298E9</v>
      </c>
      <c r="Y612" s="22">
        <v>46182.0</v>
      </c>
      <c r="Z612" s="22">
        <v>46207.0</v>
      </c>
      <c r="AA612" s="20">
        <v>127633.51</v>
      </c>
      <c r="AB612" s="20">
        <v>127633.51</v>
      </c>
      <c r="AC612" s="20">
        <v>42544.51</v>
      </c>
      <c r="AD612" s="20">
        <v>250.0</v>
      </c>
      <c r="AE612" s="20">
        <v>0.0</v>
      </c>
      <c r="AF612" s="20">
        <v>0.0</v>
      </c>
      <c r="AG612" s="20">
        <v>0.0</v>
      </c>
      <c r="AH612" s="20">
        <v>0.0</v>
      </c>
      <c r="AI612" s="20">
        <v>0.0</v>
      </c>
      <c r="AJ612" s="20">
        <v>127633.51</v>
      </c>
      <c r="AK612" s="20">
        <v>127633.51</v>
      </c>
      <c r="AL612" s="20">
        <v>0.0</v>
      </c>
      <c r="AM612" s="20">
        <v>376.2</v>
      </c>
      <c r="AN612" s="20">
        <v>0.0</v>
      </c>
      <c r="AS612" s="11" t="str">
        <f>VLOOKUP(C612,'mayo-26'!B:AS,44,0)</f>
        <v>AUX_CONTABLE01@MODANOVA.COM.CO</v>
      </c>
      <c r="AT612" s="12" t="str">
        <f>VLOOKUP(C612,'mayo-26'!B:AT,45,0)</f>
        <v>VERIFICADOR</v>
      </c>
    </row>
    <row r="613" ht="14.25" customHeight="1">
      <c r="A613" s="20" t="s">
        <v>1312</v>
      </c>
      <c r="B613" s="20">
        <v>684.0</v>
      </c>
      <c r="C613" s="20">
        <v>371630.0</v>
      </c>
      <c r="D613" s="21">
        <v>380790.0</v>
      </c>
      <c r="G613" s="20" t="s">
        <v>1052</v>
      </c>
      <c r="H613" s="20" t="s">
        <v>1053</v>
      </c>
      <c r="I613" s="1" t="str">
        <f>VLOOKUP(C613,'mayo-26'!B:H,7,0)</f>
        <v>L 53 CC JARDIN PALZA</v>
      </c>
      <c r="J613" s="1" t="s">
        <v>991</v>
      </c>
      <c r="K613" s="10" t="str">
        <f>VLOOKUP(C613,'mayo-26'!B:J,9,0)</f>
        <v>JARDIN PLAZA-ADMINISTRACION</v>
      </c>
      <c r="L613" s="1" t="str">
        <f>VLOOKUP(C613,'mayo-26'!B:K,10,0)</f>
        <v>JARDIN PLAZA-ADMINISTRACION</v>
      </c>
      <c r="M613" s="20" t="s">
        <v>52</v>
      </c>
      <c r="N613" s="20" t="s">
        <v>89</v>
      </c>
      <c r="O613" s="20" t="s">
        <v>861</v>
      </c>
      <c r="P613" s="20" t="s">
        <v>126</v>
      </c>
      <c r="Q613" s="20" t="s">
        <v>131</v>
      </c>
      <c r="R613" s="20" t="s">
        <v>132</v>
      </c>
      <c r="S613" s="20" t="s">
        <v>133</v>
      </c>
      <c r="T613" s="20" t="s">
        <v>59</v>
      </c>
      <c r="U613" s="20">
        <v>2026.0</v>
      </c>
      <c r="V613" s="20">
        <v>6.0</v>
      </c>
      <c r="W613" s="20">
        <v>1.081875829E9</v>
      </c>
      <c r="X613" s="20">
        <v>1.081894301E9</v>
      </c>
      <c r="Y613" s="22">
        <v>46182.0</v>
      </c>
      <c r="Z613" s="22">
        <v>46207.0</v>
      </c>
      <c r="AA613" s="20">
        <v>117769.22</v>
      </c>
      <c r="AB613" s="20">
        <v>117769.22</v>
      </c>
      <c r="AC613" s="20">
        <v>37709.5</v>
      </c>
      <c r="AD613" s="20">
        <v>0.0</v>
      </c>
      <c r="AE613" s="20">
        <v>4640.72</v>
      </c>
      <c r="AF613" s="20">
        <v>0.0</v>
      </c>
      <c r="AG613" s="20">
        <v>0.0</v>
      </c>
      <c r="AH613" s="20">
        <v>0.0</v>
      </c>
      <c r="AI613" s="20">
        <v>0.0</v>
      </c>
      <c r="AJ613" s="20">
        <v>117769.22</v>
      </c>
      <c r="AK613" s="20">
        <v>497405.44</v>
      </c>
      <c r="AL613" s="20">
        <v>5.0</v>
      </c>
      <c r="AM613" s="20">
        <v>376.2</v>
      </c>
      <c r="AN613" s="20">
        <v>0.0</v>
      </c>
      <c r="AS613" s="11" t="str">
        <f>VLOOKUP(C613,'mayo-26'!B:AS,44,0)</f>
        <v>AMBIENTAL@JARDINPLAZA.COM</v>
      </c>
      <c r="AT613" s="12" t="str">
        <f>VLOOKUP(C613,'mayo-26'!B:AT,45,0)</f>
        <v>CORREO ELECTRONICO CERTIFICADO 472</v>
      </c>
    </row>
    <row r="614" ht="14.25" customHeight="1">
      <c r="A614" s="20" t="s">
        <v>1313</v>
      </c>
      <c r="B614" s="20">
        <v>387.0</v>
      </c>
      <c r="C614" s="20">
        <v>386.0</v>
      </c>
      <c r="D614" s="21">
        <v>386.0</v>
      </c>
      <c r="E614" s="20">
        <v>9.0243249E7</v>
      </c>
      <c r="F614" s="20">
        <v>9.0243249E7</v>
      </c>
      <c r="G614" s="20" t="s">
        <v>1314</v>
      </c>
      <c r="H614" s="20" t="s">
        <v>1315</v>
      </c>
      <c r="I614" s="1" t="str">
        <f>VLOOKUP(C614,'mayo-26'!B:H,7,0)</f>
        <v>CLL 10 5-84 LOC 202</v>
      </c>
      <c r="J614" s="1" t="s">
        <v>982</v>
      </c>
      <c r="K614" s="10" t="str">
        <f>VLOOKUP(C614,'mayo-26'!B:J,9,0)</f>
        <v>NO</v>
      </c>
      <c r="L614" s="1" t="str">
        <f>VLOOKUP(C614,'mayo-26'!B:K,10,0)</f>
        <v>NO</v>
      </c>
      <c r="M614" s="20" t="s">
        <v>52</v>
      </c>
      <c r="N614" s="20" t="s">
        <v>89</v>
      </c>
      <c r="O614" s="20" t="s">
        <v>861</v>
      </c>
      <c r="P614" s="20" t="s">
        <v>126</v>
      </c>
      <c r="Q614" s="20" t="s">
        <v>56</v>
      </c>
      <c r="R614" s="20" t="s">
        <v>90</v>
      </c>
      <c r="S614" s="20" t="s">
        <v>143</v>
      </c>
      <c r="T614" s="20" t="s">
        <v>59</v>
      </c>
      <c r="U614" s="20">
        <v>2026.0</v>
      </c>
      <c r="V614" s="20">
        <v>6.0</v>
      </c>
      <c r="W614" s="20">
        <v>1.081875507E9</v>
      </c>
      <c r="X614" s="20">
        <v>1.081893979E9</v>
      </c>
      <c r="Y614" s="22">
        <v>46182.0</v>
      </c>
      <c r="Z614" s="22">
        <v>46207.0</v>
      </c>
      <c r="AA614" s="20">
        <v>483441.01</v>
      </c>
      <c r="AB614" s="20">
        <v>483441.01</v>
      </c>
      <c r="AC614" s="20">
        <v>161147.0</v>
      </c>
      <c r="AD614" s="20">
        <v>1500.0</v>
      </c>
      <c r="AE614" s="20">
        <v>0.01</v>
      </c>
      <c r="AF614" s="20">
        <v>0.0</v>
      </c>
      <c r="AG614" s="20">
        <v>0.0</v>
      </c>
      <c r="AH614" s="20">
        <v>0.0</v>
      </c>
      <c r="AI614" s="20">
        <v>0.0</v>
      </c>
      <c r="AJ614" s="20">
        <v>483441.01</v>
      </c>
      <c r="AK614" s="20">
        <v>483441.51</v>
      </c>
      <c r="AL614" s="20">
        <v>1.0</v>
      </c>
      <c r="AM614" s="20">
        <v>376.2</v>
      </c>
      <c r="AN614" s="20">
        <v>0.0</v>
      </c>
      <c r="AS614" s="11" t="str">
        <f>VLOOKUP(C614,'mayo-26'!B:AS,44,0)</f>
        <v>HERMANOSMEDRANO@HOTMAIL.COM</v>
      </c>
      <c r="AT614" s="12" t="str">
        <f>VLOOKUP(C614,'mayo-26'!B:AT,45,0)</f>
        <v>CORREO ELECTRONICO CERTIFICADO 472</v>
      </c>
    </row>
    <row r="615" ht="14.25" customHeight="1">
      <c r="A615" s="20" t="s">
        <v>1316</v>
      </c>
      <c r="B615" s="20">
        <v>391.0</v>
      </c>
      <c r="C615" s="20">
        <v>390.0</v>
      </c>
      <c r="D615" s="21">
        <v>390.0</v>
      </c>
      <c r="E615" s="20">
        <v>9.0243332E7</v>
      </c>
      <c r="F615" s="20">
        <v>9.0243332E7</v>
      </c>
      <c r="G615" s="20" t="s">
        <v>1317</v>
      </c>
      <c r="H615" s="20" t="s">
        <v>1318</v>
      </c>
      <c r="I615" s="1" t="str">
        <f>VLOOKUP(C615,'mayo-26'!B:H,7,0)</f>
        <v>CLL 10 4-38 1ER PISO</v>
      </c>
      <c r="J615" s="1" t="s">
        <v>982</v>
      </c>
      <c r="K615" s="10" t="str">
        <f>VLOOKUP(C615,'mayo-26'!B:J,9,0)</f>
        <v>NO</v>
      </c>
      <c r="L615" s="1" t="str">
        <f>VLOOKUP(C615,'mayo-26'!B:K,10,0)</f>
        <v>NO</v>
      </c>
      <c r="M615" s="20" t="s">
        <v>52</v>
      </c>
      <c r="N615" s="20" t="s">
        <v>89</v>
      </c>
      <c r="O615" s="20" t="s">
        <v>861</v>
      </c>
      <c r="P615" s="20" t="s">
        <v>126</v>
      </c>
      <c r="Q615" s="20" t="s">
        <v>56</v>
      </c>
      <c r="R615" s="20" t="s">
        <v>90</v>
      </c>
      <c r="S615" s="20" t="s">
        <v>143</v>
      </c>
      <c r="T615" s="20" t="s">
        <v>59</v>
      </c>
      <c r="U615" s="20">
        <v>2026.0</v>
      </c>
      <c r="V615" s="20">
        <v>6.0</v>
      </c>
      <c r="W615" s="20">
        <v>1.081875512E9</v>
      </c>
      <c r="X615" s="20">
        <v>1.081893984E9</v>
      </c>
      <c r="Y615" s="22">
        <v>46182.0</v>
      </c>
      <c r="Z615" s="22">
        <v>46207.0</v>
      </c>
      <c r="AA615" s="20">
        <v>426511.8</v>
      </c>
      <c r="AB615" s="20">
        <v>426511.8</v>
      </c>
      <c r="AC615" s="20">
        <v>142170.6</v>
      </c>
      <c r="AD615" s="20">
        <v>1300.0</v>
      </c>
      <c r="AE615" s="20">
        <v>0.0</v>
      </c>
      <c r="AF615" s="20">
        <v>0.0</v>
      </c>
      <c r="AG615" s="20">
        <v>0.0</v>
      </c>
      <c r="AH615" s="20">
        <v>0.0</v>
      </c>
      <c r="AI615" s="20">
        <v>0.0</v>
      </c>
      <c r="AJ615" s="20">
        <v>426511.8</v>
      </c>
      <c r="AK615" s="20">
        <v>426511.8</v>
      </c>
      <c r="AL615" s="20">
        <v>0.0</v>
      </c>
      <c r="AM615" s="20">
        <v>376.2</v>
      </c>
      <c r="AN615" s="20">
        <v>0.0</v>
      </c>
      <c r="AS615" s="11" t="str">
        <f>VLOOKUP(C615,'mayo-26'!B:AS,44,0)</f>
        <v>CONDOMINIOEDIFICIOCCC@GMAIL.COM</v>
      </c>
      <c r="AT615" s="12" t="str">
        <f>VLOOKUP(C615,'mayo-26'!B:AT,45,0)</f>
        <v>CORREO ELECTRONICO CERTIFICADO 472</v>
      </c>
    </row>
    <row r="616" ht="14.25" customHeight="1">
      <c r="A616" s="20" t="s">
        <v>1319</v>
      </c>
      <c r="B616" s="20">
        <v>455370.0</v>
      </c>
      <c r="C616" s="20">
        <v>398.0</v>
      </c>
      <c r="D616" s="21">
        <v>398.0</v>
      </c>
      <c r="E616" s="20">
        <v>9.0244297E7</v>
      </c>
      <c r="F616" s="20">
        <v>9.0244297E7</v>
      </c>
      <c r="G616" s="20" t="s">
        <v>148</v>
      </c>
      <c r="H616" s="20" t="s">
        <v>149</v>
      </c>
      <c r="I616" s="1" t="str">
        <f>VLOOKUP(C616,'mayo-26'!B:H,7,0)</f>
        <v>CALLE 10 NO 0E-16 EDF CENTRO EMPRESARIAL BLOQUE B HOTEL TONCHALA</v>
      </c>
      <c r="J616" s="1" t="s">
        <v>1320</v>
      </c>
      <c r="K616" s="10" t="str">
        <f>VLOOKUP(C616,'mayo-26'!B:J,9,0)</f>
        <v>NO</v>
      </c>
      <c r="L616" s="1" t="str">
        <f>VLOOKUP(C616,'mayo-26'!B:K,10,0)</f>
        <v>COLEGIOS ZONA SUR</v>
      </c>
      <c r="M616" s="20" t="s">
        <v>52</v>
      </c>
      <c r="N616" s="20" t="s">
        <v>53</v>
      </c>
      <c r="O616" s="20" t="s">
        <v>861</v>
      </c>
      <c r="P616" s="20" t="s">
        <v>126</v>
      </c>
      <c r="Q616" s="20" t="s">
        <v>56</v>
      </c>
      <c r="R616" s="20" t="s">
        <v>57</v>
      </c>
      <c r="S616" s="20" t="s">
        <v>143</v>
      </c>
      <c r="T616" s="20" t="s">
        <v>59</v>
      </c>
      <c r="U616" s="20">
        <v>2026.0</v>
      </c>
      <c r="V616" s="20">
        <v>6.0</v>
      </c>
      <c r="W616" s="20">
        <v>1.081875516E9</v>
      </c>
      <c r="X616" s="20">
        <v>1.081893988E9</v>
      </c>
      <c r="Y616" s="22">
        <v>46182.0</v>
      </c>
      <c r="Z616" s="22">
        <v>46207.0</v>
      </c>
      <c r="AA616" s="20">
        <v>200845.04</v>
      </c>
      <c r="AB616" s="20">
        <v>200845.04</v>
      </c>
      <c r="AC616" s="20">
        <v>0.0</v>
      </c>
      <c r="AD616" s="20">
        <v>860.0</v>
      </c>
      <c r="AE616" s="20">
        <v>0.0</v>
      </c>
      <c r="AF616" s="20">
        <v>0.0</v>
      </c>
      <c r="AG616" s="20">
        <v>0.0</v>
      </c>
      <c r="AH616" s="20">
        <v>0.0</v>
      </c>
      <c r="AI616" s="20">
        <v>0.0</v>
      </c>
      <c r="AJ616" s="20">
        <v>200845.04</v>
      </c>
      <c r="AK616" s="20">
        <v>599641.78</v>
      </c>
      <c r="AL616" s="20">
        <v>3.0</v>
      </c>
      <c r="AM616" s="20">
        <v>250.8</v>
      </c>
      <c r="AN616" s="20">
        <v>0.0</v>
      </c>
      <c r="AS616" s="11" t="str">
        <f>VLOOKUP(C616,'mayo-26'!B:AS,44,0)</f>
        <v>AREAFINANCIERA@SEMCUCUTA.GOV.CO</v>
      </c>
      <c r="AT616" s="12" t="str">
        <f>VLOOKUP(C616,'mayo-26'!B:AT,45,0)</f>
        <v>CARTERA</v>
      </c>
    </row>
    <row r="617" ht="14.25" customHeight="1">
      <c r="A617" s="20" t="s">
        <v>1321</v>
      </c>
      <c r="B617" s="20">
        <v>455370.0</v>
      </c>
      <c r="C617" s="20">
        <v>402.0</v>
      </c>
      <c r="D617" s="21">
        <v>402.0</v>
      </c>
      <c r="E617" s="20">
        <v>9.0245092E7</v>
      </c>
      <c r="F617" s="20">
        <v>9.0245092E7</v>
      </c>
      <c r="G617" s="20" t="s">
        <v>148</v>
      </c>
      <c r="H617" s="20" t="s">
        <v>149</v>
      </c>
      <c r="I617" s="1" t="str">
        <f>VLOOKUP(C617,'mayo-26'!B:H,7,0)</f>
        <v>CALLE 10 NO 0E-16 EDF CENTRO EMPRESARIAL BLOQUE B HOTEL TONCHALA</v>
      </c>
      <c r="J617" s="1" t="s">
        <v>1322</v>
      </c>
      <c r="K617" s="10" t="str">
        <f>VLOOKUP(C617,'mayo-26'!B:J,9,0)</f>
        <v>NO</v>
      </c>
      <c r="L617" s="1" t="str">
        <f>VLOOKUP(C617,'mayo-26'!B:K,10,0)</f>
        <v>COLEGIOS ZONA SUR</v>
      </c>
      <c r="M617" s="20" t="s">
        <v>52</v>
      </c>
      <c r="N617" s="20" t="s">
        <v>53</v>
      </c>
      <c r="O617" s="20" t="s">
        <v>861</v>
      </c>
      <c r="P617" s="20" t="s">
        <v>126</v>
      </c>
      <c r="Q617" s="20" t="s">
        <v>56</v>
      </c>
      <c r="R617" s="20" t="s">
        <v>57</v>
      </c>
      <c r="S617" s="20" t="s">
        <v>143</v>
      </c>
      <c r="T617" s="20" t="s">
        <v>59</v>
      </c>
      <c r="U617" s="20">
        <v>2026.0</v>
      </c>
      <c r="V617" s="20">
        <v>6.0</v>
      </c>
      <c r="W617" s="20">
        <v>1.08187552E9</v>
      </c>
      <c r="X617" s="20">
        <v>1.081893992E9</v>
      </c>
      <c r="Y617" s="22">
        <v>46182.0</v>
      </c>
      <c r="Z617" s="22">
        <v>46207.0</v>
      </c>
      <c r="AA617" s="20">
        <v>163841.07</v>
      </c>
      <c r="AB617" s="20">
        <v>163841.07</v>
      </c>
      <c r="AC617" s="20">
        <v>0.0</v>
      </c>
      <c r="AD617" s="20">
        <v>665.0</v>
      </c>
      <c r="AE617" s="20">
        <v>0.0</v>
      </c>
      <c r="AF617" s="20">
        <v>0.0</v>
      </c>
      <c r="AG617" s="20">
        <v>0.0</v>
      </c>
      <c r="AH617" s="20">
        <v>0.0</v>
      </c>
      <c r="AI617" s="20">
        <v>0.0</v>
      </c>
      <c r="AJ617" s="20">
        <v>163841.07</v>
      </c>
      <c r="AK617" s="20">
        <v>489500.34</v>
      </c>
      <c r="AL617" s="20">
        <v>3.0</v>
      </c>
      <c r="AM617" s="20">
        <v>250.8</v>
      </c>
      <c r="AN617" s="20">
        <v>0.0</v>
      </c>
      <c r="AS617" s="11" t="str">
        <f>VLOOKUP(C617,'mayo-26'!B:AS,44,0)</f>
        <v>AREAFINANCIERA@SEMCUCUTA.GOV.CO</v>
      </c>
      <c r="AT617" s="12" t="str">
        <f>VLOOKUP(C617,'mayo-26'!B:AT,45,0)</f>
        <v>CARTERA</v>
      </c>
    </row>
    <row r="618" ht="14.25" customHeight="1">
      <c r="A618" s="20" t="s">
        <v>1323</v>
      </c>
      <c r="B618" s="20">
        <v>407.0</v>
      </c>
      <c r="C618" s="20">
        <v>406.0</v>
      </c>
      <c r="D618" s="21">
        <v>406.0</v>
      </c>
      <c r="E618" s="20">
        <v>9.0247667E7</v>
      </c>
      <c r="F618" s="20">
        <v>9.0247667E7</v>
      </c>
      <c r="G618" s="20">
        <v>9.00378558E8</v>
      </c>
      <c r="H618" s="20" t="s">
        <v>1324</v>
      </c>
      <c r="I618" s="1" t="str">
        <f>VLOOKUP(C618,'mayo-26'!B:H,7,0)</f>
        <v>AVE 7 10-56 HOTEL</v>
      </c>
      <c r="J618" s="1" t="s">
        <v>1325</v>
      </c>
      <c r="K618" s="10" t="str">
        <f>VLOOKUP(C618,'mayo-26'!B:J,9,0)</f>
        <v>NO</v>
      </c>
      <c r="L618" s="1" t="str">
        <f>VLOOKUP(C618,'mayo-26'!B:K,10,0)</f>
        <v>NO</v>
      </c>
      <c r="M618" s="20" t="s">
        <v>52</v>
      </c>
      <c r="N618" s="20" t="s">
        <v>89</v>
      </c>
      <c r="O618" s="20" t="s">
        <v>861</v>
      </c>
      <c r="P618" s="20" t="s">
        <v>126</v>
      </c>
      <c r="Q618" s="20" t="s">
        <v>56</v>
      </c>
      <c r="R618" s="20" t="s">
        <v>90</v>
      </c>
      <c r="S618" s="20" t="s">
        <v>143</v>
      </c>
      <c r="T618" s="20" t="s">
        <v>59</v>
      </c>
      <c r="U618" s="20">
        <v>2026.0</v>
      </c>
      <c r="V618" s="20">
        <v>6.0</v>
      </c>
      <c r="W618" s="20">
        <v>1.081875525E9</v>
      </c>
      <c r="X618" s="20">
        <v>1.081893997E9</v>
      </c>
      <c r="Y618" s="22">
        <v>46182.0</v>
      </c>
      <c r="Z618" s="22">
        <v>46207.0</v>
      </c>
      <c r="AA618" s="20">
        <v>193408.11</v>
      </c>
      <c r="AB618" s="20">
        <v>193408.11</v>
      </c>
      <c r="AC618" s="20">
        <v>52032.71</v>
      </c>
      <c r="AD618" s="20">
        <v>350.0</v>
      </c>
      <c r="AE618" s="20">
        <v>37310.0</v>
      </c>
      <c r="AF618" s="20">
        <v>0.0</v>
      </c>
      <c r="AG618" s="20">
        <v>0.0</v>
      </c>
      <c r="AH618" s="20">
        <v>0.0</v>
      </c>
      <c r="AI618" s="20">
        <v>0.0</v>
      </c>
      <c r="AJ618" s="20">
        <v>193408.11</v>
      </c>
      <c r="AK618" s="20">
        <v>2479678.54</v>
      </c>
      <c r="AL618" s="20">
        <v>15.0</v>
      </c>
      <c r="AM618" s="20">
        <v>376.2</v>
      </c>
      <c r="AN618" s="20">
        <v>0.0</v>
      </c>
      <c r="AS618" s="11" t="str">
        <f>VLOOKUP(C618,'mayo-26'!B:AS,44,0)</f>
        <v>HOTELLORD22@GMAIL.COM</v>
      </c>
      <c r="AT618" s="12" t="str">
        <f>VLOOKUP(C618,'mayo-26'!B:AT,45,0)</f>
        <v>CORREO ELECTRONICO CERTIFICADO 472</v>
      </c>
    </row>
    <row r="619" ht="14.25" customHeight="1">
      <c r="A619" s="20" t="s">
        <v>1326</v>
      </c>
      <c r="B619" s="20">
        <v>455370.0</v>
      </c>
      <c r="C619" s="20">
        <v>410.0</v>
      </c>
      <c r="D619" s="21">
        <v>410.0</v>
      </c>
      <c r="E619" s="20">
        <v>9.0249679E7</v>
      </c>
      <c r="F619" s="20">
        <v>9.0249679E7</v>
      </c>
      <c r="G619" s="20" t="s">
        <v>148</v>
      </c>
      <c r="H619" s="20" t="s">
        <v>149</v>
      </c>
      <c r="I619" s="1" t="str">
        <f>VLOOKUP(C619,'mayo-26'!B:H,7,0)</f>
        <v>CALLE 10 NO 0E-16 EDF CENTRO EMPRESARIAL BLOQUE B HOTEL TONCHALA</v>
      </c>
      <c r="J619" s="1" t="s">
        <v>1021</v>
      </c>
      <c r="K619" s="10" t="str">
        <f>VLOOKUP(C619,'mayo-26'!B:J,9,0)</f>
        <v>NO</v>
      </c>
      <c r="L619" s="1" t="str">
        <f>VLOOKUP(C619,'mayo-26'!B:K,10,0)</f>
        <v>COLEGIOS ZONA SUR</v>
      </c>
      <c r="M619" s="20" t="s">
        <v>52</v>
      </c>
      <c r="N619" s="20" t="s">
        <v>53</v>
      </c>
      <c r="O619" s="20" t="s">
        <v>861</v>
      </c>
      <c r="P619" s="20" t="s">
        <v>126</v>
      </c>
      <c r="Q619" s="20" t="s">
        <v>56</v>
      </c>
      <c r="R619" s="20" t="s">
        <v>57</v>
      </c>
      <c r="S619" s="20" t="s">
        <v>143</v>
      </c>
      <c r="T619" s="20" t="s">
        <v>59</v>
      </c>
      <c r="U619" s="20">
        <v>2026.0</v>
      </c>
      <c r="V619" s="20">
        <v>6.0</v>
      </c>
      <c r="W619" s="20">
        <v>1.08187553E9</v>
      </c>
      <c r="X619" s="20">
        <v>1.081894002E9</v>
      </c>
      <c r="Y619" s="22">
        <v>46182.0</v>
      </c>
      <c r="Z619" s="22">
        <v>46207.0</v>
      </c>
      <c r="AA619" s="20">
        <v>153404.04</v>
      </c>
      <c r="AB619" s="20">
        <v>153404.04</v>
      </c>
      <c r="AC619" s="20">
        <v>0.0</v>
      </c>
      <c r="AD619" s="20">
        <v>610.0</v>
      </c>
      <c r="AE619" s="20">
        <v>0.0</v>
      </c>
      <c r="AF619" s="20">
        <v>0.0</v>
      </c>
      <c r="AG619" s="20">
        <v>0.0</v>
      </c>
      <c r="AH619" s="20">
        <v>0.0</v>
      </c>
      <c r="AI619" s="20">
        <v>0.0</v>
      </c>
      <c r="AJ619" s="20">
        <v>153404.04</v>
      </c>
      <c r="AK619" s="20">
        <v>458434.78</v>
      </c>
      <c r="AL619" s="20">
        <v>3.0</v>
      </c>
      <c r="AM619" s="20">
        <v>250.8</v>
      </c>
      <c r="AN619" s="20">
        <v>0.0</v>
      </c>
      <c r="AS619" s="11" t="str">
        <f>VLOOKUP(C619,'mayo-26'!B:AS,44,0)</f>
        <v>AREAFINANCIERA@SEMCUCUTA.GOV.CO</v>
      </c>
      <c r="AT619" s="12" t="str">
        <f>VLOOKUP(C619,'mayo-26'!B:AT,45,0)</f>
        <v>CARTERA</v>
      </c>
    </row>
    <row r="620" ht="14.25" customHeight="1">
      <c r="A620" s="20" t="s">
        <v>1327</v>
      </c>
      <c r="B620" s="20">
        <v>455370.0</v>
      </c>
      <c r="C620" s="20">
        <v>414.0</v>
      </c>
      <c r="D620" s="21">
        <v>414.0</v>
      </c>
      <c r="E620" s="20">
        <v>9.0250763E7</v>
      </c>
      <c r="F620" s="20">
        <v>9.0250763E7</v>
      </c>
      <c r="G620" s="20" t="s">
        <v>148</v>
      </c>
      <c r="H620" s="20" t="s">
        <v>149</v>
      </c>
      <c r="I620" s="1" t="str">
        <f>VLOOKUP(C620,'mayo-26'!B:H,7,0)</f>
        <v>CALLE 10 NO 0E-16 EDF CENTRO EMPRESARIAL BLOQUE B HOTEL TONCHALA</v>
      </c>
      <c r="J620" s="1" t="s">
        <v>1021</v>
      </c>
      <c r="K620" s="10" t="str">
        <f>VLOOKUP(C620,'mayo-26'!B:J,9,0)</f>
        <v>NO</v>
      </c>
      <c r="L620" s="1" t="str">
        <f>VLOOKUP(C620,'mayo-26'!B:K,10,0)</f>
        <v>COLEGIOS ZONA SUR</v>
      </c>
      <c r="M620" s="20" t="s">
        <v>52</v>
      </c>
      <c r="N620" s="20" t="s">
        <v>53</v>
      </c>
      <c r="O620" s="20" t="s">
        <v>861</v>
      </c>
      <c r="P620" s="20" t="s">
        <v>126</v>
      </c>
      <c r="Q620" s="20" t="s">
        <v>56</v>
      </c>
      <c r="R620" s="20" t="s">
        <v>57</v>
      </c>
      <c r="S620" s="20" t="s">
        <v>143</v>
      </c>
      <c r="T620" s="20" t="s">
        <v>59</v>
      </c>
      <c r="U620" s="20">
        <v>2026.0</v>
      </c>
      <c r="V620" s="20">
        <v>6.0</v>
      </c>
      <c r="W620" s="20">
        <v>1.081875535E9</v>
      </c>
      <c r="X620" s="20">
        <v>1.081894007E9</v>
      </c>
      <c r="Y620" s="22">
        <v>46182.0</v>
      </c>
      <c r="Z620" s="22">
        <v>46207.0</v>
      </c>
      <c r="AA620" s="20">
        <v>232156.11</v>
      </c>
      <c r="AB620" s="20">
        <v>232156.11</v>
      </c>
      <c r="AC620" s="20">
        <v>0.0</v>
      </c>
      <c r="AD620" s="20">
        <v>1025.0</v>
      </c>
      <c r="AE620" s="20">
        <v>0.0</v>
      </c>
      <c r="AF620" s="20">
        <v>0.0</v>
      </c>
      <c r="AG620" s="20">
        <v>0.0</v>
      </c>
      <c r="AH620" s="20">
        <v>0.0</v>
      </c>
      <c r="AI620" s="20">
        <v>0.0</v>
      </c>
      <c r="AJ620" s="20">
        <v>232156.11</v>
      </c>
      <c r="AK620" s="20">
        <v>692838.42</v>
      </c>
      <c r="AL620" s="20">
        <v>3.0</v>
      </c>
      <c r="AM620" s="20">
        <v>250.8</v>
      </c>
      <c r="AN620" s="20">
        <v>0.0</v>
      </c>
      <c r="AS620" s="11" t="str">
        <f>VLOOKUP(C620,'mayo-26'!B:AS,44,0)</f>
        <v>AREAFINANCIERA@SEMCUCUTA.GOV.CO</v>
      </c>
      <c r="AT620" s="12" t="str">
        <f>VLOOKUP(C620,'mayo-26'!B:AT,45,0)</f>
        <v>CARTERA</v>
      </c>
    </row>
    <row r="621" ht="14.25" customHeight="1">
      <c r="A621" s="20" t="s">
        <v>1328</v>
      </c>
      <c r="B621" s="20">
        <v>419.0</v>
      </c>
      <c r="C621" s="20">
        <v>418.0</v>
      </c>
      <c r="D621" s="21">
        <v>418.0</v>
      </c>
      <c r="E621" s="20">
        <v>9.0251637E7</v>
      </c>
      <c r="F621" s="20">
        <v>9.0251637E7</v>
      </c>
      <c r="G621" s="20" t="s">
        <v>875</v>
      </c>
      <c r="H621" s="20" t="s">
        <v>1329</v>
      </c>
      <c r="I621" s="1" t="str">
        <f>VLOOKUP(C621,'mayo-26'!B:H,7,0)</f>
        <v>AVE 17 CL 15</v>
      </c>
      <c r="J621" s="1" t="s">
        <v>1021</v>
      </c>
      <c r="K621" s="10" t="str">
        <f>VLOOKUP(C621,'mayo-26'!B:J,9,0)</f>
        <v>NO</v>
      </c>
      <c r="L621" s="1" t="str">
        <f>VLOOKUP(C621,'mayo-26'!B:K,10,0)</f>
        <v>ENTIDADES</v>
      </c>
      <c r="M621" s="20" t="s">
        <v>52</v>
      </c>
      <c r="N621" s="20" t="s">
        <v>89</v>
      </c>
      <c r="O621" s="20" t="s">
        <v>861</v>
      </c>
      <c r="P621" s="20" t="s">
        <v>126</v>
      </c>
      <c r="Q621" s="20" t="s">
        <v>56</v>
      </c>
      <c r="R621" s="20" t="s">
        <v>57</v>
      </c>
      <c r="S621" s="20" t="s">
        <v>143</v>
      </c>
      <c r="T621" s="20" t="s">
        <v>59</v>
      </c>
      <c r="U621" s="20">
        <v>2026.0</v>
      </c>
      <c r="V621" s="20">
        <v>6.0</v>
      </c>
      <c r="W621" s="20">
        <v>1.081875539E9</v>
      </c>
      <c r="X621" s="20">
        <v>1.081894011E9</v>
      </c>
      <c r="Y621" s="22">
        <v>46182.0</v>
      </c>
      <c r="Z621" s="22">
        <v>46207.0</v>
      </c>
      <c r="AA621" s="20">
        <v>3079564.92</v>
      </c>
      <c r="AB621" s="20">
        <v>3079564.92</v>
      </c>
      <c r="AC621" s="20">
        <v>0.0</v>
      </c>
      <c r="AD621" s="20">
        <v>16030.0</v>
      </c>
      <c r="AE621" s="20">
        <v>0.0</v>
      </c>
      <c r="AF621" s="20">
        <v>0.0</v>
      </c>
      <c r="AG621" s="20">
        <v>0.0</v>
      </c>
      <c r="AH621" s="20">
        <v>0.0</v>
      </c>
      <c r="AI621" s="20">
        <v>0.0</v>
      </c>
      <c r="AJ621" s="20">
        <v>3079564.92</v>
      </c>
      <c r="AK621" s="20">
        <v>1.727238968E7</v>
      </c>
      <c r="AL621" s="20">
        <v>5.0</v>
      </c>
      <c r="AM621" s="20">
        <v>250.8</v>
      </c>
      <c r="AN621" s="20">
        <v>0.0</v>
      </c>
      <c r="AS621" s="11" t="str">
        <f>VLOOKUP(C621,'mayo-26'!B:AS,44,0)</f>
        <v>hernando.vergara@cucuta.gov.co</v>
      </c>
      <c r="AT621" s="12" t="str">
        <f>VLOOKUP(C621,'mayo-26'!B:AT,45,0)</f>
        <v>CARTERA</v>
      </c>
    </row>
    <row r="622" ht="14.25" customHeight="1">
      <c r="A622" s="20" t="s">
        <v>1330</v>
      </c>
      <c r="B622" s="20">
        <v>423.0</v>
      </c>
      <c r="C622" s="20">
        <v>422.0</v>
      </c>
      <c r="D622" s="21">
        <v>422.0</v>
      </c>
      <c r="E622" s="20">
        <v>9.0253246E7</v>
      </c>
      <c r="F622" s="20">
        <v>9.0253246E7</v>
      </c>
      <c r="G622" s="20">
        <v>8.60001697E8</v>
      </c>
      <c r="H622" s="20" t="s">
        <v>1331</v>
      </c>
      <c r="I622" s="1" t="str">
        <f>VLOOKUP(C622,'mayo-26'!B:H,7,0)</f>
        <v>VIA A BOCONO C-004-28-III</v>
      </c>
      <c r="J622" s="1" t="s">
        <v>877</v>
      </c>
      <c r="K622" s="10" t="str">
        <f>VLOOKUP(C622,'mayo-26'!B:J,9,0)</f>
        <v>NO</v>
      </c>
      <c r="L622" s="1" t="str">
        <f>VLOOKUP(C622,'mayo-26'!B:K,10,0)</f>
        <v>NO</v>
      </c>
      <c r="M622" s="20" t="s">
        <v>52</v>
      </c>
      <c r="N622" s="20" t="s">
        <v>89</v>
      </c>
      <c r="O622" s="20" t="s">
        <v>861</v>
      </c>
      <c r="P622" s="20" t="s">
        <v>126</v>
      </c>
      <c r="Q622" s="20" t="s">
        <v>56</v>
      </c>
      <c r="R622" s="20" t="s">
        <v>90</v>
      </c>
      <c r="S622" s="20" t="s">
        <v>58</v>
      </c>
      <c r="T622" s="20" t="s">
        <v>59</v>
      </c>
      <c r="U622" s="20">
        <v>2026.0</v>
      </c>
      <c r="V622" s="20">
        <v>6.0</v>
      </c>
      <c r="W622" s="20">
        <v>1.081875542E9</v>
      </c>
      <c r="X622" s="20">
        <v>1.081894014E9</v>
      </c>
      <c r="Y622" s="22">
        <v>46182.0</v>
      </c>
      <c r="Z622" s="22">
        <v>46207.0</v>
      </c>
      <c r="AA622" s="20">
        <v>4400881.59</v>
      </c>
      <c r="AB622" s="20">
        <v>4400881.59</v>
      </c>
      <c r="AC622" s="20">
        <v>1466960.53</v>
      </c>
      <c r="AD622" s="20">
        <v>15262.5</v>
      </c>
      <c r="AE622" s="20">
        <v>0.0</v>
      </c>
      <c r="AF622" s="20">
        <v>0.0</v>
      </c>
      <c r="AG622" s="20">
        <v>0.0</v>
      </c>
      <c r="AH622" s="20">
        <v>0.0</v>
      </c>
      <c r="AI622" s="20">
        <v>0.0</v>
      </c>
      <c r="AJ622" s="20">
        <v>4400881.59</v>
      </c>
      <c r="AK622" s="20">
        <v>4400881.59</v>
      </c>
      <c r="AL622" s="20">
        <v>0.0</v>
      </c>
      <c r="AM622" s="20">
        <v>376.2</v>
      </c>
      <c r="AN622" s="20">
        <v>0.0</v>
      </c>
      <c r="AS622" s="11" t="str">
        <f>VLOOKUP(C622,'mayo-26'!B:AS,44,0)</f>
        <v>WEANAYA@POSTOBON.COM.CO</v>
      </c>
      <c r="AT622" s="12" t="str">
        <f>VLOOKUP(C622,'mayo-26'!B:AT,45,0)</f>
        <v>CORREO ELECTRONICO CERTIFICADO 472</v>
      </c>
    </row>
    <row r="623" ht="14.25" customHeight="1">
      <c r="A623" s="20" t="s">
        <v>1332</v>
      </c>
      <c r="B623" s="20">
        <v>464111.0</v>
      </c>
      <c r="C623" s="20">
        <v>429546.0</v>
      </c>
      <c r="D623" s="21">
        <v>448049.0</v>
      </c>
      <c r="G623" s="20">
        <v>9.01413773E8</v>
      </c>
      <c r="H623" s="20" t="s">
        <v>1333</v>
      </c>
      <c r="I623" s="1" t="str">
        <f>VLOOKUP(C623,'mayo-26'!B:H,7,0)</f>
        <v>CC JARDIN PLAZA L77</v>
      </c>
      <c r="J623" s="1" t="s">
        <v>991</v>
      </c>
      <c r="K623" s="10" t="str">
        <f>VLOOKUP(C623,'mayo-26'!B:J,9,0)</f>
        <v>JARDIN PLAZA</v>
      </c>
      <c r="L623" s="1" t="str">
        <f>VLOOKUP(C623,'mayo-26'!B:K,10,0)</f>
        <v>JARDIN PLAZA</v>
      </c>
      <c r="M623" s="20" t="s">
        <v>52</v>
      </c>
      <c r="N623" s="20" t="s">
        <v>89</v>
      </c>
      <c r="O623" s="20" t="s">
        <v>861</v>
      </c>
      <c r="P623" s="20" t="s">
        <v>126</v>
      </c>
      <c r="Q623" s="20" t="s">
        <v>56</v>
      </c>
      <c r="R623" s="20" t="s">
        <v>90</v>
      </c>
      <c r="S623" s="20" t="s">
        <v>143</v>
      </c>
      <c r="T623" s="20" t="s">
        <v>59</v>
      </c>
      <c r="U623" s="20">
        <v>2026.0</v>
      </c>
      <c r="V623" s="20">
        <v>6.0</v>
      </c>
      <c r="W623" s="20">
        <v>1.081875832E9</v>
      </c>
      <c r="X623" s="20">
        <v>1.081894304E9</v>
      </c>
      <c r="Y623" s="22">
        <v>46182.0</v>
      </c>
      <c r="Z623" s="22">
        <v>46207.0</v>
      </c>
      <c r="AA623" s="20">
        <v>128739.18</v>
      </c>
      <c r="AB623" s="20">
        <v>128739.18</v>
      </c>
      <c r="AC623" s="20">
        <v>42829.15</v>
      </c>
      <c r="AD623" s="20">
        <v>253.0</v>
      </c>
      <c r="AE623" s="20">
        <v>251.74</v>
      </c>
      <c r="AF623" s="20">
        <v>0.0</v>
      </c>
      <c r="AG623" s="20">
        <v>0.0</v>
      </c>
      <c r="AH623" s="20">
        <v>0.0</v>
      </c>
      <c r="AI623" s="20">
        <v>0.0</v>
      </c>
      <c r="AJ623" s="20">
        <v>128739.18</v>
      </c>
      <c r="AK623" s="20">
        <v>254749.11</v>
      </c>
      <c r="AL623" s="20">
        <v>1.0</v>
      </c>
      <c r="AM623" s="20">
        <v>376.2</v>
      </c>
      <c r="AN623" s="20">
        <v>0.0</v>
      </c>
      <c r="AS623" s="11" t="str">
        <f>VLOOKUP(C623,'mayo-26'!B:AS,44,0)</f>
        <v>NOMINAS@MOMA.COM.CO</v>
      </c>
      <c r="AT623" s="12" t="str">
        <f>VLOOKUP(C623,'mayo-26'!B:AT,45,0)</f>
        <v>VERIFICADOR</v>
      </c>
    </row>
    <row r="624" ht="14.25" customHeight="1">
      <c r="A624" s="20" t="s">
        <v>1334</v>
      </c>
      <c r="B624" s="20">
        <v>464134.0</v>
      </c>
      <c r="C624" s="20">
        <v>429554.0</v>
      </c>
      <c r="D624" s="21">
        <v>448072.0</v>
      </c>
      <c r="G624" s="20">
        <v>9.01751857E8</v>
      </c>
      <c r="H624" s="20" t="s">
        <v>1335</v>
      </c>
      <c r="I624" s="1" t="str">
        <f>VLOOKUP(C624,'mayo-26'!B:H,7,0)</f>
        <v>CC JARDIN PLAZA R16B</v>
      </c>
      <c r="J624" s="1" t="s">
        <v>991</v>
      </c>
      <c r="K624" s="10" t="str">
        <f>VLOOKUP(C624,'mayo-26'!B:J,9,0)</f>
        <v>JARDIN PLAZA</v>
      </c>
      <c r="L624" s="1" t="str">
        <f>VLOOKUP(C624,'mayo-26'!B:K,10,0)</f>
        <v>JARDIN PLAZA</v>
      </c>
      <c r="M624" s="20" t="s">
        <v>52</v>
      </c>
      <c r="N624" s="20" t="s">
        <v>89</v>
      </c>
      <c r="O624" s="20" t="s">
        <v>861</v>
      </c>
      <c r="P624" s="20" t="s">
        <v>126</v>
      </c>
      <c r="Q624" s="20" t="s">
        <v>56</v>
      </c>
      <c r="R624" s="20" t="s">
        <v>90</v>
      </c>
      <c r="S624" s="20" t="s">
        <v>143</v>
      </c>
      <c r="T624" s="20" t="s">
        <v>59</v>
      </c>
      <c r="U624" s="20">
        <v>2026.0</v>
      </c>
      <c r="V624" s="20">
        <v>6.0</v>
      </c>
      <c r="W624" s="20">
        <v>1.081875835E9</v>
      </c>
      <c r="X624" s="20">
        <v>1.081894307E9</v>
      </c>
      <c r="Y624" s="22">
        <v>46182.0</v>
      </c>
      <c r="Z624" s="22">
        <v>46207.0</v>
      </c>
      <c r="AA624" s="20">
        <v>438276.8</v>
      </c>
      <c r="AB624" s="20">
        <v>438276.8</v>
      </c>
      <c r="AC624" s="20">
        <v>143404.07</v>
      </c>
      <c r="AD624" s="20">
        <v>1313.0</v>
      </c>
      <c r="AE624" s="20">
        <v>8064.6</v>
      </c>
      <c r="AF624" s="20">
        <v>0.0</v>
      </c>
      <c r="AG624" s="20">
        <v>0.0</v>
      </c>
      <c r="AH624" s="20">
        <v>0.0</v>
      </c>
      <c r="AI624" s="20">
        <v>0.0</v>
      </c>
      <c r="AJ624" s="20">
        <v>438276.8</v>
      </c>
      <c r="AK624" s="20">
        <v>438277.72</v>
      </c>
      <c r="AL624" s="20">
        <v>1.0</v>
      </c>
      <c r="AM624" s="20">
        <v>376.2</v>
      </c>
      <c r="AN624" s="20">
        <v>0.0</v>
      </c>
      <c r="AS624" s="11" t="str">
        <f>VLOOKUP(C624,'mayo-26'!B:AS,44,0)</f>
        <v>PLATANOVERDESJARDINPLAZA@GMAIL.COM</v>
      </c>
      <c r="AT624" s="12" t="str">
        <f>VLOOKUP(C624,'mayo-26'!B:AT,45,0)</f>
        <v>VERIFICADOR</v>
      </c>
    </row>
    <row r="625" ht="14.25" customHeight="1">
      <c r="A625" s="20" t="s">
        <v>1336</v>
      </c>
      <c r="B625" s="20">
        <v>684.0</v>
      </c>
      <c r="C625" s="20">
        <v>429558.0</v>
      </c>
      <c r="D625" s="21">
        <v>448076.0</v>
      </c>
      <c r="G625" s="20" t="s">
        <v>1052</v>
      </c>
      <c r="H625" s="20" t="s">
        <v>1053</v>
      </c>
      <c r="I625" s="1" t="str">
        <f>VLOOKUP(C625,'mayo-26'!B:H,7,0)</f>
        <v>L 53 CC JARDIN PALZA</v>
      </c>
      <c r="J625" s="1" t="s">
        <v>991</v>
      </c>
      <c r="K625" s="10" t="str">
        <f>VLOOKUP(C625,'mayo-26'!B:J,9,0)</f>
        <v>JARDIN PLAZA-ADMINISTRACION</v>
      </c>
      <c r="L625" s="1" t="str">
        <f>VLOOKUP(C625,'mayo-26'!B:K,10,0)</f>
        <v>JARDIN PLAZA-ADMINISTRACION</v>
      </c>
      <c r="M625" s="20" t="s">
        <v>52</v>
      </c>
      <c r="N625" s="20" t="s">
        <v>89</v>
      </c>
      <c r="O625" s="20" t="s">
        <v>861</v>
      </c>
      <c r="P625" s="20" t="s">
        <v>126</v>
      </c>
      <c r="Q625" s="20" t="s">
        <v>131</v>
      </c>
      <c r="R625" s="20" t="s">
        <v>132</v>
      </c>
      <c r="S625" s="20" t="s">
        <v>133</v>
      </c>
      <c r="T625" s="20" t="s">
        <v>163</v>
      </c>
      <c r="U625" s="20">
        <v>2026.0</v>
      </c>
      <c r="V625" s="20">
        <v>6.0</v>
      </c>
      <c r="W625" s="20">
        <v>1.081875837E9</v>
      </c>
      <c r="X625" s="20">
        <v>1.081894309E9</v>
      </c>
      <c r="Y625" s="22">
        <v>46182.0</v>
      </c>
      <c r="Z625" s="22">
        <v>46207.0</v>
      </c>
      <c r="AA625" s="20">
        <v>56481.87</v>
      </c>
      <c r="AB625" s="20">
        <v>56481.87</v>
      </c>
      <c r="AC625" s="20">
        <v>18616.0</v>
      </c>
      <c r="AD625" s="20">
        <v>0.0</v>
      </c>
      <c r="AE625" s="20">
        <v>633.87</v>
      </c>
      <c r="AF625" s="20">
        <v>0.0</v>
      </c>
      <c r="AG625" s="20">
        <v>0.0</v>
      </c>
      <c r="AH625" s="20">
        <v>0.0</v>
      </c>
      <c r="AI625" s="20">
        <v>0.0</v>
      </c>
      <c r="AJ625" s="20">
        <v>56481.87</v>
      </c>
      <c r="AK625" s="20">
        <v>172261.63</v>
      </c>
      <c r="AL625" s="20">
        <v>2.0</v>
      </c>
      <c r="AM625" s="20">
        <v>376.2</v>
      </c>
      <c r="AN625" s="20">
        <v>0.0</v>
      </c>
      <c r="AS625" s="11" t="str">
        <f>VLOOKUP(C625,'mayo-26'!B:AS,44,0)</f>
        <v>AMBIENTAL@JARDINPLAZA.COM</v>
      </c>
      <c r="AT625" s="12" t="str">
        <f>VLOOKUP(C625,'mayo-26'!B:AT,45,0)</f>
        <v>CORREO ELECTRONICO CERTIFICADO 472</v>
      </c>
    </row>
    <row r="626" ht="14.25" customHeight="1">
      <c r="A626" s="20" t="s">
        <v>1337</v>
      </c>
      <c r="B626" s="20">
        <v>431.0</v>
      </c>
      <c r="C626" s="20">
        <v>430.0</v>
      </c>
      <c r="D626" s="21">
        <v>430.0</v>
      </c>
      <c r="E626" s="20">
        <v>9.0253727E7</v>
      </c>
      <c r="F626" s="20">
        <v>9.0253727E7</v>
      </c>
      <c r="G626" s="20" t="s">
        <v>620</v>
      </c>
      <c r="H626" s="20" t="s">
        <v>621</v>
      </c>
      <c r="I626" s="1" t="str">
        <f>VLOOKUP(C626,'mayo-26'!B:H,7,0)</f>
        <v>EDIFICIO SAN JOSE 2O PISO</v>
      </c>
      <c r="J626" s="1" t="s">
        <v>982</v>
      </c>
      <c r="K626" s="10" t="str">
        <f>VLOOKUP(C626,'mayo-26'!B:J,9,0)</f>
        <v>NO</v>
      </c>
      <c r="L626" s="1" t="str">
        <f>VLOOKUP(C626,'mayo-26'!B:K,10,0)</f>
        <v>AGUAS KPITAL</v>
      </c>
      <c r="M626" s="20" t="s">
        <v>52</v>
      </c>
      <c r="N626" s="20" t="s">
        <v>89</v>
      </c>
      <c r="O626" s="20" t="s">
        <v>861</v>
      </c>
      <c r="P626" s="20" t="s">
        <v>126</v>
      </c>
      <c r="Q626" s="20" t="s">
        <v>56</v>
      </c>
      <c r="R626" s="20" t="s">
        <v>90</v>
      </c>
      <c r="S626" s="20" t="s">
        <v>143</v>
      </c>
      <c r="T626" s="20" t="s">
        <v>59</v>
      </c>
      <c r="U626" s="20">
        <v>2026.0</v>
      </c>
      <c r="V626" s="20">
        <v>6.0</v>
      </c>
      <c r="W626" s="20">
        <v>1.081875544E9</v>
      </c>
      <c r="X626" s="20">
        <v>1.081894016E9</v>
      </c>
      <c r="Y626" s="22">
        <v>46182.0</v>
      </c>
      <c r="Z626" s="22">
        <v>46207.0</v>
      </c>
      <c r="AA626" s="20">
        <v>390008.72</v>
      </c>
      <c r="AB626" s="20">
        <v>390008.72</v>
      </c>
      <c r="AC626" s="20">
        <v>123194.2</v>
      </c>
      <c r="AD626" s="20">
        <v>1100.0</v>
      </c>
      <c r="AE626" s="20">
        <v>20426.12</v>
      </c>
      <c r="AF626" s="20">
        <v>0.0</v>
      </c>
      <c r="AG626" s="20">
        <v>0.0</v>
      </c>
      <c r="AH626" s="20">
        <v>0.0</v>
      </c>
      <c r="AI626" s="20">
        <v>0.0</v>
      </c>
      <c r="AJ626" s="20">
        <v>390008.72</v>
      </c>
      <c r="AK626" s="20">
        <v>1803700.96</v>
      </c>
      <c r="AL626" s="20">
        <v>4.0</v>
      </c>
      <c r="AM626" s="20">
        <v>376.2</v>
      </c>
      <c r="AN626" s="20">
        <v>0.0</v>
      </c>
      <c r="AS626" s="11" t="str">
        <f>VLOOKUP(C626,'mayo-26'!B:AS,44,0)</f>
        <v>RADICACION.CEINDOC@AKC.CO;SAMMY.OMANA@AKC.CO</v>
      </c>
      <c r="AT626" s="12" t="str">
        <f>VLOOKUP(C626,'mayo-26'!B:AT,45,0)</f>
        <v>CORREO ELECTRONICO CERTIFICADO 472</v>
      </c>
    </row>
    <row r="627" ht="14.25" customHeight="1">
      <c r="A627" s="20" t="s">
        <v>1338</v>
      </c>
      <c r="B627" s="20">
        <v>435.0</v>
      </c>
      <c r="C627" s="20">
        <v>434.0</v>
      </c>
      <c r="D627" s="21">
        <v>434.0</v>
      </c>
      <c r="E627" s="20">
        <v>9.0254784E7</v>
      </c>
      <c r="F627" s="20">
        <v>9.0254784E7</v>
      </c>
      <c r="G627" s="20">
        <v>9.0016146E8</v>
      </c>
      <c r="H627" s="20" t="s">
        <v>1339</v>
      </c>
      <c r="I627" s="1" t="str">
        <f>VLOOKUP(C627,'mayo-26'!B:H,7,0)</f>
        <v>AVE 1AE N 18-08 CAOBOS</v>
      </c>
      <c r="J627" s="1" t="s">
        <v>942</v>
      </c>
      <c r="K627" s="10" t="str">
        <f>VLOOKUP(C627,'mayo-26'!B:J,9,0)</f>
        <v>NO</v>
      </c>
      <c r="L627" s="1" t="str">
        <f>VLOOKUP(C627,'mayo-26'!B:K,10,0)</f>
        <v>NO</v>
      </c>
      <c r="M627" s="20" t="s">
        <v>52</v>
      </c>
      <c r="N627" s="20" t="s">
        <v>89</v>
      </c>
      <c r="O627" s="20" t="s">
        <v>861</v>
      </c>
      <c r="P627" s="20" t="s">
        <v>126</v>
      </c>
      <c r="Q627" s="20" t="s">
        <v>131</v>
      </c>
      <c r="R627" s="20" t="s">
        <v>1111</v>
      </c>
      <c r="S627" s="20" t="s">
        <v>133</v>
      </c>
      <c r="T627" s="20" t="s">
        <v>59</v>
      </c>
      <c r="U627" s="20">
        <v>2026.0</v>
      </c>
      <c r="V627" s="20">
        <v>6.0</v>
      </c>
      <c r="W627" s="20">
        <v>1.08187555E9</v>
      </c>
      <c r="X627" s="20">
        <v>1.081894022E9</v>
      </c>
      <c r="Y627" s="22">
        <v>46182.0</v>
      </c>
      <c r="Z627" s="22">
        <v>46207.0</v>
      </c>
      <c r="AA627" s="20">
        <v>50244.0</v>
      </c>
      <c r="AB627" s="20">
        <v>50244.0</v>
      </c>
      <c r="AC627" s="20">
        <v>0.0</v>
      </c>
      <c r="AD627" s="20">
        <v>0.0</v>
      </c>
      <c r="AE627" s="20">
        <v>0.0</v>
      </c>
      <c r="AF627" s="20">
        <v>0.0</v>
      </c>
      <c r="AG627" s="20">
        <v>0.0</v>
      </c>
      <c r="AH627" s="20">
        <v>0.0</v>
      </c>
      <c r="AI627" s="20">
        <v>0.0</v>
      </c>
      <c r="AJ627" s="20">
        <v>50244.0</v>
      </c>
      <c r="AK627" s="20">
        <v>50244.0</v>
      </c>
      <c r="AL627" s="20">
        <v>0.0</v>
      </c>
      <c r="AM627" s="20">
        <v>250.8</v>
      </c>
      <c r="AN627" s="20">
        <v>0.0</v>
      </c>
      <c r="AS627" s="11" t="str">
        <f>VLOOKUP(C627,'mayo-26'!B:AS,44,0)</f>
        <v>CORRESPONDENCIAYNOTIFICACIONESZ@JRCINS.CO</v>
      </c>
      <c r="AT627" s="12" t="str">
        <f>VLOOKUP(C627,'mayo-26'!B:AT,45,0)</f>
        <v>CORREO ELECTRONICO CERTIFICADO 472</v>
      </c>
    </row>
    <row r="628" ht="14.25" customHeight="1">
      <c r="A628" s="20" t="s">
        <v>1340</v>
      </c>
      <c r="B628" s="20">
        <v>699.0</v>
      </c>
      <c r="C628" s="20">
        <v>434550.0</v>
      </c>
      <c r="D628" s="21">
        <v>456075.0</v>
      </c>
      <c r="E628" s="20">
        <v>1086001.0</v>
      </c>
      <c r="F628" s="20">
        <v>1086001.0</v>
      </c>
      <c r="G628" s="20">
        <v>9.00480569E8</v>
      </c>
      <c r="H628" s="20" t="s">
        <v>141</v>
      </c>
      <c r="I628" s="1" t="str">
        <f>VLOOKUP(C628,'mayo-26'!B:H,7,0)</f>
        <v>CLL 12 4-52 CENTRO</v>
      </c>
      <c r="J628" s="1" t="s">
        <v>910</v>
      </c>
      <c r="K628" s="10" t="str">
        <f>VLOOKUP(C628,'mayo-26'!B:J,9,0)</f>
        <v>NO</v>
      </c>
      <c r="L628" s="1" t="str">
        <f>VLOOKUP(C628,'mayo-26'!B:K,10,0)</f>
        <v>ARA CUCUTA</v>
      </c>
      <c r="M628" s="20" t="s">
        <v>52</v>
      </c>
      <c r="N628" s="20" t="s">
        <v>53</v>
      </c>
      <c r="O628" s="20" t="s">
        <v>861</v>
      </c>
      <c r="P628" s="20" t="s">
        <v>126</v>
      </c>
      <c r="Q628" s="20" t="s">
        <v>56</v>
      </c>
      <c r="R628" s="20" t="s">
        <v>90</v>
      </c>
      <c r="S628" s="20" t="s">
        <v>143</v>
      </c>
      <c r="T628" s="20" t="s">
        <v>59</v>
      </c>
      <c r="U628" s="20">
        <v>2026.0</v>
      </c>
      <c r="V628" s="20">
        <v>6.0</v>
      </c>
      <c r="W628" s="20">
        <v>1.08187584E9</v>
      </c>
      <c r="X628" s="20">
        <v>1.081894312E9</v>
      </c>
      <c r="Y628" s="22">
        <v>46182.0</v>
      </c>
      <c r="Z628" s="22">
        <v>46207.0</v>
      </c>
      <c r="AA628" s="20">
        <v>741045.65</v>
      </c>
      <c r="AB628" s="20">
        <v>741045.65</v>
      </c>
      <c r="AC628" s="20">
        <v>247015.22</v>
      </c>
      <c r="AD628" s="20">
        <v>2405.0</v>
      </c>
      <c r="AE628" s="20">
        <v>0.0</v>
      </c>
      <c r="AF628" s="20">
        <v>0.0</v>
      </c>
      <c r="AG628" s="20">
        <v>0.0</v>
      </c>
      <c r="AH628" s="20">
        <v>0.0</v>
      </c>
      <c r="AI628" s="20">
        <v>0.0</v>
      </c>
      <c r="AJ628" s="20">
        <v>741045.65</v>
      </c>
      <c r="AK628" s="20">
        <v>741045.65</v>
      </c>
      <c r="AL628" s="20">
        <v>0.0</v>
      </c>
      <c r="AM628" s="20">
        <v>376.2</v>
      </c>
      <c r="AN628" s="20">
        <v>0.0</v>
      </c>
      <c r="AS628" s="11" t="str">
        <f>VLOOKUP(C628,'mayo-26'!B:AS,44,0)</f>
        <v>COORDINADOR.OPERACIONES.R11@JERONIMO-MARTINS.COM</v>
      </c>
      <c r="AT628" s="12" t="str">
        <f>VLOOKUP(C628,'mayo-26'!B:AT,45,0)</f>
        <v>CORREO ELECTRONICO CERTIFICADO 472</v>
      </c>
    </row>
    <row r="629" ht="14.25" customHeight="1">
      <c r="A629" s="20" t="s">
        <v>1341</v>
      </c>
      <c r="B629" s="20">
        <v>439.0</v>
      </c>
      <c r="C629" s="20">
        <v>438.0</v>
      </c>
      <c r="D629" s="21">
        <v>438.0</v>
      </c>
      <c r="E629" s="20">
        <v>9.0256548E7</v>
      </c>
      <c r="F629" s="20">
        <v>9.0256548E7</v>
      </c>
      <c r="G629" s="20">
        <v>8.90500705E8</v>
      </c>
      <c r="H629" s="20" t="s">
        <v>1342</v>
      </c>
      <c r="I629" s="1" t="str">
        <f>VLOOKUP(C629,'mayo-26'!B:H,7,0)</f>
        <v>KM 5 PRECONCRETOS</v>
      </c>
      <c r="J629" s="1" t="s">
        <v>869</v>
      </c>
      <c r="K629" s="10" t="str">
        <f>VLOOKUP(C629,'mayo-26'!B:J,9,0)</f>
        <v>NO</v>
      </c>
      <c r="L629" s="1" t="str">
        <f>VLOOKUP(C629,'mayo-26'!B:K,10,0)</f>
        <v>NO</v>
      </c>
      <c r="M629" s="20" t="s">
        <v>52</v>
      </c>
      <c r="N629" s="20" t="s">
        <v>89</v>
      </c>
      <c r="O629" s="20" t="s">
        <v>861</v>
      </c>
      <c r="P629" s="20" t="s">
        <v>126</v>
      </c>
      <c r="Q629" s="20" t="s">
        <v>56</v>
      </c>
      <c r="R629" s="20" t="s">
        <v>90</v>
      </c>
      <c r="S629" s="20" t="s">
        <v>143</v>
      </c>
      <c r="T629" s="20" t="s">
        <v>59</v>
      </c>
      <c r="U629" s="20">
        <v>2026.0</v>
      </c>
      <c r="V629" s="20">
        <v>6.0</v>
      </c>
      <c r="W629" s="20">
        <v>1.081875556E9</v>
      </c>
      <c r="X629" s="20">
        <v>1.081894028E9</v>
      </c>
      <c r="Y629" s="22">
        <v>46182.0</v>
      </c>
      <c r="Z629" s="22">
        <v>46207.0</v>
      </c>
      <c r="AA629" s="20">
        <v>1159053.22</v>
      </c>
      <c r="AB629" s="20">
        <v>1159053.22</v>
      </c>
      <c r="AC629" s="20">
        <v>384119.71</v>
      </c>
      <c r="AD629" s="20">
        <v>3850.0</v>
      </c>
      <c r="AE629" s="20">
        <v>6694.11</v>
      </c>
      <c r="AF629" s="20">
        <v>0.0</v>
      </c>
      <c r="AG629" s="20">
        <v>0.0</v>
      </c>
      <c r="AH629" s="20">
        <v>0.0</v>
      </c>
      <c r="AI629" s="20">
        <v>0.0</v>
      </c>
      <c r="AJ629" s="20">
        <v>1159053.22</v>
      </c>
      <c r="AK629" s="20">
        <v>1159053.5</v>
      </c>
      <c r="AL629" s="20">
        <v>1.0</v>
      </c>
      <c r="AM629" s="20">
        <v>376.2</v>
      </c>
      <c r="AN629" s="20">
        <v>0.0</v>
      </c>
      <c r="AS629" s="11" t="str">
        <f>VLOOKUP(C629,'mayo-26'!B:AS,44,0)</f>
        <v>TALENTOHUMANO@PRECONCRETOS.NET</v>
      </c>
      <c r="AT629" s="12" t="str">
        <f>VLOOKUP(C629,'mayo-26'!B:AT,45,0)</f>
        <v>CORREO ELECTRONICO CERTIFICADO 472</v>
      </c>
    </row>
    <row r="630" ht="14.25" customHeight="1">
      <c r="A630" s="20" t="s">
        <v>1343</v>
      </c>
      <c r="B630" s="20">
        <v>451.0</v>
      </c>
      <c r="C630" s="20">
        <v>450.0</v>
      </c>
      <c r="D630" s="21">
        <v>450.0</v>
      </c>
      <c r="E630" s="20">
        <v>9.0256625E7</v>
      </c>
      <c r="F630" s="20">
        <v>9.0256625E7</v>
      </c>
      <c r="G630" s="20">
        <v>8.90903858E8</v>
      </c>
      <c r="H630" s="20" t="s">
        <v>1344</v>
      </c>
      <c r="I630" s="1" t="str">
        <f>VLOOKUP(C630,'mayo-26'!B:H,7,0)</f>
        <v>VIA EL PORTICO - 0256625</v>
      </c>
      <c r="J630" s="1" t="s">
        <v>1075</v>
      </c>
      <c r="K630" s="10" t="str">
        <f>VLOOKUP(C630,'mayo-26'!B:J,9,0)</f>
        <v>NO</v>
      </c>
      <c r="L630" s="1" t="str">
        <f>VLOOKUP(C630,'mayo-26'!B:K,10,0)</f>
        <v>NO</v>
      </c>
      <c r="M630" s="20" t="s">
        <v>52</v>
      </c>
      <c r="N630" s="20" t="s">
        <v>89</v>
      </c>
      <c r="O630" s="20" t="s">
        <v>861</v>
      </c>
      <c r="P630" s="20" t="s">
        <v>126</v>
      </c>
      <c r="Q630" s="20" t="s">
        <v>56</v>
      </c>
      <c r="R630" s="20" t="s">
        <v>90</v>
      </c>
      <c r="S630" s="20" t="s">
        <v>58</v>
      </c>
      <c r="T630" s="20" t="s">
        <v>59</v>
      </c>
      <c r="U630" s="20">
        <v>2026.0</v>
      </c>
      <c r="V630" s="20">
        <v>6.0</v>
      </c>
      <c r="W630" s="20">
        <v>1.08187556E9</v>
      </c>
      <c r="X630" s="20">
        <v>1.081894032E9</v>
      </c>
      <c r="Y630" s="22">
        <v>46182.0</v>
      </c>
      <c r="Z630" s="22">
        <v>46207.0</v>
      </c>
      <c r="AA630" s="20">
        <v>1411529.28</v>
      </c>
      <c r="AB630" s="20">
        <v>1411529.28</v>
      </c>
      <c r="AC630" s="20">
        <v>470509.76</v>
      </c>
      <c r="AD630" s="20">
        <v>4760.5</v>
      </c>
      <c r="AE630" s="20">
        <v>0.0</v>
      </c>
      <c r="AF630" s="20">
        <v>0.0</v>
      </c>
      <c r="AG630" s="20">
        <v>0.0</v>
      </c>
      <c r="AH630" s="20">
        <v>0.0</v>
      </c>
      <c r="AI630" s="20">
        <v>0.0</v>
      </c>
      <c r="AJ630" s="20">
        <v>1411529.28</v>
      </c>
      <c r="AK630" s="20">
        <v>1411529.28</v>
      </c>
      <c r="AL630" s="20">
        <v>0.0</v>
      </c>
      <c r="AM630" s="20">
        <v>376.2</v>
      </c>
      <c r="AN630" s="20">
        <v>0.0</v>
      </c>
      <c r="AS630" s="11" t="str">
        <f>VLOOKUP(C630,'mayo-26'!B:AS,44,0)</f>
        <v>CARLOS.GUTIERREZP@KOF.COM</v>
      </c>
      <c r="AT630" s="12" t="str">
        <f>VLOOKUP(C630,'mayo-26'!B:AT,45,0)</f>
        <v>CORREO ELECTRONICO CERTIFICADO 472</v>
      </c>
    </row>
    <row r="631" ht="14.25" customHeight="1">
      <c r="A631" s="20" t="s">
        <v>1345</v>
      </c>
      <c r="B631" s="20">
        <v>455.0</v>
      </c>
      <c r="C631" s="20">
        <v>454.0</v>
      </c>
      <c r="D631" s="21">
        <v>454.0</v>
      </c>
      <c r="E631" s="20">
        <v>9.0256727E7</v>
      </c>
      <c r="F631" s="20">
        <v>9.0256727E7</v>
      </c>
      <c r="G631" s="20" t="s">
        <v>1346</v>
      </c>
      <c r="H631" s="20" t="s">
        <v>1347</v>
      </c>
      <c r="I631" s="1" t="str">
        <f>VLOOKUP(C631,'mayo-26'!B:H,7,0)</f>
        <v>CALLE 1N# 9E-155</v>
      </c>
      <c r="J631" s="1" t="s">
        <v>915</v>
      </c>
      <c r="K631" s="10" t="str">
        <f>VLOOKUP(C631,'mayo-26'!B:J,9,0)</f>
        <v>NO</v>
      </c>
      <c r="L631" s="1" t="str">
        <f>VLOOKUP(C631,'mayo-26'!B:K,10,0)</f>
        <v>NO</v>
      </c>
      <c r="M631" s="20" t="s">
        <v>52</v>
      </c>
      <c r="N631" s="20" t="s">
        <v>89</v>
      </c>
      <c r="O631" s="20" t="s">
        <v>861</v>
      </c>
      <c r="P631" s="20" t="s">
        <v>126</v>
      </c>
      <c r="Q631" s="20" t="s">
        <v>56</v>
      </c>
      <c r="R631" s="20" t="s">
        <v>57</v>
      </c>
      <c r="S631" s="20" t="s">
        <v>143</v>
      </c>
      <c r="T631" s="20" t="s">
        <v>59</v>
      </c>
      <c r="U631" s="20">
        <v>2026.0</v>
      </c>
      <c r="V631" s="20">
        <v>6.0</v>
      </c>
      <c r="W631" s="20">
        <v>1.081875564E9</v>
      </c>
      <c r="X631" s="20">
        <v>1.081894036E9</v>
      </c>
      <c r="Y631" s="22">
        <v>46182.0</v>
      </c>
      <c r="Z631" s="22">
        <v>46207.0</v>
      </c>
      <c r="AA631" s="20">
        <v>341744.82</v>
      </c>
      <c r="AB631" s="20">
        <v>341744.82</v>
      </c>
      <c r="AC631" s="20">
        <v>0.0</v>
      </c>
      <c r="AD631" s="20">
        <v>1602.5</v>
      </c>
      <c r="AE631" s="20">
        <v>0.0</v>
      </c>
      <c r="AF631" s="20">
        <v>0.0</v>
      </c>
      <c r="AG631" s="20">
        <v>0.0</v>
      </c>
      <c r="AH631" s="20">
        <v>0.0</v>
      </c>
      <c r="AI631" s="20">
        <v>0.0</v>
      </c>
      <c r="AJ631" s="20">
        <v>341744.82</v>
      </c>
      <c r="AK631" s="20">
        <v>1675352.21</v>
      </c>
      <c r="AL631" s="20">
        <v>4.0</v>
      </c>
      <c r="AM631" s="20">
        <v>250.8</v>
      </c>
      <c r="AN631" s="20">
        <v>0.0</v>
      </c>
      <c r="AS631" s="11" t="str">
        <f>VLOOKUP(C631,'mayo-26'!B:AS,44,0)</f>
        <v>FACTURAELECTRONICA@DAVITACOM.ONMICROSOFT.COM</v>
      </c>
      <c r="AT631" s="12" t="str">
        <f>VLOOKUP(C631,'mayo-26'!B:AT,45,0)</f>
        <v>CORREO ELECTRONICO CERTIFICADO 472</v>
      </c>
    </row>
    <row r="632" ht="14.25" customHeight="1">
      <c r="A632" s="20" t="s">
        <v>1348</v>
      </c>
      <c r="B632" s="20">
        <v>459.0</v>
      </c>
      <c r="C632" s="20">
        <v>458.0</v>
      </c>
      <c r="D632" s="21">
        <v>458.0</v>
      </c>
      <c r="E632" s="20">
        <v>9.0256851E7</v>
      </c>
      <c r="F632" s="20">
        <v>9.0256851E7</v>
      </c>
      <c r="G632" s="20">
        <v>8.07001836E8</v>
      </c>
      <c r="H632" s="20" t="s">
        <v>1349</v>
      </c>
      <c r="I632" s="1" t="str">
        <f>VLOOKUP(C632,'mayo-26'!B:H,7,0)</f>
        <v>DIAGONAL SANTANDER - 0256851</v>
      </c>
      <c r="J632" s="1" t="s">
        <v>443</v>
      </c>
      <c r="K632" s="10" t="str">
        <f>VLOOKUP(C632,'mayo-26'!B:J,9,0)</f>
        <v>NO</v>
      </c>
      <c r="L632" s="1" t="str">
        <f>VLOOKUP(C632,'mayo-26'!B:K,10,0)</f>
        <v>ESTADIO Y PLAZA DE BANDERAS</v>
      </c>
      <c r="M632" s="20" t="s">
        <v>52</v>
      </c>
      <c r="N632" s="20" t="s">
        <v>89</v>
      </c>
      <c r="O632" s="20" t="s">
        <v>861</v>
      </c>
      <c r="P632" s="20" t="s">
        <v>126</v>
      </c>
      <c r="Q632" s="20" t="s">
        <v>56</v>
      </c>
      <c r="R632" s="20" t="s">
        <v>57</v>
      </c>
      <c r="S632" s="20" t="s">
        <v>143</v>
      </c>
      <c r="T632" s="20" t="s">
        <v>59</v>
      </c>
      <c r="U632" s="20">
        <v>2026.0</v>
      </c>
      <c r="V632" s="20">
        <v>6.0</v>
      </c>
      <c r="W632" s="20">
        <v>1.081875568E9</v>
      </c>
      <c r="X632" s="20">
        <v>1.08189404E9</v>
      </c>
      <c r="Y632" s="22">
        <v>46182.0</v>
      </c>
      <c r="Z632" s="22">
        <v>46207.0</v>
      </c>
      <c r="AA632" s="20">
        <v>293829.4</v>
      </c>
      <c r="AB632" s="20">
        <v>293829.4</v>
      </c>
      <c r="AC632" s="20">
        <v>0.0</v>
      </c>
      <c r="AD632" s="20">
        <v>1350.0</v>
      </c>
      <c r="AE632" s="20">
        <v>0.0</v>
      </c>
      <c r="AF632" s="20">
        <v>0.0</v>
      </c>
      <c r="AG632" s="20">
        <v>0.0</v>
      </c>
      <c r="AH632" s="20">
        <v>0.0</v>
      </c>
      <c r="AI632" s="20">
        <v>0.0</v>
      </c>
      <c r="AJ632" s="20">
        <v>0.0</v>
      </c>
      <c r="AK632" s="20">
        <v>0.0</v>
      </c>
      <c r="AL632" s="20">
        <v>0.0</v>
      </c>
      <c r="AM632" s="20">
        <v>250.8</v>
      </c>
      <c r="AN632" s="20">
        <v>0.0</v>
      </c>
      <c r="AQ632" s="20">
        <v>293829.4</v>
      </c>
      <c r="AS632" s="11" t="str">
        <f>VLOOKUP(C632,'mayo-26'!B:AS,44,0)</f>
        <v>SUBDIRECCIONADM@IMRD-CUCUTA.GOV.CO</v>
      </c>
      <c r="AT632" s="12" t="str">
        <f>VLOOKUP(C632,'mayo-26'!B:AT,45,0)</f>
        <v>CORREO ELECTRONICO CERTIFICADO 472</v>
      </c>
    </row>
    <row r="633" ht="14.25" customHeight="1">
      <c r="A633" s="20" t="s">
        <v>1350</v>
      </c>
      <c r="B633" s="20">
        <v>505442.0</v>
      </c>
      <c r="C633" s="20">
        <v>458094.0</v>
      </c>
      <c r="D633" s="21">
        <v>485032.0</v>
      </c>
      <c r="G633" s="20" t="s">
        <v>1351</v>
      </c>
      <c r="H633" s="20" t="s">
        <v>1352</v>
      </c>
      <c r="I633" s="1" t="str">
        <f>VLOOKUP(C633,'mayo-26'!B:H,7,0)</f>
        <v>LC 51 CC JARDIN PLAZA</v>
      </c>
      <c r="J633" s="1" t="s">
        <v>991</v>
      </c>
      <c r="K633" s="10" t="str">
        <f>VLOOKUP(C633,'mayo-26'!B:J,9,0)</f>
        <v>JARDIN PLAZA</v>
      </c>
      <c r="L633" s="1" t="str">
        <f>VLOOKUP(C633,'mayo-26'!B:K,10,0)</f>
        <v>JARDIN PLAZA</v>
      </c>
      <c r="M633" s="20" t="s">
        <v>52</v>
      </c>
      <c r="N633" s="20" t="s">
        <v>89</v>
      </c>
      <c r="O633" s="20" t="s">
        <v>861</v>
      </c>
      <c r="P633" s="20" t="s">
        <v>126</v>
      </c>
      <c r="Q633" s="20" t="s">
        <v>56</v>
      </c>
      <c r="R633" s="20" t="s">
        <v>90</v>
      </c>
      <c r="S633" s="20" t="s">
        <v>143</v>
      </c>
      <c r="T633" s="20" t="s">
        <v>59</v>
      </c>
      <c r="U633" s="20">
        <v>2026.0</v>
      </c>
      <c r="V633" s="20">
        <v>6.0</v>
      </c>
      <c r="W633" s="20">
        <v>1.081875841E9</v>
      </c>
      <c r="X633" s="20">
        <v>1.081894313E9</v>
      </c>
      <c r="Y633" s="22">
        <v>46182.0</v>
      </c>
      <c r="Z633" s="22">
        <v>46207.0</v>
      </c>
      <c r="AA633" s="20">
        <v>128487.44</v>
      </c>
      <c r="AB633" s="20">
        <v>128487.44</v>
      </c>
      <c r="AC633" s="20">
        <v>42829.15</v>
      </c>
      <c r="AD633" s="20">
        <v>253.0</v>
      </c>
      <c r="AE633" s="20">
        <v>0.0</v>
      </c>
      <c r="AF633" s="20">
        <v>0.0</v>
      </c>
      <c r="AG633" s="20">
        <v>0.0</v>
      </c>
      <c r="AH633" s="20">
        <v>0.0</v>
      </c>
      <c r="AI633" s="20">
        <v>0.0</v>
      </c>
      <c r="AJ633" s="20">
        <v>128487.44</v>
      </c>
      <c r="AK633" s="20">
        <v>128487.44</v>
      </c>
      <c r="AL633" s="20">
        <v>0.0</v>
      </c>
      <c r="AM633" s="20">
        <v>376.2</v>
      </c>
      <c r="AN633" s="20">
        <v>0.0</v>
      </c>
      <c r="AS633" s="11" t="str">
        <f>VLOOKUP(C633,'mayo-26'!B:AS,44,0)</f>
        <v>SUBGERENCIA@SAAD.COM.CO</v>
      </c>
      <c r="AT633" s="12" t="str">
        <f>VLOOKUP(C633,'mayo-26'!B:AT,45,0)</f>
        <v>VERIFICADOR</v>
      </c>
    </row>
    <row r="634" ht="14.25" customHeight="1">
      <c r="A634" s="20" t="s">
        <v>1353</v>
      </c>
      <c r="B634" s="20">
        <v>505455.0</v>
      </c>
      <c r="C634" s="20">
        <v>458098.0</v>
      </c>
      <c r="D634" s="21">
        <v>485041.0</v>
      </c>
      <c r="G634" s="20">
        <v>9.00680675E8</v>
      </c>
      <c r="H634" s="20" t="s">
        <v>1354</v>
      </c>
      <c r="I634" s="1" t="str">
        <f>VLOOKUP(C634,'mayo-26'!B:H,7,0)</f>
        <v>LOCAL L 91 CC JARDIN PLAZA</v>
      </c>
      <c r="J634" s="1" t="s">
        <v>991</v>
      </c>
      <c r="K634" s="10" t="str">
        <f>VLOOKUP(C634,'mayo-26'!B:J,9,0)</f>
        <v>JARDIN PLAZA-ADMINISTRACION</v>
      </c>
      <c r="L634" s="1" t="str">
        <f>VLOOKUP(C634,'mayo-26'!B:K,10,0)</f>
        <v>JARDIN PLAZA-ADMINISTRACION</v>
      </c>
      <c r="M634" s="20" t="s">
        <v>52</v>
      </c>
      <c r="N634" s="20" t="s">
        <v>89</v>
      </c>
      <c r="O634" s="20" t="s">
        <v>861</v>
      </c>
      <c r="P634" s="20" t="s">
        <v>126</v>
      </c>
      <c r="Q634" s="20" t="s">
        <v>56</v>
      </c>
      <c r="R634" s="20" t="s">
        <v>90</v>
      </c>
      <c r="S634" s="20" t="s">
        <v>143</v>
      </c>
      <c r="T634" s="20" t="s">
        <v>59</v>
      </c>
      <c r="U634" s="20">
        <v>2026.0</v>
      </c>
      <c r="V634" s="20">
        <v>6.0</v>
      </c>
      <c r="W634" s="20">
        <v>1.081875845E9</v>
      </c>
      <c r="X634" s="20">
        <v>1.081894317E9</v>
      </c>
      <c r="Y634" s="22">
        <v>46182.0</v>
      </c>
      <c r="Z634" s="22">
        <v>46207.0</v>
      </c>
      <c r="AA634" s="20">
        <v>129917.12</v>
      </c>
      <c r="AB634" s="20">
        <v>129917.12</v>
      </c>
      <c r="AC634" s="20">
        <v>42829.15</v>
      </c>
      <c r="AD634" s="20">
        <v>253.0</v>
      </c>
      <c r="AE634" s="20">
        <v>1429.68</v>
      </c>
      <c r="AF634" s="20">
        <v>0.0</v>
      </c>
      <c r="AG634" s="20">
        <v>0.0</v>
      </c>
      <c r="AH634" s="20">
        <v>0.0</v>
      </c>
      <c r="AI634" s="20">
        <v>0.0</v>
      </c>
      <c r="AJ634" s="20">
        <v>129917.12</v>
      </c>
      <c r="AK634" s="20">
        <v>386615.43</v>
      </c>
      <c r="AL634" s="20">
        <v>2.0</v>
      </c>
      <c r="AM634" s="20">
        <v>376.2</v>
      </c>
      <c r="AN634" s="20">
        <v>0.0</v>
      </c>
      <c r="AS634" s="11" t="str">
        <f>VLOOKUP(C634,'mayo-26'!B:AS,44,0)</f>
        <v>AMBIENTAL@JARDINPLAZA.COM</v>
      </c>
      <c r="AT634" s="12" t="str">
        <f>VLOOKUP(C634,'mayo-26'!B:AT,45,0)</f>
        <v>CORREO ELECTRONICO CERTIFICADO 472</v>
      </c>
    </row>
    <row r="635" ht="14.25" customHeight="1">
      <c r="A635" s="20" t="s">
        <v>1355</v>
      </c>
      <c r="B635" s="20">
        <v>511782.0</v>
      </c>
      <c r="C635" s="20">
        <v>461074.0</v>
      </c>
      <c r="D635" s="21">
        <v>489745.0</v>
      </c>
      <c r="G635" s="20" t="s">
        <v>1356</v>
      </c>
      <c r="H635" s="20" t="s">
        <v>1357</v>
      </c>
      <c r="I635" s="1" t="str">
        <f>VLOOKUP(C635,'mayo-26'!B:H,7,0)</f>
        <v>CC JARDIN PLAZA LC L1 L2</v>
      </c>
      <c r="J635" s="1" t="s">
        <v>991</v>
      </c>
      <c r="K635" s="10" t="str">
        <f>VLOOKUP(C635,'mayo-26'!B:J,9,0)</f>
        <v>JARDIN PLAZA</v>
      </c>
      <c r="L635" s="1" t="str">
        <f>VLOOKUP(C635,'mayo-26'!B:K,10,0)</f>
        <v>JARDIN PLAZA</v>
      </c>
      <c r="M635" s="20" t="s">
        <v>52</v>
      </c>
      <c r="N635" s="20" t="s">
        <v>89</v>
      </c>
      <c r="O635" s="20" t="s">
        <v>861</v>
      </c>
      <c r="P635" s="20" t="s">
        <v>126</v>
      </c>
      <c r="Q635" s="20" t="s">
        <v>56</v>
      </c>
      <c r="R635" s="20" t="s">
        <v>90</v>
      </c>
      <c r="S635" s="20" t="s">
        <v>143</v>
      </c>
      <c r="T635" s="20" t="s">
        <v>59</v>
      </c>
      <c r="U635" s="20">
        <v>2026.0</v>
      </c>
      <c r="V635" s="20">
        <v>6.0</v>
      </c>
      <c r="W635" s="20">
        <v>1.081875849E9</v>
      </c>
      <c r="X635" s="20">
        <v>1.081894321E9</v>
      </c>
      <c r="Y635" s="22">
        <v>46182.0</v>
      </c>
      <c r="Z635" s="22">
        <v>46207.0</v>
      </c>
      <c r="AA635" s="20">
        <v>128487.44</v>
      </c>
      <c r="AB635" s="20">
        <v>128487.44</v>
      </c>
      <c r="AC635" s="20">
        <v>42829.15</v>
      </c>
      <c r="AD635" s="20">
        <v>253.0</v>
      </c>
      <c r="AE635" s="20">
        <v>0.0</v>
      </c>
      <c r="AF635" s="20">
        <v>0.0</v>
      </c>
      <c r="AG635" s="20">
        <v>0.0</v>
      </c>
      <c r="AH635" s="20">
        <v>0.0</v>
      </c>
      <c r="AI635" s="20">
        <v>0.0</v>
      </c>
      <c r="AJ635" s="20">
        <v>128487.44</v>
      </c>
      <c r="AK635" s="20">
        <v>128487.44</v>
      </c>
      <c r="AL635" s="20">
        <v>0.0</v>
      </c>
      <c r="AM635" s="20">
        <v>376.2</v>
      </c>
      <c r="AN635" s="20">
        <v>0.0</v>
      </c>
      <c r="AS635" s="11" t="str">
        <f>VLOOKUP(C635,'mayo-26'!B:AS,44,0)</f>
        <v>RECEPCION.FACTURAS.COL@DOLLARCITY.COM</v>
      </c>
      <c r="AT635" s="12" t="str">
        <f>VLOOKUP(C635,'mayo-26'!B:AT,45,0)</f>
        <v>VERIFICADOR</v>
      </c>
    </row>
    <row r="636" ht="14.25" customHeight="1">
      <c r="A636" s="20" t="s">
        <v>1358</v>
      </c>
      <c r="B636" s="20">
        <v>379545.0</v>
      </c>
      <c r="C636" s="20">
        <v>462318.0</v>
      </c>
      <c r="D636" s="21">
        <v>492085.0</v>
      </c>
      <c r="G636" s="20">
        <v>9.01365998E8</v>
      </c>
      <c r="H636" s="20" t="s">
        <v>1359</v>
      </c>
      <c r="I636" s="1" t="str">
        <f>VLOOKUP(C636,'mayo-26'!B:H,7,0)</f>
        <v>CC JARDIN PLAZA L83</v>
      </c>
      <c r="J636" s="1" t="s">
        <v>991</v>
      </c>
      <c r="K636" s="10" t="str">
        <f>VLOOKUP(C636,'mayo-26'!B:J,9,0)</f>
        <v>JARDIN PLAZA</v>
      </c>
      <c r="L636" s="1" t="str">
        <f>VLOOKUP(C636,'mayo-26'!B:K,10,0)</f>
        <v>JARDIN PLAZA</v>
      </c>
      <c r="M636" s="20" t="s">
        <v>52</v>
      </c>
      <c r="N636" s="20" t="s">
        <v>53</v>
      </c>
      <c r="O636" s="20" t="s">
        <v>861</v>
      </c>
      <c r="P636" s="20" t="s">
        <v>126</v>
      </c>
      <c r="Q636" s="20" t="s">
        <v>56</v>
      </c>
      <c r="R636" s="20" t="s">
        <v>90</v>
      </c>
      <c r="S636" s="20" t="s">
        <v>143</v>
      </c>
      <c r="T636" s="20" t="s">
        <v>59</v>
      </c>
      <c r="U636" s="20">
        <v>2026.0</v>
      </c>
      <c r="V636" s="20">
        <v>6.0</v>
      </c>
      <c r="W636" s="20">
        <v>1.081875852E9</v>
      </c>
      <c r="X636" s="20">
        <v>1.081894324E9</v>
      </c>
      <c r="Y636" s="22">
        <v>46182.0</v>
      </c>
      <c r="Z636" s="22">
        <v>46207.0</v>
      </c>
      <c r="AA636" s="20">
        <v>128487.44</v>
      </c>
      <c r="AB636" s="20">
        <v>128487.44</v>
      </c>
      <c r="AC636" s="20">
        <v>42829.15</v>
      </c>
      <c r="AD636" s="20">
        <v>253.0</v>
      </c>
      <c r="AE636" s="20">
        <v>0.0</v>
      </c>
      <c r="AF636" s="20">
        <v>0.0</v>
      </c>
      <c r="AG636" s="20">
        <v>0.0</v>
      </c>
      <c r="AH636" s="20">
        <v>0.0</v>
      </c>
      <c r="AI636" s="20">
        <v>0.0</v>
      </c>
      <c r="AJ636" s="20">
        <v>128487.44</v>
      </c>
      <c r="AK636" s="20">
        <v>128487.44</v>
      </c>
      <c r="AL636" s="20">
        <v>0.0</v>
      </c>
      <c r="AM636" s="20">
        <v>376.2</v>
      </c>
      <c r="AN636" s="20">
        <v>0.0</v>
      </c>
      <c r="AS636" s="11" t="str">
        <f>VLOOKUP(C636,'mayo-26'!B:AS,44,0)</f>
        <v>BACHIRMIREP@HOTMAIL.COM</v>
      </c>
      <c r="AT636" s="12" t="str">
        <f>VLOOKUP(C636,'mayo-26'!B:AT,45,0)</f>
        <v>VERIFICADOR</v>
      </c>
    </row>
    <row r="637" ht="14.25" customHeight="1">
      <c r="A637" s="20" t="s">
        <v>1360</v>
      </c>
      <c r="B637" s="20">
        <v>467.0</v>
      </c>
      <c r="C637" s="20">
        <v>466.0</v>
      </c>
      <c r="D637" s="21">
        <v>466.0</v>
      </c>
      <c r="E637" s="20">
        <v>9.025781E7</v>
      </c>
      <c r="F637" s="20">
        <v>9.025781E7</v>
      </c>
      <c r="G637" s="20">
        <v>8.90501434E8</v>
      </c>
      <c r="H637" s="20" t="s">
        <v>1361</v>
      </c>
      <c r="I637" s="1" t="str">
        <f>VLOOKUP(C637,'mayo-26'!B:H,7,0)</f>
        <v>AGUA CLARA - 0257810</v>
      </c>
      <c r="J637" s="1" t="s">
        <v>1362</v>
      </c>
      <c r="K637" s="10" t="str">
        <f>VLOOKUP(C637,'mayo-26'!B:J,9,0)</f>
        <v>NO</v>
      </c>
      <c r="L637" s="1" t="str">
        <f>VLOOKUP(C637,'mayo-26'!B:K,10,0)</f>
        <v>COLEGIOS ZONA SUR</v>
      </c>
      <c r="M637" s="20" t="s">
        <v>52</v>
      </c>
      <c r="N637" s="20" t="s">
        <v>269</v>
      </c>
      <c r="O637" s="20" t="s">
        <v>861</v>
      </c>
      <c r="P637" s="20" t="s">
        <v>632</v>
      </c>
      <c r="Q637" s="20" t="s">
        <v>56</v>
      </c>
      <c r="R637" s="20" t="s">
        <v>57</v>
      </c>
      <c r="S637" s="20" t="s">
        <v>143</v>
      </c>
      <c r="T637" s="20" t="s">
        <v>59</v>
      </c>
      <c r="U637" s="20">
        <v>2026.0</v>
      </c>
      <c r="V637" s="20">
        <v>6.0</v>
      </c>
      <c r="W637" s="20">
        <v>1.081875572E9</v>
      </c>
      <c r="X637" s="20">
        <v>1.081894044E9</v>
      </c>
      <c r="Y637" s="22">
        <v>46182.0</v>
      </c>
      <c r="Z637" s="22">
        <v>46207.0</v>
      </c>
      <c r="AA637" s="20">
        <v>37662.43</v>
      </c>
      <c r="AB637" s="20">
        <v>37662.43</v>
      </c>
      <c r="AC637" s="20">
        <v>0.0</v>
      </c>
      <c r="AD637" s="20">
        <v>253.0</v>
      </c>
      <c r="AE637" s="20">
        <v>0.0</v>
      </c>
      <c r="AF637" s="20">
        <v>0.0</v>
      </c>
      <c r="AG637" s="20">
        <v>0.0</v>
      </c>
      <c r="AH637" s="20">
        <v>0.0</v>
      </c>
      <c r="AI637" s="20">
        <v>0.0</v>
      </c>
      <c r="AJ637" s="20">
        <v>37662.43</v>
      </c>
      <c r="AK637" s="20">
        <v>112119.1</v>
      </c>
      <c r="AL637" s="20">
        <v>3.0</v>
      </c>
      <c r="AM637" s="20">
        <v>-13894.06</v>
      </c>
      <c r="AN637" s="20">
        <v>0.0</v>
      </c>
      <c r="AS637" s="11" t="str">
        <f>VLOOKUP(C637,'mayo-26'!B:AS,44,0)</f>
        <v>AREAFINANCIERA@SEMCUCUTA.GOV.CO</v>
      </c>
      <c r="AT637" s="12" t="str">
        <f>VLOOKUP(C637,'mayo-26'!B:AT,45,0)</f>
        <v>CARTERA</v>
      </c>
    </row>
    <row r="638" ht="14.25" customHeight="1">
      <c r="A638" s="20" t="s">
        <v>1363</v>
      </c>
      <c r="B638" s="20">
        <v>540609.0</v>
      </c>
      <c r="C638" s="20">
        <v>472234.0</v>
      </c>
      <c r="D638" s="21">
        <v>509895.0</v>
      </c>
      <c r="E638" s="20">
        <v>1131110.0</v>
      </c>
      <c r="F638" s="20">
        <v>1131110.0</v>
      </c>
      <c r="G638" s="20">
        <v>1131110.0</v>
      </c>
      <c r="H638" s="20" t="s">
        <v>1364</v>
      </c>
      <c r="I638" s="1" t="str">
        <f>VLOOKUP(C638,'mayo-26'!B:H,7,0)</f>
        <v>NOA LTE 2 LOC D1 SANTA ANA ANILLO VIAL ORIENTAL 1028</v>
      </c>
      <c r="J638" s="1" t="s">
        <v>869</v>
      </c>
      <c r="K638" s="10" t="str">
        <f>VLOOKUP(C638,'mayo-26'!B:J,9,0)</f>
        <v>NO</v>
      </c>
      <c r="L638" s="1" t="str">
        <f>VLOOKUP(C638,'mayo-26'!B:K,10,0)</f>
        <v>D1</v>
      </c>
      <c r="M638" s="20" t="s">
        <v>52</v>
      </c>
      <c r="N638" s="20" t="s">
        <v>53</v>
      </c>
      <c r="O638" s="20" t="s">
        <v>861</v>
      </c>
      <c r="P638" s="20" t="s">
        <v>126</v>
      </c>
      <c r="Q638" s="20" t="s">
        <v>131</v>
      </c>
      <c r="R638" s="20" t="s">
        <v>132</v>
      </c>
      <c r="S638" s="20" t="s">
        <v>133</v>
      </c>
      <c r="T638" s="20" t="s">
        <v>59</v>
      </c>
      <c r="U638" s="20">
        <v>2026.0</v>
      </c>
      <c r="V638" s="20">
        <v>6.0</v>
      </c>
      <c r="W638" s="20">
        <v>1.081875855E9</v>
      </c>
      <c r="X638" s="20">
        <v>1.081894327E9</v>
      </c>
      <c r="Y638" s="22">
        <v>46182.0</v>
      </c>
      <c r="Z638" s="22">
        <v>46207.0</v>
      </c>
      <c r="AA638" s="20">
        <v>115257.0</v>
      </c>
      <c r="AB638" s="20">
        <v>115257.0</v>
      </c>
      <c r="AC638" s="20">
        <v>38419.0</v>
      </c>
      <c r="AD638" s="20">
        <v>0.0</v>
      </c>
      <c r="AE638" s="20">
        <v>0.0</v>
      </c>
      <c r="AF638" s="20">
        <v>0.0</v>
      </c>
      <c r="AG638" s="20">
        <v>0.0</v>
      </c>
      <c r="AH638" s="20">
        <v>0.0</v>
      </c>
      <c r="AI638" s="20">
        <v>0.0</v>
      </c>
      <c r="AJ638" s="20">
        <v>115257.0</v>
      </c>
      <c r="AK638" s="20">
        <v>345531.0</v>
      </c>
      <c r="AL638" s="20">
        <v>1.0</v>
      </c>
      <c r="AM638" s="20">
        <v>6420.0</v>
      </c>
      <c r="AN638" s="20">
        <v>0.0</v>
      </c>
      <c r="AS638" s="11" t="str">
        <f>VLOOKUP(C638,'mayo-26'!B:AS,44,0)</f>
        <v>ALBA.CELIS@D1.COM.CO;CARMEN.DAVILA@D1.COM.CO</v>
      </c>
      <c r="AT638" s="12" t="str">
        <f>VLOOKUP(C638,'mayo-26'!B:AT,45,0)</f>
        <v>CORREO ELECTRONICO CERTIFICADO 472</v>
      </c>
    </row>
    <row r="639" ht="14.25" customHeight="1">
      <c r="A639" s="20" t="s">
        <v>1365</v>
      </c>
      <c r="B639" s="20">
        <v>545073.0</v>
      </c>
      <c r="C639" s="20">
        <v>473902.0</v>
      </c>
      <c r="D639" s="21">
        <v>513089.0</v>
      </c>
      <c r="G639" s="20" t="s">
        <v>936</v>
      </c>
      <c r="H639" s="20" t="s">
        <v>937</v>
      </c>
      <c r="I639" s="1" t="str">
        <f>VLOOKUP(C639,'mayo-26'!B:H,7,0)</f>
        <v>CC JARDIN PLAZA LC 89</v>
      </c>
      <c r="J639" s="1" t="s">
        <v>991</v>
      </c>
      <c r="K639" s="10" t="str">
        <f>VLOOKUP(C639,'mayo-26'!B:J,9,0)</f>
        <v>JARDIN PLAZA</v>
      </c>
      <c r="L639" s="1" t="str">
        <f>VLOOKUP(C639,'mayo-26'!B:K,10,0)</f>
        <v>JARDIN PLAZA</v>
      </c>
      <c r="M639" s="20" t="s">
        <v>52</v>
      </c>
      <c r="N639" s="20" t="s">
        <v>53</v>
      </c>
      <c r="O639" s="20" t="s">
        <v>861</v>
      </c>
      <c r="P639" s="20" t="s">
        <v>126</v>
      </c>
      <c r="Q639" s="20" t="s">
        <v>56</v>
      </c>
      <c r="R639" s="20" t="s">
        <v>90</v>
      </c>
      <c r="S639" s="20" t="s">
        <v>143</v>
      </c>
      <c r="T639" s="20" t="s">
        <v>59</v>
      </c>
      <c r="U639" s="20">
        <v>2026.0</v>
      </c>
      <c r="V639" s="20">
        <v>6.0</v>
      </c>
      <c r="W639" s="20">
        <v>1.081875858E9</v>
      </c>
      <c r="X639" s="20">
        <v>1.08189433E9</v>
      </c>
      <c r="Y639" s="22">
        <v>46182.0</v>
      </c>
      <c r="Z639" s="22">
        <v>46207.0</v>
      </c>
      <c r="AA639" s="20">
        <v>128487.44</v>
      </c>
      <c r="AB639" s="20">
        <v>128487.44</v>
      </c>
      <c r="AC639" s="20">
        <v>42829.15</v>
      </c>
      <c r="AD639" s="20">
        <v>253.0</v>
      </c>
      <c r="AE639" s="20">
        <v>0.0</v>
      </c>
      <c r="AF639" s="20">
        <v>0.0</v>
      </c>
      <c r="AG639" s="20">
        <v>0.0</v>
      </c>
      <c r="AH639" s="20">
        <v>0.0</v>
      </c>
      <c r="AI639" s="20">
        <v>0.0</v>
      </c>
      <c r="AJ639" s="20">
        <v>128487.44</v>
      </c>
      <c r="AK639" s="20">
        <v>128487.44</v>
      </c>
      <c r="AL639" s="20">
        <v>0.0</v>
      </c>
      <c r="AM639" s="20">
        <v>376.2</v>
      </c>
      <c r="AN639" s="20">
        <v>0.0</v>
      </c>
      <c r="AS639" s="11" t="str">
        <f>VLOOKUP(C639,'mayo-26'!B:AS,44,0)</f>
        <v>CONTABILIDAD@KALOS.COM.CO</v>
      </c>
      <c r="AT639" s="12" t="str">
        <f>VLOOKUP(C639,'mayo-26'!B:AT,45,0)</f>
        <v>VERIFICADOR</v>
      </c>
    </row>
    <row r="640" ht="14.25" customHeight="1">
      <c r="A640" s="20" t="s">
        <v>1366</v>
      </c>
      <c r="B640" s="20">
        <v>479.0</v>
      </c>
      <c r="C640" s="20">
        <v>478.0</v>
      </c>
      <c r="D640" s="21">
        <v>478.0</v>
      </c>
      <c r="E640" s="20">
        <v>9.0259129E7</v>
      </c>
      <c r="F640" s="20">
        <v>9.0259129E7</v>
      </c>
      <c r="G640" s="20" t="s">
        <v>1367</v>
      </c>
      <c r="H640" s="20" t="s">
        <v>1368</v>
      </c>
      <c r="I640" s="1" t="str">
        <f>VLOOKUP(C640,'mayo-26'!B:H,7,0)</f>
        <v>AV 7 8-45 CENTO LOCALES</v>
      </c>
      <c r="J640" s="1" t="s">
        <v>982</v>
      </c>
      <c r="K640" s="10" t="str">
        <f>VLOOKUP(C640,'mayo-26'!B:J,9,0)</f>
        <v>NO</v>
      </c>
      <c r="L640" s="1" t="str">
        <f>VLOOKUP(C640,'mayo-26'!B:K,10,0)</f>
        <v>NO</v>
      </c>
      <c r="M640" s="20" t="s">
        <v>52</v>
      </c>
      <c r="N640" s="20" t="s">
        <v>89</v>
      </c>
      <c r="O640" s="20" t="s">
        <v>861</v>
      </c>
      <c r="P640" s="20" t="s">
        <v>126</v>
      </c>
      <c r="Q640" s="20" t="s">
        <v>56</v>
      </c>
      <c r="R640" s="20" t="s">
        <v>90</v>
      </c>
      <c r="S640" s="20" t="s">
        <v>143</v>
      </c>
      <c r="T640" s="20" t="s">
        <v>59</v>
      </c>
      <c r="U640" s="20">
        <v>2026.0</v>
      </c>
      <c r="V640" s="20">
        <v>6.0</v>
      </c>
      <c r="W640" s="20">
        <v>1.081875578E9</v>
      </c>
      <c r="X640" s="20">
        <v>1.08189405E9</v>
      </c>
      <c r="Y640" s="22">
        <v>46182.0</v>
      </c>
      <c r="Z640" s="22">
        <v>46207.0</v>
      </c>
      <c r="AA640" s="20">
        <v>185887.2</v>
      </c>
      <c r="AB640" s="20">
        <v>185887.2</v>
      </c>
      <c r="AC640" s="20">
        <v>61283.71</v>
      </c>
      <c r="AD640" s="20">
        <v>447.5</v>
      </c>
      <c r="AE640" s="20">
        <v>2036.1</v>
      </c>
      <c r="AF640" s="20">
        <v>0.0</v>
      </c>
      <c r="AG640" s="20">
        <v>0.0</v>
      </c>
      <c r="AH640" s="20">
        <v>0.0</v>
      </c>
      <c r="AI640" s="20">
        <v>0.0</v>
      </c>
      <c r="AJ640" s="20">
        <v>185887.2</v>
      </c>
      <c r="AK640" s="20">
        <v>556663.16</v>
      </c>
      <c r="AL640" s="20">
        <v>3.0</v>
      </c>
      <c r="AM640" s="20">
        <v>376.2</v>
      </c>
      <c r="AN640" s="20">
        <v>0.0</v>
      </c>
      <c r="AS640" s="11" t="str">
        <f>VLOOKUP(C640,'mayo-26'!B:AS,44,0)</f>
        <v>CONSTRUCTORAZARAGOZA2015@GMAIL.COM</v>
      </c>
      <c r="AT640" s="12" t="str">
        <f>VLOOKUP(C640,'mayo-26'!B:AT,45,0)</f>
        <v>CORREO ELECTRONICO CERTIFICADO 472</v>
      </c>
    </row>
    <row r="641" ht="14.25" customHeight="1">
      <c r="A641" s="20" t="s">
        <v>1369</v>
      </c>
      <c r="B641" s="20">
        <v>483.0</v>
      </c>
      <c r="C641" s="20">
        <v>482.0</v>
      </c>
      <c r="D641" s="21">
        <v>482.0</v>
      </c>
      <c r="E641" s="20">
        <v>9.0259373E7</v>
      </c>
      <c r="F641" s="20">
        <v>9.0259373E7</v>
      </c>
      <c r="G641" s="20">
        <v>8.60035827E8</v>
      </c>
      <c r="H641" s="20" t="s">
        <v>1370</v>
      </c>
      <c r="I641" s="1" t="str">
        <f>VLOOKUP(C641,'mayo-26'!B:H,7,0)</f>
        <v>AVENIDA 5 # 10-75 CENTRO</v>
      </c>
      <c r="J641" s="1" t="s">
        <v>860</v>
      </c>
      <c r="K641" s="10" t="str">
        <f>VLOOKUP(C641,'mayo-26'!B:J,9,0)</f>
        <v>NO</v>
      </c>
      <c r="L641" s="1" t="str">
        <f>VLOOKUP(C641,'mayo-26'!B:K,10,0)</f>
        <v>NO</v>
      </c>
      <c r="M641" s="20" t="s">
        <v>52</v>
      </c>
      <c r="N641" s="20" t="s">
        <v>89</v>
      </c>
      <c r="O641" s="20" t="s">
        <v>861</v>
      </c>
      <c r="P641" s="20" t="s">
        <v>126</v>
      </c>
      <c r="Q641" s="20" t="s">
        <v>131</v>
      </c>
      <c r="R641" s="20" t="s">
        <v>132</v>
      </c>
      <c r="S641" s="20" t="s">
        <v>133</v>
      </c>
      <c r="T641" s="20" t="s">
        <v>59</v>
      </c>
      <c r="U641" s="20">
        <v>2026.0</v>
      </c>
      <c r="V641" s="20">
        <v>6.0</v>
      </c>
      <c r="W641" s="20">
        <v>1.081875583E9</v>
      </c>
      <c r="X641" s="20">
        <v>1.081894055E9</v>
      </c>
      <c r="Y641" s="22">
        <v>46182.0</v>
      </c>
      <c r="Z641" s="22">
        <v>46207.0</v>
      </c>
      <c r="AA641" s="20">
        <v>113128.5</v>
      </c>
      <c r="AB641" s="20">
        <v>113128.5</v>
      </c>
      <c r="AC641" s="20">
        <v>37709.5</v>
      </c>
      <c r="AD641" s="20">
        <v>0.0</v>
      </c>
      <c r="AE641" s="20">
        <v>0.0</v>
      </c>
      <c r="AF641" s="20">
        <v>0.0</v>
      </c>
      <c r="AG641" s="20">
        <v>0.0</v>
      </c>
      <c r="AH641" s="20">
        <v>0.0</v>
      </c>
      <c r="AI641" s="20">
        <v>0.0</v>
      </c>
      <c r="AJ641" s="20">
        <v>113128.5</v>
      </c>
      <c r="AK641" s="20">
        <v>113128.5</v>
      </c>
      <c r="AL641" s="20">
        <v>0.0</v>
      </c>
      <c r="AM641" s="20">
        <v>376.2</v>
      </c>
      <c r="AN641" s="20">
        <v>0.0</v>
      </c>
      <c r="AS641" s="11" t="str">
        <f>VLOOKUP(C641,'mayo-26'!B:AS,44,0)</f>
        <v>OVALLOSY@BANCOAVVILLAS.COM.CO</v>
      </c>
      <c r="AT641" s="12" t="str">
        <f>VLOOKUP(C641,'mayo-26'!B:AT,45,0)</f>
        <v>CORREO ELECTRONICO CERTIFICADO 472</v>
      </c>
    </row>
    <row r="642" ht="14.25" customHeight="1">
      <c r="A642" s="20" t="s">
        <v>1371</v>
      </c>
      <c r="B642" s="20">
        <v>632.0</v>
      </c>
      <c r="C642" s="20">
        <v>486.0</v>
      </c>
      <c r="D642" s="21">
        <v>486.0</v>
      </c>
      <c r="E642" s="20">
        <v>9.0260602E7</v>
      </c>
      <c r="F642" s="20">
        <v>9.0260602E7</v>
      </c>
      <c r="G642" s="20">
        <v>8.90107487E8</v>
      </c>
      <c r="H642" s="20" t="s">
        <v>1121</v>
      </c>
      <c r="I642" s="1" t="str">
        <f>VLOOKUP(C642,'mayo-26'!B:H,7,0)</f>
        <v>AV 0 1AN-37</v>
      </c>
      <c r="J642" s="1" t="s">
        <v>910</v>
      </c>
      <c r="K642" s="10" t="str">
        <f>VLOOKUP(C642,'mayo-26'!B:J,9,0)</f>
        <v>NO</v>
      </c>
      <c r="L642" s="1" t="str">
        <f>VLOOKUP(C642,'mayo-26'!B:K,10,0)</f>
        <v>OLIMPICA</v>
      </c>
      <c r="M642" s="20" t="s">
        <v>52</v>
      </c>
      <c r="N642" s="20" t="s">
        <v>53</v>
      </c>
      <c r="O642" s="20" t="s">
        <v>861</v>
      </c>
      <c r="P642" s="20" t="s">
        <v>126</v>
      </c>
      <c r="Q642" s="20" t="s">
        <v>56</v>
      </c>
      <c r="R642" s="20" t="s">
        <v>90</v>
      </c>
      <c r="S642" s="20" t="s">
        <v>143</v>
      </c>
      <c r="T642" s="20" t="s">
        <v>59</v>
      </c>
      <c r="U642" s="20">
        <v>2026.0</v>
      </c>
      <c r="V642" s="20">
        <v>6.0</v>
      </c>
      <c r="W642" s="20">
        <v>1.081875588E9</v>
      </c>
      <c r="X642" s="20">
        <v>1.08189406E9</v>
      </c>
      <c r="Y642" s="22">
        <v>46182.0</v>
      </c>
      <c r="Z642" s="22">
        <v>46207.0</v>
      </c>
      <c r="AA642" s="20">
        <v>554602.51</v>
      </c>
      <c r="AB642" s="20">
        <v>554602.51</v>
      </c>
      <c r="AC642" s="20">
        <v>184867.51</v>
      </c>
      <c r="AD642" s="20">
        <v>1750.0</v>
      </c>
      <c r="AE642" s="20">
        <v>0.0</v>
      </c>
      <c r="AF642" s="20">
        <v>0.0</v>
      </c>
      <c r="AG642" s="20">
        <v>0.0</v>
      </c>
      <c r="AH642" s="20">
        <v>0.0</v>
      </c>
      <c r="AI642" s="20">
        <v>0.0</v>
      </c>
      <c r="AJ642" s="20">
        <v>554602.51</v>
      </c>
      <c r="AK642" s="20">
        <v>554602.51</v>
      </c>
      <c r="AL642" s="20">
        <v>0.0</v>
      </c>
      <c r="AM642" s="20">
        <v>376.2</v>
      </c>
      <c r="AN642" s="20">
        <v>0.0</v>
      </c>
      <c r="AS642" s="11" t="str">
        <f>VLOOKUP(C642,'mayo-26'!B:AS,44,0)</f>
        <v>MSANCHEZ@OLIMPICA.COM.CO</v>
      </c>
      <c r="AT642" s="12" t="str">
        <f>VLOOKUP(C642,'mayo-26'!B:AT,45,0)</f>
        <v>CORREO ELECTRONICO CERTIFICADO 472</v>
      </c>
    </row>
    <row r="643" ht="14.25" customHeight="1">
      <c r="A643" s="20" t="s">
        <v>1372</v>
      </c>
      <c r="B643" s="20">
        <v>495.0</v>
      </c>
      <c r="C643" s="20">
        <v>494.0</v>
      </c>
      <c r="D643" s="21">
        <v>494.0</v>
      </c>
      <c r="E643" s="20">
        <v>9.0266585E7</v>
      </c>
      <c r="F643" s="20">
        <v>9.0266585E7</v>
      </c>
      <c r="G643" s="20" t="s">
        <v>1373</v>
      </c>
      <c r="H643" s="20" t="s">
        <v>1374</v>
      </c>
      <c r="I643" s="1" t="str">
        <f>VLOOKUP(C643,'mayo-26'!B:H,7,0)</f>
        <v>CL. 12A # 1E-24</v>
      </c>
      <c r="J643" s="1" t="s">
        <v>942</v>
      </c>
      <c r="K643" s="10" t="str">
        <f>VLOOKUP(C643,'mayo-26'!B:J,9,0)</f>
        <v>NO</v>
      </c>
      <c r="L643" s="1" t="str">
        <f>VLOOKUP(C643,'mayo-26'!B:K,10,0)</f>
        <v>NO</v>
      </c>
      <c r="M643" s="20" t="s">
        <v>52</v>
      </c>
      <c r="N643" s="20" t="s">
        <v>89</v>
      </c>
      <c r="O643" s="20" t="s">
        <v>861</v>
      </c>
      <c r="P643" s="20" t="s">
        <v>126</v>
      </c>
      <c r="Q643" s="20" t="s">
        <v>131</v>
      </c>
      <c r="R643" s="20" t="s">
        <v>538</v>
      </c>
      <c r="S643" s="20" t="s">
        <v>133</v>
      </c>
      <c r="T643" s="20" t="s">
        <v>59</v>
      </c>
      <c r="U643" s="20">
        <v>2026.0</v>
      </c>
      <c r="V643" s="20">
        <v>6.0</v>
      </c>
      <c r="W643" s="20">
        <v>1.081875592E9</v>
      </c>
      <c r="X643" s="20">
        <v>1.081894064E9</v>
      </c>
      <c r="Y643" s="22">
        <v>46182.0</v>
      </c>
      <c r="Z643" s="22">
        <v>46207.0</v>
      </c>
      <c r="AA643" s="20">
        <v>94248.0</v>
      </c>
      <c r="AB643" s="20">
        <v>94248.0</v>
      </c>
      <c r="AC643" s="20">
        <v>31416.0</v>
      </c>
      <c r="AD643" s="20">
        <v>0.0</v>
      </c>
      <c r="AE643" s="20">
        <v>0.0</v>
      </c>
      <c r="AF643" s="20">
        <v>0.0</v>
      </c>
      <c r="AG643" s="20">
        <v>0.0</v>
      </c>
      <c r="AH643" s="20">
        <v>0.0</v>
      </c>
      <c r="AI643" s="20">
        <v>0.0</v>
      </c>
      <c r="AJ643" s="20">
        <v>94248.0</v>
      </c>
      <c r="AK643" s="20">
        <v>94248.0</v>
      </c>
      <c r="AL643" s="20">
        <v>0.0</v>
      </c>
      <c r="AM643" s="20">
        <v>376.2</v>
      </c>
      <c r="AN643" s="20">
        <v>0.0</v>
      </c>
      <c r="AS643" s="11" t="str">
        <f>VLOOKUP(C643,'mayo-26'!B:AS,44,0)</f>
        <v>ARJELY.MIRANDA@IDIME.COM.CO</v>
      </c>
      <c r="AT643" s="12" t="str">
        <f>VLOOKUP(C643,'mayo-26'!B:AT,45,0)</f>
        <v>CORREO ELECTRONICO CERTIFICADO 472</v>
      </c>
    </row>
    <row r="644" ht="14.25" customHeight="1">
      <c r="A644" s="20" t="s">
        <v>1375</v>
      </c>
      <c r="B644" s="20">
        <v>285191.0</v>
      </c>
      <c r="C644" s="20">
        <v>49722.0</v>
      </c>
      <c r="D644" s="21">
        <v>49722.0</v>
      </c>
      <c r="E644" s="20">
        <v>315839.0</v>
      </c>
      <c r="F644" s="20">
        <v>315839.0</v>
      </c>
      <c r="G644" s="20">
        <v>9.00276962E8</v>
      </c>
      <c r="H644" s="20" t="s">
        <v>128</v>
      </c>
      <c r="I644" s="1" t="str">
        <f>VLOOKUP(C644,'mayo-26'!B:H,7,0)</f>
        <v>KDX 73-2 1116</v>
      </c>
      <c r="J644" s="1" t="s">
        <v>443</v>
      </c>
      <c r="K644" s="10" t="str">
        <f>VLOOKUP(C644,'mayo-26'!B:J,9,0)</f>
        <v>NO</v>
      </c>
      <c r="L644" s="1" t="str">
        <f>VLOOKUP(C644,'mayo-26'!B:K,10,0)</f>
        <v>D1</v>
      </c>
      <c r="M644" s="20" t="s">
        <v>52</v>
      </c>
      <c r="N644" s="20" t="s">
        <v>89</v>
      </c>
      <c r="O644" s="20" t="s">
        <v>861</v>
      </c>
      <c r="P644" s="20" t="s">
        <v>126</v>
      </c>
      <c r="Q644" s="20" t="s">
        <v>131</v>
      </c>
      <c r="R644" s="20" t="s">
        <v>132</v>
      </c>
      <c r="S644" s="20" t="s">
        <v>133</v>
      </c>
      <c r="T644" s="20" t="s">
        <v>59</v>
      </c>
      <c r="U644" s="20">
        <v>2026.0</v>
      </c>
      <c r="V644" s="20">
        <v>6.0</v>
      </c>
      <c r="W644" s="20">
        <v>1.081875709E9</v>
      </c>
      <c r="X644" s="20">
        <v>1.081894181E9</v>
      </c>
      <c r="Y644" s="22">
        <v>46182.0</v>
      </c>
      <c r="Z644" s="22">
        <v>46207.0</v>
      </c>
      <c r="AA644" s="20">
        <v>114383.85</v>
      </c>
      <c r="AB644" s="20">
        <v>114383.85</v>
      </c>
      <c r="AC644" s="20">
        <v>37709.5</v>
      </c>
      <c r="AD644" s="20">
        <v>0.0</v>
      </c>
      <c r="AE644" s="20">
        <v>1255.35</v>
      </c>
      <c r="AF644" s="20">
        <v>0.0</v>
      </c>
      <c r="AG644" s="20">
        <v>0.0</v>
      </c>
      <c r="AH644" s="20">
        <v>0.0</v>
      </c>
      <c r="AI644" s="20">
        <v>0.0</v>
      </c>
      <c r="AJ644" s="20">
        <v>114383.85</v>
      </c>
      <c r="AK644" s="20">
        <v>340180.35</v>
      </c>
      <c r="AL644" s="20">
        <v>2.0</v>
      </c>
      <c r="AM644" s="20">
        <v>376.2</v>
      </c>
      <c r="AN644" s="20">
        <v>0.0</v>
      </c>
      <c r="AS644" s="11" t="str">
        <f>VLOOKUP(C644,'mayo-26'!B:AS,44,0)</f>
        <v>ALBA.CELIS@D1.COM.CO;CARMEN.DAVILA@D1.COM.CO</v>
      </c>
      <c r="AT644" s="12" t="str">
        <f>VLOOKUP(C644,'mayo-26'!B:AT,45,0)</f>
        <v>CORREO ELECTRONICO CERTIFICADO 472</v>
      </c>
    </row>
    <row r="645" ht="14.25" customHeight="1">
      <c r="A645" s="20" t="s">
        <v>1376</v>
      </c>
      <c r="B645" s="20">
        <v>593973.0</v>
      </c>
      <c r="C645" s="20">
        <v>497906.0</v>
      </c>
      <c r="D645" s="21">
        <v>550649.0</v>
      </c>
      <c r="G645" s="20">
        <v>1.098740363E9</v>
      </c>
      <c r="H645" s="20" t="s">
        <v>1377</v>
      </c>
      <c r="I645" s="1" t="str">
        <f>VLOOKUP(C645,'mayo-26'!B:H,7,0)</f>
        <v>LOCAL L8 CC JARDIN PLAZA</v>
      </c>
      <c r="J645" s="1" t="s">
        <v>991</v>
      </c>
      <c r="K645" s="10" t="str">
        <f>VLOOKUP(C645,'mayo-26'!B:J,9,0)</f>
        <v>JARDIN PLAZA</v>
      </c>
      <c r="L645" s="1" t="str">
        <f>VLOOKUP(C645,'mayo-26'!B:K,10,0)</f>
        <v>JARDIN PLAZA</v>
      </c>
      <c r="M645" s="20" t="s">
        <v>52</v>
      </c>
      <c r="N645" s="20" t="s">
        <v>89</v>
      </c>
      <c r="O645" s="20" t="s">
        <v>861</v>
      </c>
      <c r="P645" s="20" t="s">
        <v>126</v>
      </c>
      <c r="Q645" s="20" t="s">
        <v>131</v>
      </c>
      <c r="R645" s="20" t="s">
        <v>363</v>
      </c>
      <c r="S645" s="20" t="s">
        <v>133</v>
      </c>
      <c r="T645" s="20" t="s">
        <v>59</v>
      </c>
      <c r="U645" s="20">
        <v>2026.0</v>
      </c>
      <c r="V645" s="20">
        <v>6.0</v>
      </c>
      <c r="W645" s="20">
        <v>1.081875861E9</v>
      </c>
      <c r="X645" s="20">
        <v>1.081894333E9</v>
      </c>
      <c r="Y645" s="22">
        <v>46182.0</v>
      </c>
      <c r="Z645" s="22">
        <v>46207.0</v>
      </c>
      <c r="AA645" s="20">
        <v>75366.0</v>
      </c>
      <c r="AB645" s="20">
        <v>75366.0</v>
      </c>
      <c r="AC645" s="20">
        <v>25122.0</v>
      </c>
      <c r="AD645" s="20">
        <v>0.0</v>
      </c>
      <c r="AE645" s="20">
        <v>0.0</v>
      </c>
      <c r="AF645" s="20">
        <v>0.0</v>
      </c>
      <c r="AG645" s="20">
        <v>0.0</v>
      </c>
      <c r="AH645" s="20">
        <v>0.0</v>
      </c>
      <c r="AI645" s="20">
        <v>0.0</v>
      </c>
      <c r="AJ645" s="20">
        <v>75366.0</v>
      </c>
      <c r="AK645" s="20">
        <v>75366.0</v>
      </c>
      <c r="AL645" s="20">
        <v>0.0</v>
      </c>
      <c r="AM645" s="20">
        <v>376.2</v>
      </c>
      <c r="AN645" s="20">
        <v>0.0</v>
      </c>
      <c r="AS645" s="11" t="str">
        <f>VLOOKUP(C645,'mayo-26'!B:AS,44,0)</f>
        <v>CUCUTA@AGUABENDITA.COM.CO;NICOLE.BERGSNEIDER@GMAIL.COM</v>
      </c>
      <c r="AT645" s="12" t="str">
        <f>VLOOKUP(C645,'mayo-26'!B:AT,45,0)</f>
        <v>VERIFICADOR</v>
      </c>
    </row>
    <row r="646" ht="14.25" customHeight="1">
      <c r="A646" s="20" t="s">
        <v>1378</v>
      </c>
      <c r="B646" s="20">
        <v>499.0</v>
      </c>
      <c r="C646" s="20">
        <v>498.0</v>
      </c>
      <c r="D646" s="21">
        <v>498.0</v>
      </c>
      <c r="E646" s="20">
        <v>9.0267308E7</v>
      </c>
      <c r="F646" s="20">
        <v>9.0267308E7</v>
      </c>
      <c r="G646" s="20">
        <v>9.00531571E8</v>
      </c>
      <c r="H646" s="20" t="s">
        <v>1379</v>
      </c>
      <c r="I646" s="1" t="str">
        <f>VLOOKUP(C646,'mayo-26'!B:H,7,0)</f>
        <v>CLL 6 ENTRE AVE 6 Y 7</v>
      </c>
      <c r="J646" s="1" t="s">
        <v>982</v>
      </c>
      <c r="K646" s="10" t="str">
        <f>VLOOKUP(C646,'mayo-26'!B:J,9,0)</f>
        <v>NO</v>
      </c>
      <c r="L646" s="1" t="str">
        <f>VLOOKUP(C646,'mayo-26'!B:K,10,0)</f>
        <v>NO</v>
      </c>
      <c r="M646" s="20" t="s">
        <v>52</v>
      </c>
      <c r="N646" s="20" t="s">
        <v>89</v>
      </c>
      <c r="O646" s="20" t="s">
        <v>861</v>
      </c>
      <c r="P646" s="20" t="s">
        <v>126</v>
      </c>
      <c r="Q646" s="20" t="s">
        <v>56</v>
      </c>
      <c r="R646" s="20" t="s">
        <v>90</v>
      </c>
      <c r="S646" s="20" t="s">
        <v>143</v>
      </c>
      <c r="T646" s="20" t="s">
        <v>59</v>
      </c>
      <c r="U646" s="20">
        <v>2026.0</v>
      </c>
      <c r="V646" s="20">
        <v>6.0</v>
      </c>
      <c r="W646" s="20">
        <v>1.081875598E9</v>
      </c>
      <c r="X646" s="20">
        <v>1.08189407E9</v>
      </c>
      <c r="Y646" s="22">
        <v>46182.0</v>
      </c>
      <c r="Z646" s="22">
        <v>46207.0</v>
      </c>
      <c r="AA646" s="20">
        <v>868651.07</v>
      </c>
      <c r="AB646" s="20">
        <v>868651.07</v>
      </c>
      <c r="AC646" s="20">
        <v>184867.51</v>
      </c>
      <c r="AD646" s="20">
        <v>1750.0</v>
      </c>
      <c r="AE646" s="20">
        <v>314048.56</v>
      </c>
      <c r="AF646" s="20">
        <v>0.0</v>
      </c>
      <c r="AG646" s="20">
        <v>0.0</v>
      </c>
      <c r="AH646" s="20">
        <v>0.0</v>
      </c>
      <c r="AI646" s="20">
        <v>0.0</v>
      </c>
      <c r="AJ646" s="20">
        <v>868651.07</v>
      </c>
      <c r="AK646" s="20">
        <v>1.988480222E7</v>
      </c>
      <c r="AL646" s="20">
        <v>13.0</v>
      </c>
      <c r="AM646" s="20">
        <v>376.2</v>
      </c>
      <c r="AN646" s="20">
        <v>0.0</v>
      </c>
      <c r="AS646" s="11" t="str">
        <f>VLOOKUP(C646,'mayo-26'!B:AS,44,0)</f>
        <v>CONTABILIDAD@CCMERCEDES.COM</v>
      </c>
      <c r="AT646" s="12" t="str">
        <f>VLOOKUP(C646,'mayo-26'!B:AT,45,0)</f>
        <v>CORREO ELECTRONICO CERTIFICADO 472</v>
      </c>
    </row>
    <row r="647" ht="14.25" customHeight="1">
      <c r="A647" s="20" t="s">
        <v>1380</v>
      </c>
      <c r="B647" s="20">
        <v>596830.0</v>
      </c>
      <c r="C647" s="20">
        <v>499138.0</v>
      </c>
      <c r="D647" s="21">
        <v>553199.0</v>
      </c>
      <c r="G647" s="20">
        <v>8.90936785E8</v>
      </c>
      <c r="H647" s="20" t="s">
        <v>1381</v>
      </c>
      <c r="I647" s="1">
        <f>VLOOKUP(C647,'mayo-26'!B:H,7,0)</f>
        <v>0</v>
      </c>
      <c r="J647" s="1" t="s">
        <v>991</v>
      </c>
      <c r="K647" s="10" t="str">
        <f>VLOOKUP(C647,'mayo-26'!B:J,9,0)</f>
        <v>JARDIN PLAZA</v>
      </c>
      <c r="L647" s="1" t="str">
        <f>VLOOKUP(C647,'mayo-26'!B:K,10,0)</f>
        <v>JARDIN PLAZA</v>
      </c>
      <c r="M647" s="20" t="s">
        <v>52</v>
      </c>
      <c r="N647" s="20" t="s">
        <v>53</v>
      </c>
      <c r="O647" s="20" t="s">
        <v>861</v>
      </c>
      <c r="P647" s="20" t="s">
        <v>126</v>
      </c>
      <c r="Q647" s="20" t="s">
        <v>131</v>
      </c>
      <c r="R647" s="20" t="s">
        <v>363</v>
      </c>
      <c r="S647" s="20" t="s">
        <v>133</v>
      </c>
      <c r="T647" s="20" t="s">
        <v>59</v>
      </c>
      <c r="U647" s="20">
        <v>2026.0</v>
      </c>
      <c r="V647" s="20">
        <v>6.0</v>
      </c>
      <c r="W647" s="20">
        <v>1.081875863E9</v>
      </c>
      <c r="X647" s="20">
        <v>1.081894335E9</v>
      </c>
      <c r="Y647" s="22">
        <v>46182.0</v>
      </c>
      <c r="Z647" s="22">
        <v>46207.0</v>
      </c>
      <c r="AA647" s="20">
        <v>77494.5</v>
      </c>
      <c r="AB647" s="20">
        <v>77494.5</v>
      </c>
      <c r="AC647" s="20">
        <v>25831.5</v>
      </c>
      <c r="AD647" s="20">
        <v>0.0</v>
      </c>
      <c r="AE647" s="20">
        <v>0.0</v>
      </c>
      <c r="AF647" s="20">
        <v>0.0</v>
      </c>
      <c r="AG647" s="20">
        <v>0.0</v>
      </c>
      <c r="AH647" s="20">
        <v>0.0</v>
      </c>
      <c r="AI647" s="20">
        <v>0.0</v>
      </c>
      <c r="AJ647" s="20">
        <v>77494.5</v>
      </c>
      <c r="AK647" s="20">
        <v>77494.5</v>
      </c>
      <c r="AL647" s="20">
        <v>0.0</v>
      </c>
      <c r="AM647" s="20">
        <v>6420.0</v>
      </c>
      <c r="AN647" s="20">
        <v>0.0</v>
      </c>
      <c r="AS647" s="11" t="str">
        <f>VLOOKUP(C647,'mayo-26'!B:AS,44,0)</f>
        <v/>
      </c>
      <c r="AT647" s="12" t="str">
        <f>VLOOKUP(C647,'mayo-26'!B:AT,45,0)</f>
        <v>VERIFICADOR</v>
      </c>
    </row>
    <row r="648" ht="14.25" customHeight="1">
      <c r="A648" s="20" t="s">
        <v>1382</v>
      </c>
      <c r="B648" s="20">
        <v>503.0</v>
      </c>
      <c r="C648" s="20">
        <v>502.0</v>
      </c>
      <c r="D648" s="21">
        <v>502.0</v>
      </c>
      <c r="E648" s="20">
        <v>9.0267772E7</v>
      </c>
      <c r="F648" s="20">
        <v>9.0267772E7</v>
      </c>
      <c r="G648" s="20" t="s">
        <v>258</v>
      </c>
      <c r="H648" s="20" t="s">
        <v>259</v>
      </c>
      <c r="I648" s="1" t="str">
        <f>VLOOKUP(C648,'mayo-26'!B:H,7,0)</f>
        <v>CLL 10 0E-51 SUB 4 ARM 8 LOCAL 1</v>
      </c>
      <c r="J648" s="1" t="s">
        <v>982</v>
      </c>
      <c r="K648" s="10" t="str">
        <f>VLOOKUP(C648,'mayo-26'!B:J,9,0)</f>
        <v>NO</v>
      </c>
      <c r="L648" s="1" t="str">
        <f>VLOOKUP(C648,'mayo-26'!B:K,10,0)</f>
        <v>VERTEBRA</v>
      </c>
      <c r="M648" s="20" t="s">
        <v>52</v>
      </c>
      <c r="N648" s="20" t="s">
        <v>89</v>
      </c>
      <c r="O648" s="20" t="s">
        <v>861</v>
      </c>
      <c r="P648" s="20" t="s">
        <v>126</v>
      </c>
      <c r="Q648" s="20" t="s">
        <v>131</v>
      </c>
      <c r="R648" s="20" t="s">
        <v>132</v>
      </c>
      <c r="S648" s="20" t="s">
        <v>133</v>
      </c>
      <c r="T648" s="20" t="s">
        <v>59</v>
      </c>
      <c r="U648" s="20">
        <v>2026.0</v>
      </c>
      <c r="V648" s="20">
        <v>6.0</v>
      </c>
      <c r="W648" s="20">
        <v>1.081875603E9</v>
      </c>
      <c r="X648" s="20">
        <v>1.081894075E9</v>
      </c>
      <c r="Y648" s="22">
        <v>46182.0</v>
      </c>
      <c r="Z648" s="22">
        <v>46207.0</v>
      </c>
      <c r="AA648" s="20">
        <v>113128.5</v>
      </c>
      <c r="AB648" s="20">
        <v>113128.5</v>
      </c>
      <c r="AC648" s="20">
        <v>37709.5</v>
      </c>
      <c r="AD648" s="20">
        <v>0.0</v>
      </c>
      <c r="AE648" s="20">
        <v>0.0</v>
      </c>
      <c r="AF648" s="20">
        <v>0.0</v>
      </c>
      <c r="AG648" s="20">
        <v>0.0</v>
      </c>
      <c r="AH648" s="20">
        <v>0.0</v>
      </c>
      <c r="AI648" s="20">
        <v>0.0</v>
      </c>
      <c r="AJ648" s="20">
        <v>113128.5</v>
      </c>
      <c r="AK648" s="20">
        <v>113128.5</v>
      </c>
      <c r="AL648" s="20">
        <v>0.0</v>
      </c>
      <c r="AM648" s="20">
        <v>376.2</v>
      </c>
      <c r="AN648" s="20">
        <v>0.0</v>
      </c>
      <c r="AS648" s="11" t="str">
        <f>VLOOKUP(C648,'mayo-26'!B:AS,44,0)</f>
        <v>FACTURAS@VERTEBRA.TECH</v>
      </c>
      <c r="AT648" s="12" t="str">
        <f>VLOOKUP(C648,'mayo-26'!B:AT,45,0)</f>
        <v>CORREO ELECTRONICO CERTIFICADO 472</v>
      </c>
    </row>
    <row r="649" ht="14.25" customHeight="1">
      <c r="A649" s="20" t="s">
        <v>1383</v>
      </c>
      <c r="B649" s="20">
        <v>632.0</v>
      </c>
      <c r="C649" s="20">
        <v>574.0</v>
      </c>
      <c r="D649" s="21">
        <v>574.0</v>
      </c>
      <c r="E649" s="20">
        <v>9.0274055E7</v>
      </c>
      <c r="F649" s="20">
        <v>9.0274055E7</v>
      </c>
      <c r="G649" s="20">
        <v>8.90107487E8</v>
      </c>
      <c r="H649" s="20" t="s">
        <v>1121</v>
      </c>
      <c r="I649" s="1" t="str">
        <f>VLOOKUP(C649,'mayo-26'!B:H,7,0)</f>
        <v>AV 0 1AN-37</v>
      </c>
      <c r="J649" s="1" t="s">
        <v>982</v>
      </c>
      <c r="K649" s="10" t="str">
        <f>VLOOKUP(C649,'mayo-26'!B:J,9,0)</f>
        <v>NO</v>
      </c>
      <c r="L649" s="1" t="str">
        <f>VLOOKUP(C649,'mayo-26'!B:K,10,0)</f>
        <v>OLIMPICA</v>
      </c>
      <c r="M649" s="20" t="s">
        <v>52</v>
      </c>
      <c r="N649" s="20" t="s">
        <v>53</v>
      </c>
      <c r="O649" s="20" t="s">
        <v>861</v>
      </c>
      <c r="P649" s="20" t="s">
        <v>126</v>
      </c>
      <c r="Q649" s="20" t="s">
        <v>56</v>
      </c>
      <c r="R649" s="20" t="s">
        <v>90</v>
      </c>
      <c r="S649" s="20" t="s">
        <v>143</v>
      </c>
      <c r="T649" s="20" t="s">
        <v>59</v>
      </c>
      <c r="U649" s="20">
        <v>2026.0</v>
      </c>
      <c r="V649" s="20">
        <v>6.0</v>
      </c>
      <c r="W649" s="20">
        <v>1.081875607E9</v>
      </c>
      <c r="X649" s="20">
        <v>1.081894079E9</v>
      </c>
      <c r="Y649" s="22">
        <v>46182.0</v>
      </c>
      <c r="Z649" s="22">
        <v>46207.0</v>
      </c>
      <c r="AA649" s="20">
        <v>1118201.59</v>
      </c>
      <c r="AB649" s="20">
        <v>1118201.59</v>
      </c>
      <c r="AC649" s="20">
        <v>372733.87</v>
      </c>
      <c r="AD649" s="20">
        <v>3730.0</v>
      </c>
      <c r="AE649" s="20">
        <v>0.0</v>
      </c>
      <c r="AF649" s="20">
        <v>0.0</v>
      </c>
      <c r="AG649" s="20">
        <v>0.0</v>
      </c>
      <c r="AH649" s="20">
        <v>0.0</v>
      </c>
      <c r="AI649" s="20">
        <v>0.0</v>
      </c>
      <c r="AJ649" s="20">
        <v>1118201.59</v>
      </c>
      <c r="AK649" s="20">
        <v>1118201.59</v>
      </c>
      <c r="AL649" s="20">
        <v>0.0</v>
      </c>
      <c r="AM649" s="20">
        <v>376.2</v>
      </c>
      <c r="AN649" s="20">
        <v>0.0</v>
      </c>
      <c r="AS649" s="11" t="str">
        <f>VLOOKUP(C649,'mayo-26'!B:AS,44,0)</f>
        <v>MSANCHEZ@OLIMPICA.COM.CO</v>
      </c>
      <c r="AT649" s="12" t="str">
        <f>VLOOKUP(C649,'mayo-26'!B:AT,45,0)</f>
        <v>CORREO ELECTRONICO CERTIFICADO 472</v>
      </c>
    </row>
    <row r="650" ht="14.25" customHeight="1">
      <c r="A650" s="20" t="s">
        <v>1384</v>
      </c>
      <c r="B650" s="20">
        <v>147.0</v>
      </c>
      <c r="C650" s="20">
        <v>578.0</v>
      </c>
      <c r="D650" s="21">
        <v>578.0</v>
      </c>
      <c r="E650" s="20">
        <v>9.0274086E7</v>
      </c>
      <c r="F650" s="20">
        <v>9.0274086E7</v>
      </c>
      <c r="G650" s="20" t="s">
        <v>179</v>
      </c>
      <c r="H650" s="20" t="s">
        <v>180</v>
      </c>
      <c r="I650" s="1" t="str">
        <f>VLOOKUP(C650,'mayo-26'!B:H,7,0)</f>
        <v>AVE 3 CLL 24 GARITA # 1</v>
      </c>
      <c r="J650" s="1" t="s">
        <v>982</v>
      </c>
      <c r="K650" s="10" t="str">
        <f>VLOOKUP(C650,'mayo-26'!B:J,9,0)</f>
        <v>NO</v>
      </c>
      <c r="L650" s="1" t="str">
        <f>VLOOKUP(C650,'mayo-26'!B:K,10,0)</f>
        <v>POLICIA</v>
      </c>
      <c r="M650" s="20" t="s">
        <v>52</v>
      </c>
      <c r="N650" s="20" t="s">
        <v>89</v>
      </c>
      <c r="O650" s="20" t="s">
        <v>861</v>
      </c>
      <c r="P650" s="20" t="s">
        <v>126</v>
      </c>
      <c r="Q650" s="20" t="s">
        <v>131</v>
      </c>
      <c r="R650" s="20" t="s">
        <v>1111</v>
      </c>
      <c r="S650" s="20" t="s">
        <v>133</v>
      </c>
      <c r="T650" s="20" t="s">
        <v>59</v>
      </c>
      <c r="U650" s="20">
        <v>2026.0</v>
      </c>
      <c r="V650" s="20">
        <v>6.0</v>
      </c>
      <c r="W650" s="20">
        <v>1.081875613E9</v>
      </c>
      <c r="X650" s="20">
        <v>1.081894085E9</v>
      </c>
      <c r="Y650" s="22">
        <v>46182.0</v>
      </c>
      <c r="Z650" s="22">
        <v>46207.0</v>
      </c>
      <c r="AA650" s="20">
        <v>50244.0</v>
      </c>
      <c r="AB650" s="20">
        <v>50244.0</v>
      </c>
      <c r="AC650" s="20">
        <v>0.0</v>
      </c>
      <c r="AD650" s="20">
        <v>0.0</v>
      </c>
      <c r="AE650" s="20">
        <v>0.0</v>
      </c>
      <c r="AF650" s="20">
        <v>0.0</v>
      </c>
      <c r="AG650" s="20">
        <v>0.0</v>
      </c>
      <c r="AH650" s="20">
        <v>0.0</v>
      </c>
      <c r="AI650" s="20">
        <v>0.0</v>
      </c>
      <c r="AJ650" s="20">
        <v>50244.0</v>
      </c>
      <c r="AK650" s="20">
        <v>101005.0</v>
      </c>
      <c r="AL650" s="20">
        <v>1.0</v>
      </c>
      <c r="AM650" s="20">
        <v>250.8</v>
      </c>
      <c r="AN650" s="20">
        <v>0.0</v>
      </c>
      <c r="AS650" s="11" t="str">
        <f>VLOOKUP(C650,'mayo-26'!B:AS,44,0)</f>
        <v>MECUC.GUBIR@POLICIA.GOV.CO</v>
      </c>
      <c r="AT650" s="12" t="str">
        <f>VLOOKUP(C650,'mayo-26'!B:AT,45,0)</f>
        <v>CORREO ELECTRONICO CERTIFICADO 472</v>
      </c>
    </row>
    <row r="651" ht="14.25" customHeight="1">
      <c r="A651" s="20" t="s">
        <v>1385</v>
      </c>
      <c r="B651" s="20">
        <v>583.0</v>
      </c>
      <c r="C651" s="20">
        <v>582.0</v>
      </c>
      <c r="D651" s="21">
        <v>582.0</v>
      </c>
      <c r="E651" s="20">
        <v>9.0275328E7</v>
      </c>
      <c r="F651" s="20">
        <v>9.0275328E7</v>
      </c>
      <c r="G651" s="20">
        <v>8.30033206E8</v>
      </c>
      <c r="H651" s="20" t="s">
        <v>1386</v>
      </c>
      <c r="I651" s="1" t="str">
        <f>VLOOKUP(C651,'mayo-26'!B:H,7,0)</f>
        <v>CLL 11 2E-10 3PISO CAOBOS</v>
      </c>
      <c r="J651" s="1" t="s">
        <v>942</v>
      </c>
      <c r="K651" s="10" t="str">
        <f>VLOOKUP(C651,'mayo-26'!B:J,9,0)</f>
        <v>NO</v>
      </c>
      <c r="L651" s="1" t="str">
        <f>VLOOKUP(C651,'mayo-26'!B:K,10,0)</f>
        <v>NO</v>
      </c>
      <c r="M651" s="20" t="s">
        <v>52</v>
      </c>
      <c r="N651" s="20" t="s">
        <v>89</v>
      </c>
      <c r="O651" s="20" t="s">
        <v>861</v>
      </c>
      <c r="P651" s="20" t="s">
        <v>126</v>
      </c>
      <c r="Q651" s="20" t="s">
        <v>131</v>
      </c>
      <c r="R651" s="20" t="s">
        <v>132</v>
      </c>
      <c r="S651" s="20" t="s">
        <v>133</v>
      </c>
      <c r="T651" s="20" t="s">
        <v>59</v>
      </c>
      <c r="U651" s="20">
        <v>2026.0</v>
      </c>
      <c r="V651" s="20">
        <v>6.0</v>
      </c>
      <c r="W651" s="20">
        <v>1.081875617E9</v>
      </c>
      <c r="X651" s="20">
        <v>1.081894089E9</v>
      </c>
      <c r="Y651" s="22">
        <v>46182.0</v>
      </c>
      <c r="Z651" s="22">
        <v>46207.0</v>
      </c>
      <c r="AA651" s="20">
        <v>114389.91</v>
      </c>
      <c r="AB651" s="20">
        <v>114389.91</v>
      </c>
      <c r="AC651" s="20">
        <v>37709.5</v>
      </c>
      <c r="AD651" s="20">
        <v>0.0</v>
      </c>
      <c r="AE651" s="20">
        <v>1261.41</v>
      </c>
      <c r="AF651" s="20">
        <v>0.0</v>
      </c>
      <c r="AG651" s="20">
        <v>0.0</v>
      </c>
      <c r="AH651" s="20">
        <v>0.0</v>
      </c>
      <c r="AI651" s="20">
        <v>0.0</v>
      </c>
      <c r="AJ651" s="20">
        <v>114389.91</v>
      </c>
      <c r="AK651" s="20">
        <v>340726.41</v>
      </c>
      <c r="AL651" s="20">
        <v>2.0</v>
      </c>
      <c r="AM651" s="20">
        <v>376.2</v>
      </c>
      <c r="AN651" s="20">
        <v>0.0</v>
      </c>
      <c r="AS651" s="11" t="str">
        <f>VLOOKUP(C651,'mayo-26'!B:AS,44,0)</f>
        <v>CAOBOS@BODYTECHCORP.COM</v>
      </c>
      <c r="AT651" s="12" t="str">
        <f>VLOOKUP(C651,'mayo-26'!B:AT,45,0)</f>
        <v>CORREO ELECTRONICO CERTIFICADO 472</v>
      </c>
    </row>
    <row r="652" ht="14.25" customHeight="1">
      <c r="A652" s="20" t="s">
        <v>1387</v>
      </c>
      <c r="B652" s="20">
        <v>297.0</v>
      </c>
      <c r="C652" s="20">
        <v>58814.0</v>
      </c>
      <c r="D652" s="21">
        <v>58814.0</v>
      </c>
      <c r="E652" s="20">
        <v>56751.0</v>
      </c>
      <c r="F652" s="20">
        <v>56751.0</v>
      </c>
      <c r="G652" s="20" t="s">
        <v>135</v>
      </c>
      <c r="H652" s="20" t="s">
        <v>136</v>
      </c>
      <c r="I652" s="1" t="str">
        <f>VLOOKUP(C652,'mayo-26'!B:H,7,0)</f>
        <v>AVE 4 17-89 - 0239431</v>
      </c>
      <c r="J652" s="1" t="s">
        <v>1181</v>
      </c>
      <c r="K652" s="10" t="str">
        <f>VLOOKUP(C652,'mayo-26'!B:J,9,0)</f>
        <v>NO</v>
      </c>
      <c r="L652" s="1" t="str">
        <f>VLOOKUP(C652,'mayo-26'!B:K,10,0)</f>
        <v>IMSALUD</v>
      </c>
      <c r="M652" s="20" t="s">
        <v>52</v>
      </c>
      <c r="N652" s="20" t="s">
        <v>53</v>
      </c>
      <c r="O652" s="20" t="s">
        <v>861</v>
      </c>
      <c r="P652" s="20" t="s">
        <v>126</v>
      </c>
      <c r="Q652" s="20" t="s">
        <v>218</v>
      </c>
      <c r="R652" s="20" t="s">
        <v>943</v>
      </c>
      <c r="S652" s="20" t="s">
        <v>133</v>
      </c>
      <c r="T652" s="20" t="s">
        <v>59</v>
      </c>
      <c r="U652" s="20">
        <v>2026.0</v>
      </c>
      <c r="V652" s="20">
        <v>6.0</v>
      </c>
      <c r="W652" s="20">
        <v>1.081875712E9</v>
      </c>
      <c r="X652" s="20">
        <v>1.081894184E9</v>
      </c>
      <c r="Y652" s="22">
        <v>46182.0</v>
      </c>
      <c r="Z652" s="22">
        <v>46207.0</v>
      </c>
      <c r="AA652" s="20">
        <v>84807.0</v>
      </c>
      <c r="AB652" s="20">
        <v>84807.0</v>
      </c>
      <c r="AC652" s="20">
        <v>28269.0</v>
      </c>
      <c r="AD652" s="20">
        <v>0.0</v>
      </c>
      <c r="AE652" s="20">
        <v>0.0</v>
      </c>
      <c r="AF652" s="20">
        <v>0.0</v>
      </c>
      <c r="AG652" s="20">
        <v>0.0</v>
      </c>
      <c r="AH652" s="20">
        <v>0.0</v>
      </c>
      <c r="AI652" s="20">
        <v>0.0</v>
      </c>
      <c r="AJ652" s="20">
        <v>84807.0</v>
      </c>
      <c r="AK652" s="20">
        <v>84807.0</v>
      </c>
      <c r="AL652" s="20">
        <v>0.0</v>
      </c>
      <c r="AM652" s="20">
        <v>376.2</v>
      </c>
      <c r="AN652" s="20">
        <v>0.0</v>
      </c>
      <c r="AS652" s="11" t="str">
        <f>VLOOKUP(C652,'mayo-26'!B:AS,44,0)</f>
        <v>SUBFINANCIERA@IMSALUD.GOV.CO</v>
      </c>
      <c r="AT652" s="12" t="str">
        <f>VLOOKUP(C652,'mayo-26'!B:AT,45,0)</f>
        <v>CORREO ELECTRONICO CERTIFICADO 472</v>
      </c>
    </row>
    <row r="653" ht="14.25" customHeight="1">
      <c r="A653" s="20" t="s">
        <v>1388</v>
      </c>
      <c r="B653" s="20">
        <v>611.0</v>
      </c>
      <c r="C653" s="20">
        <v>610.0</v>
      </c>
      <c r="D653" s="21">
        <v>610.0</v>
      </c>
      <c r="E653" s="20">
        <v>9.0284578E7</v>
      </c>
      <c r="F653" s="20">
        <v>9.0284578E7</v>
      </c>
      <c r="G653" s="20" t="s">
        <v>1389</v>
      </c>
      <c r="H653" s="20" t="s">
        <v>1390</v>
      </c>
      <c r="I653" s="1" t="str">
        <f>VLOOKUP(C653,'mayo-26'!B:H,7,0)</f>
        <v>KDX 32 1B KTM 26 SECTOR LA ESPERANZA</v>
      </c>
      <c r="J653" s="1" t="s">
        <v>1391</v>
      </c>
      <c r="K653" s="10" t="str">
        <f>VLOOKUP(C653,'mayo-26'!B:J,9,0)</f>
        <v>NO</v>
      </c>
      <c r="L653" s="1" t="str">
        <f>VLOOKUP(C653,'mayo-26'!B:K,10,0)</f>
        <v>NO</v>
      </c>
      <c r="M653" s="20" t="s">
        <v>52</v>
      </c>
      <c r="N653" s="20" t="s">
        <v>269</v>
      </c>
      <c r="O653" s="20" t="s">
        <v>861</v>
      </c>
      <c r="P653" s="20" t="s">
        <v>126</v>
      </c>
      <c r="Q653" s="20" t="s">
        <v>56</v>
      </c>
      <c r="R653" s="20" t="s">
        <v>90</v>
      </c>
      <c r="S653" s="20" t="s">
        <v>143</v>
      </c>
      <c r="T653" s="20" t="s">
        <v>59</v>
      </c>
      <c r="U653" s="20">
        <v>2026.0</v>
      </c>
      <c r="V653" s="20">
        <v>6.0</v>
      </c>
      <c r="W653" s="20">
        <v>1.081875621E9</v>
      </c>
      <c r="X653" s="20">
        <v>1.081894093E9</v>
      </c>
      <c r="Y653" s="22">
        <v>46182.0</v>
      </c>
      <c r="Z653" s="22">
        <v>46207.0</v>
      </c>
      <c r="AA653" s="20">
        <v>155134.67</v>
      </c>
      <c r="AB653" s="20">
        <v>155134.67</v>
      </c>
      <c r="AC653" s="20">
        <v>51711.56</v>
      </c>
      <c r="AD653" s="20">
        <v>525.0</v>
      </c>
      <c r="AE653" s="20">
        <v>0.0</v>
      </c>
      <c r="AF653" s="20">
        <v>0.0</v>
      </c>
      <c r="AG653" s="20">
        <v>0.0</v>
      </c>
      <c r="AH653" s="20">
        <v>0.0</v>
      </c>
      <c r="AI653" s="20">
        <v>0.0</v>
      </c>
      <c r="AJ653" s="20">
        <v>155134.67</v>
      </c>
      <c r="AK653" s="20">
        <v>308071.32</v>
      </c>
      <c r="AL653" s="20">
        <v>1.0</v>
      </c>
      <c r="AM653" s="20">
        <v>376.2</v>
      </c>
      <c r="AN653" s="20">
        <v>0.0</v>
      </c>
      <c r="AS653" s="11" t="str">
        <f>VLOOKUP(C653,'mayo-26'!B:AS,44,0)</f>
        <v>TESORERIA@SANTACLARASAS.COM;ARROCERASANTACLARA@HOTMAIL.COM</v>
      </c>
      <c r="AT653" s="12" t="str">
        <f>VLOOKUP(C653,'mayo-26'!B:AT,45,0)</f>
        <v>CORREO ELECTRONICO CERTIFICADO 472</v>
      </c>
    </row>
    <row r="654" ht="14.25" customHeight="1">
      <c r="A654" s="20" t="s">
        <v>1392</v>
      </c>
      <c r="B654" s="20">
        <v>627.0</v>
      </c>
      <c r="C654" s="20">
        <v>626.0</v>
      </c>
      <c r="D654" s="21">
        <v>626.0</v>
      </c>
      <c r="E654" s="20">
        <v>9.0288804E7</v>
      </c>
      <c r="F654" s="20">
        <v>9.0288804E7</v>
      </c>
      <c r="G654" s="20" t="s">
        <v>1393</v>
      </c>
      <c r="H654" s="20" t="s">
        <v>1394</v>
      </c>
      <c r="I654" s="1" t="str">
        <f>VLOOKUP(C654,'mayo-26'!B:H,7,0)</f>
        <v>SEC ANILLO VIAL ORIENTAL KM 11 520 M IN 2</v>
      </c>
      <c r="J654" s="1" t="s">
        <v>991</v>
      </c>
      <c r="K654" s="10" t="str">
        <f>VLOOKUP(C654,'mayo-26'!B:J,9,0)</f>
        <v>NO</v>
      </c>
      <c r="L654" s="1" t="str">
        <f>VLOOKUP(C654,'mayo-26'!B:K,10,0)</f>
        <v>NO</v>
      </c>
      <c r="M654" s="20" t="s">
        <v>52</v>
      </c>
      <c r="N654" s="20" t="s">
        <v>89</v>
      </c>
      <c r="O654" s="20" t="s">
        <v>861</v>
      </c>
      <c r="P654" s="20" t="s">
        <v>126</v>
      </c>
      <c r="Q654" s="20" t="s">
        <v>56</v>
      </c>
      <c r="R654" s="20" t="s">
        <v>72</v>
      </c>
      <c r="S654" s="20" t="s">
        <v>143</v>
      </c>
      <c r="T654" s="20" t="s">
        <v>59</v>
      </c>
      <c r="U654" s="20">
        <v>2026.0</v>
      </c>
      <c r="V654" s="20">
        <v>6.0</v>
      </c>
      <c r="W654" s="20">
        <v>1.081875626E9</v>
      </c>
      <c r="X654" s="20">
        <v>1.081894098E9</v>
      </c>
      <c r="Y654" s="22">
        <v>46182.0</v>
      </c>
      <c r="Z654" s="22">
        <v>46207.0</v>
      </c>
      <c r="AA654" s="20">
        <v>1687308.84</v>
      </c>
      <c r="AB654" s="20">
        <v>1687308.84</v>
      </c>
      <c r="AC654" s="20">
        <v>388877.32</v>
      </c>
      <c r="AD654" s="20">
        <v>6632.5</v>
      </c>
      <c r="AE654" s="20">
        <v>2173.78</v>
      </c>
      <c r="AF654" s="20">
        <v>0.0</v>
      </c>
      <c r="AG654" s="20">
        <v>0.0</v>
      </c>
      <c r="AH654" s="20">
        <v>0.0</v>
      </c>
      <c r="AI654" s="20">
        <v>0.0</v>
      </c>
      <c r="AJ654" s="20">
        <v>1687308.84</v>
      </c>
      <c r="AK654" s="20">
        <v>1687308.84</v>
      </c>
      <c r="AL654" s="20">
        <v>0.0</v>
      </c>
      <c r="AM654" s="20">
        <v>326.04</v>
      </c>
      <c r="AN654" s="20">
        <v>0.0</v>
      </c>
      <c r="AS654" s="11" t="str">
        <f>VLOOKUP(C654,'mayo-26'!B:AS,44,0)</f>
        <v>sagadecolombia_adm@hotmail.com</v>
      </c>
      <c r="AT654" s="12" t="str">
        <f>VLOOKUP(C654,'mayo-26'!B:AT,45,0)</f>
        <v>CORREO ELECTRONICO CERTIFICADO 472</v>
      </c>
    </row>
    <row r="655" ht="14.25" customHeight="1">
      <c r="A655" s="20" t="s">
        <v>1395</v>
      </c>
      <c r="B655" s="20">
        <v>631.0</v>
      </c>
      <c r="C655" s="20">
        <v>630.0</v>
      </c>
      <c r="D655" s="21">
        <v>630.0</v>
      </c>
      <c r="E655" s="20">
        <v>9.0290478E7</v>
      </c>
      <c r="F655" s="20">
        <v>9.0290478E7</v>
      </c>
      <c r="G655" s="20" t="s">
        <v>1396</v>
      </c>
      <c r="H655" s="20" t="s">
        <v>1397</v>
      </c>
      <c r="I655" s="1" t="str">
        <f>VLOOKUP(C655,'mayo-26'!B:H,7,0)</f>
        <v>AVE 3E 13A-02</v>
      </c>
      <c r="J655" s="1" t="s">
        <v>931</v>
      </c>
      <c r="K655" s="10" t="str">
        <f>VLOOKUP(C655,'mayo-26'!B:J,9,0)</f>
        <v>NO</v>
      </c>
      <c r="L655" s="1" t="str">
        <f>VLOOKUP(C655,'mayo-26'!B:K,10,0)</f>
        <v>CSOPERADOR</v>
      </c>
      <c r="M655" s="20" t="s">
        <v>52</v>
      </c>
      <c r="N655" s="20" t="s">
        <v>89</v>
      </c>
      <c r="O655" s="20" t="s">
        <v>861</v>
      </c>
      <c r="P655" s="20" t="s">
        <v>126</v>
      </c>
      <c r="Q655" s="20" t="s">
        <v>56</v>
      </c>
      <c r="R655" s="20" t="s">
        <v>90</v>
      </c>
      <c r="S655" s="20" t="s">
        <v>143</v>
      </c>
      <c r="T655" s="20" t="s">
        <v>59</v>
      </c>
      <c r="U655" s="20">
        <v>2026.0</v>
      </c>
      <c r="V655" s="20">
        <v>6.0</v>
      </c>
      <c r="W655" s="20">
        <v>1.081875631E9</v>
      </c>
      <c r="X655" s="20">
        <v>1.081894103E9</v>
      </c>
      <c r="Y655" s="22">
        <v>46182.0</v>
      </c>
      <c r="Z655" s="22">
        <v>46207.0</v>
      </c>
      <c r="AA655" s="20">
        <v>760970.88</v>
      </c>
      <c r="AB655" s="20">
        <v>760970.88</v>
      </c>
      <c r="AC655" s="20">
        <v>253656.97</v>
      </c>
      <c r="AD655" s="20">
        <v>2475.0</v>
      </c>
      <c r="AE655" s="20">
        <v>0.0</v>
      </c>
      <c r="AF655" s="20">
        <v>0.0</v>
      </c>
      <c r="AG655" s="20">
        <v>0.0</v>
      </c>
      <c r="AH655" s="20">
        <v>0.0</v>
      </c>
      <c r="AI655" s="20">
        <v>0.0</v>
      </c>
      <c r="AJ655" s="20">
        <v>760970.88</v>
      </c>
      <c r="AK655" s="20">
        <v>1522887.24</v>
      </c>
      <c r="AL655" s="20">
        <v>1.0</v>
      </c>
      <c r="AM655" s="20">
        <v>376.2</v>
      </c>
      <c r="AN655" s="20">
        <v>0.0</v>
      </c>
      <c r="AS655" s="11" t="str">
        <f>VLOOKUP(C655,'mayo-26'!B:AS,44,0)</f>
        <v>900753033@FACTUREINBOX.COM</v>
      </c>
      <c r="AT655" s="12" t="str">
        <f>VLOOKUP(C655,'mayo-26'!B:AT,45,0)</f>
        <v>CORREO ELECTRONICO CERTIFICADO 472</v>
      </c>
    </row>
    <row r="656" ht="14.25" customHeight="1">
      <c r="A656" s="20" t="s">
        <v>1398</v>
      </c>
      <c r="B656" s="20">
        <v>635.0</v>
      </c>
      <c r="C656" s="20">
        <v>634.0</v>
      </c>
      <c r="D656" s="21">
        <v>634.0</v>
      </c>
      <c r="E656" s="20">
        <v>9.0290678E7</v>
      </c>
      <c r="F656" s="20">
        <v>9.0290678E7</v>
      </c>
      <c r="G656" s="20" t="s">
        <v>1399</v>
      </c>
      <c r="H656" s="20" t="s">
        <v>1400</v>
      </c>
      <c r="I656" s="1" t="str">
        <f>VLOOKUP(C656,'mayo-26'!B:H,7,0)</f>
        <v>L50 CC JARDIN PLAZA</v>
      </c>
      <c r="J656" s="1" t="s">
        <v>991</v>
      </c>
      <c r="K656" s="10" t="str">
        <f>VLOOKUP(C656,'mayo-26'!B:J,9,0)</f>
        <v>NO</v>
      </c>
      <c r="L656" s="1" t="str">
        <f>VLOOKUP(C656,'mayo-26'!B:K,10,0)</f>
        <v>VERTEBRA</v>
      </c>
      <c r="M656" s="20" t="s">
        <v>52</v>
      </c>
      <c r="N656" s="20" t="s">
        <v>53</v>
      </c>
      <c r="O656" s="20" t="s">
        <v>861</v>
      </c>
      <c r="P656" s="20" t="s">
        <v>126</v>
      </c>
      <c r="Q656" s="20" t="s">
        <v>56</v>
      </c>
      <c r="R656" s="20" t="s">
        <v>90</v>
      </c>
      <c r="S656" s="20" t="s">
        <v>143</v>
      </c>
      <c r="T656" s="20" t="s">
        <v>59</v>
      </c>
      <c r="U656" s="20">
        <v>2026.0</v>
      </c>
      <c r="V656" s="20">
        <v>6.0</v>
      </c>
      <c r="W656" s="20">
        <v>1.081875635E9</v>
      </c>
      <c r="X656" s="20">
        <v>1.081894107E9</v>
      </c>
      <c r="Y656" s="22">
        <v>46182.0</v>
      </c>
      <c r="Z656" s="22">
        <v>46207.0</v>
      </c>
      <c r="AA656" s="20">
        <v>127633.51</v>
      </c>
      <c r="AB656" s="20">
        <v>127633.51</v>
      </c>
      <c r="AC656" s="20">
        <v>42544.51</v>
      </c>
      <c r="AD656" s="20">
        <v>250.0</v>
      </c>
      <c r="AE656" s="20">
        <v>0.0</v>
      </c>
      <c r="AF656" s="20">
        <v>0.0</v>
      </c>
      <c r="AG656" s="20">
        <v>0.0</v>
      </c>
      <c r="AH656" s="20">
        <v>0.0</v>
      </c>
      <c r="AI656" s="20">
        <v>0.0</v>
      </c>
      <c r="AJ656" s="20">
        <v>127633.51</v>
      </c>
      <c r="AK656" s="20">
        <v>127633.51</v>
      </c>
      <c r="AL656" s="20">
        <v>0.0</v>
      </c>
      <c r="AM656" s="20">
        <v>376.2</v>
      </c>
      <c r="AN656" s="20">
        <v>0.0</v>
      </c>
      <c r="AS656" s="11" t="str">
        <f>VLOOKUP(C656,'mayo-26'!B:AS,44,0)</f>
        <v>SPDFACTURAS@VERTEBRASOLUCIONES.COM</v>
      </c>
      <c r="AT656" s="12" t="str">
        <f>VLOOKUP(C656,'mayo-26'!B:AT,45,0)</f>
        <v>CORREO ELECTRONICO CERTIFICADO 472</v>
      </c>
    </row>
    <row r="657" ht="14.25" customHeight="1">
      <c r="A657" s="20" t="s">
        <v>1401</v>
      </c>
      <c r="B657" s="20">
        <v>639.0</v>
      </c>
      <c r="C657" s="20">
        <v>638.0</v>
      </c>
      <c r="D657" s="21">
        <v>638.0</v>
      </c>
      <c r="E657" s="20">
        <v>9.0290682E7</v>
      </c>
      <c r="F657" s="20">
        <v>9.0290682E7</v>
      </c>
      <c r="G657" s="20" t="s">
        <v>1402</v>
      </c>
      <c r="H657" s="20" t="s">
        <v>1403</v>
      </c>
      <c r="I657" s="1" t="str">
        <f>VLOOKUP(C657,'mayo-26'!B:H,7,0)</f>
        <v>A04 CC JARDIN PLAZA</v>
      </c>
      <c r="J657" s="1" t="s">
        <v>991</v>
      </c>
      <c r="K657" s="10" t="str">
        <f>VLOOKUP(C657,'mayo-26'!B:J,9,0)</f>
        <v>JARDIN PLAZA</v>
      </c>
      <c r="L657" s="1" t="str">
        <f>VLOOKUP(C657,'mayo-26'!B:K,10,0)</f>
        <v>JARDIN PLAZA</v>
      </c>
      <c r="M657" s="20" t="s">
        <v>52</v>
      </c>
      <c r="N657" s="20" t="s">
        <v>89</v>
      </c>
      <c r="O657" s="20" t="s">
        <v>861</v>
      </c>
      <c r="P657" s="20" t="s">
        <v>126</v>
      </c>
      <c r="Q657" s="20" t="s">
        <v>56</v>
      </c>
      <c r="R657" s="20" t="s">
        <v>90</v>
      </c>
      <c r="S657" s="20" t="s">
        <v>143</v>
      </c>
      <c r="T657" s="20" t="s">
        <v>59</v>
      </c>
      <c r="U657" s="20">
        <v>2026.0</v>
      </c>
      <c r="V657" s="20">
        <v>6.0</v>
      </c>
      <c r="W657" s="20">
        <v>1.081875638E9</v>
      </c>
      <c r="X657" s="20">
        <v>1.08189411E9</v>
      </c>
      <c r="Y657" s="22">
        <v>46182.0</v>
      </c>
      <c r="Z657" s="22">
        <v>46207.0</v>
      </c>
      <c r="AA657" s="20">
        <v>127633.51</v>
      </c>
      <c r="AB657" s="20">
        <v>127633.51</v>
      </c>
      <c r="AC657" s="20">
        <v>42544.51</v>
      </c>
      <c r="AD657" s="20">
        <v>250.0</v>
      </c>
      <c r="AE657" s="20">
        <v>0.0</v>
      </c>
      <c r="AF657" s="20">
        <v>0.0</v>
      </c>
      <c r="AG657" s="20">
        <v>0.0</v>
      </c>
      <c r="AH657" s="20">
        <v>0.0</v>
      </c>
      <c r="AI657" s="20">
        <v>0.0</v>
      </c>
      <c r="AJ657" s="20">
        <v>127633.51</v>
      </c>
      <c r="AK657" s="20">
        <v>256055.64</v>
      </c>
      <c r="AL657" s="20">
        <v>1.0</v>
      </c>
      <c r="AM657" s="20">
        <v>376.2</v>
      </c>
      <c r="AN657" s="20">
        <v>0.0</v>
      </c>
      <c r="AS657" s="11" t="str">
        <f>VLOOKUP(C657,'mayo-26'!B:AS,44,0)</f>
        <v>HENRY.QUINTERO@CORBETA.COM.CO</v>
      </c>
      <c r="AT657" s="12" t="str">
        <f>VLOOKUP(C657,'mayo-26'!B:AT,45,0)</f>
        <v>VERIFICADOR</v>
      </c>
    </row>
    <row r="658" ht="14.25" customHeight="1">
      <c r="A658" s="20" t="s">
        <v>1404</v>
      </c>
      <c r="B658" s="20">
        <v>643.0</v>
      </c>
      <c r="C658" s="20">
        <v>642.0</v>
      </c>
      <c r="D658" s="21">
        <v>642.0</v>
      </c>
      <c r="E658" s="20">
        <v>9.0290686E7</v>
      </c>
      <c r="F658" s="20">
        <v>9.0290686E7</v>
      </c>
      <c r="G658" s="20" t="s">
        <v>1189</v>
      </c>
      <c r="H658" s="20" t="s">
        <v>1190</v>
      </c>
      <c r="I658" s="1" t="str">
        <f>VLOOKUP(C658,'mayo-26'!B:H,7,0)</f>
        <v>AV ANILLO VIAL ORIENTAL JARDIN PLAZA</v>
      </c>
      <c r="J658" s="1" t="s">
        <v>991</v>
      </c>
      <c r="K658" s="10" t="str">
        <f>VLOOKUP(C658,'mayo-26'!B:J,9,0)</f>
        <v>JARDIN PLAZA</v>
      </c>
      <c r="L658" s="1" t="str">
        <f>VLOOKUP(C658,'mayo-26'!B:K,10,0)</f>
        <v>JARDIN PLAZA</v>
      </c>
      <c r="M658" s="20" t="s">
        <v>52</v>
      </c>
      <c r="N658" s="20" t="s">
        <v>89</v>
      </c>
      <c r="O658" s="20" t="s">
        <v>861</v>
      </c>
      <c r="P658" s="20" t="s">
        <v>126</v>
      </c>
      <c r="Q658" s="20" t="s">
        <v>131</v>
      </c>
      <c r="R658" s="20" t="s">
        <v>132</v>
      </c>
      <c r="S658" s="20" t="s">
        <v>133</v>
      </c>
      <c r="T658" s="20" t="s">
        <v>59</v>
      </c>
      <c r="U658" s="20">
        <v>2026.0</v>
      </c>
      <c r="V658" s="20">
        <v>6.0</v>
      </c>
      <c r="W658" s="20">
        <v>1.081875641E9</v>
      </c>
      <c r="X658" s="20">
        <v>1.081894113E9</v>
      </c>
      <c r="Y658" s="22">
        <v>46182.0</v>
      </c>
      <c r="Z658" s="22">
        <v>46207.0</v>
      </c>
      <c r="AA658" s="20">
        <v>113128.5</v>
      </c>
      <c r="AB658" s="20">
        <v>113128.5</v>
      </c>
      <c r="AC658" s="20">
        <v>37709.5</v>
      </c>
      <c r="AD658" s="20">
        <v>0.0</v>
      </c>
      <c r="AE658" s="20">
        <v>0.0</v>
      </c>
      <c r="AF658" s="20">
        <v>0.0</v>
      </c>
      <c r="AG658" s="20">
        <v>0.0</v>
      </c>
      <c r="AH658" s="20">
        <v>0.0</v>
      </c>
      <c r="AI658" s="20">
        <v>0.0</v>
      </c>
      <c r="AJ658" s="20">
        <v>113128.5</v>
      </c>
      <c r="AK658" s="20">
        <v>113128.5</v>
      </c>
      <c r="AL658" s="20">
        <v>0.0</v>
      </c>
      <c r="AM658" s="20">
        <v>376.2</v>
      </c>
      <c r="AN658" s="20">
        <v>0.0</v>
      </c>
      <c r="AS658" s="11" t="str">
        <f>VLOOKUP(C658,'mayo-26'!B:AS,44,0)</f>
        <v>RECEPCIONFACTURAS@QUEST.COM.CO</v>
      </c>
      <c r="AT658" s="12" t="str">
        <f>VLOOKUP(C658,'mayo-26'!B:AT,45,0)</f>
        <v>VERIFICADOR</v>
      </c>
    </row>
    <row r="659" ht="14.25" customHeight="1">
      <c r="A659" s="20" t="s">
        <v>1405</v>
      </c>
      <c r="B659" s="20">
        <v>647.0</v>
      </c>
      <c r="C659" s="20">
        <v>646.0</v>
      </c>
      <c r="D659" s="21">
        <v>646.0</v>
      </c>
      <c r="E659" s="20">
        <v>9.029069E7</v>
      </c>
      <c r="F659" s="20">
        <v>9.029069E7</v>
      </c>
      <c r="G659" s="20">
        <v>9.01464682E8</v>
      </c>
      <c r="H659" s="20" t="s">
        <v>1406</v>
      </c>
      <c r="I659" s="1" t="str">
        <f>VLOOKUP(C659,'mayo-26'!B:H,7,0)</f>
        <v>K09 CC JARDIN PLAZA</v>
      </c>
      <c r="J659" s="1" t="s">
        <v>991</v>
      </c>
      <c r="K659" s="10" t="str">
        <f>VLOOKUP(C659,'mayo-26'!B:J,9,0)</f>
        <v>JARDIN PLAZA</v>
      </c>
      <c r="L659" s="1" t="str">
        <f>VLOOKUP(C659,'mayo-26'!B:K,10,0)</f>
        <v>JARDIN PLAZA</v>
      </c>
      <c r="M659" s="20" t="s">
        <v>52</v>
      </c>
      <c r="N659" s="20" t="s">
        <v>89</v>
      </c>
      <c r="O659" s="20" t="s">
        <v>861</v>
      </c>
      <c r="P659" s="20" t="s">
        <v>126</v>
      </c>
      <c r="Q659" s="20" t="s">
        <v>131</v>
      </c>
      <c r="R659" s="20" t="s">
        <v>538</v>
      </c>
      <c r="S659" s="20" t="s">
        <v>133</v>
      </c>
      <c r="T659" s="20" t="s">
        <v>59</v>
      </c>
      <c r="U659" s="20">
        <v>2026.0</v>
      </c>
      <c r="V659" s="20">
        <v>6.0</v>
      </c>
      <c r="W659" s="20">
        <v>1.081875644E9</v>
      </c>
      <c r="X659" s="20">
        <v>1.081894116E9</v>
      </c>
      <c r="Y659" s="22">
        <v>46182.0</v>
      </c>
      <c r="Z659" s="22">
        <v>46207.0</v>
      </c>
      <c r="AA659" s="20">
        <v>94248.01</v>
      </c>
      <c r="AB659" s="20">
        <v>94248.01</v>
      </c>
      <c r="AC659" s="20">
        <v>31416.0</v>
      </c>
      <c r="AD659" s="20">
        <v>0.0</v>
      </c>
      <c r="AE659" s="20">
        <v>0.01</v>
      </c>
      <c r="AF659" s="20">
        <v>0.0</v>
      </c>
      <c r="AG659" s="20">
        <v>0.0</v>
      </c>
      <c r="AH659" s="20">
        <v>0.0</v>
      </c>
      <c r="AI659" s="20">
        <v>0.0</v>
      </c>
      <c r="AJ659" s="20">
        <v>94248.01</v>
      </c>
      <c r="AK659" s="20">
        <v>189276.51</v>
      </c>
      <c r="AL659" s="20">
        <v>2.0</v>
      </c>
      <c r="AM659" s="20">
        <v>376.2</v>
      </c>
      <c r="AN659" s="20">
        <v>0.0</v>
      </c>
      <c r="AS659" s="11" t="str">
        <f>VLOOKUP(C659,'mayo-26'!B:AS,44,0)</f>
        <v>geektechndosy@hotmail.com</v>
      </c>
      <c r="AT659" s="12" t="str">
        <f>VLOOKUP(C659,'mayo-26'!B:AT,45,0)</f>
        <v>VERIFICADOR</v>
      </c>
    </row>
    <row r="660" ht="14.25" customHeight="1">
      <c r="A660" s="20" t="s">
        <v>1407</v>
      </c>
      <c r="B660" s="20">
        <v>651.0</v>
      </c>
      <c r="C660" s="20">
        <v>650.0</v>
      </c>
      <c r="D660" s="21">
        <v>650.0</v>
      </c>
      <c r="E660" s="20">
        <v>9.0290694E7</v>
      </c>
      <c r="F660" s="20">
        <v>9.0290694E7</v>
      </c>
      <c r="G660" s="20" t="s">
        <v>1408</v>
      </c>
      <c r="H660" s="20" t="s">
        <v>1409</v>
      </c>
      <c r="I660" s="1" t="str">
        <f>VLOOKUP(C660,'mayo-26'!B:H,7,0)</f>
        <v>R08 CC JARDIN PLAZA</v>
      </c>
      <c r="J660" s="1" t="s">
        <v>991</v>
      </c>
      <c r="K660" s="10" t="str">
        <f>VLOOKUP(C660,'mayo-26'!B:J,9,0)</f>
        <v>JARDIN PLAZA</v>
      </c>
      <c r="L660" s="1" t="str">
        <f>VLOOKUP(C660,'mayo-26'!B:K,10,0)</f>
        <v>JARDIN PLAZA</v>
      </c>
      <c r="M660" s="20" t="s">
        <v>52</v>
      </c>
      <c r="N660" s="20" t="s">
        <v>89</v>
      </c>
      <c r="O660" s="20" t="s">
        <v>861</v>
      </c>
      <c r="P660" s="20" t="s">
        <v>126</v>
      </c>
      <c r="Q660" s="20" t="s">
        <v>56</v>
      </c>
      <c r="R660" s="20" t="s">
        <v>90</v>
      </c>
      <c r="S660" s="20" t="s">
        <v>143</v>
      </c>
      <c r="T660" s="20" t="s">
        <v>59</v>
      </c>
      <c r="U660" s="20">
        <v>2026.0</v>
      </c>
      <c r="V660" s="20">
        <v>6.0</v>
      </c>
      <c r="W660" s="20">
        <v>1.081875648E9</v>
      </c>
      <c r="X660" s="20">
        <v>1.08189412E9</v>
      </c>
      <c r="Y660" s="22">
        <v>46182.0</v>
      </c>
      <c r="Z660" s="22">
        <v>46207.0</v>
      </c>
      <c r="AA660" s="20">
        <v>191678.88</v>
      </c>
      <c r="AB660" s="20">
        <v>191678.88</v>
      </c>
      <c r="AC660" s="20">
        <v>63892.97</v>
      </c>
      <c r="AD660" s="20">
        <v>475.0</v>
      </c>
      <c r="AE660" s="20">
        <v>0.0</v>
      </c>
      <c r="AF660" s="20">
        <v>0.0</v>
      </c>
      <c r="AG660" s="20">
        <v>0.0</v>
      </c>
      <c r="AH660" s="20">
        <v>0.0</v>
      </c>
      <c r="AI660" s="20">
        <v>0.0</v>
      </c>
      <c r="AJ660" s="20">
        <v>191678.88</v>
      </c>
      <c r="AK660" s="20">
        <v>191678.88</v>
      </c>
      <c r="AL660" s="20">
        <v>0.0</v>
      </c>
      <c r="AM660" s="20">
        <v>376.2</v>
      </c>
      <c r="AN660" s="20">
        <v>0.0</v>
      </c>
      <c r="AS660" s="11" t="str">
        <f>VLOOKUP(C660,'mayo-26'!B:AS,44,0)</f>
        <v>DIMARJARDINPLAZACUCUTA@GMAIL.COM</v>
      </c>
      <c r="AT660" s="12" t="str">
        <f>VLOOKUP(C660,'mayo-26'!B:AT,45,0)</f>
        <v>VERIFICADOR</v>
      </c>
    </row>
    <row r="661" ht="14.25" customHeight="1">
      <c r="A661" s="20" t="s">
        <v>1410</v>
      </c>
      <c r="B661" s="20">
        <v>655.0</v>
      </c>
      <c r="C661" s="20">
        <v>654.0</v>
      </c>
      <c r="D661" s="21">
        <v>654.0</v>
      </c>
      <c r="E661" s="20">
        <v>9.0290698E7</v>
      </c>
      <c r="F661" s="20">
        <v>9.0290698E7</v>
      </c>
      <c r="G661" s="20" t="s">
        <v>1411</v>
      </c>
      <c r="H661" s="20" t="s">
        <v>1412</v>
      </c>
      <c r="I661" s="1" t="str">
        <f>VLOOKUP(C661,'mayo-26'!B:H,7,0)</f>
        <v>S06 CC JARDIN PLAZA</v>
      </c>
      <c r="J661" s="1" t="s">
        <v>991</v>
      </c>
      <c r="K661" s="10" t="str">
        <f>VLOOKUP(C661,'mayo-26'!B:J,9,0)</f>
        <v>JARDIN PLAZA</v>
      </c>
      <c r="L661" s="1" t="str">
        <f>VLOOKUP(C661,'mayo-26'!B:K,10,0)</f>
        <v>JARDIN PLAZA</v>
      </c>
      <c r="M661" s="20" t="s">
        <v>52</v>
      </c>
      <c r="N661" s="20" t="s">
        <v>53</v>
      </c>
      <c r="O661" s="20" t="s">
        <v>861</v>
      </c>
      <c r="P661" s="20" t="s">
        <v>126</v>
      </c>
      <c r="Q661" s="20" t="s">
        <v>56</v>
      </c>
      <c r="R661" s="20" t="s">
        <v>90</v>
      </c>
      <c r="S661" s="20" t="s">
        <v>143</v>
      </c>
      <c r="T661" s="20" t="s">
        <v>59</v>
      </c>
      <c r="U661" s="20">
        <v>2026.0</v>
      </c>
      <c r="V661" s="20">
        <v>6.0</v>
      </c>
      <c r="W661" s="20">
        <v>1.081875651E9</v>
      </c>
      <c r="X661" s="20">
        <v>1.081894123E9</v>
      </c>
      <c r="Y661" s="22">
        <v>46182.0</v>
      </c>
      <c r="Z661" s="22">
        <v>46207.0</v>
      </c>
      <c r="AA661" s="20">
        <v>127633.51</v>
      </c>
      <c r="AB661" s="20">
        <v>127633.51</v>
      </c>
      <c r="AC661" s="20">
        <v>42544.51</v>
      </c>
      <c r="AD661" s="20">
        <v>250.0</v>
      </c>
      <c r="AE661" s="20">
        <v>0.0</v>
      </c>
      <c r="AF661" s="20">
        <v>0.0</v>
      </c>
      <c r="AG661" s="20">
        <v>0.0</v>
      </c>
      <c r="AH661" s="20">
        <v>0.0</v>
      </c>
      <c r="AI661" s="20">
        <v>0.0</v>
      </c>
      <c r="AJ661" s="20">
        <v>127633.51</v>
      </c>
      <c r="AK661" s="20">
        <v>127633.51</v>
      </c>
      <c r="AL661" s="20">
        <v>0.0</v>
      </c>
      <c r="AM661" s="20">
        <v>376.2</v>
      </c>
      <c r="AN661" s="20">
        <v>0.0</v>
      </c>
      <c r="AS661" s="11" t="str">
        <f>VLOOKUP(C661,'mayo-26'!B:AS,44,0)</f>
        <v/>
      </c>
      <c r="AT661" s="12" t="str">
        <f>VLOOKUP(C661,'mayo-26'!B:AT,45,0)</f>
        <v>VERIFICADOR</v>
      </c>
    </row>
    <row r="662" ht="14.25" customHeight="1">
      <c r="A662" s="20" t="s">
        <v>1413</v>
      </c>
      <c r="B662" s="20">
        <v>659.0</v>
      </c>
      <c r="C662" s="20">
        <v>658.0</v>
      </c>
      <c r="D662" s="21">
        <v>658.0</v>
      </c>
      <c r="E662" s="20">
        <v>9.0290702E7</v>
      </c>
      <c r="F662" s="20">
        <v>9.0290702E7</v>
      </c>
      <c r="G662" s="20" t="s">
        <v>1414</v>
      </c>
      <c r="H662" s="20" t="s">
        <v>1415</v>
      </c>
      <c r="I662" s="1" t="str">
        <f>VLOOKUP(C662,'mayo-26'!B:H,7,0)</f>
        <v>K06 CC JARDIN PLAZA</v>
      </c>
      <c r="J662" s="1" t="s">
        <v>991</v>
      </c>
      <c r="K662" s="10" t="str">
        <f>VLOOKUP(C662,'mayo-26'!B:J,9,0)</f>
        <v>JARDIN PLAZA</v>
      </c>
      <c r="L662" s="1" t="str">
        <f>VLOOKUP(C662,'mayo-26'!B:K,10,0)</f>
        <v>MC DONALDS</v>
      </c>
      <c r="M662" s="20" t="s">
        <v>52</v>
      </c>
      <c r="N662" s="20" t="s">
        <v>89</v>
      </c>
      <c r="O662" s="20" t="s">
        <v>861</v>
      </c>
      <c r="P662" s="20" t="s">
        <v>126</v>
      </c>
      <c r="Q662" s="20" t="s">
        <v>56</v>
      </c>
      <c r="R662" s="20" t="s">
        <v>90</v>
      </c>
      <c r="S662" s="20" t="s">
        <v>143</v>
      </c>
      <c r="T662" s="20" t="s">
        <v>59</v>
      </c>
      <c r="U662" s="20">
        <v>2026.0</v>
      </c>
      <c r="V662" s="20">
        <v>6.0</v>
      </c>
      <c r="W662" s="20">
        <v>1.081875655E9</v>
      </c>
      <c r="X662" s="20">
        <v>1.081894127E9</v>
      </c>
      <c r="Y662" s="22">
        <v>46182.0</v>
      </c>
      <c r="Z662" s="22">
        <v>46207.0</v>
      </c>
      <c r="AA662" s="20">
        <v>130555.03</v>
      </c>
      <c r="AB662" s="20">
        <v>130555.03</v>
      </c>
      <c r="AC662" s="20">
        <v>42544.51</v>
      </c>
      <c r="AD662" s="20">
        <v>250.0</v>
      </c>
      <c r="AE662" s="20">
        <v>2921.52</v>
      </c>
      <c r="AF662" s="20">
        <v>0.0</v>
      </c>
      <c r="AG662" s="20">
        <v>0.0</v>
      </c>
      <c r="AH662" s="20">
        <v>0.0</v>
      </c>
      <c r="AI662" s="20">
        <v>0.0</v>
      </c>
      <c r="AJ662" s="20">
        <v>130555.03</v>
      </c>
      <c r="AK662" s="20">
        <v>403184.77</v>
      </c>
      <c r="AL662" s="20">
        <v>3.0</v>
      </c>
      <c r="AM662" s="20">
        <v>376.2</v>
      </c>
      <c r="AN662" s="20">
        <v>0.0</v>
      </c>
      <c r="AS662" s="11" t="str">
        <f>VLOOKUP(C662,'mayo-26'!B:AS,44,0)</f>
        <v>SERVICIOS.PUBLICOS_CO@CO.MCD.COM</v>
      </c>
      <c r="AT662" s="12" t="str">
        <f>VLOOKUP(C662,'mayo-26'!B:AT,45,0)</f>
        <v>VERIFICADOR</v>
      </c>
    </row>
    <row r="663" ht="14.25" customHeight="1">
      <c r="A663" s="20" t="s">
        <v>1416</v>
      </c>
      <c r="B663" s="20">
        <v>663.0</v>
      </c>
      <c r="C663" s="20">
        <v>662.0</v>
      </c>
      <c r="D663" s="21">
        <v>662.0</v>
      </c>
      <c r="E663" s="20">
        <v>9.0290706E7</v>
      </c>
      <c r="F663" s="20">
        <v>9.0290706E7</v>
      </c>
      <c r="G663" s="20" t="s">
        <v>1417</v>
      </c>
      <c r="H663" s="20" t="s">
        <v>1418</v>
      </c>
      <c r="I663" s="1" t="str">
        <f>VLOOKUP(C663,'mayo-26'!B:H,7,0)</f>
        <v>LC84 CC JARDIN PLAZA</v>
      </c>
      <c r="J663" s="1" t="s">
        <v>991</v>
      </c>
      <c r="K663" s="10" t="str">
        <f>VLOOKUP(C663,'mayo-26'!B:J,9,0)</f>
        <v>JARDIN PLAZA</v>
      </c>
      <c r="L663" s="1" t="str">
        <f>VLOOKUP(C663,'mayo-26'!B:K,10,0)</f>
        <v>JARDIN PLAZA</v>
      </c>
      <c r="M663" s="20" t="s">
        <v>52</v>
      </c>
      <c r="N663" s="20" t="s">
        <v>89</v>
      </c>
      <c r="O663" s="20" t="s">
        <v>861</v>
      </c>
      <c r="P663" s="20" t="s">
        <v>126</v>
      </c>
      <c r="Q663" s="20" t="s">
        <v>131</v>
      </c>
      <c r="R663" s="20" t="s">
        <v>132</v>
      </c>
      <c r="S663" s="20" t="s">
        <v>133</v>
      </c>
      <c r="T663" s="20" t="s">
        <v>59</v>
      </c>
      <c r="U663" s="20">
        <v>2026.0</v>
      </c>
      <c r="V663" s="20">
        <v>6.0</v>
      </c>
      <c r="W663" s="20">
        <v>1.08187566E9</v>
      </c>
      <c r="X663" s="20">
        <v>1.081894132E9</v>
      </c>
      <c r="Y663" s="22">
        <v>46182.0</v>
      </c>
      <c r="Z663" s="22">
        <v>46207.0</v>
      </c>
      <c r="AA663" s="20">
        <v>113128.5</v>
      </c>
      <c r="AB663" s="20">
        <v>113128.5</v>
      </c>
      <c r="AC663" s="20">
        <v>37709.5</v>
      </c>
      <c r="AD663" s="20">
        <v>0.0</v>
      </c>
      <c r="AE663" s="20">
        <v>0.0</v>
      </c>
      <c r="AF663" s="20">
        <v>0.0</v>
      </c>
      <c r="AG663" s="20">
        <v>0.0</v>
      </c>
      <c r="AH663" s="20">
        <v>0.0</v>
      </c>
      <c r="AI663" s="20">
        <v>0.0</v>
      </c>
      <c r="AJ663" s="20">
        <v>113128.5</v>
      </c>
      <c r="AK663" s="20">
        <v>113128.5</v>
      </c>
      <c r="AL663" s="20">
        <v>0.0</v>
      </c>
      <c r="AM663" s="20">
        <v>376.2</v>
      </c>
      <c r="AN663" s="20">
        <v>0.0</v>
      </c>
      <c r="AS663" s="11" t="str">
        <f>VLOOKUP(C663,'mayo-26'!B:AS,44,0)</f>
        <v>FACTURAS@PAMACOL.COM</v>
      </c>
      <c r="AT663" s="12" t="str">
        <f>VLOOKUP(C663,'mayo-26'!B:AT,45,0)</f>
        <v>VERIFICADOR</v>
      </c>
    </row>
    <row r="664" ht="14.25" customHeight="1">
      <c r="A664" s="20" t="s">
        <v>1419</v>
      </c>
      <c r="B664" s="20">
        <v>684.0</v>
      </c>
      <c r="C664" s="20">
        <v>666.0</v>
      </c>
      <c r="D664" s="21">
        <v>666.0</v>
      </c>
      <c r="E664" s="20">
        <v>9.029071E7</v>
      </c>
      <c r="F664" s="20">
        <v>9.029071E7</v>
      </c>
      <c r="G664" s="20" t="s">
        <v>1052</v>
      </c>
      <c r="H664" s="20" t="s">
        <v>1053</v>
      </c>
      <c r="I664" s="1" t="str">
        <f>VLOOKUP(C664,'mayo-26'!B:H,7,0)</f>
        <v>L 53 CC JARDIN PALZA</v>
      </c>
      <c r="J664" s="1" t="s">
        <v>991</v>
      </c>
      <c r="K664" s="10" t="str">
        <f>VLOOKUP(C664,'mayo-26'!B:J,9,0)</f>
        <v>JARDIN PLAZA-ADMINISTRACION</v>
      </c>
      <c r="L664" s="1" t="str">
        <f>VLOOKUP(C664,'mayo-26'!B:K,10,0)</f>
        <v>JARDIN PLAZA-ADMINISTRACION</v>
      </c>
      <c r="M664" s="20" t="s">
        <v>52</v>
      </c>
      <c r="N664" s="20" t="s">
        <v>89</v>
      </c>
      <c r="O664" s="20" t="s">
        <v>861</v>
      </c>
      <c r="P664" s="20" t="s">
        <v>126</v>
      </c>
      <c r="Q664" s="20" t="s">
        <v>131</v>
      </c>
      <c r="R664" s="20" t="s">
        <v>132</v>
      </c>
      <c r="S664" s="20" t="s">
        <v>133</v>
      </c>
      <c r="T664" s="20" t="s">
        <v>163</v>
      </c>
      <c r="U664" s="20">
        <v>2026.0</v>
      </c>
      <c r="V664" s="20">
        <v>6.0</v>
      </c>
      <c r="W664" s="20">
        <v>1.081875665E9</v>
      </c>
      <c r="X664" s="20">
        <v>1.081894137E9</v>
      </c>
      <c r="Y664" s="22">
        <v>46182.0</v>
      </c>
      <c r="Z664" s="22">
        <v>46207.0</v>
      </c>
      <c r="AA664" s="20">
        <v>56481.87</v>
      </c>
      <c r="AB664" s="20">
        <v>56481.87</v>
      </c>
      <c r="AC664" s="20">
        <v>18616.0</v>
      </c>
      <c r="AD664" s="20">
        <v>0.0</v>
      </c>
      <c r="AE664" s="20">
        <v>633.87</v>
      </c>
      <c r="AF664" s="20">
        <v>0.0</v>
      </c>
      <c r="AG664" s="20">
        <v>0.0</v>
      </c>
      <c r="AH664" s="20">
        <v>0.0</v>
      </c>
      <c r="AI664" s="20">
        <v>0.0</v>
      </c>
      <c r="AJ664" s="20">
        <v>56481.87</v>
      </c>
      <c r="AK664" s="20">
        <v>172261.63</v>
      </c>
      <c r="AL664" s="20">
        <v>2.0</v>
      </c>
      <c r="AM664" s="20">
        <v>376.2</v>
      </c>
      <c r="AN664" s="20">
        <v>0.0</v>
      </c>
      <c r="AS664" s="11" t="str">
        <f>VLOOKUP(C664,'mayo-26'!B:AS,44,0)</f>
        <v>AMBIENTAL@JARDINPLAZA.COM</v>
      </c>
      <c r="AT664" s="12" t="str">
        <f>VLOOKUP(C664,'mayo-26'!B:AT,45,0)</f>
        <v>CORREO ELECTRONICO CERTIFICADO 472</v>
      </c>
    </row>
    <row r="665" ht="14.25" customHeight="1">
      <c r="A665" s="20" t="s">
        <v>1420</v>
      </c>
      <c r="B665" s="20">
        <v>671.0</v>
      </c>
      <c r="C665" s="20">
        <v>670.0</v>
      </c>
      <c r="D665" s="21">
        <v>670.0</v>
      </c>
      <c r="E665" s="20">
        <v>9.0290714E7</v>
      </c>
      <c r="F665" s="20">
        <v>9.0290714E7</v>
      </c>
      <c r="G665" s="20" t="s">
        <v>1421</v>
      </c>
      <c r="H665" s="20" t="s">
        <v>1422</v>
      </c>
      <c r="I665" s="1" t="str">
        <f>VLOOKUP(C665,'mayo-26'!B:H,7,0)</f>
        <v>L27 CC JARDIN PLAZA</v>
      </c>
      <c r="J665" s="1" t="s">
        <v>991</v>
      </c>
      <c r="K665" s="10" t="str">
        <f>VLOOKUP(C665,'mayo-26'!B:J,9,0)</f>
        <v>JARDIN PLAZA</v>
      </c>
      <c r="L665" s="1" t="str">
        <f>VLOOKUP(C665,'mayo-26'!B:K,10,0)</f>
        <v>JARDIN PLAZA</v>
      </c>
      <c r="M665" s="20" t="s">
        <v>52</v>
      </c>
      <c r="N665" s="20" t="s">
        <v>89</v>
      </c>
      <c r="O665" s="20" t="s">
        <v>861</v>
      </c>
      <c r="P665" s="20" t="s">
        <v>126</v>
      </c>
      <c r="Q665" s="20" t="s">
        <v>56</v>
      </c>
      <c r="R665" s="20" t="s">
        <v>90</v>
      </c>
      <c r="S665" s="20" t="s">
        <v>143</v>
      </c>
      <c r="T665" s="20" t="s">
        <v>59</v>
      </c>
      <c r="U665" s="20">
        <v>2026.0</v>
      </c>
      <c r="V665" s="20">
        <v>6.0</v>
      </c>
      <c r="W665" s="20">
        <v>1.081875668E9</v>
      </c>
      <c r="X665" s="20">
        <v>1.08189414E9</v>
      </c>
      <c r="Y665" s="22">
        <v>46182.0</v>
      </c>
      <c r="Z665" s="22">
        <v>46207.0</v>
      </c>
      <c r="AA665" s="20">
        <v>127633.51</v>
      </c>
      <c r="AB665" s="20">
        <v>127633.51</v>
      </c>
      <c r="AC665" s="20">
        <v>42544.51</v>
      </c>
      <c r="AD665" s="20">
        <v>250.0</v>
      </c>
      <c r="AE665" s="20">
        <v>0.0</v>
      </c>
      <c r="AF665" s="20">
        <v>0.0</v>
      </c>
      <c r="AG665" s="20">
        <v>0.0</v>
      </c>
      <c r="AH665" s="20">
        <v>0.0</v>
      </c>
      <c r="AI665" s="20">
        <v>0.0</v>
      </c>
      <c r="AJ665" s="20">
        <v>127633.51</v>
      </c>
      <c r="AK665" s="20">
        <v>127633.51</v>
      </c>
      <c r="AL665" s="20">
        <v>0.0</v>
      </c>
      <c r="AM665" s="20">
        <v>376.2</v>
      </c>
      <c r="AN665" s="20">
        <v>0.0</v>
      </c>
      <c r="AS665" s="11" t="str">
        <f>VLOOKUP(C665,'mayo-26'!B:AS,44,0)</f>
        <v>ALIAZUL161@GMAIL.COM</v>
      </c>
      <c r="AT665" s="12" t="str">
        <f>VLOOKUP(C665,'mayo-26'!B:AT,45,0)</f>
        <v>VERIFICADOR</v>
      </c>
    </row>
    <row r="666" ht="14.25" customHeight="1">
      <c r="A666" s="20" t="s">
        <v>1423</v>
      </c>
      <c r="B666" s="20">
        <v>675.0</v>
      </c>
      <c r="C666" s="20">
        <v>674.0</v>
      </c>
      <c r="D666" s="21">
        <v>674.0</v>
      </c>
      <c r="E666" s="20">
        <v>9.029074E7</v>
      </c>
      <c r="F666" s="20">
        <v>9.029074E7</v>
      </c>
      <c r="G666" s="20" t="s">
        <v>1424</v>
      </c>
      <c r="H666" s="20" t="s">
        <v>1425</v>
      </c>
      <c r="I666" s="1" t="str">
        <f>VLOOKUP(C666,'mayo-26'!B:H,7,0)</f>
        <v>CC JARDIN PLAZA LOCAL A 13</v>
      </c>
      <c r="J666" s="1" t="s">
        <v>76</v>
      </c>
      <c r="K666" s="10" t="str">
        <f>VLOOKUP(C666,'mayo-26'!B:J,9,0)</f>
        <v>JARDIN PLAZA</v>
      </c>
      <c r="L666" s="1" t="str">
        <f>VLOOKUP(C666,'mayo-26'!B:K,10,0)</f>
        <v>JARDIN PLAZA</v>
      </c>
      <c r="M666" s="20" t="s">
        <v>52</v>
      </c>
      <c r="N666" s="20" t="s">
        <v>53</v>
      </c>
      <c r="O666" s="20" t="s">
        <v>861</v>
      </c>
      <c r="P666" s="20" t="s">
        <v>126</v>
      </c>
      <c r="Q666" s="20" t="s">
        <v>56</v>
      </c>
      <c r="R666" s="20" t="s">
        <v>90</v>
      </c>
      <c r="S666" s="20" t="s">
        <v>143</v>
      </c>
      <c r="T666" s="20" t="s">
        <v>59</v>
      </c>
      <c r="U666" s="20">
        <v>2026.0</v>
      </c>
      <c r="V666" s="20">
        <v>6.0</v>
      </c>
      <c r="W666" s="20">
        <v>1.081875672E9</v>
      </c>
      <c r="X666" s="20">
        <v>1.081894144E9</v>
      </c>
      <c r="Y666" s="22">
        <v>46182.0</v>
      </c>
      <c r="Z666" s="22">
        <v>46207.0</v>
      </c>
      <c r="AA666" s="20">
        <v>507964.32</v>
      </c>
      <c r="AB666" s="20">
        <v>507964.32</v>
      </c>
      <c r="AC666" s="20">
        <v>169211.98</v>
      </c>
      <c r="AD666" s="20">
        <v>1585.0</v>
      </c>
      <c r="AE666" s="20">
        <v>328.39</v>
      </c>
      <c r="AF666" s="20">
        <v>0.0</v>
      </c>
      <c r="AG666" s="20">
        <v>0.0</v>
      </c>
      <c r="AH666" s="20">
        <v>0.0</v>
      </c>
      <c r="AI666" s="20">
        <v>0.0</v>
      </c>
      <c r="AJ666" s="20">
        <v>507964.32</v>
      </c>
      <c r="AK666" s="20">
        <v>507964.32</v>
      </c>
      <c r="AL666" s="20">
        <v>0.0</v>
      </c>
      <c r="AM666" s="20">
        <v>376.2</v>
      </c>
      <c r="AN666" s="20">
        <v>0.0</v>
      </c>
      <c r="AS666" s="11" t="str">
        <f>VLOOKUP(C666,'mayo-26'!B:AS,44,0)</f>
        <v>JPCUCUTA@ARKADIA.COM.CO</v>
      </c>
      <c r="AT666" s="12" t="str">
        <f>VLOOKUP(C666,'mayo-26'!B:AT,45,0)</f>
        <v>VERIFICADOR</v>
      </c>
    </row>
    <row r="667" ht="14.25" customHeight="1">
      <c r="A667" s="20" t="s">
        <v>1426</v>
      </c>
      <c r="B667" s="20">
        <v>679.0</v>
      </c>
      <c r="C667" s="20">
        <v>678.0</v>
      </c>
      <c r="D667" s="21">
        <v>678.0</v>
      </c>
      <c r="E667" s="20">
        <v>9.0290744E7</v>
      </c>
      <c r="F667" s="20">
        <v>9.0290744E7</v>
      </c>
      <c r="G667" s="20" t="s">
        <v>1427</v>
      </c>
      <c r="H667" s="20" t="s">
        <v>1428</v>
      </c>
      <c r="I667" s="1" t="str">
        <f>VLOOKUP(C667,'mayo-26'!B:H,7,0)</f>
        <v>R26 CC JARDIN PLAZA</v>
      </c>
      <c r="J667" s="1" t="s">
        <v>991</v>
      </c>
      <c r="K667" s="10" t="str">
        <f>VLOOKUP(C667,'mayo-26'!B:J,9,0)</f>
        <v>JARDIN PLAZA</v>
      </c>
      <c r="L667" s="1" t="str">
        <f>VLOOKUP(C667,'mayo-26'!B:K,10,0)</f>
        <v>JARDIN PLAZA</v>
      </c>
      <c r="M667" s="20" t="s">
        <v>52</v>
      </c>
      <c r="N667" s="20" t="s">
        <v>89</v>
      </c>
      <c r="O667" s="20" t="s">
        <v>861</v>
      </c>
      <c r="P667" s="20" t="s">
        <v>126</v>
      </c>
      <c r="Q667" s="20" t="s">
        <v>131</v>
      </c>
      <c r="R667" s="20" t="s">
        <v>132</v>
      </c>
      <c r="S667" s="20" t="s">
        <v>133</v>
      </c>
      <c r="T667" s="20" t="s">
        <v>59</v>
      </c>
      <c r="U667" s="20">
        <v>2026.0</v>
      </c>
      <c r="V667" s="20">
        <v>6.0</v>
      </c>
      <c r="W667" s="20">
        <v>1.081875676E9</v>
      </c>
      <c r="X667" s="20">
        <v>1.081894148E9</v>
      </c>
      <c r="Y667" s="22">
        <v>46182.0</v>
      </c>
      <c r="Z667" s="22">
        <v>46207.0</v>
      </c>
      <c r="AA667" s="20">
        <v>113796.32</v>
      </c>
      <c r="AB667" s="20">
        <v>113796.32</v>
      </c>
      <c r="AC667" s="20">
        <v>37709.5</v>
      </c>
      <c r="AD667" s="20">
        <v>0.0</v>
      </c>
      <c r="AE667" s="20">
        <v>667.82</v>
      </c>
      <c r="AF667" s="20">
        <v>0.0</v>
      </c>
      <c r="AG667" s="20">
        <v>0.0</v>
      </c>
      <c r="AH667" s="20">
        <v>0.0</v>
      </c>
      <c r="AI667" s="20">
        <v>0.0</v>
      </c>
      <c r="AJ667" s="20">
        <v>113796.32</v>
      </c>
      <c r="AK667" s="20">
        <v>113796.32</v>
      </c>
      <c r="AL667" s="20">
        <v>0.0</v>
      </c>
      <c r="AM667" s="20">
        <v>376.2</v>
      </c>
      <c r="AN667" s="20">
        <v>0.0</v>
      </c>
      <c r="AS667" s="11" t="str">
        <f>VLOOKUP(C667,'mayo-26'!B:AS,44,0)</f>
        <v>GARCIARODRIGUEZSAS@GMAIL.COM</v>
      </c>
      <c r="AT667" s="12" t="str">
        <f>VLOOKUP(C667,'mayo-26'!B:AT,45,0)</f>
        <v>VERIFICADOR</v>
      </c>
    </row>
    <row r="668" ht="14.25" customHeight="1">
      <c r="A668" s="20" t="s">
        <v>1429</v>
      </c>
      <c r="B668" s="20">
        <v>683.0</v>
      </c>
      <c r="C668" s="20">
        <v>682.0</v>
      </c>
      <c r="D668" s="21">
        <v>682.0</v>
      </c>
      <c r="E668" s="20">
        <v>9.0290762E7</v>
      </c>
      <c r="F668" s="20">
        <v>9.0290762E7</v>
      </c>
      <c r="G668" s="20">
        <v>9.01302833E8</v>
      </c>
      <c r="H668" s="20" t="s">
        <v>1430</v>
      </c>
      <c r="I668" s="1" t="str">
        <f>VLOOKUP(C668,'mayo-26'!B:H,7,0)</f>
        <v>R 23 JARDINN PLAZA</v>
      </c>
      <c r="J668" s="1" t="s">
        <v>76</v>
      </c>
      <c r="K668" s="10" t="str">
        <f>VLOOKUP(C668,'mayo-26'!B:J,9,0)</f>
        <v>JARDIN PLAZA</v>
      </c>
      <c r="L668" s="1" t="str">
        <f>VLOOKUP(C668,'mayo-26'!B:K,10,0)</f>
        <v>JARDIN PLAZA</v>
      </c>
      <c r="M668" s="20" t="s">
        <v>52</v>
      </c>
      <c r="N668" s="20" t="s">
        <v>89</v>
      </c>
      <c r="O668" s="20" t="s">
        <v>861</v>
      </c>
      <c r="P668" s="20" t="s">
        <v>126</v>
      </c>
      <c r="Q668" s="20" t="s">
        <v>56</v>
      </c>
      <c r="R668" s="20" t="s">
        <v>90</v>
      </c>
      <c r="S668" s="20" t="s">
        <v>143</v>
      </c>
      <c r="T668" s="20" t="s">
        <v>59</v>
      </c>
      <c r="U668" s="20">
        <v>2026.0</v>
      </c>
      <c r="V668" s="20">
        <v>6.0</v>
      </c>
      <c r="W668" s="20">
        <v>1.08187568E9</v>
      </c>
      <c r="X668" s="20">
        <v>1.081894152E9</v>
      </c>
      <c r="Y668" s="22">
        <v>46182.0</v>
      </c>
      <c r="Z668" s="22">
        <v>46207.0</v>
      </c>
      <c r="AA668" s="20">
        <v>190967.26</v>
      </c>
      <c r="AB668" s="20">
        <v>190967.26</v>
      </c>
      <c r="AC668" s="20">
        <v>63655.76</v>
      </c>
      <c r="AD668" s="20">
        <v>472.5</v>
      </c>
      <c r="AE668" s="20">
        <v>0.0</v>
      </c>
      <c r="AF668" s="20">
        <v>0.0</v>
      </c>
      <c r="AG668" s="20">
        <v>0.0</v>
      </c>
      <c r="AH668" s="20">
        <v>0.0</v>
      </c>
      <c r="AI668" s="20">
        <v>0.0</v>
      </c>
      <c r="AJ668" s="20">
        <v>190967.26</v>
      </c>
      <c r="AK668" s="20">
        <v>190967.83</v>
      </c>
      <c r="AL668" s="20">
        <v>1.0</v>
      </c>
      <c r="AM668" s="20">
        <v>376.2</v>
      </c>
      <c r="AN668" s="20">
        <v>0.0</v>
      </c>
      <c r="AS668" s="11" t="str">
        <f>VLOOKUP(C668,'mayo-26'!B:AS,44,0)</f>
        <v>KJOHANAMORENO2@GMAIL.COM</v>
      </c>
      <c r="AT668" s="12" t="str">
        <f>VLOOKUP(C668,'mayo-26'!B:AT,45,0)</f>
        <v>VERIFICADOR</v>
      </c>
    </row>
    <row r="669" ht="14.25" customHeight="1">
      <c r="A669" s="20" t="s">
        <v>1431</v>
      </c>
      <c r="B669" s="20">
        <v>687.0</v>
      </c>
      <c r="C669" s="20">
        <v>686.0</v>
      </c>
      <c r="D669" s="21">
        <v>686.0</v>
      </c>
      <c r="E669" s="20">
        <v>9.0290774E7</v>
      </c>
      <c r="F669" s="20">
        <v>9.0290774E7</v>
      </c>
      <c r="G669" s="20" t="s">
        <v>1228</v>
      </c>
      <c r="H669" s="20" t="s">
        <v>1432</v>
      </c>
      <c r="I669" s="1" t="str">
        <f>VLOOKUP(C669,'mayo-26'!B:H,7,0)</f>
        <v>AV 3AE 9-37 P4 T2 URB ROSETAL</v>
      </c>
      <c r="J669" s="1" t="s">
        <v>76</v>
      </c>
      <c r="K669" s="10" t="str">
        <f>VLOOKUP(C669,'mayo-26'!B:J,9,0)</f>
        <v>NO</v>
      </c>
      <c r="L669" s="1" t="str">
        <f>VLOOKUP(C669,'mayo-26'!B:K,10,0)</f>
        <v>FISCALIA</v>
      </c>
      <c r="M669" s="20" t="s">
        <v>52</v>
      </c>
      <c r="N669" s="20" t="s">
        <v>89</v>
      </c>
      <c r="O669" s="20" t="s">
        <v>861</v>
      </c>
      <c r="P669" s="20" t="s">
        <v>126</v>
      </c>
      <c r="Q669" s="20" t="s">
        <v>56</v>
      </c>
      <c r="R669" s="20" t="s">
        <v>57</v>
      </c>
      <c r="S669" s="20" t="s">
        <v>58</v>
      </c>
      <c r="T669" s="20" t="s">
        <v>59</v>
      </c>
      <c r="U669" s="20">
        <v>2026.0</v>
      </c>
      <c r="V669" s="20">
        <v>6.0</v>
      </c>
      <c r="W669" s="20">
        <v>1.081875683E9</v>
      </c>
      <c r="X669" s="20">
        <v>1.081894155E9</v>
      </c>
      <c r="Y669" s="22">
        <v>46182.0</v>
      </c>
      <c r="Z669" s="22">
        <v>46207.0</v>
      </c>
      <c r="AA669" s="20">
        <v>1639730.58</v>
      </c>
      <c r="AB669" s="20">
        <v>1639730.58</v>
      </c>
      <c r="AC669" s="20">
        <v>0.0</v>
      </c>
      <c r="AD669" s="20">
        <v>8442.5</v>
      </c>
      <c r="AE669" s="20">
        <v>0.0</v>
      </c>
      <c r="AF669" s="20">
        <v>0.0</v>
      </c>
      <c r="AG669" s="20">
        <v>0.0</v>
      </c>
      <c r="AH669" s="20">
        <v>0.0</v>
      </c>
      <c r="AI669" s="20">
        <v>0.0</v>
      </c>
      <c r="AJ669" s="20">
        <v>1639730.58</v>
      </c>
      <c r="AK669" s="20">
        <v>1639730.58</v>
      </c>
      <c r="AL669" s="20">
        <v>0.0</v>
      </c>
      <c r="AM669" s="20">
        <v>250.8</v>
      </c>
      <c r="AN669" s="20">
        <v>0.0</v>
      </c>
      <c r="AS669" s="11" t="str">
        <f>VLOOKUP(C669,'mayo-26'!B:AS,44,0)</f>
        <v>BLANCA.GARCIAH@FISCALIA.GOV.CO</v>
      </c>
      <c r="AT669" s="12" t="str">
        <f>VLOOKUP(C669,'mayo-26'!B:AT,45,0)</f>
        <v>CORREO ELECTRONICO CERTIFICADO 472</v>
      </c>
    </row>
    <row r="670" ht="14.25" customHeight="1">
      <c r="A670" s="20" t="s">
        <v>1433</v>
      </c>
      <c r="B670" s="20">
        <v>691.0</v>
      </c>
      <c r="C670" s="20">
        <v>690.0</v>
      </c>
      <c r="D670" s="21">
        <v>690.0</v>
      </c>
      <c r="E670" s="20">
        <v>9.029085E7</v>
      </c>
      <c r="F670" s="20">
        <v>9.029085E7</v>
      </c>
      <c r="G670" s="20">
        <v>9.01590489E8</v>
      </c>
      <c r="H670" s="20" t="s">
        <v>1434</v>
      </c>
      <c r="I670" s="1" t="str">
        <f>VLOOKUP(C670,'mayo-26'!B:H,7,0)</f>
        <v>L80B CC JARDIN PLAZA</v>
      </c>
      <c r="J670" s="1" t="s">
        <v>991</v>
      </c>
      <c r="K670" s="10" t="str">
        <f>VLOOKUP(C670,'mayo-26'!B:J,9,0)</f>
        <v>JARDIN PLAZA</v>
      </c>
      <c r="L670" s="1" t="str">
        <f>VLOOKUP(C670,'mayo-26'!B:K,10,0)</f>
        <v>JARDIN PLAZA</v>
      </c>
      <c r="M670" s="20" t="s">
        <v>52</v>
      </c>
      <c r="N670" s="20" t="s">
        <v>89</v>
      </c>
      <c r="O670" s="20" t="s">
        <v>861</v>
      </c>
      <c r="P670" s="20" t="s">
        <v>126</v>
      </c>
      <c r="Q670" s="20" t="s">
        <v>56</v>
      </c>
      <c r="R670" s="20" t="s">
        <v>90</v>
      </c>
      <c r="S670" s="20" t="s">
        <v>143</v>
      </c>
      <c r="T670" s="20" t="s">
        <v>59</v>
      </c>
      <c r="U670" s="20">
        <v>2026.0</v>
      </c>
      <c r="V670" s="20">
        <v>6.0</v>
      </c>
      <c r="W670" s="20">
        <v>1.081875686E9</v>
      </c>
      <c r="X670" s="20">
        <v>1.081894158E9</v>
      </c>
      <c r="Y670" s="22">
        <v>46182.0</v>
      </c>
      <c r="Z670" s="22">
        <v>46207.0</v>
      </c>
      <c r="AA670" s="20">
        <v>127633.51</v>
      </c>
      <c r="AB670" s="20">
        <v>127633.51</v>
      </c>
      <c r="AC670" s="20">
        <v>42544.51</v>
      </c>
      <c r="AD670" s="20">
        <v>250.0</v>
      </c>
      <c r="AE670" s="20">
        <v>0.0</v>
      </c>
      <c r="AF670" s="20">
        <v>0.0</v>
      </c>
      <c r="AG670" s="20">
        <v>0.0</v>
      </c>
      <c r="AH670" s="20">
        <v>0.0</v>
      </c>
      <c r="AI670" s="20">
        <v>0.0</v>
      </c>
      <c r="AJ670" s="20">
        <v>127633.51</v>
      </c>
      <c r="AK670" s="20">
        <v>127634.02</v>
      </c>
      <c r="AL670" s="20">
        <v>1.0</v>
      </c>
      <c r="AM670" s="20">
        <v>376.2</v>
      </c>
      <c r="AN670" s="20">
        <v>0.0</v>
      </c>
      <c r="AS670" s="11" t="str">
        <f>VLOOKUP(C670,'mayo-26'!B:AS,44,0)</f>
        <v>IMPERIODELTIEMPO80@GMAIL.COM</v>
      </c>
      <c r="AT670" s="12" t="str">
        <f>VLOOKUP(C670,'mayo-26'!B:AT,45,0)</f>
        <v>VERIFICADOR</v>
      </c>
    </row>
    <row r="671" ht="14.25" customHeight="1">
      <c r="A671" s="20" t="s">
        <v>1435</v>
      </c>
      <c r="B671" s="20">
        <v>695.0</v>
      </c>
      <c r="C671" s="20">
        <v>694.0</v>
      </c>
      <c r="D671" s="21">
        <v>694.0</v>
      </c>
      <c r="E671" s="20">
        <v>9.0290854E7</v>
      </c>
      <c r="F671" s="20">
        <v>9.0290854E7</v>
      </c>
      <c r="G671" s="20" t="s">
        <v>1436</v>
      </c>
      <c r="H671" s="20" t="s">
        <v>1437</v>
      </c>
      <c r="I671" s="1" t="str">
        <f>VLOOKUP(C671,'mayo-26'!B:H,7,0)</f>
        <v>L11 CC JARDIN PLAZA</v>
      </c>
      <c r="J671" s="1" t="s">
        <v>991</v>
      </c>
      <c r="K671" s="10" t="str">
        <f>VLOOKUP(C671,'mayo-26'!B:J,9,0)</f>
        <v>JARDIN PLAZA</v>
      </c>
      <c r="L671" s="1" t="str">
        <f>VLOOKUP(C671,'mayo-26'!B:K,10,0)</f>
        <v>JARDIN PLAZA</v>
      </c>
      <c r="M671" s="20" t="s">
        <v>52</v>
      </c>
      <c r="N671" s="20" t="s">
        <v>89</v>
      </c>
      <c r="O671" s="20" t="s">
        <v>861</v>
      </c>
      <c r="P671" s="20" t="s">
        <v>126</v>
      </c>
      <c r="Q671" s="20" t="s">
        <v>56</v>
      </c>
      <c r="R671" s="20" t="s">
        <v>90</v>
      </c>
      <c r="S671" s="20" t="s">
        <v>143</v>
      </c>
      <c r="T671" s="20" t="s">
        <v>59</v>
      </c>
      <c r="U671" s="20">
        <v>2026.0</v>
      </c>
      <c r="V671" s="20">
        <v>6.0</v>
      </c>
      <c r="W671" s="20">
        <v>1.081875689E9</v>
      </c>
      <c r="X671" s="20">
        <v>1.081894161E9</v>
      </c>
      <c r="Y671" s="22">
        <v>46182.0</v>
      </c>
      <c r="Z671" s="22">
        <v>46207.0</v>
      </c>
      <c r="AA671" s="20">
        <v>127633.51</v>
      </c>
      <c r="AB671" s="20">
        <v>127633.51</v>
      </c>
      <c r="AC671" s="20">
        <v>42544.51</v>
      </c>
      <c r="AD671" s="20">
        <v>250.0</v>
      </c>
      <c r="AE671" s="20">
        <v>0.0</v>
      </c>
      <c r="AF671" s="20">
        <v>0.0</v>
      </c>
      <c r="AG671" s="20">
        <v>0.0</v>
      </c>
      <c r="AH671" s="20">
        <v>0.0</v>
      </c>
      <c r="AI671" s="20">
        <v>0.0</v>
      </c>
      <c r="AJ671" s="20">
        <v>127633.51</v>
      </c>
      <c r="AK671" s="20">
        <v>127633.51</v>
      </c>
      <c r="AL671" s="20">
        <v>0.0</v>
      </c>
      <c r="AM671" s="20">
        <v>376.2</v>
      </c>
      <c r="AN671" s="20">
        <v>0.0</v>
      </c>
      <c r="AS671" s="11" t="str">
        <f>VLOOKUP(C671,'mayo-26'!B:AS,44,0)</f>
        <v>TESORERIA.JARDINPLAZA@SURTITODO.COM.CO</v>
      </c>
      <c r="AT671" s="12" t="str">
        <f>VLOOKUP(C671,'mayo-26'!B:AT,45,0)</f>
        <v>VERIFICADOR</v>
      </c>
    </row>
    <row r="672" ht="14.25" customHeight="1">
      <c r="A672" s="20" t="s">
        <v>1438</v>
      </c>
      <c r="B672" s="20">
        <v>699.0</v>
      </c>
      <c r="C672" s="20">
        <v>698.0</v>
      </c>
      <c r="D672" s="21">
        <v>698.0</v>
      </c>
      <c r="E672" s="20">
        <v>9.0291866E7</v>
      </c>
      <c r="F672" s="20">
        <v>9.0291866E7</v>
      </c>
      <c r="G672" s="20">
        <v>9.00480569E8</v>
      </c>
      <c r="H672" s="20" t="s">
        <v>141</v>
      </c>
      <c r="I672" s="1" t="str">
        <f>VLOOKUP(C672,'mayo-26'!B:H,7,0)</f>
        <v>CLL 12 4-52 CENTRO</v>
      </c>
      <c r="J672" s="1" t="s">
        <v>343</v>
      </c>
      <c r="K672" s="10" t="str">
        <f>VLOOKUP(C672,'mayo-26'!B:J,9,0)</f>
        <v>NO</v>
      </c>
      <c r="L672" s="1" t="str">
        <f>VLOOKUP(C672,'mayo-26'!B:K,10,0)</f>
        <v>ARA CUCUTA</v>
      </c>
      <c r="M672" s="20" t="s">
        <v>52</v>
      </c>
      <c r="N672" s="20" t="s">
        <v>53</v>
      </c>
      <c r="O672" s="20" t="s">
        <v>861</v>
      </c>
      <c r="P672" s="20" t="s">
        <v>126</v>
      </c>
      <c r="Q672" s="20" t="s">
        <v>56</v>
      </c>
      <c r="R672" s="20" t="s">
        <v>90</v>
      </c>
      <c r="S672" s="20" t="s">
        <v>143</v>
      </c>
      <c r="T672" s="20" t="s">
        <v>59</v>
      </c>
      <c r="U672" s="20">
        <v>2026.0</v>
      </c>
      <c r="V672" s="20">
        <v>6.0</v>
      </c>
      <c r="W672" s="20">
        <v>1.081875692E9</v>
      </c>
      <c r="X672" s="20">
        <v>1.081894164E9</v>
      </c>
      <c r="Y672" s="22">
        <v>46182.0</v>
      </c>
      <c r="Z672" s="22">
        <v>46207.0</v>
      </c>
      <c r="AA672" s="20">
        <v>824140.45</v>
      </c>
      <c r="AB672" s="20">
        <v>824140.45</v>
      </c>
      <c r="AC672" s="20">
        <v>268648.31</v>
      </c>
      <c r="AD672" s="20">
        <v>2633.0</v>
      </c>
      <c r="AE672" s="20">
        <v>18195.53</v>
      </c>
      <c r="AF672" s="20">
        <v>0.0</v>
      </c>
      <c r="AG672" s="20">
        <v>0.0</v>
      </c>
      <c r="AH672" s="20">
        <v>0.0</v>
      </c>
      <c r="AI672" s="20">
        <v>0.0</v>
      </c>
      <c r="AJ672" s="20">
        <v>824140.45</v>
      </c>
      <c r="AK672" s="20">
        <v>1640863.45</v>
      </c>
      <c r="AL672" s="20">
        <v>1.0</v>
      </c>
      <c r="AM672" s="20">
        <v>376.2</v>
      </c>
      <c r="AN672" s="20">
        <v>0.0</v>
      </c>
      <c r="AS672" s="11" t="str">
        <f>VLOOKUP(C672,'mayo-26'!B:AS,44,0)</f>
        <v>COORDINADOR.OPERACIONES.R11@JERONIMO-MARTINS.COM</v>
      </c>
      <c r="AT672" s="12" t="str">
        <f>VLOOKUP(C672,'mayo-26'!B:AT,45,0)</f>
        <v>CORREO ELECTRONICO CERTIFICADO 472</v>
      </c>
    </row>
    <row r="673" ht="14.25" customHeight="1">
      <c r="A673" s="20" t="s">
        <v>1439</v>
      </c>
      <c r="B673" s="20">
        <v>703.0</v>
      </c>
      <c r="C673" s="20">
        <v>702.0</v>
      </c>
      <c r="D673" s="21">
        <v>702.0</v>
      </c>
      <c r="E673" s="20">
        <v>9.0291875E7</v>
      </c>
      <c r="F673" s="20">
        <v>9.0291875E7</v>
      </c>
      <c r="G673" s="20">
        <v>9.0291875E7</v>
      </c>
      <c r="H673" s="20" t="s">
        <v>1440</v>
      </c>
      <c r="I673" s="1" t="str">
        <f>VLOOKUP(C673,'mayo-26'!B:H,7,0)</f>
        <v>A12 CC JARDIN PLAZA</v>
      </c>
      <c r="J673" s="1" t="s">
        <v>991</v>
      </c>
      <c r="K673" s="10" t="str">
        <f>VLOOKUP(C673,'mayo-26'!B:J,9,0)</f>
        <v>JARDIN PLAZA</v>
      </c>
      <c r="L673" s="1" t="str">
        <f>VLOOKUP(C673,'mayo-26'!B:K,10,0)</f>
        <v>JARDIN PLAZA</v>
      </c>
      <c r="M673" s="20" t="s">
        <v>52</v>
      </c>
      <c r="N673" s="20" t="s">
        <v>89</v>
      </c>
      <c r="O673" s="20" t="s">
        <v>861</v>
      </c>
      <c r="P673" s="20" t="s">
        <v>126</v>
      </c>
      <c r="Q673" s="20" t="s">
        <v>56</v>
      </c>
      <c r="R673" s="20" t="s">
        <v>90</v>
      </c>
      <c r="S673" s="20" t="s">
        <v>143</v>
      </c>
      <c r="T673" s="20" t="s">
        <v>59</v>
      </c>
      <c r="U673" s="20">
        <v>2026.0</v>
      </c>
      <c r="V673" s="20">
        <v>6.0</v>
      </c>
      <c r="W673" s="20">
        <v>1.081875696E9</v>
      </c>
      <c r="X673" s="20">
        <v>1.081894168E9</v>
      </c>
      <c r="Y673" s="22">
        <v>46182.0</v>
      </c>
      <c r="Z673" s="22">
        <v>46207.0</v>
      </c>
      <c r="AA673" s="20">
        <v>323469.97</v>
      </c>
      <c r="AB673" s="20">
        <v>323469.97</v>
      </c>
      <c r="AC673" s="20">
        <v>107823.33</v>
      </c>
      <c r="AD673" s="20">
        <v>938.0</v>
      </c>
      <c r="AE673" s="20">
        <v>0.0</v>
      </c>
      <c r="AF673" s="20">
        <v>0.0</v>
      </c>
      <c r="AG673" s="20">
        <v>0.0</v>
      </c>
      <c r="AH673" s="20">
        <v>0.0</v>
      </c>
      <c r="AI673" s="20">
        <v>0.0</v>
      </c>
      <c r="AJ673" s="20">
        <v>323469.97</v>
      </c>
      <c r="AK673" s="20">
        <v>323469.97</v>
      </c>
      <c r="AL673" s="20">
        <v>0.0</v>
      </c>
      <c r="AM673" s="20">
        <v>376.2</v>
      </c>
      <c r="AN673" s="20">
        <v>0.0</v>
      </c>
      <c r="AS673" s="11" t="str">
        <f>VLOOKUP(C673,'mayo-26'!B:AS,44,0)</f>
        <v>FACTURACION@DIVERSIONESDELORIENTE.COM</v>
      </c>
      <c r="AT673" s="12" t="str">
        <f>VLOOKUP(C673,'mayo-26'!B:AT,45,0)</f>
        <v>VERIFICADOR</v>
      </c>
    </row>
    <row r="674" ht="14.25" customHeight="1">
      <c r="A674" s="20" t="s">
        <v>1441</v>
      </c>
      <c r="B674" s="20">
        <v>89267.0</v>
      </c>
      <c r="C674" s="20">
        <v>89266.0</v>
      </c>
      <c r="D674" s="21">
        <v>89266.0</v>
      </c>
      <c r="E674" s="20">
        <v>51796.0</v>
      </c>
      <c r="F674" s="20">
        <v>51796.0</v>
      </c>
      <c r="G674" s="20">
        <v>51796.0</v>
      </c>
      <c r="H674" s="20" t="s">
        <v>1442</v>
      </c>
      <c r="I674" s="1" t="str">
        <f>VLOOKUP(C674,'mayo-26'!B:H,7,0)</f>
        <v>CLL 17 0-88 - 0093724</v>
      </c>
      <c r="J674" s="1" t="s">
        <v>343</v>
      </c>
      <c r="K674" s="10" t="str">
        <f>VLOOKUP(C674,'mayo-26'!B:J,9,0)</f>
        <v>NO</v>
      </c>
      <c r="L674" s="1" t="str">
        <f>VLOOKUP(C674,'mayo-26'!B:K,10,0)</f>
        <v>NO</v>
      </c>
      <c r="M674" s="20" t="s">
        <v>52</v>
      </c>
      <c r="N674" s="20" t="s">
        <v>89</v>
      </c>
      <c r="O674" s="20" t="s">
        <v>861</v>
      </c>
      <c r="P674" s="20" t="s">
        <v>126</v>
      </c>
      <c r="Q674" s="20" t="s">
        <v>131</v>
      </c>
      <c r="R674" s="20" t="s">
        <v>132</v>
      </c>
      <c r="S674" s="20" t="s">
        <v>133</v>
      </c>
      <c r="T674" s="20" t="s">
        <v>59</v>
      </c>
      <c r="U674" s="20">
        <v>2026.0</v>
      </c>
      <c r="V674" s="20">
        <v>6.0</v>
      </c>
      <c r="W674" s="20">
        <v>1.081875715E9</v>
      </c>
      <c r="X674" s="20">
        <v>1.081894187E9</v>
      </c>
      <c r="Y674" s="22">
        <v>46182.0</v>
      </c>
      <c r="Z674" s="22">
        <v>46207.0</v>
      </c>
      <c r="AA674" s="20">
        <v>134102.59</v>
      </c>
      <c r="AB674" s="20">
        <v>134102.59</v>
      </c>
      <c r="AC674" s="20">
        <v>37709.5</v>
      </c>
      <c r="AD674" s="20">
        <v>0.0</v>
      </c>
      <c r="AE674" s="20">
        <v>20974.09</v>
      </c>
      <c r="AF674" s="20">
        <v>0.0</v>
      </c>
      <c r="AG674" s="20">
        <v>0.0</v>
      </c>
      <c r="AH674" s="20">
        <v>0.0</v>
      </c>
      <c r="AI674" s="20">
        <v>0.0</v>
      </c>
      <c r="AJ674" s="20">
        <v>134102.59</v>
      </c>
      <c r="AK674" s="20">
        <v>1434053.87</v>
      </c>
      <c r="AL674" s="20">
        <v>11.0</v>
      </c>
      <c r="AM674" s="20">
        <v>376.2</v>
      </c>
      <c r="AN674" s="20">
        <v>0.0</v>
      </c>
      <c r="AS674" s="11" t="str">
        <f>VLOOKUP(C674,'mayo-26'!B:AS,44,0)</f>
        <v>sebzgod@gmail.com</v>
      </c>
      <c r="AT674" s="12" t="str">
        <f>VLOOKUP(C674,'mayo-26'!B:AT,45,0)</f>
        <v>CORREO ELECTRONICO CERTIFICADO 472</v>
      </c>
    </row>
    <row r="675" ht="14.25" customHeight="1">
      <c r="A675" s="20" t="s">
        <v>1443</v>
      </c>
      <c r="B675" s="20">
        <v>314877.0</v>
      </c>
      <c r="C675" s="20">
        <v>95862.0</v>
      </c>
      <c r="D675" s="21">
        <v>95862.0</v>
      </c>
      <c r="E675" s="20">
        <v>458078.0</v>
      </c>
      <c r="F675" s="20">
        <v>458078.0</v>
      </c>
      <c r="G675" s="20">
        <v>8.60503159E8</v>
      </c>
      <c r="H675" s="20" t="s">
        <v>371</v>
      </c>
      <c r="I675" s="1" t="str">
        <f>VLOOKUP(C675,'mayo-26'!B:H,7,0)</f>
        <v>AVE LIBERTADORES CANAL BOGOTA LOC 23 1079</v>
      </c>
      <c r="J675" s="1" t="s">
        <v>942</v>
      </c>
      <c r="K675" s="10" t="str">
        <f>VLOOKUP(C675,'mayo-26'!B:J,9,0)</f>
        <v>CENTRO</v>
      </c>
      <c r="L675" s="1" t="str">
        <f>VLOOKUP(C675,'mayo-26'!B:K,10,0)</f>
        <v>PASH</v>
      </c>
      <c r="M675" s="20" t="s">
        <v>52</v>
      </c>
      <c r="N675" s="20" t="s">
        <v>89</v>
      </c>
      <c r="O675" s="20" t="s">
        <v>861</v>
      </c>
      <c r="P675" s="20" t="s">
        <v>126</v>
      </c>
      <c r="Q675" s="20" t="s">
        <v>131</v>
      </c>
      <c r="R675" s="20" t="s">
        <v>132</v>
      </c>
      <c r="S675" s="20" t="s">
        <v>133</v>
      </c>
      <c r="T675" s="20" t="s">
        <v>59</v>
      </c>
      <c r="U675" s="20">
        <v>2026.0</v>
      </c>
      <c r="V675" s="20">
        <v>6.0</v>
      </c>
      <c r="W675" s="20">
        <v>1.081875721E9</v>
      </c>
      <c r="X675" s="20">
        <v>1.081894193E9</v>
      </c>
      <c r="Y675" s="22">
        <v>46182.0</v>
      </c>
      <c r="Z675" s="22">
        <v>46207.0</v>
      </c>
      <c r="AA675" s="20">
        <v>113128.5</v>
      </c>
      <c r="AB675" s="20">
        <v>113128.5</v>
      </c>
      <c r="AC675" s="20">
        <v>37709.5</v>
      </c>
      <c r="AD675" s="20">
        <v>0.0</v>
      </c>
      <c r="AE675" s="20">
        <v>0.0</v>
      </c>
      <c r="AF675" s="20">
        <v>0.0</v>
      </c>
      <c r="AG675" s="20">
        <v>0.0</v>
      </c>
      <c r="AH675" s="20">
        <v>0.0</v>
      </c>
      <c r="AI675" s="20">
        <v>0.0</v>
      </c>
      <c r="AJ675" s="20">
        <v>113128.5</v>
      </c>
      <c r="AK675" s="20">
        <v>113128.5</v>
      </c>
      <c r="AL675" s="20">
        <v>0.0</v>
      </c>
      <c r="AM675" s="20">
        <v>376.2</v>
      </c>
      <c r="AN675" s="20">
        <v>0.0</v>
      </c>
      <c r="AS675" s="11" t="str">
        <f>VLOOKUP(C675,'mayo-26'!B:AS,44,0)</f>
        <v>SERVICIOSPUBLICOS@PASH.COM.CO; abayona@tekstelas.com; kguavita@tekstelas.com</v>
      </c>
      <c r="AT675" s="12" t="str">
        <f>VLOOKUP(C675,'mayo-26'!B:AT,45,0)</f>
        <v>VERIFICADOR</v>
      </c>
    </row>
    <row r="676" ht="14.25" customHeight="1">
      <c r="A676" s="20" t="s">
        <v>1444</v>
      </c>
      <c r="B676" s="20">
        <v>95931.0</v>
      </c>
      <c r="C676" s="20">
        <v>95930.0</v>
      </c>
      <c r="D676" s="21">
        <v>95930.0</v>
      </c>
      <c r="E676" s="20">
        <v>457785.0</v>
      </c>
      <c r="F676" s="20">
        <v>457785.0</v>
      </c>
      <c r="G676" s="20">
        <v>9.00439301E8</v>
      </c>
      <c r="H676" s="20" t="s">
        <v>1033</v>
      </c>
      <c r="I676" s="1" t="str">
        <f>VLOOKUP(C676,'mayo-26'!B:H,7,0)</f>
        <v>CLL 10 0E-51 LOC 1-16 VENTURA</v>
      </c>
      <c r="J676" s="1" t="s">
        <v>942</v>
      </c>
      <c r="K676" s="10" t="str">
        <f>VLOOKUP(C676,'mayo-26'!B:J,9,0)</f>
        <v>CENTRO</v>
      </c>
      <c r="L676" s="1" t="str">
        <f>VLOOKUP(C676,'mayo-26'!B:K,10,0)</f>
        <v>KFC</v>
      </c>
      <c r="M676" s="20" t="s">
        <v>52</v>
      </c>
      <c r="N676" s="20" t="s">
        <v>89</v>
      </c>
      <c r="O676" s="20" t="s">
        <v>861</v>
      </c>
      <c r="P676" s="20" t="s">
        <v>126</v>
      </c>
      <c r="Q676" s="20" t="s">
        <v>131</v>
      </c>
      <c r="R676" s="20" t="s">
        <v>132</v>
      </c>
      <c r="S676" s="20" t="s">
        <v>133</v>
      </c>
      <c r="T676" s="20" t="s">
        <v>59</v>
      </c>
      <c r="U676" s="20">
        <v>2026.0</v>
      </c>
      <c r="V676" s="20">
        <v>6.0</v>
      </c>
      <c r="W676" s="20">
        <v>1.081875724E9</v>
      </c>
      <c r="X676" s="20">
        <v>1.081894196E9</v>
      </c>
      <c r="Y676" s="22">
        <v>46182.0</v>
      </c>
      <c r="Z676" s="22">
        <v>46207.0</v>
      </c>
      <c r="AA676" s="20">
        <v>113128.5</v>
      </c>
      <c r="AB676" s="20">
        <v>113128.5</v>
      </c>
      <c r="AC676" s="20">
        <v>37709.5</v>
      </c>
      <c r="AD676" s="20">
        <v>0.0</v>
      </c>
      <c r="AE676" s="20">
        <v>0.0</v>
      </c>
      <c r="AF676" s="20">
        <v>0.0</v>
      </c>
      <c r="AG676" s="20">
        <v>0.0</v>
      </c>
      <c r="AH676" s="20">
        <v>0.0</v>
      </c>
      <c r="AI676" s="20">
        <v>0.0</v>
      </c>
      <c r="AJ676" s="20">
        <v>113128.5</v>
      </c>
      <c r="AK676" s="20">
        <v>227040.0</v>
      </c>
      <c r="AL676" s="20">
        <v>1.0</v>
      </c>
      <c r="AM676" s="20">
        <v>376.2</v>
      </c>
      <c r="AN676" s="20">
        <v>0.0</v>
      </c>
      <c r="AS676" s="11" t="str">
        <f>VLOOKUP(C676,'mayo-26'!B:AS,44,0)</f>
        <v>SERVICIOSPUBLICOS@KFC.CO</v>
      </c>
      <c r="AT676" s="12" t="str">
        <f>VLOOKUP(C676,'mayo-26'!B:AT,45,0)</f>
        <v>VERIFICADOR</v>
      </c>
    </row>
    <row r="677" ht="14.25" customHeight="1">
      <c r="A677" s="20" t="s">
        <v>1445</v>
      </c>
      <c r="B677" s="20">
        <v>297.0</v>
      </c>
      <c r="C677" s="20">
        <v>96818.0</v>
      </c>
      <c r="D677" s="21">
        <v>96818.0</v>
      </c>
      <c r="E677" s="20">
        <v>194289.0</v>
      </c>
      <c r="F677" s="20">
        <v>194289.0</v>
      </c>
      <c r="G677" s="20" t="s">
        <v>135</v>
      </c>
      <c r="H677" s="20" t="s">
        <v>136</v>
      </c>
      <c r="I677" s="1" t="str">
        <f>VLOOKUP(C677,'mayo-26'!B:H,7,0)</f>
        <v>AVE 4 17-89 - 0239431</v>
      </c>
      <c r="J677" s="1" t="s">
        <v>1446</v>
      </c>
      <c r="K677" s="10" t="str">
        <f>VLOOKUP(C677,'mayo-26'!B:J,9,0)</f>
        <v>NO</v>
      </c>
      <c r="L677" s="1" t="str">
        <f>VLOOKUP(C677,'mayo-26'!B:K,10,0)</f>
        <v>IMSALUD</v>
      </c>
      <c r="M677" s="20" t="s">
        <v>52</v>
      </c>
      <c r="N677" s="20" t="s">
        <v>1060</v>
      </c>
      <c r="O677" s="20" t="s">
        <v>861</v>
      </c>
      <c r="P677" s="20" t="s">
        <v>126</v>
      </c>
      <c r="Q677" s="20" t="s">
        <v>131</v>
      </c>
      <c r="R677" s="20" t="s">
        <v>1111</v>
      </c>
      <c r="S677" s="20" t="s">
        <v>133</v>
      </c>
      <c r="T677" s="20" t="s">
        <v>59</v>
      </c>
      <c r="U677" s="20">
        <v>2026.0</v>
      </c>
      <c r="V677" s="20">
        <v>6.0</v>
      </c>
      <c r="W677" s="20">
        <v>1.081875729E9</v>
      </c>
      <c r="X677" s="20">
        <v>1.081894201E9</v>
      </c>
      <c r="Y677" s="22">
        <v>46182.0</v>
      </c>
      <c r="Z677" s="22">
        <v>46207.0</v>
      </c>
      <c r="AA677" s="20">
        <v>16393.0</v>
      </c>
      <c r="AB677" s="20">
        <v>16393.0</v>
      </c>
      <c r="AC677" s="20">
        <v>0.0</v>
      </c>
      <c r="AD677" s="20">
        <v>0.0</v>
      </c>
      <c r="AE677" s="20">
        <v>0.0</v>
      </c>
      <c r="AF677" s="20">
        <v>0.0</v>
      </c>
      <c r="AG677" s="20">
        <v>0.0</v>
      </c>
      <c r="AH677" s="20">
        <v>0.0</v>
      </c>
      <c r="AI677" s="20">
        <v>0.0</v>
      </c>
      <c r="AJ677" s="20">
        <v>16393.0</v>
      </c>
      <c r="AK677" s="20">
        <v>16393.0</v>
      </c>
      <c r="AL677" s="20">
        <v>0.0</v>
      </c>
      <c r="AM677" s="20">
        <v>250.8</v>
      </c>
      <c r="AN677" s="20">
        <v>0.0</v>
      </c>
      <c r="AS677" s="11" t="str">
        <f>VLOOKUP(C677,'mayo-26'!B:AS,44,0)</f>
        <v>SUBFINANCIERA@IMSALUD.GOV.CO</v>
      </c>
      <c r="AT677" s="12" t="str">
        <f>VLOOKUP(C677,'mayo-26'!B:AT,45,0)</f>
        <v>CORREO ELECTRONICO CERTIFICADO 472</v>
      </c>
    </row>
    <row r="678" ht="14.25" customHeight="1">
      <c r="B678" s="20">
        <v>97139.0</v>
      </c>
      <c r="C678" s="20">
        <v>97138.0</v>
      </c>
      <c r="D678" s="21">
        <v>97138.0</v>
      </c>
      <c r="E678" s="20">
        <v>479050.0</v>
      </c>
      <c r="F678" s="20">
        <v>479050.0</v>
      </c>
      <c r="G678" s="20">
        <v>9.0102504E7</v>
      </c>
      <c r="H678" s="20" t="s">
        <v>1080</v>
      </c>
      <c r="I678" s="1" t="str">
        <f>VLOOKUP(C678,'mayo-26'!B:H,7,0)</f>
        <v>#N/A</v>
      </c>
      <c r="J678" s="1" t="e">
        <v>#N/A</v>
      </c>
      <c r="K678" s="10" t="str">
        <f>VLOOKUP(C678,'mayo-26'!B:J,9,0)</f>
        <v>#N/A</v>
      </c>
      <c r="L678" s="1" t="str">
        <f>VLOOKUP(C678,'mayo-26'!B:K,10,0)</f>
        <v>#N/A</v>
      </c>
      <c r="M678" s="20" t="s">
        <v>52</v>
      </c>
      <c r="N678" s="20" t="s">
        <v>89</v>
      </c>
      <c r="O678" s="20" t="s">
        <v>861</v>
      </c>
      <c r="P678" s="20" t="s">
        <v>126</v>
      </c>
      <c r="Q678" s="20" t="s">
        <v>131</v>
      </c>
      <c r="R678" s="20" t="s">
        <v>132</v>
      </c>
      <c r="S678" s="20" t="s">
        <v>133</v>
      </c>
      <c r="T678" s="20" t="s">
        <v>59</v>
      </c>
      <c r="U678" s="20">
        <v>2026.0</v>
      </c>
      <c r="V678" s="20">
        <v>6.0</v>
      </c>
      <c r="W678" s="20">
        <v>1.081875734E9</v>
      </c>
      <c r="X678" s="20">
        <v>1.081894206E9</v>
      </c>
      <c r="Y678" s="22">
        <v>46182.0</v>
      </c>
      <c r="Z678" s="22">
        <v>46207.0</v>
      </c>
      <c r="AA678" s="20">
        <v>114389.91</v>
      </c>
      <c r="AB678" s="20">
        <v>114389.91</v>
      </c>
      <c r="AC678" s="20">
        <v>37709.5</v>
      </c>
      <c r="AD678" s="20">
        <v>0.0</v>
      </c>
      <c r="AE678" s="20">
        <v>1261.41</v>
      </c>
      <c r="AF678" s="20">
        <v>0.0</v>
      </c>
      <c r="AG678" s="20">
        <v>0.0</v>
      </c>
      <c r="AH678" s="20">
        <v>0.0</v>
      </c>
      <c r="AI678" s="20">
        <v>0.0</v>
      </c>
      <c r="AJ678" s="20">
        <v>114389.91</v>
      </c>
      <c r="AK678" s="20">
        <v>359234.54</v>
      </c>
      <c r="AL678" s="20">
        <v>2.0</v>
      </c>
      <c r="AM678" s="20">
        <v>376.2</v>
      </c>
      <c r="AN678" s="20">
        <v>0.0</v>
      </c>
      <c r="AS678" s="11" t="str">
        <f>VLOOKUP(C678,'mayo-26'!B:AS,44,0)</f>
        <v>#N/A</v>
      </c>
      <c r="AT678" s="12" t="str">
        <f>VLOOKUP(C678,'mayo-26'!B:AT,45,0)</f>
        <v>#N/A</v>
      </c>
    </row>
    <row r="679" ht="14.25" customHeight="1">
      <c r="A679" s="20" t="s">
        <v>1447</v>
      </c>
      <c r="B679" s="20">
        <v>699.0</v>
      </c>
      <c r="C679" s="20">
        <v>9902.0</v>
      </c>
      <c r="D679" s="21">
        <v>9902.0</v>
      </c>
      <c r="E679" s="20">
        <v>22750.0</v>
      </c>
      <c r="F679" s="20">
        <v>22750.0</v>
      </c>
      <c r="G679" s="20">
        <v>9.00480569E8</v>
      </c>
      <c r="H679" s="20" t="s">
        <v>141</v>
      </c>
      <c r="I679" s="1" t="str">
        <f>VLOOKUP(C679,'mayo-26'!B:H,7,0)</f>
        <v>CLL 12 4-52 CENTRO</v>
      </c>
      <c r="J679" s="1" t="s">
        <v>926</v>
      </c>
      <c r="K679" s="10" t="str">
        <f>VLOOKUP(C679,'mayo-26'!B:J,9,0)</f>
        <v>NO</v>
      </c>
      <c r="L679" s="1" t="str">
        <f>VLOOKUP(C679,'mayo-26'!B:K,10,0)</f>
        <v>ARA CUCUTA</v>
      </c>
      <c r="M679" s="20" t="s">
        <v>52</v>
      </c>
      <c r="N679" s="20" t="s">
        <v>53</v>
      </c>
      <c r="O679" s="20" t="s">
        <v>861</v>
      </c>
      <c r="P679" s="20" t="s">
        <v>126</v>
      </c>
      <c r="Q679" s="20" t="s">
        <v>56</v>
      </c>
      <c r="R679" s="20" t="s">
        <v>90</v>
      </c>
      <c r="S679" s="20" t="s">
        <v>143</v>
      </c>
      <c r="T679" s="20" t="s">
        <v>59</v>
      </c>
      <c r="U679" s="20">
        <v>2026.0</v>
      </c>
      <c r="V679" s="20">
        <v>6.0</v>
      </c>
      <c r="W679" s="20">
        <v>1.0818757E9</v>
      </c>
      <c r="X679" s="20">
        <v>1.081894172E9</v>
      </c>
      <c r="Y679" s="22">
        <v>46182.0</v>
      </c>
      <c r="Z679" s="22">
        <v>46207.0</v>
      </c>
      <c r="AA679" s="20">
        <v>977301.84</v>
      </c>
      <c r="AB679" s="20">
        <v>977301.84</v>
      </c>
      <c r="AC679" s="20">
        <v>325767.29</v>
      </c>
      <c r="AD679" s="20">
        <v>3235.0</v>
      </c>
      <c r="AE679" s="20">
        <v>0.0</v>
      </c>
      <c r="AF679" s="20">
        <v>0.0</v>
      </c>
      <c r="AG679" s="20">
        <v>0.0</v>
      </c>
      <c r="AH679" s="20">
        <v>0.0</v>
      </c>
      <c r="AI679" s="20">
        <v>0.0</v>
      </c>
      <c r="AJ679" s="20">
        <v>977301.84</v>
      </c>
      <c r="AK679" s="20">
        <v>977301.84</v>
      </c>
      <c r="AL679" s="20">
        <v>0.0</v>
      </c>
      <c r="AM679" s="20">
        <v>376.2</v>
      </c>
      <c r="AN679" s="20">
        <v>0.0</v>
      </c>
      <c r="AS679" s="11" t="str">
        <f>VLOOKUP(C679,'mayo-26'!B:AS,44,0)</f>
        <v>COORDINADOR.OPERACIONES.R11@JERONIMO-MARTINS.COM</v>
      </c>
      <c r="AT679" s="12" t="str">
        <f>VLOOKUP(C679,'mayo-26'!B:AT,45,0)</f>
        <v>CORREO ELECTRONICO CERTIFICADO 472</v>
      </c>
    </row>
    <row r="680" ht="14.25" customHeight="1">
      <c r="A680" s="20" t="s">
        <v>1448</v>
      </c>
      <c r="B680" s="20">
        <v>129.0</v>
      </c>
      <c r="C680" s="20">
        <v>128.0</v>
      </c>
      <c r="D680" s="21">
        <v>128.0</v>
      </c>
      <c r="E680" s="20">
        <v>9.020891E7</v>
      </c>
      <c r="F680" s="20">
        <v>9.020891E7</v>
      </c>
      <c r="G680" s="20">
        <v>8.90050477E8</v>
      </c>
      <c r="H680" s="20" t="s">
        <v>1449</v>
      </c>
      <c r="I680" s="1" t="str">
        <f>VLOOKUP(C680,'mayo-26'!B:H,7,0)</f>
        <v>CLL 10B 12B-42 TORCOROMA</v>
      </c>
      <c r="J680" s="1" t="s">
        <v>1450</v>
      </c>
      <c r="K680" s="10" t="str">
        <f>VLOOKUP(C680,'mayo-26'!B:J,9,0)</f>
        <v>NO</v>
      </c>
      <c r="L680" s="1" t="str">
        <f>VLOOKUP(C680,'mayo-26'!B:K,10,0)</f>
        <v>COLEGIOS ZONA SUR</v>
      </c>
      <c r="M680" s="20" t="s">
        <v>52</v>
      </c>
      <c r="N680" s="20" t="s">
        <v>89</v>
      </c>
      <c r="O680" s="20" t="s">
        <v>861</v>
      </c>
      <c r="P680" s="20" t="s">
        <v>126</v>
      </c>
      <c r="Q680" s="20" t="s">
        <v>56</v>
      </c>
      <c r="R680" s="20" t="s">
        <v>57</v>
      </c>
      <c r="S680" s="20" t="s">
        <v>143</v>
      </c>
      <c r="T680" s="20" t="s">
        <v>59</v>
      </c>
      <c r="U680" s="20">
        <v>2026.0</v>
      </c>
      <c r="V680" s="20">
        <v>6.0</v>
      </c>
      <c r="W680" s="20">
        <v>1.081875334E9</v>
      </c>
      <c r="X680" s="20">
        <v>1.081893806E9</v>
      </c>
      <c r="Y680" s="22">
        <v>46182.0</v>
      </c>
      <c r="Z680" s="22">
        <v>46207.0</v>
      </c>
      <c r="AA680" s="20">
        <v>157768.61</v>
      </c>
      <c r="AB680" s="20">
        <v>157768.61</v>
      </c>
      <c r="AC680" s="20">
        <v>0.0</v>
      </c>
      <c r="AD680" s="20">
        <v>633.0</v>
      </c>
      <c r="AE680" s="20">
        <v>0.0</v>
      </c>
      <c r="AF680" s="20">
        <v>0.0</v>
      </c>
      <c r="AG680" s="20">
        <v>0.0</v>
      </c>
      <c r="AH680" s="20">
        <v>0.0</v>
      </c>
      <c r="AI680" s="20">
        <v>0.0</v>
      </c>
      <c r="AJ680" s="20">
        <v>157768.61</v>
      </c>
      <c r="AK680" s="20">
        <v>471425.82</v>
      </c>
      <c r="AL680" s="20">
        <v>3.0</v>
      </c>
      <c r="AM680" s="20">
        <v>250.8</v>
      </c>
      <c r="AN680" s="20">
        <v>0.0</v>
      </c>
      <c r="AS680" s="11" t="str">
        <f>VLOOKUP(C680,'mayo-26'!B:AS,44,0)</f>
        <v>AREAFINANCIERA@SEMCUCUTA.GOV.CO</v>
      </c>
      <c r="AT680" s="12" t="str">
        <f>VLOOKUP(C680,'mayo-26'!B:AT,45,0)</f>
        <v>CARTERA</v>
      </c>
    </row>
    <row r="681" ht="14.25" customHeight="1">
      <c r="A681" s="20" t="s">
        <v>1451</v>
      </c>
      <c r="B681" s="20">
        <v>133.0</v>
      </c>
      <c r="C681" s="20">
        <v>132.0</v>
      </c>
      <c r="D681" s="21">
        <v>132.0</v>
      </c>
      <c r="E681" s="20">
        <v>9.0211962E7</v>
      </c>
      <c r="F681" s="20">
        <v>9.0211962E7</v>
      </c>
      <c r="G681" s="20" t="s">
        <v>1452</v>
      </c>
      <c r="H681" s="20" t="s">
        <v>1453</v>
      </c>
      <c r="I681" s="1" t="str">
        <f>VLOOKUP(C681,'mayo-26'!B:H,7,0)</f>
        <v>AVE 9 # 3-45 LA UNION</v>
      </c>
      <c r="J681" s="1" t="s">
        <v>1454</v>
      </c>
      <c r="K681" s="10" t="str">
        <f>VLOOKUP(C681,'mayo-26'!B:J,9,0)</f>
        <v>NO</v>
      </c>
      <c r="L681" s="1" t="str">
        <f>VLOOKUP(C681,'mayo-26'!B:K,10,0)</f>
        <v>COLEGIOS ZONA SUR</v>
      </c>
      <c r="M681" s="20" t="s">
        <v>52</v>
      </c>
      <c r="N681" s="20" t="s">
        <v>89</v>
      </c>
      <c r="O681" s="20" t="s">
        <v>861</v>
      </c>
      <c r="P681" s="20" t="s">
        <v>126</v>
      </c>
      <c r="Q681" s="20" t="s">
        <v>56</v>
      </c>
      <c r="R681" s="20" t="s">
        <v>57</v>
      </c>
      <c r="S681" s="20" t="s">
        <v>143</v>
      </c>
      <c r="T681" s="20" t="s">
        <v>59</v>
      </c>
      <c r="U681" s="20">
        <v>2026.0</v>
      </c>
      <c r="V681" s="20">
        <v>6.0</v>
      </c>
      <c r="W681" s="20">
        <v>1.081875338E9</v>
      </c>
      <c r="X681" s="20">
        <v>1.08189381E9</v>
      </c>
      <c r="Y681" s="22">
        <v>46182.0</v>
      </c>
      <c r="Z681" s="22">
        <v>46207.0</v>
      </c>
      <c r="AA681" s="20">
        <v>153404.04</v>
      </c>
      <c r="AB681" s="20">
        <v>153404.04</v>
      </c>
      <c r="AC681" s="20">
        <v>0.0</v>
      </c>
      <c r="AD681" s="20">
        <v>610.0</v>
      </c>
      <c r="AE681" s="20">
        <v>0.0</v>
      </c>
      <c r="AF681" s="20">
        <v>0.0</v>
      </c>
      <c r="AG681" s="20">
        <v>0.0</v>
      </c>
      <c r="AH681" s="20">
        <v>0.0</v>
      </c>
      <c r="AI681" s="20">
        <v>0.0</v>
      </c>
      <c r="AJ681" s="20">
        <v>153404.04</v>
      </c>
      <c r="AK681" s="20">
        <v>458433.82</v>
      </c>
      <c r="AL681" s="20">
        <v>2.0</v>
      </c>
      <c r="AM681" s="20">
        <v>250.8</v>
      </c>
      <c r="AN681" s="20">
        <v>0.0</v>
      </c>
      <c r="AS681" s="11" t="str">
        <f>VLOOKUP(C681,'mayo-26'!B:AS,44,0)</f>
        <v>AREAFINANCIERA@SEMCUCUTA.GOV.CO</v>
      </c>
      <c r="AT681" s="12" t="str">
        <f>VLOOKUP(C681,'mayo-26'!B:AT,45,0)</f>
        <v>CARTERA</v>
      </c>
    </row>
    <row r="682" ht="14.25" customHeight="1">
      <c r="A682" s="20" t="s">
        <v>1455</v>
      </c>
      <c r="B682" s="20">
        <v>137.0</v>
      </c>
      <c r="C682" s="20">
        <v>136.0</v>
      </c>
      <c r="D682" s="21">
        <v>136.0</v>
      </c>
      <c r="E682" s="20">
        <v>9.0213611E7</v>
      </c>
      <c r="F682" s="20">
        <v>9.0213611E7</v>
      </c>
      <c r="G682" s="20" t="s">
        <v>884</v>
      </c>
      <c r="H682" s="20" t="s">
        <v>1456</v>
      </c>
      <c r="I682" s="1" t="str">
        <f>VLOOKUP(C682,'mayo-26'!B:H,7,0)</f>
        <v>CLL 19 13-23 L</v>
      </c>
      <c r="J682" s="1" t="s">
        <v>882</v>
      </c>
      <c r="K682" s="10" t="str">
        <f>VLOOKUP(C682,'mayo-26'!B:J,9,0)</f>
        <v>NO</v>
      </c>
      <c r="L682" s="1" t="str">
        <f>VLOOKUP(C682,'mayo-26'!B:K,10,0)</f>
        <v>COLEGIOS ZONA SUR</v>
      </c>
      <c r="M682" s="20" t="s">
        <v>52</v>
      </c>
      <c r="N682" s="20" t="s">
        <v>89</v>
      </c>
      <c r="O682" s="20" t="s">
        <v>861</v>
      </c>
      <c r="P682" s="20" t="s">
        <v>126</v>
      </c>
      <c r="Q682" s="20" t="s">
        <v>56</v>
      </c>
      <c r="R682" s="20" t="s">
        <v>57</v>
      </c>
      <c r="S682" s="20" t="s">
        <v>143</v>
      </c>
      <c r="T682" s="20" t="s">
        <v>59</v>
      </c>
      <c r="U682" s="20">
        <v>2026.0</v>
      </c>
      <c r="V682" s="20">
        <v>6.0</v>
      </c>
      <c r="W682" s="20">
        <v>1.081875342E9</v>
      </c>
      <c r="X682" s="20">
        <v>1.081893814E9</v>
      </c>
      <c r="Y682" s="22">
        <v>46182.0</v>
      </c>
      <c r="Z682" s="22">
        <v>46207.0</v>
      </c>
      <c r="AA682" s="20">
        <v>617946.32</v>
      </c>
      <c r="AB682" s="20">
        <v>617946.32</v>
      </c>
      <c r="AC682" s="20">
        <v>0.0</v>
      </c>
      <c r="AD682" s="20">
        <v>3058.0</v>
      </c>
      <c r="AE682" s="20">
        <v>0.0</v>
      </c>
      <c r="AF682" s="20">
        <v>0.0</v>
      </c>
      <c r="AG682" s="20">
        <v>0.0</v>
      </c>
      <c r="AH682" s="20">
        <v>0.0</v>
      </c>
      <c r="AI682" s="20">
        <v>0.0</v>
      </c>
      <c r="AJ682" s="20">
        <v>617946.32</v>
      </c>
      <c r="AK682" s="20">
        <v>1841133.74</v>
      </c>
      <c r="AL682" s="20">
        <v>3.0</v>
      </c>
      <c r="AM682" s="20">
        <v>250.8</v>
      </c>
      <c r="AN682" s="20">
        <v>0.0</v>
      </c>
      <c r="AS682" s="11" t="str">
        <f>VLOOKUP(C682,'mayo-26'!B:AS,44,0)</f>
        <v>AREAFINANCIERA@SEMCUCUTA.GOV.CO</v>
      </c>
      <c r="AT682" s="12" t="str">
        <f>VLOOKUP(C682,'mayo-26'!B:AT,45,0)</f>
        <v>CARTERA</v>
      </c>
    </row>
    <row r="683" ht="14.25" customHeight="1">
      <c r="A683" s="20" t="s">
        <v>1457</v>
      </c>
      <c r="B683" s="20">
        <v>699.0</v>
      </c>
      <c r="C683" s="20">
        <v>13648.0</v>
      </c>
      <c r="D683" s="21">
        <v>13648.0</v>
      </c>
      <c r="E683" s="20">
        <v>14018.0</v>
      </c>
      <c r="F683" s="20">
        <v>14018.0</v>
      </c>
      <c r="G683" s="20">
        <v>9.00480569E8</v>
      </c>
      <c r="H683" s="20" t="s">
        <v>141</v>
      </c>
      <c r="I683" s="1" t="str">
        <f>VLOOKUP(C683,'mayo-26'!B:H,7,0)</f>
        <v>CLL 12 4-52 CENTRO</v>
      </c>
      <c r="J683" s="1" t="s">
        <v>915</v>
      </c>
      <c r="K683" s="10" t="str">
        <f>VLOOKUP(C683,'mayo-26'!B:J,9,0)</f>
        <v>NO</v>
      </c>
      <c r="L683" s="1" t="str">
        <f>VLOOKUP(C683,'mayo-26'!B:K,10,0)</f>
        <v>ARA CUCUTA</v>
      </c>
      <c r="M683" s="20" t="s">
        <v>52</v>
      </c>
      <c r="N683" s="20" t="s">
        <v>53</v>
      </c>
      <c r="O683" s="20" t="s">
        <v>861</v>
      </c>
      <c r="P683" s="20" t="s">
        <v>126</v>
      </c>
      <c r="Q683" s="20" t="s">
        <v>131</v>
      </c>
      <c r="R683" s="20" t="s">
        <v>132</v>
      </c>
      <c r="S683" s="20" t="s">
        <v>133</v>
      </c>
      <c r="T683" s="20" t="s">
        <v>59</v>
      </c>
      <c r="U683" s="20">
        <v>2026.0</v>
      </c>
      <c r="V683" s="20">
        <v>6.0</v>
      </c>
      <c r="W683" s="20">
        <v>1.081875669E9</v>
      </c>
      <c r="X683" s="20">
        <v>1.081894141E9</v>
      </c>
      <c r="Y683" s="22">
        <v>46182.0</v>
      </c>
      <c r="Z683" s="22">
        <v>46207.0</v>
      </c>
      <c r="AA683" s="20">
        <v>114389.91</v>
      </c>
      <c r="AB683" s="20">
        <v>114389.91</v>
      </c>
      <c r="AC683" s="20">
        <v>37709.5</v>
      </c>
      <c r="AD683" s="20">
        <v>0.0</v>
      </c>
      <c r="AE683" s="20">
        <v>1261.41</v>
      </c>
      <c r="AF683" s="20">
        <v>0.0</v>
      </c>
      <c r="AG683" s="20">
        <v>0.0</v>
      </c>
      <c r="AH683" s="20">
        <v>0.0</v>
      </c>
      <c r="AI683" s="20">
        <v>0.0</v>
      </c>
      <c r="AJ683" s="20">
        <v>114389.91</v>
      </c>
      <c r="AK683" s="20">
        <v>341128.78</v>
      </c>
      <c r="AL683" s="20">
        <v>2.0</v>
      </c>
      <c r="AM683" s="20">
        <v>376.2</v>
      </c>
      <c r="AN683" s="20">
        <v>0.0</v>
      </c>
      <c r="AS683" s="11" t="str">
        <f>VLOOKUP(C683,'mayo-26'!B:AS,44,0)</f>
        <v>COORDINADOR.OPERACIONES.R11@JERONIMO-MARTINS.COM</v>
      </c>
      <c r="AT683" s="12" t="str">
        <f>VLOOKUP(C683,'mayo-26'!B:AT,45,0)</f>
        <v>CORREO ELECTRONICO CERTIFICADO 472</v>
      </c>
    </row>
    <row r="684" ht="14.25" customHeight="1">
      <c r="A684" s="20" t="s">
        <v>1458</v>
      </c>
      <c r="B684" s="20">
        <v>141.0</v>
      </c>
      <c r="C684" s="20">
        <v>140.0</v>
      </c>
      <c r="D684" s="21">
        <v>140.0</v>
      </c>
      <c r="E684" s="20">
        <v>9.021488E7</v>
      </c>
      <c r="F684" s="20">
        <v>9.021488E7</v>
      </c>
      <c r="G684" s="20">
        <v>8.90500514E8</v>
      </c>
      <c r="H684" s="20" t="s">
        <v>145</v>
      </c>
      <c r="I684" s="1" t="str">
        <f>VLOOKUP(C684,'mayo-26'!B:H,7,0)</f>
        <v>AV 2 CALLE 39 LIBERTAD</v>
      </c>
      <c r="J684" s="1" t="s">
        <v>882</v>
      </c>
      <c r="K684" s="10" t="str">
        <f>VLOOKUP(C684,'mayo-26'!B:J,9,0)</f>
        <v>NO</v>
      </c>
      <c r="L684" s="1" t="str">
        <f>VLOOKUP(C684,'mayo-26'!B:K,10,0)</f>
        <v>CENS</v>
      </c>
      <c r="M684" s="20" t="s">
        <v>52</v>
      </c>
      <c r="N684" s="20" t="s">
        <v>53</v>
      </c>
      <c r="O684" s="20" t="s">
        <v>861</v>
      </c>
      <c r="P684" s="20" t="s">
        <v>126</v>
      </c>
      <c r="Q684" s="20" t="s">
        <v>131</v>
      </c>
      <c r="R684" s="20" t="s">
        <v>363</v>
      </c>
      <c r="S684" s="20" t="s">
        <v>133</v>
      </c>
      <c r="T684" s="20" t="s">
        <v>59</v>
      </c>
      <c r="U684" s="20">
        <v>2026.0</v>
      </c>
      <c r="V684" s="20">
        <v>6.0</v>
      </c>
      <c r="W684" s="20">
        <v>1.081875345E9</v>
      </c>
      <c r="X684" s="20">
        <v>1.081893817E9</v>
      </c>
      <c r="Y684" s="22">
        <v>46182.0</v>
      </c>
      <c r="Z684" s="22">
        <v>46207.0</v>
      </c>
      <c r="AA684" s="20">
        <v>75366.0</v>
      </c>
      <c r="AB684" s="20">
        <v>75366.0</v>
      </c>
      <c r="AC684" s="20">
        <v>25122.0</v>
      </c>
      <c r="AD684" s="20">
        <v>0.0</v>
      </c>
      <c r="AE684" s="20">
        <v>0.0</v>
      </c>
      <c r="AF684" s="20">
        <v>0.0</v>
      </c>
      <c r="AG684" s="20">
        <v>0.0</v>
      </c>
      <c r="AH684" s="20">
        <v>0.0</v>
      </c>
      <c r="AI684" s="20">
        <v>0.0</v>
      </c>
      <c r="AJ684" s="20">
        <v>75366.0</v>
      </c>
      <c r="AK684" s="20">
        <v>75366.0</v>
      </c>
      <c r="AL684" s="20">
        <v>0.0</v>
      </c>
      <c r="AM684" s="20">
        <v>376.2</v>
      </c>
      <c r="AN684" s="20">
        <v>0.0</v>
      </c>
      <c r="AS684" s="11" t="str">
        <f>VLOOKUP(C684,'mayo-26'!B:AS,44,0)</f>
        <v>FACTURAELECTRONICACENS@GRUPO-EPM.COM</v>
      </c>
      <c r="AT684" s="12" t="str">
        <f>VLOOKUP(C684,'mayo-26'!B:AT,45,0)</f>
        <v>CORREO ELECTRONICO CERTIFICADO 472</v>
      </c>
    </row>
    <row r="685" ht="14.25" customHeight="1">
      <c r="A685" s="20" t="s">
        <v>1459</v>
      </c>
      <c r="B685" s="20">
        <v>297.0</v>
      </c>
      <c r="C685" s="20">
        <v>144.0</v>
      </c>
      <c r="D685" s="21">
        <v>144.0</v>
      </c>
      <c r="E685" s="20">
        <v>9.0217208E7</v>
      </c>
      <c r="F685" s="20">
        <v>9.0217208E7</v>
      </c>
      <c r="G685" s="20" t="s">
        <v>135</v>
      </c>
      <c r="H685" s="20" t="s">
        <v>136</v>
      </c>
      <c r="I685" s="1" t="str">
        <f>VLOOKUP(C685,'mayo-26'!B:H,7,0)</f>
        <v>AVE 4 17-89 - 0239431</v>
      </c>
      <c r="J685" s="1" t="s">
        <v>1023</v>
      </c>
      <c r="K685" s="10" t="str">
        <f>VLOOKUP(C685,'mayo-26'!B:J,9,0)</f>
        <v>NO</v>
      </c>
      <c r="L685" s="1" t="str">
        <f>VLOOKUP(C685,'mayo-26'!B:K,10,0)</f>
        <v>IMSALUD</v>
      </c>
      <c r="M685" s="20" t="s">
        <v>52</v>
      </c>
      <c r="N685" s="20" t="s">
        <v>53</v>
      </c>
      <c r="O685" s="20" t="s">
        <v>861</v>
      </c>
      <c r="P685" s="20" t="s">
        <v>126</v>
      </c>
      <c r="Q685" s="20" t="s">
        <v>131</v>
      </c>
      <c r="R685" s="20" t="s">
        <v>151</v>
      </c>
      <c r="S685" s="20" t="s">
        <v>133</v>
      </c>
      <c r="T685" s="20" t="s">
        <v>59</v>
      </c>
      <c r="U685" s="20">
        <v>2026.0</v>
      </c>
      <c r="V685" s="20">
        <v>6.0</v>
      </c>
      <c r="W685" s="20">
        <v>1.08187535E9</v>
      </c>
      <c r="X685" s="20">
        <v>1.081893822E9</v>
      </c>
      <c r="Y685" s="22">
        <v>46182.0</v>
      </c>
      <c r="Z685" s="22">
        <v>46207.0</v>
      </c>
      <c r="AA685" s="20">
        <v>75419.0</v>
      </c>
      <c r="AB685" s="20">
        <v>75419.0</v>
      </c>
      <c r="AC685" s="20">
        <v>0.0</v>
      </c>
      <c r="AD685" s="20">
        <v>0.0</v>
      </c>
      <c r="AE685" s="20">
        <v>0.0</v>
      </c>
      <c r="AF685" s="20">
        <v>0.0</v>
      </c>
      <c r="AG685" s="20">
        <v>0.0</v>
      </c>
      <c r="AH685" s="20">
        <v>0.0</v>
      </c>
      <c r="AI685" s="20">
        <v>0.0</v>
      </c>
      <c r="AJ685" s="20">
        <v>75419.0</v>
      </c>
      <c r="AK685" s="20">
        <v>75419.0</v>
      </c>
      <c r="AL685" s="20">
        <v>0.0</v>
      </c>
      <c r="AM685" s="20">
        <v>250.8</v>
      </c>
      <c r="AN685" s="20">
        <v>0.0</v>
      </c>
      <c r="AS685" s="11" t="str">
        <f>VLOOKUP(C685,'mayo-26'!B:AS,44,0)</f>
        <v>SUBFINANCIERA@IMSALUD.GOV.CO</v>
      </c>
      <c r="AT685" s="12" t="str">
        <f>VLOOKUP(C685,'mayo-26'!B:AT,45,0)</f>
        <v>CORREO ELECTRONICO CERTIFICADO 472</v>
      </c>
    </row>
    <row r="686" ht="14.25" customHeight="1">
      <c r="A686" s="20" t="s">
        <v>1460</v>
      </c>
      <c r="B686" s="20">
        <v>149.0</v>
      </c>
      <c r="C686" s="20">
        <v>148.0</v>
      </c>
      <c r="D686" s="21">
        <v>148.0</v>
      </c>
      <c r="E686" s="20">
        <v>9.0217499E7</v>
      </c>
      <c r="F686" s="20">
        <v>9.0217499E7</v>
      </c>
      <c r="G686" s="20" t="s">
        <v>1461</v>
      </c>
      <c r="H686" s="20" t="s">
        <v>1462</v>
      </c>
      <c r="I686" s="1" t="str">
        <f>VLOOKUP(C686,'mayo-26'!B:H,7,0)</f>
        <v>AVE 3 21-105 SAN MATEO</v>
      </c>
      <c r="J686" s="1" t="s">
        <v>1023</v>
      </c>
      <c r="K686" s="10" t="str">
        <f>VLOOKUP(C686,'mayo-26'!B:J,9,0)</f>
        <v>NO</v>
      </c>
      <c r="L686" s="1" t="str">
        <f>VLOOKUP(C686,'mayo-26'!B:K,10,0)</f>
        <v>NO</v>
      </c>
      <c r="M686" s="20" t="s">
        <v>52</v>
      </c>
      <c r="N686" s="20" t="s">
        <v>89</v>
      </c>
      <c r="O686" s="20" t="s">
        <v>861</v>
      </c>
      <c r="P686" s="20" t="s">
        <v>126</v>
      </c>
      <c r="Q686" s="20" t="s">
        <v>131</v>
      </c>
      <c r="R686" s="20" t="s">
        <v>1111</v>
      </c>
      <c r="S686" s="20" t="s">
        <v>133</v>
      </c>
      <c r="T686" s="20" t="s">
        <v>59</v>
      </c>
      <c r="U686" s="20">
        <v>2026.0</v>
      </c>
      <c r="V686" s="20">
        <v>6.0</v>
      </c>
      <c r="W686" s="20">
        <v>1.081875354E9</v>
      </c>
      <c r="X686" s="20">
        <v>1.081893826E9</v>
      </c>
      <c r="Y686" s="22">
        <v>46182.0</v>
      </c>
      <c r="Z686" s="22">
        <v>46207.0</v>
      </c>
      <c r="AA686" s="20">
        <v>50244.0</v>
      </c>
      <c r="AB686" s="20">
        <v>50244.0</v>
      </c>
      <c r="AC686" s="20">
        <v>0.0</v>
      </c>
      <c r="AD686" s="20">
        <v>0.0</v>
      </c>
      <c r="AE686" s="20">
        <v>0.0</v>
      </c>
      <c r="AF686" s="20">
        <v>0.0</v>
      </c>
      <c r="AG686" s="20">
        <v>0.0</v>
      </c>
      <c r="AH686" s="20">
        <v>0.0</v>
      </c>
      <c r="AI686" s="20">
        <v>0.0</v>
      </c>
      <c r="AJ686" s="20">
        <v>50244.0</v>
      </c>
      <c r="AK686" s="20">
        <v>101005.0</v>
      </c>
      <c r="AL686" s="20">
        <v>1.0</v>
      </c>
      <c r="AM686" s="20">
        <v>250.8</v>
      </c>
      <c r="AN686" s="20">
        <v>0.0</v>
      </c>
      <c r="AS686" s="11" t="str">
        <f>VLOOKUP(C686,'mayo-26'!B:AS,44,0)</f>
        <v>SERVICIOSPUBLICOS@INVIAS.GOV.CO</v>
      </c>
      <c r="AT686" s="12" t="str">
        <f>VLOOKUP(C686,'mayo-26'!B:AT,45,0)</f>
        <v>CORREO ELECTRONICO CERTIFICADO 472</v>
      </c>
    </row>
    <row r="687" ht="14.25" customHeight="1">
      <c r="A687" s="20" t="s">
        <v>1463</v>
      </c>
      <c r="B687" s="20">
        <v>455370.0</v>
      </c>
      <c r="C687" s="20">
        <v>156.0</v>
      </c>
      <c r="D687" s="21">
        <v>156.0</v>
      </c>
      <c r="E687" s="20">
        <v>9.021859E7</v>
      </c>
      <c r="F687" s="20">
        <v>9.021859E7</v>
      </c>
      <c r="G687" s="20" t="s">
        <v>148</v>
      </c>
      <c r="H687" s="20" t="s">
        <v>149</v>
      </c>
      <c r="I687" s="1" t="str">
        <f>VLOOKUP(C687,'mayo-26'!B:H,7,0)</f>
        <v>CALLE 10 NO 0E-16 EDF CENTRO EMPRESARIAL BLOQUE B HOTEL TONCHALA</v>
      </c>
      <c r="J687" s="1" t="s">
        <v>1464</v>
      </c>
      <c r="K687" s="10" t="str">
        <f>VLOOKUP(C687,'mayo-26'!B:J,9,0)</f>
        <v>NO</v>
      </c>
      <c r="L687" s="1" t="str">
        <f>VLOOKUP(C687,'mayo-26'!B:K,10,0)</f>
        <v>COLEGIOS ZONA SUR</v>
      </c>
      <c r="M687" s="20" t="s">
        <v>52</v>
      </c>
      <c r="N687" s="20" t="s">
        <v>53</v>
      </c>
      <c r="O687" s="20" t="s">
        <v>861</v>
      </c>
      <c r="P687" s="20" t="s">
        <v>126</v>
      </c>
      <c r="Q687" s="20" t="s">
        <v>56</v>
      </c>
      <c r="R687" s="20" t="s">
        <v>57</v>
      </c>
      <c r="S687" s="20" t="s">
        <v>143</v>
      </c>
      <c r="T687" s="20" t="s">
        <v>59</v>
      </c>
      <c r="U687" s="20">
        <v>2026.0</v>
      </c>
      <c r="V687" s="20">
        <v>6.0</v>
      </c>
      <c r="W687" s="20">
        <v>1.081875358E9</v>
      </c>
      <c r="X687" s="20">
        <v>1.08189383E9</v>
      </c>
      <c r="Y687" s="22">
        <v>46182.0</v>
      </c>
      <c r="Z687" s="22">
        <v>46207.0</v>
      </c>
      <c r="AA687" s="20">
        <v>379223.2</v>
      </c>
      <c r="AB687" s="20">
        <v>379223.2</v>
      </c>
      <c r="AC687" s="20">
        <v>0.0</v>
      </c>
      <c r="AD687" s="20">
        <v>1800.0</v>
      </c>
      <c r="AE687" s="20">
        <v>0.0</v>
      </c>
      <c r="AF687" s="20">
        <v>0.0</v>
      </c>
      <c r="AG687" s="20">
        <v>0.0</v>
      </c>
      <c r="AH687" s="20">
        <v>0.0</v>
      </c>
      <c r="AI687" s="20">
        <v>0.0</v>
      </c>
      <c r="AJ687" s="20">
        <v>379223.2</v>
      </c>
      <c r="AK687" s="20">
        <v>1130580.1</v>
      </c>
      <c r="AL687" s="20">
        <v>3.0</v>
      </c>
      <c r="AM687" s="20">
        <v>250.8</v>
      </c>
      <c r="AN687" s="20">
        <v>0.0</v>
      </c>
      <c r="AS687" s="11" t="str">
        <f>VLOOKUP(C687,'mayo-26'!B:AS,44,0)</f>
        <v>AREAFINANCIERA@SEMCUCUTA.GOV.CO</v>
      </c>
      <c r="AT687" s="12" t="str">
        <f>VLOOKUP(C687,'mayo-26'!B:AT,45,0)</f>
        <v>CARTERA</v>
      </c>
    </row>
    <row r="688" ht="14.25" customHeight="1">
      <c r="A688" s="20" t="s">
        <v>1465</v>
      </c>
      <c r="B688" s="20">
        <v>455370.0</v>
      </c>
      <c r="C688" s="20">
        <v>164.0</v>
      </c>
      <c r="D688" s="21">
        <v>164.0</v>
      </c>
      <c r="E688" s="20">
        <v>9.0219919E7</v>
      </c>
      <c r="F688" s="20">
        <v>9.0219919E7</v>
      </c>
      <c r="G688" s="20" t="s">
        <v>148</v>
      </c>
      <c r="H688" s="20" t="s">
        <v>149</v>
      </c>
      <c r="I688" s="1" t="str">
        <f>VLOOKUP(C688,'mayo-26'!B:H,7,0)</f>
        <v>CALLE 10 NO 0E-16 EDF CENTRO EMPRESARIAL BLOQUE B HOTEL TONCHALA</v>
      </c>
      <c r="J688" s="1" t="s">
        <v>902</v>
      </c>
      <c r="K688" s="10" t="str">
        <f>VLOOKUP(C688,'mayo-26'!B:J,9,0)</f>
        <v>NO</v>
      </c>
      <c r="L688" s="1" t="str">
        <f>VLOOKUP(C688,'mayo-26'!B:K,10,0)</f>
        <v>COLEGIOS ZONA SUR</v>
      </c>
      <c r="M688" s="20" t="s">
        <v>52</v>
      </c>
      <c r="N688" s="20" t="s">
        <v>53</v>
      </c>
      <c r="O688" s="20" t="s">
        <v>861</v>
      </c>
      <c r="P688" s="20" t="s">
        <v>126</v>
      </c>
      <c r="Q688" s="20" t="s">
        <v>56</v>
      </c>
      <c r="R688" s="20" t="s">
        <v>57</v>
      </c>
      <c r="S688" s="20" t="s">
        <v>143</v>
      </c>
      <c r="T688" s="20" t="s">
        <v>59</v>
      </c>
      <c r="U688" s="20">
        <v>2026.0</v>
      </c>
      <c r="V688" s="20">
        <v>6.0</v>
      </c>
      <c r="W688" s="20">
        <v>1.081875363E9</v>
      </c>
      <c r="X688" s="20">
        <v>1.081893835E9</v>
      </c>
      <c r="Y688" s="22">
        <v>46182.0</v>
      </c>
      <c r="Z688" s="22">
        <v>46207.0</v>
      </c>
      <c r="AA688" s="20">
        <v>293829.4</v>
      </c>
      <c r="AB688" s="20">
        <v>293829.4</v>
      </c>
      <c r="AC688" s="20">
        <v>0.0</v>
      </c>
      <c r="AD688" s="20">
        <v>1350.0</v>
      </c>
      <c r="AE688" s="20">
        <v>0.0</v>
      </c>
      <c r="AF688" s="20">
        <v>0.0</v>
      </c>
      <c r="AG688" s="20">
        <v>0.0</v>
      </c>
      <c r="AH688" s="20">
        <v>0.0</v>
      </c>
      <c r="AI688" s="20">
        <v>0.0</v>
      </c>
      <c r="AJ688" s="20">
        <v>293829.4</v>
      </c>
      <c r="AK688" s="20">
        <v>876407.5</v>
      </c>
      <c r="AL688" s="20">
        <v>3.0</v>
      </c>
      <c r="AM688" s="20">
        <v>250.8</v>
      </c>
      <c r="AN688" s="20">
        <v>0.0</v>
      </c>
      <c r="AS688" s="11" t="str">
        <f>VLOOKUP(C688,'mayo-26'!B:AS,44,0)</f>
        <v>AREAFINANCIERA@SEMCUCUTA.GOV.CO</v>
      </c>
      <c r="AT688" s="12" t="str">
        <f>VLOOKUP(C688,'mayo-26'!B:AT,45,0)</f>
        <v>CARTERA</v>
      </c>
    </row>
    <row r="689" ht="14.25" customHeight="1">
      <c r="A689" s="20" t="s">
        <v>1466</v>
      </c>
      <c r="B689" s="20">
        <v>169.0</v>
      </c>
      <c r="C689" s="20">
        <v>168.0</v>
      </c>
      <c r="D689" s="21">
        <v>168.0</v>
      </c>
      <c r="E689" s="20">
        <v>9.0221386E7</v>
      </c>
      <c r="F689" s="20">
        <v>9.0221386E7</v>
      </c>
      <c r="G689" s="20" t="s">
        <v>1467</v>
      </c>
      <c r="H689" s="20" t="s">
        <v>1468</v>
      </c>
      <c r="I689" s="1" t="str">
        <f>VLOOKUP(C689,'mayo-26'!B:H,7,0)</f>
        <v>CLL 1N AVE 11E Y 12E Q. ORIEN</v>
      </c>
      <c r="J689" s="1" t="s">
        <v>915</v>
      </c>
      <c r="K689" s="10" t="str">
        <f>VLOOKUP(C689,'mayo-26'!B:J,9,0)</f>
        <v>NO</v>
      </c>
      <c r="L689" s="1" t="str">
        <f>VLOOKUP(C689,'mayo-26'!B:K,10,0)</f>
        <v>NO</v>
      </c>
      <c r="M689" s="20" t="s">
        <v>52</v>
      </c>
      <c r="N689" s="20" t="s">
        <v>89</v>
      </c>
      <c r="O689" s="20" t="s">
        <v>861</v>
      </c>
      <c r="P689" s="20" t="s">
        <v>126</v>
      </c>
      <c r="Q689" s="20" t="s">
        <v>56</v>
      </c>
      <c r="R689" s="20" t="s">
        <v>57</v>
      </c>
      <c r="S689" s="20" t="s">
        <v>143</v>
      </c>
      <c r="T689" s="20" t="s">
        <v>59</v>
      </c>
      <c r="U689" s="20">
        <v>2026.0</v>
      </c>
      <c r="V689" s="20">
        <v>6.0</v>
      </c>
      <c r="W689" s="20">
        <v>1.081875367E9</v>
      </c>
      <c r="X689" s="20">
        <v>1.081893839E9</v>
      </c>
      <c r="Y689" s="22">
        <v>46182.0</v>
      </c>
      <c r="Z689" s="22">
        <v>46207.0</v>
      </c>
      <c r="AA689" s="20">
        <v>146287.9</v>
      </c>
      <c r="AB689" s="20">
        <v>146287.9</v>
      </c>
      <c r="AC689" s="20">
        <v>0.0</v>
      </c>
      <c r="AD689" s="20">
        <v>572.5</v>
      </c>
      <c r="AE689" s="20">
        <v>0.0</v>
      </c>
      <c r="AF689" s="20">
        <v>0.0</v>
      </c>
      <c r="AG689" s="20">
        <v>0.0</v>
      </c>
      <c r="AH689" s="20">
        <v>0.0</v>
      </c>
      <c r="AI689" s="20">
        <v>0.0</v>
      </c>
      <c r="AJ689" s="20">
        <v>146287.9</v>
      </c>
      <c r="AK689" s="20">
        <v>146287.9</v>
      </c>
      <c r="AL689" s="20">
        <v>0.0</v>
      </c>
      <c r="AM689" s="20">
        <v>250.8</v>
      </c>
      <c r="AN689" s="20">
        <v>0.0</v>
      </c>
      <c r="AS689" s="11" t="str">
        <f>VLOOKUP(C689,'mayo-26'!B:AS,44,0)</f>
        <v>MARTORDO@ESAP.EDU.CO;FACTURACION.NSANTANDER@ESAP.EDU.CO</v>
      </c>
      <c r="AT689" s="12" t="str">
        <f>VLOOKUP(C689,'mayo-26'!B:AT,45,0)</f>
        <v>CORREO ELECTRONICO CERTIFICADO 472</v>
      </c>
    </row>
    <row r="690" ht="14.25" customHeight="1">
      <c r="A690" s="20" t="s">
        <v>1469</v>
      </c>
      <c r="B690" s="20">
        <v>173.0</v>
      </c>
      <c r="C690" s="20">
        <v>172.0</v>
      </c>
      <c r="D690" s="21">
        <v>172.0</v>
      </c>
      <c r="E690" s="20">
        <v>9.0221839E7</v>
      </c>
      <c r="F690" s="20">
        <v>9.0221839E7</v>
      </c>
      <c r="G690" s="20" t="s">
        <v>1470</v>
      </c>
      <c r="H690" s="20" t="s">
        <v>1471</v>
      </c>
      <c r="I690" s="1" t="str">
        <f>VLOOKUP(C690,'mayo-26'!B:H,7,0)</f>
        <v>AVE 11E 5AN-71</v>
      </c>
      <c r="J690" s="1">
        <v>0.0</v>
      </c>
      <c r="K690" s="10" t="str">
        <f>VLOOKUP(C690,'mayo-26'!B:J,9,0)</f>
        <v>NO</v>
      </c>
      <c r="L690" s="1" t="str">
        <f>VLOOKUP(C690,'mayo-26'!B:K,10,0)</f>
        <v>NO</v>
      </c>
      <c r="M690" s="20" t="s">
        <v>52</v>
      </c>
      <c r="N690" s="20" t="s">
        <v>89</v>
      </c>
      <c r="O690" s="20" t="s">
        <v>861</v>
      </c>
      <c r="P690" s="20" t="s">
        <v>126</v>
      </c>
      <c r="Q690" s="20" t="s">
        <v>56</v>
      </c>
      <c r="R690" s="20" t="s">
        <v>57</v>
      </c>
      <c r="S690" s="20" t="s">
        <v>58</v>
      </c>
      <c r="T690" s="20" t="s">
        <v>59</v>
      </c>
      <c r="U690" s="20">
        <v>2026.0</v>
      </c>
      <c r="V690" s="20">
        <v>6.0</v>
      </c>
      <c r="W690" s="20">
        <v>1.08187537E9</v>
      </c>
      <c r="X690" s="20">
        <v>1.081893842E9</v>
      </c>
      <c r="Y690" s="22">
        <v>46182.0</v>
      </c>
      <c r="Z690" s="22">
        <v>46207.0</v>
      </c>
      <c r="AA690" s="20">
        <v>1.380023026E7</v>
      </c>
      <c r="AB690" s="20">
        <v>1.380023026E7</v>
      </c>
      <c r="AC690" s="20">
        <v>0.0</v>
      </c>
      <c r="AD690" s="20">
        <v>60562.5</v>
      </c>
      <c r="AE690" s="20">
        <v>0.0</v>
      </c>
      <c r="AF690" s="20">
        <v>0.0</v>
      </c>
      <c r="AG690" s="20">
        <v>0.0</v>
      </c>
      <c r="AH690" s="20">
        <v>0.0</v>
      </c>
      <c r="AI690" s="20">
        <v>0.0</v>
      </c>
      <c r="AJ690" s="20">
        <v>1.380023026E7</v>
      </c>
      <c r="AK690" s="20">
        <v>1.380023026E7</v>
      </c>
      <c r="AL690" s="20">
        <v>0.0</v>
      </c>
      <c r="AM690" s="20">
        <v>2270250.8</v>
      </c>
      <c r="AN690" s="20">
        <v>0.0</v>
      </c>
      <c r="AS690" s="11" t="str">
        <f>VLOOKUP(C690,'mayo-26'!B:AS,44,0)</f>
        <v>MANTENIMIENTO@HERASMOMEOZ.GOV.CO</v>
      </c>
      <c r="AT690" s="12" t="str">
        <f>VLOOKUP(C690,'mayo-26'!B:AT,45,0)</f>
        <v>CORREO ELECTRONICO CERTIFICADO 472</v>
      </c>
    </row>
    <row r="691" ht="14.25" customHeight="1">
      <c r="A691" s="20" t="s">
        <v>1472</v>
      </c>
      <c r="B691" s="20">
        <v>147.0</v>
      </c>
      <c r="C691" s="20">
        <v>184.0</v>
      </c>
      <c r="D691" s="21">
        <v>184.0</v>
      </c>
      <c r="E691" s="20">
        <v>9.0226155E7</v>
      </c>
      <c r="F691" s="20">
        <v>9.0226155E7</v>
      </c>
      <c r="G691" s="20" t="s">
        <v>179</v>
      </c>
      <c r="H691" s="20" t="s">
        <v>180</v>
      </c>
      <c r="I691" s="1" t="str">
        <f>VLOOKUP(C691,'mayo-26'!B:H,7,0)</f>
        <v>AVE 3 CLL 24 GARITA # 1</v>
      </c>
      <c r="J691" s="1" t="s">
        <v>910</v>
      </c>
      <c r="K691" s="10" t="str">
        <f>VLOOKUP(C691,'mayo-26'!B:J,9,0)</f>
        <v>NO</v>
      </c>
      <c r="L691" s="1" t="str">
        <f>VLOOKUP(C691,'mayo-26'!B:K,10,0)</f>
        <v>POLICIA</v>
      </c>
      <c r="M691" s="20" t="s">
        <v>52</v>
      </c>
      <c r="N691" s="20" t="s">
        <v>89</v>
      </c>
      <c r="O691" s="20" t="s">
        <v>861</v>
      </c>
      <c r="P691" s="20" t="s">
        <v>126</v>
      </c>
      <c r="Q691" s="20" t="s">
        <v>131</v>
      </c>
      <c r="R691" s="20" t="s">
        <v>151</v>
      </c>
      <c r="S691" s="20" t="s">
        <v>133</v>
      </c>
      <c r="T691" s="20" t="s">
        <v>59</v>
      </c>
      <c r="U691" s="20">
        <v>2026.0</v>
      </c>
      <c r="V691" s="20">
        <v>6.0</v>
      </c>
      <c r="W691" s="20">
        <v>1.081875376E9</v>
      </c>
      <c r="X691" s="20">
        <v>1.081893848E9</v>
      </c>
      <c r="Y691" s="22">
        <v>46182.0</v>
      </c>
      <c r="Z691" s="22">
        <v>46207.0</v>
      </c>
      <c r="AA691" s="20">
        <v>75419.0</v>
      </c>
      <c r="AB691" s="20">
        <v>75419.0</v>
      </c>
      <c r="AC691" s="20">
        <v>0.0</v>
      </c>
      <c r="AD691" s="20">
        <v>0.0</v>
      </c>
      <c r="AE691" s="20">
        <v>0.0</v>
      </c>
      <c r="AF691" s="20">
        <v>0.0</v>
      </c>
      <c r="AG691" s="20">
        <v>0.0</v>
      </c>
      <c r="AH691" s="20">
        <v>0.0</v>
      </c>
      <c r="AI691" s="20">
        <v>0.0</v>
      </c>
      <c r="AJ691" s="20">
        <v>75419.0</v>
      </c>
      <c r="AK691" s="20">
        <v>151360.0</v>
      </c>
      <c r="AL691" s="20">
        <v>1.0</v>
      </c>
      <c r="AM691" s="20">
        <v>250.8</v>
      </c>
      <c r="AN691" s="20">
        <v>0.0</v>
      </c>
      <c r="AS691" s="11" t="str">
        <f>VLOOKUP(C691,'mayo-26'!B:AS,44,0)</f>
        <v>MECUC.GUBIR@POLICIA.GOV.CO</v>
      </c>
      <c r="AT691" s="12" t="str">
        <f>VLOOKUP(C691,'mayo-26'!B:AT,45,0)</f>
        <v>CORREO ELECTRONICO CERTIFICADO 472</v>
      </c>
    </row>
    <row r="692" ht="14.25" customHeight="1">
      <c r="A692" s="20" t="s">
        <v>1473</v>
      </c>
      <c r="B692" s="20">
        <v>455370.0</v>
      </c>
      <c r="C692" s="20">
        <v>188.0</v>
      </c>
      <c r="D692" s="21">
        <v>188.0</v>
      </c>
      <c r="E692" s="20">
        <v>9.0226607E7</v>
      </c>
      <c r="F692" s="20">
        <v>9.0226607E7</v>
      </c>
      <c r="G692" s="20" t="s">
        <v>148</v>
      </c>
      <c r="H692" s="20" t="s">
        <v>149</v>
      </c>
      <c r="I692" s="1" t="str">
        <f>VLOOKUP(C692,'mayo-26'!B:H,7,0)</f>
        <v>CALLE 10 NO 0E-16 EDF CENTRO EMPRESARIAL BLOQUE B HOTEL TONCHALA</v>
      </c>
      <c r="J692" s="1" t="s">
        <v>910</v>
      </c>
      <c r="K692" s="10" t="str">
        <f>VLOOKUP(C692,'mayo-26'!B:J,9,0)</f>
        <v>NO</v>
      </c>
      <c r="L692" s="1" t="str">
        <f>VLOOKUP(C692,'mayo-26'!B:K,10,0)</f>
        <v>COLEGIOS ZONA SUR</v>
      </c>
      <c r="M692" s="20" t="s">
        <v>52</v>
      </c>
      <c r="N692" s="20" t="s">
        <v>53</v>
      </c>
      <c r="O692" s="20" t="s">
        <v>861</v>
      </c>
      <c r="P692" s="20" t="s">
        <v>126</v>
      </c>
      <c r="Q692" s="20" t="s">
        <v>56</v>
      </c>
      <c r="R692" s="20" t="s">
        <v>57</v>
      </c>
      <c r="S692" s="20" t="s">
        <v>143</v>
      </c>
      <c r="T692" s="20" t="s">
        <v>59</v>
      </c>
      <c r="U692" s="20">
        <v>2026.0</v>
      </c>
      <c r="V692" s="20">
        <v>6.0</v>
      </c>
      <c r="W692" s="20">
        <v>1.081875378E9</v>
      </c>
      <c r="X692" s="20">
        <v>1.08189385E9</v>
      </c>
      <c r="Y692" s="22">
        <v>46182.0</v>
      </c>
      <c r="Z692" s="22">
        <v>46207.0</v>
      </c>
      <c r="AA692" s="20">
        <v>341270.4</v>
      </c>
      <c r="AB692" s="20">
        <v>341270.4</v>
      </c>
      <c r="AC692" s="20">
        <v>0.0</v>
      </c>
      <c r="AD692" s="20">
        <v>1600.0</v>
      </c>
      <c r="AE692" s="20">
        <v>0.0</v>
      </c>
      <c r="AF692" s="20">
        <v>0.0</v>
      </c>
      <c r="AG692" s="20">
        <v>0.0</v>
      </c>
      <c r="AH692" s="20">
        <v>0.0</v>
      </c>
      <c r="AI692" s="20">
        <v>0.0</v>
      </c>
      <c r="AJ692" s="20">
        <v>341270.4</v>
      </c>
      <c r="AK692" s="20">
        <v>1017614.5</v>
      </c>
      <c r="AL692" s="20">
        <v>3.0</v>
      </c>
      <c r="AM692" s="20">
        <v>250.8</v>
      </c>
      <c r="AN692" s="20">
        <v>0.0</v>
      </c>
      <c r="AS692" s="11" t="str">
        <f>VLOOKUP(C692,'mayo-26'!B:AS,44,0)</f>
        <v>AREAFINANCIERA@SEMCUCUTA.GOV.CO</v>
      </c>
      <c r="AT692" s="12" t="str">
        <f>VLOOKUP(C692,'mayo-26'!B:AT,45,0)</f>
        <v>CARTERA</v>
      </c>
    </row>
    <row r="693" ht="14.25" customHeight="1">
      <c r="A693" s="20" t="s">
        <v>1474</v>
      </c>
      <c r="B693" s="20">
        <v>193.0</v>
      </c>
      <c r="C693" s="20">
        <v>192.0</v>
      </c>
      <c r="D693" s="21">
        <v>192.0</v>
      </c>
      <c r="E693" s="20">
        <v>9.0229833E7</v>
      </c>
      <c r="F693" s="20">
        <v>9.0229833E7</v>
      </c>
      <c r="G693" s="20">
        <v>8.0017689E8</v>
      </c>
      <c r="H693" s="20" t="s">
        <v>1475</v>
      </c>
      <c r="I693" s="1" t="str">
        <f>VLOOKUP(C693,'mayo-26'!B:H,7,0)</f>
        <v>AVE 9E 6-107 CLINICA PREVENTIVA</v>
      </c>
      <c r="J693" s="1" t="s">
        <v>915</v>
      </c>
      <c r="K693" s="10" t="str">
        <f>VLOOKUP(C693,'mayo-26'!B:J,9,0)</f>
        <v>NO</v>
      </c>
      <c r="L693" s="1" t="str">
        <f>VLOOKUP(C693,'mayo-26'!B:K,10,0)</f>
        <v>MEDICO QUIRURGICA</v>
      </c>
      <c r="M693" s="20" t="s">
        <v>52</v>
      </c>
      <c r="N693" s="20" t="s">
        <v>89</v>
      </c>
      <c r="O693" s="20" t="s">
        <v>861</v>
      </c>
      <c r="P693" s="20" t="s">
        <v>126</v>
      </c>
      <c r="Q693" s="20" t="s">
        <v>131</v>
      </c>
      <c r="R693" s="20" t="s">
        <v>151</v>
      </c>
      <c r="S693" s="20" t="s">
        <v>133</v>
      </c>
      <c r="T693" s="20" t="s">
        <v>59</v>
      </c>
      <c r="U693" s="20">
        <v>2026.0</v>
      </c>
      <c r="V693" s="20">
        <v>6.0</v>
      </c>
      <c r="W693" s="20">
        <v>1.081875382E9</v>
      </c>
      <c r="X693" s="20">
        <v>1.081893854E9</v>
      </c>
      <c r="Y693" s="22">
        <v>46182.0</v>
      </c>
      <c r="Z693" s="22">
        <v>46207.0</v>
      </c>
      <c r="AA693" s="20">
        <v>75419.0</v>
      </c>
      <c r="AB693" s="20">
        <v>75419.0</v>
      </c>
      <c r="AC693" s="20">
        <v>0.0</v>
      </c>
      <c r="AD693" s="20">
        <v>0.0</v>
      </c>
      <c r="AE693" s="20">
        <v>0.0</v>
      </c>
      <c r="AF693" s="20">
        <v>0.0</v>
      </c>
      <c r="AG693" s="20">
        <v>0.0</v>
      </c>
      <c r="AH693" s="20">
        <v>0.0</v>
      </c>
      <c r="AI693" s="20">
        <v>0.0</v>
      </c>
      <c r="AJ693" s="20">
        <v>75418.62</v>
      </c>
      <c r="AK693" s="20">
        <v>75418.62</v>
      </c>
      <c r="AL693" s="20">
        <v>0.0</v>
      </c>
      <c r="AM693" s="20">
        <v>250.8</v>
      </c>
      <c r="AN693" s="20">
        <v>0.0</v>
      </c>
      <c r="AQ693" s="20">
        <v>0.38</v>
      </c>
      <c r="AS693" s="11" t="str">
        <f>VLOOKUP(C693,'mayo-26'!B:AS,44,0)</f>
        <v>GESTIONAMBIENTAL@CMQCUCUTA.COM</v>
      </c>
      <c r="AT693" s="12" t="str">
        <f>VLOOKUP(C693,'mayo-26'!B:AT,45,0)</f>
        <v>CORREO ELECTRONICO CERTIFICADO 472</v>
      </c>
    </row>
    <row r="694" ht="14.25" customHeight="1">
      <c r="A694" s="20" t="s">
        <v>1476</v>
      </c>
      <c r="B694" s="20">
        <v>197.0</v>
      </c>
      <c r="C694" s="20">
        <v>196.0</v>
      </c>
      <c r="D694" s="21">
        <v>196.0</v>
      </c>
      <c r="E694" s="20">
        <v>9.0230808E7</v>
      </c>
      <c r="F694" s="20">
        <v>9.0230808E7</v>
      </c>
      <c r="G694" s="20" t="s">
        <v>1477</v>
      </c>
      <c r="H694" s="20" t="s">
        <v>1478</v>
      </c>
      <c r="I694" s="1" t="str">
        <f>VLOOKUP(C694,'mayo-26'!B:H,7,0)</f>
        <v>AV GRAN COLOMBIA 1 E 42 BRR POPULAR</v>
      </c>
      <c r="J694" s="1" t="s">
        <v>1231</v>
      </c>
      <c r="K694" s="10" t="str">
        <f>VLOOKUP(C694,'mayo-26'!B:J,9,0)</f>
        <v>NO</v>
      </c>
      <c r="L694" s="1" t="str">
        <f>VLOOKUP(C694,'mayo-26'!B:K,10,0)</f>
        <v>NO</v>
      </c>
      <c r="M694" s="20" t="s">
        <v>52</v>
      </c>
      <c r="N694" s="20" t="s">
        <v>89</v>
      </c>
      <c r="O694" s="20" t="s">
        <v>861</v>
      </c>
      <c r="P694" s="20" t="s">
        <v>126</v>
      </c>
      <c r="Q694" s="20" t="s">
        <v>56</v>
      </c>
      <c r="R694" s="20" t="s">
        <v>90</v>
      </c>
      <c r="S694" s="20" t="s">
        <v>58</v>
      </c>
      <c r="T694" s="20" t="s">
        <v>59</v>
      </c>
      <c r="U694" s="20">
        <v>2026.0</v>
      </c>
      <c r="V694" s="20">
        <v>6.0</v>
      </c>
      <c r="W694" s="20">
        <v>1.081875386E9</v>
      </c>
      <c r="X694" s="20">
        <v>1.081893858E9</v>
      </c>
      <c r="Y694" s="22">
        <v>46182.0</v>
      </c>
      <c r="Z694" s="22">
        <v>46207.0</v>
      </c>
      <c r="AA694" s="20">
        <v>1856857.97</v>
      </c>
      <c r="AB694" s="20">
        <v>1856857.97</v>
      </c>
      <c r="AC694" s="20">
        <v>618952.66</v>
      </c>
      <c r="AD694" s="20">
        <v>6325.0</v>
      </c>
      <c r="AE694" s="20">
        <v>0.0</v>
      </c>
      <c r="AF694" s="20">
        <v>0.0</v>
      </c>
      <c r="AG694" s="20">
        <v>0.0</v>
      </c>
      <c r="AH694" s="20">
        <v>0.0</v>
      </c>
      <c r="AI694" s="20">
        <v>0.0</v>
      </c>
      <c r="AJ694" s="20">
        <v>1856857.97</v>
      </c>
      <c r="AK694" s="20">
        <v>1856857.97</v>
      </c>
      <c r="AL694" s="20">
        <v>0.0</v>
      </c>
      <c r="AM694" s="20">
        <v>376.2</v>
      </c>
      <c r="AN694" s="20">
        <v>0.0</v>
      </c>
      <c r="AS694" s="11" t="str">
        <f>VLOOKUP(C694,'mayo-26'!B:AS,44,0)</f>
        <v>CLUBCAZADORESCUCUTA1@HOTMAIL.COM</v>
      </c>
      <c r="AT694" s="12" t="str">
        <f>VLOOKUP(C694,'mayo-26'!B:AT,45,0)</f>
        <v>CORREO ELECTRONICO CERTIFICADO 472</v>
      </c>
    </row>
    <row r="695" ht="14.25" customHeight="1">
      <c r="A695" s="20" t="s">
        <v>1479</v>
      </c>
      <c r="B695" s="20">
        <v>213.0</v>
      </c>
      <c r="C695" s="20">
        <v>212.0</v>
      </c>
      <c r="D695" s="21">
        <v>212.0</v>
      </c>
      <c r="E695" s="20">
        <v>9.0230877E7</v>
      </c>
      <c r="F695" s="20">
        <v>9.0230877E7</v>
      </c>
      <c r="G695" s="20" t="s">
        <v>1480</v>
      </c>
      <c r="H695" s="20" t="s">
        <v>1481</v>
      </c>
      <c r="I695" s="1" t="str">
        <f>VLOOKUP(C695,'mayo-26'!B:H,7,0)</f>
        <v>AV 2E #6-80 COLEGIO SALLE</v>
      </c>
      <c r="J695" s="1" t="s">
        <v>1231</v>
      </c>
      <c r="K695" s="10" t="str">
        <f>VLOOKUP(C695,'mayo-26'!B:J,9,0)</f>
        <v>NO</v>
      </c>
      <c r="L695" s="1" t="str">
        <f>VLOOKUP(C695,'mayo-26'!B:K,10,0)</f>
        <v>NO</v>
      </c>
      <c r="M695" s="20" t="s">
        <v>52</v>
      </c>
      <c r="N695" s="20" t="s">
        <v>89</v>
      </c>
      <c r="O695" s="20" t="s">
        <v>861</v>
      </c>
      <c r="P695" s="20" t="s">
        <v>126</v>
      </c>
      <c r="Q695" s="20" t="s">
        <v>56</v>
      </c>
      <c r="R695" s="20" t="s">
        <v>57</v>
      </c>
      <c r="S695" s="20" t="s">
        <v>143</v>
      </c>
      <c r="T695" s="20" t="s">
        <v>59</v>
      </c>
      <c r="U695" s="20">
        <v>2026.0</v>
      </c>
      <c r="V695" s="20">
        <v>6.0</v>
      </c>
      <c r="W695" s="20">
        <v>1.081875393E9</v>
      </c>
      <c r="X695" s="20">
        <v>1.081893865E9</v>
      </c>
      <c r="Y695" s="22">
        <v>46182.0</v>
      </c>
      <c r="Z695" s="22">
        <v>46207.0</v>
      </c>
      <c r="AA695" s="20">
        <v>2030170.0</v>
      </c>
      <c r="AB695" s="20">
        <v>2030170.0</v>
      </c>
      <c r="AC695" s="20">
        <v>0.0</v>
      </c>
      <c r="AD695" s="20">
        <v>10500.0</v>
      </c>
      <c r="AE695" s="20">
        <v>0.0</v>
      </c>
      <c r="AF695" s="20">
        <v>0.0</v>
      </c>
      <c r="AG695" s="20">
        <v>0.0</v>
      </c>
      <c r="AH695" s="20">
        <v>0.0</v>
      </c>
      <c r="AI695" s="20">
        <v>0.0</v>
      </c>
      <c r="AJ695" s="20">
        <v>2030170.0</v>
      </c>
      <c r="AK695" s="20">
        <v>2030170.0</v>
      </c>
      <c r="AL695" s="20">
        <v>0.0</v>
      </c>
      <c r="AM695" s="20">
        <v>250.8</v>
      </c>
      <c r="AN695" s="20">
        <v>0.0</v>
      </c>
      <c r="AS695" s="11" t="str">
        <f>VLOOKUP(C695,'mayo-26'!B:AS,44,0)</f>
        <v>FINANCIERA@LASALLECUCUTA.EDU.CO;COMPRAS@LASALLECUCUTA.EDU.CO</v>
      </c>
      <c r="AT695" s="12" t="str">
        <f>VLOOKUP(C695,'mayo-26'!B:AT,45,0)</f>
        <v>CORREO ELECTRONICO CERTIFICADO 472</v>
      </c>
    </row>
    <row r="696" ht="14.25" customHeight="1">
      <c r="A696" s="20" t="s">
        <v>1482</v>
      </c>
      <c r="B696" s="20">
        <v>233.0</v>
      </c>
      <c r="C696" s="20">
        <v>232.0</v>
      </c>
      <c r="D696" s="21">
        <v>232.0</v>
      </c>
      <c r="E696" s="20">
        <v>9.0235101E7</v>
      </c>
      <c r="F696" s="20">
        <v>9.0235101E7</v>
      </c>
      <c r="G696" s="20">
        <v>8.90502101E8</v>
      </c>
      <c r="H696" s="20" t="s">
        <v>1483</v>
      </c>
      <c r="I696" s="1" t="str">
        <f>VLOOKUP(C696,'mayo-26'!B:H,7,0)</f>
        <v>CLL 11 2E-75 CAOBOS</v>
      </c>
      <c r="J696" s="1" t="s">
        <v>942</v>
      </c>
      <c r="K696" s="10" t="str">
        <f>VLOOKUP(C696,'mayo-26'!B:J,9,0)</f>
        <v>NO</v>
      </c>
      <c r="L696" s="1" t="str">
        <f>VLOOKUP(C696,'mayo-26'!B:K,10,0)</f>
        <v>NO</v>
      </c>
      <c r="M696" s="20" t="s">
        <v>52</v>
      </c>
      <c r="N696" s="20" t="s">
        <v>89</v>
      </c>
      <c r="O696" s="20" t="s">
        <v>861</v>
      </c>
      <c r="P696" s="20" t="s">
        <v>126</v>
      </c>
      <c r="Q696" s="20" t="s">
        <v>56</v>
      </c>
      <c r="R696" s="20" t="s">
        <v>90</v>
      </c>
      <c r="S696" s="20" t="s">
        <v>58</v>
      </c>
      <c r="T696" s="20" t="s">
        <v>59</v>
      </c>
      <c r="U696" s="20">
        <v>2026.0</v>
      </c>
      <c r="V696" s="20">
        <v>6.0</v>
      </c>
      <c r="W696" s="20">
        <v>1.081875397E9</v>
      </c>
      <c r="X696" s="20">
        <v>1.081893869E9</v>
      </c>
      <c r="Y696" s="22">
        <v>46182.0</v>
      </c>
      <c r="Z696" s="22">
        <v>46207.0</v>
      </c>
      <c r="AA696" s="20">
        <v>5027102.79</v>
      </c>
      <c r="AB696" s="20">
        <v>5027102.79</v>
      </c>
      <c r="AC696" s="20">
        <v>1675700.93</v>
      </c>
      <c r="AD696" s="20">
        <v>17462.5</v>
      </c>
      <c r="AE696" s="20">
        <v>0.0</v>
      </c>
      <c r="AF696" s="20">
        <v>0.0</v>
      </c>
      <c r="AG696" s="20">
        <v>0.0</v>
      </c>
      <c r="AH696" s="20">
        <v>0.0</v>
      </c>
      <c r="AI696" s="20">
        <v>0.0</v>
      </c>
      <c r="AJ696" s="20">
        <v>5027102.79</v>
      </c>
      <c r="AK696" s="20">
        <v>5027102.79</v>
      </c>
      <c r="AL696" s="20">
        <v>0.0</v>
      </c>
      <c r="AM696" s="20">
        <v>376.2</v>
      </c>
      <c r="AN696" s="20">
        <v>0.0</v>
      </c>
      <c r="AS696" s="11" t="str">
        <f>VLOOKUP(C696,'mayo-26'!B:AS,44,0)</f>
        <v>THUMANO@HOTELCASINOINTERNACIONAL.COM.CO</v>
      </c>
      <c r="AT696" s="12" t="str">
        <f>VLOOKUP(C696,'mayo-26'!B:AT,45,0)</f>
        <v>CORREO ELECTRONICO CERTIFICADO 472</v>
      </c>
    </row>
    <row r="697" ht="14.25" customHeight="1">
      <c r="A697" s="20" t="s">
        <v>1484</v>
      </c>
      <c r="B697" s="20">
        <v>699.0</v>
      </c>
      <c r="C697" s="20">
        <v>24692.0</v>
      </c>
      <c r="D697" s="21">
        <v>24692.0</v>
      </c>
      <c r="E697" s="20">
        <v>87821.0</v>
      </c>
      <c r="F697" s="20">
        <v>87821.0</v>
      </c>
      <c r="G697" s="20">
        <v>9.00480569E8</v>
      </c>
      <c r="H697" s="20" t="s">
        <v>141</v>
      </c>
      <c r="I697" s="1" t="str">
        <f>VLOOKUP(C697,'mayo-26'!B:H,7,0)</f>
        <v>CLL 12 4-52 CENTRO</v>
      </c>
      <c r="J697" s="1" t="s">
        <v>882</v>
      </c>
      <c r="K697" s="10" t="str">
        <f>VLOOKUP(C697,'mayo-26'!B:J,9,0)</f>
        <v>NO</v>
      </c>
      <c r="L697" s="1" t="str">
        <f>VLOOKUP(C697,'mayo-26'!B:K,10,0)</f>
        <v>ARA CUCUTA</v>
      </c>
      <c r="M697" s="20" t="s">
        <v>52</v>
      </c>
      <c r="N697" s="20" t="s">
        <v>53</v>
      </c>
      <c r="O697" s="20" t="s">
        <v>861</v>
      </c>
      <c r="P697" s="20" t="s">
        <v>126</v>
      </c>
      <c r="Q697" s="20" t="s">
        <v>56</v>
      </c>
      <c r="R697" s="20" t="s">
        <v>90</v>
      </c>
      <c r="S697" s="20" t="s">
        <v>143</v>
      </c>
      <c r="T697" s="20" t="s">
        <v>59</v>
      </c>
      <c r="U697" s="20">
        <v>2026.0</v>
      </c>
      <c r="V697" s="20">
        <v>6.0</v>
      </c>
      <c r="W697" s="20">
        <v>1.081875674E9</v>
      </c>
      <c r="X697" s="20">
        <v>1.081894146E9</v>
      </c>
      <c r="Y697" s="22">
        <v>46182.0</v>
      </c>
      <c r="Z697" s="22">
        <v>46207.0</v>
      </c>
      <c r="AA697" s="20">
        <v>200994.77</v>
      </c>
      <c r="AB697" s="20">
        <v>200994.77</v>
      </c>
      <c r="AC697" s="20">
        <v>66265.0</v>
      </c>
      <c r="AD697" s="20">
        <v>500.0</v>
      </c>
      <c r="AE697" s="20">
        <v>2199.77</v>
      </c>
      <c r="AF697" s="20">
        <v>0.0</v>
      </c>
      <c r="AG697" s="20">
        <v>0.0</v>
      </c>
      <c r="AH697" s="20">
        <v>0.0</v>
      </c>
      <c r="AI697" s="20">
        <v>0.0</v>
      </c>
      <c r="AJ697" s="20">
        <v>200994.77</v>
      </c>
      <c r="AK697" s="20">
        <v>598806.24</v>
      </c>
      <c r="AL697" s="20">
        <v>2.0</v>
      </c>
      <c r="AM697" s="20">
        <v>376.2</v>
      </c>
      <c r="AN697" s="20">
        <v>0.0</v>
      </c>
      <c r="AS697" s="11" t="str">
        <f>VLOOKUP(C697,'mayo-26'!B:AS,44,0)</f>
        <v>COORDINADOR.OPERACIONES.R11@JERONIMO-MARTINS.COM</v>
      </c>
      <c r="AT697" s="12" t="str">
        <f>VLOOKUP(C697,'mayo-26'!B:AT,45,0)</f>
        <v>CORREO ELECTRONICO CERTIFICADO 472</v>
      </c>
    </row>
    <row r="698" ht="14.25" customHeight="1">
      <c r="A698" s="20" t="s">
        <v>1485</v>
      </c>
      <c r="B698" s="20">
        <v>249.0</v>
      </c>
      <c r="C698" s="20">
        <v>248.0</v>
      </c>
      <c r="D698" s="21">
        <v>248.0</v>
      </c>
      <c r="E698" s="20">
        <v>9.0235222E7</v>
      </c>
      <c r="F698" s="20">
        <v>9.0235222E7</v>
      </c>
      <c r="G698" s="20" t="s">
        <v>1486</v>
      </c>
      <c r="H698" s="20" t="s">
        <v>1487</v>
      </c>
      <c r="I698" s="1" t="str">
        <f>VLOOKUP(C698,'mayo-26'!B:H,7,0)</f>
        <v>CLL 13 1E-45 TORRE.B</v>
      </c>
      <c r="J698" s="1" t="s">
        <v>942</v>
      </c>
      <c r="K698" s="10" t="str">
        <f>VLOOKUP(C698,'mayo-26'!B:J,9,0)</f>
        <v>NO</v>
      </c>
      <c r="L698" s="1" t="str">
        <f>VLOOKUP(C698,'mayo-26'!B:K,10,0)</f>
        <v>NO</v>
      </c>
      <c r="M698" s="20" t="s">
        <v>52</v>
      </c>
      <c r="N698" s="20" t="s">
        <v>89</v>
      </c>
      <c r="O698" s="20" t="s">
        <v>861</v>
      </c>
      <c r="P698" s="20" t="s">
        <v>126</v>
      </c>
      <c r="Q698" s="20" t="s">
        <v>56</v>
      </c>
      <c r="R698" s="20" t="s">
        <v>57</v>
      </c>
      <c r="S698" s="20" t="s">
        <v>143</v>
      </c>
      <c r="T698" s="20" t="s">
        <v>59</v>
      </c>
      <c r="U698" s="20">
        <v>2026.0</v>
      </c>
      <c r="V698" s="20">
        <v>6.0</v>
      </c>
      <c r="W698" s="20">
        <v>1.081875401E9</v>
      </c>
      <c r="X698" s="20">
        <v>1.081893873E9</v>
      </c>
      <c r="Y698" s="22">
        <v>46182.0</v>
      </c>
      <c r="Z698" s="22">
        <v>46207.0</v>
      </c>
      <c r="AA698" s="20">
        <v>132530.0</v>
      </c>
      <c r="AB698" s="20">
        <v>132530.0</v>
      </c>
      <c r="AC698" s="20">
        <v>0.0</v>
      </c>
      <c r="AD698" s="20">
        <v>500.0</v>
      </c>
      <c r="AE698" s="20">
        <v>0.0</v>
      </c>
      <c r="AF698" s="20">
        <v>0.0</v>
      </c>
      <c r="AG698" s="20">
        <v>0.0</v>
      </c>
      <c r="AH698" s="20">
        <v>0.0</v>
      </c>
      <c r="AI698" s="20">
        <v>0.0</v>
      </c>
      <c r="AJ698" s="20">
        <v>132530.0</v>
      </c>
      <c r="AK698" s="20">
        <v>396303.5</v>
      </c>
      <c r="AL698" s="20">
        <v>3.0</v>
      </c>
      <c r="AM698" s="20">
        <v>250.8</v>
      </c>
      <c r="AN698" s="20">
        <v>0.0</v>
      </c>
      <c r="AS698" s="11" t="str">
        <f>VLOOKUP(C698,'mayo-26'!B:AS,44,0)</f>
        <v>CONDOMINIOCSJTORREB@GMAIL.COM</v>
      </c>
      <c r="AT698" s="12" t="str">
        <f>VLOOKUP(C698,'mayo-26'!B:AT,45,0)</f>
        <v>CORREO ELECTRONICO CERTIFICADO 472</v>
      </c>
    </row>
    <row r="699" ht="14.25" customHeight="1">
      <c r="A699" s="20" t="s">
        <v>1488</v>
      </c>
      <c r="B699" s="20">
        <v>253.0</v>
      </c>
      <c r="C699" s="20">
        <v>252.0</v>
      </c>
      <c r="D699" s="21">
        <v>252.0</v>
      </c>
      <c r="E699" s="20">
        <v>9.0235271E7</v>
      </c>
      <c r="F699" s="20">
        <v>9.0235271E7</v>
      </c>
      <c r="G699" s="20">
        <v>9.01411943E8</v>
      </c>
      <c r="H699" s="20" t="s">
        <v>934</v>
      </c>
      <c r="I699" s="1" t="str">
        <f>VLOOKUP(C699,'mayo-26'!B:H,7,0)</f>
        <v>AVE 0 11-153 LOC 3</v>
      </c>
      <c r="J699" s="1" t="s">
        <v>931</v>
      </c>
      <c r="K699" s="10" t="str">
        <f>VLOOKUP(C699,'mayo-26'!B:J,9,0)</f>
        <v>CENTRO</v>
      </c>
      <c r="L699" s="1" t="str">
        <f>VLOOKUP(C699,'mayo-26'!B:K,10,0)</f>
        <v>CENTRO</v>
      </c>
      <c r="M699" s="20" t="s">
        <v>52</v>
      </c>
      <c r="N699" s="20" t="s">
        <v>89</v>
      </c>
      <c r="O699" s="20" t="s">
        <v>861</v>
      </c>
      <c r="P699" s="20" t="s">
        <v>126</v>
      </c>
      <c r="Q699" s="20" t="s">
        <v>131</v>
      </c>
      <c r="R699" s="20" t="s">
        <v>363</v>
      </c>
      <c r="S699" s="20" t="s">
        <v>133</v>
      </c>
      <c r="T699" s="20" t="s">
        <v>59</v>
      </c>
      <c r="U699" s="20">
        <v>2026.0</v>
      </c>
      <c r="V699" s="20">
        <v>6.0</v>
      </c>
      <c r="W699" s="20">
        <v>1.081875403E9</v>
      </c>
      <c r="X699" s="20">
        <v>1.081893875E9</v>
      </c>
      <c r="Y699" s="22">
        <v>46182.0</v>
      </c>
      <c r="Z699" s="22">
        <v>46207.0</v>
      </c>
      <c r="AA699" s="20">
        <v>97661.94</v>
      </c>
      <c r="AB699" s="20">
        <v>97661.94</v>
      </c>
      <c r="AC699" s="20">
        <v>25122.0</v>
      </c>
      <c r="AD699" s="20">
        <v>0.0</v>
      </c>
      <c r="AE699" s="20">
        <v>22295.94</v>
      </c>
      <c r="AF699" s="20">
        <v>0.0</v>
      </c>
      <c r="AG699" s="20">
        <v>0.0</v>
      </c>
      <c r="AH699" s="20">
        <v>0.0</v>
      </c>
      <c r="AI699" s="20">
        <v>0.0</v>
      </c>
      <c r="AJ699" s="20">
        <v>97661.94</v>
      </c>
      <c r="AK699" s="20">
        <v>1475867.05</v>
      </c>
      <c r="AL699" s="20">
        <v>21.0</v>
      </c>
      <c r="AM699" s="20">
        <v>376.2</v>
      </c>
      <c r="AN699" s="20">
        <v>0.0</v>
      </c>
      <c r="AS699" s="11" t="str">
        <f>VLOOKUP(C699,'mayo-26'!B:AS,44,0)</f>
        <v>TUSECRETOSEXSHOP.1@GMAIL.COM</v>
      </c>
      <c r="AT699" s="12" t="str">
        <f>VLOOKUP(C699,'mayo-26'!B:AT,45,0)</f>
        <v>VERIFICADOR</v>
      </c>
    </row>
    <row r="700" ht="14.25" customHeight="1">
      <c r="A700" s="20" t="s">
        <v>1489</v>
      </c>
      <c r="B700" s="20">
        <v>257.0</v>
      </c>
      <c r="C700" s="20">
        <v>256.0</v>
      </c>
      <c r="D700" s="21">
        <v>256.0</v>
      </c>
      <c r="E700" s="20">
        <v>9.0235275E7</v>
      </c>
      <c r="F700" s="20">
        <v>9.0235275E7</v>
      </c>
      <c r="G700" s="20">
        <v>1.090462022E9</v>
      </c>
      <c r="H700" s="20" t="s">
        <v>934</v>
      </c>
      <c r="I700" s="1" t="str">
        <f>VLOOKUP(C700,'mayo-26'!B:H,7,0)</f>
        <v>AVE 0 11-153 202</v>
      </c>
      <c r="J700" s="1" t="s">
        <v>931</v>
      </c>
      <c r="K700" s="10" t="str">
        <f>VLOOKUP(C700,'mayo-26'!B:J,9,0)</f>
        <v>CENTRO</v>
      </c>
      <c r="L700" s="1" t="str">
        <f>VLOOKUP(C700,'mayo-26'!B:K,10,0)</f>
        <v>CENTRO</v>
      </c>
      <c r="M700" s="20" t="s">
        <v>52</v>
      </c>
      <c r="N700" s="20" t="s">
        <v>89</v>
      </c>
      <c r="O700" s="20" t="s">
        <v>861</v>
      </c>
      <c r="P700" s="20" t="s">
        <v>126</v>
      </c>
      <c r="Q700" s="20" t="s">
        <v>131</v>
      </c>
      <c r="R700" s="20" t="s">
        <v>363</v>
      </c>
      <c r="S700" s="20" t="s">
        <v>133</v>
      </c>
      <c r="T700" s="20" t="s">
        <v>59</v>
      </c>
      <c r="U700" s="20">
        <v>2026.0</v>
      </c>
      <c r="V700" s="20">
        <v>6.0</v>
      </c>
      <c r="W700" s="20">
        <v>1.08187541E9</v>
      </c>
      <c r="X700" s="20">
        <v>1.081893882E9</v>
      </c>
      <c r="Y700" s="22">
        <v>46182.0</v>
      </c>
      <c r="Z700" s="22">
        <v>46207.0</v>
      </c>
      <c r="AA700" s="20">
        <v>75366.0</v>
      </c>
      <c r="AB700" s="20">
        <v>75366.0</v>
      </c>
      <c r="AC700" s="20">
        <v>25122.0</v>
      </c>
      <c r="AD700" s="20">
        <v>0.0</v>
      </c>
      <c r="AE700" s="20">
        <v>0.0</v>
      </c>
      <c r="AF700" s="20">
        <v>0.0</v>
      </c>
      <c r="AG700" s="20">
        <v>0.0</v>
      </c>
      <c r="AH700" s="20">
        <v>0.0</v>
      </c>
      <c r="AI700" s="20">
        <v>0.0</v>
      </c>
      <c r="AJ700" s="20">
        <v>75366.0</v>
      </c>
      <c r="AK700" s="20">
        <v>151507.5</v>
      </c>
      <c r="AL700" s="20">
        <v>1.0</v>
      </c>
      <c r="AM700" s="20">
        <v>376.2</v>
      </c>
      <c r="AN700" s="20">
        <v>0.0</v>
      </c>
      <c r="AS700" s="11" t="str">
        <f>VLOOKUP(C700,'mayo-26'!B:AS,44,0)</f>
        <v>JENNRODRIGUEZPSIC@GMAIL.COM</v>
      </c>
      <c r="AT700" s="12" t="str">
        <f>VLOOKUP(C700,'mayo-26'!B:AT,45,0)</f>
        <v>VERIFICADOR</v>
      </c>
    </row>
    <row r="701" ht="14.25" customHeight="1">
      <c r="A701" s="20" t="s">
        <v>1490</v>
      </c>
      <c r="B701" s="20">
        <v>261.0</v>
      </c>
      <c r="C701" s="20">
        <v>260.0</v>
      </c>
      <c r="D701" s="21">
        <v>260.0</v>
      </c>
      <c r="E701" s="20">
        <v>9.023528E7</v>
      </c>
      <c r="F701" s="20">
        <v>9.023528E7</v>
      </c>
      <c r="G701" s="20">
        <v>9.023528E7</v>
      </c>
      <c r="H701" s="20" t="s">
        <v>934</v>
      </c>
      <c r="I701" s="1" t="str">
        <f>VLOOKUP(C701,'mayo-26'!B:H,7,0)</f>
        <v>AVE 0 11-153 401</v>
      </c>
      <c r="J701" s="1" t="s">
        <v>931</v>
      </c>
      <c r="K701" s="10" t="str">
        <f>VLOOKUP(C701,'mayo-26'!B:J,9,0)</f>
        <v>CENTRO</v>
      </c>
      <c r="L701" s="1" t="str">
        <f>VLOOKUP(C701,'mayo-26'!B:K,10,0)</f>
        <v>CENTRO</v>
      </c>
      <c r="M701" s="20" t="s">
        <v>52</v>
      </c>
      <c r="N701" s="20" t="s">
        <v>89</v>
      </c>
      <c r="O701" s="20" t="s">
        <v>861</v>
      </c>
      <c r="P701" s="20" t="s">
        <v>126</v>
      </c>
      <c r="Q701" s="20" t="s">
        <v>218</v>
      </c>
      <c r="R701" s="20" t="s">
        <v>938</v>
      </c>
      <c r="S701" s="20" t="s">
        <v>133</v>
      </c>
      <c r="T701" s="20" t="s">
        <v>59</v>
      </c>
      <c r="U701" s="20">
        <v>2026.0</v>
      </c>
      <c r="V701" s="20">
        <v>6.0</v>
      </c>
      <c r="W701" s="20">
        <v>1.081875413E9</v>
      </c>
      <c r="X701" s="20">
        <v>1.081893885E9</v>
      </c>
      <c r="Y701" s="22">
        <v>46182.0</v>
      </c>
      <c r="Z701" s="22">
        <v>46207.0</v>
      </c>
      <c r="AA701" s="20">
        <v>53134.0</v>
      </c>
      <c r="AB701" s="20">
        <v>53134.0</v>
      </c>
      <c r="AC701" s="20">
        <v>0.0</v>
      </c>
      <c r="AD701" s="20">
        <v>0.0</v>
      </c>
      <c r="AE701" s="20">
        <v>0.0</v>
      </c>
      <c r="AF701" s="20">
        <v>0.0</v>
      </c>
      <c r="AG701" s="20">
        <v>0.0</v>
      </c>
      <c r="AH701" s="20">
        <v>0.0</v>
      </c>
      <c r="AI701" s="20">
        <v>0.0</v>
      </c>
      <c r="AJ701" s="20">
        <v>53134.0</v>
      </c>
      <c r="AK701" s="20">
        <v>53134.0</v>
      </c>
      <c r="AL701" s="20">
        <v>0.0</v>
      </c>
      <c r="AM701" s="20">
        <v>250.8</v>
      </c>
      <c r="AN701" s="20">
        <v>0.0</v>
      </c>
      <c r="AS701" s="11" t="str">
        <f>VLOOKUP(C701,'mayo-26'!B:AS,44,0)</f>
        <v>JENNY.GIL@VEOLIA.COM</v>
      </c>
      <c r="AT701" s="12" t="str">
        <f>VLOOKUP(C701,'mayo-26'!B:AT,45,0)</f>
        <v>VERIFICADOR</v>
      </c>
    </row>
    <row r="702" ht="14.25" customHeight="1">
      <c r="A702" s="20" t="s">
        <v>1491</v>
      </c>
      <c r="B702" s="20">
        <v>265.0</v>
      </c>
      <c r="C702" s="20">
        <v>264.0</v>
      </c>
      <c r="D702" s="21">
        <v>264.0</v>
      </c>
      <c r="E702" s="20">
        <v>9.0235352E7</v>
      </c>
      <c r="F702" s="20">
        <v>9.0235352E7</v>
      </c>
      <c r="G702" s="20" t="s">
        <v>1492</v>
      </c>
      <c r="H702" s="20" t="s">
        <v>1493</v>
      </c>
      <c r="I702" s="1" t="str">
        <f>VLOOKUP(C702,'mayo-26'!B:H,7,0)</f>
        <v>AVE 0 13-99 CAOBOS</v>
      </c>
      <c r="J702" s="1" t="s">
        <v>123</v>
      </c>
      <c r="K702" s="10" t="str">
        <f>VLOOKUP(C702,'mayo-26'!B:J,9,0)</f>
        <v>NO</v>
      </c>
      <c r="L702" s="1" t="str">
        <f>VLOOKUP(C702,'mayo-26'!B:K,10,0)</f>
        <v>NO</v>
      </c>
      <c r="M702" s="20" t="s">
        <v>52</v>
      </c>
      <c r="N702" s="20" t="s">
        <v>89</v>
      </c>
      <c r="O702" s="20" t="s">
        <v>861</v>
      </c>
      <c r="P702" s="20" t="s">
        <v>126</v>
      </c>
      <c r="Q702" s="20" t="s">
        <v>131</v>
      </c>
      <c r="R702" s="20" t="s">
        <v>132</v>
      </c>
      <c r="S702" s="20" t="s">
        <v>133</v>
      </c>
      <c r="T702" s="20" t="s">
        <v>59</v>
      </c>
      <c r="U702" s="20">
        <v>2026.0</v>
      </c>
      <c r="V702" s="20">
        <v>6.0</v>
      </c>
      <c r="W702" s="20">
        <v>1.081875418E9</v>
      </c>
      <c r="X702" s="20">
        <v>1.08189389E9</v>
      </c>
      <c r="Y702" s="22">
        <v>46182.0</v>
      </c>
      <c r="Z702" s="22">
        <v>46207.0</v>
      </c>
      <c r="AA702" s="20">
        <v>116610.93</v>
      </c>
      <c r="AB702" s="20">
        <v>116610.93</v>
      </c>
      <c r="AC702" s="20">
        <v>37709.5</v>
      </c>
      <c r="AD702" s="20">
        <v>0.0</v>
      </c>
      <c r="AE702" s="20">
        <v>3482.43</v>
      </c>
      <c r="AF702" s="20">
        <v>0.0</v>
      </c>
      <c r="AG702" s="20">
        <v>0.0</v>
      </c>
      <c r="AH702" s="20">
        <v>0.0</v>
      </c>
      <c r="AI702" s="20">
        <v>0.0</v>
      </c>
      <c r="AJ702" s="20">
        <v>116610.93</v>
      </c>
      <c r="AK702" s="20">
        <v>457295.39</v>
      </c>
      <c r="AL702" s="20">
        <v>3.0</v>
      </c>
      <c r="AM702" s="20">
        <v>376.2</v>
      </c>
      <c r="AN702" s="20">
        <v>0.0</v>
      </c>
      <c r="AS702" s="11" t="str">
        <f>VLOOKUP(C702,'mayo-26'!B:AS,44,0)</f>
        <v>ASISTENTEADMINISTRATIVACUCUTA@PROVIDAIPS.COM.CO</v>
      </c>
      <c r="AT702" s="12" t="str">
        <f>VLOOKUP(C702,'mayo-26'!B:AT,45,0)</f>
        <v>CORREO ELECTRONICO CERTIFICADO 472</v>
      </c>
    </row>
    <row r="703" ht="14.25" customHeight="1">
      <c r="A703" s="20" t="s">
        <v>1494</v>
      </c>
      <c r="B703" s="20">
        <v>269.0</v>
      </c>
      <c r="C703" s="20">
        <v>268.0</v>
      </c>
      <c r="D703" s="21">
        <v>268.0</v>
      </c>
      <c r="E703" s="20">
        <v>9.0236069E7</v>
      </c>
      <c r="F703" s="20">
        <v>9.0236069E7</v>
      </c>
      <c r="G703" s="20" t="s">
        <v>1495</v>
      </c>
      <c r="H703" s="20" t="s">
        <v>1496</v>
      </c>
      <c r="I703" s="1" t="str">
        <f>VLOOKUP(C703,'mayo-26'!B:H,7,0)</f>
        <v>AVE 2E 15A-51 COLEGIO</v>
      </c>
      <c r="J703" s="1" t="s">
        <v>942</v>
      </c>
      <c r="K703" s="10" t="str">
        <f>VLOOKUP(C703,'mayo-26'!B:J,9,0)</f>
        <v>NO</v>
      </c>
      <c r="L703" s="1" t="str">
        <f>VLOOKUP(C703,'mayo-26'!B:K,10,0)</f>
        <v>NO</v>
      </c>
      <c r="M703" s="20" t="s">
        <v>52</v>
      </c>
      <c r="N703" s="20" t="s">
        <v>89</v>
      </c>
      <c r="O703" s="20" t="s">
        <v>861</v>
      </c>
      <c r="P703" s="20" t="s">
        <v>126</v>
      </c>
      <c r="Q703" s="20" t="s">
        <v>56</v>
      </c>
      <c r="R703" s="20" t="s">
        <v>57</v>
      </c>
      <c r="S703" s="20" t="s">
        <v>143</v>
      </c>
      <c r="T703" s="20" t="s">
        <v>59</v>
      </c>
      <c r="U703" s="20">
        <v>2026.0</v>
      </c>
      <c r="V703" s="20">
        <v>6.0</v>
      </c>
      <c r="W703" s="20">
        <v>1.081875424E9</v>
      </c>
      <c r="X703" s="20">
        <v>1.081893896E9</v>
      </c>
      <c r="Y703" s="22">
        <v>46182.0</v>
      </c>
      <c r="Z703" s="22">
        <v>46207.0</v>
      </c>
      <c r="AA703" s="20">
        <v>484067.82</v>
      </c>
      <c r="AB703" s="20">
        <v>484067.82</v>
      </c>
      <c r="AC703" s="20">
        <v>0.0</v>
      </c>
      <c r="AD703" s="20">
        <v>2352.5</v>
      </c>
      <c r="AE703" s="20">
        <v>0.0</v>
      </c>
      <c r="AF703" s="20">
        <v>0.0</v>
      </c>
      <c r="AG703" s="20">
        <v>0.0</v>
      </c>
      <c r="AH703" s="20">
        <v>0.0</v>
      </c>
      <c r="AI703" s="20">
        <v>0.0</v>
      </c>
      <c r="AJ703" s="20">
        <v>484067.82</v>
      </c>
      <c r="AK703" s="20">
        <v>484067.82</v>
      </c>
      <c r="AL703" s="20">
        <v>0.0</v>
      </c>
      <c r="AM703" s="20">
        <v>250.8</v>
      </c>
      <c r="AN703" s="20">
        <v>0.0</v>
      </c>
      <c r="AS703" s="11" t="str">
        <f>VLOOKUP(C703,'mayo-26'!B:AS,44,0)</f>
        <v>ADMONCUCUTA@CARMELITASTERESAS.ORG</v>
      </c>
      <c r="AT703" s="12" t="str">
        <f>VLOOKUP(C703,'mayo-26'!B:AT,45,0)</f>
        <v>CORREO ELECTRONICO CERTIFICADO 472</v>
      </c>
    </row>
    <row r="704" ht="14.25" customHeight="1">
      <c r="A704" s="20" t="s">
        <v>1497</v>
      </c>
      <c r="B704" s="20">
        <v>26909.0</v>
      </c>
      <c r="C704" s="20">
        <v>26908.0</v>
      </c>
      <c r="D704" s="21">
        <v>26908.0</v>
      </c>
      <c r="E704" s="20">
        <v>313263.0</v>
      </c>
      <c r="F704" s="20">
        <v>313263.0</v>
      </c>
      <c r="G704" s="20">
        <v>3.727427E7</v>
      </c>
      <c r="H704" s="20" t="s">
        <v>1498</v>
      </c>
      <c r="I704" s="1" t="str">
        <f>VLOOKUP(C704,'mayo-26'!B:H,7,0)</f>
        <v>CLL 7 6-49 SAN LUIS</v>
      </c>
      <c r="J704" s="1" t="s">
        <v>863</v>
      </c>
      <c r="K704" s="10" t="str">
        <f>VLOOKUP(C704,'mayo-26'!B:J,9,0)</f>
        <v>NO</v>
      </c>
      <c r="L704" s="1" t="str">
        <f>VLOOKUP(C704,'mayo-26'!B:K,10,0)</f>
        <v>NO</v>
      </c>
      <c r="M704" s="20" t="s">
        <v>52</v>
      </c>
      <c r="N704" s="20" t="s">
        <v>89</v>
      </c>
      <c r="O704" s="20" t="s">
        <v>861</v>
      </c>
      <c r="P704" s="20" t="s">
        <v>126</v>
      </c>
      <c r="Q704" s="20" t="s">
        <v>56</v>
      </c>
      <c r="R704" s="20" t="s">
        <v>90</v>
      </c>
      <c r="S704" s="20" t="s">
        <v>143</v>
      </c>
      <c r="T704" s="20" t="s">
        <v>59</v>
      </c>
      <c r="U704" s="20">
        <v>2026.0</v>
      </c>
      <c r="V704" s="20">
        <v>6.0</v>
      </c>
      <c r="W704" s="20">
        <v>1.081875678E9</v>
      </c>
      <c r="X704" s="20">
        <v>1.08189415E9</v>
      </c>
      <c r="Y704" s="22">
        <v>46182.0</v>
      </c>
      <c r="Z704" s="22">
        <v>46207.0</v>
      </c>
      <c r="AA704" s="20">
        <v>1764348.0</v>
      </c>
      <c r="AB704" s="20">
        <v>1764348.0</v>
      </c>
      <c r="AC704" s="20">
        <v>588116.0</v>
      </c>
      <c r="AD704" s="20">
        <v>6000.0</v>
      </c>
      <c r="AE704" s="20">
        <v>0.0</v>
      </c>
      <c r="AF704" s="20">
        <v>0.0</v>
      </c>
      <c r="AG704" s="20">
        <v>0.0</v>
      </c>
      <c r="AH704" s="20">
        <v>0.0</v>
      </c>
      <c r="AI704" s="20">
        <v>0.0</v>
      </c>
      <c r="AJ704" s="20">
        <v>1764348.0</v>
      </c>
      <c r="AK704" s="20">
        <v>1764348.0</v>
      </c>
      <c r="AL704" s="20">
        <v>0.0</v>
      </c>
      <c r="AM704" s="20">
        <v>376.2</v>
      </c>
      <c r="AN704" s="20">
        <v>0.0</v>
      </c>
      <c r="AS704" s="11" t="str">
        <f>VLOOKUP(C704,'mayo-26'!B:AS,44,0)</f>
        <v>CONTABILIDAD@CARNESFRIASCIFUENTES.COM</v>
      </c>
      <c r="AT704" s="12" t="str">
        <f>VLOOKUP(C704,'mayo-26'!B:AT,45,0)</f>
        <v>CORREO ELECTRONICO CERTIFICADO 472</v>
      </c>
    </row>
    <row r="705" ht="14.25" customHeight="1">
      <c r="A705" s="20" t="s">
        <v>1499</v>
      </c>
      <c r="B705" s="20">
        <v>271.0</v>
      </c>
      <c r="C705" s="20">
        <v>272.0</v>
      </c>
      <c r="D705" s="21">
        <v>272.0</v>
      </c>
      <c r="E705" s="20">
        <v>9.0236217E7</v>
      </c>
      <c r="F705" s="20">
        <v>9.0236217E7</v>
      </c>
      <c r="G705" s="20">
        <v>9.0236215E7</v>
      </c>
      <c r="H705" s="20" t="s">
        <v>941</v>
      </c>
      <c r="I705" s="1" t="str">
        <f>VLOOKUP(C705,'mayo-26'!B:H,7,0)</f>
        <v>CLL 14 4E-23 APTO 201</v>
      </c>
      <c r="J705" s="1" t="s">
        <v>942</v>
      </c>
      <c r="K705" s="10" t="str">
        <f>VLOOKUP(C705,'mayo-26'!B:J,9,0)</f>
        <v>CENTRO </v>
      </c>
      <c r="L705" s="1" t="str">
        <f>VLOOKUP(C705,'mayo-26'!B:K,10,0)</f>
        <v>EDIFICIO ATLANTE LTDA</v>
      </c>
      <c r="M705" s="20" t="s">
        <v>52</v>
      </c>
      <c r="N705" s="20" t="s">
        <v>53</v>
      </c>
      <c r="O705" s="20" t="s">
        <v>861</v>
      </c>
      <c r="P705" s="20" t="s">
        <v>126</v>
      </c>
      <c r="Q705" s="20" t="s">
        <v>218</v>
      </c>
      <c r="R705" s="20" t="s">
        <v>943</v>
      </c>
      <c r="S705" s="20" t="s">
        <v>133</v>
      </c>
      <c r="T705" s="20" t="s">
        <v>59</v>
      </c>
      <c r="U705" s="20">
        <v>2026.0</v>
      </c>
      <c r="V705" s="20">
        <v>6.0</v>
      </c>
      <c r="W705" s="20">
        <v>1.081875427E9</v>
      </c>
      <c r="X705" s="20">
        <v>1.081893899E9</v>
      </c>
      <c r="Y705" s="22">
        <v>46182.0</v>
      </c>
      <c r="Z705" s="22">
        <v>46207.0</v>
      </c>
      <c r="AA705" s="20">
        <v>84807.0</v>
      </c>
      <c r="AB705" s="20">
        <v>84807.0</v>
      </c>
      <c r="AC705" s="20">
        <v>28269.0</v>
      </c>
      <c r="AD705" s="20">
        <v>0.0</v>
      </c>
      <c r="AE705" s="20">
        <v>0.0</v>
      </c>
      <c r="AF705" s="20">
        <v>0.0</v>
      </c>
      <c r="AG705" s="20">
        <v>0.0</v>
      </c>
      <c r="AH705" s="20">
        <v>0.0</v>
      </c>
      <c r="AI705" s="20">
        <v>0.0</v>
      </c>
      <c r="AJ705" s="20">
        <v>84807.0</v>
      </c>
      <c r="AK705" s="20">
        <v>84807.0</v>
      </c>
      <c r="AL705" s="20">
        <v>0.0</v>
      </c>
      <c r="AM705" s="20">
        <v>376.2</v>
      </c>
      <c r="AN705" s="20">
        <v>0.0</v>
      </c>
      <c r="AS705" s="11" t="str">
        <f>VLOOKUP(C705,'mayo-26'!B:AS,44,0)</f>
        <v>CINOVA1934@YAHOO.COM</v>
      </c>
      <c r="AT705" s="12" t="str">
        <f>VLOOKUP(C705,'mayo-26'!B:AT,45,0)</f>
        <v>VERIFICADOR</v>
      </c>
    </row>
    <row r="706" ht="14.25" customHeight="1">
      <c r="A706" s="20" t="s">
        <v>1500</v>
      </c>
      <c r="B706" s="20">
        <v>277.0</v>
      </c>
      <c r="C706" s="20">
        <v>276.0</v>
      </c>
      <c r="D706" s="21">
        <v>276.0</v>
      </c>
      <c r="E706" s="20">
        <v>9.0236221E7</v>
      </c>
      <c r="F706" s="20">
        <v>9.0236221E7</v>
      </c>
      <c r="G706" s="20">
        <v>2.0255163E7</v>
      </c>
      <c r="H706" s="20" t="s">
        <v>1501</v>
      </c>
      <c r="I706" s="1" t="str">
        <f>VLOOKUP(C706,'mayo-26'!B:H,7,0)</f>
        <v>CL 14 #4E-23 APTO 501</v>
      </c>
      <c r="J706" s="1" t="s">
        <v>942</v>
      </c>
      <c r="K706" s="10" t="str">
        <f>VLOOKUP(C706,'mayo-26'!B:J,9,0)</f>
        <v>CENTRO </v>
      </c>
      <c r="L706" s="1" t="str">
        <f>VLOOKUP(C706,'mayo-26'!B:K,10,0)</f>
        <v>EDIFICIO ATLANTE LTDA</v>
      </c>
      <c r="M706" s="20" t="s">
        <v>52</v>
      </c>
      <c r="N706" s="20" t="s">
        <v>89</v>
      </c>
      <c r="O706" s="20" t="s">
        <v>861</v>
      </c>
      <c r="P706" s="20" t="s">
        <v>126</v>
      </c>
      <c r="Q706" s="20" t="s">
        <v>218</v>
      </c>
      <c r="R706" s="20" t="s">
        <v>943</v>
      </c>
      <c r="S706" s="20" t="s">
        <v>133</v>
      </c>
      <c r="T706" s="20" t="s">
        <v>59</v>
      </c>
      <c r="U706" s="20">
        <v>2026.0</v>
      </c>
      <c r="V706" s="20">
        <v>6.0</v>
      </c>
      <c r="W706" s="20">
        <v>1.081875431E9</v>
      </c>
      <c r="X706" s="20">
        <v>1.081893903E9</v>
      </c>
      <c r="Y706" s="22">
        <v>46182.0</v>
      </c>
      <c r="Z706" s="22">
        <v>46207.0</v>
      </c>
      <c r="AA706" s="20">
        <v>84807.0</v>
      </c>
      <c r="AB706" s="20">
        <v>84807.0</v>
      </c>
      <c r="AC706" s="20">
        <v>28269.0</v>
      </c>
      <c r="AD706" s="20">
        <v>0.0</v>
      </c>
      <c r="AE706" s="20">
        <v>0.0</v>
      </c>
      <c r="AF706" s="20">
        <v>0.0</v>
      </c>
      <c r="AG706" s="20">
        <v>0.0</v>
      </c>
      <c r="AH706" s="20">
        <v>0.0</v>
      </c>
      <c r="AI706" s="20">
        <v>0.0</v>
      </c>
      <c r="AJ706" s="20">
        <v>84807.0</v>
      </c>
      <c r="AK706" s="20">
        <v>84807.0</v>
      </c>
      <c r="AL706" s="20">
        <v>0.0</v>
      </c>
      <c r="AM706" s="20">
        <v>376.2</v>
      </c>
      <c r="AN706" s="20">
        <v>0.0</v>
      </c>
      <c r="AS706" s="11" t="str">
        <f>VLOOKUP(C706,'mayo-26'!B:AS,44,0)</f>
        <v>JOR_MANSILLA@HOTMAIL.COM</v>
      </c>
      <c r="AT706" s="12" t="str">
        <f>VLOOKUP(C706,'mayo-26'!B:AT,45,0)</f>
        <v>VERIFICADOR</v>
      </c>
    </row>
    <row r="707" ht="14.25" customHeight="1">
      <c r="A707" s="20" t="s">
        <v>1502</v>
      </c>
      <c r="B707" s="20">
        <v>281.0</v>
      </c>
      <c r="C707" s="20">
        <v>280.0</v>
      </c>
      <c r="D707" s="21">
        <v>280.0</v>
      </c>
      <c r="E707" s="20">
        <v>9.0236225E7</v>
      </c>
      <c r="F707" s="20">
        <v>9.0236225E7</v>
      </c>
      <c r="G707" s="20" t="s">
        <v>1503</v>
      </c>
      <c r="H707" s="20" t="s">
        <v>941</v>
      </c>
      <c r="I707" s="1" t="str">
        <f>VLOOKUP(C707,'mayo-26'!B:H,7,0)</f>
        <v>CL 14 #4E-23 APTO 701</v>
      </c>
      <c r="J707" s="1" t="s">
        <v>942</v>
      </c>
      <c r="K707" s="10" t="str">
        <f>VLOOKUP(C707,'mayo-26'!B:J,9,0)</f>
        <v>CENTRO </v>
      </c>
      <c r="L707" s="1" t="str">
        <f>VLOOKUP(C707,'mayo-26'!B:K,10,0)</f>
        <v>EDIFICIO ATLANTE LTDA</v>
      </c>
      <c r="M707" s="20" t="s">
        <v>52</v>
      </c>
      <c r="N707" s="20" t="s">
        <v>89</v>
      </c>
      <c r="O707" s="20" t="s">
        <v>861</v>
      </c>
      <c r="P707" s="20" t="s">
        <v>126</v>
      </c>
      <c r="Q707" s="20" t="s">
        <v>218</v>
      </c>
      <c r="R707" s="20" t="s">
        <v>943</v>
      </c>
      <c r="S707" s="20" t="s">
        <v>133</v>
      </c>
      <c r="T707" s="20" t="s">
        <v>59</v>
      </c>
      <c r="U707" s="20">
        <v>2026.0</v>
      </c>
      <c r="V707" s="20">
        <v>6.0</v>
      </c>
      <c r="W707" s="20">
        <v>1.081875435E9</v>
      </c>
      <c r="X707" s="20">
        <v>1.081893907E9</v>
      </c>
      <c r="Y707" s="22">
        <v>46182.0</v>
      </c>
      <c r="Z707" s="22">
        <v>46207.0</v>
      </c>
      <c r="AA707" s="20">
        <v>84807.0</v>
      </c>
      <c r="AB707" s="20">
        <v>84807.0</v>
      </c>
      <c r="AC707" s="20">
        <v>28269.0</v>
      </c>
      <c r="AD707" s="20">
        <v>0.0</v>
      </c>
      <c r="AE707" s="20">
        <v>0.0</v>
      </c>
      <c r="AF707" s="20">
        <v>0.0</v>
      </c>
      <c r="AG707" s="20">
        <v>0.0</v>
      </c>
      <c r="AH707" s="20">
        <v>0.0</v>
      </c>
      <c r="AI707" s="20">
        <v>0.0</v>
      </c>
      <c r="AJ707" s="20">
        <v>84807.0</v>
      </c>
      <c r="AK707" s="20">
        <v>84807.0</v>
      </c>
      <c r="AL707" s="20">
        <v>0.0</v>
      </c>
      <c r="AM707" s="20">
        <v>376.2</v>
      </c>
      <c r="AN707" s="20">
        <v>0.0</v>
      </c>
      <c r="AS707" s="11" t="str">
        <f>VLOOKUP(C707,'mayo-26'!B:AS,44,0)</f>
        <v>INMUEBLESNOVACASA@GMAIL.COM</v>
      </c>
      <c r="AT707" s="12" t="str">
        <f>VLOOKUP(C707,'mayo-26'!B:AT,45,0)</f>
        <v>VERIFICADOR</v>
      </c>
    </row>
    <row r="708" ht="14.25" customHeight="1">
      <c r="A708" s="20" t="s">
        <v>1504</v>
      </c>
      <c r="B708" s="20">
        <v>285.0</v>
      </c>
      <c r="C708" s="20">
        <v>284.0</v>
      </c>
      <c r="D708" s="21">
        <v>284.0</v>
      </c>
      <c r="E708" s="20">
        <v>9.0237025E7</v>
      </c>
      <c r="F708" s="20">
        <v>9.0237025E7</v>
      </c>
      <c r="G708" s="20">
        <v>1.3466549E7</v>
      </c>
      <c r="H708" s="20" t="s">
        <v>1505</v>
      </c>
      <c r="I708" s="1" t="str">
        <f>VLOOKUP(C708,'mayo-26'!B:H,7,0)</f>
        <v>AVE O 19-80 CONSULT.3</v>
      </c>
      <c r="J708" s="1" t="s">
        <v>1506</v>
      </c>
      <c r="K708" s="10" t="str">
        <f>VLOOKUP(C708,'mayo-26'!B:J,9,0)</f>
        <v>NO</v>
      </c>
      <c r="L708" s="1" t="str">
        <f>VLOOKUP(C708,'mayo-26'!B:K,10,0)</f>
        <v>NO</v>
      </c>
      <c r="M708" s="20" t="s">
        <v>52</v>
      </c>
      <c r="N708" s="20" t="s">
        <v>89</v>
      </c>
      <c r="O708" s="20" t="s">
        <v>861</v>
      </c>
      <c r="P708" s="20" t="s">
        <v>126</v>
      </c>
      <c r="Q708" s="20" t="s">
        <v>131</v>
      </c>
      <c r="R708" s="20" t="s">
        <v>538</v>
      </c>
      <c r="S708" s="20" t="s">
        <v>133</v>
      </c>
      <c r="T708" s="20" t="s">
        <v>59</v>
      </c>
      <c r="U708" s="20">
        <v>2026.0</v>
      </c>
      <c r="V708" s="20">
        <v>6.0</v>
      </c>
      <c r="W708" s="20">
        <v>1.081875438E9</v>
      </c>
      <c r="X708" s="20">
        <v>1.08189391E9</v>
      </c>
      <c r="Y708" s="22">
        <v>46182.0</v>
      </c>
      <c r="Z708" s="22">
        <v>46207.0</v>
      </c>
      <c r="AA708" s="20">
        <v>179512.2</v>
      </c>
      <c r="AB708" s="20">
        <v>179512.2</v>
      </c>
      <c r="AC708" s="20">
        <v>31416.0</v>
      </c>
      <c r="AD708" s="20">
        <v>0.0</v>
      </c>
      <c r="AE708" s="20">
        <v>85264.2</v>
      </c>
      <c r="AF708" s="20">
        <v>0.0</v>
      </c>
      <c r="AG708" s="20">
        <v>0.0</v>
      </c>
      <c r="AH708" s="20">
        <v>0.0</v>
      </c>
      <c r="AI708" s="20">
        <v>0.0</v>
      </c>
      <c r="AJ708" s="20">
        <v>179512.2</v>
      </c>
      <c r="AK708" s="20">
        <v>527210.4</v>
      </c>
      <c r="AL708" s="20">
        <v>3.0</v>
      </c>
      <c r="AM708" s="20">
        <v>376.2</v>
      </c>
      <c r="AN708" s="20">
        <v>0.0</v>
      </c>
      <c r="AS708" s="11" t="str">
        <f>VLOOKUP(C708,'mayo-26'!B:AS,44,0)</f>
        <v>delira07@hotmail.com</v>
      </c>
      <c r="AT708" s="12" t="str">
        <f>VLOOKUP(C708,'mayo-26'!B:AT,45,0)</f>
        <v>CORREO ELECTRONICO CERTIFICADO 472</v>
      </c>
    </row>
    <row r="709" ht="14.25" customHeight="1">
      <c r="A709" s="20" t="s">
        <v>1507</v>
      </c>
      <c r="B709" s="20">
        <v>455370.0</v>
      </c>
      <c r="C709" s="20">
        <v>288.0</v>
      </c>
      <c r="D709" s="21">
        <v>288.0</v>
      </c>
      <c r="E709" s="20">
        <v>9.0237565E7</v>
      </c>
      <c r="F709" s="20">
        <v>9.0237565E7</v>
      </c>
      <c r="G709" s="20" t="s">
        <v>148</v>
      </c>
      <c r="H709" s="20" t="s">
        <v>149</v>
      </c>
      <c r="I709" s="1" t="str">
        <f>VLOOKUP(C709,'mayo-26'!B:H,7,0)</f>
        <v>CALLE 10 NO 0E-16 EDF CENTRO EMPRESARIAL BLOQUE B HOTEL TONCHALA</v>
      </c>
      <c r="J709" s="1" t="s">
        <v>1256</v>
      </c>
      <c r="K709" s="10" t="str">
        <f>VLOOKUP(C709,'mayo-26'!B:J,9,0)</f>
        <v>NO</v>
      </c>
      <c r="L709" s="1" t="str">
        <f>VLOOKUP(C709,'mayo-26'!B:K,10,0)</f>
        <v>COLEGIOS ZONA SUR</v>
      </c>
      <c r="M709" s="20" t="s">
        <v>52</v>
      </c>
      <c r="N709" s="20" t="s">
        <v>53</v>
      </c>
      <c r="O709" s="20" t="s">
        <v>861</v>
      </c>
      <c r="P709" s="20" t="s">
        <v>126</v>
      </c>
      <c r="Q709" s="20" t="s">
        <v>56</v>
      </c>
      <c r="R709" s="20" t="s">
        <v>57</v>
      </c>
      <c r="S709" s="20" t="s">
        <v>143</v>
      </c>
      <c r="T709" s="20" t="s">
        <v>59</v>
      </c>
      <c r="U709" s="20">
        <v>2026.0</v>
      </c>
      <c r="V709" s="20">
        <v>6.0</v>
      </c>
      <c r="W709" s="20">
        <v>1.081875446E9</v>
      </c>
      <c r="X709" s="20">
        <v>1.081893918E9</v>
      </c>
      <c r="Y709" s="22">
        <v>46182.0</v>
      </c>
      <c r="Z709" s="22">
        <v>46207.0</v>
      </c>
      <c r="AA709" s="20">
        <v>221339.56</v>
      </c>
      <c r="AB709" s="20">
        <v>221339.56</v>
      </c>
      <c r="AC709" s="20">
        <v>0.0</v>
      </c>
      <c r="AD709" s="20">
        <v>968.0</v>
      </c>
      <c r="AE709" s="20">
        <v>0.0</v>
      </c>
      <c r="AF709" s="20">
        <v>0.0</v>
      </c>
      <c r="AG709" s="20">
        <v>0.0</v>
      </c>
      <c r="AH709" s="20">
        <v>0.0</v>
      </c>
      <c r="AI709" s="20">
        <v>0.0</v>
      </c>
      <c r="AJ709" s="20">
        <v>221339.56</v>
      </c>
      <c r="AK709" s="20">
        <v>660643.22</v>
      </c>
      <c r="AL709" s="20">
        <v>3.0</v>
      </c>
      <c r="AM709" s="20">
        <v>250.8</v>
      </c>
      <c r="AN709" s="20">
        <v>0.0</v>
      </c>
      <c r="AS709" s="11" t="str">
        <f>VLOOKUP(C709,'mayo-26'!B:AS,44,0)</f>
        <v>AREAFINANCIERA@SEMCUCUTA.GOV.CO</v>
      </c>
      <c r="AT709" s="12" t="str">
        <f>VLOOKUP(C709,'mayo-26'!B:AT,45,0)</f>
        <v>CARTERA</v>
      </c>
    </row>
    <row r="710" ht="14.25" customHeight="1">
      <c r="A710" s="20" t="s">
        <v>1508</v>
      </c>
      <c r="B710" s="20">
        <v>293.0</v>
      </c>
      <c r="C710" s="20">
        <v>292.0</v>
      </c>
      <c r="D710" s="21">
        <v>292.0</v>
      </c>
      <c r="E710" s="20">
        <v>9.0238483E7</v>
      </c>
      <c r="F710" s="20">
        <v>9.0238483E7</v>
      </c>
      <c r="G710" s="20">
        <v>8.90501434E8</v>
      </c>
      <c r="H710" s="20" t="s">
        <v>1509</v>
      </c>
      <c r="I710" s="1" t="str">
        <f>VLOOKUP(C710,'mayo-26'!B:H,7,0)</f>
        <v>AVE 6 # 19-76 LA CABRERA</v>
      </c>
      <c r="J710" s="1" t="s">
        <v>1015</v>
      </c>
      <c r="K710" s="10" t="str">
        <f>VLOOKUP(C710,'mayo-26'!B:J,9,0)</f>
        <v>NO</v>
      </c>
      <c r="L710" s="1" t="str">
        <f>VLOOKUP(C710,'mayo-26'!B:K,10,0)</f>
        <v>COLEGIOS ZONA SUR</v>
      </c>
      <c r="M710" s="20" t="s">
        <v>52</v>
      </c>
      <c r="N710" s="20" t="s">
        <v>89</v>
      </c>
      <c r="O710" s="20" t="s">
        <v>861</v>
      </c>
      <c r="P710" s="20" t="s">
        <v>126</v>
      </c>
      <c r="Q710" s="20" t="s">
        <v>56</v>
      </c>
      <c r="R710" s="20" t="s">
        <v>57</v>
      </c>
      <c r="S710" s="20" t="s">
        <v>143</v>
      </c>
      <c r="T710" s="20" t="s">
        <v>59</v>
      </c>
      <c r="U710" s="20">
        <v>2026.0</v>
      </c>
      <c r="V710" s="20">
        <v>6.0</v>
      </c>
      <c r="W710" s="20">
        <v>1.08187545E9</v>
      </c>
      <c r="X710" s="20">
        <v>1.081893922E9</v>
      </c>
      <c r="Y710" s="22">
        <v>46182.0</v>
      </c>
      <c r="Z710" s="22">
        <v>46207.0</v>
      </c>
      <c r="AA710" s="20">
        <v>143915.84</v>
      </c>
      <c r="AB710" s="20">
        <v>143915.84</v>
      </c>
      <c r="AC710" s="20">
        <v>0.0</v>
      </c>
      <c r="AD710" s="20">
        <v>560.0</v>
      </c>
      <c r="AE710" s="20">
        <v>0.0</v>
      </c>
      <c r="AF710" s="20">
        <v>0.0</v>
      </c>
      <c r="AG710" s="20">
        <v>0.0</v>
      </c>
      <c r="AH710" s="20">
        <v>0.0</v>
      </c>
      <c r="AI710" s="20">
        <v>0.0</v>
      </c>
      <c r="AJ710" s="20">
        <v>143915.84</v>
      </c>
      <c r="AK710" s="20">
        <v>430193.38</v>
      </c>
      <c r="AL710" s="20">
        <v>3.0</v>
      </c>
      <c r="AM710" s="20">
        <v>250.8</v>
      </c>
      <c r="AN710" s="20">
        <v>0.0</v>
      </c>
      <c r="AS710" s="11" t="str">
        <f>VLOOKUP(C710,'mayo-26'!B:AS,44,0)</f>
        <v>#ERROR!</v>
      </c>
      <c r="AT710" s="12" t="str">
        <f>VLOOKUP(C710,'mayo-26'!B:AT,45,0)</f>
        <v>CARTERA</v>
      </c>
    </row>
    <row r="711" ht="14.25" customHeight="1">
      <c r="A711" s="20" t="s">
        <v>1510</v>
      </c>
      <c r="B711" s="20">
        <v>297.0</v>
      </c>
      <c r="C711" s="20">
        <v>296.0</v>
      </c>
      <c r="D711" s="21">
        <v>296.0</v>
      </c>
      <c r="E711" s="20">
        <v>9.0239431E7</v>
      </c>
      <c r="F711" s="20">
        <v>9.0239431E7</v>
      </c>
      <c r="G711" s="20" t="s">
        <v>135</v>
      </c>
      <c r="H711" s="20" t="s">
        <v>136</v>
      </c>
      <c r="I711" s="1" t="str">
        <f>VLOOKUP(C711,'mayo-26'!B:H,7,0)</f>
        <v>AVE 4 17-89 - 0239431</v>
      </c>
      <c r="J711" s="1" t="s">
        <v>343</v>
      </c>
      <c r="K711" s="10" t="str">
        <f>VLOOKUP(C711,'mayo-26'!B:J,9,0)</f>
        <v>NO</v>
      </c>
      <c r="L711" s="1" t="str">
        <f>VLOOKUP(C711,'mayo-26'!B:K,10,0)</f>
        <v>IMSALUD</v>
      </c>
      <c r="M711" s="20" t="s">
        <v>52</v>
      </c>
      <c r="N711" s="20" t="s">
        <v>89</v>
      </c>
      <c r="O711" s="20" t="s">
        <v>861</v>
      </c>
      <c r="P711" s="20" t="s">
        <v>126</v>
      </c>
      <c r="Q711" s="20" t="s">
        <v>56</v>
      </c>
      <c r="R711" s="20" t="s">
        <v>57</v>
      </c>
      <c r="S711" s="20" t="s">
        <v>143</v>
      </c>
      <c r="T711" s="20" t="s">
        <v>59</v>
      </c>
      <c r="U711" s="20">
        <v>2026.0</v>
      </c>
      <c r="V711" s="20">
        <v>6.0</v>
      </c>
      <c r="W711" s="20">
        <v>1.081875455E9</v>
      </c>
      <c r="X711" s="20">
        <v>1.081893927E9</v>
      </c>
      <c r="Y711" s="22">
        <v>46182.0</v>
      </c>
      <c r="Z711" s="22">
        <v>46207.0</v>
      </c>
      <c r="AA711" s="20">
        <v>200845.04</v>
      </c>
      <c r="AB711" s="20">
        <v>200845.04</v>
      </c>
      <c r="AC711" s="20">
        <v>0.0</v>
      </c>
      <c r="AD711" s="20">
        <v>860.0</v>
      </c>
      <c r="AE711" s="20">
        <v>0.0</v>
      </c>
      <c r="AF711" s="20">
        <v>0.0</v>
      </c>
      <c r="AG711" s="20">
        <v>0.0</v>
      </c>
      <c r="AH711" s="20">
        <v>0.0</v>
      </c>
      <c r="AI711" s="20">
        <v>0.0</v>
      </c>
      <c r="AJ711" s="20">
        <v>200845.04</v>
      </c>
      <c r="AK711" s="20">
        <v>200845.04</v>
      </c>
      <c r="AL711" s="20">
        <v>0.0</v>
      </c>
      <c r="AM711" s="20">
        <v>250.8</v>
      </c>
      <c r="AN711" s="20">
        <v>0.0</v>
      </c>
      <c r="AS711" s="11" t="str">
        <f>VLOOKUP(C711,'mayo-26'!B:AS,44,0)</f>
        <v>SUBFINANCIERA@IMSALUD.GOV.CO</v>
      </c>
      <c r="AT711" s="12" t="str">
        <f>VLOOKUP(C711,'mayo-26'!B:AT,45,0)</f>
        <v>CORREO ELECTRONICO CERTIFICADO 472</v>
      </c>
    </row>
    <row r="712" ht="14.25" customHeight="1">
      <c r="A712" s="20" t="s">
        <v>1511</v>
      </c>
      <c r="B712" s="20">
        <v>301.0</v>
      </c>
      <c r="C712" s="20">
        <v>300.0</v>
      </c>
      <c r="D712" s="21">
        <v>300.0</v>
      </c>
      <c r="E712" s="20">
        <v>9.0239516E7</v>
      </c>
      <c r="F712" s="20">
        <v>9.0239516E7</v>
      </c>
      <c r="G712" s="20">
        <v>8.0017689E7</v>
      </c>
      <c r="H712" s="20" t="s">
        <v>1512</v>
      </c>
      <c r="I712" s="1" t="str">
        <f>VLOOKUP(C712,'mayo-26'!B:H,7,0)</f>
        <v>CALLE 16 0-53</v>
      </c>
      <c r="J712" s="1" t="s">
        <v>343</v>
      </c>
      <c r="K712" s="10" t="str">
        <f>VLOOKUP(C712,'mayo-26'!B:J,9,0)</f>
        <v>NO</v>
      </c>
      <c r="L712" s="1" t="str">
        <f>VLOOKUP(C712,'mayo-26'!B:K,10,0)</f>
        <v>MEDICO QUIRURGICA</v>
      </c>
      <c r="M712" s="20" t="s">
        <v>52</v>
      </c>
      <c r="N712" s="20" t="s">
        <v>89</v>
      </c>
      <c r="O712" s="20" t="s">
        <v>861</v>
      </c>
      <c r="P712" s="20" t="s">
        <v>126</v>
      </c>
      <c r="Q712" s="20" t="s">
        <v>131</v>
      </c>
      <c r="R712" s="20" t="s">
        <v>151</v>
      </c>
      <c r="S712" s="20" t="s">
        <v>133</v>
      </c>
      <c r="T712" s="20" t="s">
        <v>59</v>
      </c>
      <c r="U712" s="20">
        <v>2026.0</v>
      </c>
      <c r="V712" s="20">
        <v>6.0</v>
      </c>
      <c r="W712" s="20">
        <v>1.081875456E9</v>
      </c>
      <c r="X712" s="20">
        <v>1.081893928E9</v>
      </c>
      <c r="Y712" s="22">
        <v>46182.0</v>
      </c>
      <c r="Z712" s="22">
        <v>46207.0</v>
      </c>
      <c r="AA712" s="20">
        <v>75419.0</v>
      </c>
      <c r="AB712" s="20">
        <v>75419.0</v>
      </c>
      <c r="AC712" s="20">
        <v>0.0</v>
      </c>
      <c r="AD712" s="20">
        <v>0.0</v>
      </c>
      <c r="AE712" s="20">
        <v>0.0</v>
      </c>
      <c r="AF712" s="20">
        <v>0.0</v>
      </c>
      <c r="AG712" s="20">
        <v>0.0</v>
      </c>
      <c r="AH712" s="20">
        <v>0.0</v>
      </c>
      <c r="AI712" s="20">
        <v>0.0</v>
      </c>
      <c r="AJ712" s="20">
        <v>75418.98</v>
      </c>
      <c r="AK712" s="20">
        <v>75418.98</v>
      </c>
      <c r="AL712" s="20">
        <v>0.0</v>
      </c>
      <c r="AM712" s="20">
        <v>250.8</v>
      </c>
      <c r="AN712" s="20">
        <v>0.0</v>
      </c>
      <c r="AQ712" s="20">
        <v>0.02</v>
      </c>
      <c r="AS712" s="11" t="str">
        <f>VLOOKUP(C712,'mayo-26'!B:AS,44,0)</f>
        <v>GESTIONDOCUMENTAL@CMQCUCUTA.COM/YOLIMARDURAN@CMQCUCUTA.COM</v>
      </c>
      <c r="AT712" s="12" t="str">
        <f>VLOOKUP(C712,'mayo-26'!B:AT,45,0)</f>
        <v>CORREO ELECTRONICO CERTIFICADO 472</v>
      </c>
    </row>
    <row r="713" ht="14.25" customHeight="1">
      <c r="A713" s="20" t="s">
        <v>1513</v>
      </c>
      <c r="B713" s="20">
        <v>305.0</v>
      </c>
      <c r="C713" s="20">
        <v>304.0</v>
      </c>
      <c r="D713" s="21">
        <v>304.0</v>
      </c>
      <c r="E713" s="20">
        <v>9.0239797E7</v>
      </c>
      <c r="F713" s="20">
        <v>9.0239797E7</v>
      </c>
      <c r="G713" s="20">
        <v>8.99999067E8</v>
      </c>
      <c r="H713" s="20" t="s">
        <v>1514</v>
      </c>
      <c r="I713" s="1" t="str">
        <f>VLOOKUP(C713,'mayo-26'!B:H,7,0)</f>
        <v>AV 2 NO. 14-68 LA PLAYA</v>
      </c>
      <c r="J713" s="1" t="s">
        <v>343</v>
      </c>
      <c r="K713" s="10" t="str">
        <f>VLOOKUP(C713,'mayo-26'!B:J,9,0)</f>
        <v>NO</v>
      </c>
      <c r="L713" s="1" t="str">
        <f>VLOOKUP(C713,'mayo-26'!B:K,10,0)</f>
        <v>CONTRALORIA</v>
      </c>
      <c r="M713" s="20" t="s">
        <v>52</v>
      </c>
      <c r="N713" s="20" t="s">
        <v>53</v>
      </c>
      <c r="O713" s="20" t="s">
        <v>861</v>
      </c>
      <c r="P713" s="20" t="s">
        <v>126</v>
      </c>
      <c r="Q713" s="20" t="s">
        <v>131</v>
      </c>
      <c r="R713" s="20" t="s">
        <v>151</v>
      </c>
      <c r="S713" s="20" t="s">
        <v>133</v>
      </c>
      <c r="T713" s="20" t="s">
        <v>59</v>
      </c>
      <c r="U713" s="20">
        <v>2026.0</v>
      </c>
      <c r="V713" s="20">
        <v>6.0</v>
      </c>
      <c r="W713" s="20">
        <v>1.081875461E9</v>
      </c>
      <c r="X713" s="20">
        <v>1.081893933E9</v>
      </c>
      <c r="Y713" s="22">
        <v>46182.0</v>
      </c>
      <c r="Z713" s="22">
        <v>46207.0</v>
      </c>
      <c r="AA713" s="20">
        <v>75419.0</v>
      </c>
      <c r="AB713" s="20">
        <v>75419.0</v>
      </c>
      <c r="AC713" s="20">
        <v>0.0</v>
      </c>
      <c r="AD713" s="20">
        <v>0.0</v>
      </c>
      <c r="AE713" s="20">
        <v>0.0</v>
      </c>
      <c r="AF713" s="20">
        <v>0.0</v>
      </c>
      <c r="AG713" s="20">
        <v>0.0</v>
      </c>
      <c r="AH713" s="20">
        <v>0.0</v>
      </c>
      <c r="AI713" s="20">
        <v>0.0</v>
      </c>
      <c r="AJ713" s="20">
        <v>75419.0</v>
      </c>
      <c r="AK713" s="20">
        <v>75419.0</v>
      </c>
      <c r="AL713" s="20">
        <v>0.0</v>
      </c>
      <c r="AM713" s="20">
        <v>250.8</v>
      </c>
      <c r="AN713" s="20">
        <v>0.0</v>
      </c>
      <c r="AS713" s="11" t="str">
        <f>VLOOKUP(C713,'mayo-26'!B:AS,44,0)</f>
        <v>HECTOR.RODRIGUEZL@CONTRALORIA.GOV.CO</v>
      </c>
      <c r="AT713" s="12" t="str">
        <f>VLOOKUP(C713,'mayo-26'!B:AT,45,0)</f>
        <v>CORREO ELECTRONICO CERTIFICADO 472</v>
      </c>
    </row>
    <row r="714" ht="14.25" customHeight="1">
      <c r="A714" s="20" t="s">
        <v>1515</v>
      </c>
      <c r="B714" s="20">
        <v>309.0</v>
      </c>
      <c r="C714" s="20">
        <v>308.0</v>
      </c>
      <c r="D714" s="21">
        <v>308.0</v>
      </c>
      <c r="E714" s="20">
        <v>9.0240107E7</v>
      </c>
      <c r="F714" s="20">
        <v>9.0240107E7</v>
      </c>
      <c r="G714" s="20">
        <v>8.90505271E8</v>
      </c>
      <c r="H714" s="20" t="s">
        <v>1516</v>
      </c>
      <c r="I714" s="1" t="str">
        <f>VLOOKUP(C714,'mayo-26'!B:H,7,0)</f>
        <v>AVE 0 13-04 RESTAURANTE</v>
      </c>
      <c r="J714" s="1" t="s">
        <v>343</v>
      </c>
      <c r="K714" s="10" t="str">
        <f>VLOOKUP(C714,'mayo-26'!B:J,9,0)</f>
        <v>NO</v>
      </c>
      <c r="L714" s="1" t="str">
        <f>VLOOKUP(C714,'mayo-26'!B:K,10,0)</f>
        <v>NO</v>
      </c>
      <c r="M714" s="20" t="s">
        <v>52</v>
      </c>
      <c r="N714" s="20" t="s">
        <v>89</v>
      </c>
      <c r="O714" s="20" t="s">
        <v>861</v>
      </c>
      <c r="P714" s="20" t="s">
        <v>126</v>
      </c>
      <c r="Q714" s="20" t="s">
        <v>131</v>
      </c>
      <c r="R714" s="20" t="s">
        <v>132</v>
      </c>
      <c r="S714" s="20" t="s">
        <v>133</v>
      </c>
      <c r="T714" s="20" t="s">
        <v>59</v>
      </c>
      <c r="U714" s="20">
        <v>2026.0</v>
      </c>
      <c r="V714" s="20">
        <v>6.0</v>
      </c>
      <c r="W714" s="20">
        <v>1.081875466E9</v>
      </c>
      <c r="X714" s="20">
        <v>1.081893938E9</v>
      </c>
      <c r="Y714" s="22">
        <v>46182.0</v>
      </c>
      <c r="Z714" s="22">
        <v>46207.0</v>
      </c>
      <c r="AA714" s="20">
        <v>113128.5</v>
      </c>
      <c r="AB714" s="20">
        <v>113128.5</v>
      </c>
      <c r="AC714" s="20">
        <v>37709.5</v>
      </c>
      <c r="AD714" s="20">
        <v>0.0</v>
      </c>
      <c r="AE714" s="20">
        <v>0.0</v>
      </c>
      <c r="AF714" s="20">
        <v>0.0</v>
      </c>
      <c r="AG714" s="20">
        <v>0.0</v>
      </c>
      <c r="AH714" s="20">
        <v>0.0</v>
      </c>
      <c r="AI714" s="20">
        <v>0.0</v>
      </c>
      <c r="AJ714" s="20">
        <v>113128.5</v>
      </c>
      <c r="AK714" s="20">
        <v>113128.5</v>
      </c>
      <c r="AL714" s="20">
        <v>0.0</v>
      </c>
      <c r="AM714" s="20">
        <v>376.2</v>
      </c>
      <c r="AN714" s="20">
        <v>0.0</v>
      </c>
      <c r="AS714" s="11" t="str">
        <f>VLOOKUP(C714,'mayo-26'!B:AS,44,0)</f>
        <v>REST.LATERTULIA@HOTMAIL.COM</v>
      </c>
      <c r="AT714" s="12" t="str">
        <f>VLOOKUP(C714,'mayo-26'!B:AT,45,0)</f>
        <v>CORREO ELECTRONICO CERTIFICADO 472</v>
      </c>
    </row>
    <row r="715" ht="14.25" customHeight="1">
      <c r="A715" s="20" t="s">
        <v>1517</v>
      </c>
      <c r="B715" s="20">
        <v>31169.0</v>
      </c>
      <c r="C715" s="20">
        <v>31168.0</v>
      </c>
      <c r="D715" s="21">
        <v>31168.0</v>
      </c>
      <c r="E715" s="20">
        <v>92929.0</v>
      </c>
      <c r="F715" s="20">
        <v>92929.0</v>
      </c>
      <c r="G715" s="20">
        <v>92929.0</v>
      </c>
      <c r="H715" s="20" t="s">
        <v>1518</v>
      </c>
      <c r="I715" s="1" t="str">
        <f>VLOOKUP(C715,'mayo-26'!B:H,7,0)</f>
        <v>CLL 7 4-156</v>
      </c>
      <c r="J715" s="1" t="s">
        <v>1519</v>
      </c>
      <c r="K715" s="10" t="str">
        <f>VLOOKUP(C715,'mayo-26'!B:J,9,0)</f>
        <v>NO</v>
      </c>
      <c r="L715" s="1" t="str">
        <f>VLOOKUP(C715,'mayo-26'!B:K,10,0)</f>
        <v>D1</v>
      </c>
      <c r="M715" s="20" t="s">
        <v>52</v>
      </c>
      <c r="N715" s="20" t="s">
        <v>53</v>
      </c>
      <c r="O715" s="20" t="s">
        <v>861</v>
      </c>
      <c r="P715" s="20" t="s">
        <v>126</v>
      </c>
      <c r="Q715" s="20" t="s">
        <v>131</v>
      </c>
      <c r="R715" s="20" t="s">
        <v>538</v>
      </c>
      <c r="S715" s="20" t="s">
        <v>133</v>
      </c>
      <c r="T715" s="20" t="s">
        <v>59</v>
      </c>
      <c r="U715" s="20">
        <v>2026.0</v>
      </c>
      <c r="V715" s="20">
        <v>6.0</v>
      </c>
      <c r="W715" s="20">
        <v>1.081875682E9</v>
      </c>
      <c r="X715" s="20">
        <v>1.081894154E9</v>
      </c>
      <c r="Y715" s="22">
        <v>46182.0</v>
      </c>
      <c r="Z715" s="22">
        <v>46207.0</v>
      </c>
      <c r="AA715" s="20">
        <v>96376.5</v>
      </c>
      <c r="AB715" s="20">
        <v>96376.5</v>
      </c>
      <c r="AC715" s="20">
        <v>32125.5</v>
      </c>
      <c r="AD715" s="20">
        <v>0.0</v>
      </c>
      <c r="AE715" s="20">
        <v>0.0</v>
      </c>
      <c r="AF715" s="20">
        <v>0.0</v>
      </c>
      <c r="AG715" s="20">
        <v>0.0</v>
      </c>
      <c r="AH715" s="20">
        <v>0.0</v>
      </c>
      <c r="AI715" s="20">
        <v>0.0</v>
      </c>
      <c r="AJ715" s="20">
        <v>96376.5</v>
      </c>
      <c r="AK715" s="20">
        <v>462408.0</v>
      </c>
      <c r="AL715" s="20">
        <v>2.0</v>
      </c>
      <c r="AM715" s="20">
        <v>6420.0</v>
      </c>
      <c r="AN715" s="20">
        <v>0.0</v>
      </c>
      <c r="AS715" s="11" t="str">
        <f>VLOOKUP(C715,'mayo-26'!B:AS,44,0)</f>
        <v>ALBA.CELIS@D1.COM.CO;CARMEN.DAVILA@D1.COM.CO</v>
      </c>
      <c r="AT715" s="12" t="str">
        <f>VLOOKUP(C715,'mayo-26'!B:AT,45,0)</f>
        <v>CORREO ELECTRONICO CERTIFICADO 472</v>
      </c>
    </row>
    <row r="716" ht="14.25" customHeight="1">
      <c r="A716" s="20" t="s">
        <v>1520</v>
      </c>
      <c r="B716" s="20">
        <v>701.0</v>
      </c>
      <c r="C716" s="20">
        <v>316.0</v>
      </c>
      <c r="D716" s="21">
        <v>316.0</v>
      </c>
      <c r="E716" s="20">
        <v>9.024034E7</v>
      </c>
      <c r="F716" s="20">
        <v>9.024034E7</v>
      </c>
      <c r="G716" s="20" t="s">
        <v>1008</v>
      </c>
      <c r="H716" s="20" t="s">
        <v>1009</v>
      </c>
      <c r="I716" s="1" t="str">
        <f>VLOOKUP(C716,'mayo-26'!B:H,7,0)</f>
        <v>L45 CC JARDIN PLAZA</v>
      </c>
      <c r="J716" s="1" t="s">
        <v>343</v>
      </c>
      <c r="K716" s="10" t="str">
        <f>VLOOKUP(C716,'mayo-26'!B:J,9,0)</f>
        <v>NO</v>
      </c>
      <c r="L716" s="1" t="str">
        <f>VLOOKUP(C716,'mayo-26'!B:K,10,0)</f>
        <v>BANCOLOMBIA</v>
      </c>
      <c r="M716" s="20" t="s">
        <v>52</v>
      </c>
      <c r="N716" s="20" t="s">
        <v>89</v>
      </c>
      <c r="O716" s="20" t="s">
        <v>861</v>
      </c>
      <c r="P716" s="20" t="s">
        <v>126</v>
      </c>
      <c r="Q716" s="20" t="s">
        <v>56</v>
      </c>
      <c r="R716" s="20" t="s">
        <v>90</v>
      </c>
      <c r="S716" s="20" t="s">
        <v>143</v>
      </c>
      <c r="T716" s="20" t="s">
        <v>59</v>
      </c>
      <c r="U716" s="20">
        <v>2026.0</v>
      </c>
      <c r="V716" s="20">
        <v>6.0</v>
      </c>
      <c r="W716" s="20">
        <v>1.08187547E9</v>
      </c>
      <c r="X716" s="20">
        <v>1.081893942E9</v>
      </c>
      <c r="Y716" s="22">
        <v>46182.0</v>
      </c>
      <c r="Z716" s="22">
        <v>46207.0</v>
      </c>
      <c r="AA716" s="20">
        <v>127633.51</v>
      </c>
      <c r="AB716" s="20">
        <v>127633.51</v>
      </c>
      <c r="AC716" s="20">
        <v>42544.51</v>
      </c>
      <c r="AD716" s="20">
        <v>250.0</v>
      </c>
      <c r="AE716" s="20">
        <v>0.0</v>
      </c>
      <c r="AF716" s="20">
        <v>0.0</v>
      </c>
      <c r="AG716" s="20">
        <v>0.0</v>
      </c>
      <c r="AH716" s="20">
        <v>0.0</v>
      </c>
      <c r="AI716" s="20">
        <v>0.0</v>
      </c>
      <c r="AJ716" s="20">
        <v>127633.51</v>
      </c>
      <c r="AK716" s="20">
        <v>127633.51</v>
      </c>
      <c r="AL716" s="20">
        <v>0.0</v>
      </c>
      <c r="AM716" s="20">
        <v>376.2</v>
      </c>
      <c r="AN716" s="20">
        <v>0.0</v>
      </c>
      <c r="AS716" s="11" t="str">
        <f>VLOOKUP(C716,'mayo-26'!B:AS,44,0)</f>
        <v>ROBOTICASP.FMS.CO@SODEXO.COM</v>
      </c>
      <c r="AT716" s="12" t="str">
        <f>VLOOKUP(C716,'mayo-26'!B:AT,45,0)</f>
        <v>CORREO ELECTRONICO CERTIFICADO 472</v>
      </c>
    </row>
    <row r="717" ht="14.25" customHeight="1">
      <c r="A717" s="20" t="s">
        <v>1521</v>
      </c>
      <c r="B717" s="20">
        <v>455370.0</v>
      </c>
      <c r="C717" s="20">
        <v>320.0</v>
      </c>
      <c r="D717" s="21">
        <v>320.0</v>
      </c>
      <c r="E717" s="20">
        <v>9.0240556E7</v>
      </c>
      <c r="F717" s="20">
        <v>9.0240556E7</v>
      </c>
      <c r="G717" s="20" t="s">
        <v>148</v>
      </c>
      <c r="H717" s="20" t="s">
        <v>149</v>
      </c>
      <c r="I717" s="1" t="str">
        <f>VLOOKUP(C717,'mayo-26'!B:H,7,0)</f>
        <v>CALLE 10 NO 0E-16 EDF CENTRO EMPRESARIAL BLOQUE B HOTEL TONCHALA</v>
      </c>
      <c r="J717" s="1" t="s">
        <v>343</v>
      </c>
      <c r="K717" s="10" t="str">
        <f>VLOOKUP(C717,'mayo-26'!B:J,9,0)</f>
        <v>NO</v>
      </c>
      <c r="L717" s="1" t="str">
        <f>VLOOKUP(C717,'mayo-26'!B:K,10,0)</f>
        <v>COLEGIOS ZONA SUR</v>
      </c>
      <c r="M717" s="20" t="s">
        <v>52</v>
      </c>
      <c r="N717" s="20" t="s">
        <v>53</v>
      </c>
      <c r="O717" s="20" t="s">
        <v>861</v>
      </c>
      <c r="P717" s="20" t="s">
        <v>126</v>
      </c>
      <c r="Q717" s="20" t="s">
        <v>56</v>
      </c>
      <c r="R717" s="20" t="s">
        <v>57</v>
      </c>
      <c r="S717" s="20" t="s">
        <v>143</v>
      </c>
      <c r="T717" s="20" t="s">
        <v>59</v>
      </c>
      <c r="U717" s="20">
        <v>2026.0</v>
      </c>
      <c r="V717" s="20">
        <v>6.0</v>
      </c>
      <c r="W717" s="20">
        <v>1.081875475E9</v>
      </c>
      <c r="X717" s="20">
        <v>1.081893947E9</v>
      </c>
      <c r="Y717" s="22">
        <v>46182.0</v>
      </c>
      <c r="Z717" s="22">
        <v>46207.0</v>
      </c>
      <c r="AA717" s="20">
        <v>411483.08</v>
      </c>
      <c r="AB717" s="20">
        <v>411483.08</v>
      </c>
      <c r="AC717" s="20">
        <v>0.0</v>
      </c>
      <c r="AD717" s="20">
        <v>1970.0</v>
      </c>
      <c r="AE717" s="20">
        <v>0.0</v>
      </c>
      <c r="AF717" s="20">
        <v>0.0</v>
      </c>
      <c r="AG717" s="20">
        <v>0.0</v>
      </c>
      <c r="AH717" s="20">
        <v>0.0</v>
      </c>
      <c r="AI717" s="20">
        <v>0.0</v>
      </c>
      <c r="AJ717" s="20">
        <v>411483.08</v>
      </c>
      <c r="AK717" s="20">
        <v>1226600.86</v>
      </c>
      <c r="AL717" s="20">
        <v>3.0</v>
      </c>
      <c r="AM717" s="20">
        <v>250.8</v>
      </c>
      <c r="AN717" s="20">
        <v>0.0</v>
      </c>
      <c r="AS717" s="11" t="str">
        <f>VLOOKUP(C717,'mayo-26'!B:AS,44,0)</f>
        <v>AREAFINANCIERA@SEMCUCUTA.GOV.CO</v>
      </c>
      <c r="AT717" s="12" t="str">
        <f>VLOOKUP(C717,'mayo-26'!B:AT,45,0)</f>
        <v>CARTERA</v>
      </c>
    </row>
    <row r="718" ht="14.25" customHeight="1">
      <c r="A718" s="20" t="s">
        <v>1522</v>
      </c>
      <c r="B718" s="20">
        <v>701.0</v>
      </c>
      <c r="C718" s="20">
        <v>324.0</v>
      </c>
      <c r="D718" s="21">
        <v>324.0</v>
      </c>
      <c r="E718" s="20">
        <v>9.0240853E7</v>
      </c>
      <c r="F718" s="20">
        <v>9.0240853E7</v>
      </c>
      <c r="G718" s="20" t="s">
        <v>1008</v>
      </c>
      <c r="H718" s="20" t="s">
        <v>1009</v>
      </c>
      <c r="I718" s="1" t="str">
        <f>VLOOKUP(C718,'mayo-26'!B:H,7,0)</f>
        <v>L45 CC JARDIN PLAZA</v>
      </c>
      <c r="J718" s="1" t="s">
        <v>343</v>
      </c>
      <c r="K718" s="10" t="str">
        <f>VLOOKUP(C718,'mayo-26'!B:J,9,0)</f>
        <v>NO</v>
      </c>
      <c r="L718" s="1" t="str">
        <f>VLOOKUP(C718,'mayo-26'!B:K,10,0)</f>
        <v>BANCOLOMBIA</v>
      </c>
      <c r="M718" s="20" t="s">
        <v>52</v>
      </c>
      <c r="N718" s="20" t="s">
        <v>89</v>
      </c>
      <c r="O718" s="20" t="s">
        <v>861</v>
      </c>
      <c r="P718" s="20" t="s">
        <v>126</v>
      </c>
      <c r="Q718" s="20" t="s">
        <v>56</v>
      </c>
      <c r="R718" s="20" t="s">
        <v>90</v>
      </c>
      <c r="S718" s="20" t="s">
        <v>143</v>
      </c>
      <c r="T718" s="20" t="s">
        <v>59</v>
      </c>
      <c r="U718" s="20">
        <v>2026.0</v>
      </c>
      <c r="V718" s="20">
        <v>6.0</v>
      </c>
      <c r="W718" s="20">
        <v>1.081875479E9</v>
      </c>
      <c r="X718" s="20">
        <v>1.081893951E9</v>
      </c>
      <c r="Y718" s="22">
        <v>46182.0</v>
      </c>
      <c r="Z718" s="22">
        <v>46207.0</v>
      </c>
      <c r="AA718" s="20">
        <v>220143.48</v>
      </c>
      <c r="AB718" s="20">
        <v>220143.48</v>
      </c>
      <c r="AC718" s="20">
        <v>73381.17</v>
      </c>
      <c r="AD718" s="20">
        <v>575.0</v>
      </c>
      <c r="AE718" s="20">
        <v>0.0</v>
      </c>
      <c r="AF718" s="20">
        <v>0.0</v>
      </c>
      <c r="AG718" s="20">
        <v>0.0</v>
      </c>
      <c r="AH718" s="20">
        <v>0.0</v>
      </c>
      <c r="AI718" s="20">
        <v>0.0</v>
      </c>
      <c r="AJ718" s="20">
        <v>220143.48</v>
      </c>
      <c r="AK718" s="20">
        <v>220143.48</v>
      </c>
      <c r="AL718" s="20">
        <v>0.0</v>
      </c>
      <c r="AM718" s="20">
        <v>376.2</v>
      </c>
      <c r="AN718" s="20">
        <v>0.0</v>
      </c>
      <c r="AS718" s="11" t="str">
        <f>VLOOKUP(C718,'mayo-26'!B:AS,44,0)</f>
        <v>ROBOTICASP.FMS.CO@SODEXO.COM</v>
      </c>
      <c r="AT718" s="12" t="str">
        <f>VLOOKUP(C718,'mayo-26'!B:AT,45,0)</f>
        <v>CORREO ELECTRONICO CERTIFICADO 472</v>
      </c>
    </row>
    <row r="719" ht="14.25" customHeight="1">
      <c r="A719" s="20" t="s">
        <v>1523</v>
      </c>
      <c r="B719" s="20">
        <v>329.0</v>
      </c>
      <c r="C719" s="20">
        <v>328.0</v>
      </c>
      <c r="D719" s="21">
        <v>328.0</v>
      </c>
      <c r="E719" s="20">
        <v>9.024088E7</v>
      </c>
      <c r="F719" s="20">
        <v>9.024088E7</v>
      </c>
      <c r="G719" s="20">
        <v>9.024088E7</v>
      </c>
      <c r="H719" s="20" t="s">
        <v>1524</v>
      </c>
      <c r="I719" s="1" t="str">
        <f>VLOOKUP(C719,'mayo-26'!B:H,7,0)</f>
        <v>AVE 2 #10-47 L.102 LA PLAYA</v>
      </c>
      <c r="J719" s="1" t="s">
        <v>343</v>
      </c>
      <c r="K719" s="10" t="str">
        <f>VLOOKUP(C719,'mayo-26'!B:J,9,0)</f>
        <v>CENTRO</v>
      </c>
      <c r="L719" s="1" t="str">
        <f>VLOOKUP(C719,'mayo-26'!B:K,10,0)</f>
        <v>NO</v>
      </c>
      <c r="M719" s="20" t="s">
        <v>52</v>
      </c>
      <c r="N719" s="20" t="s">
        <v>89</v>
      </c>
      <c r="O719" s="20" t="s">
        <v>861</v>
      </c>
      <c r="P719" s="20" t="s">
        <v>126</v>
      </c>
      <c r="Q719" s="20" t="s">
        <v>131</v>
      </c>
      <c r="R719" s="20" t="s">
        <v>363</v>
      </c>
      <c r="S719" s="20" t="s">
        <v>133</v>
      </c>
      <c r="T719" s="20" t="s">
        <v>59</v>
      </c>
      <c r="U719" s="20">
        <v>2026.0</v>
      </c>
      <c r="V719" s="20">
        <v>6.0</v>
      </c>
      <c r="W719" s="20">
        <v>1.081875483E9</v>
      </c>
      <c r="X719" s="20">
        <v>1.081893955E9</v>
      </c>
      <c r="Y719" s="22">
        <v>46182.0</v>
      </c>
      <c r="Z719" s="22">
        <v>46207.0</v>
      </c>
      <c r="AA719" s="20">
        <v>76264.93</v>
      </c>
      <c r="AB719" s="20">
        <v>76264.93</v>
      </c>
      <c r="AC719" s="20">
        <v>25122.0</v>
      </c>
      <c r="AD719" s="20">
        <v>0.0</v>
      </c>
      <c r="AE719" s="20">
        <v>898.93</v>
      </c>
      <c r="AF719" s="20">
        <v>0.0</v>
      </c>
      <c r="AG719" s="20">
        <v>0.0</v>
      </c>
      <c r="AH719" s="20">
        <v>0.0</v>
      </c>
      <c r="AI719" s="20">
        <v>0.0</v>
      </c>
      <c r="AJ719" s="20">
        <v>76264.93</v>
      </c>
      <c r="AK719" s="20">
        <v>76265.54</v>
      </c>
      <c r="AL719" s="20">
        <v>1.0</v>
      </c>
      <c r="AM719" s="20">
        <v>376.2</v>
      </c>
      <c r="AN719" s="20">
        <v>0.0</v>
      </c>
      <c r="AS719" s="11" t="str">
        <f>VLOOKUP(C719,'mayo-26'!B:AS,44,0)</f>
        <v>RICKYELMEJOR2009@HOTMAIL.COM</v>
      </c>
      <c r="AT719" s="12" t="str">
        <f>VLOOKUP(C719,'mayo-26'!B:AT,45,0)</f>
        <v>VERIFICADOR</v>
      </c>
    </row>
    <row r="720" ht="14.25" customHeight="1">
      <c r="A720" s="20" t="s">
        <v>1525</v>
      </c>
      <c r="B720" s="20">
        <v>333.0</v>
      </c>
      <c r="C720" s="20">
        <v>332.0</v>
      </c>
      <c r="D720" s="21">
        <v>332.0</v>
      </c>
      <c r="E720" s="20">
        <v>9.0240991E7</v>
      </c>
      <c r="F720" s="20">
        <v>9.0240991E7</v>
      </c>
      <c r="G720" s="20" t="s">
        <v>1526</v>
      </c>
      <c r="H720" s="20" t="s">
        <v>1527</v>
      </c>
      <c r="I720" s="1" t="str">
        <f>VLOOKUP(C720,'mayo-26'!B:H,7,0)</f>
        <v>AVE 0 10-44</v>
      </c>
      <c r="J720" s="1" t="s">
        <v>982</v>
      </c>
      <c r="K720" s="10" t="str">
        <f>VLOOKUP(C720,'mayo-26'!B:J,9,0)</f>
        <v>NO</v>
      </c>
      <c r="L720" s="1" t="str">
        <f>VLOOKUP(C720,'mayo-26'!B:K,10,0)</f>
        <v>NO</v>
      </c>
      <c r="M720" s="20" t="s">
        <v>52</v>
      </c>
      <c r="N720" s="20" t="s">
        <v>89</v>
      </c>
      <c r="O720" s="20" t="s">
        <v>861</v>
      </c>
      <c r="P720" s="20" t="s">
        <v>126</v>
      </c>
      <c r="Q720" s="20" t="s">
        <v>131</v>
      </c>
      <c r="R720" s="20" t="s">
        <v>132</v>
      </c>
      <c r="S720" s="20" t="s">
        <v>133</v>
      </c>
      <c r="T720" s="20" t="s">
        <v>59</v>
      </c>
      <c r="U720" s="20">
        <v>2026.0</v>
      </c>
      <c r="V720" s="20">
        <v>6.0</v>
      </c>
      <c r="W720" s="20">
        <v>1.081875488E9</v>
      </c>
      <c r="X720" s="20">
        <v>1.08189396E9</v>
      </c>
      <c r="Y720" s="22">
        <v>46182.0</v>
      </c>
      <c r="Z720" s="22">
        <v>46207.0</v>
      </c>
      <c r="AA720" s="20">
        <v>177418.85</v>
      </c>
      <c r="AB720" s="20">
        <v>177418.85</v>
      </c>
      <c r="AC720" s="20">
        <v>37709.5</v>
      </c>
      <c r="AD720" s="20">
        <v>0.0</v>
      </c>
      <c r="AE720" s="20">
        <v>64290.35</v>
      </c>
      <c r="AF720" s="20">
        <v>0.0</v>
      </c>
      <c r="AG720" s="20">
        <v>0.0</v>
      </c>
      <c r="AH720" s="20">
        <v>0.0</v>
      </c>
      <c r="AI720" s="20">
        <v>0.0</v>
      </c>
      <c r="AJ720" s="20">
        <v>177418.85</v>
      </c>
      <c r="AK720" s="20">
        <v>4373068.77</v>
      </c>
      <c r="AL720" s="20">
        <v>37.0</v>
      </c>
      <c r="AM720" s="20">
        <v>376.2</v>
      </c>
      <c r="AN720" s="20">
        <v>0.0</v>
      </c>
      <c r="AS720" s="11" t="str">
        <f>VLOOKUP(C720,'mayo-26'!B:AS,44,0)</f>
        <v>PANADERIALAGRANESPECIAL@HOTMAIL.COM</v>
      </c>
      <c r="AT720" s="12" t="str">
        <f>VLOOKUP(C720,'mayo-26'!B:AT,45,0)</f>
        <v>CORREO ELECTRONICO CERTIFICADO 472</v>
      </c>
    </row>
    <row r="721" ht="14.25" customHeight="1">
      <c r="A721" s="20" t="s">
        <v>1528</v>
      </c>
      <c r="B721" s="20">
        <v>337.0</v>
      </c>
      <c r="C721" s="20">
        <v>336.0</v>
      </c>
      <c r="D721" s="21">
        <v>336.0</v>
      </c>
      <c r="E721" s="20">
        <v>9.0241158E7</v>
      </c>
      <c r="F721" s="20">
        <v>9.0241158E7</v>
      </c>
      <c r="G721" s="20" t="s">
        <v>1529</v>
      </c>
      <c r="H721" s="20" t="s">
        <v>1530</v>
      </c>
      <c r="I721" s="1" t="str">
        <f>VLOOKUP(C721,'mayo-26'!B:H,7,0)</f>
        <v>CLL 9 2-99</v>
      </c>
      <c r="J721" s="1" t="s">
        <v>982</v>
      </c>
      <c r="K721" s="10" t="str">
        <f>VLOOKUP(C721,'mayo-26'!B:J,9,0)</f>
        <v>NO</v>
      </c>
      <c r="L721" s="1" t="str">
        <f>VLOOKUP(C721,'mayo-26'!B:K,10,0)</f>
        <v>NO</v>
      </c>
      <c r="M721" s="20" t="s">
        <v>52</v>
      </c>
      <c r="N721" s="20" t="s">
        <v>89</v>
      </c>
      <c r="O721" s="20" t="s">
        <v>861</v>
      </c>
      <c r="P721" s="20" t="s">
        <v>126</v>
      </c>
      <c r="Q721" s="20" t="s">
        <v>131</v>
      </c>
      <c r="R721" s="20" t="s">
        <v>132</v>
      </c>
      <c r="S721" s="20" t="s">
        <v>133</v>
      </c>
      <c r="T721" s="20" t="s">
        <v>59</v>
      </c>
      <c r="U721" s="20">
        <v>2026.0</v>
      </c>
      <c r="V721" s="20">
        <v>6.0</v>
      </c>
      <c r="W721" s="20">
        <v>1.081875495E9</v>
      </c>
      <c r="X721" s="20">
        <v>1.081893967E9</v>
      </c>
      <c r="Y721" s="22">
        <v>46182.0</v>
      </c>
      <c r="Z721" s="22">
        <v>46207.0</v>
      </c>
      <c r="AA721" s="20">
        <v>135940.33</v>
      </c>
      <c r="AB721" s="20">
        <v>135940.33</v>
      </c>
      <c r="AC721" s="20">
        <v>37709.5</v>
      </c>
      <c r="AD721" s="20">
        <v>0.0</v>
      </c>
      <c r="AE721" s="20">
        <v>22811.83</v>
      </c>
      <c r="AF721" s="20">
        <v>0.0</v>
      </c>
      <c r="AG721" s="20">
        <v>0.0</v>
      </c>
      <c r="AH721" s="20">
        <v>0.0</v>
      </c>
      <c r="AI721" s="20">
        <v>0.0</v>
      </c>
      <c r="AJ721" s="20">
        <v>135940.33</v>
      </c>
      <c r="AK721" s="20">
        <v>1547219.07</v>
      </c>
      <c r="AL721" s="20">
        <v>13.0</v>
      </c>
      <c r="AM721" s="20">
        <v>376.2</v>
      </c>
      <c r="AN721" s="20">
        <v>0.0</v>
      </c>
      <c r="AS721" s="11" t="str">
        <f>VLOOKUP(C721,'mayo-26'!B:AS,44,0)</f>
        <v>GIJUALMI-28@HOTMAIL.COM</v>
      </c>
      <c r="AT721" s="12" t="str">
        <f>VLOOKUP(C721,'mayo-26'!B:AT,45,0)</f>
        <v>CORREO ELECTRONICO CERTIFICADO 472</v>
      </c>
    </row>
    <row r="722" ht="14.25" customHeight="1">
      <c r="A722" s="20" t="s">
        <v>1531</v>
      </c>
      <c r="B722" s="20">
        <v>398.0</v>
      </c>
      <c r="C722" s="20">
        <v>341024.0</v>
      </c>
      <c r="D722" s="21">
        <v>341024.0</v>
      </c>
      <c r="E722" s="20">
        <v>16.0</v>
      </c>
      <c r="F722" s="20">
        <v>16.0</v>
      </c>
      <c r="G722" s="20" t="s">
        <v>1532</v>
      </c>
      <c r="H722" s="20" t="s">
        <v>1533</v>
      </c>
      <c r="I722" s="1" t="str">
        <f>VLOOKUP(C722,'mayo-26'!B:H,7,0)</f>
        <v>AVENIDA 0 9 - 80 EDIFICIO ROSETAL</v>
      </c>
      <c r="J722" s="1" t="s">
        <v>1534</v>
      </c>
      <c r="K722" s="10" t="str">
        <f>VLOOKUP(C722,'mayo-26'!B:J,9,0)</f>
        <v>NO</v>
      </c>
      <c r="L722" s="1" t="str">
        <f>VLOOKUP(C722,'mayo-26'!B:K,10,0)</f>
        <v>NO</v>
      </c>
      <c r="M722" s="20" t="s">
        <v>52</v>
      </c>
      <c r="N722" s="20" t="s">
        <v>53</v>
      </c>
      <c r="O722" s="20" t="s">
        <v>861</v>
      </c>
      <c r="P722" s="20" t="s">
        <v>126</v>
      </c>
      <c r="Q722" s="20" t="s">
        <v>131</v>
      </c>
      <c r="R722" s="20" t="s">
        <v>151</v>
      </c>
      <c r="S722" s="20" t="s">
        <v>133</v>
      </c>
      <c r="T722" s="20" t="s">
        <v>59</v>
      </c>
      <c r="U722" s="20">
        <v>2026.0</v>
      </c>
      <c r="V722" s="20">
        <v>6.0</v>
      </c>
      <c r="W722" s="20">
        <v>1.081875759E9</v>
      </c>
      <c r="X722" s="20">
        <v>1.081894231E9</v>
      </c>
      <c r="Y722" s="22">
        <v>46182.0</v>
      </c>
      <c r="Z722" s="22">
        <v>46207.0</v>
      </c>
      <c r="AA722" s="20">
        <v>75419.0</v>
      </c>
      <c r="AB722" s="20">
        <v>75419.0</v>
      </c>
      <c r="AC722" s="20">
        <v>0.0</v>
      </c>
      <c r="AD722" s="20">
        <v>0.0</v>
      </c>
      <c r="AE722" s="20">
        <v>0.0</v>
      </c>
      <c r="AF722" s="20">
        <v>0.0</v>
      </c>
      <c r="AG722" s="20">
        <v>0.0</v>
      </c>
      <c r="AH722" s="20">
        <v>0.0</v>
      </c>
      <c r="AI722" s="20">
        <v>0.0</v>
      </c>
      <c r="AJ722" s="20">
        <v>75419.0</v>
      </c>
      <c r="AK722" s="20">
        <v>75419.0</v>
      </c>
      <c r="AL722" s="20">
        <v>0.0</v>
      </c>
      <c r="AM722" s="20">
        <v>250.8</v>
      </c>
      <c r="AN722" s="20">
        <v>0.0</v>
      </c>
      <c r="AS722" s="11" t="str">
        <f>VLOOKUP(C722,'mayo-26'!B:AS,44,0)</f>
        <v>TESORERIA@IFINORTE.GOV.CO</v>
      </c>
      <c r="AT722" s="12" t="str">
        <f>VLOOKUP(C722,'mayo-26'!B:AT,45,0)</f>
        <v>CORREO ELECTRONICO CERTIFICADO 472</v>
      </c>
    </row>
    <row r="723" ht="14.25" customHeight="1">
      <c r="A723" s="20" t="s">
        <v>1535</v>
      </c>
      <c r="B723" s="20">
        <v>345.0</v>
      </c>
      <c r="C723" s="20">
        <v>344.0</v>
      </c>
      <c r="D723" s="21">
        <v>344.0</v>
      </c>
      <c r="E723" s="20">
        <v>9.0241526E7</v>
      </c>
      <c r="F723" s="20">
        <v>9.0241526E7</v>
      </c>
      <c r="G723" s="20">
        <v>8.90505594E8</v>
      </c>
      <c r="H723" s="20" t="s">
        <v>1536</v>
      </c>
      <c r="I723" s="1" t="str">
        <f>VLOOKUP(C723,'mayo-26'!B:H,7,0)</f>
        <v>AVE 0 7-62 HOTEL ARIZONA</v>
      </c>
      <c r="J723" s="1" t="s">
        <v>982</v>
      </c>
      <c r="K723" s="10" t="str">
        <f>VLOOKUP(C723,'mayo-26'!B:J,9,0)</f>
        <v>NO</v>
      </c>
      <c r="L723" s="1" t="str">
        <f>VLOOKUP(C723,'mayo-26'!B:K,10,0)</f>
        <v>NO</v>
      </c>
      <c r="M723" s="20" t="s">
        <v>52</v>
      </c>
      <c r="N723" s="20" t="s">
        <v>89</v>
      </c>
      <c r="O723" s="20" t="s">
        <v>861</v>
      </c>
      <c r="P723" s="20" t="s">
        <v>126</v>
      </c>
      <c r="Q723" s="20" t="s">
        <v>56</v>
      </c>
      <c r="R723" s="20" t="s">
        <v>90</v>
      </c>
      <c r="S723" s="20" t="s">
        <v>143</v>
      </c>
      <c r="T723" s="20" t="s">
        <v>59</v>
      </c>
      <c r="U723" s="20">
        <v>2026.0</v>
      </c>
      <c r="V723" s="20">
        <v>6.0</v>
      </c>
      <c r="W723" s="20">
        <v>1.081875499E9</v>
      </c>
      <c r="X723" s="20">
        <v>1.081893971E9</v>
      </c>
      <c r="Y723" s="22">
        <v>46182.0</v>
      </c>
      <c r="Z723" s="22">
        <v>46207.0</v>
      </c>
      <c r="AA723" s="20">
        <v>483441.0</v>
      </c>
      <c r="AB723" s="20">
        <v>483441.0</v>
      </c>
      <c r="AC723" s="20">
        <v>161147.0</v>
      </c>
      <c r="AD723" s="20">
        <v>1500.0</v>
      </c>
      <c r="AE723" s="20">
        <v>0.0</v>
      </c>
      <c r="AF723" s="20">
        <v>0.0</v>
      </c>
      <c r="AG723" s="20">
        <v>0.0</v>
      </c>
      <c r="AH723" s="20">
        <v>0.0</v>
      </c>
      <c r="AI723" s="20">
        <v>0.0</v>
      </c>
      <c r="AJ723" s="20">
        <v>483441.0</v>
      </c>
      <c r="AK723" s="20">
        <v>483441.75</v>
      </c>
      <c r="AL723" s="20">
        <v>1.0</v>
      </c>
      <c r="AM723" s="20">
        <v>376.2</v>
      </c>
      <c r="AN723" s="20">
        <v>0.0</v>
      </c>
      <c r="AS723" s="11" t="str">
        <f>VLOOKUP(C723,'mayo-26'!B:AS,44,0)</f>
        <v>TESORERIA@HOTELARIZONASUITES.COM</v>
      </c>
      <c r="AT723" s="12" t="str">
        <f>VLOOKUP(C723,'mayo-26'!B:AT,45,0)</f>
        <v>CORREO ELECTRONICO CERTIFICADO 472</v>
      </c>
    </row>
    <row r="724" ht="14.25" customHeight="1">
      <c r="A724" s="20" t="s">
        <v>1537</v>
      </c>
      <c r="B724" s="20">
        <v>455370.0</v>
      </c>
      <c r="C724" s="20">
        <v>352.0</v>
      </c>
      <c r="D724" s="21">
        <v>352.0</v>
      </c>
      <c r="E724" s="20">
        <v>9.0242442E7</v>
      </c>
      <c r="F724" s="20">
        <v>9.0242442E7</v>
      </c>
      <c r="G724" s="20" t="s">
        <v>148</v>
      </c>
      <c r="H724" s="20" t="s">
        <v>149</v>
      </c>
      <c r="I724" s="1" t="str">
        <f>VLOOKUP(C724,'mayo-26'!B:H,7,0)</f>
        <v>CALLE 10 NO 0E-16 EDF CENTRO EMPRESARIAL BLOQUE B HOTEL TONCHALA</v>
      </c>
      <c r="J724" s="1" t="s">
        <v>982</v>
      </c>
      <c r="K724" s="10" t="str">
        <f>VLOOKUP(C724,'mayo-26'!B:J,9,0)</f>
        <v>NO</v>
      </c>
      <c r="L724" s="1" t="str">
        <f>VLOOKUP(C724,'mayo-26'!B:K,10,0)</f>
        <v>COLEGIOS ZONA SUR</v>
      </c>
      <c r="M724" s="20" t="s">
        <v>52</v>
      </c>
      <c r="N724" s="20" t="s">
        <v>53</v>
      </c>
      <c r="O724" s="20" t="s">
        <v>861</v>
      </c>
      <c r="P724" s="20" t="s">
        <v>126</v>
      </c>
      <c r="Q724" s="20" t="s">
        <v>56</v>
      </c>
      <c r="R724" s="20" t="s">
        <v>57</v>
      </c>
      <c r="S724" s="20" t="s">
        <v>143</v>
      </c>
      <c r="T724" s="20" t="s">
        <v>59</v>
      </c>
      <c r="U724" s="20">
        <v>2026.0</v>
      </c>
      <c r="V724" s="20">
        <v>6.0</v>
      </c>
      <c r="W724" s="20">
        <v>1.081875504E9</v>
      </c>
      <c r="X724" s="20">
        <v>1.081893976E9</v>
      </c>
      <c r="Y724" s="22">
        <v>46182.0</v>
      </c>
      <c r="Z724" s="22">
        <v>46207.0</v>
      </c>
      <c r="AA724" s="20">
        <v>513576.12</v>
      </c>
      <c r="AB724" s="20">
        <v>513576.12</v>
      </c>
      <c r="AC724" s="20">
        <v>0.0</v>
      </c>
      <c r="AD724" s="20">
        <v>2508.0</v>
      </c>
      <c r="AE724" s="20">
        <v>0.0</v>
      </c>
      <c r="AF724" s="20">
        <v>0.0</v>
      </c>
      <c r="AG724" s="20">
        <v>0.0</v>
      </c>
      <c r="AH724" s="20">
        <v>0.0</v>
      </c>
      <c r="AI724" s="20">
        <v>0.0</v>
      </c>
      <c r="AJ724" s="20">
        <v>513576.12</v>
      </c>
      <c r="AK724" s="20">
        <v>1530478.34</v>
      </c>
      <c r="AL724" s="20">
        <v>3.0</v>
      </c>
      <c r="AM724" s="20">
        <v>250.8</v>
      </c>
      <c r="AN724" s="20">
        <v>0.0</v>
      </c>
      <c r="AS724" s="11" t="str">
        <f>VLOOKUP(C724,'mayo-26'!B:AS,44,0)</f>
        <v>AREAFINANCIERA@SEMCUCUTA.GOV.CO</v>
      </c>
      <c r="AT724" s="12" t="str">
        <f>VLOOKUP(C724,'mayo-26'!B:AT,45,0)</f>
        <v>CARTERA</v>
      </c>
    </row>
    <row r="725" ht="14.25" customHeight="1">
      <c r="A725" s="20" t="s">
        <v>1538</v>
      </c>
      <c r="B725" s="20">
        <v>355.0</v>
      </c>
      <c r="C725" s="20">
        <v>356.0</v>
      </c>
      <c r="D725" s="21">
        <v>356.0</v>
      </c>
      <c r="E725" s="20">
        <v>9.0242459E7</v>
      </c>
      <c r="F725" s="20">
        <v>9.0242459E7</v>
      </c>
      <c r="G725" s="20" t="s">
        <v>964</v>
      </c>
      <c r="H725" s="20" t="s">
        <v>965</v>
      </c>
      <c r="I725" s="1" t="str">
        <f>VLOOKUP(C725,'mayo-26'!B:H,7,0)</f>
        <v>AV 5 CL 13 Y 14 BRR CENTRO</v>
      </c>
      <c r="J725" s="1" t="s">
        <v>982</v>
      </c>
      <c r="K725" s="10" t="str">
        <f>VLOOKUP(C725,'mayo-26'!B:J,9,0)</f>
        <v>NO</v>
      </c>
      <c r="L725" s="1" t="str">
        <f>VLOOKUP(C725,'mayo-26'!B:K,10,0)</f>
        <v>GOBERNACION</v>
      </c>
      <c r="M725" s="20" t="s">
        <v>52</v>
      </c>
      <c r="N725" s="20" t="s">
        <v>53</v>
      </c>
      <c r="O725" s="20" t="s">
        <v>861</v>
      </c>
      <c r="P725" s="20" t="s">
        <v>126</v>
      </c>
      <c r="Q725" s="20" t="s">
        <v>56</v>
      </c>
      <c r="R725" s="20" t="s">
        <v>57</v>
      </c>
      <c r="S725" s="20" t="s">
        <v>143</v>
      </c>
      <c r="T725" s="20" t="s">
        <v>59</v>
      </c>
      <c r="U725" s="20">
        <v>2026.0</v>
      </c>
      <c r="V725" s="20">
        <v>6.0</v>
      </c>
      <c r="W725" s="20">
        <v>1.081875509E9</v>
      </c>
      <c r="X725" s="20">
        <v>1.081893981E9</v>
      </c>
      <c r="Y725" s="22">
        <v>46182.0</v>
      </c>
      <c r="Z725" s="22">
        <v>46207.0</v>
      </c>
      <c r="AA725" s="20">
        <v>85089.0</v>
      </c>
      <c r="AB725" s="20">
        <v>85089.0</v>
      </c>
      <c r="AC725" s="20">
        <v>0.0</v>
      </c>
      <c r="AD725" s="20">
        <v>250.0</v>
      </c>
      <c r="AE725" s="20">
        <v>0.0</v>
      </c>
      <c r="AF725" s="20">
        <v>0.0</v>
      </c>
      <c r="AG725" s="20">
        <v>0.0</v>
      </c>
      <c r="AH725" s="20">
        <v>0.0</v>
      </c>
      <c r="AI725" s="20">
        <v>0.0</v>
      </c>
      <c r="AJ725" s="20">
        <v>85089.0</v>
      </c>
      <c r="AK725" s="20">
        <v>85089.0</v>
      </c>
      <c r="AL725" s="20">
        <v>0.0</v>
      </c>
      <c r="AM725" s="20">
        <v>250.8</v>
      </c>
      <c r="AN725" s="20">
        <v>0.0</v>
      </c>
      <c r="AS725" s="11" t="str">
        <f>VLOOKUP(C725,'mayo-26'!B:AS,44,0)</f>
        <v>SERVICIOSADMINISTRATIVOS@NORTEDESANTANDER.GOV.CO / SECHACIENDA@NORTEDESANTANDER.GOV.CO</v>
      </c>
      <c r="AT725" s="12" t="str">
        <f>VLOOKUP(C725,'mayo-26'!B:AT,45,0)</f>
        <v>CORREO ELECTRONICO CERTIFICADO 472</v>
      </c>
    </row>
    <row r="726" ht="14.25" customHeight="1">
      <c r="A726" s="20" t="s">
        <v>1539</v>
      </c>
      <c r="B726" s="20">
        <v>361.0</v>
      </c>
      <c r="C726" s="20">
        <v>360.0</v>
      </c>
      <c r="D726" s="21">
        <v>360.0</v>
      </c>
      <c r="E726" s="20">
        <v>9.0242835E7</v>
      </c>
      <c r="F726" s="20">
        <v>9.0242835E7</v>
      </c>
      <c r="G726" s="20" t="s">
        <v>964</v>
      </c>
      <c r="H726" s="20" t="s">
        <v>1540</v>
      </c>
      <c r="I726" s="1" t="str">
        <f>VLOOKUP(C726,'mayo-26'!B:H,7,0)</f>
        <v>CLL 11 5-05</v>
      </c>
      <c r="J726" s="1" t="s">
        <v>982</v>
      </c>
      <c r="K726" s="10" t="str">
        <f>VLOOKUP(C726,'mayo-26'!B:J,9,0)</f>
        <v>NO</v>
      </c>
      <c r="L726" s="1" t="str">
        <f>VLOOKUP(C726,'mayo-26'!B:K,10,0)</f>
        <v>GOBERNACION</v>
      </c>
      <c r="M726" s="20" t="s">
        <v>52</v>
      </c>
      <c r="N726" s="20" t="s">
        <v>53</v>
      </c>
      <c r="O726" s="20" t="s">
        <v>861</v>
      </c>
      <c r="P726" s="20" t="s">
        <v>126</v>
      </c>
      <c r="Q726" s="20" t="s">
        <v>56</v>
      </c>
      <c r="R726" s="20" t="s">
        <v>57</v>
      </c>
      <c r="S726" s="20" t="s">
        <v>143</v>
      </c>
      <c r="T726" s="20" t="s">
        <v>59</v>
      </c>
      <c r="U726" s="20">
        <v>2026.0</v>
      </c>
      <c r="V726" s="20">
        <v>6.0</v>
      </c>
      <c r="W726" s="20">
        <v>1.081875511E9</v>
      </c>
      <c r="X726" s="20">
        <v>1.081893983E9</v>
      </c>
      <c r="Y726" s="22">
        <v>46182.0</v>
      </c>
      <c r="Z726" s="22">
        <v>46207.0</v>
      </c>
      <c r="AA726" s="20">
        <v>952310.48</v>
      </c>
      <c r="AB726" s="20">
        <v>952310.48</v>
      </c>
      <c r="AC726" s="20">
        <v>0.0</v>
      </c>
      <c r="AD726" s="20">
        <v>4820.0</v>
      </c>
      <c r="AE726" s="20">
        <v>0.0</v>
      </c>
      <c r="AF726" s="20">
        <v>0.0</v>
      </c>
      <c r="AG726" s="20">
        <v>0.0</v>
      </c>
      <c r="AH726" s="20">
        <v>0.0</v>
      </c>
      <c r="AI726" s="20">
        <v>0.0</v>
      </c>
      <c r="AJ726" s="20">
        <v>952310.48</v>
      </c>
      <c r="AK726" s="20">
        <v>952310.48</v>
      </c>
      <c r="AL726" s="20">
        <v>0.0</v>
      </c>
      <c r="AM726" s="20">
        <v>250.8</v>
      </c>
      <c r="AN726" s="20">
        <v>0.0</v>
      </c>
      <c r="AS726" s="11" t="str">
        <f>VLOOKUP(C726,'mayo-26'!B:AS,44,0)</f>
        <v>SERVICIOSADMINISTRATIVOS@NORTEDESANTANDER.GOV.CO</v>
      </c>
      <c r="AT726" s="12" t="str">
        <f>VLOOKUP(C726,'mayo-26'!B:AT,45,0)</f>
        <v>CORREO ELECTRONICO CERTIFICADO 472</v>
      </c>
    </row>
    <row r="727" ht="14.25" customHeight="1">
      <c r="A727" s="20" t="s">
        <v>1541</v>
      </c>
      <c r="B727" s="20">
        <v>365.0</v>
      </c>
      <c r="C727" s="20">
        <v>364.0</v>
      </c>
      <c r="D727" s="21">
        <v>364.0</v>
      </c>
      <c r="E727" s="20">
        <v>9.024284E7</v>
      </c>
      <c r="F727" s="20">
        <v>9.024284E7</v>
      </c>
      <c r="G727" s="20">
        <v>8.60034594E8</v>
      </c>
      <c r="H727" s="20" t="s">
        <v>1168</v>
      </c>
      <c r="I727" s="1" t="str">
        <f>VLOOKUP(C727,'mayo-26'!B:H,7,0)</f>
        <v>AVE 5 11-25 - CENTRO</v>
      </c>
      <c r="J727" s="1" t="s">
        <v>982</v>
      </c>
      <c r="K727" s="10" t="str">
        <f>VLOOKUP(C727,'mayo-26'!B:J,9,0)</f>
        <v>NO</v>
      </c>
      <c r="L727" s="1" t="str">
        <f>VLOOKUP(C727,'mayo-26'!B:K,10,0)</f>
        <v>COLPATRIA</v>
      </c>
      <c r="M727" s="20" t="s">
        <v>52</v>
      </c>
      <c r="N727" s="20" t="s">
        <v>53</v>
      </c>
      <c r="O727" s="20" t="s">
        <v>861</v>
      </c>
      <c r="P727" s="20" t="s">
        <v>126</v>
      </c>
      <c r="Q727" s="20" t="s">
        <v>56</v>
      </c>
      <c r="R727" s="20" t="s">
        <v>90</v>
      </c>
      <c r="S727" s="20" t="s">
        <v>143</v>
      </c>
      <c r="T727" s="20" t="s">
        <v>59</v>
      </c>
      <c r="U727" s="20">
        <v>2026.0</v>
      </c>
      <c r="V727" s="20">
        <v>6.0</v>
      </c>
      <c r="W727" s="20">
        <v>1.081875514E9</v>
      </c>
      <c r="X727" s="20">
        <v>1.081893986E9</v>
      </c>
      <c r="Y727" s="22">
        <v>46182.0</v>
      </c>
      <c r="Z727" s="22">
        <v>46207.0</v>
      </c>
      <c r="AA727" s="20">
        <v>163214.28</v>
      </c>
      <c r="AB727" s="20">
        <v>163214.28</v>
      </c>
      <c r="AC727" s="20">
        <v>54404.77</v>
      </c>
      <c r="AD727" s="20">
        <v>375.0</v>
      </c>
      <c r="AE727" s="20">
        <v>0.0</v>
      </c>
      <c r="AF727" s="20">
        <v>0.0</v>
      </c>
      <c r="AG727" s="20">
        <v>0.0</v>
      </c>
      <c r="AH727" s="20">
        <v>0.0</v>
      </c>
      <c r="AI727" s="20">
        <v>0.0</v>
      </c>
      <c r="AJ727" s="20">
        <v>163214.28</v>
      </c>
      <c r="AK727" s="20">
        <v>163214.28</v>
      </c>
      <c r="AL727" s="20">
        <v>0.0</v>
      </c>
      <c r="AM727" s="20">
        <v>376.2</v>
      </c>
      <c r="AN727" s="20">
        <v>0.0</v>
      </c>
      <c r="AS727" s="11" t="str">
        <f>VLOOKUP(C727,'mayo-26'!B:AS,44,0)</f>
        <v>YOLVER.MARIO@SCOTIABANKCOLPATRIA.COM</v>
      </c>
      <c r="AT727" s="12" t="str">
        <f>VLOOKUP(C727,'mayo-26'!B:AT,45,0)</f>
        <v>CORREO ELECTRONICO CERTIFICADO 472</v>
      </c>
    </row>
    <row r="728" ht="14.25" customHeight="1">
      <c r="A728" s="20" t="s">
        <v>1542</v>
      </c>
      <c r="B728" s="20">
        <v>379533.0</v>
      </c>
      <c r="C728" s="20">
        <v>366628.0</v>
      </c>
      <c r="D728" s="21">
        <v>373098.0</v>
      </c>
      <c r="G728" s="20" t="s">
        <v>1543</v>
      </c>
      <c r="H728" s="20" t="s">
        <v>1544</v>
      </c>
      <c r="I728" s="1" t="str">
        <f>VLOOKUP(C728,'mayo-26'!B:H,7,0)</f>
        <v>CC JARDIN PLAZA L61</v>
      </c>
      <c r="J728" s="1" t="s">
        <v>991</v>
      </c>
      <c r="K728" s="10" t="str">
        <f>VLOOKUP(C728,'mayo-26'!B:J,9,0)</f>
        <v>JARDIN PLAZA</v>
      </c>
      <c r="L728" s="1" t="str">
        <f>VLOOKUP(C728,'mayo-26'!B:K,10,0)</f>
        <v>JARDIN PLAZA</v>
      </c>
      <c r="M728" s="20" t="s">
        <v>52</v>
      </c>
      <c r="N728" s="20" t="s">
        <v>89</v>
      </c>
      <c r="O728" s="20" t="s">
        <v>861</v>
      </c>
      <c r="P728" s="20" t="s">
        <v>126</v>
      </c>
      <c r="Q728" s="20" t="s">
        <v>56</v>
      </c>
      <c r="R728" s="20" t="s">
        <v>90</v>
      </c>
      <c r="S728" s="20" t="s">
        <v>143</v>
      </c>
      <c r="T728" s="20" t="s">
        <v>59</v>
      </c>
      <c r="U728" s="20">
        <v>2026.0</v>
      </c>
      <c r="V728" s="20">
        <v>6.0</v>
      </c>
      <c r="W728" s="20">
        <v>1.081875763E9</v>
      </c>
      <c r="X728" s="20">
        <v>1.081894235E9</v>
      </c>
      <c r="Y728" s="22">
        <v>46182.0</v>
      </c>
      <c r="Z728" s="22">
        <v>46207.0</v>
      </c>
      <c r="AA728" s="20">
        <v>127633.51</v>
      </c>
      <c r="AB728" s="20">
        <v>127633.51</v>
      </c>
      <c r="AC728" s="20">
        <v>42544.51</v>
      </c>
      <c r="AD728" s="20">
        <v>250.0</v>
      </c>
      <c r="AE728" s="20">
        <v>0.0</v>
      </c>
      <c r="AF728" s="20">
        <v>0.0</v>
      </c>
      <c r="AG728" s="20">
        <v>0.0</v>
      </c>
      <c r="AH728" s="20">
        <v>0.0</v>
      </c>
      <c r="AI728" s="20">
        <v>0.0</v>
      </c>
      <c r="AJ728" s="20">
        <v>127632.64</v>
      </c>
      <c r="AK728" s="20">
        <v>127632.64</v>
      </c>
      <c r="AL728" s="20">
        <v>0.0</v>
      </c>
      <c r="AM728" s="20">
        <v>376.2</v>
      </c>
      <c r="AN728" s="20">
        <v>0.0</v>
      </c>
      <c r="AQ728" s="20">
        <v>0.87</v>
      </c>
      <c r="AS728" s="11" t="str">
        <f>VLOOKUP(C728,'mayo-26'!B:AS,44,0)</f>
        <v>ADMINISTRACION@MINISO.CO</v>
      </c>
      <c r="AT728" s="12" t="str">
        <f>VLOOKUP(C728,'mayo-26'!B:AT,45,0)</f>
        <v>VERIFICADOR</v>
      </c>
    </row>
    <row r="729" ht="14.25" customHeight="1">
      <c r="A729" s="20" t="s">
        <v>1545</v>
      </c>
      <c r="B729" s="20">
        <v>381749.0</v>
      </c>
      <c r="C729" s="20">
        <v>367412.0</v>
      </c>
      <c r="D729" s="21">
        <v>374696.0</v>
      </c>
      <c r="E729" s="20">
        <v>1050206.0</v>
      </c>
      <c r="F729" s="20">
        <v>1050206.0</v>
      </c>
      <c r="G729" s="20">
        <v>8.30082714E8</v>
      </c>
      <c r="H729" s="20" t="s">
        <v>1546</v>
      </c>
      <c r="I729" s="1" t="str">
        <f>VLOOKUP(C729,'mayo-26'!B:H,7,0)</f>
        <v>AVE 2 5-26 1007</v>
      </c>
      <c r="J729" s="1" t="s">
        <v>443</v>
      </c>
      <c r="K729" s="10" t="str">
        <f>VLOOKUP(C729,'mayo-26'!B:J,9,0)</f>
        <v>NO</v>
      </c>
      <c r="L729" s="1" t="str">
        <f>VLOOKUP(C729,'mayo-26'!B:K,10,0)</f>
        <v>NO</v>
      </c>
      <c r="M729" s="20" t="s">
        <v>52</v>
      </c>
      <c r="N729" s="20" t="s">
        <v>89</v>
      </c>
      <c r="O729" s="20" t="s">
        <v>861</v>
      </c>
      <c r="P729" s="20" t="s">
        <v>126</v>
      </c>
      <c r="Q729" s="20" t="s">
        <v>131</v>
      </c>
      <c r="R729" s="20" t="s">
        <v>132</v>
      </c>
      <c r="S729" s="20" t="s">
        <v>133</v>
      </c>
      <c r="T729" s="20" t="s">
        <v>59</v>
      </c>
      <c r="U729" s="20">
        <v>2026.0</v>
      </c>
      <c r="V729" s="20">
        <v>6.0</v>
      </c>
      <c r="W729" s="20">
        <v>1.081875767E9</v>
      </c>
      <c r="X729" s="20">
        <v>1.081894239E9</v>
      </c>
      <c r="Y729" s="22">
        <v>46182.0</v>
      </c>
      <c r="Z729" s="22">
        <v>46207.0</v>
      </c>
      <c r="AA729" s="20">
        <v>113128.5</v>
      </c>
      <c r="AB729" s="20">
        <v>113128.5</v>
      </c>
      <c r="AC729" s="20">
        <v>37709.5</v>
      </c>
      <c r="AD729" s="20">
        <v>0.0</v>
      </c>
      <c r="AE729" s="20">
        <v>0.0</v>
      </c>
      <c r="AF729" s="20">
        <v>0.0</v>
      </c>
      <c r="AG729" s="20">
        <v>0.0</v>
      </c>
      <c r="AH729" s="20">
        <v>0.0</v>
      </c>
      <c r="AI729" s="20">
        <v>0.0</v>
      </c>
      <c r="AJ729" s="20">
        <v>113128.5</v>
      </c>
      <c r="AK729" s="20">
        <v>113128.5</v>
      </c>
      <c r="AL729" s="20">
        <v>0.0</v>
      </c>
      <c r="AM729" s="20">
        <v>376.2</v>
      </c>
      <c r="AN729" s="20">
        <v>0.0</v>
      </c>
      <c r="AS729" s="11" t="str">
        <f>VLOOKUP(C729,'mayo-26'!B:AS,44,0)</f>
        <v>HIELOSANTAFE2@HOTMAIL.COM</v>
      </c>
      <c r="AT729" s="12" t="str">
        <f>VLOOKUP(C729,'mayo-26'!B:AT,45,0)</f>
        <v>CORREO ELECTRONICO CERTIFICADO 472</v>
      </c>
    </row>
    <row r="730" ht="14.25" customHeight="1">
      <c r="A730" s="20" t="s">
        <v>1547</v>
      </c>
      <c r="B730" s="20">
        <v>297.0</v>
      </c>
      <c r="C730" s="20">
        <v>369168.0</v>
      </c>
      <c r="D730" s="21">
        <v>377182.0</v>
      </c>
      <c r="E730" s="20">
        <v>121135.0</v>
      </c>
      <c r="F730" s="20">
        <v>121135.0</v>
      </c>
      <c r="G730" s="20" t="s">
        <v>135</v>
      </c>
      <c r="H730" s="20" t="s">
        <v>136</v>
      </c>
      <c r="I730" s="1" t="str">
        <f>VLOOKUP(C730,'mayo-26'!B:H,7,0)</f>
        <v>AVE 4 17-89 - 0239431</v>
      </c>
      <c r="J730" s="1" t="s">
        <v>1548</v>
      </c>
      <c r="K730" s="10" t="str">
        <f>VLOOKUP(C730,'mayo-26'!B:J,9,0)</f>
        <v>NO</v>
      </c>
      <c r="L730" s="1" t="str">
        <f>VLOOKUP(C730,'mayo-26'!B:K,10,0)</f>
        <v>IMSALUD</v>
      </c>
      <c r="M730" s="20" t="s">
        <v>52</v>
      </c>
      <c r="N730" s="20" t="s">
        <v>1060</v>
      </c>
      <c r="O730" s="20" t="s">
        <v>861</v>
      </c>
      <c r="P730" s="20" t="s">
        <v>126</v>
      </c>
      <c r="Q730" s="20" t="s">
        <v>131</v>
      </c>
      <c r="R730" s="20" t="s">
        <v>1111</v>
      </c>
      <c r="S730" s="20" t="s">
        <v>133</v>
      </c>
      <c r="T730" s="20" t="s">
        <v>59</v>
      </c>
      <c r="U730" s="20">
        <v>2026.0</v>
      </c>
      <c r="V730" s="20">
        <v>6.0</v>
      </c>
      <c r="W730" s="20">
        <v>1.08187577E9</v>
      </c>
      <c r="X730" s="20">
        <v>1.081894242E9</v>
      </c>
      <c r="Y730" s="22">
        <v>46182.0</v>
      </c>
      <c r="Z730" s="22">
        <v>46207.0</v>
      </c>
      <c r="AA730" s="20">
        <v>16393.0</v>
      </c>
      <c r="AB730" s="20">
        <v>16393.0</v>
      </c>
      <c r="AC730" s="20">
        <v>0.0</v>
      </c>
      <c r="AD730" s="20">
        <v>0.0</v>
      </c>
      <c r="AE730" s="20">
        <v>0.0</v>
      </c>
      <c r="AF730" s="20">
        <v>0.0</v>
      </c>
      <c r="AG730" s="20">
        <v>0.0</v>
      </c>
      <c r="AH730" s="20">
        <v>0.0</v>
      </c>
      <c r="AI730" s="20">
        <v>0.0</v>
      </c>
      <c r="AJ730" s="20">
        <v>16393.0</v>
      </c>
      <c r="AK730" s="20">
        <v>16393.0</v>
      </c>
      <c r="AL730" s="20">
        <v>0.0</v>
      </c>
      <c r="AM730" s="20">
        <v>250.8</v>
      </c>
      <c r="AN730" s="20">
        <v>0.0</v>
      </c>
      <c r="AS730" s="11" t="str">
        <f>VLOOKUP(C730,'mayo-26'!B:AS,44,0)</f>
        <v>SUBFINANCIERA@IMSALUD.GOV.CO</v>
      </c>
      <c r="AT730" s="12" t="str">
        <f>VLOOKUP(C730,'mayo-26'!B:AT,45,0)</f>
        <v>CORREO ELECTRONICO CERTIFICADO 472</v>
      </c>
    </row>
    <row r="731" ht="14.25" customHeight="1">
      <c r="A731" s="20" t="s">
        <v>1549</v>
      </c>
      <c r="B731" s="20">
        <v>386737.0</v>
      </c>
      <c r="C731" s="20">
        <v>370572.0</v>
      </c>
      <c r="D731" s="21">
        <v>378840.0</v>
      </c>
      <c r="G731" s="20">
        <v>1.19337844E9</v>
      </c>
      <c r="H731" s="20" t="s">
        <v>1550</v>
      </c>
      <c r="I731" s="1" t="str">
        <f>VLOOKUP(C731,'mayo-26'!B:H,7,0)</f>
        <v>LC 92 CC JARDÍN PLAZA</v>
      </c>
      <c r="J731" s="1" t="s">
        <v>991</v>
      </c>
      <c r="K731" s="10" t="str">
        <f>VLOOKUP(C731,'mayo-26'!B:J,9,0)</f>
        <v>JARDIN PLAZA</v>
      </c>
      <c r="L731" s="1" t="str">
        <f>VLOOKUP(C731,'mayo-26'!B:K,10,0)</f>
        <v>JARDIN PLAZA</v>
      </c>
      <c r="M731" s="20" t="s">
        <v>52</v>
      </c>
      <c r="N731" s="20" t="s">
        <v>89</v>
      </c>
      <c r="O731" s="20" t="s">
        <v>861</v>
      </c>
      <c r="P731" s="20" t="s">
        <v>126</v>
      </c>
      <c r="Q731" s="20" t="s">
        <v>56</v>
      </c>
      <c r="R731" s="20" t="s">
        <v>90</v>
      </c>
      <c r="S731" s="20" t="s">
        <v>143</v>
      </c>
      <c r="T731" s="20" t="s">
        <v>59</v>
      </c>
      <c r="U731" s="20">
        <v>2026.0</v>
      </c>
      <c r="V731" s="20">
        <v>6.0</v>
      </c>
      <c r="W731" s="20">
        <v>1.081875775E9</v>
      </c>
      <c r="X731" s="20">
        <v>1.081894247E9</v>
      </c>
      <c r="Y731" s="22">
        <v>46182.0</v>
      </c>
      <c r="Z731" s="22">
        <v>46207.0</v>
      </c>
      <c r="AA731" s="20">
        <v>129926.08</v>
      </c>
      <c r="AB731" s="20">
        <v>129926.08</v>
      </c>
      <c r="AC731" s="20">
        <v>42544.51</v>
      </c>
      <c r="AD731" s="20">
        <v>250.0</v>
      </c>
      <c r="AE731" s="20">
        <v>2292.57</v>
      </c>
      <c r="AF731" s="20">
        <v>0.0</v>
      </c>
      <c r="AG731" s="20">
        <v>0.0</v>
      </c>
      <c r="AH731" s="20">
        <v>0.0</v>
      </c>
      <c r="AI731" s="20">
        <v>0.0</v>
      </c>
      <c r="AJ731" s="20">
        <v>129926.08</v>
      </c>
      <c r="AK731" s="20">
        <v>258053.56</v>
      </c>
      <c r="AL731" s="20">
        <v>1.0</v>
      </c>
      <c r="AM731" s="20">
        <v>376.2</v>
      </c>
      <c r="AN731" s="20">
        <v>0.0</v>
      </c>
      <c r="AS731" s="11" t="str">
        <f>VLOOKUP(C731,'mayo-26'!B:AS,44,0)</f>
        <v>CONTABILIDADCASIOCUCUTAOFICIAL@HOTMAIL.COM</v>
      </c>
      <c r="AT731" s="12" t="str">
        <f>VLOOKUP(C731,'mayo-26'!B:AT,45,0)</f>
        <v>VERIFICADOR</v>
      </c>
    </row>
    <row r="732" ht="14.25" customHeight="1">
      <c r="A732" s="20" t="s">
        <v>1551</v>
      </c>
      <c r="B732" s="20">
        <v>464839.0</v>
      </c>
      <c r="C732" s="20">
        <v>371628.0</v>
      </c>
      <c r="D732" s="21">
        <v>380784.0</v>
      </c>
      <c r="G732" s="20" t="s">
        <v>1552</v>
      </c>
      <c r="H732" s="20" t="s">
        <v>1553</v>
      </c>
      <c r="I732" s="1" t="str">
        <f>VLOOKUP(C732,'mayo-26'!B:H,7,0)</f>
        <v>CC JARDIN PLAZA L79</v>
      </c>
      <c r="J732" s="1" t="s">
        <v>991</v>
      </c>
      <c r="K732" s="10" t="str">
        <f>VLOOKUP(C732,'mayo-26'!B:J,9,0)</f>
        <v>JARDIN PLAZA</v>
      </c>
      <c r="L732" s="1" t="str">
        <f>VLOOKUP(C732,'mayo-26'!B:K,10,0)</f>
        <v>PASH</v>
      </c>
      <c r="M732" s="20" t="s">
        <v>52</v>
      </c>
      <c r="N732" s="20" t="s">
        <v>53</v>
      </c>
      <c r="O732" s="20" t="s">
        <v>861</v>
      </c>
      <c r="P732" s="20" t="s">
        <v>126</v>
      </c>
      <c r="Q732" s="20" t="s">
        <v>56</v>
      </c>
      <c r="R732" s="20" t="s">
        <v>90</v>
      </c>
      <c r="S732" s="20" t="s">
        <v>143</v>
      </c>
      <c r="T732" s="20" t="s">
        <v>59</v>
      </c>
      <c r="U732" s="20">
        <v>2026.0</v>
      </c>
      <c r="V732" s="20">
        <v>6.0</v>
      </c>
      <c r="W732" s="20">
        <v>1.081875779E9</v>
      </c>
      <c r="X732" s="20">
        <v>1.081894251E9</v>
      </c>
      <c r="Y732" s="22">
        <v>46182.0</v>
      </c>
      <c r="Z732" s="22">
        <v>46207.0</v>
      </c>
      <c r="AA732" s="20">
        <v>127633.51</v>
      </c>
      <c r="AB732" s="20">
        <v>127633.51</v>
      </c>
      <c r="AC732" s="20">
        <v>42544.51</v>
      </c>
      <c r="AD732" s="20">
        <v>250.0</v>
      </c>
      <c r="AE732" s="20">
        <v>0.0</v>
      </c>
      <c r="AF732" s="20">
        <v>0.0</v>
      </c>
      <c r="AG732" s="20">
        <v>0.0</v>
      </c>
      <c r="AH732" s="20">
        <v>0.0</v>
      </c>
      <c r="AI732" s="20">
        <v>0.0</v>
      </c>
      <c r="AJ732" s="20">
        <v>127633.51</v>
      </c>
      <c r="AK732" s="20">
        <v>127633.51</v>
      </c>
      <c r="AL732" s="20">
        <v>0.0</v>
      </c>
      <c r="AM732" s="20">
        <v>376.2</v>
      </c>
      <c r="AN732" s="20">
        <v>0.0</v>
      </c>
      <c r="AS732" s="11" t="str">
        <f>VLOOKUP(C732,'mayo-26'!B:AS,44,0)</f>
        <v>SERVICIOSPUBLICOS@PASH.COM.CO; abayona@tekstelas.com; kguavita@tekstelas.com</v>
      </c>
      <c r="AT732" s="12" t="str">
        <f>VLOOKUP(C732,'mayo-26'!B:AT,45,0)</f>
        <v>VERIFICADOR</v>
      </c>
    </row>
    <row r="733" ht="14.25" customHeight="1">
      <c r="A733" s="20" t="s">
        <v>1554</v>
      </c>
      <c r="B733" s="20">
        <v>373.0</v>
      </c>
      <c r="C733" s="20">
        <v>372.0</v>
      </c>
      <c r="D733" s="21">
        <v>372.0</v>
      </c>
      <c r="E733" s="20">
        <v>9.0243079E7</v>
      </c>
      <c r="F733" s="20">
        <v>9.0243079E7</v>
      </c>
      <c r="G733" s="20" t="s">
        <v>1555</v>
      </c>
      <c r="H733" s="20" t="s">
        <v>1556</v>
      </c>
      <c r="I733" s="1" t="str">
        <f>VLOOKUP(C733,'mayo-26'!B:H,7,0)</f>
        <v>AVE 7 10-45</v>
      </c>
      <c r="J733" s="1" t="s">
        <v>982</v>
      </c>
      <c r="K733" s="10" t="str">
        <f>VLOOKUP(C733,'mayo-26'!B:J,9,0)</f>
        <v>NO</v>
      </c>
      <c r="L733" s="1" t="str">
        <f>VLOOKUP(C733,'mayo-26'!B:K,10,0)</f>
        <v>NO</v>
      </c>
      <c r="M733" s="20" t="s">
        <v>52</v>
      </c>
      <c r="N733" s="20" t="s">
        <v>89</v>
      </c>
      <c r="O733" s="20" t="s">
        <v>861</v>
      </c>
      <c r="P733" s="20" t="s">
        <v>126</v>
      </c>
      <c r="Q733" s="20" t="s">
        <v>56</v>
      </c>
      <c r="R733" s="20" t="s">
        <v>90</v>
      </c>
      <c r="S733" s="20" t="s">
        <v>143</v>
      </c>
      <c r="T733" s="20" t="s">
        <v>59</v>
      </c>
      <c r="U733" s="20">
        <v>2026.0</v>
      </c>
      <c r="V733" s="20">
        <v>6.0</v>
      </c>
      <c r="W733" s="20">
        <v>1.081875519E9</v>
      </c>
      <c r="X733" s="20">
        <v>1.081893991E9</v>
      </c>
      <c r="Y733" s="22">
        <v>46182.0</v>
      </c>
      <c r="Z733" s="22">
        <v>46207.0</v>
      </c>
      <c r="AA733" s="20">
        <v>895466.1</v>
      </c>
      <c r="AB733" s="20">
        <v>895466.1</v>
      </c>
      <c r="AC733" s="20">
        <v>298488.71</v>
      </c>
      <c r="AD733" s="20">
        <v>2947.5</v>
      </c>
      <c r="AE733" s="20">
        <v>0.0</v>
      </c>
      <c r="AF733" s="20">
        <v>0.0</v>
      </c>
      <c r="AG733" s="20">
        <v>0.0</v>
      </c>
      <c r="AH733" s="20">
        <v>0.0</v>
      </c>
      <c r="AI733" s="20">
        <v>0.0</v>
      </c>
      <c r="AJ733" s="20">
        <v>895466.1</v>
      </c>
      <c r="AK733" s="20">
        <v>895466.1</v>
      </c>
      <c r="AL733" s="20">
        <v>0.0</v>
      </c>
      <c r="AM733" s="20">
        <v>376.2</v>
      </c>
      <c r="AN733" s="20">
        <v>0.0</v>
      </c>
      <c r="AS733" s="11" t="str">
        <f>VLOOKUP(C733,'mayo-26'!B:AS,44,0)</f>
        <v>COCONTABILIDAD@CENTROCOMERCIALOITI.COM</v>
      </c>
      <c r="AT733" s="12" t="str">
        <f>VLOOKUP(C733,'mayo-26'!B:AT,45,0)</f>
        <v>CORREO ELECTRONICO CERTIFICADO 472</v>
      </c>
    </row>
    <row r="734" ht="14.25" customHeight="1">
      <c r="A734" s="20" t="s">
        <v>1557</v>
      </c>
      <c r="B734" s="20">
        <v>389.0</v>
      </c>
      <c r="C734" s="20">
        <v>388.0</v>
      </c>
      <c r="D734" s="21">
        <v>388.0</v>
      </c>
      <c r="E734" s="20">
        <v>9.0243273E7</v>
      </c>
      <c r="F734" s="20">
        <v>9.0243273E7</v>
      </c>
      <c r="G734" s="20">
        <v>9024327.0</v>
      </c>
      <c r="H734" s="20" t="s">
        <v>1558</v>
      </c>
      <c r="I734" s="1" t="str">
        <f>VLOOKUP(C734,'mayo-26'!B:H,7,0)</f>
        <v>AVE 5 9-73 HOTEL AMARUC</v>
      </c>
      <c r="J734" s="1" t="s">
        <v>982</v>
      </c>
      <c r="K734" s="10" t="str">
        <f>VLOOKUP(C734,'mayo-26'!B:J,9,0)</f>
        <v>NO</v>
      </c>
      <c r="L734" s="1" t="str">
        <f>VLOOKUP(C734,'mayo-26'!B:K,10,0)</f>
        <v>NO</v>
      </c>
      <c r="M734" s="20" t="s">
        <v>52</v>
      </c>
      <c r="N734" s="20" t="s">
        <v>89</v>
      </c>
      <c r="O734" s="20" t="s">
        <v>861</v>
      </c>
      <c r="P734" s="20" t="s">
        <v>126</v>
      </c>
      <c r="Q734" s="20" t="s">
        <v>56</v>
      </c>
      <c r="R734" s="20" t="s">
        <v>90</v>
      </c>
      <c r="S734" s="20" t="s">
        <v>143</v>
      </c>
      <c r="T734" s="20" t="s">
        <v>59</v>
      </c>
      <c r="U734" s="20">
        <v>2026.0</v>
      </c>
      <c r="V734" s="20">
        <v>6.0</v>
      </c>
      <c r="W734" s="20">
        <v>1.081875522E9</v>
      </c>
      <c r="X734" s="20">
        <v>1.081893994E9</v>
      </c>
      <c r="Y734" s="22">
        <v>46182.0</v>
      </c>
      <c r="Z734" s="22">
        <v>46207.0</v>
      </c>
      <c r="AA734" s="20">
        <v>160728.01</v>
      </c>
      <c r="AB734" s="20">
        <v>160728.01</v>
      </c>
      <c r="AC734" s="20">
        <v>51083.88</v>
      </c>
      <c r="AD734" s="20">
        <v>340.0</v>
      </c>
      <c r="AE734" s="20">
        <v>7476.37</v>
      </c>
      <c r="AF734" s="20">
        <v>0.0</v>
      </c>
      <c r="AG734" s="20">
        <v>0.0</v>
      </c>
      <c r="AH734" s="20">
        <v>0.0</v>
      </c>
      <c r="AI734" s="20">
        <v>0.0</v>
      </c>
      <c r="AJ734" s="20">
        <v>160728.01</v>
      </c>
      <c r="AK734" s="20">
        <v>767393.37</v>
      </c>
      <c r="AL734" s="20">
        <v>4.0</v>
      </c>
      <c r="AM734" s="20">
        <v>376.2</v>
      </c>
      <c r="AN734" s="20">
        <v>0.0</v>
      </c>
      <c r="AS734" s="11" t="str">
        <f>VLOOKUP(C734,'mayo-26'!B:AS,44,0)</f>
        <v>VENTASAMARUC@HOTELVILLAANTIGUACUC.COM</v>
      </c>
      <c r="AT734" s="12" t="str">
        <f>VLOOKUP(C734,'mayo-26'!B:AT,45,0)</f>
        <v>CORREO ELECTRONICO CERTIFICADO 472</v>
      </c>
    </row>
    <row r="735" ht="14.25" customHeight="1">
      <c r="A735" s="20" t="s">
        <v>1559</v>
      </c>
      <c r="B735" s="20">
        <v>393.0</v>
      </c>
      <c r="C735" s="20">
        <v>392.0</v>
      </c>
      <c r="D735" s="21">
        <v>392.0</v>
      </c>
      <c r="E735" s="20">
        <v>9.0243388E7</v>
      </c>
      <c r="F735" s="20">
        <v>9.0243388E7</v>
      </c>
      <c r="G735" s="20">
        <v>8.0700816E8</v>
      </c>
      <c r="H735" s="20" t="s">
        <v>1560</v>
      </c>
      <c r="I735" s="1" t="str">
        <f>VLOOKUP(C735,'mayo-26'!B:H,7,0)</f>
        <v>CLL 9 # 6 - 44</v>
      </c>
      <c r="J735" s="1" t="s">
        <v>982</v>
      </c>
      <c r="K735" s="10" t="str">
        <f>VLOOKUP(C735,'mayo-26'!B:J,9,0)</f>
        <v>NO</v>
      </c>
      <c r="L735" s="1" t="str">
        <f>VLOOKUP(C735,'mayo-26'!B:K,10,0)</f>
        <v>NO</v>
      </c>
      <c r="M735" s="20" t="s">
        <v>52</v>
      </c>
      <c r="N735" s="20" t="s">
        <v>89</v>
      </c>
      <c r="O735" s="20" t="s">
        <v>861</v>
      </c>
      <c r="P735" s="20" t="s">
        <v>126</v>
      </c>
      <c r="Q735" s="20" t="s">
        <v>56</v>
      </c>
      <c r="R735" s="20" t="s">
        <v>90</v>
      </c>
      <c r="S735" s="20" t="s">
        <v>143</v>
      </c>
      <c r="T735" s="20" t="s">
        <v>59</v>
      </c>
      <c r="U735" s="20">
        <v>2026.0</v>
      </c>
      <c r="V735" s="20">
        <v>6.0</v>
      </c>
      <c r="W735" s="20">
        <v>1.081875526E9</v>
      </c>
      <c r="X735" s="20">
        <v>1.081893998E9</v>
      </c>
      <c r="Y735" s="22">
        <v>46182.0</v>
      </c>
      <c r="Z735" s="22">
        <v>46207.0</v>
      </c>
      <c r="AA735" s="20">
        <v>917526.17</v>
      </c>
      <c r="AB735" s="20">
        <v>917526.17</v>
      </c>
      <c r="AC735" s="20">
        <v>305842.06</v>
      </c>
      <c r="AD735" s="20">
        <v>3025.0</v>
      </c>
      <c r="AE735" s="20">
        <v>0.0</v>
      </c>
      <c r="AF735" s="20">
        <v>0.0</v>
      </c>
      <c r="AG735" s="20">
        <v>0.0</v>
      </c>
      <c r="AH735" s="20">
        <v>0.0</v>
      </c>
      <c r="AI735" s="20">
        <v>0.0</v>
      </c>
      <c r="AJ735" s="20">
        <v>917526.17</v>
      </c>
      <c r="AK735" s="20">
        <v>917526.17</v>
      </c>
      <c r="AL735" s="20">
        <v>0.0</v>
      </c>
      <c r="AM735" s="20">
        <v>376.2</v>
      </c>
      <c r="AN735" s="20">
        <v>0.0</v>
      </c>
      <c r="AS735" s="11" t="str">
        <f>VLOOKUP(C735,'mayo-26'!B:AS,44,0)</f>
        <v>ccalejandria718@hotmail.com</v>
      </c>
      <c r="AT735" s="12" t="str">
        <f>VLOOKUP(C735,'mayo-26'!B:AT,45,0)</f>
        <v>CORREO ELECTRONICO CERTIFICADO 472</v>
      </c>
    </row>
    <row r="736" ht="14.25" customHeight="1">
      <c r="A736" s="20" t="s">
        <v>1561</v>
      </c>
      <c r="B736" s="20">
        <v>397.0</v>
      </c>
      <c r="C736" s="20">
        <v>396.0</v>
      </c>
      <c r="D736" s="21">
        <v>396.0</v>
      </c>
      <c r="E736" s="20">
        <v>9.0244078E7</v>
      </c>
      <c r="F736" s="20">
        <v>9.0244078E7</v>
      </c>
      <c r="G736" s="20">
        <v>8.90505327E8</v>
      </c>
      <c r="H736" s="20" t="s">
        <v>1562</v>
      </c>
      <c r="I736" s="1" t="str">
        <f>VLOOKUP(C736,'mayo-26'!B:H,7,0)</f>
        <v>AVE 6 14-55</v>
      </c>
      <c r="J736" s="1" t="s">
        <v>1325</v>
      </c>
      <c r="K736" s="10" t="str">
        <f>VLOOKUP(C736,'mayo-26'!B:J,9,0)</f>
        <v>NO</v>
      </c>
      <c r="L736" s="1" t="str">
        <f>VLOOKUP(C736,'mayo-26'!B:K,10,0)</f>
        <v>NO</v>
      </c>
      <c r="M736" s="20" t="s">
        <v>52</v>
      </c>
      <c r="N736" s="20" t="s">
        <v>89</v>
      </c>
      <c r="O736" s="20" t="s">
        <v>861</v>
      </c>
      <c r="P736" s="20" t="s">
        <v>126</v>
      </c>
      <c r="Q736" s="20" t="s">
        <v>56</v>
      </c>
      <c r="R736" s="20" t="s">
        <v>90</v>
      </c>
      <c r="S736" s="20" t="s">
        <v>143</v>
      </c>
      <c r="T736" s="20" t="s">
        <v>59</v>
      </c>
      <c r="U736" s="20">
        <v>2026.0</v>
      </c>
      <c r="V736" s="20">
        <v>6.0</v>
      </c>
      <c r="W736" s="20">
        <v>1.081875529E9</v>
      </c>
      <c r="X736" s="20">
        <v>1.081894001E9</v>
      </c>
      <c r="Y736" s="22">
        <v>46182.0</v>
      </c>
      <c r="Z736" s="22">
        <v>46207.0</v>
      </c>
      <c r="AA736" s="20">
        <v>2347509.51</v>
      </c>
      <c r="AB736" s="20">
        <v>2347509.51</v>
      </c>
      <c r="AC736" s="20">
        <v>611836.51</v>
      </c>
      <c r="AD736" s="20">
        <v>6250.0</v>
      </c>
      <c r="AE736" s="20">
        <v>0.0</v>
      </c>
      <c r="AF736" s="20">
        <v>0.0</v>
      </c>
      <c r="AG736" s="20">
        <v>0.0</v>
      </c>
      <c r="AH736" s="20">
        <v>0.0</v>
      </c>
      <c r="AI736" s="20">
        <v>0.0</v>
      </c>
      <c r="AJ736" s="20">
        <v>2347509.51</v>
      </c>
      <c r="AK736" s="20">
        <v>2347509.51</v>
      </c>
      <c r="AL736" s="20">
        <v>0.0</v>
      </c>
      <c r="AM736" s="20">
        <v>512376.2</v>
      </c>
      <c r="AN736" s="20">
        <v>0.0</v>
      </c>
      <c r="AS736" s="11" t="str">
        <f>VLOOKUP(C736,'mayo-26'!B:AS,44,0)</f>
        <v>FACTURAELECTRONICA@HOTELCASABLANCA.COM.CO</v>
      </c>
      <c r="AT736" s="12" t="str">
        <f>VLOOKUP(C736,'mayo-26'!B:AT,45,0)</f>
        <v>CORREO ELECTRONICO CERTIFICADO 472</v>
      </c>
    </row>
    <row r="737" ht="14.25" customHeight="1">
      <c r="A737" s="20" t="s">
        <v>1563</v>
      </c>
      <c r="B737" s="20">
        <v>455370.0</v>
      </c>
      <c r="C737" s="20">
        <v>400.0</v>
      </c>
      <c r="D737" s="21">
        <v>400.0</v>
      </c>
      <c r="E737" s="20">
        <v>9.0244353E7</v>
      </c>
      <c r="F737" s="20">
        <v>9.0244353E7</v>
      </c>
      <c r="G737" s="20" t="s">
        <v>148</v>
      </c>
      <c r="H737" s="20" t="s">
        <v>149</v>
      </c>
      <c r="I737" s="1" t="str">
        <f>VLOOKUP(C737,'mayo-26'!B:H,7,0)</f>
        <v>CALLE 10 NO 0E-16 EDF CENTRO EMPRESARIAL BLOQUE B HOTEL TONCHALA</v>
      </c>
      <c r="J737" s="1" t="s">
        <v>1320</v>
      </c>
      <c r="K737" s="10" t="str">
        <f>VLOOKUP(C737,'mayo-26'!B:J,9,0)</f>
        <v>NO</v>
      </c>
      <c r="L737" s="1" t="str">
        <f>VLOOKUP(C737,'mayo-26'!B:K,10,0)</f>
        <v>COLEGIOS ZONA SUR</v>
      </c>
      <c r="M737" s="20" t="s">
        <v>52</v>
      </c>
      <c r="N737" s="20" t="s">
        <v>53</v>
      </c>
      <c r="O737" s="20" t="s">
        <v>861</v>
      </c>
      <c r="P737" s="20" t="s">
        <v>126</v>
      </c>
      <c r="Q737" s="20" t="s">
        <v>56</v>
      </c>
      <c r="R737" s="20" t="s">
        <v>57</v>
      </c>
      <c r="S737" s="20" t="s">
        <v>143</v>
      </c>
      <c r="T737" s="20" t="s">
        <v>59</v>
      </c>
      <c r="U737" s="20">
        <v>2026.0</v>
      </c>
      <c r="V737" s="20">
        <v>6.0</v>
      </c>
      <c r="W737" s="20">
        <v>1.081875533E9</v>
      </c>
      <c r="X737" s="20">
        <v>1.081894005E9</v>
      </c>
      <c r="Y737" s="22">
        <v>46182.0</v>
      </c>
      <c r="Z737" s="22">
        <v>46207.0</v>
      </c>
      <c r="AA737" s="20">
        <v>85658.29</v>
      </c>
      <c r="AB737" s="20">
        <v>85658.29</v>
      </c>
      <c r="AC737" s="20">
        <v>0.0</v>
      </c>
      <c r="AD737" s="20">
        <v>253.0</v>
      </c>
      <c r="AE737" s="20">
        <v>0.0</v>
      </c>
      <c r="AF737" s="20">
        <v>0.0</v>
      </c>
      <c r="AG737" s="20">
        <v>0.0</v>
      </c>
      <c r="AH737" s="20">
        <v>0.0</v>
      </c>
      <c r="AI737" s="20">
        <v>0.0</v>
      </c>
      <c r="AJ737" s="20">
        <v>85658.29</v>
      </c>
      <c r="AK737" s="20">
        <v>256791.18</v>
      </c>
      <c r="AL737" s="20">
        <v>3.0</v>
      </c>
      <c r="AM737" s="20">
        <v>250.8</v>
      </c>
      <c r="AN737" s="20">
        <v>0.0</v>
      </c>
      <c r="AS737" s="11" t="str">
        <f>VLOOKUP(C737,'mayo-26'!B:AS,44,0)</f>
        <v>AREAFINANCIERA@SEMCUCUTA.GOV.CO</v>
      </c>
      <c r="AT737" s="12" t="str">
        <f>VLOOKUP(C737,'mayo-26'!B:AT,45,0)</f>
        <v>CARTERA</v>
      </c>
    </row>
    <row r="738" ht="14.25" customHeight="1">
      <c r="A738" s="20" t="s">
        <v>1564</v>
      </c>
      <c r="B738" s="20">
        <v>409.0</v>
      </c>
      <c r="C738" s="20">
        <v>408.0</v>
      </c>
      <c r="D738" s="21">
        <v>408.0</v>
      </c>
      <c r="E738" s="20">
        <v>9.0248549E7</v>
      </c>
      <c r="F738" s="20">
        <v>9.0248549E7</v>
      </c>
      <c r="G738" s="20" t="s">
        <v>1565</v>
      </c>
      <c r="H738" s="20" t="s">
        <v>1566</v>
      </c>
      <c r="I738" s="1" t="str">
        <f>VLOOKUP(C738,'mayo-26'!B:H,7,0)</f>
        <v>CLL 9 7-33</v>
      </c>
      <c r="J738" s="1" t="s">
        <v>982</v>
      </c>
      <c r="K738" s="10" t="str">
        <f>VLOOKUP(C738,'mayo-26'!B:J,9,0)</f>
        <v>NO</v>
      </c>
      <c r="L738" s="1" t="str">
        <f>VLOOKUP(C738,'mayo-26'!B:K,10,0)</f>
        <v>NO</v>
      </c>
      <c r="M738" s="20" t="s">
        <v>52</v>
      </c>
      <c r="N738" s="20" t="s">
        <v>89</v>
      </c>
      <c r="O738" s="20" t="s">
        <v>861</v>
      </c>
      <c r="P738" s="20" t="s">
        <v>126</v>
      </c>
      <c r="Q738" s="20" t="s">
        <v>56</v>
      </c>
      <c r="R738" s="20" t="s">
        <v>90</v>
      </c>
      <c r="S738" s="20" t="s">
        <v>143</v>
      </c>
      <c r="T738" s="20" t="s">
        <v>59</v>
      </c>
      <c r="U738" s="20">
        <v>2026.0</v>
      </c>
      <c r="V738" s="20">
        <v>6.0</v>
      </c>
      <c r="W738" s="20">
        <v>1.081875537E9</v>
      </c>
      <c r="X738" s="20">
        <v>1.081894009E9</v>
      </c>
      <c r="Y738" s="22">
        <v>46182.0</v>
      </c>
      <c r="Z738" s="22">
        <v>46207.0</v>
      </c>
      <c r="AA738" s="20">
        <v>437186.03</v>
      </c>
      <c r="AB738" s="20">
        <v>437186.03</v>
      </c>
      <c r="AC738" s="20">
        <v>145728.68</v>
      </c>
      <c r="AD738" s="20">
        <v>1337.5</v>
      </c>
      <c r="AE738" s="20">
        <v>0.0</v>
      </c>
      <c r="AF738" s="20">
        <v>0.0</v>
      </c>
      <c r="AG738" s="20">
        <v>0.0</v>
      </c>
      <c r="AH738" s="20">
        <v>0.0</v>
      </c>
      <c r="AI738" s="20">
        <v>0.0</v>
      </c>
      <c r="AJ738" s="20">
        <v>437186.03</v>
      </c>
      <c r="AK738" s="20">
        <v>437186.03</v>
      </c>
      <c r="AL738" s="20">
        <v>0.0</v>
      </c>
      <c r="AM738" s="20">
        <v>376.2</v>
      </c>
      <c r="AN738" s="20">
        <v>0.0</v>
      </c>
      <c r="AS738" s="11" t="str">
        <f>VLOOKUP(C738,'mayo-26'!B:AS,44,0)</f>
        <v>MULTICENTRO7AVENIDA@HOTMAIL.COM;ARTURO_MANRIQUE5@HOTMAIL.COM</v>
      </c>
      <c r="AT738" s="12" t="str">
        <f>VLOOKUP(C738,'mayo-26'!B:AT,45,0)</f>
        <v>CORREO ELECTRONICO CERTIFICADO 472</v>
      </c>
    </row>
    <row r="739" ht="14.25" customHeight="1">
      <c r="A739" s="20" t="s">
        <v>1567</v>
      </c>
      <c r="B739" s="20">
        <v>455370.0</v>
      </c>
      <c r="C739" s="20">
        <v>412.0</v>
      </c>
      <c r="D739" s="21">
        <v>412.0</v>
      </c>
      <c r="E739" s="20">
        <v>9.0250405E7</v>
      </c>
      <c r="F739" s="20">
        <v>9.0250405E7</v>
      </c>
      <c r="G739" s="20" t="s">
        <v>148</v>
      </c>
      <c r="H739" s="20" t="s">
        <v>149</v>
      </c>
      <c r="I739" s="1" t="str">
        <f>VLOOKUP(C739,'mayo-26'!B:H,7,0)</f>
        <v>CALLE 10 NO 0E-16 EDF CENTRO EMPRESARIAL BLOQUE B HOTEL TONCHALA</v>
      </c>
      <c r="J739" s="1" t="s">
        <v>1021</v>
      </c>
      <c r="K739" s="10" t="str">
        <f>VLOOKUP(C739,'mayo-26'!B:J,9,0)</f>
        <v>NO</v>
      </c>
      <c r="L739" s="1" t="str">
        <f>VLOOKUP(C739,'mayo-26'!B:K,10,0)</f>
        <v>COLEGIOS ZONA SUR</v>
      </c>
      <c r="M739" s="20" t="s">
        <v>52</v>
      </c>
      <c r="N739" s="20" t="s">
        <v>53</v>
      </c>
      <c r="O739" s="20" t="s">
        <v>861</v>
      </c>
      <c r="P739" s="20" t="s">
        <v>126</v>
      </c>
      <c r="Q739" s="20" t="s">
        <v>56</v>
      </c>
      <c r="R739" s="20" t="s">
        <v>57</v>
      </c>
      <c r="S739" s="20" t="s">
        <v>143</v>
      </c>
      <c r="T739" s="20" t="s">
        <v>59</v>
      </c>
      <c r="U739" s="20">
        <v>2026.0</v>
      </c>
      <c r="V739" s="20">
        <v>6.0</v>
      </c>
      <c r="W739" s="20">
        <v>1.08187554E9</v>
      </c>
      <c r="X739" s="20">
        <v>1.081894012E9</v>
      </c>
      <c r="Y739" s="22">
        <v>46182.0</v>
      </c>
      <c r="Z739" s="22">
        <v>46207.0</v>
      </c>
      <c r="AA739" s="20">
        <v>166687.52</v>
      </c>
      <c r="AB739" s="20">
        <v>166687.52</v>
      </c>
      <c r="AC739" s="20">
        <v>0.0</v>
      </c>
      <c r="AD739" s="20">
        <v>680.0</v>
      </c>
      <c r="AE739" s="20">
        <v>0.0</v>
      </c>
      <c r="AF739" s="20">
        <v>0.0</v>
      </c>
      <c r="AG739" s="20">
        <v>0.0</v>
      </c>
      <c r="AH739" s="20">
        <v>0.0</v>
      </c>
      <c r="AI739" s="20">
        <v>0.0</v>
      </c>
      <c r="AJ739" s="20">
        <v>166687.52</v>
      </c>
      <c r="AK739" s="20">
        <v>497972.74</v>
      </c>
      <c r="AL739" s="20">
        <v>3.0</v>
      </c>
      <c r="AM739" s="20">
        <v>250.8</v>
      </c>
      <c r="AN739" s="20">
        <v>0.0</v>
      </c>
      <c r="AS739" s="11" t="str">
        <f>VLOOKUP(C739,'mayo-26'!B:AS,44,0)</f>
        <v>AREAFINANCIERA@SEMCUCUTA.GOV.CO</v>
      </c>
      <c r="AT739" s="12" t="str">
        <f>VLOOKUP(C739,'mayo-26'!B:AT,45,0)</f>
        <v>CARTERA</v>
      </c>
    </row>
    <row r="740" ht="14.25" customHeight="1">
      <c r="A740" s="20" t="s">
        <v>1568</v>
      </c>
      <c r="B740" s="20">
        <v>417.0</v>
      </c>
      <c r="C740" s="20">
        <v>416.0</v>
      </c>
      <c r="D740" s="21">
        <v>416.0</v>
      </c>
      <c r="E740" s="20">
        <v>9.0251207E7</v>
      </c>
      <c r="F740" s="20">
        <v>9.0251207E7</v>
      </c>
      <c r="G740" s="20">
        <v>8.9050081E8</v>
      </c>
      <c r="H740" s="20" t="s">
        <v>1569</v>
      </c>
      <c r="I740" s="1" t="str">
        <f>VLOOKUP(C740,'mayo-26'!B:H,7,0)</f>
        <v>CLL 22 AVE 19A - 19B SANTANDER</v>
      </c>
      <c r="J740" s="1" t="s">
        <v>1205</v>
      </c>
      <c r="K740" s="10" t="str">
        <f>VLOOKUP(C740,'mayo-26'!B:J,9,0)</f>
        <v>NO</v>
      </c>
      <c r="L740" s="1" t="str">
        <f>VLOOKUP(C740,'mayo-26'!B:K,10,0)</f>
        <v>NO</v>
      </c>
      <c r="M740" s="20" t="s">
        <v>52</v>
      </c>
      <c r="N740" s="20" t="s">
        <v>89</v>
      </c>
      <c r="O740" s="20" t="s">
        <v>861</v>
      </c>
      <c r="P740" s="20" t="s">
        <v>126</v>
      </c>
      <c r="Q740" s="20" t="s">
        <v>131</v>
      </c>
      <c r="R740" s="20" t="s">
        <v>151</v>
      </c>
      <c r="S740" s="20" t="s">
        <v>133</v>
      </c>
      <c r="T740" s="20" t="s">
        <v>59</v>
      </c>
      <c r="U740" s="20">
        <v>2026.0</v>
      </c>
      <c r="V740" s="20">
        <v>6.0</v>
      </c>
      <c r="W740" s="20">
        <v>1.081875545E9</v>
      </c>
      <c r="X740" s="20">
        <v>1.081894017E9</v>
      </c>
      <c r="Y740" s="22">
        <v>46182.0</v>
      </c>
      <c r="Z740" s="22">
        <v>46207.0</v>
      </c>
      <c r="AA740" s="20">
        <v>75419.0</v>
      </c>
      <c r="AB740" s="20">
        <v>75419.0</v>
      </c>
      <c r="AC740" s="20">
        <v>0.0</v>
      </c>
      <c r="AD740" s="20">
        <v>0.0</v>
      </c>
      <c r="AE740" s="20">
        <v>0.0</v>
      </c>
      <c r="AF740" s="20">
        <v>0.0</v>
      </c>
      <c r="AG740" s="20">
        <v>0.0</v>
      </c>
      <c r="AH740" s="20">
        <v>0.0</v>
      </c>
      <c r="AI740" s="20">
        <v>0.0</v>
      </c>
      <c r="AJ740" s="20">
        <v>75419.0</v>
      </c>
      <c r="AK740" s="20">
        <v>2150144.2</v>
      </c>
      <c r="AL740" s="20">
        <v>6.0</v>
      </c>
      <c r="AM740" s="20">
        <v>250.8</v>
      </c>
      <c r="AN740" s="20">
        <v>0.0</v>
      </c>
      <c r="AS740" s="11" t="str">
        <f>VLOOKUP(C740,'mayo-26'!B:AS,44,0)</f>
        <v>HOSMENTALCUCUTA@HOTMAIL.COM</v>
      </c>
      <c r="AT740" s="12" t="str">
        <f>VLOOKUP(C740,'mayo-26'!B:AT,45,0)</f>
        <v>CORREO ELECTRONICO CERTIFICADO 472</v>
      </c>
    </row>
    <row r="741" ht="14.25" customHeight="1">
      <c r="A741" s="20" t="s">
        <v>1570</v>
      </c>
      <c r="B741" s="20">
        <v>455370.0</v>
      </c>
      <c r="C741" s="20">
        <v>420.0</v>
      </c>
      <c r="D741" s="21">
        <v>420.0</v>
      </c>
      <c r="E741" s="20">
        <v>9.0253008E7</v>
      </c>
      <c r="F741" s="20">
        <v>9.0253008E7</v>
      </c>
      <c r="G741" s="20" t="s">
        <v>148</v>
      </c>
      <c r="H741" s="20" t="s">
        <v>149</v>
      </c>
      <c r="I741" s="1" t="str">
        <f>VLOOKUP(C741,'mayo-26'!B:H,7,0)</f>
        <v>CALLE 10 NO 0E-16 EDF CENTRO EMPRESARIAL BLOQUE B HOTEL TONCHALA</v>
      </c>
      <c r="J741" s="1" t="s">
        <v>1205</v>
      </c>
      <c r="K741" s="10" t="str">
        <f>VLOOKUP(C741,'mayo-26'!B:J,9,0)</f>
        <v>NO</v>
      </c>
      <c r="L741" s="1" t="str">
        <f>VLOOKUP(C741,'mayo-26'!B:K,10,0)</f>
        <v>COLEGIOS ZONA SUR</v>
      </c>
      <c r="M741" s="20" t="s">
        <v>52</v>
      </c>
      <c r="N741" s="20" t="s">
        <v>53</v>
      </c>
      <c r="O741" s="20" t="s">
        <v>861</v>
      </c>
      <c r="P741" s="20" t="s">
        <v>126</v>
      </c>
      <c r="Q741" s="20" t="s">
        <v>56</v>
      </c>
      <c r="R741" s="20" t="s">
        <v>57</v>
      </c>
      <c r="S741" s="20" t="s">
        <v>143</v>
      </c>
      <c r="T741" s="20" t="s">
        <v>59</v>
      </c>
      <c r="U741" s="20">
        <v>2026.0</v>
      </c>
      <c r="V741" s="20">
        <v>6.0</v>
      </c>
      <c r="W741" s="20">
        <v>1.081875548E9</v>
      </c>
      <c r="X741" s="20">
        <v>1.08189402E9</v>
      </c>
      <c r="Y741" s="22">
        <v>46182.0</v>
      </c>
      <c r="Z741" s="22">
        <v>46207.0</v>
      </c>
      <c r="AA741" s="20">
        <v>197619.05</v>
      </c>
      <c r="AB741" s="20">
        <v>197619.05</v>
      </c>
      <c r="AC741" s="20">
        <v>0.0</v>
      </c>
      <c r="AD741" s="20">
        <v>843.0</v>
      </c>
      <c r="AE741" s="20">
        <v>0.0</v>
      </c>
      <c r="AF741" s="20">
        <v>0.0</v>
      </c>
      <c r="AG741" s="20">
        <v>0.0</v>
      </c>
      <c r="AH741" s="20">
        <v>0.0</v>
      </c>
      <c r="AI741" s="20">
        <v>0.0</v>
      </c>
      <c r="AJ741" s="20">
        <v>197619.05</v>
      </c>
      <c r="AK741" s="20">
        <v>590039.7</v>
      </c>
      <c r="AL741" s="20">
        <v>3.0</v>
      </c>
      <c r="AM741" s="20">
        <v>250.8</v>
      </c>
      <c r="AN741" s="20">
        <v>0.0</v>
      </c>
      <c r="AS741" s="11" t="str">
        <f>VLOOKUP(C741,'mayo-26'!B:AS,44,0)</f>
        <v>AREAFINANCIERA@SEMCUCUTA.GOV.CO</v>
      </c>
      <c r="AT741" s="12" t="str">
        <f>VLOOKUP(C741,'mayo-26'!B:AT,45,0)</f>
        <v>CARTERA</v>
      </c>
    </row>
    <row r="742" ht="14.25" customHeight="1">
      <c r="A742" s="20" t="s">
        <v>1571</v>
      </c>
      <c r="B742" s="20">
        <v>699.0</v>
      </c>
      <c r="C742" s="20">
        <v>423664.0</v>
      </c>
      <c r="D742" s="21">
        <v>438646.0</v>
      </c>
      <c r="E742" s="20">
        <v>1070459.0</v>
      </c>
      <c r="F742" s="20">
        <v>1070459.0</v>
      </c>
      <c r="G742" s="20">
        <v>9.00480569E8</v>
      </c>
      <c r="H742" s="20" t="s">
        <v>141</v>
      </c>
      <c r="I742" s="1" t="str">
        <f>VLOOKUP(C742,'mayo-26'!B:H,7,0)</f>
        <v>CLL 12 4-52 CENTRO</v>
      </c>
      <c r="J742" s="1" t="s">
        <v>640</v>
      </c>
      <c r="K742" s="10" t="str">
        <f>VLOOKUP(C742,'mayo-26'!B:J,9,0)</f>
        <v>NO</v>
      </c>
      <c r="L742" s="1" t="str">
        <f>VLOOKUP(C742,'mayo-26'!B:K,10,0)</f>
        <v>ARA CUCUTA</v>
      </c>
      <c r="M742" s="20" t="s">
        <v>52</v>
      </c>
      <c r="N742" s="20" t="s">
        <v>53</v>
      </c>
      <c r="O742" s="20" t="s">
        <v>861</v>
      </c>
      <c r="P742" s="20" t="s">
        <v>126</v>
      </c>
      <c r="Q742" s="20" t="s">
        <v>56</v>
      </c>
      <c r="R742" s="20" t="s">
        <v>90</v>
      </c>
      <c r="S742" s="20" t="s">
        <v>143</v>
      </c>
      <c r="T742" s="20" t="s">
        <v>59</v>
      </c>
      <c r="U742" s="20">
        <v>2026.0</v>
      </c>
      <c r="V742" s="20">
        <v>6.0</v>
      </c>
      <c r="W742" s="20">
        <v>1.081875784E9</v>
      </c>
      <c r="X742" s="20">
        <v>1.081894256E9</v>
      </c>
      <c r="Y742" s="22">
        <v>46182.0</v>
      </c>
      <c r="Z742" s="22">
        <v>46207.0</v>
      </c>
      <c r="AA742" s="20">
        <v>342883.13</v>
      </c>
      <c r="AB742" s="20">
        <v>342883.13</v>
      </c>
      <c r="AC742" s="20">
        <v>113706.0</v>
      </c>
      <c r="AD742" s="20">
        <v>1000.0</v>
      </c>
      <c r="AE742" s="20">
        <v>1765.13</v>
      </c>
      <c r="AF742" s="20">
        <v>0.0</v>
      </c>
      <c r="AG742" s="20">
        <v>0.0</v>
      </c>
      <c r="AH742" s="20">
        <v>0.0</v>
      </c>
      <c r="AI742" s="20">
        <v>0.0</v>
      </c>
      <c r="AJ742" s="20">
        <v>342883.13</v>
      </c>
      <c r="AK742" s="20">
        <v>342883.63</v>
      </c>
      <c r="AL742" s="20">
        <v>1.0</v>
      </c>
      <c r="AM742" s="20">
        <v>376.2</v>
      </c>
      <c r="AN742" s="20">
        <v>0.0</v>
      </c>
      <c r="AS742" s="11" t="str">
        <f>VLOOKUP(C742,'mayo-26'!B:AS,44,0)</f>
        <v>COORDINADOR.OPERACIONES.R11@JERONIMO-MARTINS.COM</v>
      </c>
      <c r="AT742" s="12" t="str">
        <f>VLOOKUP(C742,'mayo-26'!B:AT,45,0)</f>
        <v>CORREO ELECTRONICO CERTIFICADO 472</v>
      </c>
    </row>
    <row r="743" ht="14.25" customHeight="1">
      <c r="A743" s="20" t="s">
        <v>1572</v>
      </c>
      <c r="B743" s="20">
        <v>455370.0</v>
      </c>
      <c r="C743" s="20">
        <v>425280.0</v>
      </c>
      <c r="D743" s="21">
        <v>441120.0</v>
      </c>
      <c r="G743" s="20" t="s">
        <v>148</v>
      </c>
      <c r="H743" s="20" t="s">
        <v>149</v>
      </c>
      <c r="I743" s="1" t="str">
        <f>VLOOKUP(C743,'mayo-26'!B:H,7,0)</f>
        <v>CALLE 10 NO 0E-16 EDF CENTRO EMPRESARIAL BLOQUE B HOTEL TONCHALA</v>
      </c>
      <c r="J743" s="1" t="s">
        <v>982</v>
      </c>
      <c r="K743" s="10" t="str">
        <f>VLOOKUP(C743,'mayo-26'!B:J,9,0)</f>
        <v>NO</v>
      </c>
      <c r="L743" s="1" t="str">
        <f>VLOOKUP(C743,'mayo-26'!B:K,10,0)</f>
        <v>NO</v>
      </c>
      <c r="M743" s="20" t="s">
        <v>52</v>
      </c>
      <c r="N743" s="20" t="s">
        <v>89</v>
      </c>
      <c r="O743" s="20" t="s">
        <v>861</v>
      </c>
      <c r="P743" s="20" t="s">
        <v>126</v>
      </c>
      <c r="Q743" s="20" t="s">
        <v>131</v>
      </c>
      <c r="R743" s="20" t="s">
        <v>151</v>
      </c>
      <c r="S743" s="20" t="s">
        <v>133</v>
      </c>
      <c r="T743" s="20" t="s">
        <v>59</v>
      </c>
      <c r="U743" s="20">
        <v>2026.0</v>
      </c>
      <c r="V743" s="20">
        <v>6.0</v>
      </c>
      <c r="W743" s="20">
        <v>1.081875788E9</v>
      </c>
      <c r="X743" s="20">
        <v>1.08189426E9</v>
      </c>
      <c r="Y743" s="22">
        <v>46182.0</v>
      </c>
      <c r="Z743" s="22">
        <v>46207.0</v>
      </c>
      <c r="AA743" s="20">
        <v>75419.0</v>
      </c>
      <c r="AB743" s="20">
        <v>75419.0</v>
      </c>
      <c r="AC743" s="20">
        <v>0.0</v>
      </c>
      <c r="AD743" s="20">
        <v>0.0</v>
      </c>
      <c r="AE743" s="20">
        <v>0.0</v>
      </c>
      <c r="AF743" s="20">
        <v>0.0</v>
      </c>
      <c r="AG743" s="20">
        <v>0.0</v>
      </c>
      <c r="AH743" s="20">
        <v>0.0</v>
      </c>
      <c r="AI743" s="20">
        <v>0.0</v>
      </c>
      <c r="AJ743" s="20">
        <v>1618.0</v>
      </c>
      <c r="AK743" s="20">
        <v>1618.0</v>
      </c>
      <c r="AL743" s="20">
        <v>0.0</v>
      </c>
      <c r="AM743" s="20">
        <v>250.8</v>
      </c>
      <c r="AN743" s="20">
        <v>0.0</v>
      </c>
      <c r="AQ743" s="20">
        <v>73801.0</v>
      </c>
      <c r="AS743" s="11" t="str">
        <f>VLOOKUP(C743,'mayo-26'!B:AS,44,0)</f>
        <v>AREAFINANCIERA@SEMCUCUTA.GOV.CO</v>
      </c>
      <c r="AT743" s="12" t="str">
        <f>VLOOKUP(C743,'mayo-26'!B:AT,45,0)</f>
        <v>CORREO ELECTRONICO CERTIFICADO 472</v>
      </c>
    </row>
    <row r="744" ht="14.25" customHeight="1">
      <c r="A744" s="20" t="s">
        <v>1573</v>
      </c>
      <c r="B744" s="20">
        <v>429.0</v>
      </c>
      <c r="C744" s="20">
        <v>428.0</v>
      </c>
      <c r="D744" s="21">
        <v>428.0</v>
      </c>
      <c r="E744" s="20">
        <v>9.0253723E7</v>
      </c>
      <c r="F744" s="20">
        <v>9.0253723E7</v>
      </c>
      <c r="G744" s="20" t="s">
        <v>1574</v>
      </c>
      <c r="H744" s="20" t="s">
        <v>1575</v>
      </c>
      <c r="I744" s="1" t="str">
        <f>VLOOKUP(C744,'mayo-26'!B:H,7,0)</f>
        <v>PLAZAS DE MERCADO BARRIOS 3</v>
      </c>
      <c r="J744" s="1" t="s">
        <v>982</v>
      </c>
      <c r="K744" s="10" t="str">
        <f>VLOOKUP(C744,'mayo-26'!B:J,9,0)</f>
        <v>NO</v>
      </c>
      <c r="L744" s="1" t="str">
        <f>VLOOKUP(C744,'mayo-26'!B:K,10,0)</f>
        <v>ENTIDADES</v>
      </c>
      <c r="M744" s="20" t="s">
        <v>52</v>
      </c>
      <c r="N744" s="20" t="s">
        <v>89</v>
      </c>
      <c r="O744" s="20" t="s">
        <v>861</v>
      </c>
      <c r="P744" s="20" t="s">
        <v>126</v>
      </c>
      <c r="Q744" s="20" t="s">
        <v>56</v>
      </c>
      <c r="R744" s="20" t="s">
        <v>57</v>
      </c>
      <c r="S744" s="20" t="s">
        <v>143</v>
      </c>
      <c r="T744" s="20" t="s">
        <v>59</v>
      </c>
      <c r="U744" s="20">
        <v>2026.0</v>
      </c>
      <c r="V744" s="20">
        <v>6.0</v>
      </c>
      <c r="W744" s="20">
        <v>1.081875552E9</v>
      </c>
      <c r="X744" s="20">
        <v>1.081894024E9</v>
      </c>
      <c r="Y744" s="22">
        <v>46182.0</v>
      </c>
      <c r="Z744" s="22">
        <v>46207.0</v>
      </c>
      <c r="AA744" s="20">
        <v>4653182.9</v>
      </c>
      <c r="AB744" s="20">
        <v>4653182.9</v>
      </c>
      <c r="AC744" s="20">
        <v>0.0</v>
      </c>
      <c r="AD744" s="20">
        <v>24322.5</v>
      </c>
      <c r="AE744" s="20">
        <v>0.0</v>
      </c>
      <c r="AF744" s="20">
        <v>0.0</v>
      </c>
      <c r="AG744" s="20">
        <v>0.0</v>
      </c>
      <c r="AH744" s="20">
        <v>0.0</v>
      </c>
      <c r="AI744" s="20">
        <v>0.0</v>
      </c>
      <c r="AJ744" s="20">
        <v>4653182.9</v>
      </c>
      <c r="AK744" s="20">
        <v>2.315849365E7</v>
      </c>
      <c r="AL744" s="20">
        <v>5.0</v>
      </c>
      <c r="AM744" s="20">
        <v>250.8</v>
      </c>
      <c r="AN744" s="20">
        <v>0.0</v>
      </c>
      <c r="AS744" s="11" t="str">
        <f>VLOOKUP(C744,'mayo-26'!B:AS,44,0)</f>
        <v>hernando.vergara@cucuta.gov.co</v>
      </c>
      <c r="AT744" s="12" t="str">
        <f>VLOOKUP(C744,'mayo-26'!B:AT,45,0)</f>
        <v>CARTERA</v>
      </c>
    </row>
    <row r="745" ht="14.25" customHeight="1">
      <c r="A745" s="20" t="s">
        <v>1576</v>
      </c>
      <c r="B745" s="20">
        <v>464106.0</v>
      </c>
      <c r="C745" s="20">
        <v>429544.0</v>
      </c>
      <c r="D745" s="21">
        <v>448047.0</v>
      </c>
      <c r="G745" s="20" t="s">
        <v>1577</v>
      </c>
      <c r="H745" s="20" t="s">
        <v>1578</v>
      </c>
      <c r="I745" s="1" t="str">
        <f>VLOOKUP(C745,'mayo-26'!B:H,7,0)</f>
        <v>CC JARDIN PLAZA K2_LOCAL 31A</v>
      </c>
      <c r="J745" s="1" t="s">
        <v>991</v>
      </c>
      <c r="K745" s="10" t="str">
        <f>VLOOKUP(C745,'mayo-26'!B:J,9,0)</f>
        <v>JARDIN PLAZA</v>
      </c>
      <c r="L745" s="1" t="str">
        <f>VLOOKUP(C745,'mayo-26'!B:K,10,0)</f>
        <v>JARDIN PLAZA</v>
      </c>
      <c r="M745" s="20" t="s">
        <v>52</v>
      </c>
      <c r="N745" s="20" t="s">
        <v>89</v>
      </c>
      <c r="O745" s="20" t="s">
        <v>861</v>
      </c>
      <c r="P745" s="20" t="s">
        <v>126</v>
      </c>
      <c r="Q745" s="20" t="s">
        <v>56</v>
      </c>
      <c r="R745" s="20" t="s">
        <v>90</v>
      </c>
      <c r="S745" s="20" t="s">
        <v>143</v>
      </c>
      <c r="T745" s="20" t="s">
        <v>59</v>
      </c>
      <c r="U745" s="20">
        <v>2026.0</v>
      </c>
      <c r="V745" s="20">
        <v>6.0</v>
      </c>
      <c r="W745" s="20">
        <v>1.08187579E9</v>
      </c>
      <c r="X745" s="20">
        <v>1.081894262E9</v>
      </c>
      <c r="Y745" s="22">
        <v>46182.0</v>
      </c>
      <c r="Z745" s="22">
        <v>46207.0</v>
      </c>
      <c r="AA745" s="20">
        <v>128487.44</v>
      </c>
      <c r="AB745" s="20">
        <v>128487.44</v>
      </c>
      <c r="AC745" s="20">
        <v>42829.15</v>
      </c>
      <c r="AD745" s="20">
        <v>253.0</v>
      </c>
      <c r="AE745" s="20">
        <v>0.0</v>
      </c>
      <c r="AF745" s="20">
        <v>0.0</v>
      </c>
      <c r="AG745" s="20">
        <v>0.0</v>
      </c>
      <c r="AH745" s="20">
        <v>0.0</v>
      </c>
      <c r="AI745" s="20">
        <v>0.0</v>
      </c>
      <c r="AJ745" s="20">
        <v>128487.44</v>
      </c>
      <c r="AK745" s="20">
        <v>128487.44</v>
      </c>
      <c r="AL745" s="20">
        <v>0.0</v>
      </c>
      <c r="AM745" s="20">
        <v>376.2</v>
      </c>
      <c r="AN745" s="20">
        <v>0.0</v>
      </c>
      <c r="AS745" s="11" t="str">
        <f>VLOOKUP(C745,'mayo-26'!B:AS,44,0)</f>
        <v>COAPINVOICE@PANDORA.NET</v>
      </c>
      <c r="AT745" s="12" t="str">
        <f>VLOOKUP(C745,'mayo-26'!B:AT,45,0)</f>
        <v>VERIFICADOR</v>
      </c>
    </row>
    <row r="746" ht="14.25" customHeight="1">
      <c r="A746" s="20" t="s">
        <v>1579</v>
      </c>
      <c r="B746" s="20">
        <v>464121.0</v>
      </c>
      <c r="C746" s="20">
        <v>429548.0</v>
      </c>
      <c r="D746" s="21">
        <v>448059.0</v>
      </c>
      <c r="G746" s="20" t="s">
        <v>1580</v>
      </c>
      <c r="H746" s="20" t="s">
        <v>1581</v>
      </c>
      <c r="I746" s="1" t="str">
        <f>VLOOKUP(C746,'mayo-26'!B:H,7,0)</f>
        <v>CC JARDIN PLAZA L94</v>
      </c>
      <c r="J746" s="1" t="s">
        <v>991</v>
      </c>
      <c r="K746" s="10" t="str">
        <f>VLOOKUP(C746,'mayo-26'!B:J,9,0)</f>
        <v>JARDIN PLAZA</v>
      </c>
      <c r="L746" s="1" t="str">
        <f>VLOOKUP(C746,'mayo-26'!B:K,10,0)</f>
        <v>JARDIN PLAZA</v>
      </c>
      <c r="M746" s="20" t="s">
        <v>52</v>
      </c>
      <c r="N746" s="20" t="s">
        <v>89</v>
      </c>
      <c r="O746" s="20" t="s">
        <v>861</v>
      </c>
      <c r="P746" s="20" t="s">
        <v>126</v>
      </c>
      <c r="Q746" s="20" t="s">
        <v>56</v>
      </c>
      <c r="R746" s="20" t="s">
        <v>90</v>
      </c>
      <c r="S746" s="20" t="s">
        <v>143</v>
      </c>
      <c r="T746" s="20" t="s">
        <v>59</v>
      </c>
      <c r="U746" s="20">
        <v>2026.0</v>
      </c>
      <c r="V746" s="20">
        <v>6.0</v>
      </c>
      <c r="W746" s="20">
        <v>1.081875793E9</v>
      </c>
      <c r="X746" s="20">
        <v>1.081894265E9</v>
      </c>
      <c r="Y746" s="22">
        <v>46182.0</v>
      </c>
      <c r="Z746" s="22">
        <v>46207.0</v>
      </c>
      <c r="AA746" s="20">
        <v>128487.44</v>
      </c>
      <c r="AB746" s="20">
        <v>128487.44</v>
      </c>
      <c r="AC746" s="20">
        <v>42829.15</v>
      </c>
      <c r="AD746" s="20">
        <v>253.0</v>
      </c>
      <c r="AE746" s="20">
        <v>0.0</v>
      </c>
      <c r="AF746" s="20">
        <v>0.0</v>
      </c>
      <c r="AG746" s="20">
        <v>0.0</v>
      </c>
      <c r="AH746" s="20">
        <v>0.0</v>
      </c>
      <c r="AI746" s="20">
        <v>0.0</v>
      </c>
      <c r="AJ746" s="20">
        <v>128487.44</v>
      </c>
      <c r="AK746" s="20">
        <v>128487.44</v>
      </c>
      <c r="AL746" s="20">
        <v>0.0</v>
      </c>
      <c r="AM746" s="20">
        <v>376.2</v>
      </c>
      <c r="AN746" s="20">
        <v>0.0</v>
      </c>
      <c r="AS746" s="11" t="str">
        <f>VLOOKUP(C746,'mayo-26'!B:AS,44,0)</f>
        <v>MXIMENAC9@HOTMAIL.COM</v>
      </c>
      <c r="AT746" s="12" t="str">
        <f>VLOOKUP(C746,'mayo-26'!B:AT,45,0)</f>
        <v>VERIFICADOR</v>
      </c>
    </row>
    <row r="747" ht="14.25" customHeight="1">
      <c r="A747" s="20" t="s">
        <v>1582</v>
      </c>
      <c r="B747" s="20">
        <v>464130.0</v>
      </c>
      <c r="C747" s="20">
        <v>429552.0</v>
      </c>
      <c r="D747" s="21">
        <v>448070.0</v>
      </c>
      <c r="G747" s="20" t="s">
        <v>1583</v>
      </c>
      <c r="H747" s="20" t="s">
        <v>1584</v>
      </c>
      <c r="I747" s="1" t="str">
        <f>VLOOKUP(C747,'mayo-26'!B:H,7,0)</f>
        <v>CC JARDIN PLAZA A7</v>
      </c>
      <c r="J747" s="1" t="s">
        <v>991</v>
      </c>
      <c r="K747" s="10" t="str">
        <f>VLOOKUP(C747,'mayo-26'!B:J,9,0)</f>
        <v>JARDIN PLAZA</v>
      </c>
      <c r="L747" s="1" t="str">
        <f>VLOOKUP(C747,'mayo-26'!B:K,10,0)</f>
        <v>JARDIN PLAZA</v>
      </c>
      <c r="M747" s="20" t="s">
        <v>52</v>
      </c>
      <c r="N747" s="20" t="s">
        <v>89</v>
      </c>
      <c r="O747" s="20" t="s">
        <v>861</v>
      </c>
      <c r="P747" s="20" t="s">
        <v>126</v>
      </c>
      <c r="Q747" s="20" t="s">
        <v>56</v>
      </c>
      <c r="R747" s="20" t="s">
        <v>90</v>
      </c>
      <c r="S747" s="20" t="s">
        <v>143</v>
      </c>
      <c r="T747" s="20" t="s">
        <v>59</v>
      </c>
      <c r="U747" s="20">
        <v>2026.0</v>
      </c>
      <c r="V747" s="20">
        <v>6.0</v>
      </c>
      <c r="W747" s="20">
        <v>1.081875795E9</v>
      </c>
      <c r="X747" s="20">
        <v>1.081894267E9</v>
      </c>
      <c r="Y747" s="22">
        <v>46182.0</v>
      </c>
      <c r="Z747" s="22">
        <v>46207.0</v>
      </c>
      <c r="AA747" s="20">
        <v>128487.45</v>
      </c>
      <c r="AB747" s="20">
        <v>128487.45</v>
      </c>
      <c r="AC747" s="20">
        <v>42829.15</v>
      </c>
      <c r="AD747" s="20">
        <v>253.0</v>
      </c>
      <c r="AE747" s="20">
        <v>0.01</v>
      </c>
      <c r="AF747" s="20">
        <v>0.0</v>
      </c>
      <c r="AG747" s="20">
        <v>0.0</v>
      </c>
      <c r="AH747" s="20">
        <v>0.0</v>
      </c>
      <c r="AI747" s="20">
        <v>0.0</v>
      </c>
      <c r="AJ747" s="20">
        <v>128487.45</v>
      </c>
      <c r="AK747" s="20">
        <v>257764.4</v>
      </c>
      <c r="AL747" s="20">
        <v>2.0</v>
      </c>
      <c r="AM747" s="20">
        <v>376.2</v>
      </c>
      <c r="AN747" s="20">
        <v>0.0</v>
      </c>
      <c r="AS747" s="11" t="str">
        <f>VLOOKUP(C747,'mayo-26'!B:AS,44,0)</f>
        <v>JPLAZACUCUTA@TENNIS.COM.CO</v>
      </c>
      <c r="AT747" s="12" t="str">
        <f>VLOOKUP(C747,'mayo-26'!B:AT,45,0)</f>
        <v>VERIFICADOR</v>
      </c>
    </row>
    <row r="748" ht="14.25" customHeight="1">
      <c r="A748" s="20" t="s">
        <v>1585</v>
      </c>
      <c r="B748" s="20">
        <v>464136.0</v>
      </c>
      <c r="C748" s="20">
        <v>429556.0</v>
      </c>
      <c r="D748" s="21">
        <v>448075.0</v>
      </c>
      <c r="G748" s="20">
        <v>2.7579558E7</v>
      </c>
      <c r="H748" s="20" t="s">
        <v>1586</v>
      </c>
      <c r="I748" s="1" t="str">
        <f>VLOOKUP(C748,'mayo-26'!B:H,7,0)</f>
        <v>CC JARDIN PLAZA L18</v>
      </c>
      <c r="J748" s="1" t="s">
        <v>991</v>
      </c>
      <c r="K748" s="10" t="str">
        <f>VLOOKUP(C748,'mayo-26'!B:J,9,0)</f>
        <v>JARDIN PLAZA</v>
      </c>
      <c r="L748" s="1" t="str">
        <f>VLOOKUP(C748,'mayo-26'!B:K,10,0)</f>
        <v>JARDIN PLAZA</v>
      </c>
      <c r="M748" s="20" t="s">
        <v>52</v>
      </c>
      <c r="N748" s="20" t="s">
        <v>89</v>
      </c>
      <c r="O748" s="20" t="s">
        <v>861</v>
      </c>
      <c r="P748" s="20" t="s">
        <v>126</v>
      </c>
      <c r="Q748" s="20" t="s">
        <v>56</v>
      </c>
      <c r="R748" s="20" t="s">
        <v>90</v>
      </c>
      <c r="S748" s="20" t="s">
        <v>143</v>
      </c>
      <c r="T748" s="20" t="s">
        <v>59</v>
      </c>
      <c r="U748" s="20">
        <v>2026.0</v>
      </c>
      <c r="V748" s="20">
        <v>6.0</v>
      </c>
      <c r="W748" s="20">
        <v>1.081875799E9</v>
      </c>
      <c r="X748" s="20">
        <v>1.081894271E9</v>
      </c>
      <c r="Y748" s="22">
        <v>46182.0</v>
      </c>
      <c r="Z748" s="22">
        <v>46207.0</v>
      </c>
      <c r="AA748" s="20">
        <v>129076.14</v>
      </c>
      <c r="AB748" s="20">
        <v>129076.14</v>
      </c>
      <c r="AC748" s="20">
        <v>42829.15</v>
      </c>
      <c r="AD748" s="20">
        <v>253.0</v>
      </c>
      <c r="AE748" s="20">
        <v>588.7</v>
      </c>
      <c r="AF748" s="20">
        <v>0.0</v>
      </c>
      <c r="AG748" s="20">
        <v>0.0</v>
      </c>
      <c r="AH748" s="20">
        <v>0.0</v>
      </c>
      <c r="AI748" s="20">
        <v>0.0</v>
      </c>
      <c r="AJ748" s="20">
        <v>129076.14</v>
      </c>
      <c r="AK748" s="20">
        <v>258352.23</v>
      </c>
      <c r="AL748" s="20">
        <v>1.0</v>
      </c>
      <c r="AM748" s="20">
        <v>376.2</v>
      </c>
      <c r="AN748" s="20">
        <v>0.0</v>
      </c>
      <c r="AS748" s="11" t="str">
        <f>VLOOKUP(C748,'mayo-26'!B:AS,44,0)</f>
        <v>POS1035@GCO.COM.CO;OFICINAFRESITAS@HOTMAIL.COM</v>
      </c>
      <c r="AT748" s="12" t="str">
        <f>VLOOKUP(C748,'mayo-26'!B:AT,45,0)</f>
        <v>VERIFICADOR</v>
      </c>
    </row>
    <row r="749" ht="14.25" customHeight="1">
      <c r="A749" s="20" t="s">
        <v>1587</v>
      </c>
      <c r="B749" s="20">
        <v>464839.0</v>
      </c>
      <c r="C749" s="20">
        <v>429732.0</v>
      </c>
      <c r="D749" s="21">
        <v>448634.0</v>
      </c>
      <c r="G749" s="20" t="s">
        <v>1552</v>
      </c>
      <c r="H749" s="20" t="s">
        <v>1553</v>
      </c>
      <c r="I749" s="1" t="str">
        <f>VLOOKUP(C749,'mayo-26'!B:H,7,0)</f>
        <v>CC JARDIN PLAZA L79</v>
      </c>
      <c r="J749" s="1" t="s">
        <v>991</v>
      </c>
      <c r="K749" s="10" t="str">
        <f>VLOOKUP(C749,'mayo-26'!B:J,9,0)</f>
        <v>JARDIN PLAZA</v>
      </c>
      <c r="L749" s="1" t="str">
        <f>VLOOKUP(C749,'mayo-26'!B:K,10,0)</f>
        <v>PASH</v>
      </c>
      <c r="M749" s="20" t="s">
        <v>52</v>
      </c>
      <c r="N749" s="20" t="s">
        <v>53</v>
      </c>
      <c r="O749" s="20" t="s">
        <v>861</v>
      </c>
      <c r="P749" s="20" t="s">
        <v>126</v>
      </c>
      <c r="Q749" s="20" t="s">
        <v>56</v>
      </c>
      <c r="R749" s="20" t="s">
        <v>90</v>
      </c>
      <c r="S749" s="20" t="s">
        <v>143</v>
      </c>
      <c r="T749" s="20" t="s">
        <v>59</v>
      </c>
      <c r="U749" s="20">
        <v>2026.0</v>
      </c>
      <c r="V749" s="20">
        <v>6.0</v>
      </c>
      <c r="W749" s="20">
        <v>1.081875805E9</v>
      </c>
      <c r="X749" s="20">
        <v>1.081894277E9</v>
      </c>
      <c r="Y749" s="22">
        <v>46182.0</v>
      </c>
      <c r="Z749" s="22">
        <v>46207.0</v>
      </c>
      <c r="AA749" s="20">
        <v>128487.44</v>
      </c>
      <c r="AB749" s="20">
        <v>128487.44</v>
      </c>
      <c r="AC749" s="20">
        <v>42829.15</v>
      </c>
      <c r="AD749" s="20">
        <v>253.0</v>
      </c>
      <c r="AE749" s="20">
        <v>0.0</v>
      </c>
      <c r="AF749" s="20">
        <v>0.0</v>
      </c>
      <c r="AG749" s="20">
        <v>0.0</v>
      </c>
      <c r="AH749" s="20">
        <v>0.0</v>
      </c>
      <c r="AI749" s="20">
        <v>0.0</v>
      </c>
      <c r="AJ749" s="20">
        <v>128487.44</v>
      </c>
      <c r="AK749" s="20">
        <v>128487.44</v>
      </c>
      <c r="AL749" s="20">
        <v>0.0</v>
      </c>
      <c r="AM749" s="20">
        <v>376.2</v>
      </c>
      <c r="AN749" s="20">
        <v>0.0</v>
      </c>
      <c r="AS749" s="11" t="str">
        <f>VLOOKUP(C749,'mayo-26'!B:AS,44,0)</f>
        <v>SERVICIOSPUBLICOS@PASH.COM.CO; abayona@tekstelas.com; kguavita@tekstelas.com</v>
      </c>
      <c r="AT749" s="12" t="str">
        <f>VLOOKUP(C749,'mayo-26'!B:AT,45,0)</f>
        <v>VERIFICADOR</v>
      </c>
    </row>
    <row r="750" ht="14.25" customHeight="1">
      <c r="A750" s="20" t="s">
        <v>1588</v>
      </c>
      <c r="B750" s="20">
        <v>699.0</v>
      </c>
      <c r="C750" s="20">
        <v>433432.0</v>
      </c>
      <c r="D750" s="21">
        <v>454220.0</v>
      </c>
      <c r="E750" s="20">
        <v>1076945.0</v>
      </c>
      <c r="F750" s="20">
        <v>1076945.0</v>
      </c>
      <c r="G750" s="20">
        <v>9.00480569E8</v>
      </c>
      <c r="H750" s="20" t="s">
        <v>141</v>
      </c>
      <c r="I750" s="1" t="str">
        <f>VLOOKUP(C750,'mayo-26'!B:H,7,0)</f>
        <v>CLL 12 4-52 CENTRO</v>
      </c>
      <c r="J750" s="1" t="s">
        <v>1000</v>
      </c>
      <c r="K750" s="10" t="str">
        <f>VLOOKUP(C750,'mayo-26'!B:J,9,0)</f>
        <v>NO</v>
      </c>
      <c r="L750" s="1" t="str">
        <f>VLOOKUP(C750,'mayo-26'!B:K,10,0)</f>
        <v>ARA CUCUTA</v>
      </c>
      <c r="M750" s="20" t="s">
        <v>52</v>
      </c>
      <c r="N750" s="20" t="s">
        <v>53</v>
      </c>
      <c r="O750" s="20" t="s">
        <v>861</v>
      </c>
      <c r="P750" s="20" t="s">
        <v>126</v>
      </c>
      <c r="Q750" s="20" t="s">
        <v>56</v>
      </c>
      <c r="R750" s="20" t="s">
        <v>90</v>
      </c>
      <c r="S750" s="20" t="s">
        <v>143</v>
      </c>
      <c r="T750" s="20" t="s">
        <v>59</v>
      </c>
      <c r="U750" s="20">
        <v>2026.0</v>
      </c>
      <c r="V750" s="20">
        <v>6.0</v>
      </c>
      <c r="W750" s="20">
        <v>1.081875809E9</v>
      </c>
      <c r="X750" s="20">
        <v>1.081894281E9</v>
      </c>
      <c r="Y750" s="22">
        <v>46182.0</v>
      </c>
      <c r="Z750" s="22">
        <v>46207.0</v>
      </c>
      <c r="AA750" s="20">
        <v>1023654.42</v>
      </c>
      <c r="AB750" s="20">
        <v>1023654.42</v>
      </c>
      <c r="AC750" s="20">
        <v>331270.43</v>
      </c>
      <c r="AD750" s="20">
        <v>3293.0</v>
      </c>
      <c r="AE750" s="20">
        <v>29843.14</v>
      </c>
      <c r="AF750" s="20">
        <v>0.0</v>
      </c>
      <c r="AG750" s="20">
        <v>0.0</v>
      </c>
      <c r="AH750" s="20">
        <v>0.0</v>
      </c>
      <c r="AI750" s="20">
        <v>0.0</v>
      </c>
      <c r="AJ750" s="20">
        <v>1023654.42</v>
      </c>
      <c r="AK750" s="20">
        <v>1023654.42</v>
      </c>
      <c r="AL750" s="20">
        <v>0.0</v>
      </c>
      <c r="AM750" s="20">
        <v>376.2</v>
      </c>
      <c r="AN750" s="20">
        <v>0.0</v>
      </c>
      <c r="AS750" s="11" t="str">
        <f>VLOOKUP(C750,'mayo-26'!B:AS,44,0)</f>
        <v>COORDINADOR.OPERACIONES.R11@JERONIMO-MARTINS.COM</v>
      </c>
      <c r="AT750" s="12" t="str">
        <f>VLOOKUP(C750,'mayo-26'!B:AT,45,0)</f>
        <v>CORREO ELECTRONICO CERTIFICADO 472</v>
      </c>
    </row>
    <row r="751" ht="14.25" customHeight="1">
      <c r="A751" s="20" t="s">
        <v>1589</v>
      </c>
      <c r="B751" s="20">
        <v>441.0</v>
      </c>
      <c r="C751" s="20">
        <v>440.0</v>
      </c>
      <c r="D751" s="21">
        <v>440.0</v>
      </c>
      <c r="E751" s="20">
        <v>9.025655E7</v>
      </c>
      <c r="F751" s="20">
        <v>9.025655E7</v>
      </c>
      <c r="G751" s="20" t="s">
        <v>1590</v>
      </c>
      <c r="H751" s="20" t="s">
        <v>1591</v>
      </c>
      <c r="I751" s="1" t="str">
        <f>VLOOKUP(C751,'mayo-26'!B:H,7,0)</f>
        <v>DIAG SDER 8-93 CENTRO</v>
      </c>
      <c r="J751" s="1" t="s">
        <v>982</v>
      </c>
      <c r="K751" s="10" t="str">
        <f>VLOOKUP(C751,'mayo-26'!B:J,9,0)</f>
        <v>NO</v>
      </c>
      <c r="L751" s="1" t="str">
        <f>VLOOKUP(C751,'mayo-26'!B:K,10,0)</f>
        <v>LA ESPERANZA</v>
      </c>
      <c r="M751" s="20" t="s">
        <v>52</v>
      </c>
      <c r="N751" s="20" t="s">
        <v>89</v>
      </c>
      <c r="O751" s="20" t="s">
        <v>861</v>
      </c>
      <c r="P751" s="20" t="s">
        <v>126</v>
      </c>
      <c r="Q751" s="20" t="s">
        <v>56</v>
      </c>
      <c r="R751" s="20" t="s">
        <v>90</v>
      </c>
      <c r="S751" s="20" t="s">
        <v>143</v>
      </c>
      <c r="T751" s="20" t="s">
        <v>59</v>
      </c>
      <c r="U751" s="20">
        <v>2026.0</v>
      </c>
      <c r="V751" s="20">
        <v>6.0</v>
      </c>
      <c r="W751" s="20">
        <v>1.081875555E9</v>
      </c>
      <c r="X751" s="20">
        <v>1.081894027E9</v>
      </c>
      <c r="Y751" s="22">
        <v>46182.0</v>
      </c>
      <c r="Z751" s="22">
        <v>46207.0</v>
      </c>
      <c r="AA751" s="20">
        <v>177446.57</v>
      </c>
      <c r="AB751" s="20">
        <v>177446.57</v>
      </c>
      <c r="AC751" s="20">
        <v>59148.86</v>
      </c>
      <c r="AD751" s="20">
        <v>425.0</v>
      </c>
      <c r="AE751" s="20">
        <v>0.0</v>
      </c>
      <c r="AF751" s="20">
        <v>0.0</v>
      </c>
      <c r="AG751" s="20">
        <v>0.0</v>
      </c>
      <c r="AH751" s="20">
        <v>0.0</v>
      </c>
      <c r="AI751" s="20">
        <v>0.0</v>
      </c>
      <c r="AJ751" s="20">
        <v>177446.57</v>
      </c>
      <c r="AK751" s="20">
        <v>177446.57</v>
      </c>
      <c r="AL751" s="20">
        <v>0.0</v>
      </c>
      <c r="AM751" s="20">
        <v>376.2</v>
      </c>
      <c r="AN751" s="20">
        <v>0.0</v>
      </c>
      <c r="AS751" s="11" t="str">
        <f>VLOOKUP(C751,'mayo-26'!B:AS,44,0)</f>
        <v>FACTURACION@ORGLAESPERANZA.COM</v>
      </c>
      <c r="AT751" s="12" t="str">
        <f>VLOOKUP(C751,'mayo-26'!B:AT,45,0)</f>
        <v>CORREO ELECTRONICO CERTIFICADO 472</v>
      </c>
    </row>
    <row r="752" ht="14.25" customHeight="1">
      <c r="A752" s="20" t="s">
        <v>1592</v>
      </c>
      <c r="B752" s="20">
        <v>457.0</v>
      </c>
      <c r="C752" s="20">
        <v>456.0</v>
      </c>
      <c r="D752" s="21">
        <v>456.0</v>
      </c>
      <c r="E752" s="20">
        <v>9.0256821E7</v>
      </c>
      <c r="F752" s="20">
        <v>9.0256821E7</v>
      </c>
      <c r="G752" s="20">
        <v>8.00118776E8</v>
      </c>
      <c r="H752" s="20" t="s">
        <v>1593</v>
      </c>
      <c r="I752" s="1" t="str">
        <f>VLOOKUP(C752,'mayo-26'!B:H,7,0)</f>
        <v>ANILLO VIAL - VIA UREÑA EL ESC</v>
      </c>
      <c r="J752" s="1" t="s">
        <v>1594</v>
      </c>
      <c r="K752" s="10" t="str">
        <f>VLOOKUP(C752,'mayo-26'!B:J,9,0)</f>
        <v>NO</v>
      </c>
      <c r="L752" s="1" t="str">
        <f>VLOOKUP(C752,'mayo-26'!B:K,10,0)</f>
        <v>NO</v>
      </c>
      <c r="M752" s="20" t="s">
        <v>52</v>
      </c>
      <c r="N752" s="20" t="s">
        <v>89</v>
      </c>
      <c r="O752" s="20" t="s">
        <v>861</v>
      </c>
      <c r="P752" s="20" t="s">
        <v>126</v>
      </c>
      <c r="Q752" s="20" t="s">
        <v>56</v>
      </c>
      <c r="R752" s="20" t="s">
        <v>90</v>
      </c>
      <c r="S752" s="20" t="s">
        <v>143</v>
      </c>
      <c r="T752" s="20" t="s">
        <v>59</v>
      </c>
      <c r="U752" s="20">
        <v>2026.0</v>
      </c>
      <c r="V752" s="20">
        <v>6.0</v>
      </c>
      <c r="W752" s="20">
        <v>1.081875558E9</v>
      </c>
      <c r="X752" s="20">
        <v>1.08189403E9</v>
      </c>
      <c r="Y752" s="22">
        <v>46182.0</v>
      </c>
      <c r="Z752" s="22">
        <v>46207.0</v>
      </c>
      <c r="AA752" s="20">
        <v>127633.51</v>
      </c>
      <c r="AB752" s="20">
        <v>127633.51</v>
      </c>
      <c r="AC752" s="20">
        <v>42544.51</v>
      </c>
      <c r="AD752" s="20">
        <v>250.0</v>
      </c>
      <c r="AE752" s="20">
        <v>0.0</v>
      </c>
      <c r="AF752" s="20">
        <v>0.0</v>
      </c>
      <c r="AG752" s="20">
        <v>0.0</v>
      </c>
      <c r="AH752" s="20">
        <v>0.0</v>
      </c>
      <c r="AI752" s="20">
        <v>0.0</v>
      </c>
      <c r="AJ752" s="20">
        <v>127633.51</v>
      </c>
      <c r="AK752" s="20">
        <v>127633.51</v>
      </c>
      <c r="AL752" s="20">
        <v>0.0</v>
      </c>
      <c r="AM752" s="20">
        <v>376.2</v>
      </c>
      <c r="AN752" s="20">
        <v>0.0</v>
      </c>
      <c r="AS752" s="11" t="str">
        <f>VLOOKUP(C752,'mayo-26'!B:AS,44,0)</f>
        <v>SHIRLEY.MENESES@ICEBERG.COM.CO</v>
      </c>
      <c r="AT752" s="12" t="str">
        <f>VLOOKUP(C752,'mayo-26'!B:AT,45,0)</f>
        <v>CORREO ELECTRONICO CERTIFICADO 472</v>
      </c>
    </row>
    <row r="753" ht="14.25" customHeight="1">
      <c r="A753" s="20" t="s">
        <v>1595</v>
      </c>
      <c r="B753" s="20">
        <v>505447.0</v>
      </c>
      <c r="C753" s="20">
        <v>458096.0</v>
      </c>
      <c r="D753" s="21">
        <v>485036.0</v>
      </c>
      <c r="G753" s="20" t="s">
        <v>1596</v>
      </c>
      <c r="H753" s="20" t="s">
        <v>1597</v>
      </c>
      <c r="I753" s="1" t="str">
        <f>VLOOKUP(C753,'mayo-26'!B:H,7,0)</f>
        <v>L 87-88 CC JARDIN PLAZA</v>
      </c>
      <c r="J753" s="1" t="s">
        <v>991</v>
      </c>
      <c r="K753" s="10" t="str">
        <f>VLOOKUP(C753,'mayo-26'!B:J,9,0)</f>
        <v>JARDIN PLAZA</v>
      </c>
      <c r="L753" s="1" t="str">
        <f>VLOOKUP(C753,'mayo-26'!B:K,10,0)</f>
        <v>JARDIN PLAZA</v>
      </c>
      <c r="M753" s="20" t="s">
        <v>52</v>
      </c>
      <c r="N753" s="20" t="s">
        <v>89</v>
      </c>
      <c r="O753" s="20" t="s">
        <v>861</v>
      </c>
      <c r="P753" s="20" t="s">
        <v>126</v>
      </c>
      <c r="Q753" s="20" t="s">
        <v>56</v>
      </c>
      <c r="R753" s="20" t="s">
        <v>90</v>
      </c>
      <c r="S753" s="20" t="s">
        <v>143</v>
      </c>
      <c r="T753" s="20" t="s">
        <v>59</v>
      </c>
      <c r="U753" s="20">
        <v>2026.0</v>
      </c>
      <c r="V753" s="20">
        <v>6.0</v>
      </c>
      <c r="W753" s="20">
        <v>1.081875813E9</v>
      </c>
      <c r="X753" s="20">
        <v>1.081894285E9</v>
      </c>
      <c r="Y753" s="22">
        <v>46182.0</v>
      </c>
      <c r="Z753" s="22">
        <v>46207.0</v>
      </c>
      <c r="AA753" s="20">
        <v>129580.74</v>
      </c>
      <c r="AB753" s="20">
        <v>129580.74</v>
      </c>
      <c r="AC753" s="20">
        <v>42829.15</v>
      </c>
      <c r="AD753" s="20">
        <v>253.0</v>
      </c>
      <c r="AE753" s="20">
        <v>1093.3</v>
      </c>
      <c r="AF753" s="20">
        <v>0.0</v>
      </c>
      <c r="AG753" s="20">
        <v>0.0</v>
      </c>
      <c r="AH753" s="20">
        <v>0.0</v>
      </c>
      <c r="AI753" s="20">
        <v>0.0</v>
      </c>
      <c r="AJ753" s="20">
        <v>129580.74</v>
      </c>
      <c r="AK753" s="20">
        <v>129580.74</v>
      </c>
      <c r="AL753" s="20">
        <v>0.0</v>
      </c>
      <c r="AM753" s="20">
        <v>376.2</v>
      </c>
      <c r="AN753" s="20">
        <v>0.0</v>
      </c>
      <c r="AS753" s="11" t="str">
        <f>VLOOKUP(C753,'mayo-26'!B:AS,44,0)</f>
        <v>GALATI.PELUQUERIA@GMAIL.COM</v>
      </c>
      <c r="AT753" s="12" t="str">
        <f>VLOOKUP(C753,'mayo-26'!B:AT,45,0)</f>
        <v>VERIFICADOR</v>
      </c>
    </row>
    <row r="754" ht="14.25" customHeight="1">
      <c r="A754" s="20" t="s">
        <v>1598</v>
      </c>
      <c r="B754" s="20">
        <v>505478.0</v>
      </c>
      <c r="C754" s="20">
        <v>458108.0</v>
      </c>
      <c r="D754" s="21">
        <v>485054.0</v>
      </c>
      <c r="G754" s="20" t="s">
        <v>1599</v>
      </c>
      <c r="H754" s="20" t="s">
        <v>1600</v>
      </c>
      <c r="I754" s="1" t="str">
        <f>VLOOKUP(C754,'mayo-26'!B:H,7,0)</f>
        <v>LOCAL A3 CC JARDIN PLAZA</v>
      </c>
      <c r="J754" s="1" t="s">
        <v>991</v>
      </c>
      <c r="K754" s="10" t="str">
        <f>VLOOKUP(C754,'mayo-26'!B:J,9,0)</f>
        <v>JARDIN PLAZA</v>
      </c>
      <c r="L754" s="1" t="str">
        <f>VLOOKUP(C754,'mayo-26'!B:K,10,0)</f>
        <v>JARDIN PLAZA</v>
      </c>
      <c r="M754" s="20" t="s">
        <v>52</v>
      </c>
      <c r="N754" s="20" t="s">
        <v>89</v>
      </c>
      <c r="O754" s="20" t="s">
        <v>861</v>
      </c>
      <c r="P754" s="20" t="s">
        <v>126</v>
      </c>
      <c r="Q754" s="20" t="s">
        <v>56</v>
      </c>
      <c r="R754" s="20" t="s">
        <v>90</v>
      </c>
      <c r="S754" s="20" t="s">
        <v>143</v>
      </c>
      <c r="T754" s="20" t="s">
        <v>59</v>
      </c>
      <c r="U754" s="20">
        <v>2026.0</v>
      </c>
      <c r="V754" s="20">
        <v>6.0</v>
      </c>
      <c r="W754" s="20">
        <v>1.081875816E9</v>
      </c>
      <c r="X754" s="20">
        <v>1.081894288E9</v>
      </c>
      <c r="Y754" s="22">
        <v>46182.0</v>
      </c>
      <c r="Z754" s="22">
        <v>46207.0</v>
      </c>
      <c r="AA754" s="20">
        <v>128655.64</v>
      </c>
      <c r="AB754" s="20">
        <v>128655.64</v>
      </c>
      <c r="AC754" s="20">
        <v>42829.15</v>
      </c>
      <c r="AD754" s="20">
        <v>253.0</v>
      </c>
      <c r="AE754" s="20">
        <v>168.2</v>
      </c>
      <c r="AF754" s="20">
        <v>0.0</v>
      </c>
      <c r="AG754" s="20">
        <v>0.0</v>
      </c>
      <c r="AH754" s="20">
        <v>0.0</v>
      </c>
      <c r="AI754" s="20">
        <v>0.0</v>
      </c>
      <c r="AJ754" s="20">
        <v>128655.64</v>
      </c>
      <c r="AK754" s="20">
        <v>128655.64</v>
      </c>
      <c r="AL754" s="20">
        <v>0.0</v>
      </c>
      <c r="AM754" s="20">
        <v>376.2</v>
      </c>
      <c r="AN754" s="20">
        <v>0.0</v>
      </c>
      <c r="AS754" s="11" t="str">
        <f>VLOOKUP(C754,'mayo-26'!B:AS,44,0)</f>
        <v>MAXIMO@PEPEGANGA.COM</v>
      </c>
      <c r="AT754" s="12" t="str">
        <f>VLOOKUP(C754,'mayo-26'!B:AT,45,0)</f>
        <v>VERIFICADOR</v>
      </c>
    </row>
    <row r="755" ht="14.25" customHeight="1">
      <c r="A755" s="20" t="s">
        <v>1601</v>
      </c>
      <c r="B755" s="20">
        <v>505851.0</v>
      </c>
      <c r="C755" s="20">
        <v>458160.0</v>
      </c>
      <c r="D755" s="21">
        <v>485264.0</v>
      </c>
      <c r="G755" s="20" t="s">
        <v>1602</v>
      </c>
      <c r="H755" s="20" t="s">
        <v>1603</v>
      </c>
      <c r="I755" s="1" t="str">
        <f>VLOOKUP(C755,'mayo-26'!B:H,7,0)</f>
        <v>LOCAL 8A CC JARDIN PLAZA</v>
      </c>
      <c r="J755" s="1" t="s">
        <v>991</v>
      </c>
      <c r="K755" s="10" t="str">
        <f>VLOOKUP(C755,'mayo-26'!B:J,9,0)</f>
        <v>JARDIN PLAZA</v>
      </c>
      <c r="L755" s="1" t="str">
        <f>VLOOKUP(C755,'mayo-26'!B:K,10,0)</f>
        <v>JARDIN PLAZA</v>
      </c>
      <c r="M755" s="20" t="s">
        <v>52</v>
      </c>
      <c r="N755" s="20" t="s">
        <v>89</v>
      </c>
      <c r="O755" s="20" t="s">
        <v>861</v>
      </c>
      <c r="P755" s="20" t="s">
        <v>126</v>
      </c>
      <c r="Q755" s="20" t="s">
        <v>56</v>
      </c>
      <c r="R755" s="20" t="s">
        <v>90</v>
      </c>
      <c r="S755" s="20" t="s">
        <v>143</v>
      </c>
      <c r="T755" s="20" t="s">
        <v>59</v>
      </c>
      <c r="U755" s="20">
        <v>2026.0</v>
      </c>
      <c r="V755" s="20">
        <v>6.0</v>
      </c>
      <c r="W755" s="20">
        <v>1.081875819E9</v>
      </c>
      <c r="X755" s="20">
        <v>1.081894291E9</v>
      </c>
      <c r="Y755" s="22">
        <v>46182.0</v>
      </c>
      <c r="Z755" s="22">
        <v>46207.0</v>
      </c>
      <c r="AA755" s="20">
        <v>129917.13</v>
      </c>
      <c r="AB755" s="20">
        <v>129917.13</v>
      </c>
      <c r="AC755" s="20">
        <v>42829.15</v>
      </c>
      <c r="AD755" s="20">
        <v>253.0</v>
      </c>
      <c r="AE755" s="20">
        <v>1429.69</v>
      </c>
      <c r="AF755" s="20">
        <v>0.0</v>
      </c>
      <c r="AG755" s="20">
        <v>0.0</v>
      </c>
      <c r="AH755" s="20">
        <v>0.0</v>
      </c>
      <c r="AI755" s="20">
        <v>0.0</v>
      </c>
      <c r="AJ755" s="20">
        <v>129917.13</v>
      </c>
      <c r="AK755" s="20">
        <v>388974.5</v>
      </c>
      <c r="AL755" s="20">
        <v>3.0</v>
      </c>
      <c r="AM755" s="20">
        <v>376.2</v>
      </c>
      <c r="AN755" s="20">
        <v>0.0</v>
      </c>
      <c r="AS755" s="11" t="str">
        <f>VLOOKUP(C755,'mayo-26'!B:AS,44,0)</f>
        <v>CONTABILIDAD@MONASTERY.COM.CO</v>
      </c>
      <c r="AT755" s="12" t="str">
        <f>VLOOKUP(C755,'mayo-26'!B:AT,45,0)</f>
        <v>VERIFICADOR</v>
      </c>
    </row>
    <row r="756" ht="14.25" customHeight="1">
      <c r="A756" s="20" t="s">
        <v>1604</v>
      </c>
      <c r="B756" s="20">
        <v>461.0</v>
      </c>
      <c r="C756" s="20">
        <v>460.0</v>
      </c>
      <c r="D756" s="21">
        <v>460.0</v>
      </c>
      <c r="E756" s="20">
        <v>9.0257249E7</v>
      </c>
      <c r="F756" s="20">
        <v>9.0257249E7</v>
      </c>
      <c r="G756" s="20" t="s">
        <v>1605</v>
      </c>
      <c r="H756" s="20" t="s">
        <v>1606</v>
      </c>
      <c r="I756" s="1" t="str">
        <f>VLOOKUP(C756,'mayo-26'!B:H,7,0)</f>
        <v>AVE GRAN COLOMBIA 2E-96 POPULAR</v>
      </c>
      <c r="J756" s="1" t="s">
        <v>1231</v>
      </c>
      <c r="K756" s="10" t="str">
        <f>VLOOKUP(C756,'mayo-26'!B:J,9,0)</f>
        <v>NO</v>
      </c>
      <c r="L756" s="1" t="str">
        <f>VLOOKUP(C756,'mayo-26'!B:K,10,0)</f>
        <v>MOVISTAR</v>
      </c>
      <c r="M756" s="20" t="s">
        <v>52</v>
      </c>
      <c r="N756" s="20" t="s">
        <v>89</v>
      </c>
      <c r="O756" s="20" t="s">
        <v>861</v>
      </c>
      <c r="P756" s="20" t="s">
        <v>126</v>
      </c>
      <c r="Q756" s="20" t="s">
        <v>131</v>
      </c>
      <c r="R756" s="20" t="s">
        <v>151</v>
      </c>
      <c r="S756" s="20" t="s">
        <v>133</v>
      </c>
      <c r="T756" s="20" t="s">
        <v>59</v>
      </c>
      <c r="U756" s="20">
        <v>2026.0</v>
      </c>
      <c r="V756" s="20">
        <v>6.0</v>
      </c>
      <c r="W756" s="20">
        <v>1.081875562E9</v>
      </c>
      <c r="X756" s="20">
        <v>1.081894034E9</v>
      </c>
      <c r="Y756" s="22">
        <v>46182.0</v>
      </c>
      <c r="Z756" s="22">
        <v>46207.0</v>
      </c>
      <c r="AA756" s="20">
        <v>75419.0</v>
      </c>
      <c r="AB756" s="20">
        <v>75419.0</v>
      </c>
      <c r="AC756" s="20">
        <v>0.0</v>
      </c>
      <c r="AD756" s="20">
        <v>0.0</v>
      </c>
      <c r="AE756" s="20">
        <v>0.0</v>
      </c>
      <c r="AF756" s="20">
        <v>0.0</v>
      </c>
      <c r="AG756" s="20">
        <v>0.0</v>
      </c>
      <c r="AH756" s="20">
        <v>0.0</v>
      </c>
      <c r="AI756" s="20">
        <v>0.0</v>
      </c>
      <c r="AJ756" s="20">
        <v>75419.0</v>
      </c>
      <c r="AK756" s="20">
        <v>301092.0</v>
      </c>
      <c r="AL756" s="20">
        <v>3.0</v>
      </c>
      <c r="AM756" s="20">
        <v>250.8</v>
      </c>
      <c r="AN756" s="20">
        <v>0.0</v>
      </c>
      <c r="AS756" s="11" t="str">
        <f>VLOOKUP(C756,'mayo-26'!B:AS,44,0)</f>
        <v>SERVICIOSPUBLICOS.TC@TELEFONICA.COM;D.CRUZ02@TELEFONICA.COM</v>
      </c>
      <c r="AT756" s="12" t="str">
        <f>VLOOKUP(C756,'mayo-26'!B:AT,45,0)</f>
        <v>CORREO ELECTRONICO CERTIFICADO 472</v>
      </c>
    </row>
    <row r="757" ht="14.25" customHeight="1">
      <c r="A757" s="20" t="s">
        <v>1607</v>
      </c>
      <c r="B757" s="20">
        <v>511776.0</v>
      </c>
      <c r="C757" s="20">
        <v>461068.0</v>
      </c>
      <c r="D757" s="21">
        <v>489734.0</v>
      </c>
      <c r="G757" s="20" t="s">
        <v>1608</v>
      </c>
      <c r="H757" s="20" t="s">
        <v>1609</v>
      </c>
      <c r="I757" s="1" t="str">
        <f>VLOOKUP(C757,'mayo-26'!B:H,7,0)</f>
        <v>LOCAL A8 CC JARDÍN PLAZA</v>
      </c>
      <c r="J757" s="1" t="s">
        <v>991</v>
      </c>
      <c r="K757" s="10" t="str">
        <f>VLOOKUP(C757,'mayo-26'!B:J,9,0)</f>
        <v>JARDIN PLAZA</v>
      </c>
      <c r="L757" s="1" t="str">
        <f>VLOOKUP(C757,'mayo-26'!B:K,10,0)</f>
        <v>JARDIN PLAZA</v>
      </c>
      <c r="M757" s="20" t="s">
        <v>52</v>
      </c>
      <c r="N757" s="20" t="s">
        <v>89</v>
      </c>
      <c r="O757" s="20" t="s">
        <v>861</v>
      </c>
      <c r="P757" s="20" t="s">
        <v>126</v>
      </c>
      <c r="Q757" s="20" t="s">
        <v>56</v>
      </c>
      <c r="R757" s="20" t="s">
        <v>90</v>
      </c>
      <c r="S757" s="20" t="s">
        <v>143</v>
      </c>
      <c r="T757" s="20" t="s">
        <v>59</v>
      </c>
      <c r="U757" s="20">
        <v>2026.0</v>
      </c>
      <c r="V757" s="20">
        <v>6.0</v>
      </c>
      <c r="W757" s="20">
        <v>1.081875822E9</v>
      </c>
      <c r="X757" s="20">
        <v>1.081894294E9</v>
      </c>
      <c r="Y757" s="22">
        <v>46182.0</v>
      </c>
      <c r="Z757" s="22">
        <v>46207.0</v>
      </c>
      <c r="AA757" s="20">
        <v>128487.44</v>
      </c>
      <c r="AB757" s="20">
        <v>128487.44</v>
      </c>
      <c r="AC757" s="20">
        <v>42829.15</v>
      </c>
      <c r="AD757" s="20">
        <v>253.0</v>
      </c>
      <c r="AE757" s="20">
        <v>0.0</v>
      </c>
      <c r="AF757" s="20">
        <v>0.0</v>
      </c>
      <c r="AG757" s="20">
        <v>0.0</v>
      </c>
      <c r="AH757" s="20">
        <v>0.0</v>
      </c>
      <c r="AI757" s="20">
        <v>0.0</v>
      </c>
      <c r="AJ757" s="20">
        <v>128487.44</v>
      </c>
      <c r="AK757" s="20">
        <v>128487.44</v>
      </c>
      <c r="AL757" s="20">
        <v>0.0</v>
      </c>
      <c r="AM757" s="20">
        <v>376.2</v>
      </c>
      <c r="AN757" s="20">
        <v>0.0</v>
      </c>
      <c r="AS757" s="11" t="str">
        <f>VLOOKUP(C757,'mayo-26'!B:AS,44,0)</f>
        <v>JEAN.AMADO@IXCOMERCIO.COM</v>
      </c>
      <c r="AT757" s="12" t="str">
        <f>VLOOKUP(C757,'mayo-26'!B:AT,45,0)</f>
        <v>VERIFICADOR</v>
      </c>
    </row>
    <row r="758" ht="14.25" customHeight="1">
      <c r="A758" s="20" t="s">
        <v>1610</v>
      </c>
      <c r="B758" s="20">
        <v>511784.0</v>
      </c>
      <c r="C758" s="20">
        <v>461076.0</v>
      </c>
      <c r="D758" s="21">
        <v>489748.0</v>
      </c>
      <c r="G758" s="20" t="s">
        <v>1611</v>
      </c>
      <c r="H758" s="20" t="s">
        <v>1612</v>
      </c>
      <c r="I758" s="1" t="str">
        <f>VLOOKUP(C758,'mayo-26'!B:H,7,0)</f>
        <v>CC JARDIN PLAZA LC 59</v>
      </c>
      <c r="J758" s="1" t="s">
        <v>991</v>
      </c>
      <c r="K758" s="10" t="str">
        <f>VLOOKUP(C758,'mayo-26'!B:J,9,0)</f>
        <v>JARDIN PLAZA</v>
      </c>
      <c r="L758" s="1" t="str">
        <f>VLOOKUP(C758,'mayo-26'!B:K,10,0)</f>
        <v>JARDIN PLAZA</v>
      </c>
      <c r="M758" s="20" t="s">
        <v>52</v>
      </c>
      <c r="N758" s="20" t="s">
        <v>89</v>
      </c>
      <c r="O758" s="20" t="s">
        <v>861</v>
      </c>
      <c r="P758" s="20" t="s">
        <v>126</v>
      </c>
      <c r="Q758" s="20" t="s">
        <v>56</v>
      </c>
      <c r="R758" s="20" t="s">
        <v>90</v>
      </c>
      <c r="S758" s="20" t="s">
        <v>143</v>
      </c>
      <c r="T758" s="20" t="s">
        <v>59</v>
      </c>
      <c r="U758" s="20">
        <v>2026.0</v>
      </c>
      <c r="V758" s="20">
        <v>6.0</v>
      </c>
      <c r="W758" s="20">
        <v>1.081875824E9</v>
      </c>
      <c r="X758" s="20">
        <v>1.081894296E9</v>
      </c>
      <c r="Y758" s="22">
        <v>46182.0</v>
      </c>
      <c r="Z758" s="22">
        <v>46207.0</v>
      </c>
      <c r="AA758" s="20">
        <v>128571.54</v>
      </c>
      <c r="AB758" s="20">
        <v>128571.54</v>
      </c>
      <c r="AC758" s="20">
        <v>42829.15</v>
      </c>
      <c r="AD758" s="20">
        <v>253.0</v>
      </c>
      <c r="AE758" s="20">
        <v>84.1</v>
      </c>
      <c r="AF758" s="20">
        <v>0.0</v>
      </c>
      <c r="AG758" s="20">
        <v>0.0</v>
      </c>
      <c r="AH758" s="20">
        <v>0.0</v>
      </c>
      <c r="AI758" s="20">
        <v>0.0</v>
      </c>
      <c r="AJ758" s="20">
        <v>128571.54</v>
      </c>
      <c r="AK758" s="20">
        <v>128571.54</v>
      </c>
      <c r="AL758" s="20">
        <v>0.0</v>
      </c>
      <c r="AM758" s="20">
        <v>376.2</v>
      </c>
      <c r="AN758" s="20">
        <v>0.0</v>
      </c>
      <c r="AS758" s="11" t="str">
        <f>VLOOKUP(C758,'mayo-26'!B:AS,44,0)</f>
        <v>F.ELECTRONICA@ANGELSGROUPSAS.COM</v>
      </c>
      <c r="AT758" s="12" t="str">
        <f>VLOOKUP(C758,'mayo-26'!B:AT,45,0)</f>
        <v>VERIFICADOR</v>
      </c>
    </row>
    <row r="759" ht="14.25" customHeight="1">
      <c r="A759" s="20" t="s">
        <v>1613</v>
      </c>
      <c r="B759" s="20">
        <v>512257.0</v>
      </c>
      <c r="C759" s="20">
        <v>461184.0</v>
      </c>
      <c r="D759" s="21">
        <v>490066.0</v>
      </c>
      <c r="G759" s="20">
        <v>8.00069933E8</v>
      </c>
      <c r="H759" s="20" t="s">
        <v>1614</v>
      </c>
      <c r="I759" s="1" t="str">
        <f>VLOOKUP(C759,'mayo-26'!B:H,7,0)</f>
        <v>CC JARDIN PLAZA LC L 39</v>
      </c>
      <c r="J759" s="1" t="s">
        <v>991</v>
      </c>
      <c r="K759" s="10" t="str">
        <f>VLOOKUP(C759,'mayo-26'!B:J,9,0)</f>
        <v>JARDIN PLAZA</v>
      </c>
      <c r="L759" s="1" t="str">
        <f>VLOOKUP(C759,'mayo-26'!B:K,10,0)</f>
        <v>JARDIN PLAZA</v>
      </c>
      <c r="M759" s="20" t="s">
        <v>52</v>
      </c>
      <c r="N759" s="20" t="s">
        <v>89</v>
      </c>
      <c r="O759" s="20" t="s">
        <v>861</v>
      </c>
      <c r="P759" s="20" t="s">
        <v>126</v>
      </c>
      <c r="Q759" s="20" t="s">
        <v>131</v>
      </c>
      <c r="R759" s="20" t="s">
        <v>132</v>
      </c>
      <c r="S759" s="20" t="s">
        <v>133</v>
      </c>
      <c r="T759" s="20" t="s">
        <v>59</v>
      </c>
      <c r="U759" s="20">
        <v>2026.0</v>
      </c>
      <c r="V759" s="20">
        <v>6.0</v>
      </c>
      <c r="W759" s="20">
        <v>1.081875827E9</v>
      </c>
      <c r="X759" s="20">
        <v>1.081894299E9</v>
      </c>
      <c r="Y759" s="22">
        <v>46182.0</v>
      </c>
      <c r="Z759" s="22">
        <v>46207.0</v>
      </c>
      <c r="AA759" s="20">
        <v>114389.91</v>
      </c>
      <c r="AB759" s="20">
        <v>114389.91</v>
      </c>
      <c r="AC759" s="20">
        <v>37709.5</v>
      </c>
      <c r="AD759" s="20">
        <v>0.0</v>
      </c>
      <c r="AE759" s="20">
        <v>1261.41</v>
      </c>
      <c r="AF759" s="20">
        <v>0.0</v>
      </c>
      <c r="AG759" s="20">
        <v>0.0</v>
      </c>
      <c r="AH759" s="20">
        <v>0.0</v>
      </c>
      <c r="AI759" s="20">
        <v>0.0</v>
      </c>
      <c r="AJ759" s="20">
        <v>114389.91</v>
      </c>
      <c r="AK759" s="20">
        <v>340726.41</v>
      </c>
      <c r="AL759" s="20">
        <v>2.0</v>
      </c>
      <c r="AM759" s="20">
        <v>376.2</v>
      </c>
      <c r="AN759" s="20">
        <v>0.0</v>
      </c>
      <c r="AS759" s="11" t="str">
        <f>VLOOKUP(C759,'mayo-26'!B:AS,44,0)</f>
        <v>RESTREPO.NESTOR@PAYLESS.COM</v>
      </c>
      <c r="AT759" s="12" t="str">
        <f>VLOOKUP(C759,'mayo-26'!B:AT,45,0)</f>
        <v>VERIFICADOR</v>
      </c>
    </row>
    <row r="760" ht="14.25" customHeight="1">
      <c r="A760" s="20" t="s">
        <v>1615</v>
      </c>
      <c r="B760" s="20">
        <v>297.0</v>
      </c>
      <c r="C760" s="20">
        <v>462276.0</v>
      </c>
      <c r="D760" s="21">
        <v>491744.0</v>
      </c>
      <c r="G760" s="20" t="s">
        <v>135</v>
      </c>
      <c r="H760" s="20" t="s">
        <v>136</v>
      </c>
      <c r="I760" s="1" t="str">
        <f>VLOOKUP(C760,'mayo-26'!B:H,7,0)</f>
        <v>AVE 4 17-89 - 0239431</v>
      </c>
      <c r="J760" s="1" t="s">
        <v>1616</v>
      </c>
      <c r="K760" s="10" t="str">
        <f>VLOOKUP(C760,'mayo-26'!B:J,9,0)</f>
        <v>NO</v>
      </c>
      <c r="L760" s="1" t="str">
        <f>VLOOKUP(C760,'mayo-26'!B:K,10,0)</f>
        <v>IMSALUD</v>
      </c>
      <c r="M760" s="20" t="s">
        <v>52</v>
      </c>
      <c r="N760" s="20" t="s">
        <v>1060</v>
      </c>
      <c r="O760" s="20" t="s">
        <v>861</v>
      </c>
      <c r="P760" s="20" t="s">
        <v>126</v>
      </c>
      <c r="Q760" s="20" t="s">
        <v>131</v>
      </c>
      <c r="R760" s="20" t="s">
        <v>151</v>
      </c>
      <c r="S760" s="20" t="s">
        <v>133</v>
      </c>
      <c r="T760" s="20" t="s">
        <v>59</v>
      </c>
      <c r="U760" s="20">
        <v>2026.0</v>
      </c>
      <c r="V760" s="20">
        <v>6.0</v>
      </c>
      <c r="W760" s="20">
        <v>1.081875831E9</v>
      </c>
      <c r="X760" s="20">
        <v>1.081894303E9</v>
      </c>
      <c r="Y760" s="22">
        <v>46182.0</v>
      </c>
      <c r="Z760" s="22">
        <v>46207.0</v>
      </c>
      <c r="AA760" s="20">
        <v>41568.0</v>
      </c>
      <c r="AB760" s="20">
        <v>41568.0</v>
      </c>
      <c r="AC760" s="20">
        <v>0.0</v>
      </c>
      <c r="AD760" s="20">
        <v>0.0</v>
      </c>
      <c r="AE760" s="20">
        <v>0.0</v>
      </c>
      <c r="AF760" s="20">
        <v>0.0</v>
      </c>
      <c r="AG760" s="20">
        <v>0.0</v>
      </c>
      <c r="AH760" s="20">
        <v>0.0</v>
      </c>
      <c r="AI760" s="20">
        <v>0.0</v>
      </c>
      <c r="AJ760" s="20">
        <v>41568.0</v>
      </c>
      <c r="AK760" s="20">
        <v>41568.0</v>
      </c>
      <c r="AL760" s="20">
        <v>0.0</v>
      </c>
      <c r="AM760" s="20">
        <v>250.8</v>
      </c>
      <c r="AN760" s="20">
        <v>0.0</v>
      </c>
      <c r="AS760" s="11" t="str">
        <f>VLOOKUP(C760,'mayo-26'!B:AS,44,0)</f>
        <v>SUBFINANCIERA@IMSALUD.GOV.CO</v>
      </c>
      <c r="AT760" s="12" t="str">
        <f>VLOOKUP(C760,'mayo-26'!B:AT,45,0)</f>
        <v>CORREO ELECTRONICO CERTIFICADO 472</v>
      </c>
    </row>
    <row r="761" ht="14.25" customHeight="1">
      <c r="A761" s="20" t="s">
        <v>1617</v>
      </c>
      <c r="B761" s="20">
        <v>515748.0</v>
      </c>
      <c r="C761" s="20">
        <v>462392.0</v>
      </c>
      <c r="D761" s="21">
        <v>492402.0</v>
      </c>
      <c r="E761" s="20">
        <v>1089869.0</v>
      </c>
      <c r="F761" s="20">
        <v>1089869.0</v>
      </c>
      <c r="G761" s="20">
        <v>1.3501434E7</v>
      </c>
      <c r="H761" s="20" t="s">
        <v>1162</v>
      </c>
      <c r="I761" s="1" t="str">
        <f>VLOOKUP(C761,'mayo-26'!B:H,7,0)</f>
        <v>AVE 3E 5N 01 GIMNASIO 1011</v>
      </c>
      <c r="J761" s="1" t="s">
        <v>1000</v>
      </c>
      <c r="K761" s="10" t="str">
        <f>VLOOKUP(C761,'mayo-26'!B:J,9,0)</f>
        <v>NO</v>
      </c>
      <c r="L761" s="1" t="str">
        <f>VLOOKUP(C761,'mayo-26'!B:K,10,0)</f>
        <v>NO</v>
      </c>
      <c r="M761" s="20" t="s">
        <v>52</v>
      </c>
      <c r="N761" s="20" t="s">
        <v>89</v>
      </c>
      <c r="O761" s="20" t="s">
        <v>861</v>
      </c>
      <c r="P761" s="20" t="s">
        <v>126</v>
      </c>
      <c r="Q761" s="20" t="s">
        <v>131</v>
      </c>
      <c r="R761" s="20" t="s">
        <v>538</v>
      </c>
      <c r="S761" s="20" t="s">
        <v>133</v>
      </c>
      <c r="T761" s="20" t="s">
        <v>59</v>
      </c>
      <c r="U761" s="20">
        <v>2026.0</v>
      </c>
      <c r="V761" s="20">
        <v>6.0</v>
      </c>
      <c r="W761" s="20">
        <v>1.081875834E9</v>
      </c>
      <c r="X761" s="20">
        <v>1.081894306E9</v>
      </c>
      <c r="Y761" s="22">
        <v>46182.0</v>
      </c>
      <c r="Z761" s="22">
        <v>46207.0</v>
      </c>
      <c r="AA761" s="20">
        <v>103634.05</v>
      </c>
      <c r="AB761" s="20">
        <v>103634.05</v>
      </c>
      <c r="AC761" s="20">
        <v>31416.0</v>
      </c>
      <c r="AD761" s="20">
        <v>0.0</v>
      </c>
      <c r="AE761" s="20">
        <v>9386.05</v>
      </c>
      <c r="AF761" s="20">
        <v>0.0</v>
      </c>
      <c r="AG761" s="20">
        <v>0.0</v>
      </c>
      <c r="AH761" s="20">
        <v>0.0</v>
      </c>
      <c r="AI761" s="20">
        <v>0.0</v>
      </c>
      <c r="AJ761" s="20">
        <v>103634.05</v>
      </c>
      <c r="AK761" s="20">
        <v>739504.49</v>
      </c>
      <c r="AL761" s="20">
        <v>7.0</v>
      </c>
      <c r="AM761" s="20">
        <v>376.2</v>
      </c>
      <c r="AN761" s="20">
        <v>0.0</v>
      </c>
      <c r="AS761" s="11" t="str">
        <f>VLOOKUP(C761,'mayo-26'!B:AS,44,0)</f>
        <v>PEDROJOSECU@HOTMAIL.COM;CONTABILIDAD@FITNESSPEOPLECMD.COM</v>
      </c>
      <c r="AT761" s="12" t="str">
        <f>VLOOKUP(C761,'mayo-26'!B:AT,45,0)</f>
        <v>CORREO ELECTRONICO CERTIFICADO 472</v>
      </c>
    </row>
    <row r="762" ht="14.25" customHeight="1">
      <c r="A762" s="20" t="s">
        <v>1618</v>
      </c>
      <c r="B762" s="20">
        <v>465.0</v>
      </c>
      <c r="C762" s="20">
        <v>464.0</v>
      </c>
      <c r="D762" s="21">
        <v>464.0</v>
      </c>
      <c r="E762" s="20">
        <v>9.0257775E7</v>
      </c>
      <c r="F762" s="20">
        <v>9.0257775E7</v>
      </c>
      <c r="G762" s="20">
        <v>8.60350234E8</v>
      </c>
      <c r="H762" s="20" t="s">
        <v>1619</v>
      </c>
      <c r="I762" s="1" t="str">
        <f>VLOOKUP(C762,'mayo-26'!B:H,7,0)</f>
        <v>AVE 5E 10-81 LA RIVIERA</v>
      </c>
      <c r="J762" s="1" t="s">
        <v>928</v>
      </c>
      <c r="K762" s="10" t="str">
        <f>VLOOKUP(C762,'mayo-26'!B:J,9,0)</f>
        <v>NO</v>
      </c>
      <c r="L762" s="1" t="str">
        <f>VLOOKUP(C762,'mayo-26'!B:K,10,0)</f>
        <v>NO</v>
      </c>
      <c r="M762" s="20" t="s">
        <v>52</v>
      </c>
      <c r="N762" s="20" t="s">
        <v>89</v>
      </c>
      <c r="O762" s="20" t="s">
        <v>861</v>
      </c>
      <c r="P762" s="20" t="s">
        <v>126</v>
      </c>
      <c r="Q762" s="20" t="s">
        <v>131</v>
      </c>
      <c r="R762" s="20" t="s">
        <v>538</v>
      </c>
      <c r="S762" s="20" t="s">
        <v>133</v>
      </c>
      <c r="T762" s="20" t="s">
        <v>59</v>
      </c>
      <c r="U762" s="20">
        <v>2026.0</v>
      </c>
      <c r="V762" s="20">
        <v>6.0</v>
      </c>
      <c r="W762" s="20">
        <v>1.081875566E9</v>
      </c>
      <c r="X762" s="20">
        <v>1.081894038E9</v>
      </c>
      <c r="Y762" s="22">
        <v>46182.0</v>
      </c>
      <c r="Z762" s="22">
        <v>46207.0</v>
      </c>
      <c r="AA762" s="20">
        <v>94248.0</v>
      </c>
      <c r="AB762" s="20">
        <v>94248.0</v>
      </c>
      <c r="AC762" s="20">
        <v>31416.0</v>
      </c>
      <c r="AD762" s="20">
        <v>0.0</v>
      </c>
      <c r="AE762" s="20">
        <v>0.0</v>
      </c>
      <c r="AF762" s="20">
        <v>0.0</v>
      </c>
      <c r="AG762" s="20">
        <v>0.0</v>
      </c>
      <c r="AH762" s="20">
        <v>0.0</v>
      </c>
      <c r="AI762" s="20">
        <v>0.0</v>
      </c>
      <c r="AJ762" s="20">
        <v>94248.0</v>
      </c>
      <c r="AK762" s="20">
        <v>94248.0</v>
      </c>
      <c r="AL762" s="20">
        <v>0.0</v>
      </c>
      <c r="AM762" s="20">
        <v>376.2</v>
      </c>
      <c r="AN762" s="20">
        <v>0.0</v>
      </c>
      <c r="AS762" s="11" t="str">
        <f>VLOOKUP(C762,'mayo-26'!B:AS,44,0)</f>
        <v>SERVICIOS.PUBLICOS@BRINKS.COM.CO</v>
      </c>
      <c r="AT762" s="12" t="str">
        <f>VLOOKUP(C762,'mayo-26'!B:AT,45,0)</f>
        <v>CORREO ELECTRONICO CERTIFICADO 472</v>
      </c>
    </row>
    <row r="763" ht="14.25" customHeight="1">
      <c r="A763" s="20" t="s">
        <v>1620</v>
      </c>
      <c r="B763" s="20">
        <v>519466.0</v>
      </c>
      <c r="C763" s="20">
        <v>464088.0</v>
      </c>
      <c r="D763" s="21">
        <v>495109.0</v>
      </c>
      <c r="G763" s="20" t="s">
        <v>1621</v>
      </c>
      <c r="H763" s="20" t="s">
        <v>1622</v>
      </c>
      <c r="I763" s="1" t="str">
        <f>VLOOKUP(C763,'mayo-26'!B:H,7,0)</f>
        <v>CC JARDIN PLAZA LC 98</v>
      </c>
      <c r="J763" s="1" t="s">
        <v>991</v>
      </c>
      <c r="K763" s="10" t="str">
        <f>VLOOKUP(C763,'mayo-26'!B:J,9,0)</f>
        <v>JARDIN PLAZA</v>
      </c>
      <c r="L763" s="1" t="str">
        <f>VLOOKUP(C763,'mayo-26'!B:K,10,0)</f>
        <v>JARDIN PLAZA</v>
      </c>
      <c r="M763" s="20" t="s">
        <v>52</v>
      </c>
      <c r="N763" s="20" t="s">
        <v>89</v>
      </c>
      <c r="O763" s="20" t="s">
        <v>861</v>
      </c>
      <c r="P763" s="20" t="s">
        <v>126</v>
      </c>
      <c r="Q763" s="20" t="s">
        <v>56</v>
      </c>
      <c r="R763" s="20" t="s">
        <v>90</v>
      </c>
      <c r="S763" s="20" t="s">
        <v>143</v>
      </c>
      <c r="T763" s="20" t="s">
        <v>59</v>
      </c>
      <c r="U763" s="20">
        <v>2026.0</v>
      </c>
      <c r="V763" s="20">
        <v>6.0</v>
      </c>
      <c r="W763" s="20">
        <v>1.081875838E9</v>
      </c>
      <c r="X763" s="20">
        <v>1.08189431E9</v>
      </c>
      <c r="Y763" s="22">
        <v>46182.0</v>
      </c>
      <c r="Z763" s="22">
        <v>46207.0</v>
      </c>
      <c r="AA763" s="20">
        <v>130136.14</v>
      </c>
      <c r="AB763" s="20">
        <v>130136.14</v>
      </c>
      <c r="AC763" s="20">
        <v>42829.15</v>
      </c>
      <c r="AD763" s="20">
        <v>253.0</v>
      </c>
      <c r="AE763" s="20">
        <v>1648.7</v>
      </c>
      <c r="AF763" s="20">
        <v>0.0</v>
      </c>
      <c r="AG763" s="20">
        <v>0.0</v>
      </c>
      <c r="AH763" s="20">
        <v>0.0</v>
      </c>
      <c r="AI763" s="20">
        <v>0.0</v>
      </c>
      <c r="AJ763" s="20">
        <v>130136.14</v>
      </c>
      <c r="AK763" s="20">
        <v>259412.42</v>
      </c>
      <c r="AL763" s="20">
        <v>1.0</v>
      </c>
      <c r="AM763" s="20">
        <v>376.2</v>
      </c>
      <c r="AN763" s="20">
        <v>0.0</v>
      </c>
      <c r="AS763" s="11" t="str">
        <f>VLOOKUP(C763,'mayo-26'!B:AS,44,0)</f>
        <v>FACTURAELECTRONICA@MEDIPIEL.COM.CO</v>
      </c>
      <c r="AT763" s="12" t="str">
        <f>VLOOKUP(C763,'mayo-26'!B:AT,45,0)</f>
        <v>VERIFICADOR</v>
      </c>
    </row>
    <row r="764" ht="14.25" customHeight="1">
      <c r="A764" s="20" t="s">
        <v>1623</v>
      </c>
      <c r="B764" s="20">
        <v>519927.0</v>
      </c>
      <c r="C764" s="20">
        <v>464168.0</v>
      </c>
      <c r="D764" s="21">
        <v>495375.0</v>
      </c>
      <c r="G764" s="20" t="s">
        <v>1624</v>
      </c>
      <c r="H764" s="20" t="s">
        <v>1625</v>
      </c>
      <c r="I764" s="1" t="str">
        <f>VLOOKUP(C764,'mayo-26'!B:H,7,0)</f>
        <v>LOCAL L 35 - JARDIN PLAZA</v>
      </c>
      <c r="J764" s="1" t="s">
        <v>991</v>
      </c>
      <c r="K764" s="10" t="str">
        <f>VLOOKUP(C764,'mayo-26'!B:J,9,0)</f>
        <v>JARDIN PLAZA</v>
      </c>
      <c r="L764" s="1" t="str">
        <f>VLOOKUP(C764,'mayo-26'!B:K,10,0)</f>
        <v>JARDIN PLAZA</v>
      </c>
      <c r="M764" s="20" t="s">
        <v>52</v>
      </c>
      <c r="N764" s="20" t="s">
        <v>89</v>
      </c>
      <c r="O764" s="20" t="s">
        <v>861</v>
      </c>
      <c r="P764" s="20" t="s">
        <v>126</v>
      </c>
      <c r="Q764" s="20" t="s">
        <v>56</v>
      </c>
      <c r="R764" s="20" t="s">
        <v>90</v>
      </c>
      <c r="S764" s="20" t="s">
        <v>143</v>
      </c>
      <c r="T764" s="20" t="s">
        <v>59</v>
      </c>
      <c r="U764" s="20">
        <v>2026.0</v>
      </c>
      <c r="V764" s="20">
        <v>6.0</v>
      </c>
      <c r="W764" s="20">
        <v>1.081875842E9</v>
      </c>
      <c r="X764" s="20">
        <v>1.081894314E9</v>
      </c>
      <c r="Y764" s="22">
        <v>46182.0</v>
      </c>
      <c r="Z764" s="22">
        <v>46207.0</v>
      </c>
      <c r="AA764" s="20">
        <v>128655.64</v>
      </c>
      <c r="AB764" s="20">
        <v>128655.64</v>
      </c>
      <c r="AC764" s="20">
        <v>42829.15</v>
      </c>
      <c r="AD764" s="20">
        <v>253.0</v>
      </c>
      <c r="AE764" s="20">
        <v>168.2</v>
      </c>
      <c r="AF764" s="20">
        <v>0.0</v>
      </c>
      <c r="AG764" s="20">
        <v>0.0</v>
      </c>
      <c r="AH764" s="20">
        <v>0.0</v>
      </c>
      <c r="AI764" s="20">
        <v>0.0</v>
      </c>
      <c r="AJ764" s="20">
        <v>128655.64</v>
      </c>
      <c r="AK764" s="20">
        <v>128655.64</v>
      </c>
      <c r="AL764" s="20">
        <v>0.0</v>
      </c>
      <c r="AM764" s="20">
        <v>376.2</v>
      </c>
      <c r="AN764" s="20">
        <v>0.0</v>
      </c>
      <c r="AS764" s="11" t="str">
        <f>VLOOKUP(C764,'mayo-26'!B:AS,44,0)</f>
        <v>JAVENDANO@SPRING.COM.CO</v>
      </c>
      <c r="AT764" s="12" t="str">
        <f>VLOOKUP(C764,'mayo-26'!B:AT,45,0)</f>
        <v>VERIFICADOR</v>
      </c>
    </row>
    <row r="765" ht="14.25" customHeight="1">
      <c r="A765" s="20" t="s">
        <v>1626</v>
      </c>
      <c r="B765" s="20">
        <v>525301.0</v>
      </c>
      <c r="C765" s="20">
        <v>466852.0</v>
      </c>
      <c r="D765" s="21">
        <v>499461.0</v>
      </c>
      <c r="G765" s="20" t="s">
        <v>1627</v>
      </c>
      <c r="H765" s="20" t="s">
        <v>1628</v>
      </c>
      <c r="I765" s="1" t="str">
        <f>VLOOKUP(C765,'mayo-26'!B:H,7,0)</f>
        <v>LOCAL N°40 CC JARDÍN PLAZA</v>
      </c>
      <c r="J765" s="1" t="s">
        <v>991</v>
      </c>
      <c r="K765" s="10" t="str">
        <f>VLOOKUP(C765,'mayo-26'!B:J,9,0)</f>
        <v>JARDIN PLAZA</v>
      </c>
      <c r="L765" s="1" t="str">
        <f>VLOOKUP(C765,'mayo-26'!B:K,10,0)</f>
        <v>JARDIN PLAZA</v>
      </c>
      <c r="M765" s="20" t="s">
        <v>52</v>
      </c>
      <c r="N765" s="20" t="s">
        <v>89</v>
      </c>
      <c r="O765" s="20" t="s">
        <v>861</v>
      </c>
      <c r="P765" s="20" t="s">
        <v>126</v>
      </c>
      <c r="Q765" s="20" t="s">
        <v>131</v>
      </c>
      <c r="R765" s="20" t="s">
        <v>132</v>
      </c>
      <c r="S765" s="20" t="s">
        <v>133</v>
      </c>
      <c r="T765" s="20" t="s">
        <v>59</v>
      </c>
      <c r="U765" s="20">
        <v>2026.0</v>
      </c>
      <c r="V765" s="20">
        <v>6.0</v>
      </c>
      <c r="W765" s="20">
        <v>1.081875844E9</v>
      </c>
      <c r="X765" s="20">
        <v>1.081894316E9</v>
      </c>
      <c r="Y765" s="22">
        <v>46182.0</v>
      </c>
      <c r="Z765" s="22">
        <v>46207.0</v>
      </c>
      <c r="AA765" s="20">
        <v>113128.5</v>
      </c>
      <c r="AB765" s="20">
        <v>113128.5</v>
      </c>
      <c r="AC765" s="20">
        <v>37709.5</v>
      </c>
      <c r="AD765" s="20">
        <v>0.0</v>
      </c>
      <c r="AE765" s="20">
        <v>0.0</v>
      </c>
      <c r="AF765" s="20">
        <v>0.0</v>
      </c>
      <c r="AG765" s="20">
        <v>0.0</v>
      </c>
      <c r="AH765" s="20">
        <v>0.0</v>
      </c>
      <c r="AI765" s="20">
        <v>0.0</v>
      </c>
      <c r="AJ765" s="20">
        <v>113128.5</v>
      </c>
      <c r="AK765" s="20">
        <v>113128.5</v>
      </c>
      <c r="AL765" s="20">
        <v>0.0</v>
      </c>
      <c r="AM765" s="20">
        <v>376.2</v>
      </c>
      <c r="AN765" s="20">
        <v>0.0</v>
      </c>
      <c r="AS765" s="11" t="str">
        <f>VLOOKUP(C765,'mayo-26'!B:AS,44,0)</f>
        <v>YOYOJARDINPLAZA@YOYO.COM.CO</v>
      </c>
      <c r="AT765" s="12" t="str">
        <f>VLOOKUP(C765,'mayo-26'!B:AT,45,0)</f>
        <v>VERIFICADOR</v>
      </c>
    </row>
    <row r="766" ht="14.25" customHeight="1">
      <c r="A766" s="20" t="s">
        <v>1629</v>
      </c>
      <c r="B766" s="20">
        <v>528594.0</v>
      </c>
      <c r="C766" s="20">
        <v>467844.0</v>
      </c>
      <c r="D766" s="21">
        <v>501572.0</v>
      </c>
      <c r="G766" s="20">
        <v>9.00476207E8</v>
      </c>
      <c r="H766" s="20" t="s">
        <v>1630</v>
      </c>
      <c r="I766" s="1" t="str">
        <f>VLOOKUP(C766,'mayo-26'!B:H,7,0)</f>
        <v>CC JARDIN PLAZA LOCAL L4</v>
      </c>
      <c r="J766" s="1" t="s">
        <v>991</v>
      </c>
      <c r="K766" s="10" t="str">
        <f>VLOOKUP(C766,'mayo-26'!B:J,9,0)</f>
        <v>JARDIN PLAZA</v>
      </c>
      <c r="L766" s="1" t="str">
        <f>VLOOKUP(C766,'mayo-26'!B:K,10,0)</f>
        <v>JARDIN PLAZA</v>
      </c>
      <c r="M766" s="20" t="s">
        <v>52</v>
      </c>
      <c r="N766" s="20" t="s">
        <v>89</v>
      </c>
      <c r="O766" s="20" t="s">
        <v>861</v>
      </c>
      <c r="P766" s="20" t="s">
        <v>126</v>
      </c>
      <c r="Q766" s="20" t="s">
        <v>56</v>
      </c>
      <c r="R766" s="20" t="s">
        <v>90</v>
      </c>
      <c r="S766" s="20" t="s">
        <v>143</v>
      </c>
      <c r="T766" s="20" t="s">
        <v>59</v>
      </c>
      <c r="U766" s="20">
        <v>2026.0</v>
      </c>
      <c r="V766" s="20">
        <v>6.0</v>
      </c>
      <c r="W766" s="20">
        <v>1.081875847E9</v>
      </c>
      <c r="X766" s="20">
        <v>1.081894319E9</v>
      </c>
      <c r="Y766" s="22">
        <v>46182.0</v>
      </c>
      <c r="Z766" s="22">
        <v>46207.0</v>
      </c>
      <c r="AA766" s="20">
        <v>129917.12</v>
      </c>
      <c r="AB766" s="20">
        <v>129917.12</v>
      </c>
      <c r="AC766" s="20">
        <v>42829.15</v>
      </c>
      <c r="AD766" s="20">
        <v>253.0</v>
      </c>
      <c r="AE766" s="20">
        <v>1429.68</v>
      </c>
      <c r="AF766" s="20">
        <v>0.0</v>
      </c>
      <c r="AG766" s="20">
        <v>0.0</v>
      </c>
      <c r="AH766" s="20">
        <v>0.0</v>
      </c>
      <c r="AI766" s="20">
        <v>0.0</v>
      </c>
      <c r="AJ766" s="20">
        <v>129917.12</v>
      </c>
      <c r="AK766" s="20">
        <v>387380.85</v>
      </c>
      <c r="AL766" s="20">
        <v>2.0</v>
      </c>
      <c r="AM766" s="20">
        <v>376.2</v>
      </c>
      <c r="AN766" s="20">
        <v>0.0</v>
      </c>
      <c r="AS766" s="11" t="str">
        <f>VLOOKUP(C766,'mayo-26'!B:AS,44,0)</f>
        <v>AUXILIAR.UNION@MARCASEUROPEAS.NET;ME.IVON@HOTMAIL.COM</v>
      </c>
      <c r="AT766" s="12" t="str">
        <f>VLOOKUP(C766,'mayo-26'!B:AT,45,0)</f>
        <v>VERIFICADOR</v>
      </c>
    </row>
    <row r="767" ht="14.25" customHeight="1">
      <c r="A767" s="20" t="s">
        <v>1631</v>
      </c>
      <c r="B767" s="20">
        <v>545083.0</v>
      </c>
      <c r="C767" s="20">
        <v>473904.0</v>
      </c>
      <c r="D767" s="21">
        <v>513095.0</v>
      </c>
      <c r="G767" s="20">
        <v>8.30003584E8</v>
      </c>
      <c r="H767" s="20" t="s">
        <v>1632</v>
      </c>
      <c r="I767" s="1" t="str">
        <f>VLOOKUP(C767,'mayo-26'!B:H,7,0)</f>
        <v>CR 7 113-43 OF 304 BOGOTA (LOCAL A16A JARDN PLAZA)</v>
      </c>
      <c r="J767" s="1">
        <v>0.0</v>
      </c>
      <c r="K767" s="10" t="str">
        <f>VLOOKUP(C767,'mayo-26'!B:J,9,0)</f>
        <v>JARDIN PLAZA</v>
      </c>
      <c r="L767" s="1" t="str">
        <f>VLOOKUP(C767,'mayo-26'!B:K,10,0)</f>
        <v>JARDIN PLAZA</v>
      </c>
      <c r="M767" s="20" t="s">
        <v>52</v>
      </c>
      <c r="N767" s="20" t="s">
        <v>89</v>
      </c>
      <c r="O767" s="20" t="s">
        <v>861</v>
      </c>
      <c r="P767" s="20" t="s">
        <v>126</v>
      </c>
      <c r="Q767" s="20" t="s">
        <v>131</v>
      </c>
      <c r="R767" s="20" t="s">
        <v>132</v>
      </c>
      <c r="S767" s="20" t="s">
        <v>133</v>
      </c>
      <c r="T767" s="20" t="s">
        <v>59</v>
      </c>
      <c r="U767" s="20">
        <v>2026.0</v>
      </c>
      <c r="V767" s="20">
        <v>6.0</v>
      </c>
      <c r="W767" s="20">
        <v>1.081875851E9</v>
      </c>
      <c r="X767" s="20">
        <v>1.081894323E9</v>
      </c>
      <c r="Y767" s="22">
        <v>46182.0</v>
      </c>
      <c r="Z767" s="22">
        <v>46207.0</v>
      </c>
      <c r="AA767" s="20">
        <v>113128.5</v>
      </c>
      <c r="AB767" s="20">
        <v>113128.5</v>
      </c>
      <c r="AC767" s="20">
        <v>37709.5</v>
      </c>
      <c r="AD767" s="20">
        <v>0.0</v>
      </c>
      <c r="AE767" s="20">
        <v>0.0</v>
      </c>
      <c r="AF767" s="20">
        <v>0.0</v>
      </c>
      <c r="AG767" s="20">
        <v>0.0</v>
      </c>
      <c r="AH767" s="20">
        <v>0.0</v>
      </c>
      <c r="AI767" s="20">
        <v>0.0</v>
      </c>
      <c r="AJ767" s="20">
        <v>113128.5</v>
      </c>
      <c r="AK767" s="20">
        <v>113128.5</v>
      </c>
      <c r="AL767" s="20">
        <v>0.0</v>
      </c>
      <c r="AM767" s="20">
        <v>376.2</v>
      </c>
      <c r="AN767" s="20">
        <v>0.0</v>
      </c>
      <c r="AS767" s="11" t="str">
        <f>VLOOKUP(C767,'mayo-26'!B:AS,44,0)</f>
        <v>FACTURACION@PROCHAMPIONS.CO</v>
      </c>
      <c r="AT767" s="12" t="str">
        <f>VLOOKUP(C767,'mayo-26'!B:AT,45,0)</f>
        <v>VERIFICADOR</v>
      </c>
    </row>
    <row r="768" ht="14.25" customHeight="1">
      <c r="A768" s="20" t="e">
        <v>#N/A</v>
      </c>
      <c r="B768" s="20">
        <v>2171.0</v>
      </c>
      <c r="C768" s="20">
        <v>2170.0</v>
      </c>
      <c r="D768" s="21">
        <v>2170.0</v>
      </c>
      <c r="E768" s="20">
        <v>9.0254508E7</v>
      </c>
      <c r="F768" s="20">
        <v>9.0254508E7</v>
      </c>
      <c r="G768" s="20" t="s">
        <v>1633</v>
      </c>
      <c r="H768" s="20" t="s">
        <v>1634</v>
      </c>
      <c r="I768" s="1" t="str">
        <f>VLOOKUP(C768,'mayo-26'!B:H,7,0)</f>
        <v>#N/A</v>
      </c>
      <c r="J768" s="1" t="e">
        <v>#N/A</v>
      </c>
      <c r="K768" s="10" t="str">
        <f>VLOOKUP(C768,'mayo-26'!B:J,9,0)</f>
        <v>#N/A</v>
      </c>
      <c r="L768" s="1" t="str">
        <f>VLOOKUP(C768,'mayo-26'!B:K,10,0)</f>
        <v>#N/A</v>
      </c>
      <c r="M768" s="20" t="s">
        <v>52</v>
      </c>
      <c r="N768" s="20" t="s">
        <v>89</v>
      </c>
      <c r="O768" s="20" t="s">
        <v>861</v>
      </c>
      <c r="P768" s="20" t="s">
        <v>1635</v>
      </c>
      <c r="Q768" s="20" t="s">
        <v>56</v>
      </c>
      <c r="R768" s="20" t="s">
        <v>72</v>
      </c>
      <c r="S768" s="20" t="s">
        <v>143</v>
      </c>
      <c r="T768" s="20" t="s">
        <v>59</v>
      </c>
      <c r="U768" s="20">
        <v>2026.0</v>
      </c>
      <c r="V768" s="20">
        <v>6.0</v>
      </c>
      <c r="W768" s="20">
        <v>1.081900127E9</v>
      </c>
      <c r="X768" s="20">
        <v>1.081918737E9</v>
      </c>
      <c r="Y768" s="22">
        <v>46182.0</v>
      </c>
      <c r="Z768" s="22">
        <v>46198.0</v>
      </c>
      <c r="AA768" s="20">
        <v>9.50161922E8</v>
      </c>
      <c r="AB768" s="20">
        <v>9.50161922E8</v>
      </c>
      <c r="AC768" s="20">
        <v>0.0</v>
      </c>
      <c r="AD768" s="20">
        <v>0.0</v>
      </c>
      <c r="AE768" s="20">
        <v>0.0</v>
      </c>
      <c r="AF768" s="20">
        <v>0.0</v>
      </c>
      <c r="AG768" s="20">
        <v>0.0</v>
      </c>
      <c r="AH768" s="20">
        <v>0.0</v>
      </c>
      <c r="AI768" s="20">
        <v>0.0</v>
      </c>
      <c r="AJ768" s="20">
        <v>9.50161922E8</v>
      </c>
      <c r="AK768" s="20">
        <v>1.906931587E9</v>
      </c>
      <c r="AL768" s="20">
        <v>1.0</v>
      </c>
      <c r="AM768" s="20">
        <v>1.3499289E7</v>
      </c>
      <c r="AN768" s="20">
        <v>0.0</v>
      </c>
      <c r="AS768" s="11" t="str">
        <f>VLOOKUP(C768,'mayo-26'!B:AS,44,0)</f>
        <v>#N/A</v>
      </c>
      <c r="AT768" s="12" t="str">
        <f>VLOOKUP(C768,'mayo-26'!B:AT,45,0)</f>
        <v>#N/A</v>
      </c>
    </row>
    <row r="769" ht="14.25" customHeight="1">
      <c r="A769" s="20" t="s">
        <v>1636</v>
      </c>
      <c r="B769" s="20">
        <v>455370.0</v>
      </c>
      <c r="C769" s="20">
        <v>108.0</v>
      </c>
      <c r="D769" s="21">
        <v>108.0</v>
      </c>
      <c r="E769" s="20">
        <v>9.0200134E7</v>
      </c>
      <c r="F769" s="20">
        <v>9.0200134E7</v>
      </c>
      <c r="G769" s="20" t="s">
        <v>148</v>
      </c>
      <c r="H769" s="20" t="s">
        <v>149</v>
      </c>
      <c r="I769" s="1" t="str">
        <f>VLOOKUP(C769,'mayo-26'!B:H,7,0)</f>
        <v>CALLE 10 NO 0E-16 EDF CENTRO EMPRESARIAL BLOQUE B HOTEL TONCHALA</v>
      </c>
      <c r="J769" s="1" t="s">
        <v>863</v>
      </c>
      <c r="K769" s="10" t="str">
        <f>VLOOKUP(C769,'mayo-26'!B:J,9,0)</f>
        <v>NO</v>
      </c>
      <c r="L769" s="1" t="str">
        <f>VLOOKUP(C769,'mayo-26'!B:K,10,0)</f>
        <v>COLEGIOS ZONA SUR</v>
      </c>
      <c r="M769" s="20" t="s">
        <v>52</v>
      </c>
      <c r="N769" s="20" t="s">
        <v>53</v>
      </c>
      <c r="O769" s="20" t="s">
        <v>861</v>
      </c>
      <c r="P769" s="20" t="s">
        <v>126</v>
      </c>
      <c r="Q769" s="20" t="s">
        <v>56</v>
      </c>
      <c r="R769" s="20" t="s">
        <v>57</v>
      </c>
      <c r="S769" s="20" t="s">
        <v>143</v>
      </c>
      <c r="T769" s="20" t="s">
        <v>59</v>
      </c>
      <c r="U769" s="20">
        <v>2026.0</v>
      </c>
      <c r="V769" s="20">
        <v>6.0</v>
      </c>
      <c r="W769" s="20">
        <v>1.081875311E9</v>
      </c>
      <c r="X769" s="20">
        <v>1.081893783E9</v>
      </c>
      <c r="Y769" s="22">
        <v>46182.0</v>
      </c>
      <c r="Z769" s="22">
        <v>46207.0</v>
      </c>
      <c r="AA769" s="20">
        <v>85658.29</v>
      </c>
      <c r="AB769" s="20">
        <v>85658.29</v>
      </c>
      <c r="AC769" s="20">
        <v>0.0</v>
      </c>
      <c r="AD769" s="20">
        <v>253.0</v>
      </c>
      <c r="AE769" s="20">
        <v>0.0</v>
      </c>
      <c r="AF769" s="20">
        <v>0.0</v>
      </c>
      <c r="AG769" s="20">
        <v>0.0</v>
      </c>
      <c r="AH769" s="20">
        <v>0.0</v>
      </c>
      <c r="AI769" s="20">
        <v>0.0</v>
      </c>
      <c r="AJ769" s="20">
        <v>85658.29</v>
      </c>
      <c r="AK769" s="20">
        <v>256791.18</v>
      </c>
      <c r="AL769" s="20">
        <v>3.0</v>
      </c>
      <c r="AM769" s="20">
        <v>250.8</v>
      </c>
      <c r="AN769" s="20">
        <v>0.0</v>
      </c>
      <c r="AS769" s="11" t="str">
        <f>VLOOKUP(C769,'mayo-26'!B:AS,44,0)</f>
        <v>AREAFINANCIERA@SEMCUCUTA.GOV.CO</v>
      </c>
      <c r="AT769" s="12" t="str">
        <f>VLOOKUP(C769,'mayo-26'!B:AT,45,0)</f>
        <v>CARTERA</v>
      </c>
    </row>
    <row r="770" ht="14.25" customHeight="1">
      <c r="A770" s="20" t="s">
        <v>1637</v>
      </c>
      <c r="B770" s="20">
        <v>109977.0</v>
      </c>
      <c r="C770" s="20">
        <v>109976.0</v>
      </c>
      <c r="D770" s="21">
        <v>109976.0</v>
      </c>
      <c r="E770" s="20">
        <v>517946.0</v>
      </c>
      <c r="F770" s="20">
        <v>517946.0</v>
      </c>
      <c r="G770" s="20">
        <v>517946.0</v>
      </c>
      <c r="H770" s="20" t="s">
        <v>1638</v>
      </c>
      <c r="I770" s="1" t="str">
        <f>VLOOKUP(C770,'mayo-26'!B:H,7,0)</f>
        <v>ANILLO VIAL ORIENTAL 7N-51 BODEGA 11</v>
      </c>
      <c r="J770" s="1" t="s">
        <v>877</v>
      </c>
      <c r="K770" s="10" t="str">
        <f>VLOOKUP(C770,'mayo-26'!B:J,9,0)</f>
        <v>NO</v>
      </c>
      <c r="L770" s="1" t="str">
        <f>VLOOKUP(C770,'mayo-26'!B:K,10,0)</f>
        <v>NO</v>
      </c>
      <c r="M770" s="20" t="s">
        <v>52</v>
      </c>
      <c r="N770" s="20" t="s">
        <v>89</v>
      </c>
      <c r="O770" s="20" t="s">
        <v>861</v>
      </c>
      <c r="P770" s="20" t="s">
        <v>126</v>
      </c>
      <c r="Q770" s="20" t="s">
        <v>131</v>
      </c>
      <c r="R770" s="20" t="s">
        <v>132</v>
      </c>
      <c r="S770" s="20" t="s">
        <v>133</v>
      </c>
      <c r="T770" s="20" t="s">
        <v>59</v>
      </c>
      <c r="U770" s="20">
        <v>2026.0</v>
      </c>
      <c r="V770" s="20">
        <v>6.0</v>
      </c>
      <c r="W770" s="20">
        <v>1.081875732E9</v>
      </c>
      <c r="X770" s="20">
        <v>1.081894204E9</v>
      </c>
      <c r="Y770" s="22">
        <v>46182.0</v>
      </c>
      <c r="Z770" s="22">
        <v>46207.0</v>
      </c>
      <c r="AA770" s="20">
        <v>126520.26</v>
      </c>
      <c r="AB770" s="20">
        <v>126520.26</v>
      </c>
      <c r="AC770" s="20">
        <v>37709.5</v>
      </c>
      <c r="AD770" s="20">
        <v>0.0</v>
      </c>
      <c r="AE770" s="20">
        <v>13391.76</v>
      </c>
      <c r="AF770" s="20">
        <v>0.0</v>
      </c>
      <c r="AG770" s="20">
        <v>0.0</v>
      </c>
      <c r="AH770" s="20">
        <v>0.0</v>
      </c>
      <c r="AI770" s="20">
        <v>0.0</v>
      </c>
      <c r="AJ770" s="20">
        <v>126520.26</v>
      </c>
      <c r="AK770" s="20">
        <v>995039.53</v>
      </c>
      <c r="AL770" s="20">
        <v>8.0</v>
      </c>
      <c r="AM770" s="20">
        <v>376.2</v>
      </c>
      <c r="AN770" s="20">
        <v>0.0</v>
      </c>
      <c r="AS770" s="11" t="str">
        <f>VLOOKUP(C770,'mayo-26'!B:AS,44,0)</f>
        <v>facturacion.electronicacolombia@agv.co, jennifer.duran@solistica.com; contabilidad.bucaramanga@solistica.com</v>
      </c>
      <c r="AT770" s="12" t="str">
        <f>VLOOKUP(C770,'mayo-26'!B:AT,45,0)</f>
        <v>CORREO ELECTRONICO CERTIFICADO 472</v>
      </c>
    </row>
    <row r="771" ht="14.25" customHeight="1">
      <c r="A771" s="20" t="s">
        <v>1639</v>
      </c>
      <c r="B771" s="20">
        <v>113.0</v>
      </c>
      <c r="C771" s="20">
        <v>112.0</v>
      </c>
      <c r="D771" s="21">
        <v>112.0</v>
      </c>
      <c r="E771" s="20">
        <v>9.0201505E7</v>
      </c>
      <c r="F771" s="20">
        <v>9.0201505E7</v>
      </c>
      <c r="G771" s="20">
        <v>9.00771262E8</v>
      </c>
      <c r="H771" s="20" t="s">
        <v>1640</v>
      </c>
      <c r="I771" s="1" t="str">
        <f>VLOOKUP(C771,'mayo-26'!B:H,7,0)</f>
        <v>CLL 7 2-18 SAN LUIS</v>
      </c>
      <c r="J771" s="1" t="s">
        <v>863</v>
      </c>
      <c r="K771" s="10" t="str">
        <f>VLOOKUP(C771,'mayo-26'!B:J,9,0)</f>
        <v>NO</v>
      </c>
      <c r="L771" s="1" t="str">
        <f>VLOOKUP(C771,'mayo-26'!B:K,10,0)</f>
        <v>NO</v>
      </c>
      <c r="M771" s="20" t="s">
        <v>52</v>
      </c>
      <c r="N771" s="20" t="s">
        <v>89</v>
      </c>
      <c r="O771" s="20" t="s">
        <v>861</v>
      </c>
      <c r="P771" s="20" t="s">
        <v>126</v>
      </c>
      <c r="Q771" s="20" t="s">
        <v>131</v>
      </c>
      <c r="R771" s="20" t="s">
        <v>538</v>
      </c>
      <c r="S771" s="20" t="s">
        <v>133</v>
      </c>
      <c r="T771" s="20" t="s">
        <v>59</v>
      </c>
      <c r="U771" s="20">
        <v>2026.0</v>
      </c>
      <c r="V771" s="20">
        <v>6.0</v>
      </c>
      <c r="W771" s="20">
        <v>1.081875318E9</v>
      </c>
      <c r="X771" s="20">
        <v>1.08189379E9</v>
      </c>
      <c r="Y771" s="22">
        <v>46182.0</v>
      </c>
      <c r="Z771" s="22">
        <v>46207.0</v>
      </c>
      <c r="AA771" s="20">
        <v>133042.15</v>
      </c>
      <c r="AB771" s="20">
        <v>133042.15</v>
      </c>
      <c r="AC771" s="20">
        <v>31416.0</v>
      </c>
      <c r="AD771" s="20">
        <v>0.0</v>
      </c>
      <c r="AE771" s="20">
        <v>38794.15</v>
      </c>
      <c r="AF771" s="20">
        <v>0.0</v>
      </c>
      <c r="AG771" s="20">
        <v>0.0</v>
      </c>
      <c r="AH771" s="20">
        <v>0.0</v>
      </c>
      <c r="AI771" s="20">
        <v>0.0</v>
      </c>
      <c r="AJ771" s="20">
        <v>133042.15</v>
      </c>
      <c r="AK771" s="20">
        <v>2661607.53</v>
      </c>
      <c r="AL771" s="20">
        <v>27.0</v>
      </c>
      <c r="AM771" s="20">
        <v>376.2</v>
      </c>
      <c r="AN771" s="20">
        <v>0.0</v>
      </c>
      <c r="AS771" s="11" t="str">
        <f>VLOOKUP(C771,'mayo-26'!B:AS,44,0)</f>
        <v>CONDUZCAMOS.CUCUTA21@HOTMAIL.COM</v>
      </c>
      <c r="AT771" s="12" t="str">
        <f>VLOOKUP(C771,'mayo-26'!B:AT,45,0)</f>
        <v>CORREO ELECTRONICO CERTIFICADO 472</v>
      </c>
    </row>
    <row r="772" ht="14.25" customHeight="1">
      <c r="A772" s="20" t="s">
        <v>1641</v>
      </c>
      <c r="B772" s="20">
        <v>113813.0</v>
      </c>
      <c r="C772" s="20">
        <v>113812.0</v>
      </c>
      <c r="D772" s="21">
        <v>113812.0</v>
      </c>
      <c r="E772" s="20">
        <v>601690.0</v>
      </c>
      <c r="F772" s="20">
        <v>601690.0</v>
      </c>
      <c r="G772" s="20">
        <v>8.8236233E7</v>
      </c>
      <c r="H772" s="20" t="s">
        <v>1642</v>
      </c>
      <c r="I772" s="1" t="str">
        <f>VLOOKUP(C772,'mayo-26'!B:H,7,0)</f>
        <v>ANILLO VIAL REDOMA ESCOBAL (PLAZA DEL ESTE)</v>
      </c>
      <c r="J772" s="1" t="s">
        <v>1050</v>
      </c>
      <c r="K772" s="10" t="str">
        <f>VLOOKUP(C772,'mayo-26'!B:J,9,0)</f>
        <v>NO</v>
      </c>
      <c r="L772" s="1" t="str">
        <f>VLOOKUP(C772,'mayo-26'!B:K,10,0)</f>
        <v>NO</v>
      </c>
      <c r="M772" s="20" t="s">
        <v>52</v>
      </c>
      <c r="N772" s="20" t="s">
        <v>89</v>
      </c>
      <c r="O772" s="20" t="s">
        <v>861</v>
      </c>
      <c r="P772" s="20" t="s">
        <v>126</v>
      </c>
      <c r="Q772" s="20" t="s">
        <v>131</v>
      </c>
      <c r="R772" s="20" t="s">
        <v>132</v>
      </c>
      <c r="S772" s="20" t="s">
        <v>133</v>
      </c>
      <c r="T772" s="20" t="s">
        <v>59</v>
      </c>
      <c r="U772" s="20">
        <v>2026.0</v>
      </c>
      <c r="V772" s="20">
        <v>6.0</v>
      </c>
      <c r="W772" s="20">
        <v>1.081875736E9</v>
      </c>
      <c r="X772" s="20">
        <v>1.081894208E9</v>
      </c>
      <c r="Y772" s="22">
        <v>46182.0</v>
      </c>
      <c r="Z772" s="22">
        <v>46207.0</v>
      </c>
      <c r="AA772" s="20">
        <v>130324.91</v>
      </c>
      <c r="AB772" s="20">
        <v>130324.91</v>
      </c>
      <c r="AC772" s="20">
        <v>37709.5</v>
      </c>
      <c r="AD772" s="20">
        <v>0.0</v>
      </c>
      <c r="AE772" s="20">
        <v>17196.41</v>
      </c>
      <c r="AF772" s="20">
        <v>0.0</v>
      </c>
      <c r="AG772" s="20">
        <v>0.0</v>
      </c>
      <c r="AH772" s="20">
        <v>0.0</v>
      </c>
      <c r="AI772" s="20">
        <v>0.0</v>
      </c>
      <c r="AJ772" s="20">
        <v>130324.91</v>
      </c>
      <c r="AK772" s="20">
        <v>819349.82</v>
      </c>
      <c r="AL772" s="20">
        <v>6.0</v>
      </c>
      <c r="AM772" s="20">
        <v>376.2</v>
      </c>
      <c r="AN772" s="20">
        <v>0.0</v>
      </c>
      <c r="AS772" s="11" t="str">
        <f>VLOOKUP(C772,'mayo-26'!B:AS,44,0)</f>
        <v>EMPLANORTESAS@GMAIL.COM</v>
      </c>
      <c r="AT772" s="12" t="str">
        <f>VLOOKUP(C772,'mayo-26'!B:AT,45,0)</f>
        <v>CORREO ELECTRONICO CERTIFICADO 472</v>
      </c>
    </row>
    <row r="773" ht="14.25" customHeight="1">
      <c r="A773" s="20" t="s">
        <v>1643</v>
      </c>
      <c r="B773" s="20">
        <v>455370.0</v>
      </c>
      <c r="C773" s="20">
        <v>116.0</v>
      </c>
      <c r="D773" s="21">
        <v>116.0</v>
      </c>
      <c r="E773" s="20">
        <v>9.0202723E7</v>
      </c>
      <c r="F773" s="20">
        <v>9.0202723E7</v>
      </c>
      <c r="G773" s="20" t="s">
        <v>148</v>
      </c>
      <c r="H773" s="20" t="s">
        <v>149</v>
      </c>
      <c r="I773" s="1" t="str">
        <f>VLOOKUP(C773,'mayo-26'!B:H,7,0)</f>
        <v>CALLE 10 NO 0E-16 EDF CENTRO EMPRESARIAL BLOQUE B HOTEL TONCHALA</v>
      </c>
      <c r="J773" s="1" t="s">
        <v>1644</v>
      </c>
      <c r="K773" s="10" t="str">
        <f>VLOOKUP(C773,'mayo-26'!B:J,9,0)</f>
        <v>NO</v>
      </c>
      <c r="L773" s="1" t="str">
        <f>VLOOKUP(C773,'mayo-26'!B:K,10,0)</f>
        <v>COLEGIOS ZONA SUR</v>
      </c>
      <c r="M773" s="20" t="s">
        <v>52</v>
      </c>
      <c r="N773" s="20" t="s">
        <v>53</v>
      </c>
      <c r="O773" s="20" t="s">
        <v>861</v>
      </c>
      <c r="P773" s="20" t="s">
        <v>126</v>
      </c>
      <c r="Q773" s="20" t="s">
        <v>56</v>
      </c>
      <c r="R773" s="20" t="s">
        <v>57</v>
      </c>
      <c r="S773" s="20" t="s">
        <v>143</v>
      </c>
      <c r="T773" s="20" t="s">
        <v>59</v>
      </c>
      <c r="U773" s="20">
        <v>2026.0</v>
      </c>
      <c r="V773" s="20">
        <v>6.0</v>
      </c>
      <c r="W773" s="20">
        <v>1.081875323E9</v>
      </c>
      <c r="X773" s="20">
        <v>1.081893795E9</v>
      </c>
      <c r="Y773" s="22">
        <v>46182.0</v>
      </c>
      <c r="Z773" s="22">
        <v>46207.0</v>
      </c>
      <c r="AA773" s="20">
        <v>93248.85</v>
      </c>
      <c r="AB773" s="20">
        <v>93248.85</v>
      </c>
      <c r="AC773" s="20">
        <v>0.0</v>
      </c>
      <c r="AD773" s="20">
        <v>293.0</v>
      </c>
      <c r="AE773" s="20">
        <v>0.0</v>
      </c>
      <c r="AF773" s="20">
        <v>0.0</v>
      </c>
      <c r="AG773" s="20">
        <v>0.0</v>
      </c>
      <c r="AH773" s="20">
        <v>0.0</v>
      </c>
      <c r="AI773" s="20">
        <v>0.0</v>
      </c>
      <c r="AJ773" s="20">
        <v>93248.85</v>
      </c>
      <c r="AK773" s="20">
        <v>279384.3</v>
      </c>
      <c r="AL773" s="20">
        <v>3.0</v>
      </c>
      <c r="AM773" s="20">
        <v>250.8</v>
      </c>
      <c r="AN773" s="20">
        <v>0.0</v>
      </c>
      <c r="AS773" s="11" t="str">
        <f>VLOOKUP(C773,'mayo-26'!B:AS,44,0)</f>
        <v>AREAFINANCIERA@SEMCUCUTA.GOV.CO</v>
      </c>
      <c r="AT773" s="12" t="str">
        <f>VLOOKUP(C773,'mayo-26'!B:AT,45,0)</f>
        <v>CARTERA</v>
      </c>
    </row>
    <row r="774" ht="14.25" customHeight="1">
      <c r="A774" s="20" t="s">
        <v>1645</v>
      </c>
      <c r="B774" s="20">
        <v>280920.0</v>
      </c>
      <c r="C774" s="20">
        <v>117800.0</v>
      </c>
      <c r="D774" s="21">
        <v>117800.0</v>
      </c>
      <c r="E774" s="20">
        <v>624592.0</v>
      </c>
      <c r="F774" s="20">
        <v>624592.0</v>
      </c>
      <c r="G774" s="20">
        <v>9.00576569E8</v>
      </c>
      <c r="H774" s="20" t="s">
        <v>161</v>
      </c>
      <c r="I774" s="1" t="str">
        <f>VLOOKUP(C774,'mayo-26'!B:H,7,0)</f>
        <v>AVE 12 5AN-84 1142</v>
      </c>
      <c r="J774" s="1" t="s">
        <v>1646</v>
      </c>
      <c r="K774" s="10" t="str">
        <f>VLOOKUP(C774,'mayo-26'!B:J,9,0)</f>
        <v>NO</v>
      </c>
      <c r="L774" s="1" t="str">
        <f>VLOOKUP(C774,'mayo-26'!B:K,10,0)</f>
        <v>BETEL</v>
      </c>
      <c r="M774" s="20" t="s">
        <v>52</v>
      </c>
      <c r="N774" s="20" t="s">
        <v>89</v>
      </c>
      <c r="O774" s="20" t="s">
        <v>861</v>
      </c>
      <c r="P774" s="20" t="s">
        <v>126</v>
      </c>
      <c r="Q774" s="20" t="s">
        <v>56</v>
      </c>
      <c r="R774" s="20" t="s">
        <v>90</v>
      </c>
      <c r="S774" s="20" t="s">
        <v>143</v>
      </c>
      <c r="T774" s="20" t="s">
        <v>59</v>
      </c>
      <c r="U774" s="20">
        <v>2026.0</v>
      </c>
      <c r="V774" s="20">
        <v>6.0</v>
      </c>
      <c r="W774" s="20">
        <v>1.08187574E9</v>
      </c>
      <c r="X774" s="20">
        <v>1.081894212E9</v>
      </c>
      <c r="Y774" s="22">
        <v>46182.0</v>
      </c>
      <c r="Z774" s="22">
        <v>46207.0</v>
      </c>
      <c r="AA774" s="20">
        <v>433364.06</v>
      </c>
      <c r="AB774" s="20">
        <v>433364.06</v>
      </c>
      <c r="AC774" s="20">
        <v>142882.23</v>
      </c>
      <c r="AD774" s="20">
        <v>1307.5</v>
      </c>
      <c r="AE774" s="20">
        <v>4717.4</v>
      </c>
      <c r="AF774" s="20">
        <v>0.0</v>
      </c>
      <c r="AG774" s="20">
        <v>0.0</v>
      </c>
      <c r="AH774" s="20">
        <v>0.0</v>
      </c>
      <c r="AI774" s="20">
        <v>0.0</v>
      </c>
      <c r="AJ774" s="20">
        <v>433364.06</v>
      </c>
      <c r="AK774" s="20">
        <v>1349767.23</v>
      </c>
      <c r="AL774" s="20">
        <v>2.0</v>
      </c>
      <c r="AM774" s="20">
        <v>376.2</v>
      </c>
      <c r="AN774" s="20">
        <v>0.0</v>
      </c>
      <c r="AS774" s="11" t="str">
        <f>VLOOKUP(C774,'mayo-26'!B:AS,44,0)</f>
        <v>COORDTESORERIASUPERBETEL@GMAIL.COM</v>
      </c>
      <c r="AT774" s="12" t="str">
        <f>VLOOKUP(C774,'mayo-26'!B:AT,45,0)</f>
        <v>CORREO ELECTRONICO CERTIFICADO 472</v>
      </c>
    </row>
    <row r="775" ht="14.25" customHeight="1">
      <c r="A775" s="20" t="s">
        <v>1647</v>
      </c>
      <c r="B775" s="20">
        <v>118733.0</v>
      </c>
      <c r="C775" s="20">
        <v>118732.0</v>
      </c>
      <c r="D775" s="21">
        <v>118732.0</v>
      </c>
      <c r="E775" s="20">
        <v>649426.0</v>
      </c>
      <c r="F775" s="20">
        <v>649426.0</v>
      </c>
      <c r="G775" s="20">
        <v>649426.0</v>
      </c>
      <c r="H775" s="20" t="s">
        <v>1648</v>
      </c>
      <c r="I775" s="1" t="str">
        <f>VLOOKUP(C775,'mayo-26'!B:H,7,0)</f>
        <v>AVE 5 5 44 - LOC 1</v>
      </c>
      <c r="J775" s="1" t="s">
        <v>640</v>
      </c>
      <c r="K775" s="10" t="str">
        <f>VLOOKUP(C775,'mayo-26'!B:J,9,0)</f>
        <v>NO</v>
      </c>
      <c r="L775" s="1" t="str">
        <f>VLOOKUP(C775,'mayo-26'!B:K,10,0)</f>
        <v>D1</v>
      </c>
      <c r="M775" s="20" t="s">
        <v>52</v>
      </c>
      <c r="N775" s="20" t="s">
        <v>53</v>
      </c>
      <c r="O775" s="20" t="s">
        <v>861</v>
      </c>
      <c r="P775" s="20" t="s">
        <v>126</v>
      </c>
      <c r="Q775" s="20" t="s">
        <v>131</v>
      </c>
      <c r="R775" s="20" t="s">
        <v>538</v>
      </c>
      <c r="S775" s="20" t="s">
        <v>133</v>
      </c>
      <c r="T775" s="20" t="s">
        <v>59</v>
      </c>
      <c r="U775" s="20">
        <v>2026.0</v>
      </c>
      <c r="V775" s="20">
        <v>6.0</v>
      </c>
      <c r="W775" s="20">
        <v>1.081875744E9</v>
      </c>
      <c r="X775" s="20">
        <v>1.081894216E9</v>
      </c>
      <c r="Y775" s="22">
        <v>46182.0</v>
      </c>
      <c r="Z775" s="22">
        <v>46207.0</v>
      </c>
      <c r="AA775" s="20">
        <v>96376.5</v>
      </c>
      <c r="AB775" s="20">
        <v>96376.5</v>
      </c>
      <c r="AC775" s="20">
        <v>32125.5</v>
      </c>
      <c r="AD775" s="20">
        <v>0.0</v>
      </c>
      <c r="AE775" s="20">
        <v>0.0</v>
      </c>
      <c r="AF775" s="20">
        <v>0.0</v>
      </c>
      <c r="AG775" s="20">
        <v>0.0</v>
      </c>
      <c r="AH775" s="20">
        <v>0.0</v>
      </c>
      <c r="AI775" s="20">
        <v>0.0</v>
      </c>
      <c r="AJ775" s="20">
        <v>96376.5</v>
      </c>
      <c r="AK775" s="20">
        <v>375766.0</v>
      </c>
      <c r="AL775" s="20">
        <v>1.0</v>
      </c>
      <c r="AM775" s="20">
        <v>6420.0</v>
      </c>
      <c r="AN775" s="20">
        <v>0.0</v>
      </c>
      <c r="AS775" s="11" t="str">
        <f>VLOOKUP(C775,'mayo-26'!B:AS,44,0)</f>
        <v>ALBA.CELIS@D1.COM.CO;CARMEN.DAVILA@D1.COM.CO</v>
      </c>
      <c r="AT775" s="12" t="str">
        <f>VLOOKUP(C775,'mayo-26'!B:AT,45,0)</f>
        <v>CORREO ELECTRONICO CERTIFICADO 472</v>
      </c>
    </row>
    <row r="776" ht="14.25" customHeight="1">
      <c r="A776" s="20" t="s">
        <v>1649</v>
      </c>
      <c r="B776" s="20">
        <v>121.0</v>
      </c>
      <c r="C776" s="20">
        <v>120.0</v>
      </c>
      <c r="D776" s="21">
        <v>120.0</v>
      </c>
      <c r="E776" s="20">
        <v>9.0205952E7</v>
      </c>
      <c r="F776" s="20">
        <v>9.0205952E7</v>
      </c>
      <c r="G776" s="20">
        <v>8.90501434E8</v>
      </c>
      <c r="H776" s="20" t="s">
        <v>1650</v>
      </c>
      <c r="I776" s="1" t="str">
        <f>VLOOKUP(C776,'mayo-26'!B:H,7,0)</f>
        <v>AVE 0 0-280 - 0205952</v>
      </c>
      <c r="J776" s="1" t="s">
        <v>869</v>
      </c>
      <c r="K776" s="10" t="str">
        <f>VLOOKUP(C776,'mayo-26'!B:J,9,0)</f>
        <v>NO</v>
      </c>
      <c r="L776" s="1" t="str">
        <f>VLOOKUP(C776,'mayo-26'!B:K,10,0)</f>
        <v>COLEGIOS ZONA SUR</v>
      </c>
      <c r="M776" s="20" t="s">
        <v>52</v>
      </c>
      <c r="N776" s="20" t="s">
        <v>89</v>
      </c>
      <c r="O776" s="20" t="s">
        <v>861</v>
      </c>
      <c r="P776" s="20" t="s">
        <v>126</v>
      </c>
      <c r="Q776" s="20" t="s">
        <v>56</v>
      </c>
      <c r="R776" s="20" t="s">
        <v>57</v>
      </c>
      <c r="S776" s="20" t="s">
        <v>143</v>
      </c>
      <c r="T776" s="20" t="s">
        <v>59</v>
      </c>
      <c r="U776" s="20">
        <v>2026.0</v>
      </c>
      <c r="V776" s="20">
        <v>6.0</v>
      </c>
      <c r="W776" s="20">
        <v>1.081875324E9</v>
      </c>
      <c r="X776" s="20">
        <v>1.081893796E9</v>
      </c>
      <c r="Y776" s="22">
        <v>46182.0</v>
      </c>
      <c r="Z776" s="22">
        <v>46207.0</v>
      </c>
      <c r="AA776" s="20">
        <v>324760.93</v>
      </c>
      <c r="AB776" s="20">
        <v>324760.93</v>
      </c>
      <c r="AC776" s="20">
        <v>0.0</v>
      </c>
      <c r="AD776" s="20">
        <v>1513.0</v>
      </c>
      <c r="AE776" s="20">
        <v>0.0</v>
      </c>
      <c r="AF776" s="20">
        <v>0.0</v>
      </c>
      <c r="AG776" s="20">
        <v>0.0</v>
      </c>
      <c r="AH776" s="20">
        <v>0.0</v>
      </c>
      <c r="AI776" s="20">
        <v>0.0</v>
      </c>
      <c r="AJ776" s="20">
        <v>324760.93</v>
      </c>
      <c r="AK776" s="20">
        <v>968474.46</v>
      </c>
      <c r="AL776" s="20">
        <v>3.0</v>
      </c>
      <c r="AM776" s="20">
        <v>250.8</v>
      </c>
      <c r="AN776" s="20">
        <v>0.0</v>
      </c>
      <c r="AS776" s="11" t="str">
        <f>VLOOKUP(C776,'mayo-26'!B:AS,44,0)</f>
        <v>AREAFINANCIERA@SEMCUCUTA.GOV.CO</v>
      </c>
      <c r="AT776" s="12" t="str">
        <f>VLOOKUP(C776,'mayo-26'!B:AT,45,0)</f>
        <v>CARTERA</v>
      </c>
    </row>
    <row r="777" ht="14.25" customHeight="1">
      <c r="A777" s="20" t="s">
        <v>1651</v>
      </c>
      <c r="B777" s="20">
        <v>285191.0</v>
      </c>
      <c r="C777" s="20">
        <v>122236.0</v>
      </c>
      <c r="D777" s="21">
        <v>122236.0</v>
      </c>
      <c r="E777" s="20">
        <v>1005855.0</v>
      </c>
      <c r="F777" s="20">
        <v>1005855.0</v>
      </c>
      <c r="G777" s="20">
        <v>9.00276962E8</v>
      </c>
      <c r="H777" s="20" t="s">
        <v>128</v>
      </c>
      <c r="I777" s="1" t="str">
        <f>VLOOKUP(C777,'mayo-26'!B:H,7,0)</f>
        <v>KDX 73-2 1116</v>
      </c>
      <c r="J777" s="1" t="s">
        <v>902</v>
      </c>
      <c r="K777" s="10" t="str">
        <f>VLOOKUP(C777,'mayo-26'!B:J,9,0)</f>
        <v>NO</v>
      </c>
      <c r="L777" s="1" t="str">
        <f>VLOOKUP(C777,'mayo-26'!B:K,10,0)</f>
        <v>D1</v>
      </c>
      <c r="M777" s="20" t="s">
        <v>52</v>
      </c>
      <c r="N777" s="20" t="s">
        <v>89</v>
      </c>
      <c r="O777" s="20" t="s">
        <v>861</v>
      </c>
      <c r="P777" s="20" t="s">
        <v>126</v>
      </c>
      <c r="Q777" s="20" t="s">
        <v>131</v>
      </c>
      <c r="R777" s="20" t="s">
        <v>132</v>
      </c>
      <c r="S777" s="20" t="s">
        <v>133</v>
      </c>
      <c r="T777" s="20" t="s">
        <v>59</v>
      </c>
      <c r="U777" s="20">
        <v>2026.0</v>
      </c>
      <c r="V777" s="20">
        <v>6.0</v>
      </c>
      <c r="W777" s="20">
        <v>1.081875748E9</v>
      </c>
      <c r="X777" s="20">
        <v>1.08189422E9</v>
      </c>
      <c r="Y777" s="22">
        <v>46182.0</v>
      </c>
      <c r="Z777" s="22">
        <v>46207.0</v>
      </c>
      <c r="AA777" s="20">
        <v>113128.5</v>
      </c>
      <c r="AB777" s="20">
        <v>113128.5</v>
      </c>
      <c r="AC777" s="20">
        <v>37709.5</v>
      </c>
      <c r="AD777" s="20">
        <v>0.0</v>
      </c>
      <c r="AE777" s="20">
        <v>0.0</v>
      </c>
      <c r="AF777" s="20">
        <v>0.0</v>
      </c>
      <c r="AG777" s="20">
        <v>0.0</v>
      </c>
      <c r="AH777" s="20">
        <v>0.0</v>
      </c>
      <c r="AI777" s="20">
        <v>0.0</v>
      </c>
      <c r="AJ777" s="20">
        <v>113128.5</v>
      </c>
      <c r="AK777" s="20">
        <v>113128.5</v>
      </c>
      <c r="AL777" s="20">
        <v>0.0</v>
      </c>
      <c r="AM777" s="20">
        <v>376.2</v>
      </c>
      <c r="AN777" s="20">
        <v>0.0</v>
      </c>
      <c r="AS777" s="11" t="str">
        <f>VLOOKUP(C777,'mayo-26'!B:AS,44,0)</f>
        <v>ALBA.CELIS@D1.COM.CO;CARMEN.DAVILA@D1.COM.CO</v>
      </c>
      <c r="AT777" s="12" t="str">
        <f>VLOOKUP(C777,'mayo-26'!B:AT,45,0)</f>
        <v>CORREO ELECTRONICO CERTIFICADO 472</v>
      </c>
    </row>
    <row r="778" ht="14.25" customHeight="1">
      <c r="A778" s="20" t="s">
        <v>1652</v>
      </c>
      <c r="B778" s="20">
        <v>285191.0</v>
      </c>
      <c r="C778" s="20">
        <v>122892.0</v>
      </c>
      <c r="D778" s="21">
        <v>122892.0</v>
      </c>
      <c r="E778" s="20">
        <v>91902.0</v>
      </c>
      <c r="F778" s="20">
        <v>91902.0</v>
      </c>
      <c r="G778" s="20">
        <v>9.00276962E8</v>
      </c>
      <c r="H778" s="20" t="s">
        <v>128</v>
      </c>
      <c r="I778" s="1" t="str">
        <f>VLOOKUP(C778,'mayo-26'!B:H,7,0)</f>
        <v>KDX 73-2 1116</v>
      </c>
      <c r="J778" s="1" t="s">
        <v>1210</v>
      </c>
      <c r="K778" s="10" t="str">
        <f>VLOOKUP(C778,'mayo-26'!B:J,9,0)</f>
        <v>NO</v>
      </c>
      <c r="L778" s="1" t="str">
        <f>VLOOKUP(C778,'mayo-26'!B:K,10,0)</f>
        <v>D1</v>
      </c>
      <c r="M778" s="20" t="s">
        <v>52</v>
      </c>
      <c r="N778" s="20" t="s">
        <v>89</v>
      </c>
      <c r="O778" s="20" t="s">
        <v>861</v>
      </c>
      <c r="P778" s="20" t="s">
        <v>126</v>
      </c>
      <c r="Q778" s="20" t="s">
        <v>131</v>
      </c>
      <c r="R778" s="20" t="s">
        <v>132</v>
      </c>
      <c r="S778" s="20" t="s">
        <v>133</v>
      </c>
      <c r="T778" s="20" t="s">
        <v>59</v>
      </c>
      <c r="U778" s="20">
        <v>2026.0</v>
      </c>
      <c r="V778" s="20">
        <v>6.0</v>
      </c>
      <c r="W778" s="20">
        <v>1.08187575E9</v>
      </c>
      <c r="X778" s="20">
        <v>1.081894222E9</v>
      </c>
      <c r="Y778" s="22">
        <v>46182.0</v>
      </c>
      <c r="Z778" s="22">
        <v>46207.0</v>
      </c>
      <c r="AA778" s="20">
        <v>113128.5</v>
      </c>
      <c r="AB778" s="20">
        <v>113128.5</v>
      </c>
      <c r="AC778" s="20">
        <v>37709.5</v>
      </c>
      <c r="AD778" s="20">
        <v>0.0</v>
      </c>
      <c r="AE778" s="20">
        <v>0.0</v>
      </c>
      <c r="AF778" s="20">
        <v>0.0</v>
      </c>
      <c r="AG778" s="20">
        <v>0.0</v>
      </c>
      <c r="AH778" s="20">
        <v>0.0</v>
      </c>
      <c r="AI778" s="20">
        <v>0.0</v>
      </c>
      <c r="AJ778" s="20">
        <v>113128.5</v>
      </c>
      <c r="AK778" s="20">
        <v>113128.5</v>
      </c>
      <c r="AL778" s="20">
        <v>0.0</v>
      </c>
      <c r="AM778" s="20">
        <v>376.2</v>
      </c>
      <c r="AN778" s="20">
        <v>0.0</v>
      </c>
      <c r="AS778" s="11" t="str">
        <f>VLOOKUP(C778,'mayo-26'!B:AS,44,0)</f>
        <v>ALBA.CELIS@D1.COM.CO;CARMEN.DAVILA@D1.COM.CO</v>
      </c>
      <c r="AT778" s="12" t="str">
        <f>VLOOKUP(C778,'mayo-26'!B:AT,45,0)</f>
        <v>CORREO ELECTRONICO CERTIFICADO 472</v>
      </c>
    </row>
    <row r="779" ht="14.25" customHeight="1">
      <c r="A779" s="20" t="s">
        <v>1653</v>
      </c>
      <c r="B779" s="20">
        <v>404633.0</v>
      </c>
      <c r="C779" s="20">
        <v>123132.0</v>
      </c>
      <c r="D779" s="21">
        <v>123132.0</v>
      </c>
      <c r="E779" s="20">
        <v>103228.0</v>
      </c>
      <c r="F779" s="20">
        <v>103228.0</v>
      </c>
      <c r="G779" s="20">
        <v>8.60002964E8</v>
      </c>
      <c r="H779" s="20" t="s">
        <v>705</v>
      </c>
      <c r="I779" s="1" t="str">
        <f>VLOOKUP(C779,'mayo-26'!B:H,7,0)</f>
        <v>AVE 6 10-82 - CENTRO</v>
      </c>
      <c r="J779" s="1" t="s">
        <v>640</v>
      </c>
      <c r="K779" s="10" t="str">
        <f>VLOOKUP(C779,'mayo-26'!B:J,9,0)</f>
        <v>NO</v>
      </c>
      <c r="L779" s="1" t="str">
        <f>VLOOKUP(C779,'mayo-26'!B:K,10,0)</f>
        <v>BANCO BOGOTA</v>
      </c>
      <c r="M779" s="20" t="s">
        <v>52</v>
      </c>
      <c r="N779" s="20" t="s">
        <v>53</v>
      </c>
      <c r="O779" s="20" t="s">
        <v>861</v>
      </c>
      <c r="P779" s="20" t="s">
        <v>126</v>
      </c>
      <c r="Q779" s="20" t="s">
        <v>131</v>
      </c>
      <c r="R779" s="20" t="s">
        <v>363</v>
      </c>
      <c r="S779" s="20" t="s">
        <v>133</v>
      </c>
      <c r="T779" s="20" t="s">
        <v>59</v>
      </c>
      <c r="U779" s="20">
        <v>2026.0</v>
      </c>
      <c r="V779" s="20">
        <v>6.0</v>
      </c>
      <c r="W779" s="20">
        <v>1.081875754E9</v>
      </c>
      <c r="X779" s="20">
        <v>1.081894226E9</v>
      </c>
      <c r="Y779" s="22">
        <v>46182.0</v>
      </c>
      <c r="Z779" s="22">
        <v>46207.0</v>
      </c>
      <c r="AA779" s="20">
        <v>75366.0</v>
      </c>
      <c r="AB779" s="20">
        <v>75366.0</v>
      </c>
      <c r="AC779" s="20">
        <v>25122.0</v>
      </c>
      <c r="AD779" s="20">
        <v>0.0</v>
      </c>
      <c r="AE779" s="20">
        <v>0.0</v>
      </c>
      <c r="AF779" s="20">
        <v>0.0</v>
      </c>
      <c r="AG779" s="20">
        <v>0.0</v>
      </c>
      <c r="AH779" s="20">
        <v>0.0</v>
      </c>
      <c r="AI779" s="20">
        <v>0.0</v>
      </c>
      <c r="AJ779" s="20">
        <v>75366.0</v>
      </c>
      <c r="AK779" s="20">
        <v>75366.0</v>
      </c>
      <c r="AL779" s="20">
        <v>0.0</v>
      </c>
      <c r="AM779" s="20">
        <v>376.2</v>
      </c>
      <c r="AN779" s="20">
        <v>0.0</v>
      </c>
      <c r="AS779" s="11" t="str">
        <f>VLOOKUP(C779,'mayo-26'!B:AS,44,0)</f>
        <v>AVS3260@BANCODEBOGOTA.COM.CO</v>
      </c>
      <c r="AT779" s="12" t="str">
        <f>VLOOKUP(C779,'mayo-26'!B:AT,45,0)</f>
        <v>CORREO ELECTRONICO CERTIFICADO 472</v>
      </c>
    </row>
    <row r="780" ht="14.25" customHeight="1">
      <c r="A780" s="20" t="s">
        <v>1654</v>
      </c>
      <c r="B780" s="20">
        <v>343.0</v>
      </c>
      <c r="C780" s="20">
        <v>124.0</v>
      </c>
      <c r="D780" s="21">
        <v>124.0</v>
      </c>
      <c r="E780" s="20">
        <v>9.0207279E7</v>
      </c>
      <c r="F780" s="20">
        <v>9.0207279E7</v>
      </c>
      <c r="G780" s="20">
        <v>8.00197268E8</v>
      </c>
      <c r="H780" s="20" t="s">
        <v>1282</v>
      </c>
      <c r="I780" s="1" t="str">
        <f>VLOOKUP(C780,'mayo-26'!B:H,7,0)</f>
        <v>CLL 9 # 3-50 PALACIO NACIONAL</v>
      </c>
      <c r="J780" s="1" t="s">
        <v>1519</v>
      </c>
      <c r="K780" s="10" t="str">
        <f>VLOOKUP(C780,'mayo-26'!B:J,9,0)</f>
        <v>NO</v>
      </c>
      <c r="L780" s="1" t="str">
        <f>VLOOKUP(C780,'mayo-26'!B:K,10,0)</f>
        <v>ADUANA</v>
      </c>
      <c r="M780" s="20" t="s">
        <v>52</v>
      </c>
      <c r="N780" s="20" t="s">
        <v>89</v>
      </c>
      <c r="O780" s="20" t="s">
        <v>861</v>
      </c>
      <c r="P780" s="20" t="s">
        <v>126</v>
      </c>
      <c r="Q780" s="20" t="s">
        <v>131</v>
      </c>
      <c r="R780" s="20" t="s">
        <v>151</v>
      </c>
      <c r="S780" s="20" t="s">
        <v>133</v>
      </c>
      <c r="T780" s="20" t="s">
        <v>59</v>
      </c>
      <c r="U780" s="20">
        <v>2026.0</v>
      </c>
      <c r="V780" s="20">
        <v>6.0</v>
      </c>
      <c r="W780" s="20">
        <v>1.08187533E9</v>
      </c>
      <c r="X780" s="20">
        <v>1.081893802E9</v>
      </c>
      <c r="Y780" s="22">
        <v>46182.0</v>
      </c>
      <c r="Z780" s="22">
        <v>46207.0</v>
      </c>
      <c r="AA780" s="20">
        <v>75419.0</v>
      </c>
      <c r="AB780" s="20">
        <v>75419.0</v>
      </c>
      <c r="AC780" s="20">
        <v>0.0</v>
      </c>
      <c r="AD780" s="20">
        <v>0.0</v>
      </c>
      <c r="AE780" s="20">
        <v>0.0</v>
      </c>
      <c r="AF780" s="20">
        <v>0.0</v>
      </c>
      <c r="AG780" s="20">
        <v>0.0</v>
      </c>
      <c r="AH780" s="20">
        <v>0.0</v>
      </c>
      <c r="AI780" s="20">
        <v>0.0</v>
      </c>
      <c r="AJ780" s="20">
        <v>75419.0</v>
      </c>
      <c r="AK780" s="20">
        <v>75419.0</v>
      </c>
      <c r="AL780" s="20">
        <v>0.0</v>
      </c>
      <c r="AM780" s="20">
        <v>250.8</v>
      </c>
      <c r="AN780" s="20">
        <v>0.0</v>
      </c>
      <c r="AS780" s="11" t="str">
        <f>VLOOKUP(C780,'mayo-26'!B:AS,44,0)</f>
        <v>CORRESP_ENTRADA_CUCUTA-ADU@DIAN.GOV.CO</v>
      </c>
      <c r="AT780" s="12" t="str">
        <f>VLOOKUP(C780,'mayo-26'!B:AT,45,0)</f>
        <v>CORREO ELECTRONICO CERTIFICADO 472</v>
      </c>
    </row>
    <row r="781" ht="14.25" customHeight="1">
      <c r="A781" s="20" t="s">
        <v>1655</v>
      </c>
      <c r="B781" s="20">
        <v>555033.0</v>
      </c>
      <c r="C781" s="20">
        <v>478268.0</v>
      </c>
      <c r="D781" s="21">
        <v>520298.0</v>
      </c>
      <c r="G781" s="20">
        <v>8.30087848E8</v>
      </c>
      <c r="H781" s="20" t="s">
        <v>1656</v>
      </c>
      <c r="I781" s="1" t="str">
        <f>VLOOKUP(C781,'mayo-26'!B:H,7,0)</f>
        <v>ANILLO VIAL ORIENTAL JARDIN PLAZA #13-70 LOCAL L09 L10</v>
      </c>
      <c r="J781" s="1" t="s">
        <v>991</v>
      </c>
      <c r="K781" s="10" t="str">
        <f>VLOOKUP(C781,'mayo-26'!B:J,9,0)</f>
        <v>JARDIN PLAZA</v>
      </c>
      <c r="L781" s="1" t="str">
        <f>VLOOKUP(C781,'mayo-26'!B:K,10,0)</f>
        <v>JARDIN PLAZA</v>
      </c>
      <c r="M781" s="20" t="s">
        <v>52</v>
      </c>
      <c r="N781" s="20" t="s">
        <v>89</v>
      </c>
      <c r="O781" s="20" t="s">
        <v>861</v>
      </c>
      <c r="P781" s="20" t="s">
        <v>126</v>
      </c>
      <c r="Q781" s="20" t="s">
        <v>56</v>
      </c>
      <c r="R781" s="20" t="s">
        <v>90</v>
      </c>
      <c r="S781" s="20" t="s">
        <v>143</v>
      </c>
      <c r="T781" s="20" t="s">
        <v>59</v>
      </c>
      <c r="U781" s="20">
        <v>2026.0</v>
      </c>
      <c r="V781" s="20">
        <v>6.0</v>
      </c>
      <c r="W781" s="20">
        <v>1.081875854E9</v>
      </c>
      <c r="X781" s="20">
        <v>1.081894326E9</v>
      </c>
      <c r="Y781" s="22">
        <v>46182.0</v>
      </c>
      <c r="Z781" s="22">
        <v>46207.0</v>
      </c>
      <c r="AA781" s="20">
        <v>128487.44</v>
      </c>
      <c r="AB781" s="20">
        <v>128487.44</v>
      </c>
      <c r="AC781" s="20">
        <v>42829.15</v>
      </c>
      <c r="AD781" s="20">
        <v>253.0</v>
      </c>
      <c r="AE781" s="20">
        <v>0.0</v>
      </c>
      <c r="AF781" s="20">
        <v>0.0</v>
      </c>
      <c r="AG781" s="20">
        <v>0.0</v>
      </c>
      <c r="AH781" s="20">
        <v>0.0</v>
      </c>
      <c r="AI781" s="20">
        <v>0.0</v>
      </c>
      <c r="AJ781" s="20">
        <v>128487.44</v>
      </c>
      <c r="AK781" s="20">
        <v>128487.44</v>
      </c>
      <c r="AL781" s="20">
        <v>0.0</v>
      </c>
      <c r="AM781" s="20">
        <v>376.2</v>
      </c>
      <c r="AN781" s="20">
        <v>0.0</v>
      </c>
      <c r="AS781" s="11" t="str">
        <f>VLOOKUP(C781,'mayo-26'!B:AS,44,0)</f>
        <v>FACTURAS@TUGO.COM.CO;TUGO@TUGO.COM.CO</v>
      </c>
      <c r="AT781" s="12" t="str">
        <f>VLOOKUP(C781,'mayo-26'!B:AT,45,0)</f>
        <v>VERIFICADOR</v>
      </c>
    </row>
    <row r="782" ht="14.25" customHeight="1">
      <c r="A782" s="20" t="s">
        <v>1657</v>
      </c>
      <c r="B782" s="20">
        <v>489.0</v>
      </c>
      <c r="C782" s="20">
        <v>488.0</v>
      </c>
      <c r="D782" s="21">
        <v>488.0</v>
      </c>
      <c r="E782" s="20">
        <v>9.026431E7</v>
      </c>
      <c r="F782" s="20">
        <v>9.026431E7</v>
      </c>
      <c r="G782" s="20" t="s">
        <v>1658</v>
      </c>
      <c r="H782" s="20" t="s">
        <v>1659</v>
      </c>
      <c r="I782" s="1" t="str">
        <f>VLOOKUP(C782,'mayo-26'!B:H,7,0)</f>
        <v>AVENIDAD 1 N° 14-90 LA PLAYA</v>
      </c>
      <c r="J782" s="1" t="s">
        <v>982</v>
      </c>
      <c r="K782" s="10" t="str">
        <f>VLOOKUP(C782,'mayo-26'!B:J,9,0)</f>
        <v>NO</v>
      </c>
      <c r="L782" s="1" t="str">
        <f>VLOOKUP(C782,'mayo-26'!B:K,10,0)</f>
        <v>NO</v>
      </c>
      <c r="M782" s="20" t="s">
        <v>52</v>
      </c>
      <c r="N782" s="20" t="s">
        <v>89</v>
      </c>
      <c r="O782" s="20" t="s">
        <v>861</v>
      </c>
      <c r="P782" s="20" t="s">
        <v>126</v>
      </c>
      <c r="Q782" s="20" t="s">
        <v>56</v>
      </c>
      <c r="R782" s="20" t="s">
        <v>90</v>
      </c>
      <c r="S782" s="20" t="s">
        <v>143</v>
      </c>
      <c r="T782" s="20" t="s">
        <v>59</v>
      </c>
      <c r="U782" s="20">
        <v>2026.0</v>
      </c>
      <c r="V782" s="20">
        <v>6.0</v>
      </c>
      <c r="W782" s="20">
        <v>1.08187557E9</v>
      </c>
      <c r="X782" s="20">
        <v>1.081894042E9</v>
      </c>
      <c r="Y782" s="22">
        <v>46182.0</v>
      </c>
      <c r="Z782" s="22">
        <v>46207.0</v>
      </c>
      <c r="AA782" s="20">
        <v>190205.7</v>
      </c>
      <c r="AB782" s="20">
        <v>190205.7</v>
      </c>
      <c r="AC782" s="20">
        <v>61520.91</v>
      </c>
      <c r="AD782" s="20">
        <v>450.0</v>
      </c>
      <c r="AE782" s="20">
        <v>5642.99</v>
      </c>
      <c r="AF782" s="20">
        <v>0.0</v>
      </c>
      <c r="AG782" s="20">
        <v>0.0</v>
      </c>
      <c r="AH782" s="20">
        <v>0.0</v>
      </c>
      <c r="AI782" s="20">
        <v>0.0</v>
      </c>
      <c r="AJ782" s="20">
        <v>190205.7</v>
      </c>
      <c r="AK782" s="20">
        <v>565293.12</v>
      </c>
      <c r="AL782" s="20">
        <v>3.0</v>
      </c>
      <c r="AM782" s="20">
        <v>376.2</v>
      </c>
      <c r="AN782" s="20">
        <v>0.0</v>
      </c>
      <c r="AS782" s="11" t="str">
        <f>VLOOKUP(C782,'mayo-26'!B:AS,44,0)</f>
        <v>FACTURACIONLAHIELERABLUESAS@GMAIL.COM</v>
      </c>
      <c r="AT782" s="12" t="str">
        <f>VLOOKUP(C782,'mayo-26'!B:AT,45,0)</f>
        <v>CORREO ELECTRONICO CERTIFICADO 472</v>
      </c>
    </row>
    <row r="783" ht="14.25" customHeight="1">
      <c r="A783" s="20" t="s">
        <v>1660</v>
      </c>
      <c r="B783" s="20">
        <v>49125.0</v>
      </c>
      <c r="C783" s="20">
        <v>49124.0</v>
      </c>
      <c r="D783" s="21">
        <v>49124.0</v>
      </c>
      <c r="E783" s="20">
        <v>16899.0</v>
      </c>
      <c r="F783" s="20">
        <v>16899.0</v>
      </c>
      <c r="G783" s="20" t="s">
        <v>1078</v>
      </c>
      <c r="H783" s="20" t="s">
        <v>1079</v>
      </c>
      <c r="I783" s="1" t="str">
        <f>VLOOKUP(C783,'mayo-26'!B:H,7,0)</f>
        <v>CLL 10 1-60</v>
      </c>
      <c r="J783" s="1" t="s">
        <v>640</v>
      </c>
      <c r="K783" s="10" t="str">
        <f>VLOOKUP(C783,'mayo-26'!B:J,9,0)</f>
        <v>NO</v>
      </c>
      <c r="L783" s="1" t="str">
        <f>VLOOKUP(C783,'mayo-26'!B:K,10,0)</f>
        <v>DROGUERIAS Y FARMACIAS CRUZ VERDE S A S</v>
      </c>
      <c r="M783" s="20" t="s">
        <v>52</v>
      </c>
      <c r="N783" s="20" t="s">
        <v>89</v>
      </c>
      <c r="O783" s="20" t="s">
        <v>861</v>
      </c>
      <c r="P783" s="20" t="s">
        <v>126</v>
      </c>
      <c r="Q783" s="20" t="s">
        <v>131</v>
      </c>
      <c r="R783" s="20" t="s">
        <v>132</v>
      </c>
      <c r="S783" s="20" t="s">
        <v>133</v>
      </c>
      <c r="T783" s="20" t="s">
        <v>59</v>
      </c>
      <c r="U783" s="20">
        <v>2026.0</v>
      </c>
      <c r="V783" s="20">
        <v>6.0</v>
      </c>
      <c r="W783" s="20">
        <v>1.081875688E9</v>
      </c>
      <c r="X783" s="20">
        <v>1.08189416E9</v>
      </c>
      <c r="Y783" s="22">
        <v>46182.0</v>
      </c>
      <c r="Z783" s="22">
        <v>46207.0</v>
      </c>
      <c r="AA783" s="20">
        <v>122590.43</v>
      </c>
      <c r="AB783" s="20">
        <v>122590.43</v>
      </c>
      <c r="AC783" s="20">
        <v>37709.5</v>
      </c>
      <c r="AD783" s="20">
        <v>0.0</v>
      </c>
      <c r="AE783" s="20">
        <v>9461.93</v>
      </c>
      <c r="AF783" s="20">
        <v>0.0</v>
      </c>
      <c r="AG783" s="20">
        <v>0.0</v>
      </c>
      <c r="AH783" s="20">
        <v>0.0</v>
      </c>
      <c r="AI783" s="20">
        <v>0.0</v>
      </c>
      <c r="AJ783" s="20">
        <v>122590.43</v>
      </c>
      <c r="AK783" s="20">
        <v>778099.21</v>
      </c>
      <c r="AL783" s="20">
        <v>6.0</v>
      </c>
      <c r="AM783" s="20">
        <v>376.2</v>
      </c>
      <c r="AN783" s="20">
        <v>0.0</v>
      </c>
      <c r="AS783" s="11" t="str">
        <f>VLOOKUP(C783,'mayo-26'!B:AS,44,0)</f>
        <v>serviciospublicos@cruzverde.com.co, notificacionesjudiciales@cruzverde.com.co</v>
      </c>
      <c r="AT783" s="12" t="str">
        <f>VLOOKUP(C783,'mayo-26'!B:AT,45,0)</f>
        <v>CORREO ELECTRONICO CERTIFICADO 472</v>
      </c>
    </row>
    <row r="784" ht="14.25" customHeight="1">
      <c r="A784" s="20" t="s">
        <v>1661</v>
      </c>
      <c r="B784" s="20">
        <v>493.0</v>
      </c>
      <c r="C784" s="20">
        <v>492.0</v>
      </c>
      <c r="D784" s="21">
        <v>492.0</v>
      </c>
      <c r="E784" s="20">
        <v>9.0266554E7</v>
      </c>
      <c r="F784" s="20">
        <v>9.0266554E7</v>
      </c>
      <c r="G784" s="20" t="s">
        <v>1662</v>
      </c>
      <c r="H784" s="20" t="s">
        <v>1663</v>
      </c>
      <c r="I784" s="1" t="str">
        <f>VLOOKUP(C784,'mayo-26'!B:H,7,0)</f>
        <v>C.C VENTURA PLAZA LOCAL 228</v>
      </c>
      <c r="J784" s="1" t="s">
        <v>982</v>
      </c>
      <c r="K784" s="10" t="str">
        <f>VLOOKUP(C784,'mayo-26'!B:J,9,0)</f>
        <v>NO</v>
      </c>
      <c r="L784" s="1" t="str">
        <f>VLOOKUP(C784,'mayo-26'!B:K,10,0)</f>
        <v>NO</v>
      </c>
      <c r="M784" s="20" t="s">
        <v>52</v>
      </c>
      <c r="N784" s="20" t="s">
        <v>89</v>
      </c>
      <c r="O784" s="20" t="s">
        <v>861</v>
      </c>
      <c r="P784" s="20" t="s">
        <v>126</v>
      </c>
      <c r="Q784" s="20" t="s">
        <v>131</v>
      </c>
      <c r="R784" s="20" t="s">
        <v>538</v>
      </c>
      <c r="S784" s="20" t="s">
        <v>133</v>
      </c>
      <c r="T784" s="20" t="s">
        <v>59</v>
      </c>
      <c r="U784" s="20">
        <v>2026.0</v>
      </c>
      <c r="V784" s="20">
        <v>6.0</v>
      </c>
      <c r="W784" s="20">
        <v>1.081875574E9</v>
      </c>
      <c r="X784" s="20">
        <v>1.081894046E9</v>
      </c>
      <c r="Y784" s="22">
        <v>46182.0</v>
      </c>
      <c r="Z784" s="22">
        <v>46207.0</v>
      </c>
      <c r="AA784" s="20">
        <v>94743.15</v>
      </c>
      <c r="AB784" s="20">
        <v>94743.15</v>
      </c>
      <c r="AC784" s="20">
        <v>31416.0</v>
      </c>
      <c r="AD784" s="20">
        <v>0.0</v>
      </c>
      <c r="AE784" s="20">
        <v>495.15</v>
      </c>
      <c r="AF784" s="20">
        <v>0.0</v>
      </c>
      <c r="AG784" s="20">
        <v>0.0</v>
      </c>
      <c r="AH784" s="20">
        <v>0.0</v>
      </c>
      <c r="AI784" s="20">
        <v>0.0</v>
      </c>
      <c r="AJ784" s="20">
        <v>94743.15</v>
      </c>
      <c r="AK784" s="20">
        <v>189771.15</v>
      </c>
      <c r="AL784" s="20">
        <v>1.0</v>
      </c>
      <c r="AM784" s="20">
        <v>376.2</v>
      </c>
      <c r="AN784" s="20">
        <v>0.0</v>
      </c>
      <c r="AS784" s="11" t="str">
        <f>VLOOKUP(C784,'mayo-26'!B:AS,44,0)</f>
        <v>LEIDY.ZAPARDIEL@INNOVACLUB.COM.CO</v>
      </c>
      <c r="AT784" s="12" t="str">
        <f>VLOOKUP(C784,'mayo-26'!B:AT,45,0)</f>
        <v>CORREO ELECTRONICO CERTIFICADO 472</v>
      </c>
    </row>
    <row r="785" ht="14.25" customHeight="1">
      <c r="A785" s="20" t="s">
        <v>1664</v>
      </c>
      <c r="B785" s="20">
        <v>593964.0</v>
      </c>
      <c r="C785" s="20">
        <v>497904.0</v>
      </c>
      <c r="D785" s="21">
        <v>550645.0</v>
      </c>
      <c r="G785" s="20">
        <v>9.01568658E8</v>
      </c>
      <c r="H785" s="20" t="s">
        <v>1665</v>
      </c>
      <c r="I785" s="1" t="str">
        <f>VLOOKUP(C785,'mayo-26'!B:H,7,0)</f>
        <v>LC R22 CC JARDIN PLAZA</v>
      </c>
      <c r="J785" s="1" t="s">
        <v>991</v>
      </c>
      <c r="K785" s="10" t="str">
        <f>VLOOKUP(C785,'mayo-26'!B:J,9,0)</f>
        <v>JARDIN PLAZA</v>
      </c>
      <c r="L785" s="1" t="str">
        <f>VLOOKUP(C785,'mayo-26'!B:K,10,0)</f>
        <v>JARDIN PLAZA</v>
      </c>
      <c r="M785" s="20" t="s">
        <v>52</v>
      </c>
      <c r="N785" s="20" t="s">
        <v>89</v>
      </c>
      <c r="O785" s="20" t="s">
        <v>861</v>
      </c>
      <c r="P785" s="20" t="s">
        <v>126</v>
      </c>
      <c r="Q785" s="20" t="s">
        <v>131</v>
      </c>
      <c r="R785" s="20" t="s">
        <v>363</v>
      </c>
      <c r="S785" s="20" t="s">
        <v>133</v>
      </c>
      <c r="T785" s="20" t="s">
        <v>59</v>
      </c>
      <c r="U785" s="20">
        <v>2026.0</v>
      </c>
      <c r="V785" s="20">
        <v>6.0</v>
      </c>
      <c r="W785" s="20">
        <v>1.081875856E9</v>
      </c>
      <c r="X785" s="20">
        <v>1.081894328E9</v>
      </c>
      <c r="Y785" s="22">
        <v>46182.0</v>
      </c>
      <c r="Z785" s="22">
        <v>46207.0</v>
      </c>
      <c r="AA785" s="20">
        <v>76710.15</v>
      </c>
      <c r="AB785" s="20">
        <v>76710.15</v>
      </c>
      <c r="AC785" s="20">
        <v>25122.0</v>
      </c>
      <c r="AD785" s="20">
        <v>0.0</v>
      </c>
      <c r="AE785" s="20">
        <v>1344.15</v>
      </c>
      <c r="AF785" s="20">
        <v>0.0</v>
      </c>
      <c r="AG785" s="20">
        <v>0.0</v>
      </c>
      <c r="AH785" s="20">
        <v>0.0</v>
      </c>
      <c r="AI785" s="20">
        <v>0.0</v>
      </c>
      <c r="AJ785" s="20">
        <v>76710.15</v>
      </c>
      <c r="AK785" s="20">
        <v>76710.15</v>
      </c>
      <c r="AL785" s="20">
        <v>0.0</v>
      </c>
      <c r="AM785" s="20">
        <v>376.2</v>
      </c>
      <c r="AN785" s="20">
        <v>0.0</v>
      </c>
      <c r="AS785" s="11" t="str">
        <f>VLOOKUP(C785,'mayo-26'!B:AS,44,0)</f>
        <v>ARQUEOSCAJA.LAGRANCOSECHASAS@GMAIL.COM</v>
      </c>
      <c r="AT785" s="12" t="str">
        <f>VLOOKUP(C785,'mayo-26'!B:AT,45,0)</f>
        <v>VERIFICADOR</v>
      </c>
    </row>
    <row r="786" ht="14.25" customHeight="1">
      <c r="A786" s="20" t="s">
        <v>1666</v>
      </c>
      <c r="B786" s="20">
        <v>596796.0</v>
      </c>
      <c r="C786" s="20">
        <v>499136.0</v>
      </c>
      <c r="D786" s="21">
        <v>553182.0</v>
      </c>
      <c r="G786" s="20">
        <v>8.30137461E8</v>
      </c>
      <c r="H786" s="20" t="s">
        <v>1667</v>
      </c>
      <c r="I786" s="1" t="str">
        <f>VLOOKUP(C786,'mayo-26'!B:H,7,0)</f>
        <v>ANILLO VIAL ORIENTAL #13-75 LC 30</v>
      </c>
      <c r="J786" s="1" t="s">
        <v>991</v>
      </c>
      <c r="K786" s="10" t="str">
        <f>VLOOKUP(C786,'mayo-26'!B:J,9,0)</f>
        <v>JARDIN PLAZA</v>
      </c>
      <c r="L786" s="1" t="str">
        <f>VLOOKUP(C786,'mayo-26'!B:K,10,0)</f>
        <v>JARDIN PLAZA</v>
      </c>
      <c r="M786" s="20" t="s">
        <v>52</v>
      </c>
      <c r="N786" s="20" t="s">
        <v>138</v>
      </c>
      <c r="O786" s="20" t="s">
        <v>861</v>
      </c>
      <c r="P786" s="20" t="s">
        <v>126</v>
      </c>
      <c r="Q786" s="20" t="s">
        <v>131</v>
      </c>
      <c r="R786" s="20" t="s">
        <v>363</v>
      </c>
      <c r="S786" s="20" t="s">
        <v>133</v>
      </c>
      <c r="T786" s="20" t="s">
        <v>59</v>
      </c>
      <c r="U786" s="20">
        <v>2026.0</v>
      </c>
      <c r="V786" s="20">
        <v>6.0</v>
      </c>
      <c r="W786" s="20">
        <v>1.081875859E9</v>
      </c>
      <c r="X786" s="20">
        <v>1.081894331E9</v>
      </c>
      <c r="Y786" s="22">
        <v>46182.0</v>
      </c>
      <c r="Z786" s="22">
        <v>46207.0</v>
      </c>
      <c r="AA786" s="20">
        <v>77494.5</v>
      </c>
      <c r="AB786" s="20">
        <v>77494.5</v>
      </c>
      <c r="AC786" s="20">
        <v>25831.5</v>
      </c>
      <c r="AD786" s="20">
        <v>0.0</v>
      </c>
      <c r="AE786" s="20">
        <v>0.0</v>
      </c>
      <c r="AF786" s="20">
        <v>0.0</v>
      </c>
      <c r="AG786" s="20">
        <v>0.0</v>
      </c>
      <c r="AH786" s="20">
        <v>0.0</v>
      </c>
      <c r="AI786" s="20">
        <v>0.0</v>
      </c>
      <c r="AJ786" s="20">
        <v>77494.5</v>
      </c>
      <c r="AK786" s="20">
        <v>77494.5</v>
      </c>
      <c r="AL786" s="20">
        <v>0.0</v>
      </c>
      <c r="AM786" s="20">
        <v>6420.0</v>
      </c>
      <c r="AN786" s="20">
        <v>0.0</v>
      </c>
      <c r="AS786" s="11" t="str">
        <f>VLOOKUP(C786,'mayo-26'!B:AS,44,0)</f>
        <v/>
      </c>
      <c r="AT786" s="12" t="str">
        <f>VLOOKUP(C786,'mayo-26'!B:AT,45,0)</f>
        <v>VERIFICADOR</v>
      </c>
    </row>
    <row r="787" ht="14.25" customHeight="1">
      <c r="A787" s="20" t="s">
        <v>1668</v>
      </c>
      <c r="B787" s="20">
        <v>50149.0</v>
      </c>
      <c r="C787" s="20">
        <v>50148.0</v>
      </c>
      <c r="D787" s="21">
        <v>50148.0</v>
      </c>
      <c r="E787" s="20">
        <v>19136.0</v>
      </c>
      <c r="F787" s="20">
        <v>19136.0</v>
      </c>
      <c r="G787" s="20" t="s">
        <v>1529</v>
      </c>
      <c r="H787" s="20" t="s">
        <v>1669</v>
      </c>
      <c r="I787" s="1" t="str">
        <f>VLOOKUP(C787,'mayo-26'!B:H,7,0)</f>
        <v>AVE 5 9-24 - 0049882</v>
      </c>
      <c r="J787" s="1" t="s">
        <v>640</v>
      </c>
      <c r="K787" s="10" t="str">
        <f>VLOOKUP(C787,'mayo-26'!B:J,9,0)</f>
        <v>NO</v>
      </c>
      <c r="L787" s="1" t="str">
        <f>VLOOKUP(C787,'mayo-26'!B:K,10,0)</f>
        <v>DIVERSIONES DEL ORIENTE S.A.S</v>
      </c>
      <c r="M787" s="20" t="s">
        <v>52</v>
      </c>
      <c r="N787" s="20" t="s">
        <v>89</v>
      </c>
      <c r="O787" s="20" t="s">
        <v>861</v>
      </c>
      <c r="P787" s="20" t="s">
        <v>126</v>
      </c>
      <c r="Q787" s="20" t="s">
        <v>131</v>
      </c>
      <c r="R787" s="20" t="s">
        <v>132</v>
      </c>
      <c r="S787" s="20" t="s">
        <v>133</v>
      </c>
      <c r="T787" s="20" t="s">
        <v>59</v>
      </c>
      <c r="U787" s="20">
        <v>2026.0</v>
      </c>
      <c r="V787" s="20">
        <v>6.0</v>
      </c>
      <c r="W787" s="20">
        <v>1.081875694E9</v>
      </c>
      <c r="X787" s="20">
        <v>1.081894166E9</v>
      </c>
      <c r="Y787" s="22">
        <v>46182.0</v>
      </c>
      <c r="Z787" s="22">
        <v>46207.0</v>
      </c>
      <c r="AA787" s="20">
        <v>113809.12</v>
      </c>
      <c r="AB787" s="20">
        <v>113809.12</v>
      </c>
      <c r="AC787" s="20">
        <v>37709.5</v>
      </c>
      <c r="AD787" s="20">
        <v>0.0</v>
      </c>
      <c r="AE787" s="20">
        <v>680.62</v>
      </c>
      <c r="AF787" s="20">
        <v>0.0</v>
      </c>
      <c r="AG787" s="20">
        <v>0.0</v>
      </c>
      <c r="AH787" s="20">
        <v>0.0</v>
      </c>
      <c r="AI787" s="20">
        <v>0.0</v>
      </c>
      <c r="AJ787" s="20">
        <v>113809.12</v>
      </c>
      <c r="AK787" s="20">
        <v>113809.62</v>
      </c>
      <c r="AL787" s="20">
        <v>1.0</v>
      </c>
      <c r="AM787" s="20">
        <v>376.2</v>
      </c>
      <c r="AN787" s="20">
        <v>0.0</v>
      </c>
      <c r="AS787" s="11" t="str">
        <f>VLOOKUP(C787,'mayo-26'!B:AS,44,0)</f>
        <v>FACTURACION@DIVERSIONESDELORIENTE.COM; subgerencia@diversionesdeloriente.com</v>
      </c>
      <c r="AT787" s="12" t="str">
        <f>VLOOKUP(C787,'mayo-26'!B:AT,45,0)</f>
        <v>CORREO ELECTRONICO CERTIFICADO 472</v>
      </c>
    </row>
    <row r="788" ht="14.25" customHeight="1">
      <c r="A788" s="20" t="s">
        <v>1670</v>
      </c>
      <c r="B788" s="20">
        <v>285191.0</v>
      </c>
      <c r="C788" s="20">
        <v>52444.0</v>
      </c>
      <c r="D788" s="21">
        <v>52444.0</v>
      </c>
      <c r="E788" s="20">
        <v>103152.0</v>
      </c>
      <c r="F788" s="20">
        <v>103152.0</v>
      </c>
      <c r="G788" s="20">
        <v>9.00276962E8</v>
      </c>
      <c r="H788" s="20" t="s">
        <v>128</v>
      </c>
      <c r="I788" s="1" t="str">
        <f>VLOOKUP(C788,'mayo-26'!B:H,7,0)</f>
        <v>KDX 73-2 1116</v>
      </c>
      <c r="J788" s="1" t="s">
        <v>640</v>
      </c>
      <c r="K788" s="10" t="str">
        <f>VLOOKUP(C788,'mayo-26'!B:J,9,0)</f>
        <v>CENTRO</v>
      </c>
      <c r="L788" s="1" t="str">
        <f>VLOOKUP(C788,'mayo-26'!B:K,10,0)</f>
        <v/>
      </c>
      <c r="M788" s="20" t="s">
        <v>52</v>
      </c>
      <c r="N788" s="20" t="s">
        <v>89</v>
      </c>
      <c r="O788" s="20" t="s">
        <v>861</v>
      </c>
      <c r="P788" s="20" t="s">
        <v>126</v>
      </c>
      <c r="Q788" s="20" t="s">
        <v>131</v>
      </c>
      <c r="R788" s="20" t="s">
        <v>132</v>
      </c>
      <c r="S788" s="20" t="s">
        <v>133</v>
      </c>
      <c r="T788" s="20" t="s">
        <v>59</v>
      </c>
      <c r="U788" s="20">
        <v>2026.0</v>
      </c>
      <c r="V788" s="20">
        <v>6.0</v>
      </c>
      <c r="W788" s="20">
        <v>1.081875699E9</v>
      </c>
      <c r="X788" s="20">
        <v>1.081894171E9</v>
      </c>
      <c r="Y788" s="22">
        <v>46182.0</v>
      </c>
      <c r="Z788" s="22">
        <v>46207.0</v>
      </c>
      <c r="AA788" s="20">
        <v>113128.51</v>
      </c>
      <c r="AB788" s="20">
        <v>113128.51</v>
      </c>
      <c r="AC788" s="20">
        <v>37709.5</v>
      </c>
      <c r="AD788" s="20">
        <v>0.0</v>
      </c>
      <c r="AE788" s="20">
        <v>0.01</v>
      </c>
      <c r="AF788" s="20">
        <v>0.0</v>
      </c>
      <c r="AG788" s="20">
        <v>0.0</v>
      </c>
      <c r="AH788" s="20">
        <v>0.0</v>
      </c>
      <c r="AI788" s="20">
        <v>0.0</v>
      </c>
      <c r="AJ788" s="20">
        <v>113128.51</v>
      </c>
      <c r="AK788" s="20">
        <v>229817.4</v>
      </c>
      <c r="AL788" s="20">
        <v>2.0</v>
      </c>
      <c r="AM788" s="20">
        <v>376.2</v>
      </c>
      <c r="AN788" s="20">
        <v>0.0</v>
      </c>
      <c r="AS788" s="11" t="str">
        <f>VLOOKUP(C788,'mayo-26'!B:AS,44,0)</f>
        <v/>
      </c>
      <c r="AT788" s="12" t="str">
        <f>VLOOKUP(C788,'mayo-26'!B:AT,45,0)</f>
        <v>VERIFICADOR</v>
      </c>
    </row>
    <row r="789" ht="14.25" customHeight="1">
      <c r="A789" s="20" t="s">
        <v>1671</v>
      </c>
      <c r="B789" s="20">
        <v>147.0</v>
      </c>
      <c r="C789" s="20">
        <v>576.0</v>
      </c>
      <c r="D789" s="21">
        <v>576.0</v>
      </c>
      <c r="E789" s="20">
        <v>9.0274084E7</v>
      </c>
      <c r="F789" s="20">
        <v>9.0274084E7</v>
      </c>
      <c r="G789" s="20" t="s">
        <v>179</v>
      </c>
      <c r="H789" s="20" t="s">
        <v>180</v>
      </c>
      <c r="I789" s="1" t="str">
        <f>VLOOKUP(C789,'mayo-26'!B:H,7,0)</f>
        <v>AVE 3 CLL 24 GARITA # 1</v>
      </c>
      <c r="J789" s="1" t="s">
        <v>915</v>
      </c>
      <c r="K789" s="10" t="str">
        <f>VLOOKUP(C789,'mayo-26'!B:J,9,0)</f>
        <v>NO</v>
      </c>
      <c r="L789" s="1" t="str">
        <f>VLOOKUP(C789,'mayo-26'!B:K,10,0)</f>
        <v>POLICIA</v>
      </c>
      <c r="M789" s="20" t="s">
        <v>52</v>
      </c>
      <c r="N789" s="20" t="s">
        <v>89</v>
      </c>
      <c r="O789" s="20" t="s">
        <v>861</v>
      </c>
      <c r="P789" s="20" t="s">
        <v>126</v>
      </c>
      <c r="Q789" s="20" t="s">
        <v>131</v>
      </c>
      <c r="R789" s="20" t="s">
        <v>1111</v>
      </c>
      <c r="S789" s="20" t="s">
        <v>133</v>
      </c>
      <c r="T789" s="20" t="s">
        <v>59</v>
      </c>
      <c r="U789" s="20">
        <v>2026.0</v>
      </c>
      <c r="V789" s="20">
        <v>6.0</v>
      </c>
      <c r="W789" s="20">
        <v>1.081875576E9</v>
      </c>
      <c r="X789" s="20">
        <v>1.081894048E9</v>
      </c>
      <c r="Y789" s="22">
        <v>46182.0</v>
      </c>
      <c r="Z789" s="22">
        <v>46207.0</v>
      </c>
      <c r="AA789" s="20">
        <v>50244.0</v>
      </c>
      <c r="AB789" s="20">
        <v>50244.0</v>
      </c>
      <c r="AC789" s="20">
        <v>0.0</v>
      </c>
      <c r="AD789" s="20">
        <v>0.0</v>
      </c>
      <c r="AE789" s="20">
        <v>0.0</v>
      </c>
      <c r="AF789" s="20">
        <v>0.0</v>
      </c>
      <c r="AG789" s="20">
        <v>0.0</v>
      </c>
      <c r="AH789" s="20">
        <v>0.0</v>
      </c>
      <c r="AI789" s="20">
        <v>0.0</v>
      </c>
      <c r="AJ789" s="20">
        <v>50244.0</v>
      </c>
      <c r="AK789" s="20">
        <v>101005.0</v>
      </c>
      <c r="AL789" s="20">
        <v>1.0</v>
      </c>
      <c r="AM789" s="20">
        <v>250.8</v>
      </c>
      <c r="AN789" s="20">
        <v>0.0</v>
      </c>
      <c r="AS789" s="11" t="str">
        <f>VLOOKUP(C789,'mayo-26'!B:AS,44,0)</f>
        <v>MECUC.GUBIR@POLICIA.GOV.CO</v>
      </c>
      <c r="AT789" s="12" t="str">
        <f>VLOOKUP(C789,'mayo-26'!B:AT,45,0)</f>
        <v>CORREO ELECTRONICO CERTIFICADO 472</v>
      </c>
    </row>
    <row r="790" ht="14.25" customHeight="1">
      <c r="A790" s="20" t="s">
        <v>1672</v>
      </c>
      <c r="B790" s="20">
        <v>581.0</v>
      </c>
      <c r="C790" s="20">
        <v>580.0</v>
      </c>
      <c r="D790" s="21">
        <v>580.0</v>
      </c>
      <c r="E790" s="20">
        <v>9.0274572E7</v>
      </c>
      <c r="F790" s="20">
        <v>9.0274572E7</v>
      </c>
      <c r="G790" s="20" t="s">
        <v>1673</v>
      </c>
      <c r="H790" s="20" t="s">
        <v>1674</v>
      </c>
      <c r="I790" s="1" t="str">
        <f>VLOOKUP(C790,'mayo-26'!B:H,7,0)</f>
        <v>AV 2 #12-43 BRR SAN LUIS</v>
      </c>
      <c r="J790" s="1" t="s">
        <v>863</v>
      </c>
      <c r="K790" s="10" t="str">
        <f>VLOOKUP(C790,'mayo-26'!B:J,9,0)</f>
        <v>NO</v>
      </c>
      <c r="L790" s="1" t="str">
        <f>VLOOKUP(C790,'mayo-26'!B:K,10,0)</f>
        <v>NO</v>
      </c>
      <c r="M790" s="20" t="s">
        <v>52</v>
      </c>
      <c r="N790" s="20" t="s">
        <v>89</v>
      </c>
      <c r="O790" s="20" t="s">
        <v>861</v>
      </c>
      <c r="P790" s="20" t="s">
        <v>126</v>
      </c>
      <c r="Q790" s="20" t="s">
        <v>131</v>
      </c>
      <c r="R790" s="20" t="s">
        <v>363</v>
      </c>
      <c r="S790" s="20" t="s">
        <v>133</v>
      </c>
      <c r="T790" s="20" t="s">
        <v>59</v>
      </c>
      <c r="U790" s="20">
        <v>2026.0</v>
      </c>
      <c r="V790" s="20">
        <v>6.0</v>
      </c>
      <c r="W790" s="20">
        <v>1.08187558E9</v>
      </c>
      <c r="X790" s="20">
        <v>1.081894052E9</v>
      </c>
      <c r="Y790" s="22">
        <v>46182.0</v>
      </c>
      <c r="Z790" s="22">
        <v>46207.0</v>
      </c>
      <c r="AA790" s="20">
        <v>75715.1</v>
      </c>
      <c r="AB790" s="20">
        <v>75715.1</v>
      </c>
      <c r="AC790" s="20">
        <v>25122.0</v>
      </c>
      <c r="AD790" s="20">
        <v>0.0</v>
      </c>
      <c r="AE790" s="20">
        <v>349.1</v>
      </c>
      <c r="AF790" s="20">
        <v>0.0</v>
      </c>
      <c r="AG790" s="20">
        <v>0.0</v>
      </c>
      <c r="AH790" s="20">
        <v>0.0</v>
      </c>
      <c r="AI790" s="20">
        <v>0.0</v>
      </c>
      <c r="AJ790" s="20">
        <v>75715.1</v>
      </c>
      <c r="AK790" s="20">
        <v>76716.47</v>
      </c>
      <c r="AL790" s="20">
        <v>1.0</v>
      </c>
      <c r="AM790" s="20">
        <v>376.2</v>
      </c>
      <c r="AN790" s="20">
        <v>0.0</v>
      </c>
      <c r="AS790" s="11" t="str">
        <f>VLOOKUP(C790,'mayo-26'!B:AS,44,0)</f>
        <v>CONTABILIDAD@PROBOLSAS.COM ; FINANZASBOLSAS@GMAIL.COM</v>
      </c>
      <c r="AT790" s="12" t="str">
        <f>VLOOKUP(C790,'mayo-26'!B:AT,45,0)</f>
        <v>CORREO ELECTRONICO CERTIFICADO 472</v>
      </c>
    </row>
    <row r="791" ht="14.25" customHeight="1">
      <c r="A791" s="20" t="s">
        <v>1675</v>
      </c>
      <c r="B791" s="20">
        <v>585.0</v>
      </c>
      <c r="C791" s="20">
        <v>584.0</v>
      </c>
      <c r="D791" s="21">
        <v>584.0</v>
      </c>
      <c r="E791" s="20">
        <v>9.0276121E7</v>
      </c>
      <c r="F791" s="20">
        <v>9.0276121E7</v>
      </c>
      <c r="G791" s="20">
        <v>9.0276121E7</v>
      </c>
      <c r="H791" s="20" t="s">
        <v>1676</v>
      </c>
      <c r="I791" s="1" t="str">
        <f>VLOOKUP(C791,'mayo-26'!B:H,7,0)</f>
        <v>CLL 11A #1E-132</v>
      </c>
      <c r="J791" s="1" t="s">
        <v>931</v>
      </c>
      <c r="K791" s="10" t="str">
        <f>VLOOKUP(C791,'mayo-26'!B:J,9,0)</f>
        <v>NO</v>
      </c>
      <c r="L791" s="1" t="str">
        <f>VLOOKUP(C791,'mayo-26'!B:K,10,0)</f>
        <v>CSOPERADOR</v>
      </c>
      <c r="M791" s="20" t="s">
        <v>52</v>
      </c>
      <c r="N791" s="20" t="s">
        <v>53</v>
      </c>
      <c r="O791" s="20" t="s">
        <v>861</v>
      </c>
      <c r="P791" s="20" t="s">
        <v>126</v>
      </c>
      <c r="Q791" s="20" t="s">
        <v>56</v>
      </c>
      <c r="R791" s="20" t="s">
        <v>90</v>
      </c>
      <c r="S791" s="20" t="s">
        <v>58</v>
      </c>
      <c r="T791" s="20" t="s">
        <v>59</v>
      </c>
      <c r="U791" s="20">
        <v>2026.0</v>
      </c>
      <c r="V791" s="20">
        <v>6.0</v>
      </c>
      <c r="W791" s="20">
        <v>1.081875582E9</v>
      </c>
      <c r="X791" s="20">
        <v>1.081894054E9</v>
      </c>
      <c r="Y791" s="22">
        <v>46182.0</v>
      </c>
      <c r="Z791" s="22">
        <v>46207.0</v>
      </c>
      <c r="AA791" s="20">
        <v>1270666.52</v>
      </c>
      <c r="AB791" s="20">
        <v>1270666.52</v>
      </c>
      <c r="AC791" s="20">
        <v>423555.51</v>
      </c>
      <c r="AD791" s="20">
        <v>4265.63</v>
      </c>
      <c r="AE791" s="20">
        <v>0.0</v>
      </c>
      <c r="AF791" s="20">
        <v>0.0</v>
      </c>
      <c r="AG791" s="20">
        <v>0.0</v>
      </c>
      <c r="AH791" s="20">
        <v>0.0</v>
      </c>
      <c r="AI791" s="20">
        <v>0.0</v>
      </c>
      <c r="AJ791" s="20">
        <v>1270666.52</v>
      </c>
      <c r="AK791" s="20">
        <v>2706828.54</v>
      </c>
      <c r="AL791" s="20">
        <v>1.0</v>
      </c>
      <c r="AM791" s="20">
        <v>376.2</v>
      </c>
      <c r="AN791" s="20">
        <v>0.0</v>
      </c>
      <c r="AS791" s="11" t="str">
        <f>VLOOKUP(C791,'mayo-26'!B:AS,44,0)</f>
        <v>tesoreria@csoperador.com</v>
      </c>
      <c r="AT791" s="12" t="str">
        <f>VLOOKUP(C791,'mayo-26'!B:AT,45,0)</f>
        <v>CORREO ELECTRONICO CERTIFICADO 472</v>
      </c>
    </row>
    <row r="792" ht="14.25" customHeight="1">
      <c r="A792" s="20" t="s">
        <v>1677</v>
      </c>
      <c r="B792" s="20">
        <v>285191.0</v>
      </c>
      <c r="C792" s="20">
        <v>58508.0</v>
      </c>
      <c r="D792" s="21">
        <v>58508.0</v>
      </c>
      <c r="E792" s="20">
        <v>56339.0</v>
      </c>
      <c r="F792" s="20">
        <v>56339.0</v>
      </c>
      <c r="G792" s="20">
        <v>9.00276962E8</v>
      </c>
      <c r="H792" s="20" t="s">
        <v>128</v>
      </c>
      <c r="I792" s="1" t="str">
        <f>VLOOKUP(C792,'mayo-26'!B:H,7,0)</f>
        <v>KDX 73-2 1116</v>
      </c>
      <c r="J792" s="1" t="s">
        <v>1678</v>
      </c>
      <c r="K792" s="10" t="str">
        <f>VLOOKUP(C792,'mayo-26'!B:J,9,0)</f>
        <v>NO</v>
      </c>
      <c r="L792" s="1" t="str">
        <f>VLOOKUP(C792,'mayo-26'!B:K,10,0)</f>
        <v>D1</v>
      </c>
      <c r="M792" s="20" t="s">
        <v>52</v>
      </c>
      <c r="N792" s="20" t="s">
        <v>89</v>
      </c>
      <c r="O792" s="20" t="s">
        <v>861</v>
      </c>
      <c r="P792" s="20" t="s">
        <v>126</v>
      </c>
      <c r="Q792" s="20" t="s">
        <v>131</v>
      </c>
      <c r="R792" s="20" t="s">
        <v>132</v>
      </c>
      <c r="S792" s="20" t="s">
        <v>133</v>
      </c>
      <c r="T792" s="20" t="s">
        <v>59</v>
      </c>
      <c r="U792" s="20">
        <v>2026.0</v>
      </c>
      <c r="V792" s="20">
        <v>6.0</v>
      </c>
      <c r="W792" s="20">
        <v>1.081875704E9</v>
      </c>
      <c r="X792" s="20">
        <v>1.081894176E9</v>
      </c>
      <c r="Y792" s="22">
        <v>46182.0</v>
      </c>
      <c r="Z792" s="22">
        <v>46207.0</v>
      </c>
      <c r="AA792" s="20">
        <v>113128.5</v>
      </c>
      <c r="AB792" s="20">
        <v>113128.5</v>
      </c>
      <c r="AC792" s="20">
        <v>37709.5</v>
      </c>
      <c r="AD792" s="20">
        <v>0.0</v>
      </c>
      <c r="AE792" s="20">
        <v>0.0</v>
      </c>
      <c r="AF792" s="20">
        <v>0.0</v>
      </c>
      <c r="AG792" s="20">
        <v>0.0</v>
      </c>
      <c r="AH792" s="20">
        <v>0.0</v>
      </c>
      <c r="AI792" s="20">
        <v>0.0</v>
      </c>
      <c r="AJ792" s="20">
        <v>113128.5</v>
      </c>
      <c r="AK792" s="20">
        <v>113128.5</v>
      </c>
      <c r="AL792" s="20">
        <v>0.0</v>
      </c>
      <c r="AM792" s="20">
        <v>376.2</v>
      </c>
      <c r="AN792" s="20">
        <v>0.0</v>
      </c>
      <c r="AS792" s="11" t="str">
        <f>VLOOKUP(C792,'mayo-26'!B:AS,44,0)</f>
        <v>ALBA.CELIS@D1.COM.CO;CARMEN.DAVILA@D1.COM.CO</v>
      </c>
      <c r="AT792" s="12" t="str">
        <f>VLOOKUP(C792,'mayo-26'!B:AT,45,0)</f>
        <v>CORREO ELECTRONICO CERTIFICADO 472</v>
      </c>
    </row>
    <row r="793" ht="14.25" customHeight="1">
      <c r="A793" s="20" t="s">
        <v>1679</v>
      </c>
      <c r="B793" s="20">
        <v>280920.0</v>
      </c>
      <c r="C793" s="20">
        <v>59144.0</v>
      </c>
      <c r="D793" s="21">
        <v>59144.0</v>
      </c>
      <c r="E793" s="20">
        <v>56973.0</v>
      </c>
      <c r="F793" s="20">
        <v>56973.0</v>
      </c>
      <c r="G793" s="20">
        <v>9.00576569E8</v>
      </c>
      <c r="H793" s="20" t="s">
        <v>161</v>
      </c>
      <c r="I793" s="1" t="str">
        <f>VLOOKUP(C793,'mayo-26'!B:H,7,0)</f>
        <v>AVE 12 5AN-84 1142</v>
      </c>
      <c r="J793" s="1" t="s">
        <v>1256</v>
      </c>
      <c r="K793" s="10" t="str">
        <f>VLOOKUP(C793,'mayo-26'!B:J,9,0)</f>
        <v>NO</v>
      </c>
      <c r="L793" s="1" t="str">
        <f>VLOOKUP(C793,'mayo-26'!B:K,10,0)</f>
        <v>BETEL</v>
      </c>
      <c r="M793" s="20" t="s">
        <v>52</v>
      </c>
      <c r="N793" s="20" t="s">
        <v>89</v>
      </c>
      <c r="O793" s="20" t="s">
        <v>861</v>
      </c>
      <c r="P793" s="20" t="s">
        <v>126</v>
      </c>
      <c r="Q793" s="20" t="s">
        <v>56</v>
      </c>
      <c r="R793" s="20" t="s">
        <v>90</v>
      </c>
      <c r="S793" s="20" t="s">
        <v>143</v>
      </c>
      <c r="T793" s="20" t="s">
        <v>59</v>
      </c>
      <c r="U793" s="20">
        <v>2026.0</v>
      </c>
      <c r="V793" s="20">
        <v>6.0</v>
      </c>
      <c r="W793" s="20">
        <v>1.081875708E9</v>
      </c>
      <c r="X793" s="20">
        <v>1.08189418E9</v>
      </c>
      <c r="Y793" s="22">
        <v>46182.0</v>
      </c>
      <c r="Z793" s="22">
        <v>46207.0</v>
      </c>
      <c r="AA793" s="20">
        <v>401805.72</v>
      </c>
      <c r="AB793" s="20">
        <v>401805.72</v>
      </c>
      <c r="AC793" s="20">
        <v>131021.97</v>
      </c>
      <c r="AD793" s="20">
        <v>1182.5</v>
      </c>
      <c r="AE793" s="20">
        <v>8739.81</v>
      </c>
      <c r="AF793" s="20">
        <v>0.0</v>
      </c>
      <c r="AG793" s="20">
        <v>0.0</v>
      </c>
      <c r="AH793" s="20">
        <v>0.0</v>
      </c>
      <c r="AI793" s="20">
        <v>0.0</v>
      </c>
      <c r="AJ793" s="20">
        <v>401805.72</v>
      </c>
      <c r="AK793" s="20">
        <v>1211614.76</v>
      </c>
      <c r="AL793" s="20">
        <v>2.0</v>
      </c>
      <c r="AM793" s="20">
        <v>376.2</v>
      </c>
      <c r="AN793" s="20">
        <v>0.0</v>
      </c>
      <c r="AS793" s="11" t="str">
        <f>VLOOKUP(C793,'mayo-26'!B:AS,44,0)</f>
        <v>COORDTESORERIASUPERBETEL@GMAIL.COM</v>
      </c>
      <c r="AT793" s="12" t="str">
        <f>VLOOKUP(C793,'mayo-26'!B:AT,45,0)</f>
        <v>CORREO ELECTRONICO CERTIFICADO 472</v>
      </c>
    </row>
    <row r="794" ht="14.25" customHeight="1">
      <c r="A794" s="20" t="s">
        <v>1680</v>
      </c>
      <c r="B794" s="20">
        <v>593.0</v>
      </c>
      <c r="C794" s="20">
        <v>592.0</v>
      </c>
      <c r="D794" s="21">
        <v>592.0</v>
      </c>
      <c r="E794" s="20">
        <v>9.0277195E7</v>
      </c>
      <c r="F794" s="20">
        <v>9.0277195E7</v>
      </c>
      <c r="G794" s="20" t="s">
        <v>1681</v>
      </c>
      <c r="H794" s="20" t="s">
        <v>1682</v>
      </c>
      <c r="I794" s="1" t="str">
        <f>VLOOKUP(C794,'mayo-26'!B:H,7,0)</f>
        <v>MINA LA FIERA FINCA LAPEDREG0SA VÍA PUERTO NUEVO</v>
      </c>
      <c r="J794" s="1" t="s">
        <v>76</v>
      </c>
      <c r="K794" s="10" t="str">
        <f>VLOOKUP(C794,'mayo-26'!B:J,9,0)</f>
        <v>NO</v>
      </c>
      <c r="L794" s="1" t="str">
        <f>VLOOKUP(C794,'mayo-26'!B:K,10,0)</f>
        <v>NO</v>
      </c>
      <c r="M794" s="20" t="s">
        <v>52</v>
      </c>
      <c r="N794" s="20" t="s">
        <v>89</v>
      </c>
      <c r="O794" s="20" t="s">
        <v>861</v>
      </c>
      <c r="P794" s="20" t="s">
        <v>126</v>
      </c>
      <c r="Q794" s="20" t="s">
        <v>56</v>
      </c>
      <c r="R794" s="20" t="s">
        <v>90</v>
      </c>
      <c r="S794" s="20" t="s">
        <v>143</v>
      </c>
      <c r="T794" s="20" t="s">
        <v>59</v>
      </c>
      <c r="U794" s="20">
        <v>2026.0</v>
      </c>
      <c r="V794" s="20">
        <v>6.0</v>
      </c>
      <c r="W794" s="20">
        <v>1.081875586E9</v>
      </c>
      <c r="X794" s="20">
        <v>1.081894058E9</v>
      </c>
      <c r="Y794" s="22">
        <v>46182.0</v>
      </c>
      <c r="Z794" s="22">
        <v>46207.0</v>
      </c>
      <c r="AA794" s="20">
        <v>127800.61</v>
      </c>
      <c r="AB794" s="20">
        <v>127800.61</v>
      </c>
      <c r="AC794" s="20">
        <v>42544.51</v>
      </c>
      <c r="AD794" s="20">
        <v>250.0</v>
      </c>
      <c r="AE794" s="20">
        <v>167.1</v>
      </c>
      <c r="AF794" s="20">
        <v>0.0</v>
      </c>
      <c r="AG794" s="20">
        <v>0.0</v>
      </c>
      <c r="AH794" s="20">
        <v>0.0</v>
      </c>
      <c r="AI794" s="20">
        <v>0.0</v>
      </c>
      <c r="AJ794" s="20">
        <v>127800.61</v>
      </c>
      <c r="AK794" s="20">
        <v>127800.61</v>
      </c>
      <c r="AL794" s="20">
        <v>0.0</v>
      </c>
      <c r="AM794" s="20">
        <v>376.2</v>
      </c>
      <c r="AN794" s="20">
        <v>0.0</v>
      </c>
      <c r="AS794" s="11" t="str">
        <f>VLOOKUP(C794,'mayo-26'!B:AS,44,0)</f>
        <v>CONTABILIDAD.CARBONESLAMIRLA@GMAIL.COM / CARBONESLAMIRLA@HOTMAIL.COM</v>
      </c>
      <c r="AT794" s="12" t="str">
        <f>VLOOKUP(C794,'mayo-26'!B:AT,45,0)</f>
        <v>CORREO ELECTRONICO CERTIFICADO 472</v>
      </c>
    </row>
    <row r="795" ht="14.25" customHeight="1">
      <c r="A795" s="20" t="s">
        <v>1683</v>
      </c>
      <c r="B795" s="20">
        <v>59305.0</v>
      </c>
      <c r="C795" s="20">
        <v>59304.0</v>
      </c>
      <c r="D795" s="21">
        <v>59304.0</v>
      </c>
      <c r="E795" s="20">
        <v>191611.0</v>
      </c>
      <c r="F795" s="20">
        <v>191611.0</v>
      </c>
      <c r="G795" s="20">
        <v>6.0284157E7</v>
      </c>
      <c r="H795" s="20" t="s">
        <v>1684</v>
      </c>
      <c r="I795" s="1" t="str">
        <f>VLOOKUP(C795,'mayo-26'!B:H,7,0)</f>
        <v>AVE 1N 18-57</v>
      </c>
      <c r="J795" s="1" t="s">
        <v>1181</v>
      </c>
      <c r="K795" s="10" t="str">
        <f>VLOOKUP(C795,'mayo-26'!B:J,9,0)</f>
        <v>CENTRO</v>
      </c>
      <c r="L795" s="1" t="str">
        <f>VLOOKUP(C795,'mayo-26'!B:K,10,0)</f>
        <v>NO</v>
      </c>
      <c r="M795" s="20" t="s">
        <v>52</v>
      </c>
      <c r="N795" s="20" t="s">
        <v>89</v>
      </c>
      <c r="O795" s="20" t="s">
        <v>861</v>
      </c>
      <c r="P795" s="20" t="s">
        <v>126</v>
      </c>
      <c r="Q795" s="20" t="s">
        <v>131</v>
      </c>
      <c r="R795" s="20" t="s">
        <v>538</v>
      </c>
      <c r="S795" s="20" t="s">
        <v>133</v>
      </c>
      <c r="T795" s="20" t="s">
        <v>59</v>
      </c>
      <c r="U795" s="20">
        <v>2026.0</v>
      </c>
      <c r="V795" s="20">
        <v>6.0</v>
      </c>
      <c r="W795" s="20">
        <v>1.081875714E9</v>
      </c>
      <c r="X795" s="20">
        <v>1.081894186E9</v>
      </c>
      <c r="Y795" s="22">
        <v>46182.0</v>
      </c>
      <c r="Z795" s="22">
        <v>46207.0</v>
      </c>
      <c r="AA795" s="20">
        <v>94248.0</v>
      </c>
      <c r="AB795" s="20">
        <v>94248.0</v>
      </c>
      <c r="AC795" s="20">
        <v>31416.0</v>
      </c>
      <c r="AD795" s="20">
        <v>0.0</v>
      </c>
      <c r="AE795" s="20">
        <v>0.0</v>
      </c>
      <c r="AF795" s="20">
        <v>0.0</v>
      </c>
      <c r="AG795" s="20">
        <v>0.0</v>
      </c>
      <c r="AH795" s="20">
        <v>0.0</v>
      </c>
      <c r="AI795" s="20">
        <v>0.0</v>
      </c>
      <c r="AJ795" s="20">
        <v>94248.0</v>
      </c>
      <c r="AK795" s="20">
        <v>94248.0</v>
      </c>
      <c r="AL795" s="20">
        <v>0.0</v>
      </c>
      <c r="AM795" s="20">
        <v>376.2</v>
      </c>
      <c r="AN795" s="20">
        <v>0.0</v>
      </c>
      <c r="AS795" s="11" t="str">
        <f>VLOOKUP(C795,'mayo-26'!B:AS,44,0)</f>
        <v>SERVICIOSPUBLICOS@CRUZVERDE.COM.CO; HOTELCINERACUCUTA@HOTMAIL.COM; SERVICIOSPUBLICOS@CRUZVERDE.COM.CO; NATALY.PARRA@CRUZVERDE.COM.CO</v>
      </c>
      <c r="AT795" s="12" t="str">
        <f>VLOOKUP(C795,'mayo-26'!B:AT,45,0)</f>
        <v>VERIFICADOR</v>
      </c>
    </row>
    <row r="796" ht="14.25" customHeight="1">
      <c r="A796" s="20" t="s">
        <v>1685</v>
      </c>
      <c r="B796" s="20">
        <v>285191.0</v>
      </c>
      <c r="C796" s="20">
        <v>59928.0</v>
      </c>
      <c r="D796" s="21">
        <v>59928.0</v>
      </c>
      <c r="E796" s="20">
        <v>302796.0</v>
      </c>
      <c r="F796" s="20">
        <v>302796.0</v>
      </c>
      <c r="G796" s="20">
        <v>9.00276962E8</v>
      </c>
      <c r="H796" s="20" t="s">
        <v>128</v>
      </c>
      <c r="I796" s="1" t="str">
        <f>VLOOKUP(C796,'mayo-26'!B:H,7,0)</f>
        <v>KDX 73-2 1116</v>
      </c>
      <c r="J796" s="1" t="s">
        <v>1114</v>
      </c>
      <c r="K796" s="10" t="str">
        <f>VLOOKUP(C796,'mayo-26'!B:J,9,0)</f>
        <v>NO</v>
      </c>
      <c r="L796" s="1" t="str">
        <f>VLOOKUP(C796,'mayo-26'!B:K,10,0)</f>
        <v>D1</v>
      </c>
      <c r="M796" s="20" t="s">
        <v>52</v>
      </c>
      <c r="N796" s="20" t="s">
        <v>89</v>
      </c>
      <c r="O796" s="20" t="s">
        <v>861</v>
      </c>
      <c r="P796" s="20" t="s">
        <v>126</v>
      </c>
      <c r="Q796" s="20" t="s">
        <v>131</v>
      </c>
      <c r="R796" s="20" t="s">
        <v>132</v>
      </c>
      <c r="S796" s="20" t="s">
        <v>133</v>
      </c>
      <c r="T796" s="20" t="s">
        <v>59</v>
      </c>
      <c r="U796" s="20">
        <v>2026.0</v>
      </c>
      <c r="V796" s="20">
        <v>6.0</v>
      </c>
      <c r="W796" s="20">
        <v>1.081875718E9</v>
      </c>
      <c r="X796" s="20">
        <v>1.08189419E9</v>
      </c>
      <c r="Y796" s="22">
        <v>46182.0</v>
      </c>
      <c r="Z796" s="22">
        <v>46207.0</v>
      </c>
      <c r="AA796" s="20">
        <v>113128.5</v>
      </c>
      <c r="AB796" s="20">
        <v>113128.5</v>
      </c>
      <c r="AC796" s="20">
        <v>37709.5</v>
      </c>
      <c r="AD796" s="20">
        <v>0.0</v>
      </c>
      <c r="AE796" s="20">
        <v>0.0</v>
      </c>
      <c r="AF796" s="20">
        <v>0.0</v>
      </c>
      <c r="AG796" s="20">
        <v>0.0</v>
      </c>
      <c r="AH796" s="20">
        <v>0.0</v>
      </c>
      <c r="AI796" s="20">
        <v>0.0</v>
      </c>
      <c r="AJ796" s="20">
        <v>113128.5</v>
      </c>
      <c r="AK796" s="20">
        <v>113128.5</v>
      </c>
      <c r="AL796" s="20">
        <v>0.0</v>
      </c>
      <c r="AM796" s="20">
        <v>376.2</v>
      </c>
      <c r="AN796" s="20">
        <v>0.0</v>
      </c>
      <c r="AS796" s="11" t="str">
        <f>VLOOKUP(C796,'mayo-26'!B:AS,44,0)</f>
        <v>ALBA.CELIS@D1.COM.CO;CARMEN.DAVILA@D1.COM.CO</v>
      </c>
      <c r="AT796" s="12" t="str">
        <f>VLOOKUP(C796,'mayo-26'!B:AT,45,0)</f>
        <v>CORREO ELECTRONICO CERTIFICADO 472</v>
      </c>
    </row>
    <row r="797" ht="14.25" customHeight="1">
      <c r="A797" s="20" t="s">
        <v>1686</v>
      </c>
      <c r="B797" s="20">
        <v>60173.0</v>
      </c>
      <c r="C797" s="20">
        <v>60008.0</v>
      </c>
      <c r="D797" s="21">
        <v>60008.0</v>
      </c>
      <c r="E797" s="20">
        <v>15917.0</v>
      </c>
      <c r="F797" s="20">
        <v>15917.0</v>
      </c>
      <c r="G797" s="20">
        <v>9.01447279E8</v>
      </c>
      <c r="H797" s="20" t="s">
        <v>1687</v>
      </c>
      <c r="I797" s="1" t="str">
        <f>VLOOKUP(C797,'mayo-26'!B:H,7,0)</f>
        <v>AV 3E 15-100 CAOBOS</v>
      </c>
      <c r="J797" s="1" t="s">
        <v>942</v>
      </c>
      <c r="K797" s="10" t="str">
        <f>VLOOKUP(C797,'mayo-26'!B:J,9,0)</f>
        <v>NO</v>
      </c>
      <c r="L797" s="1" t="str">
        <f>VLOOKUP(C797,'mayo-26'!B:K,10,0)</f>
        <v>ISHTANA</v>
      </c>
      <c r="M797" s="20" t="s">
        <v>52</v>
      </c>
      <c r="N797" s="20" t="s">
        <v>53</v>
      </c>
      <c r="O797" s="20" t="s">
        <v>861</v>
      </c>
      <c r="P797" s="20" t="s">
        <v>126</v>
      </c>
      <c r="Q797" s="20" t="s">
        <v>56</v>
      </c>
      <c r="R797" s="20" t="s">
        <v>90</v>
      </c>
      <c r="S797" s="20" t="s">
        <v>143</v>
      </c>
      <c r="T797" s="20" t="s">
        <v>59</v>
      </c>
      <c r="U797" s="20">
        <v>2026.0</v>
      </c>
      <c r="V797" s="20">
        <v>6.0</v>
      </c>
      <c r="W797" s="20">
        <v>1.081875722E9</v>
      </c>
      <c r="X797" s="20">
        <v>1.081894194E9</v>
      </c>
      <c r="Y797" s="22">
        <v>46182.0</v>
      </c>
      <c r="Z797" s="22">
        <v>46207.0</v>
      </c>
      <c r="AA797" s="20">
        <v>602992.32</v>
      </c>
      <c r="AB797" s="20">
        <v>602992.32</v>
      </c>
      <c r="AC797" s="20">
        <v>200997.44</v>
      </c>
      <c r="AD797" s="20">
        <v>1920.0</v>
      </c>
      <c r="AE797" s="20">
        <v>0.0</v>
      </c>
      <c r="AF797" s="20">
        <v>0.0</v>
      </c>
      <c r="AG797" s="20">
        <v>0.0</v>
      </c>
      <c r="AH797" s="20">
        <v>0.0</v>
      </c>
      <c r="AI797" s="20">
        <v>0.0</v>
      </c>
      <c r="AJ797" s="20">
        <v>602992.32</v>
      </c>
      <c r="AK797" s="20">
        <v>602992.32</v>
      </c>
      <c r="AL797" s="20">
        <v>0.0</v>
      </c>
      <c r="AM797" s="20">
        <v>376.2</v>
      </c>
      <c r="AN797" s="20">
        <v>0.0</v>
      </c>
      <c r="AS797" s="11" t="str">
        <f>VLOOKUP(C797,'mayo-26'!B:AS,44,0)</f>
        <v>ISHTANACUCUTA@GMAIL.COM</v>
      </c>
      <c r="AT797" s="12" t="str">
        <f>VLOOKUP(C797,'mayo-26'!B:AT,45,0)</f>
        <v>CORREO ELECTRONICO CERTIFICADO 472</v>
      </c>
    </row>
    <row r="798" ht="14.25" customHeight="1">
      <c r="A798" s="20" t="s">
        <v>1688</v>
      </c>
      <c r="B798" s="20">
        <v>60173.0</v>
      </c>
      <c r="C798" s="20">
        <v>60172.0</v>
      </c>
      <c r="D798" s="21">
        <v>60172.0</v>
      </c>
      <c r="E798" s="20">
        <v>15914.0</v>
      </c>
      <c r="F798" s="20">
        <v>15914.0</v>
      </c>
      <c r="G798" s="20">
        <v>9.01447279E8</v>
      </c>
      <c r="H798" s="20" t="s">
        <v>1687</v>
      </c>
      <c r="I798" s="1" t="str">
        <f>VLOOKUP(C798,'mayo-26'!B:H,7,0)</f>
        <v>AV 3E 15-100 CAOBOS</v>
      </c>
      <c r="J798" s="1" t="s">
        <v>942</v>
      </c>
      <c r="K798" s="10" t="str">
        <f>VLOOKUP(C798,'mayo-26'!B:J,9,0)</f>
        <v>NO</v>
      </c>
      <c r="L798" s="1" t="str">
        <f>VLOOKUP(C798,'mayo-26'!B:K,10,0)</f>
        <v>ISHTANA</v>
      </c>
      <c r="M798" s="20" t="s">
        <v>52</v>
      </c>
      <c r="N798" s="20" t="s">
        <v>53</v>
      </c>
      <c r="O798" s="20" t="s">
        <v>861</v>
      </c>
      <c r="P798" s="20" t="s">
        <v>126</v>
      </c>
      <c r="Q798" s="20" t="s">
        <v>56</v>
      </c>
      <c r="R798" s="20" t="s">
        <v>90</v>
      </c>
      <c r="S798" s="20" t="s">
        <v>143</v>
      </c>
      <c r="T798" s="20" t="s">
        <v>59</v>
      </c>
      <c r="U798" s="20">
        <v>2026.0</v>
      </c>
      <c r="V798" s="20">
        <v>6.0</v>
      </c>
      <c r="W798" s="20">
        <v>1.081875726E9</v>
      </c>
      <c r="X798" s="20">
        <v>1.081894198E9</v>
      </c>
      <c r="Y798" s="22">
        <v>46182.0</v>
      </c>
      <c r="Z798" s="22">
        <v>46207.0</v>
      </c>
      <c r="AA798" s="20">
        <v>732506.28</v>
      </c>
      <c r="AB798" s="20">
        <v>732506.28</v>
      </c>
      <c r="AC798" s="20">
        <v>244168.77</v>
      </c>
      <c r="AD798" s="20">
        <v>2375.0</v>
      </c>
      <c r="AE798" s="20">
        <v>0.0</v>
      </c>
      <c r="AF798" s="20">
        <v>0.0</v>
      </c>
      <c r="AG798" s="20">
        <v>0.0</v>
      </c>
      <c r="AH798" s="20">
        <v>0.0</v>
      </c>
      <c r="AI798" s="20">
        <v>0.0</v>
      </c>
      <c r="AJ798" s="20">
        <v>732506.28</v>
      </c>
      <c r="AK798" s="20">
        <v>732506.28</v>
      </c>
      <c r="AL798" s="20">
        <v>0.0</v>
      </c>
      <c r="AM798" s="20">
        <v>376.2</v>
      </c>
      <c r="AN798" s="20">
        <v>0.0</v>
      </c>
      <c r="AS798" s="11" t="str">
        <f>VLOOKUP(C798,'mayo-26'!B:AS,44,0)</f>
        <v>ISHTANACUCUTA@GMAIL.COM</v>
      </c>
      <c r="AT798" s="12" t="str">
        <f>VLOOKUP(C798,'mayo-26'!B:AT,45,0)</f>
        <v>CORREO ELECTRONICO CERTIFICADO 472</v>
      </c>
    </row>
    <row r="799" ht="14.25" customHeight="1">
      <c r="A799" s="20" t="s">
        <v>1689</v>
      </c>
      <c r="B799" s="20">
        <v>609.0</v>
      </c>
      <c r="C799" s="20">
        <v>608.0</v>
      </c>
      <c r="D799" s="21">
        <v>608.0</v>
      </c>
      <c r="E799" s="20">
        <v>9.0283959E7</v>
      </c>
      <c r="F799" s="20">
        <v>9.0283959E7</v>
      </c>
      <c r="G799" s="20" t="s">
        <v>1690</v>
      </c>
      <c r="H799" s="20" t="s">
        <v>1691</v>
      </c>
      <c r="I799" s="1" t="str">
        <f>VLOOKUP(C799,'mayo-26'!B:H,7,0)</f>
        <v>CLL 10 0E-94 SUB 5 C E 1 ARMARIO 1 LOCAL - 0283959</v>
      </c>
      <c r="J799" s="1" t="s">
        <v>931</v>
      </c>
      <c r="K799" s="10" t="str">
        <f>VLOOKUP(C799,'mayo-26'!B:J,9,0)</f>
        <v>NO</v>
      </c>
      <c r="L799" s="1" t="str">
        <f>VLOOKUP(C799,'mayo-26'!B:K,10,0)</f>
        <v>NO</v>
      </c>
      <c r="M799" s="20" t="s">
        <v>52</v>
      </c>
      <c r="N799" s="20" t="s">
        <v>89</v>
      </c>
      <c r="O799" s="20" t="s">
        <v>861</v>
      </c>
      <c r="P799" s="20" t="s">
        <v>126</v>
      </c>
      <c r="Q799" s="20" t="s">
        <v>131</v>
      </c>
      <c r="R799" s="20" t="s">
        <v>132</v>
      </c>
      <c r="S799" s="20" t="s">
        <v>133</v>
      </c>
      <c r="T799" s="20" t="s">
        <v>59</v>
      </c>
      <c r="U799" s="20">
        <v>2026.0</v>
      </c>
      <c r="V799" s="20">
        <v>6.0</v>
      </c>
      <c r="W799" s="20">
        <v>1.08187559E9</v>
      </c>
      <c r="X799" s="20">
        <v>1.081894062E9</v>
      </c>
      <c r="Y799" s="22">
        <v>46182.0</v>
      </c>
      <c r="Z799" s="22">
        <v>46207.0</v>
      </c>
      <c r="AA799" s="20">
        <v>113572.71</v>
      </c>
      <c r="AB799" s="20">
        <v>113572.71</v>
      </c>
      <c r="AC799" s="20">
        <v>37709.5</v>
      </c>
      <c r="AD799" s="20">
        <v>0.0</v>
      </c>
      <c r="AE799" s="20">
        <v>444.21</v>
      </c>
      <c r="AF799" s="20">
        <v>0.0</v>
      </c>
      <c r="AG799" s="20">
        <v>0.0</v>
      </c>
      <c r="AH799" s="20">
        <v>0.0</v>
      </c>
      <c r="AI799" s="20">
        <v>0.0</v>
      </c>
      <c r="AJ799" s="20">
        <v>113572.71</v>
      </c>
      <c r="AK799" s="20">
        <v>227484.21</v>
      </c>
      <c r="AL799" s="20">
        <v>1.0</v>
      </c>
      <c r="AM799" s="20">
        <v>376.2</v>
      </c>
      <c r="AN799" s="20">
        <v>0.0</v>
      </c>
      <c r="AS799" s="11" t="str">
        <f>VLOOKUP(C799,'mayo-26'!B:AS,44,0)</f>
        <v>FACTURACION@GRUPOLANOTA.COM</v>
      </c>
      <c r="AT799" s="12" t="str">
        <f>VLOOKUP(C799,'mayo-26'!B:AT,45,0)</f>
        <v>CORREO ELECTRONICO CERTIFICADO 472</v>
      </c>
    </row>
    <row r="800" ht="14.25" customHeight="1">
      <c r="A800" s="20" t="s">
        <v>1692</v>
      </c>
      <c r="B800" s="20">
        <v>617.0</v>
      </c>
      <c r="C800" s="20">
        <v>616.0</v>
      </c>
      <c r="D800" s="21">
        <v>616.0</v>
      </c>
      <c r="E800" s="20">
        <v>9.0284989E7</v>
      </c>
      <c r="F800" s="20">
        <v>9.0284989E7</v>
      </c>
      <c r="G800" s="20" t="s">
        <v>1693</v>
      </c>
      <c r="H800" s="20" t="s">
        <v>1694</v>
      </c>
      <c r="I800" s="1" t="str">
        <f>VLOOKUP(C800,'mayo-26'!B:H,7,0)</f>
        <v>CLL 6N 11E-123 - 0284989</v>
      </c>
      <c r="J800" s="1" t="s">
        <v>1169</v>
      </c>
      <c r="K800" s="10" t="str">
        <f>VLOOKUP(C800,'mayo-26'!B:J,9,0)</f>
        <v>NO</v>
      </c>
      <c r="L800" s="1" t="str">
        <f>VLOOKUP(C800,'mayo-26'!B:K,10,0)</f>
        <v>MEDICO QUIRURGICA</v>
      </c>
      <c r="M800" s="20" t="s">
        <v>52</v>
      </c>
      <c r="N800" s="20" t="s">
        <v>89</v>
      </c>
      <c r="O800" s="20" t="s">
        <v>861</v>
      </c>
      <c r="P800" s="20" t="s">
        <v>126</v>
      </c>
      <c r="Q800" s="20" t="s">
        <v>56</v>
      </c>
      <c r="R800" s="20" t="s">
        <v>57</v>
      </c>
      <c r="S800" s="20" t="s">
        <v>58</v>
      </c>
      <c r="T800" s="20" t="s">
        <v>59</v>
      </c>
      <c r="U800" s="20">
        <v>2026.0</v>
      </c>
      <c r="V800" s="20">
        <v>6.0</v>
      </c>
      <c r="W800" s="20">
        <v>1.081875593E9</v>
      </c>
      <c r="X800" s="20">
        <v>1.081894065E9</v>
      </c>
      <c r="Y800" s="22">
        <v>46182.0</v>
      </c>
      <c r="Z800" s="22">
        <v>46207.0</v>
      </c>
      <c r="AA800" s="20">
        <v>2829550.86</v>
      </c>
      <c r="AB800" s="20">
        <v>2829550.86</v>
      </c>
      <c r="AC800" s="20">
        <v>0.0</v>
      </c>
      <c r="AD800" s="20">
        <v>14712.5</v>
      </c>
      <c r="AE800" s="20">
        <v>0.0</v>
      </c>
      <c r="AF800" s="20">
        <v>0.0</v>
      </c>
      <c r="AG800" s="20">
        <v>0.0</v>
      </c>
      <c r="AH800" s="20">
        <v>0.0</v>
      </c>
      <c r="AI800" s="20">
        <v>0.0</v>
      </c>
      <c r="AJ800" s="20">
        <v>2486856.06</v>
      </c>
      <c r="AK800" s="20">
        <v>2486856.06</v>
      </c>
      <c r="AL800" s="20">
        <v>0.0</v>
      </c>
      <c r="AM800" s="20">
        <v>250.8</v>
      </c>
      <c r="AN800" s="20">
        <v>0.0</v>
      </c>
      <c r="AQ800" s="20">
        <v>342694.8</v>
      </c>
      <c r="AS800" s="11" t="str">
        <f>VLOOKUP(C800,'mayo-26'!B:AS,44,0)</f>
        <v>AUXILIARLOGISTICA@CMQCUCUTA.COM</v>
      </c>
      <c r="AT800" s="12" t="str">
        <f>VLOOKUP(C800,'mayo-26'!B:AT,45,0)</f>
        <v>CORREO ELECTRONICO CERTIFICADO 472</v>
      </c>
    </row>
    <row r="801" ht="14.25" customHeight="1">
      <c r="A801" s="20" t="s">
        <v>1695</v>
      </c>
      <c r="B801" s="20">
        <v>629.0</v>
      </c>
      <c r="C801" s="20">
        <v>628.0</v>
      </c>
      <c r="D801" s="21">
        <v>628.0</v>
      </c>
      <c r="E801" s="20">
        <v>9.0290289E7</v>
      </c>
      <c r="F801" s="20">
        <v>9.0290289E7</v>
      </c>
      <c r="G801" s="20" t="s">
        <v>1696</v>
      </c>
      <c r="H801" s="20" t="s">
        <v>1697</v>
      </c>
      <c r="I801" s="1" t="str">
        <f>VLOOKUP(C801,'mayo-26'!B:H,7,0)</f>
        <v>ANILLO VIAL ORIENTAL LTE 2 SANTA BARBARA - 0290289</v>
      </c>
      <c r="J801" s="1" t="s">
        <v>1050</v>
      </c>
      <c r="K801" s="10" t="str">
        <f>VLOOKUP(C801,'mayo-26'!B:J,9,0)</f>
        <v>NO</v>
      </c>
      <c r="L801" s="1" t="str">
        <f>VLOOKUP(C801,'mayo-26'!B:K,10,0)</f>
        <v>NO</v>
      </c>
      <c r="M801" s="20" t="s">
        <v>52</v>
      </c>
      <c r="N801" s="20" t="s">
        <v>89</v>
      </c>
      <c r="O801" s="20" t="s">
        <v>861</v>
      </c>
      <c r="P801" s="20" t="s">
        <v>126</v>
      </c>
      <c r="Q801" s="20" t="s">
        <v>218</v>
      </c>
      <c r="R801" s="20" t="s">
        <v>219</v>
      </c>
      <c r="S801" s="20" t="s">
        <v>133</v>
      </c>
      <c r="T801" s="20" t="s">
        <v>59</v>
      </c>
      <c r="U801" s="20">
        <v>2026.0</v>
      </c>
      <c r="V801" s="20">
        <v>6.0</v>
      </c>
      <c r="W801" s="20">
        <v>1.081875597E9</v>
      </c>
      <c r="X801" s="20">
        <v>1.081894069E9</v>
      </c>
      <c r="Y801" s="22">
        <v>46182.0</v>
      </c>
      <c r="Z801" s="22">
        <v>46207.0</v>
      </c>
      <c r="AA801" s="20">
        <v>49934.3</v>
      </c>
      <c r="AB801" s="20">
        <v>49934.3</v>
      </c>
      <c r="AC801" s="20">
        <v>-1650.7</v>
      </c>
      <c r="AD801" s="20">
        <v>0.0</v>
      </c>
      <c r="AE801" s="20">
        <v>0.0</v>
      </c>
      <c r="AF801" s="20">
        <v>0.0</v>
      </c>
      <c r="AG801" s="20">
        <v>0.0</v>
      </c>
      <c r="AH801" s="20">
        <v>0.0</v>
      </c>
      <c r="AI801" s="20">
        <v>0.0</v>
      </c>
      <c r="AJ801" s="20">
        <v>49934.3</v>
      </c>
      <c r="AK801" s="20">
        <v>49935.06</v>
      </c>
      <c r="AL801" s="20">
        <v>1.0</v>
      </c>
      <c r="AM801" s="20">
        <v>242.77</v>
      </c>
      <c r="AN801" s="20">
        <v>0.0</v>
      </c>
      <c r="AS801" s="11" t="str">
        <f>VLOOKUP(C801,'mayo-26'!B:AS,44,0)</f>
        <v>AUXILIARCOMPRAVENTA@GILYEPESYCIA.COM;YBARRETO@INVERVAN.COM</v>
      </c>
      <c r="AT801" s="12" t="str">
        <f>VLOOKUP(C801,'mayo-26'!B:AT,45,0)</f>
        <v>CORREO ELECTRONICO CERTIFICADO 472</v>
      </c>
    </row>
    <row r="802" ht="14.25" customHeight="1">
      <c r="A802" s="20" t="s">
        <v>1698</v>
      </c>
      <c r="B802" s="20">
        <v>633.0</v>
      </c>
      <c r="C802" s="20">
        <v>632.0</v>
      </c>
      <c r="D802" s="21">
        <v>632.0</v>
      </c>
      <c r="E802" s="20">
        <v>9.0290499E7</v>
      </c>
      <c r="F802" s="20">
        <v>9.0290499E7</v>
      </c>
      <c r="G802" s="20" t="s">
        <v>1699</v>
      </c>
      <c r="H802" s="20" t="s">
        <v>1121</v>
      </c>
      <c r="I802" s="1" t="str">
        <f>VLOOKUP(C802,'mayo-26'!B:H,7,0)</f>
        <v>CALLE 7 6E-192</v>
      </c>
      <c r="J802" s="1" t="s">
        <v>915</v>
      </c>
      <c r="K802" s="10" t="str">
        <f>VLOOKUP(C802,'mayo-26'!B:J,9,0)</f>
        <v>NO</v>
      </c>
      <c r="L802" s="1" t="str">
        <f>VLOOKUP(C802,'mayo-26'!B:K,10,0)</f>
        <v>OLIMPICA</v>
      </c>
      <c r="M802" s="20" t="s">
        <v>52</v>
      </c>
      <c r="N802" s="20" t="s">
        <v>89</v>
      </c>
      <c r="O802" s="20" t="s">
        <v>861</v>
      </c>
      <c r="P802" s="20" t="s">
        <v>126</v>
      </c>
      <c r="Q802" s="20" t="s">
        <v>56</v>
      </c>
      <c r="R802" s="20" t="s">
        <v>90</v>
      </c>
      <c r="S802" s="20" t="s">
        <v>143</v>
      </c>
      <c r="T802" s="20" t="s">
        <v>59</v>
      </c>
      <c r="U802" s="20">
        <v>2026.0</v>
      </c>
      <c r="V802" s="20">
        <v>6.0</v>
      </c>
      <c r="W802" s="20">
        <v>1.081875601E9</v>
      </c>
      <c r="X802" s="20">
        <v>1.081894073E9</v>
      </c>
      <c r="Y802" s="22">
        <v>46182.0</v>
      </c>
      <c r="Z802" s="22">
        <v>46207.0</v>
      </c>
      <c r="AA802" s="20">
        <v>143289.05</v>
      </c>
      <c r="AB802" s="20">
        <v>143289.05</v>
      </c>
      <c r="AC802" s="20">
        <v>47763.02</v>
      </c>
      <c r="AD802" s="20">
        <v>305.0</v>
      </c>
      <c r="AE802" s="20">
        <v>0.0</v>
      </c>
      <c r="AF802" s="20">
        <v>0.0</v>
      </c>
      <c r="AG802" s="20">
        <v>0.0</v>
      </c>
      <c r="AH802" s="20">
        <v>0.0</v>
      </c>
      <c r="AI802" s="20">
        <v>0.0</v>
      </c>
      <c r="AJ802" s="20">
        <v>143289.05</v>
      </c>
      <c r="AK802" s="20">
        <v>143289.05</v>
      </c>
      <c r="AL802" s="20">
        <v>0.0</v>
      </c>
      <c r="AM802" s="20">
        <v>376.2</v>
      </c>
      <c r="AN802" s="20">
        <v>0.0</v>
      </c>
      <c r="AS802" s="11" t="str">
        <f>VLOOKUP(C802,'mayo-26'!B:AS,44,0)</f>
        <v>MSANCHEZ@OLIMPICA.COM.CO;AGUERRERO@OLIMPICA.COM.CO</v>
      </c>
      <c r="AT802" s="12" t="str">
        <f>VLOOKUP(C802,'mayo-26'!B:AT,45,0)</f>
        <v>CORREO ELECTRONICO CERTIFICADO 472</v>
      </c>
    </row>
    <row r="803" ht="14.25" customHeight="1">
      <c r="A803" s="20" t="s">
        <v>1700</v>
      </c>
      <c r="B803" s="20">
        <v>637.0</v>
      </c>
      <c r="C803" s="20">
        <v>636.0</v>
      </c>
      <c r="D803" s="21">
        <v>636.0</v>
      </c>
      <c r="E803" s="20">
        <v>9.029068E7</v>
      </c>
      <c r="F803" s="20">
        <v>9.029068E7</v>
      </c>
      <c r="G803" s="20" t="s">
        <v>1701</v>
      </c>
      <c r="H803" s="20" t="s">
        <v>1702</v>
      </c>
      <c r="I803" s="1" t="str">
        <f>VLOOKUP(C803,'mayo-26'!B:H,7,0)</f>
        <v>A68 CC JARDIN PLAZA</v>
      </c>
      <c r="J803" s="1" t="s">
        <v>991</v>
      </c>
      <c r="K803" s="10" t="str">
        <f>VLOOKUP(C803,'mayo-26'!B:J,9,0)</f>
        <v>JARDIN PLAZA</v>
      </c>
      <c r="L803" s="1" t="str">
        <f>VLOOKUP(C803,'mayo-26'!B:K,10,0)</f>
        <v>VERTEBRA</v>
      </c>
      <c r="M803" s="20" t="s">
        <v>52</v>
      </c>
      <c r="N803" s="20" t="s">
        <v>89</v>
      </c>
      <c r="O803" s="20" t="s">
        <v>861</v>
      </c>
      <c r="P803" s="20" t="s">
        <v>126</v>
      </c>
      <c r="Q803" s="20" t="s">
        <v>56</v>
      </c>
      <c r="R803" s="20" t="s">
        <v>90</v>
      </c>
      <c r="S803" s="20" t="s">
        <v>143</v>
      </c>
      <c r="T803" s="20" t="s">
        <v>59</v>
      </c>
      <c r="U803" s="20">
        <v>2026.0</v>
      </c>
      <c r="V803" s="20">
        <v>6.0</v>
      </c>
      <c r="W803" s="20">
        <v>1.081875604E9</v>
      </c>
      <c r="X803" s="20">
        <v>1.081894076E9</v>
      </c>
      <c r="Y803" s="22">
        <v>46182.0</v>
      </c>
      <c r="Z803" s="22">
        <v>46207.0</v>
      </c>
      <c r="AA803" s="20">
        <v>127633.51</v>
      </c>
      <c r="AB803" s="20">
        <v>127633.51</v>
      </c>
      <c r="AC803" s="20">
        <v>42544.51</v>
      </c>
      <c r="AD803" s="20">
        <v>250.0</v>
      </c>
      <c r="AE803" s="20">
        <v>0.0</v>
      </c>
      <c r="AF803" s="20">
        <v>0.0</v>
      </c>
      <c r="AG803" s="20">
        <v>0.0</v>
      </c>
      <c r="AH803" s="20">
        <v>0.0</v>
      </c>
      <c r="AI803" s="20">
        <v>0.0</v>
      </c>
      <c r="AJ803" s="20">
        <v>127633.51</v>
      </c>
      <c r="AK803" s="20">
        <v>127633.51</v>
      </c>
      <c r="AL803" s="20">
        <v>0.0</v>
      </c>
      <c r="AM803" s="20">
        <v>376.2</v>
      </c>
      <c r="AN803" s="20">
        <v>0.0</v>
      </c>
      <c r="AS803" s="11" t="str">
        <f>VLOOKUP(C803,'mayo-26'!B:AS,44,0)</f>
        <v>FACTURAS@VERTEBRA.TECH</v>
      </c>
      <c r="AT803" s="12" t="str">
        <f>VLOOKUP(C803,'mayo-26'!B:AT,45,0)</f>
        <v>VERIFICADOR</v>
      </c>
    </row>
    <row r="804" ht="14.25" customHeight="1">
      <c r="A804" s="20" t="s">
        <v>1703</v>
      </c>
      <c r="B804" s="20">
        <v>641.0</v>
      </c>
      <c r="C804" s="20">
        <v>640.0</v>
      </c>
      <c r="D804" s="21">
        <v>640.0</v>
      </c>
      <c r="E804" s="20">
        <v>9.0290684E7</v>
      </c>
      <c r="F804" s="20">
        <v>9.0290684E7</v>
      </c>
      <c r="G804" s="20" t="s">
        <v>1704</v>
      </c>
      <c r="H804" s="20" t="s">
        <v>1705</v>
      </c>
      <c r="I804" s="1" t="str">
        <f>VLOOKUP(C804,'mayo-26'!B:H,7,0)</f>
        <v>L56 CC JARDIN PLAZA</v>
      </c>
      <c r="J804" s="1" t="s">
        <v>991</v>
      </c>
      <c r="K804" s="10" t="str">
        <f>VLOOKUP(C804,'mayo-26'!B:J,9,0)</f>
        <v>JARDIN PLAZA</v>
      </c>
      <c r="L804" s="1" t="str">
        <f>VLOOKUP(C804,'mayo-26'!B:K,10,0)</f>
        <v>CUERO VELEZ</v>
      </c>
      <c r="M804" s="20" t="s">
        <v>52</v>
      </c>
      <c r="N804" s="20" t="s">
        <v>89</v>
      </c>
      <c r="O804" s="20" t="s">
        <v>861</v>
      </c>
      <c r="P804" s="20" t="s">
        <v>126</v>
      </c>
      <c r="Q804" s="20" t="s">
        <v>56</v>
      </c>
      <c r="R804" s="20" t="s">
        <v>90</v>
      </c>
      <c r="S804" s="20" t="s">
        <v>143</v>
      </c>
      <c r="T804" s="20" t="s">
        <v>59</v>
      </c>
      <c r="U804" s="20">
        <v>2026.0</v>
      </c>
      <c r="V804" s="20">
        <v>6.0</v>
      </c>
      <c r="W804" s="20">
        <v>1.08187561E9</v>
      </c>
      <c r="X804" s="20">
        <v>1.081894082E9</v>
      </c>
      <c r="Y804" s="22">
        <v>46182.0</v>
      </c>
      <c r="Z804" s="22">
        <v>46207.0</v>
      </c>
      <c r="AA804" s="20">
        <v>127633.51</v>
      </c>
      <c r="AB804" s="20">
        <v>127633.51</v>
      </c>
      <c r="AC804" s="20">
        <v>42544.51</v>
      </c>
      <c r="AD804" s="20">
        <v>250.0</v>
      </c>
      <c r="AE804" s="20">
        <v>0.0</v>
      </c>
      <c r="AF804" s="20">
        <v>0.0</v>
      </c>
      <c r="AG804" s="20">
        <v>0.0</v>
      </c>
      <c r="AH804" s="20">
        <v>0.0</v>
      </c>
      <c r="AI804" s="20">
        <v>0.0</v>
      </c>
      <c r="AJ804" s="20">
        <v>127633.51</v>
      </c>
      <c r="AK804" s="20">
        <v>127633.51</v>
      </c>
      <c r="AL804" s="20">
        <v>0.0</v>
      </c>
      <c r="AM804" s="20">
        <v>376.2</v>
      </c>
      <c r="AN804" s="20">
        <v>0.0</v>
      </c>
      <c r="AS804" s="11" t="str">
        <f>VLOOKUP(C804,'mayo-26'!B:AS,44,0)</f>
        <v>PSVALENCIA@CUEROSVELEZ.COM</v>
      </c>
      <c r="AT804" s="12" t="str">
        <f>VLOOKUP(C804,'mayo-26'!B:AT,45,0)</f>
        <v>VERIFICADOR</v>
      </c>
    </row>
    <row r="805" ht="14.25" customHeight="1">
      <c r="A805" s="20" t="s">
        <v>1706</v>
      </c>
      <c r="B805" s="20">
        <v>645.0</v>
      </c>
      <c r="C805" s="20">
        <v>644.0</v>
      </c>
      <c r="D805" s="21">
        <v>644.0</v>
      </c>
      <c r="E805" s="20">
        <v>9.0290688E7</v>
      </c>
      <c r="F805" s="20">
        <v>9.0290688E7</v>
      </c>
      <c r="G805" s="20" t="s">
        <v>1707</v>
      </c>
      <c r="H805" s="20" t="s">
        <v>1708</v>
      </c>
      <c r="I805" s="1" t="str">
        <f>VLOOKUP(C805,'mayo-26'!B:H,7,0)</f>
        <v>L71 CC JARDIN PLAZA</v>
      </c>
      <c r="J805" s="1" t="s">
        <v>991</v>
      </c>
      <c r="K805" s="10" t="str">
        <f>VLOOKUP(C805,'mayo-26'!B:J,9,0)</f>
        <v>JARDIN PLAZA</v>
      </c>
      <c r="L805" s="1" t="str">
        <f>VLOOKUP(C805,'mayo-26'!B:K,10,0)</f>
        <v>JARDIN PLAZA</v>
      </c>
      <c r="M805" s="20" t="s">
        <v>52</v>
      </c>
      <c r="N805" s="20" t="s">
        <v>89</v>
      </c>
      <c r="O805" s="20" t="s">
        <v>861</v>
      </c>
      <c r="P805" s="20" t="s">
        <v>126</v>
      </c>
      <c r="Q805" s="20" t="s">
        <v>56</v>
      </c>
      <c r="R805" s="20" t="s">
        <v>90</v>
      </c>
      <c r="S805" s="20" t="s">
        <v>143</v>
      </c>
      <c r="T805" s="20" t="s">
        <v>59</v>
      </c>
      <c r="U805" s="20">
        <v>2026.0</v>
      </c>
      <c r="V805" s="20">
        <v>6.0</v>
      </c>
      <c r="W805" s="20">
        <v>1.081875614E9</v>
      </c>
      <c r="X805" s="20">
        <v>1.081894086E9</v>
      </c>
      <c r="Y805" s="22">
        <v>46182.0</v>
      </c>
      <c r="Z805" s="22">
        <v>46207.0</v>
      </c>
      <c r="AA805" s="20">
        <v>127633.51</v>
      </c>
      <c r="AB805" s="20">
        <v>127633.51</v>
      </c>
      <c r="AC805" s="20">
        <v>42544.51</v>
      </c>
      <c r="AD805" s="20">
        <v>250.0</v>
      </c>
      <c r="AE805" s="20">
        <v>0.0</v>
      </c>
      <c r="AF805" s="20">
        <v>0.0</v>
      </c>
      <c r="AG805" s="20">
        <v>0.0</v>
      </c>
      <c r="AH805" s="20">
        <v>0.0</v>
      </c>
      <c r="AI805" s="20">
        <v>0.0</v>
      </c>
      <c r="AJ805" s="20">
        <v>127633.51</v>
      </c>
      <c r="AK805" s="20">
        <v>127634.33</v>
      </c>
      <c r="AL805" s="20">
        <v>1.0</v>
      </c>
      <c r="AM805" s="20">
        <v>376.2</v>
      </c>
      <c r="AN805" s="20">
        <v>0.0</v>
      </c>
      <c r="AS805" s="11" t="str">
        <f>VLOOKUP(C805,'mayo-26'!B:AS,44,0)</f>
        <v>FREECUCUTAJARDIN122@SAFELAGROUP.COM.CO</v>
      </c>
      <c r="AT805" s="12" t="str">
        <f>VLOOKUP(C805,'mayo-26'!B:AT,45,0)</f>
        <v>VERIFICADOR</v>
      </c>
    </row>
    <row r="806" ht="14.25" customHeight="1">
      <c r="A806" s="20" t="s">
        <v>1709</v>
      </c>
      <c r="B806" s="20">
        <v>649.0</v>
      </c>
      <c r="C806" s="20">
        <v>648.0</v>
      </c>
      <c r="D806" s="21">
        <v>648.0</v>
      </c>
      <c r="E806" s="20">
        <v>9.0290692E7</v>
      </c>
      <c r="F806" s="20">
        <v>9.0290692E7</v>
      </c>
      <c r="G806" s="20" t="s">
        <v>1131</v>
      </c>
      <c r="H806" s="20" t="s">
        <v>1132</v>
      </c>
      <c r="I806" s="1" t="str">
        <f>VLOOKUP(C806,'mayo-26'!B:H,7,0)</f>
        <v>RK31 CC JARDIN PLAZA</v>
      </c>
      <c r="J806" s="1" t="s">
        <v>991</v>
      </c>
      <c r="K806" s="10" t="str">
        <f>VLOOKUP(C806,'mayo-26'!B:J,9,0)</f>
        <v>JARDIN PLAZA</v>
      </c>
      <c r="L806" s="1" t="str">
        <f>VLOOKUP(C806,'mayo-26'!B:K,10,0)</f>
        <v>JARDIN PLAZA</v>
      </c>
      <c r="M806" s="20" t="s">
        <v>52</v>
      </c>
      <c r="N806" s="20" t="s">
        <v>89</v>
      </c>
      <c r="O806" s="20" t="s">
        <v>861</v>
      </c>
      <c r="P806" s="20" t="s">
        <v>126</v>
      </c>
      <c r="Q806" s="20" t="s">
        <v>131</v>
      </c>
      <c r="R806" s="20" t="s">
        <v>132</v>
      </c>
      <c r="S806" s="20" t="s">
        <v>133</v>
      </c>
      <c r="T806" s="20" t="s">
        <v>163</v>
      </c>
      <c r="U806" s="20">
        <v>2026.0</v>
      </c>
      <c r="V806" s="20">
        <v>6.0</v>
      </c>
      <c r="W806" s="20">
        <v>1.081875618E9</v>
      </c>
      <c r="X806" s="20">
        <v>1.08189409E9</v>
      </c>
      <c r="Y806" s="22">
        <v>46182.0</v>
      </c>
      <c r="Z806" s="22">
        <v>46207.0</v>
      </c>
      <c r="AA806" s="20">
        <v>55848.0</v>
      </c>
      <c r="AB806" s="20">
        <v>55848.0</v>
      </c>
      <c r="AC806" s="20">
        <v>18616.0</v>
      </c>
      <c r="AD806" s="20">
        <v>0.0</v>
      </c>
      <c r="AE806" s="20">
        <v>0.0</v>
      </c>
      <c r="AF806" s="20">
        <v>0.0</v>
      </c>
      <c r="AG806" s="20">
        <v>0.0</v>
      </c>
      <c r="AH806" s="20">
        <v>0.0</v>
      </c>
      <c r="AI806" s="20">
        <v>0.0</v>
      </c>
      <c r="AJ806" s="20">
        <v>55848.0</v>
      </c>
      <c r="AK806" s="20">
        <v>55848.0</v>
      </c>
      <c r="AL806" s="20">
        <v>0.0</v>
      </c>
      <c r="AM806" s="20">
        <v>376.2</v>
      </c>
      <c r="AN806" s="20">
        <v>0.0</v>
      </c>
      <c r="AS806" s="11" t="str">
        <f>VLOOKUP(C806,'mayo-26'!B:AS,44,0)</f>
        <v>IMPUESTOS@GOYURT.COM.CO;ASISTENTE2.GOYURT@GMAIL.COM</v>
      </c>
      <c r="AT806" s="12" t="str">
        <f>VLOOKUP(C806,'mayo-26'!B:AT,45,0)</f>
        <v>VERIFICADOR</v>
      </c>
    </row>
    <row r="807" ht="14.25" customHeight="1">
      <c r="B807" s="20">
        <v>653.0</v>
      </c>
      <c r="C807" s="20">
        <v>652.0</v>
      </c>
      <c r="D807" s="21">
        <v>652.0</v>
      </c>
      <c r="E807" s="20">
        <v>9.0290696E7</v>
      </c>
      <c r="F807" s="20">
        <v>9.0290696E7</v>
      </c>
      <c r="G807" s="20">
        <v>2.22222222E8</v>
      </c>
      <c r="H807" s="20" t="s">
        <v>1710</v>
      </c>
      <c r="I807" s="1" t="str">
        <f>VLOOKUP(C807,'mayo-26'!B:H,7,0)</f>
        <v>L52 CC JARDIN PLAZA</v>
      </c>
      <c r="J807" s="1" t="s">
        <v>991</v>
      </c>
      <c r="K807" s="10" t="str">
        <f>VLOOKUP(C807,'mayo-26'!B:J,9,0)</f>
        <v>JARDIN PLAZA-ADMINISTRACION</v>
      </c>
      <c r="L807" s="1" t="str">
        <f>VLOOKUP(C807,'mayo-26'!B:K,10,0)</f>
        <v>JARDIN PLAZA-ADMINISTRACION</v>
      </c>
      <c r="M807" s="20" t="s">
        <v>52</v>
      </c>
      <c r="N807" s="20" t="s">
        <v>89</v>
      </c>
      <c r="O807" s="20" t="s">
        <v>861</v>
      </c>
      <c r="P807" s="20" t="s">
        <v>126</v>
      </c>
      <c r="Q807" s="20" t="s">
        <v>131</v>
      </c>
      <c r="R807" s="20" t="s">
        <v>132</v>
      </c>
      <c r="S807" s="20" t="s">
        <v>133</v>
      </c>
      <c r="T807" s="20" t="s">
        <v>59</v>
      </c>
      <c r="U807" s="20">
        <v>2026.0</v>
      </c>
      <c r="V807" s="20">
        <v>6.0</v>
      </c>
      <c r="W807" s="20">
        <v>1.081875622E9</v>
      </c>
      <c r="X807" s="20">
        <v>1.081894094E9</v>
      </c>
      <c r="Y807" s="22">
        <v>46182.0</v>
      </c>
      <c r="Z807" s="22">
        <v>46207.0</v>
      </c>
      <c r="AA807" s="20">
        <v>118039.53</v>
      </c>
      <c r="AB807" s="20">
        <v>118039.53</v>
      </c>
      <c r="AC807" s="20">
        <v>37709.5</v>
      </c>
      <c r="AD807" s="20">
        <v>0.0</v>
      </c>
      <c r="AE807" s="20">
        <v>4911.03</v>
      </c>
      <c r="AF807" s="20">
        <v>0.0</v>
      </c>
      <c r="AG807" s="20">
        <v>0.0</v>
      </c>
      <c r="AH807" s="20">
        <v>0.0</v>
      </c>
      <c r="AI807" s="20">
        <v>0.0</v>
      </c>
      <c r="AJ807" s="20">
        <v>118039.53</v>
      </c>
      <c r="AK807" s="20">
        <v>511970.65</v>
      </c>
      <c r="AL807" s="20">
        <v>5.0</v>
      </c>
      <c r="AM807" s="20">
        <v>376.2</v>
      </c>
      <c r="AN807" s="20">
        <v>0.0</v>
      </c>
      <c r="AS807" s="11" t="str">
        <f>VLOOKUP(C807,'mayo-26'!B:AS,44,0)</f>
        <v>AMBIENTAL@JARDINPLAZA.COM</v>
      </c>
      <c r="AT807" s="12" t="str">
        <f>VLOOKUP(C807,'mayo-26'!B:AT,45,0)</f>
        <v>CORREO ELECTRONICO CERTIFICADO 472</v>
      </c>
    </row>
    <row r="808" ht="14.25" customHeight="1">
      <c r="A808" s="20" t="s">
        <v>1711</v>
      </c>
      <c r="B808" s="20">
        <v>657.0</v>
      </c>
      <c r="C808" s="20">
        <v>656.0</v>
      </c>
      <c r="D808" s="21">
        <v>656.0</v>
      </c>
      <c r="E808" s="20">
        <v>9.02907E7</v>
      </c>
      <c r="F808" s="20">
        <v>9.02907E7</v>
      </c>
      <c r="G808" s="20" t="s">
        <v>1712</v>
      </c>
      <c r="H808" s="20" t="s">
        <v>1713</v>
      </c>
      <c r="I808" s="1" t="str">
        <f>VLOOKUP(C808,'mayo-26'!B:H,7,0)</f>
        <v>L17 CC JARDIN PLAZA</v>
      </c>
      <c r="J808" s="1" t="s">
        <v>991</v>
      </c>
      <c r="K808" s="10" t="str">
        <f>VLOOKUP(C808,'mayo-26'!B:J,9,0)</f>
        <v>JARDIN PLAZA</v>
      </c>
      <c r="L808" s="1" t="str">
        <f>VLOOKUP(C808,'mayo-26'!B:K,10,0)</f>
        <v>JARDIN PLAZA</v>
      </c>
      <c r="M808" s="20" t="s">
        <v>52</v>
      </c>
      <c r="N808" s="20" t="s">
        <v>89</v>
      </c>
      <c r="O808" s="20" t="s">
        <v>861</v>
      </c>
      <c r="P808" s="20" t="s">
        <v>126</v>
      </c>
      <c r="Q808" s="20" t="s">
        <v>56</v>
      </c>
      <c r="R808" s="20" t="s">
        <v>90</v>
      </c>
      <c r="S808" s="20" t="s">
        <v>143</v>
      </c>
      <c r="T808" s="20" t="s">
        <v>59</v>
      </c>
      <c r="U808" s="20">
        <v>2026.0</v>
      </c>
      <c r="V808" s="20">
        <v>6.0</v>
      </c>
      <c r="W808" s="20">
        <v>1.081875625E9</v>
      </c>
      <c r="X808" s="20">
        <v>1.081894097E9</v>
      </c>
      <c r="Y808" s="22">
        <v>46182.0</v>
      </c>
      <c r="Z808" s="22">
        <v>46207.0</v>
      </c>
      <c r="AA808" s="20">
        <v>127633.51</v>
      </c>
      <c r="AB808" s="20">
        <v>127633.51</v>
      </c>
      <c r="AC808" s="20">
        <v>42544.51</v>
      </c>
      <c r="AD808" s="20">
        <v>250.0</v>
      </c>
      <c r="AE808" s="20">
        <v>0.0</v>
      </c>
      <c r="AF808" s="20">
        <v>0.0</v>
      </c>
      <c r="AG808" s="20">
        <v>0.0</v>
      </c>
      <c r="AH808" s="20">
        <v>0.0</v>
      </c>
      <c r="AI808" s="20">
        <v>0.0</v>
      </c>
      <c r="AJ808" s="20">
        <v>127633.51</v>
      </c>
      <c r="AK808" s="20">
        <v>127633.51</v>
      </c>
      <c r="AL808" s="20">
        <v>0.0</v>
      </c>
      <c r="AM808" s="20">
        <v>376.2</v>
      </c>
      <c r="AN808" s="20">
        <v>0.0</v>
      </c>
      <c r="AS808" s="11" t="str">
        <f>VLOOKUP(C808,'mayo-26'!B:AS,44,0)</f>
        <v>FACTURAFRAVICOL@FRAVICOL.COM</v>
      </c>
      <c r="AT808" s="12" t="str">
        <f>VLOOKUP(C808,'mayo-26'!B:AT,45,0)</f>
        <v>VERIFICADOR</v>
      </c>
    </row>
    <row r="809" ht="14.25" customHeight="1">
      <c r="A809" s="20" t="s">
        <v>1714</v>
      </c>
      <c r="B809" s="20">
        <v>665.0</v>
      </c>
      <c r="C809" s="20">
        <v>664.0</v>
      </c>
      <c r="D809" s="21">
        <v>664.0</v>
      </c>
      <c r="E809" s="20">
        <v>9.0290708E7</v>
      </c>
      <c r="F809" s="20">
        <v>9.0290708E7</v>
      </c>
      <c r="G809" s="20" t="s">
        <v>1715</v>
      </c>
      <c r="H809" s="20" t="s">
        <v>1716</v>
      </c>
      <c r="I809" s="1" t="str">
        <f>VLOOKUP(C809,'mayo-26'!B:H,7,0)</f>
        <v>L74 CC JARDIN PLAZA</v>
      </c>
      <c r="J809" s="1" t="s">
        <v>991</v>
      </c>
      <c r="K809" s="10" t="str">
        <f>VLOOKUP(C809,'mayo-26'!B:J,9,0)</f>
        <v>JARDIN PLAZA</v>
      </c>
      <c r="L809" s="1" t="str">
        <f>VLOOKUP(C809,'mayo-26'!B:K,10,0)</f>
        <v>VERTEBRA</v>
      </c>
      <c r="M809" s="20" t="s">
        <v>52</v>
      </c>
      <c r="N809" s="20" t="s">
        <v>89</v>
      </c>
      <c r="O809" s="20" t="s">
        <v>861</v>
      </c>
      <c r="P809" s="20" t="s">
        <v>126</v>
      </c>
      <c r="Q809" s="20" t="s">
        <v>56</v>
      </c>
      <c r="R809" s="20" t="s">
        <v>90</v>
      </c>
      <c r="S809" s="20" t="s">
        <v>143</v>
      </c>
      <c r="T809" s="20" t="s">
        <v>59</v>
      </c>
      <c r="U809" s="20">
        <v>2026.0</v>
      </c>
      <c r="V809" s="20">
        <v>6.0</v>
      </c>
      <c r="W809" s="20">
        <v>1.08187563E9</v>
      </c>
      <c r="X809" s="20">
        <v>1.081894102E9</v>
      </c>
      <c r="Y809" s="22">
        <v>46182.0</v>
      </c>
      <c r="Z809" s="22">
        <v>46207.0</v>
      </c>
      <c r="AA809" s="20">
        <v>127633.51</v>
      </c>
      <c r="AB809" s="20">
        <v>127633.51</v>
      </c>
      <c r="AC809" s="20">
        <v>42544.51</v>
      </c>
      <c r="AD809" s="20">
        <v>250.0</v>
      </c>
      <c r="AE809" s="20">
        <v>0.0</v>
      </c>
      <c r="AF809" s="20">
        <v>0.0</v>
      </c>
      <c r="AG809" s="20">
        <v>0.0</v>
      </c>
      <c r="AH809" s="20">
        <v>0.0</v>
      </c>
      <c r="AI809" s="20">
        <v>0.0</v>
      </c>
      <c r="AJ809" s="20">
        <v>127633.51</v>
      </c>
      <c r="AK809" s="20">
        <v>127633.51</v>
      </c>
      <c r="AL809" s="20">
        <v>0.0</v>
      </c>
      <c r="AM809" s="20">
        <v>376.2</v>
      </c>
      <c r="AN809" s="20">
        <v>0.0</v>
      </c>
      <c r="AS809" s="11" t="str">
        <f>VLOOKUP(C809,'mayo-26'!B:AS,44,0)</f>
        <v>FACTURAS@VERTEBRA.TECH</v>
      </c>
      <c r="AT809" s="12" t="str">
        <f>VLOOKUP(C809,'mayo-26'!B:AT,45,0)</f>
        <v>VERIFICADOR</v>
      </c>
    </row>
    <row r="810" ht="14.25" customHeight="1">
      <c r="A810" s="20" t="s">
        <v>1717</v>
      </c>
      <c r="B810" s="20">
        <v>669.0</v>
      </c>
      <c r="C810" s="20">
        <v>668.0</v>
      </c>
      <c r="D810" s="21">
        <v>668.0</v>
      </c>
      <c r="E810" s="20">
        <v>9.0290712E7</v>
      </c>
      <c r="F810" s="20">
        <v>9.0290712E7</v>
      </c>
      <c r="G810" s="20" t="s">
        <v>1718</v>
      </c>
      <c r="H810" s="20" t="s">
        <v>1719</v>
      </c>
      <c r="I810" s="1" t="str">
        <f>VLOOKUP(C810,'mayo-26'!B:H,7,0)</f>
        <v>L73 CC JARDIN PLAZA</v>
      </c>
      <c r="J810" s="1" t="s">
        <v>991</v>
      </c>
      <c r="K810" s="10" t="str">
        <f>VLOOKUP(C810,'mayo-26'!B:J,9,0)</f>
        <v>JARDIN PLAZA</v>
      </c>
      <c r="L810" s="1" t="str">
        <f>VLOOKUP(C810,'mayo-26'!B:K,10,0)</f>
        <v>JARDIN PLAZA</v>
      </c>
      <c r="M810" s="20" t="s">
        <v>52</v>
      </c>
      <c r="N810" s="20" t="s">
        <v>89</v>
      </c>
      <c r="O810" s="20" t="s">
        <v>861</v>
      </c>
      <c r="P810" s="20" t="s">
        <v>126</v>
      </c>
      <c r="Q810" s="20" t="s">
        <v>56</v>
      </c>
      <c r="R810" s="20" t="s">
        <v>90</v>
      </c>
      <c r="S810" s="20" t="s">
        <v>143</v>
      </c>
      <c r="T810" s="20" t="s">
        <v>59</v>
      </c>
      <c r="U810" s="20">
        <v>2026.0</v>
      </c>
      <c r="V810" s="20">
        <v>6.0</v>
      </c>
      <c r="W810" s="20">
        <v>1.081875633E9</v>
      </c>
      <c r="X810" s="20">
        <v>1.081894105E9</v>
      </c>
      <c r="Y810" s="22">
        <v>46182.0</v>
      </c>
      <c r="Z810" s="22">
        <v>46207.0</v>
      </c>
      <c r="AA810" s="20">
        <v>129053.85</v>
      </c>
      <c r="AB810" s="20">
        <v>129053.85</v>
      </c>
      <c r="AC810" s="20">
        <v>42544.51</v>
      </c>
      <c r="AD810" s="20">
        <v>250.0</v>
      </c>
      <c r="AE810" s="20">
        <v>1420.34</v>
      </c>
      <c r="AF810" s="20">
        <v>0.0</v>
      </c>
      <c r="AG810" s="20">
        <v>0.0</v>
      </c>
      <c r="AH810" s="20">
        <v>0.0</v>
      </c>
      <c r="AI810" s="20">
        <v>0.0</v>
      </c>
      <c r="AJ810" s="20">
        <v>129053.85</v>
      </c>
      <c r="AK810" s="20">
        <v>384065.21</v>
      </c>
      <c r="AL810" s="20">
        <v>3.0</v>
      </c>
      <c r="AM810" s="20">
        <v>376.2</v>
      </c>
      <c r="AN810" s="20">
        <v>0.0</v>
      </c>
      <c r="AS810" s="11" t="str">
        <f>VLOOKUP(C810,'mayo-26'!B:AS,44,0)</f>
        <v>ROOTTKIDS@HOTMAIL.COM / ROJASMALDONADOJHONALEXANDER@GMAIL.COM</v>
      </c>
      <c r="AT810" s="12" t="str">
        <f>VLOOKUP(C810,'mayo-26'!B:AT,45,0)</f>
        <v>VERIFICADOR</v>
      </c>
    </row>
    <row r="811" ht="14.25" customHeight="1">
      <c r="A811" s="20" t="s">
        <v>1720</v>
      </c>
      <c r="B811" s="20">
        <v>350.0</v>
      </c>
      <c r="C811" s="20">
        <v>672.0</v>
      </c>
      <c r="D811" s="21">
        <v>672.0</v>
      </c>
      <c r="E811" s="20">
        <v>9.0290717E7</v>
      </c>
      <c r="F811" s="20">
        <v>9.0290717E7</v>
      </c>
      <c r="G811" s="20">
        <v>9.00603041E8</v>
      </c>
      <c r="H811" s="20" t="s">
        <v>400</v>
      </c>
      <c r="I811" s="1" t="str">
        <f>VLOOKUP(C811,'mayo-26'!B:H,7,0)</f>
        <v>AVE 6 7-35 SUPERMERCADO</v>
      </c>
      <c r="J811" s="1" t="s">
        <v>902</v>
      </c>
      <c r="K811" s="10" t="str">
        <f>VLOOKUP(C811,'mayo-26'!B:J,9,0)</f>
        <v>NO</v>
      </c>
      <c r="L811" s="1" t="str">
        <f>VLOOKUP(C811,'mayo-26'!B:K,10,0)</f>
        <v>LOS MONTES</v>
      </c>
      <c r="M811" s="20" t="s">
        <v>52</v>
      </c>
      <c r="N811" s="20" t="s">
        <v>89</v>
      </c>
      <c r="O811" s="20" t="s">
        <v>861</v>
      </c>
      <c r="P811" s="20" t="s">
        <v>126</v>
      </c>
      <c r="Q811" s="20" t="s">
        <v>56</v>
      </c>
      <c r="R811" s="20" t="s">
        <v>90</v>
      </c>
      <c r="S811" s="20" t="s">
        <v>143</v>
      </c>
      <c r="T811" s="20" t="s">
        <v>59</v>
      </c>
      <c r="U811" s="20">
        <v>2026.0</v>
      </c>
      <c r="V811" s="20">
        <v>6.0</v>
      </c>
      <c r="W811" s="20">
        <v>1.081875637E9</v>
      </c>
      <c r="X811" s="20">
        <v>1.081894109E9</v>
      </c>
      <c r="Y811" s="22">
        <v>46182.0</v>
      </c>
      <c r="Z811" s="22">
        <v>46207.0</v>
      </c>
      <c r="AA811" s="20">
        <v>143442.01</v>
      </c>
      <c r="AB811" s="20">
        <v>143442.01</v>
      </c>
      <c r="AC811" s="20">
        <v>47288.6</v>
      </c>
      <c r="AD811" s="20">
        <v>300.0</v>
      </c>
      <c r="AE811" s="20">
        <v>1576.21</v>
      </c>
      <c r="AF811" s="20">
        <v>0.0</v>
      </c>
      <c r="AG811" s="20">
        <v>0.0</v>
      </c>
      <c r="AH811" s="20">
        <v>0.0</v>
      </c>
      <c r="AI811" s="20">
        <v>0.0</v>
      </c>
      <c r="AJ811" s="20">
        <v>143442.01</v>
      </c>
      <c r="AK811" s="20">
        <v>283923.85</v>
      </c>
      <c r="AL811" s="20">
        <v>1.0</v>
      </c>
      <c r="AM811" s="20">
        <v>376.2</v>
      </c>
      <c r="AN811" s="20">
        <v>0.0</v>
      </c>
      <c r="AS811" s="11" t="str">
        <f>VLOOKUP(C811,'mayo-26'!B:AS,44,0)</f>
        <v>GASTOS@SUPERLOSMONTES.CO;FACTURAELECTRONICA@SUPERLOSMONTES.CO</v>
      </c>
      <c r="AT811" s="12" t="str">
        <f>VLOOKUP(C811,'mayo-26'!B:AT,45,0)</f>
        <v>CORREO ELECTRONICO CERTIFICADO 472</v>
      </c>
    </row>
    <row r="812" ht="14.25" customHeight="1">
      <c r="A812" s="20" t="s">
        <v>1721</v>
      </c>
      <c r="B812" s="20">
        <v>677.0</v>
      </c>
      <c r="C812" s="20">
        <v>676.0</v>
      </c>
      <c r="D812" s="21">
        <v>676.0</v>
      </c>
      <c r="E812" s="20">
        <v>9.0290742E7</v>
      </c>
      <c r="F812" s="20">
        <v>9.0290742E7</v>
      </c>
      <c r="G812" s="20">
        <v>1.3499412E7</v>
      </c>
      <c r="H812" s="20" t="s">
        <v>1722</v>
      </c>
      <c r="I812" s="1" t="str">
        <f>VLOOKUP(C812,'mayo-26'!B:H,7,0)</f>
        <v>R 20 CC JARDIN PLAZA</v>
      </c>
      <c r="J812" s="1" t="s">
        <v>76</v>
      </c>
      <c r="K812" s="10" t="str">
        <f>VLOOKUP(C812,'mayo-26'!B:J,9,0)</f>
        <v>JARDIN PLAZA</v>
      </c>
      <c r="L812" s="1" t="str">
        <f>VLOOKUP(C812,'mayo-26'!B:K,10,0)</f>
        <v>JARDIN PLAZA</v>
      </c>
      <c r="M812" s="20" t="s">
        <v>52</v>
      </c>
      <c r="N812" s="20" t="s">
        <v>89</v>
      </c>
      <c r="O812" s="20" t="s">
        <v>861</v>
      </c>
      <c r="P812" s="20" t="s">
        <v>126</v>
      </c>
      <c r="Q812" s="20" t="s">
        <v>56</v>
      </c>
      <c r="R812" s="20" t="s">
        <v>90</v>
      </c>
      <c r="S812" s="20" t="s">
        <v>143</v>
      </c>
      <c r="T812" s="20" t="s">
        <v>59</v>
      </c>
      <c r="U812" s="20">
        <v>2026.0</v>
      </c>
      <c r="V812" s="20">
        <v>6.0</v>
      </c>
      <c r="W812" s="20">
        <v>1.08187564E9</v>
      </c>
      <c r="X812" s="20">
        <v>1.081894112E9</v>
      </c>
      <c r="Y812" s="22">
        <v>46182.0</v>
      </c>
      <c r="Z812" s="22">
        <v>46207.0</v>
      </c>
      <c r="AA812" s="20">
        <v>270181.68</v>
      </c>
      <c r="AB812" s="20">
        <v>270181.68</v>
      </c>
      <c r="AC812" s="20">
        <v>71483.53</v>
      </c>
      <c r="AD812" s="20">
        <v>555.0</v>
      </c>
      <c r="AE812" s="20">
        <v>55731.12</v>
      </c>
      <c r="AF812" s="20">
        <v>0.0</v>
      </c>
      <c r="AG812" s="20">
        <v>0.0</v>
      </c>
      <c r="AH812" s="20">
        <v>0.0</v>
      </c>
      <c r="AI812" s="20">
        <v>0.0</v>
      </c>
      <c r="AJ812" s="20">
        <v>270181.68</v>
      </c>
      <c r="AK812" s="20">
        <v>3746734.1</v>
      </c>
      <c r="AL812" s="20">
        <v>16.0</v>
      </c>
      <c r="AM812" s="20">
        <v>376.2</v>
      </c>
      <c r="AN812" s="20">
        <v>0.0</v>
      </c>
      <c r="AS812" s="11" t="str">
        <f>VLOOKUP(C812,'mayo-26'!B:AS,44,0)</f>
        <v>DIEGOOSQ@GMAIL.COM</v>
      </c>
      <c r="AT812" s="12" t="str">
        <f>VLOOKUP(C812,'mayo-26'!B:AT,45,0)</f>
        <v>VERIFICADOR</v>
      </c>
    </row>
    <row r="813" ht="14.25" customHeight="1">
      <c r="A813" s="20" t="s">
        <v>1723</v>
      </c>
      <c r="B813" s="20">
        <v>685.0</v>
      </c>
      <c r="C813" s="20">
        <v>684.0</v>
      </c>
      <c r="D813" s="21">
        <v>684.0</v>
      </c>
      <c r="E813" s="20">
        <v>9.0290764E7</v>
      </c>
      <c r="F813" s="20">
        <v>9.0290764E7</v>
      </c>
      <c r="G813" s="20" t="s">
        <v>1724</v>
      </c>
      <c r="H813" s="20" t="s">
        <v>1725</v>
      </c>
      <c r="I813" s="1" t="str">
        <f>VLOOKUP(C813,'mayo-26'!B:H,7,0)</f>
        <v>KM 11 MAS 520 MTS ANILLO VIAL BG 3 BOCONO</v>
      </c>
      <c r="J813" s="1" t="s">
        <v>76</v>
      </c>
      <c r="K813" s="10" t="str">
        <f>VLOOKUP(C813,'mayo-26'!B:J,9,0)</f>
        <v>NO</v>
      </c>
      <c r="L813" s="1" t="str">
        <f>VLOOKUP(C813,'mayo-26'!B:K,10,0)</f>
        <v>NO</v>
      </c>
      <c r="M813" s="20" t="s">
        <v>52</v>
      </c>
      <c r="N813" s="20" t="s">
        <v>89</v>
      </c>
      <c r="O813" s="20" t="s">
        <v>861</v>
      </c>
      <c r="P813" s="20" t="s">
        <v>126</v>
      </c>
      <c r="Q813" s="20" t="s">
        <v>56</v>
      </c>
      <c r="R813" s="20" t="s">
        <v>90</v>
      </c>
      <c r="S813" s="20" t="s">
        <v>143</v>
      </c>
      <c r="T813" s="20" t="s">
        <v>59</v>
      </c>
      <c r="U813" s="20">
        <v>2026.0</v>
      </c>
      <c r="V813" s="20">
        <v>6.0</v>
      </c>
      <c r="W813" s="20">
        <v>1.081875646E9</v>
      </c>
      <c r="X813" s="20">
        <v>1.081894118E9</v>
      </c>
      <c r="Y813" s="22">
        <v>46182.0</v>
      </c>
      <c r="Z813" s="22">
        <v>46207.0</v>
      </c>
      <c r="AA813" s="20">
        <v>283189.08</v>
      </c>
      <c r="AB813" s="20">
        <v>283189.08</v>
      </c>
      <c r="AC813" s="20">
        <v>89985.51</v>
      </c>
      <c r="AD813" s="20">
        <v>750.0</v>
      </c>
      <c r="AE813" s="20">
        <v>13232.57</v>
      </c>
      <c r="AF813" s="20">
        <v>0.0</v>
      </c>
      <c r="AG813" s="20">
        <v>0.0</v>
      </c>
      <c r="AH813" s="20">
        <v>0.0</v>
      </c>
      <c r="AI813" s="20">
        <v>0.0</v>
      </c>
      <c r="AJ813" s="20">
        <v>283189.08</v>
      </c>
      <c r="AK813" s="20">
        <v>1355576.9</v>
      </c>
      <c r="AL813" s="20">
        <v>4.0</v>
      </c>
      <c r="AM813" s="20">
        <v>376.2</v>
      </c>
      <c r="AN813" s="20">
        <v>0.0</v>
      </c>
      <c r="AS813" s="11" t="str">
        <f>VLOOKUP(C813,'mayo-26'!B:AS,44,0)</f>
        <v>FACTURA-ELECTRONICA@KAMI-PLAST.COM</v>
      </c>
      <c r="AT813" s="12" t="str">
        <f>VLOOKUP(C813,'mayo-26'!B:AT,45,0)</f>
        <v>CORREO ELECTRONICO CERTIFICADO 472</v>
      </c>
    </row>
    <row r="814" ht="14.25" customHeight="1">
      <c r="A814" s="20" t="s">
        <v>1726</v>
      </c>
      <c r="B814" s="20">
        <v>689.0</v>
      </c>
      <c r="C814" s="20">
        <v>688.0</v>
      </c>
      <c r="D814" s="21">
        <v>688.0</v>
      </c>
      <c r="E814" s="20">
        <v>9.0290848E7</v>
      </c>
      <c r="F814" s="20">
        <v>9.0290848E7</v>
      </c>
      <c r="G814" s="20" t="s">
        <v>1727</v>
      </c>
      <c r="H814" s="20" t="s">
        <v>1728</v>
      </c>
      <c r="I814" s="1" t="str">
        <f>VLOOKUP(C814,'mayo-26'!B:H,7,0)</f>
        <v>L30-L31-L32 CC JARDIN PLAZA</v>
      </c>
      <c r="J814" s="1" t="s">
        <v>991</v>
      </c>
      <c r="K814" s="10" t="str">
        <f>VLOOKUP(C814,'mayo-26'!B:J,9,0)</f>
        <v>JARDIN PLAZA</v>
      </c>
      <c r="L814" s="1" t="str">
        <f>VLOOKUP(C814,'mayo-26'!B:K,10,0)</f>
        <v>JARDIN PLAZA</v>
      </c>
      <c r="M814" s="20" t="s">
        <v>52</v>
      </c>
      <c r="N814" s="20" t="s">
        <v>89</v>
      </c>
      <c r="O814" s="20" t="s">
        <v>861</v>
      </c>
      <c r="P814" s="20" t="s">
        <v>126</v>
      </c>
      <c r="Q814" s="20" t="s">
        <v>56</v>
      </c>
      <c r="R814" s="20" t="s">
        <v>90</v>
      </c>
      <c r="S814" s="20" t="s">
        <v>143</v>
      </c>
      <c r="T814" s="20" t="s">
        <v>59</v>
      </c>
      <c r="U814" s="20">
        <v>2026.0</v>
      </c>
      <c r="V814" s="20">
        <v>6.0</v>
      </c>
      <c r="W814" s="20">
        <v>1.08187565E9</v>
      </c>
      <c r="X814" s="20">
        <v>1.081894122E9</v>
      </c>
      <c r="Y814" s="22">
        <v>46182.0</v>
      </c>
      <c r="Z814" s="22">
        <v>46207.0</v>
      </c>
      <c r="AA814" s="20">
        <v>128487.44</v>
      </c>
      <c r="AB814" s="20">
        <v>128487.44</v>
      </c>
      <c r="AC814" s="20">
        <v>42829.15</v>
      </c>
      <c r="AD814" s="20">
        <v>253.0</v>
      </c>
      <c r="AE814" s="20">
        <v>0.0</v>
      </c>
      <c r="AF814" s="20">
        <v>0.0</v>
      </c>
      <c r="AG814" s="20">
        <v>0.0</v>
      </c>
      <c r="AH814" s="20">
        <v>0.0</v>
      </c>
      <c r="AI814" s="20">
        <v>0.0</v>
      </c>
      <c r="AJ814" s="20">
        <v>128487.44</v>
      </c>
      <c r="AK814" s="20">
        <v>128487.44</v>
      </c>
      <c r="AL814" s="20">
        <v>0.0</v>
      </c>
      <c r="AM814" s="20">
        <v>376.2</v>
      </c>
      <c r="AN814" s="20">
        <v>0.0</v>
      </c>
      <c r="AS814" s="11" t="str">
        <f>VLOOKUP(C814,'mayo-26'!B:AS,44,0)</f>
        <v>LIQUIDACIONES@GRUPOCALYF.COM.CO</v>
      </c>
      <c r="AT814" s="12" t="str">
        <f>VLOOKUP(C814,'mayo-26'!B:AT,45,0)</f>
        <v>VERIFICADOR</v>
      </c>
    </row>
    <row r="815" ht="14.25" customHeight="1">
      <c r="A815" s="20" t="s">
        <v>1729</v>
      </c>
      <c r="B815" s="20">
        <v>693.0</v>
      </c>
      <c r="C815" s="20">
        <v>692.0</v>
      </c>
      <c r="D815" s="21">
        <v>692.0</v>
      </c>
      <c r="E815" s="20">
        <v>9.0290852E7</v>
      </c>
      <c r="F815" s="20">
        <v>9.0290852E7</v>
      </c>
      <c r="G815" s="20">
        <v>9.01323357E8</v>
      </c>
      <c r="H815" s="20" t="s">
        <v>1730</v>
      </c>
      <c r="I815" s="1" t="str">
        <f>VLOOKUP(C815,'mayo-26'!B:H,7,0)</f>
        <v>L28 CC JARDIN PLAZA</v>
      </c>
      <c r="J815" s="1" t="s">
        <v>991</v>
      </c>
      <c r="K815" s="10" t="str">
        <f>VLOOKUP(C815,'mayo-26'!B:J,9,0)</f>
        <v>JARDIN PLAZA</v>
      </c>
      <c r="L815" s="1" t="str">
        <f>VLOOKUP(C815,'mayo-26'!B:K,10,0)</f>
        <v>JARDIN PLAZA</v>
      </c>
      <c r="M815" s="20" t="s">
        <v>52</v>
      </c>
      <c r="N815" s="20" t="s">
        <v>89</v>
      </c>
      <c r="O815" s="20" t="s">
        <v>861</v>
      </c>
      <c r="P815" s="20" t="s">
        <v>126</v>
      </c>
      <c r="Q815" s="20" t="s">
        <v>56</v>
      </c>
      <c r="R815" s="20" t="s">
        <v>90</v>
      </c>
      <c r="S815" s="20" t="s">
        <v>143</v>
      </c>
      <c r="T815" s="20" t="s">
        <v>59</v>
      </c>
      <c r="U815" s="20">
        <v>2026.0</v>
      </c>
      <c r="V815" s="20">
        <v>6.0</v>
      </c>
      <c r="W815" s="20">
        <v>1.081875652E9</v>
      </c>
      <c r="X815" s="20">
        <v>1.081894124E9</v>
      </c>
      <c r="Y815" s="22">
        <v>46182.0</v>
      </c>
      <c r="Z815" s="22">
        <v>46207.0</v>
      </c>
      <c r="AA815" s="20">
        <v>127633.51</v>
      </c>
      <c r="AB815" s="20">
        <v>127633.51</v>
      </c>
      <c r="AC815" s="20">
        <v>42544.51</v>
      </c>
      <c r="AD815" s="20">
        <v>250.0</v>
      </c>
      <c r="AE815" s="20">
        <v>0.0</v>
      </c>
      <c r="AF815" s="20">
        <v>0.0</v>
      </c>
      <c r="AG815" s="20">
        <v>0.0</v>
      </c>
      <c r="AH815" s="20">
        <v>0.0</v>
      </c>
      <c r="AI815" s="20">
        <v>0.0</v>
      </c>
      <c r="AJ815" s="20">
        <v>127633.51</v>
      </c>
      <c r="AK815" s="20">
        <v>127633.51</v>
      </c>
      <c r="AL815" s="20">
        <v>0.0</v>
      </c>
      <c r="AM815" s="20">
        <v>376.2</v>
      </c>
      <c r="AN815" s="20">
        <v>0.0</v>
      </c>
      <c r="AS815" s="11" t="str">
        <f>VLOOKUP(C815,'mayo-26'!B:AS,44,0)</f>
        <v>CHAMELACUCUTA@OUTLOOK.COM</v>
      </c>
      <c r="AT815" s="12" t="str">
        <f>VLOOKUP(C815,'mayo-26'!B:AT,45,0)</f>
        <v>VERIFICADOR</v>
      </c>
    </row>
    <row r="816" ht="14.25" customHeight="1">
      <c r="A816" s="20" t="s">
        <v>1731</v>
      </c>
      <c r="B816" s="20">
        <v>632.0</v>
      </c>
      <c r="C816" s="20">
        <v>696.0</v>
      </c>
      <c r="D816" s="21">
        <v>696.0</v>
      </c>
      <c r="E816" s="20">
        <v>9.0291511E7</v>
      </c>
      <c r="F816" s="20">
        <v>9.0291511E7</v>
      </c>
      <c r="G816" s="20">
        <v>8.90107487E8</v>
      </c>
      <c r="H816" s="20" t="s">
        <v>1121</v>
      </c>
      <c r="I816" s="1" t="str">
        <f>VLOOKUP(C816,'mayo-26'!B:H,7,0)</f>
        <v>AV 0 1AN-37</v>
      </c>
      <c r="J816" s="1" t="s">
        <v>1050</v>
      </c>
      <c r="K816" s="10" t="str">
        <f>VLOOKUP(C816,'mayo-26'!B:J,9,0)</f>
        <v>NO</v>
      </c>
      <c r="L816" s="1" t="str">
        <f>VLOOKUP(C816,'mayo-26'!B:K,10,0)</f>
        <v>OLIMPICA</v>
      </c>
      <c r="M816" s="20" t="s">
        <v>52</v>
      </c>
      <c r="N816" s="20" t="s">
        <v>53</v>
      </c>
      <c r="O816" s="20" t="s">
        <v>861</v>
      </c>
      <c r="P816" s="20" t="s">
        <v>126</v>
      </c>
      <c r="Q816" s="20" t="s">
        <v>56</v>
      </c>
      <c r="R816" s="20" t="s">
        <v>90</v>
      </c>
      <c r="S816" s="20" t="s">
        <v>143</v>
      </c>
      <c r="T816" s="20" t="s">
        <v>59</v>
      </c>
      <c r="U816" s="20">
        <v>2026.0</v>
      </c>
      <c r="V816" s="20">
        <v>6.0</v>
      </c>
      <c r="W816" s="20">
        <v>1.081875656E9</v>
      </c>
      <c r="X816" s="20">
        <v>1.081894128E9</v>
      </c>
      <c r="Y816" s="22">
        <v>46182.0</v>
      </c>
      <c r="Z816" s="22">
        <v>46207.0</v>
      </c>
      <c r="AA816" s="20">
        <v>827293.39</v>
      </c>
      <c r="AB816" s="20">
        <v>827293.39</v>
      </c>
      <c r="AC816" s="20">
        <v>275764.47</v>
      </c>
      <c r="AD816" s="20">
        <v>2708.0</v>
      </c>
      <c r="AE816" s="20">
        <v>0.0</v>
      </c>
      <c r="AF816" s="20">
        <v>0.0</v>
      </c>
      <c r="AG816" s="20">
        <v>0.0</v>
      </c>
      <c r="AH816" s="20">
        <v>0.0</v>
      </c>
      <c r="AI816" s="20">
        <v>0.0</v>
      </c>
      <c r="AJ816" s="20">
        <v>827293.39</v>
      </c>
      <c r="AK816" s="20">
        <v>827293.39</v>
      </c>
      <c r="AL816" s="20">
        <v>0.0</v>
      </c>
      <c r="AM816" s="20">
        <v>376.2</v>
      </c>
      <c r="AN816" s="20">
        <v>0.0</v>
      </c>
      <c r="AS816" s="11" t="str">
        <f>VLOOKUP(C816,'mayo-26'!B:AS,44,0)</f>
        <v>MSANCHEZ@OLIMPICA.COM.CO</v>
      </c>
      <c r="AT816" s="12" t="str">
        <f>VLOOKUP(C816,'mayo-26'!B:AT,45,0)</f>
        <v>CORREO ELECTRONICO CERTIFICADO 472</v>
      </c>
    </row>
    <row r="817" ht="14.25" customHeight="1">
      <c r="A817" s="20" t="s">
        <v>1732</v>
      </c>
      <c r="B817" s="20">
        <v>701.0</v>
      </c>
      <c r="C817" s="20">
        <v>700.0</v>
      </c>
      <c r="D817" s="21">
        <v>700.0</v>
      </c>
      <c r="E817" s="20">
        <v>9.0291873E7</v>
      </c>
      <c r="F817" s="20">
        <v>9.0291873E7</v>
      </c>
      <c r="G817" s="20" t="s">
        <v>1008</v>
      </c>
      <c r="H817" s="20" t="s">
        <v>1009</v>
      </c>
      <c r="I817" s="1" t="str">
        <f>VLOOKUP(C817,'mayo-26'!B:H,7,0)</f>
        <v>L45 CC JARDIN PLAZA</v>
      </c>
      <c r="J817" s="1" t="s">
        <v>991</v>
      </c>
      <c r="K817" s="10" t="str">
        <f>VLOOKUP(C817,'mayo-26'!B:J,9,0)</f>
        <v>NO</v>
      </c>
      <c r="L817" s="1" t="str">
        <f>VLOOKUP(C817,'mayo-26'!B:K,10,0)</f>
        <v>BANCOLOMBIA</v>
      </c>
      <c r="M817" s="20" t="s">
        <v>52</v>
      </c>
      <c r="N817" s="20" t="s">
        <v>89</v>
      </c>
      <c r="O817" s="20" t="s">
        <v>861</v>
      </c>
      <c r="P817" s="20" t="s">
        <v>126</v>
      </c>
      <c r="Q817" s="20" t="s">
        <v>56</v>
      </c>
      <c r="R817" s="20" t="s">
        <v>90</v>
      </c>
      <c r="S817" s="20" t="s">
        <v>143</v>
      </c>
      <c r="T817" s="20" t="s">
        <v>59</v>
      </c>
      <c r="U817" s="20">
        <v>2026.0</v>
      </c>
      <c r="V817" s="20">
        <v>6.0</v>
      </c>
      <c r="W817" s="20">
        <v>1.081875661E9</v>
      </c>
      <c r="X817" s="20">
        <v>1.081894133E9</v>
      </c>
      <c r="Y817" s="22">
        <v>46182.0</v>
      </c>
      <c r="Z817" s="22">
        <v>46207.0</v>
      </c>
      <c r="AA817" s="20">
        <v>127633.51</v>
      </c>
      <c r="AB817" s="20">
        <v>127633.51</v>
      </c>
      <c r="AC817" s="20">
        <v>42544.51</v>
      </c>
      <c r="AD817" s="20">
        <v>250.0</v>
      </c>
      <c r="AE817" s="20">
        <v>0.0</v>
      </c>
      <c r="AF817" s="20">
        <v>0.0</v>
      </c>
      <c r="AG817" s="20">
        <v>0.0</v>
      </c>
      <c r="AH817" s="20">
        <v>0.0</v>
      </c>
      <c r="AI817" s="20">
        <v>0.0</v>
      </c>
      <c r="AJ817" s="20">
        <v>127633.51</v>
      </c>
      <c r="AK817" s="20">
        <v>127633.51</v>
      </c>
      <c r="AL817" s="20">
        <v>0.0</v>
      </c>
      <c r="AM817" s="20">
        <v>376.2</v>
      </c>
      <c r="AN817" s="20">
        <v>0.0</v>
      </c>
      <c r="AS817" s="11" t="str">
        <f>VLOOKUP(C817,'mayo-26'!B:AS,44,0)</f>
        <v>ROBOTICASP.FMS.CO@SODEXO.COM</v>
      </c>
      <c r="AT817" s="12" t="str">
        <f>VLOOKUP(C817,'mayo-26'!B:AT,45,0)</f>
        <v>CORREO ELECTRONICO CERTIFICADO 472</v>
      </c>
    </row>
    <row r="818" ht="14.25" customHeight="1">
      <c r="A818" s="20" t="s">
        <v>1733</v>
      </c>
      <c r="B818" s="20">
        <v>705.0</v>
      </c>
      <c r="C818" s="20">
        <v>704.0</v>
      </c>
      <c r="D818" s="21">
        <v>704.0</v>
      </c>
      <c r="E818" s="20">
        <v>9.0291877E7</v>
      </c>
      <c r="F818" s="20">
        <v>9.0291877E7</v>
      </c>
      <c r="G818" s="20">
        <v>8.60053831E8</v>
      </c>
      <c r="H818" s="20" t="s">
        <v>720</v>
      </c>
      <c r="I818" s="1" t="str">
        <f>VLOOKUP(C818,'mayo-26'!B:H,7,0)</f>
        <v>R31 CC JARDIN PLAZA</v>
      </c>
      <c r="J818" s="1" t="s">
        <v>991</v>
      </c>
      <c r="K818" s="10" t="str">
        <f>VLOOKUP(C818,'mayo-26'!B:J,9,0)</f>
        <v>JARDIN PLAZA</v>
      </c>
      <c r="L818" s="1" t="str">
        <f>VLOOKUP(C818,'mayo-26'!B:K,10,0)</f>
        <v>JARDIN PLAZA</v>
      </c>
      <c r="M818" s="20" t="s">
        <v>52</v>
      </c>
      <c r="N818" s="20" t="s">
        <v>53</v>
      </c>
      <c r="O818" s="20" t="s">
        <v>861</v>
      </c>
      <c r="P818" s="20" t="s">
        <v>126</v>
      </c>
      <c r="Q818" s="20" t="s">
        <v>56</v>
      </c>
      <c r="R818" s="20" t="s">
        <v>90</v>
      </c>
      <c r="S818" s="20" t="s">
        <v>143</v>
      </c>
      <c r="T818" s="20" t="s">
        <v>59</v>
      </c>
      <c r="U818" s="20">
        <v>2026.0</v>
      </c>
      <c r="V818" s="20">
        <v>6.0</v>
      </c>
      <c r="W818" s="20">
        <v>1.081875663E9</v>
      </c>
      <c r="X818" s="20">
        <v>1.081894135E9</v>
      </c>
      <c r="Y818" s="22">
        <v>46182.0</v>
      </c>
      <c r="Z818" s="22">
        <v>46207.0</v>
      </c>
      <c r="AA818" s="20">
        <v>127633.51</v>
      </c>
      <c r="AB818" s="20">
        <v>127633.51</v>
      </c>
      <c r="AC818" s="20">
        <v>42544.51</v>
      </c>
      <c r="AD818" s="20">
        <v>250.0</v>
      </c>
      <c r="AE818" s="20">
        <v>0.0</v>
      </c>
      <c r="AF818" s="20">
        <v>0.0</v>
      </c>
      <c r="AG818" s="20">
        <v>0.0</v>
      </c>
      <c r="AH818" s="20">
        <v>0.0</v>
      </c>
      <c r="AI818" s="20">
        <v>0.0</v>
      </c>
      <c r="AJ818" s="20">
        <v>127633.51</v>
      </c>
      <c r="AK818" s="20">
        <v>127633.51</v>
      </c>
      <c r="AL818" s="20">
        <v>0.0</v>
      </c>
      <c r="AM818" s="20">
        <v>376.2</v>
      </c>
      <c r="AN818" s="20">
        <v>0.0</v>
      </c>
      <c r="AS818" s="11" t="str">
        <f>VLOOKUP(C818,'mayo-26'!B:AS,44,0)</f>
        <v>SERVICIOSPUBLICOS@HELADOSPOPSY.COM</v>
      </c>
      <c r="AT818" s="12" t="str">
        <f>VLOOKUP(C818,'mayo-26'!B:AT,45,0)</f>
        <v>VERIFICADOR</v>
      </c>
    </row>
    <row r="819" ht="14.25" customHeight="1">
      <c r="A819" s="20" t="s">
        <v>1734</v>
      </c>
      <c r="B819" s="20">
        <v>147.0</v>
      </c>
      <c r="C819" s="20">
        <v>7916.0</v>
      </c>
      <c r="D819" s="21">
        <v>7916.0</v>
      </c>
      <c r="E819" s="20">
        <v>4851.0</v>
      </c>
      <c r="F819" s="20">
        <v>4851.0</v>
      </c>
      <c r="G819" s="20" t="s">
        <v>179</v>
      </c>
      <c r="H819" s="20" t="s">
        <v>180</v>
      </c>
      <c r="I819" s="1" t="str">
        <f>VLOOKUP(C819,'mayo-26'!B:H,7,0)</f>
        <v>AVE 3 CLL 24 GARITA # 1</v>
      </c>
      <c r="J819" s="1" t="s">
        <v>1322</v>
      </c>
      <c r="K819" s="10" t="str">
        <f>VLOOKUP(C819,'mayo-26'!B:J,9,0)</f>
        <v>NO</v>
      </c>
      <c r="L819" s="1" t="str">
        <f>VLOOKUP(C819,'mayo-26'!B:K,10,0)</f>
        <v>POLICIA</v>
      </c>
      <c r="M819" s="20" t="s">
        <v>52</v>
      </c>
      <c r="N819" s="20" t="s">
        <v>89</v>
      </c>
      <c r="O819" s="20" t="s">
        <v>861</v>
      </c>
      <c r="P819" s="20" t="s">
        <v>126</v>
      </c>
      <c r="Q819" s="20" t="s">
        <v>131</v>
      </c>
      <c r="R819" s="20" t="s">
        <v>1111</v>
      </c>
      <c r="S819" s="20" t="s">
        <v>133</v>
      </c>
      <c r="T819" s="20" t="s">
        <v>59</v>
      </c>
      <c r="U819" s="20">
        <v>2026.0</v>
      </c>
      <c r="V819" s="20">
        <v>6.0</v>
      </c>
      <c r="W819" s="20">
        <v>1.081875667E9</v>
      </c>
      <c r="X819" s="20">
        <v>1.081894139E9</v>
      </c>
      <c r="Y819" s="22">
        <v>46182.0</v>
      </c>
      <c r="Z819" s="22">
        <v>46207.0</v>
      </c>
      <c r="AA819" s="20">
        <v>50244.0</v>
      </c>
      <c r="AB819" s="20">
        <v>50244.0</v>
      </c>
      <c r="AC819" s="20">
        <v>0.0</v>
      </c>
      <c r="AD819" s="20">
        <v>0.0</v>
      </c>
      <c r="AE819" s="20">
        <v>0.0</v>
      </c>
      <c r="AF819" s="20">
        <v>0.0</v>
      </c>
      <c r="AG819" s="20">
        <v>0.0</v>
      </c>
      <c r="AH819" s="20">
        <v>0.0</v>
      </c>
      <c r="AI819" s="20">
        <v>0.0</v>
      </c>
      <c r="AJ819" s="20">
        <v>50244.0</v>
      </c>
      <c r="AK819" s="20">
        <v>101005.0</v>
      </c>
      <c r="AL819" s="20">
        <v>1.0</v>
      </c>
      <c r="AM819" s="20">
        <v>250.8</v>
      </c>
      <c r="AN819" s="20">
        <v>0.0</v>
      </c>
      <c r="AS819" s="11" t="str">
        <f>VLOOKUP(C819,'mayo-26'!B:AS,44,0)</f>
        <v>MECUC.GUBIR@POLICIA.GOV.CO</v>
      </c>
      <c r="AT819" s="12" t="str">
        <f>VLOOKUP(C819,'mayo-26'!B:AT,45,0)</f>
        <v>CORREO ELECTRONICO CERTIFICADO 472</v>
      </c>
    </row>
    <row r="820" ht="14.25" customHeight="1">
      <c r="A820" s="20" t="s">
        <v>1735</v>
      </c>
      <c r="B820" s="20">
        <v>643.0</v>
      </c>
      <c r="C820" s="20">
        <v>95928.0</v>
      </c>
      <c r="D820" s="21">
        <v>95928.0</v>
      </c>
      <c r="E820" s="20">
        <v>457783.0</v>
      </c>
      <c r="F820" s="20">
        <v>457783.0</v>
      </c>
      <c r="G820" s="20" t="s">
        <v>1189</v>
      </c>
      <c r="H820" s="20" t="s">
        <v>1190</v>
      </c>
      <c r="I820" s="1" t="str">
        <f>VLOOKUP(C820,'mayo-26'!B:H,7,0)</f>
        <v>AV ANILLO VIAL ORIENTAL JARDIN PLAZA</v>
      </c>
      <c r="J820" s="1" t="s">
        <v>942</v>
      </c>
      <c r="K820" s="10" t="str">
        <f>VLOOKUP(C820,'mayo-26'!B:J,9,0)</f>
        <v>CENTRO</v>
      </c>
      <c r="L820" s="1" t="str">
        <f>VLOOKUP(C820,'mayo-26'!B:K,10,0)</f>
        <v>CENTRO</v>
      </c>
      <c r="M820" s="20" t="s">
        <v>52</v>
      </c>
      <c r="N820" s="20" t="s">
        <v>89</v>
      </c>
      <c r="O820" s="20" t="s">
        <v>861</v>
      </c>
      <c r="P820" s="20" t="s">
        <v>126</v>
      </c>
      <c r="Q820" s="20" t="s">
        <v>131</v>
      </c>
      <c r="R820" s="20" t="s">
        <v>132</v>
      </c>
      <c r="S820" s="20" t="s">
        <v>133</v>
      </c>
      <c r="T820" s="20" t="s">
        <v>59</v>
      </c>
      <c r="U820" s="20">
        <v>2026.0</v>
      </c>
      <c r="V820" s="20">
        <v>6.0</v>
      </c>
      <c r="W820" s="20">
        <v>1.081875728E9</v>
      </c>
      <c r="X820" s="20">
        <v>1.0818942E9</v>
      </c>
      <c r="Y820" s="22">
        <v>46182.0</v>
      </c>
      <c r="Z820" s="22">
        <v>46207.0</v>
      </c>
      <c r="AA820" s="20">
        <v>113128.5</v>
      </c>
      <c r="AB820" s="20">
        <v>113128.5</v>
      </c>
      <c r="AC820" s="20">
        <v>37709.5</v>
      </c>
      <c r="AD820" s="20">
        <v>0.0</v>
      </c>
      <c r="AE820" s="20">
        <v>0.0</v>
      </c>
      <c r="AF820" s="20">
        <v>0.0</v>
      </c>
      <c r="AG820" s="20">
        <v>0.0</v>
      </c>
      <c r="AH820" s="20">
        <v>0.0</v>
      </c>
      <c r="AI820" s="20">
        <v>0.0</v>
      </c>
      <c r="AJ820" s="20">
        <v>113128.5</v>
      </c>
      <c r="AK820" s="20">
        <v>113128.5</v>
      </c>
      <c r="AL820" s="20">
        <v>0.0</v>
      </c>
      <c r="AM820" s="20">
        <v>376.2</v>
      </c>
      <c r="AN820" s="20">
        <v>0.0</v>
      </c>
      <c r="AS820" s="11" t="str">
        <f>VLOOKUP(C820,'mayo-26'!B:AS,44,0)</f>
        <v>RECEPCIONFACTURAS@QUEST.COM.CO</v>
      </c>
      <c r="AT820" s="12" t="str">
        <f>VLOOKUP(C820,'mayo-26'!B:AT,45,0)</f>
        <v>VERIFICADOR</v>
      </c>
    </row>
    <row r="821" ht="14.25" customHeight="1">
      <c r="A821" s="20" t="s">
        <v>1736</v>
      </c>
      <c r="B821" s="20">
        <v>455370.0</v>
      </c>
      <c r="C821" s="20">
        <v>109.0</v>
      </c>
      <c r="D821" s="21">
        <v>109.0</v>
      </c>
      <c r="E821" s="20">
        <v>9.0200142E7</v>
      </c>
      <c r="F821" s="20">
        <v>9.0200142E7</v>
      </c>
      <c r="G821" s="20" t="s">
        <v>148</v>
      </c>
      <c r="H821" s="20" t="s">
        <v>149</v>
      </c>
      <c r="I821" s="1" t="str">
        <f>VLOOKUP(C821,'mayo-26'!B:H,7,0)</f>
        <v>CALLE 10 NO 0E-16 EDF CENTRO EMPRESARIAL BLOQUE B HOTEL TONCHALA</v>
      </c>
      <c r="J821" s="1" t="s">
        <v>1172</v>
      </c>
      <c r="K821" s="10" t="str">
        <f>VLOOKUP(C821,'mayo-26'!B:J,9,0)</f>
        <v>NO</v>
      </c>
      <c r="L821" s="1" t="str">
        <f>VLOOKUP(C821,'mayo-26'!B:K,10,0)</f>
        <v>COLEGIOS ZONA SUR</v>
      </c>
      <c r="M821" s="20" t="s">
        <v>52</v>
      </c>
      <c r="N821" s="20" t="s">
        <v>53</v>
      </c>
      <c r="O821" s="20" t="s">
        <v>861</v>
      </c>
      <c r="P821" s="20" t="s">
        <v>126</v>
      </c>
      <c r="Q821" s="20" t="s">
        <v>56</v>
      </c>
      <c r="R821" s="20" t="s">
        <v>57</v>
      </c>
      <c r="S821" s="20" t="s">
        <v>143</v>
      </c>
      <c r="T821" s="20" t="s">
        <v>59</v>
      </c>
      <c r="U821" s="20">
        <v>2026.0</v>
      </c>
      <c r="V821" s="20">
        <v>6.0</v>
      </c>
      <c r="W821" s="20">
        <v>1.081875312E9</v>
      </c>
      <c r="X821" s="20">
        <v>1.081893784E9</v>
      </c>
      <c r="Y821" s="22">
        <v>46182.0</v>
      </c>
      <c r="Z821" s="22">
        <v>46207.0</v>
      </c>
      <c r="AA821" s="20">
        <v>253978.96</v>
      </c>
      <c r="AB821" s="20">
        <v>253978.96</v>
      </c>
      <c r="AC821" s="20">
        <v>0.0</v>
      </c>
      <c r="AD821" s="20">
        <v>1140.0</v>
      </c>
      <c r="AE821" s="20">
        <v>0.0</v>
      </c>
      <c r="AF821" s="20">
        <v>0.0</v>
      </c>
      <c r="AG821" s="20">
        <v>0.0</v>
      </c>
      <c r="AH821" s="20">
        <v>0.0</v>
      </c>
      <c r="AI821" s="20">
        <v>0.0</v>
      </c>
      <c r="AJ821" s="20">
        <v>253978.96</v>
      </c>
      <c r="AK821" s="20">
        <v>757793.62</v>
      </c>
      <c r="AL821" s="20">
        <v>3.0</v>
      </c>
      <c r="AM821" s="20">
        <v>250.8</v>
      </c>
      <c r="AN821" s="20">
        <v>0.0</v>
      </c>
      <c r="AS821" s="11" t="str">
        <f>VLOOKUP(C821,'mayo-26'!B:AS,44,0)</f>
        <v>AREAFINANCIERA@SEMCUCUTA.GOV.CO</v>
      </c>
      <c r="AT821" s="12" t="str">
        <f>VLOOKUP(C821,'mayo-26'!B:AT,45,0)</f>
        <v>CARTERA</v>
      </c>
    </row>
    <row r="822" ht="14.25" customHeight="1">
      <c r="A822" s="20" t="s">
        <v>1737</v>
      </c>
      <c r="B822" s="20">
        <v>147.0</v>
      </c>
      <c r="C822" s="20">
        <v>110409.0</v>
      </c>
      <c r="D822" s="21">
        <v>110409.0</v>
      </c>
      <c r="E822" s="20">
        <v>441500.0</v>
      </c>
      <c r="F822" s="20">
        <v>441500.0</v>
      </c>
      <c r="G822" s="20" t="s">
        <v>179</v>
      </c>
      <c r="H822" s="20" t="s">
        <v>180</v>
      </c>
      <c r="I822" s="1" t="str">
        <f>VLOOKUP(C822,'mayo-26'!B:H,7,0)</f>
        <v>AVE 3 CLL 24 GARITA # 1</v>
      </c>
      <c r="J822" s="1" t="s">
        <v>1256</v>
      </c>
      <c r="K822" s="10" t="str">
        <f>VLOOKUP(C822,'mayo-26'!B:J,9,0)</f>
        <v>NO</v>
      </c>
      <c r="L822" s="1" t="str">
        <f>VLOOKUP(C822,'mayo-26'!B:K,10,0)</f>
        <v>POLICIA</v>
      </c>
      <c r="M822" s="20" t="s">
        <v>52</v>
      </c>
      <c r="N822" s="20" t="s">
        <v>89</v>
      </c>
      <c r="O822" s="20" t="s">
        <v>861</v>
      </c>
      <c r="P822" s="20" t="s">
        <v>126</v>
      </c>
      <c r="Q822" s="20" t="s">
        <v>131</v>
      </c>
      <c r="R822" s="20" t="s">
        <v>1111</v>
      </c>
      <c r="S822" s="20" t="s">
        <v>133</v>
      </c>
      <c r="T822" s="20" t="s">
        <v>59</v>
      </c>
      <c r="U822" s="20">
        <v>2026.0</v>
      </c>
      <c r="V822" s="20">
        <v>6.0</v>
      </c>
      <c r="W822" s="20">
        <v>1.081875741E9</v>
      </c>
      <c r="X822" s="20">
        <v>1.081894213E9</v>
      </c>
      <c r="Y822" s="22">
        <v>46182.0</v>
      </c>
      <c r="Z822" s="22">
        <v>46207.0</v>
      </c>
      <c r="AA822" s="20">
        <v>50244.0</v>
      </c>
      <c r="AB822" s="20">
        <v>50244.0</v>
      </c>
      <c r="AC822" s="20">
        <v>0.0</v>
      </c>
      <c r="AD822" s="20">
        <v>0.0</v>
      </c>
      <c r="AE822" s="20">
        <v>0.0</v>
      </c>
      <c r="AF822" s="20">
        <v>0.0</v>
      </c>
      <c r="AG822" s="20">
        <v>0.0</v>
      </c>
      <c r="AH822" s="20">
        <v>0.0</v>
      </c>
      <c r="AI822" s="20">
        <v>0.0</v>
      </c>
      <c r="AJ822" s="20">
        <v>50244.0</v>
      </c>
      <c r="AK822" s="20">
        <v>101005.0</v>
      </c>
      <c r="AL822" s="20">
        <v>1.0</v>
      </c>
      <c r="AM822" s="20">
        <v>250.8</v>
      </c>
      <c r="AN822" s="20">
        <v>0.0</v>
      </c>
      <c r="AS822" s="11" t="str">
        <f>VLOOKUP(C822,'mayo-26'!B:AS,44,0)</f>
        <v>MECUC.GUBIR@POLICIA.GOV.CO</v>
      </c>
      <c r="AT822" s="12" t="str">
        <f>VLOOKUP(C822,'mayo-26'!B:AT,45,0)</f>
        <v>CORREO ELECTRONICO CERTIFICADO 472</v>
      </c>
    </row>
    <row r="823" ht="14.25" customHeight="1">
      <c r="A823" s="20" t="s">
        <v>1738</v>
      </c>
      <c r="B823" s="20">
        <v>455370.0</v>
      </c>
      <c r="C823" s="20">
        <v>113.0</v>
      </c>
      <c r="D823" s="21">
        <v>113.0</v>
      </c>
      <c r="E823" s="20">
        <v>9.0201599E7</v>
      </c>
      <c r="F823" s="20">
        <v>9.0201599E7</v>
      </c>
      <c r="G823" s="20" t="s">
        <v>148</v>
      </c>
      <c r="H823" s="20" t="s">
        <v>149</v>
      </c>
      <c r="I823" s="1" t="str">
        <f>VLOOKUP(C823,'mayo-26'!B:H,7,0)</f>
        <v>CALLE 10 NO 0E-16 EDF CENTRO EMPRESARIAL BLOQUE B HOTEL TONCHALA</v>
      </c>
      <c r="J823" s="1" t="s">
        <v>863</v>
      </c>
      <c r="K823" s="10" t="str">
        <f>VLOOKUP(C823,'mayo-26'!B:J,9,0)</f>
        <v>NO</v>
      </c>
      <c r="L823" s="1" t="str">
        <f>VLOOKUP(C823,'mayo-26'!B:K,10,0)</f>
        <v>COLEGIOS ZONA SUR</v>
      </c>
      <c r="M823" s="20" t="s">
        <v>52</v>
      </c>
      <c r="N823" s="20" t="s">
        <v>53</v>
      </c>
      <c r="O823" s="20" t="s">
        <v>861</v>
      </c>
      <c r="P823" s="20" t="s">
        <v>126</v>
      </c>
      <c r="Q823" s="20" t="s">
        <v>56</v>
      </c>
      <c r="R823" s="20" t="s">
        <v>57</v>
      </c>
      <c r="S823" s="20" t="s">
        <v>143</v>
      </c>
      <c r="T823" s="20" t="s">
        <v>59</v>
      </c>
      <c r="U823" s="20">
        <v>2026.0</v>
      </c>
      <c r="V823" s="20">
        <v>6.0</v>
      </c>
      <c r="W823" s="20">
        <v>1.081875319E9</v>
      </c>
      <c r="X823" s="20">
        <v>1.081893791E9</v>
      </c>
      <c r="Y823" s="22">
        <v>46182.0</v>
      </c>
      <c r="Z823" s="22">
        <v>46207.0</v>
      </c>
      <c r="AA823" s="20">
        <v>165738.71</v>
      </c>
      <c r="AB823" s="20">
        <v>165738.71</v>
      </c>
      <c r="AC823" s="20">
        <v>0.0</v>
      </c>
      <c r="AD823" s="20">
        <v>675.0</v>
      </c>
      <c r="AE823" s="20">
        <v>0.0</v>
      </c>
      <c r="AF823" s="20">
        <v>0.0</v>
      </c>
      <c r="AG823" s="20">
        <v>0.0</v>
      </c>
      <c r="AH823" s="20">
        <v>0.0</v>
      </c>
      <c r="AI823" s="20">
        <v>0.0</v>
      </c>
      <c r="AJ823" s="20">
        <v>165738.71</v>
      </c>
      <c r="AK823" s="20">
        <v>495148.62</v>
      </c>
      <c r="AL823" s="20">
        <v>3.0</v>
      </c>
      <c r="AM823" s="20">
        <v>250.8</v>
      </c>
      <c r="AN823" s="20">
        <v>0.0</v>
      </c>
      <c r="AS823" s="11" t="str">
        <f>VLOOKUP(C823,'mayo-26'!B:AS,44,0)</f>
        <v>AREAFINANCIERA@SEMCUCUTA.GOV.CO</v>
      </c>
      <c r="AT823" s="12" t="str">
        <f>VLOOKUP(C823,'mayo-26'!B:AT,45,0)</f>
        <v>CARTERA</v>
      </c>
    </row>
    <row r="824" ht="14.25" customHeight="1">
      <c r="A824" s="20" t="s">
        <v>1739</v>
      </c>
      <c r="B824" s="20">
        <v>116538.0</v>
      </c>
      <c r="C824" s="20">
        <v>116537.0</v>
      </c>
      <c r="D824" s="21">
        <v>116537.0</v>
      </c>
      <c r="E824" s="20">
        <v>623708.0</v>
      </c>
      <c r="F824" s="20">
        <v>623708.0</v>
      </c>
      <c r="G824" s="20">
        <v>623708.0</v>
      </c>
      <c r="H824" s="20" t="s">
        <v>1740</v>
      </c>
      <c r="I824" s="1" t="str">
        <f>VLOOKUP(C824,'mayo-26'!B:H,7,0)</f>
        <v>CLL 17 0 - 88 92 LOC 4</v>
      </c>
      <c r="J824" s="1" t="s">
        <v>343</v>
      </c>
      <c r="K824" s="10" t="str">
        <f>VLOOKUP(C824,'mayo-26'!B:J,9,0)</f>
        <v>CENTRO</v>
      </c>
      <c r="L824" s="1" t="str">
        <f>VLOOKUP(C824,'mayo-26'!B:K,10,0)</f>
        <v>NO</v>
      </c>
      <c r="M824" s="20" t="s">
        <v>52</v>
      </c>
      <c r="N824" s="20" t="s">
        <v>89</v>
      </c>
      <c r="O824" s="20" t="s">
        <v>861</v>
      </c>
      <c r="P824" s="20" t="s">
        <v>126</v>
      </c>
      <c r="Q824" s="20" t="s">
        <v>131</v>
      </c>
      <c r="R824" s="20" t="s">
        <v>363</v>
      </c>
      <c r="S824" s="20" t="s">
        <v>133</v>
      </c>
      <c r="T824" s="20" t="s">
        <v>59</v>
      </c>
      <c r="U824" s="20">
        <v>2026.0</v>
      </c>
      <c r="V824" s="20">
        <v>6.0</v>
      </c>
      <c r="W824" s="20">
        <v>1.081875746E9</v>
      </c>
      <c r="X824" s="20">
        <v>1.081894218E9</v>
      </c>
      <c r="Y824" s="22">
        <v>46182.0</v>
      </c>
      <c r="Z824" s="22">
        <v>46207.0</v>
      </c>
      <c r="AA824" s="20">
        <v>76505.65</v>
      </c>
      <c r="AB824" s="20">
        <v>76505.65</v>
      </c>
      <c r="AC824" s="20">
        <v>25122.0</v>
      </c>
      <c r="AD824" s="20">
        <v>0.0</v>
      </c>
      <c r="AE824" s="20">
        <v>1139.65</v>
      </c>
      <c r="AF824" s="20">
        <v>0.0</v>
      </c>
      <c r="AG824" s="20">
        <v>0.0</v>
      </c>
      <c r="AH824" s="20">
        <v>0.0</v>
      </c>
      <c r="AI824" s="20">
        <v>0.0</v>
      </c>
      <c r="AJ824" s="20">
        <v>76505.65</v>
      </c>
      <c r="AK824" s="20">
        <v>89716.98</v>
      </c>
      <c r="AL824" s="20">
        <v>1.0</v>
      </c>
      <c r="AM824" s="20">
        <v>376.2</v>
      </c>
      <c r="AN824" s="20">
        <v>0.0</v>
      </c>
      <c r="AS824" s="13" t="str">
        <f>VLOOKUP(C824,'mayo-26'!B:AS,44,0)</f>
        <v>aux.servicioalclientevyv@gmail.com</v>
      </c>
      <c r="AT824" s="12" t="str">
        <f>VLOOKUP(C824,'mayo-26'!B:AT,45,0)</f>
        <v>VERIFICADOR</v>
      </c>
    </row>
    <row r="825" ht="14.25" customHeight="1">
      <c r="A825" s="20" t="s">
        <v>1741</v>
      </c>
      <c r="B825" s="20">
        <v>232.0</v>
      </c>
      <c r="C825" s="20">
        <v>117.0</v>
      </c>
      <c r="D825" s="21">
        <v>117.0</v>
      </c>
      <c r="E825" s="20">
        <v>9.0202829E7</v>
      </c>
      <c r="F825" s="20">
        <v>9.0202829E7</v>
      </c>
      <c r="G825" s="20">
        <v>8.30122566E8</v>
      </c>
      <c r="H825" s="20" t="s">
        <v>193</v>
      </c>
      <c r="I825" s="1" t="str">
        <f>VLOOKUP(C825,'mayo-26'!B:H,7,0)</f>
        <v>AV 0 N 10-61</v>
      </c>
      <c r="J825" s="1" t="s">
        <v>1050</v>
      </c>
      <c r="K825" s="10" t="str">
        <f>VLOOKUP(C825,'mayo-26'!B:J,9,0)</f>
        <v>NO</v>
      </c>
      <c r="L825" s="1" t="str">
        <f>VLOOKUP(C825,'mayo-26'!B:K,10,0)</f>
        <v>MOVISTAR</v>
      </c>
      <c r="M825" s="20" t="s">
        <v>52</v>
      </c>
      <c r="N825" s="20" t="s">
        <v>53</v>
      </c>
      <c r="O825" s="20" t="s">
        <v>861</v>
      </c>
      <c r="P825" s="20" t="s">
        <v>126</v>
      </c>
      <c r="Q825" s="20" t="s">
        <v>131</v>
      </c>
      <c r="R825" s="20" t="s">
        <v>151</v>
      </c>
      <c r="S825" s="20" t="s">
        <v>133</v>
      </c>
      <c r="T825" s="20" t="s">
        <v>59</v>
      </c>
      <c r="U825" s="20">
        <v>2026.0</v>
      </c>
      <c r="V825" s="20">
        <v>6.0</v>
      </c>
      <c r="W825" s="20">
        <v>1.081875322E9</v>
      </c>
      <c r="X825" s="20">
        <v>1.081893794E9</v>
      </c>
      <c r="Y825" s="22">
        <v>46182.0</v>
      </c>
      <c r="Z825" s="22">
        <v>46207.0</v>
      </c>
      <c r="AA825" s="20">
        <v>75419.0</v>
      </c>
      <c r="AB825" s="20">
        <v>75419.0</v>
      </c>
      <c r="AC825" s="20">
        <v>0.0</v>
      </c>
      <c r="AD825" s="20">
        <v>0.0</v>
      </c>
      <c r="AE825" s="20">
        <v>0.0</v>
      </c>
      <c r="AF825" s="20">
        <v>0.0</v>
      </c>
      <c r="AG825" s="20">
        <v>0.0</v>
      </c>
      <c r="AH825" s="20">
        <v>0.0</v>
      </c>
      <c r="AI825" s="20">
        <v>0.0</v>
      </c>
      <c r="AJ825" s="20">
        <v>75419.0</v>
      </c>
      <c r="AK825" s="20">
        <v>226310.0</v>
      </c>
      <c r="AL825" s="20">
        <v>2.0</v>
      </c>
      <c r="AM825" s="20">
        <v>250.8</v>
      </c>
      <c r="AN825" s="20">
        <v>0.0</v>
      </c>
      <c r="AS825" s="11" t="str">
        <f>VLOOKUP(C825,'mayo-26'!B:AS,44,0)</f>
        <v>SERVICIOSPUBLICOS.TC@TELEFONICA.COM; D.CRUZ02@TELEFONICA.COM</v>
      </c>
      <c r="AT825" s="12" t="str">
        <f>VLOOKUP(C825,'mayo-26'!B:AT,45,0)</f>
        <v>CORREO ELECTRONICO CERTIFICADO 472</v>
      </c>
    </row>
    <row r="826" ht="14.25" customHeight="1">
      <c r="A826" s="20" t="s">
        <v>1742</v>
      </c>
      <c r="B826" s="20">
        <v>350.0</v>
      </c>
      <c r="C826" s="20">
        <v>120541.0</v>
      </c>
      <c r="D826" s="21">
        <v>120541.0</v>
      </c>
      <c r="E826" s="20">
        <v>671088.0</v>
      </c>
      <c r="F826" s="20">
        <v>671088.0</v>
      </c>
      <c r="G826" s="20">
        <v>9.00603041E8</v>
      </c>
      <c r="H826" s="20" t="s">
        <v>400</v>
      </c>
      <c r="I826" s="1" t="str">
        <f>VLOOKUP(C826,'mayo-26'!B:H,7,0)</f>
        <v>AVE 6 7-35 SUPERMERCADO</v>
      </c>
      <c r="J826" s="1" t="s">
        <v>1000</v>
      </c>
      <c r="K826" s="10" t="str">
        <f>VLOOKUP(C826,'mayo-26'!B:J,9,0)</f>
        <v>NO</v>
      </c>
      <c r="L826" s="1" t="str">
        <f>VLOOKUP(C826,'mayo-26'!B:K,10,0)</f>
        <v>LOS MONTES</v>
      </c>
      <c r="M826" s="20" t="s">
        <v>52</v>
      </c>
      <c r="N826" s="20" t="s">
        <v>89</v>
      </c>
      <c r="O826" s="20" t="s">
        <v>861</v>
      </c>
      <c r="P826" s="20" t="s">
        <v>126</v>
      </c>
      <c r="Q826" s="20" t="s">
        <v>56</v>
      </c>
      <c r="R826" s="20" t="s">
        <v>90</v>
      </c>
      <c r="S826" s="20" t="s">
        <v>143</v>
      </c>
      <c r="T826" s="20" t="s">
        <v>59</v>
      </c>
      <c r="U826" s="20">
        <v>2026.0</v>
      </c>
      <c r="V826" s="20">
        <v>6.0</v>
      </c>
      <c r="W826" s="20">
        <v>1.081875752E9</v>
      </c>
      <c r="X826" s="20">
        <v>1.081894224E9</v>
      </c>
      <c r="Y826" s="22">
        <v>46182.0</v>
      </c>
      <c r="Z826" s="22">
        <v>46207.0</v>
      </c>
      <c r="AA826" s="20">
        <v>920404.29</v>
      </c>
      <c r="AB826" s="20">
        <v>920404.29</v>
      </c>
      <c r="AC826" s="20">
        <v>303470.0</v>
      </c>
      <c r="AD826" s="20">
        <v>3000.0</v>
      </c>
      <c r="AE826" s="20">
        <v>9994.29</v>
      </c>
      <c r="AF826" s="20">
        <v>0.0</v>
      </c>
      <c r="AG826" s="20">
        <v>0.0</v>
      </c>
      <c r="AH826" s="20">
        <v>0.0</v>
      </c>
      <c r="AI826" s="20">
        <v>0.0</v>
      </c>
      <c r="AJ826" s="20">
        <v>920404.29</v>
      </c>
      <c r="AK826" s="20">
        <v>1811160.84</v>
      </c>
      <c r="AL826" s="20">
        <v>1.0</v>
      </c>
      <c r="AM826" s="20">
        <v>376.2</v>
      </c>
      <c r="AN826" s="20">
        <v>0.0</v>
      </c>
      <c r="AS826" s="11" t="str">
        <f>VLOOKUP(C826,'mayo-26'!B:AS,44,0)</f>
        <v>GASTOS@SUPERLOSMONTES.CO;FACTURAELECTRONICA@SUPERLOSMONTES.CO</v>
      </c>
      <c r="AT826" s="12" t="str">
        <f>VLOOKUP(C826,'mayo-26'!B:AT,45,0)</f>
        <v>CORREO ELECTRONICO CERTIFICADO 472</v>
      </c>
    </row>
    <row r="827" ht="14.25" customHeight="1">
      <c r="A827" s="20" t="s">
        <v>1743</v>
      </c>
      <c r="B827" s="20">
        <v>297.0</v>
      </c>
      <c r="C827" s="20">
        <v>121.0</v>
      </c>
      <c r="D827" s="21">
        <v>121.0</v>
      </c>
      <c r="E827" s="20">
        <v>9.0205954E7</v>
      </c>
      <c r="F827" s="20">
        <v>9.0205954E7</v>
      </c>
      <c r="G827" s="20" t="s">
        <v>135</v>
      </c>
      <c r="H827" s="20" t="s">
        <v>136</v>
      </c>
      <c r="I827" s="1" t="str">
        <f>VLOOKUP(C827,'mayo-26'!B:H,7,0)</f>
        <v>AVE 4 17-89 - 0239431</v>
      </c>
      <c r="J827" s="1" t="s">
        <v>869</v>
      </c>
      <c r="K827" s="10" t="str">
        <f>VLOOKUP(C827,'mayo-26'!B:J,9,0)</f>
        <v>NO</v>
      </c>
      <c r="L827" s="1" t="str">
        <f>VLOOKUP(C827,'mayo-26'!B:K,10,0)</f>
        <v>IMSALUD</v>
      </c>
      <c r="M827" s="20" t="s">
        <v>52</v>
      </c>
      <c r="N827" s="20" t="s">
        <v>53</v>
      </c>
      <c r="O827" s="20" t="s">
        <v>861</v>
      </c>
      <c r="P827" s="20" t="s">
        <v>126</v>
      </c>
      <c r="Q827" s="20" t="s">
        <v>131</v>
      </c>
      <c r="R827" s="20" t="s">
        <v>151</v>
      </c>
      <c r="S827" s="20" t="s">
        <v>133</v>
      </c>
      <c r="T827" s="20" t="s">
        <v>59</v>
      </c>
      <c r="U827" s="20">
        <v>2026.0</v>
      </c>
      <c r="V827" s="20">
        <v>6.0</v>
      </c>
      <c r="W827" s="20">
        <v>1.081875325E9</v>
      </c>
      <c r="X827" s="20">
        <v>1.081893797E9</v>
      </c>
      <c r="Y827" s="22">
        <v>46182.0</v>
      </c>
      <c r="Z827" s="22">
        <v>46207.0</v>
      </c>
      <c r="AA827" s="20">
        <v>75419.0</v>
      </c>
      <c r="AB827" s="20">
        <v>75419.0</v>
      </c>
      <c r="AC827" s="20">
        <v>0.0</v>
      </c>
      <c r="AD827" s="20">
        <v>0.0</v>
      </c>
      <c r="AE827" s="20">
        <v>0.0</v>
      </c>
      <c r="AF827" s="20">
        <v>0.0</v>
      </c>
      <c r="AG827" s="20">
        <v>0.0</v>
      </c>
      <c r="AH827" s="20">
        <v>0.0</v>
      </c>
      <c r="AI827" s="20">
        <v>0.0</v>
      </c>
      <c r="AJ827" s="20">
        <v>75419.0</v>
      </c>
      <c r="AK827" s="20">
        <v>75419.0</v>
      </c>
      <c r="AL827" s="20">
        <v>0.0</v>
      </c>
      <c r="AM827" s="20">
        <v>250.8</v>
      </c>
      <c r="AN827" s="20">
        <v>0.0</v>
      </c>
      <c r="AS827" s="11" t="str">
        <f>VLOOKUP(C827,'mayo-26'!B:AS,44,0)</f>
        <v>SUBFINANCIERA@IMSALUD.GOV.CO</v>
      </c>
      <c r="AT827" s="12" t="str">
        <f>VLOOKUP(C827,'mayo-26'!B:AT,45,0)</f>
        <v>CORREO ELECTRONICO CERTIFICADO 472</v>
      </c>
    </row>
    <row r="828" ht="14.25" customHeight="1">
      <c r="A828" s="20" t="s">
        <v>1744</v>
      </c>
      <c r="B828" s="20">
        <v>350.0</v>
      </c>
      <c r="C828" s="20">
        <v>122125.0</v>
      </c>
      <c r="D828" s="21">
        <v>122125.0</v>
      </c>
      <c r="E828" s="20">
        <v>718700.0</v>
      </c>
      <c r="F828" s="20">
        <v>718700.0</v>
      </c>
      <c r="G828" s="20">
        <v>9.00603041E8</v>
      </c>
      <c r="H828" s="20" t="s">
        <v>400</v>
      </c>
      <c r="I828" s="1" t="str">
        <f>VLOOKUP(C828,'mayo-26'!B:H,7,0)</f>
        <v>AVE 6 7-35 SUPERMERCADO</v>
      </c>
      <c r="J828" s="1" t="s">
        <v>76</v>
      </c>
      <c r="K828" s="10" t="str">
        <f>VLOOKUP(C828,'mayo-26'!B:J,9,0)</f>
        <v>NO</v>
      </c>
      <c r="L828" s="1" t="str">
        <f>VLOOKUP(C828,'mayo-26'!B:K,10,0)</f>
        <v>LOS MONTES</v>
      </c>
      <c r="M828" s="20" t="s">
        <v>52</v>
      </c>
      <c r="N828" s="20" t="s">
        <v>89</v>
      </c>
      <c r="O828" s="20" t="s">
        <v>861</v>
      </c>
      <c r="P828" s="20" t="s">
        <v>126</v>
      </c>
      <c r="Q828" s="20" t="s">
        <v>56</v>
      </c>
      <c r="R828" s="20" t="s">
        <v>90</v>
      </c>
      <c r="S828" s="20" t="s">
        <v>143</v>
      </c>
      <c r="T828" s="20" t="s">
        <v>59</v>
      </c>
      <c r="U828" s="20">
        <v>2026.0</v>
      </c>
      <c r="V828" s="20">
        <v>6.0</v>
      </c>
      <c r="W828" s="20">
        <v>1.081875757E9</v>
      </c>
      <c r="X828" s="20">
        <v>1.081894229E9</v>
      </c>
      <c r="Y828" s="22">
        <v>46182.0</v>
      </c>
      <c r="Z828" s="22">
        <v>46207.0</v>
      </c>
      <c r="AA828" s="20">
        <v>200994.77</v>
      </c>
      <c r="AB828" s="20">
        <v>200994.77</v>
      </c>
      <c r="AC828" s="20">
        <v>66265.0</v>
      </c>
      <c r="AD828" s="20">
        <v>500.0</v>
      </c>
      <c r="AE828" s="20">
        <v>2199.77</v>
      </c>
      <c r="AF828" s="20">
        <v>0.0</v>
      </c>
      <c r="AG828" s="20">
        <v>0.0</v>
      </c>
      <c r="AH828" s="20">
        <v>0.0</v>
      </c>
      <c r="AI828" s="20">
        <v>0.0</v>
      </c>
      <c r="AJ828" s="20">
        <v>200994.77</v>
      </c>
      <c r="AK828" s="20">
        <v>394661.95</v>
      </c>
      <c r="AL828" s="20">
        <v>1.0</v>
      </c>
      <c r="AM828" s="20">
        <v>376.2</v>
      </c>
      <c r="AN828" s="20">
        <v>0.0</v>
      </c>
      <c r="AS828" s="11" t="str">
        <f>VLOOKUP(C828,'mayo-26'!B:AS,44,0)</f>
        <v>GASTOS@SUPERLOSMONTES.CO;FACTURAELECTRONICA@SUPERLOSMONTES.CO</v>
      </c>
      <c r="AT828" s="12" t="str">
        <f>VLOOKUP(C828,'mayo-26'!B:AT,45,0)</f>
        <v>CORREO ELECTRONICO CERTIFICADO 472</v>
      </c>
    </row>
    <row r="829" ht="14.25" customHeight="1">
      <c r="A829" s="20" t="s">
        <v>1745</v>
      </c>
      <c r="B829" s="20">
        <v>147.0</v>
      </c>
      <c r="C829" s="20">
        <v>125.0</v>
      </c>
      <c r="D829" s="21">
        <v>125.0</v>
      </c>
      <c r="E829" s="20">
        <v>9.0207917E7</v>
      </c>
      <c r="F829" s="20">
        <v>9.0207917E7</v>
      </c>
      <c r="G829" s="20" t="s">
        <v>179</v>
      </c>
      <c r="H829" s="20" t="s">
        <v>180</v>
      </c>
      <c r="I829" s="1" t="str">
        <f>VLOOKUP(C829,'mayo-26'!B:H,7,0)</f>
        <v>AVE 3 CLL 24 GARITA # 1</v>
      </c>
      <c r="J829" s="1" t="s">
        <v>877</v>
      </c>
      <c r="K829" s="10" t="str">
        <f>VLOOKUP(C829,'mayo-26'!B:J,9,0)</f>
        <v>NO</v>
      </c>
      <c r="L829" s="1" t="str">
        <f>VLOOKUP(C829,'mayo-26'!B:K,10,0)</f>
        <v>POLICIA</v>
      </c>
      <c r="M829" s="20" t="s">
        <v>52</v>
      </c>
      <c r="N829" s="20" t="s">
        <v>89</v>
      </c>
      <c r="O829" s="20" t="s">
        <v>861</v>
      </c>
      <c r="P829" s="20" t="s">
        <v>126</v>
      </c>
      <c r="Q829" s="20" t="s">
        <v>131</v>
      </c>
      <c r="R829" s="20" t="s">
        <v>151</v>
      </c>
      <c r="S829" s="20" t="s">
        <v>133</v>
      </c>
      <c r="T829" s="20" t="s">
        <v>59</v>
      </c>
      <c r="U829" s="20">
        <v>2026.0</v>
      </c>
      <c r="V829" s="20">
        <v>6.0</v>
      </c>
      <c r="W829" s="20">
        <v>1.081875328E9</v>
      </c>
      <c r="X829" s="20">
        <v>1.0818938E9</v>
      </c>
      <c r="Y829" s="22">
        <v>46182.0</v>
      </c>
      <c r="Z829" s="22">
        <v>46207.0</v>
      </c>
      <c r="AA829" s="20">
        <v>75419.0</v>
      </c>
      <c r="AB829" s="20">
        <v>75419.0</v>
      </c>
      <c r="AC829" s="20">
        <v>0.0</v>
      </c>
      <c r="AD829" s="20">
        <v>0.0</v>
      </c>
      <c r="AE829" s="20">
        <v>0.0</v>
      </c>
      <c r="AF829" s="20">
        <v>0.0</v>
      </c>
      <c r="AG829" s="20">
        <v>0.0</v>
      </c>
      <c r="AH829" s="20">
        <v>0.0</v>
      </c>
      <c r="AI829" s="20">
        <v>0.0</v>
      </c>
      <c r="AJ829" s="20">
        <v>75419.0</v>
      </c>
      <c r="AK829" s="20">
        <v>151360.0</v>
      </c>
      <c r="AL829" s="20">
        <v>1.0</v>
      </c>
      <c r="AM829" s="20">
        <v>250.8</v>
      </c>
      <c r="AN829" s="20">
        <v>0.0</v>
      </c>
      <c r="AS829" s="11" t="str">
        <f>VLOOKUP(C829,'mayo-26'!B:AS,44,0)</f>
        <v>MECUC.GUBIR@POLICIA.GOV.CO</v>
      </c>
      <c r="AT829" s="12" t="str">
        <f>VLOOKUP(C829,'mayo-26'!B:AT,45,0)</f>
        <v>CORREO ELECTRONICO CERTIFICADO 472</v>
      </c>
    </row>
    <row r="830" ht="14.25" customHeight="1">
      <c r="A830" s="20" t="s">
        <v>1746</v>
      </c>
      <c r="B830" s="20">
        <v>134.0</v>
      </c>
      <c r="C830" s="20">
        <v>133.0</v>
      </c>
      <c r="D830" s="21">
        <v>133.0</v>
      </c>
      <c r="E830" s="20">
        <v>9.0212226E7</v>
      </c>
      <c r="F830" s="20">
        <v>9.0212226E7</v>
      </c>
      <c r="G830" s="20" t="s">
        <v>875</v>
      </c>
      <c r="H830" s="20" t="s">
        <v>1747</v>
      </c>
      <c r="I830" s="1" t="str">
        <f>VLOOKUP(C830,'mayo-26'!B:H,7,0)</f>
        <v>CLL 2 # 3-07 BOCONO</v>
      </c>
      <c r="J830" s="1" t="s">
        <v>880</v>
      </c>
      <c r="K830" s="10" t="str">
        <f>VLOOKUP(C830,'mayo-26'!B:J,9,0)</f>
        <v>NO</v>
      </c>
      <c r="L830" s="1" t="str">
        <f>VLOOKUP(C830,'mayo-26'!B:K,10,0)</f>
        <v>COLEGIOS ZONA SUR</v>
      </c>
      <c r="M830" s="20" t="s">
        <v>52</v>
      </c>
      <c r="N830" s="20" t="s">
        <v>89</v>
      </c>
      <c r="O830" s="20" t="s">
        <v>861</v>
      </c>
      <c r="P830" s="20" t="s">
        <v>126</v>
      </c>
      <c r="Q830" s="20" t="s">
        <v>56</v>
      </c>
      <c r="R830" s="20" t="s">
        <v>57</v>
      </c>
      <c r="S830" s="20" t="s">
        <v>143</v>
      </c>
      <c r="T830" s="20" t="s">
        <v>59</v>
      </c>
      <c r="U830" s="20">
        <v>2026.0</v>
      </c>
      <c r="V830" s="20">
        <v>6.0</v>
      </c>
      <c r="W830" s="20">
        <v>1.081875332E9</v>
      </c>
      <c r="X830" s="20">
        <v>1.081893804E9</v>
      </c>
      <c r="Y830" s="22">
        <v>46182.0</v>
      </c>
      <c r="Z830" s="22">
        <v>46207.0</v>
      </c>
      <c r="AA830" s="20">
        <v>218872.63</v>
      </c>
      <c r="AB830" s="20">
        <v>218872.63</v>
      </c>
      <c r="AC830" s="20">
        <v>0.0</v>
      </c>
      <c r="AD830" s="20">
        <v>955.0</v>
      </c>
      <c r="AE830" s="20">
        <v>0.0</v>
      </c>
      <c r="AF830" s="20">
        <v>0.0</v>
      </c>
      <c r="AG830" s="20">
        <v>0.0</v>
      </c>
      <c r="AH830" s="20">
        <v>0.0</v>
      </c>
      <c r="AI830" s="20">
        <v>0.0</v>
      </c>
      <c r="AJ830" s="20">
        <v>218872.63</v>
      </c>
      <c r="AK830" s="20">
        <v>653300.46</v>
      </c>
      <c r="AL830" s="20">
        <v>3.0</v>
      </c>
      <c r="AM830" s="20">
        <v>250.8</v>
      </c>
      <c r="AN830" s="20">
        <v>0.0</v>
      </c>
      <c r="AS830" s="11" t="str">
        <f>VLOOKUP(C830,'mayo-26'!B:AS,44,0)</f>
        <v>AREAFINANCIERA@SEMCUCUTA.GOV.CO</v>
      </c>
      <c r="AT830" s="12" t="str">
        <f>VLOOKUP(C830,'mayo-26'!B:AT,45,0)</f>
        <v>CARTERA</v>
      </c>
    </row>
    <row r="831" ht="14.25" customHeight="1">
      <c r="A831" s="20" t="s">
        <v>1748</v>
      </c>
      <c r="B831" s="20">
        <v>297.0</v>
      </c>
      <c r="C831" s="20">
        <v>137.0</v>
      </c>
      <c r="D831" s="21">
        <v>137.0</v>
      </c>
      <c r="E831" s="20">
        <v>9.0213694E7</v>
      </c>
      <c r="F831" s="20">
        <v>9.0213694E7</v>
      </c>
      <c r="G831" s="20" t="s">
        <v>135</v>
      </c>
      <c r="H831" s="20" t="s">
        <v>136</v>
      </c>
      <c r="I831" s="1" t="str">
        <f>VLOOKUP(C831,'mayo-26'!B:H,7,0)</f>
        <v>AVE 4 17-89 - 0239431</v>
      </c>
      <c r="J831" s="1" t="s">
        <v>882</v>
      </c>
      <c r="K831" s="10" t="str">
        <f>VLOOKUP(C831,'mayo-26'!B:J,9,0)</f>
        <v>NO</v>
      </c>
      <c r="L831" s="1" t="str">
        <f>VLOOKUP(C831,'mayo-26'!B:K,10,0)</f>
        <v>IMSALUD</v>
      </c>
      <c r="M831" s="20" t="s">
        <v>52</v>
      </c>
      <c r="N831" s="20" t="s">
        <v>53</v>
      </c>
      <c r="O831" s="20" t="s">
        <v>861</v>
      </c>
      <c r="P831" s="20" t="s">
        <v>126</v>
      </c>
      <c r="Q831" s="20" t="s">
        <v>131</v>
      </c>
      <c r="R831" s="20" t="s">
        <v>151</v>
      </c>
      <c r="S831" s="20" t="s">
        <v>133</v>
      </c>
      <c r="T831" s="20" t="s">
        <v>59</v>
      </c>
      <c r="U831" s="20">
        <v>2026.0</v>
      </c>
      <c r="V831" s="20">
        <v>6.0</v>
      </c>
      <c r="W831" s="20">
        <v>1.081875336E9</v>
      </c>
      <c r="X831" s="20">
        <v>1.081893808E9</v>
      </c>
      <c r="Y831" s="22">
        <v>46182.0</v>
      </c>
      <c r="Z831" s="22">
        <v>46207.0</v>
      </c>
      <c r="AA831" s="20">
        <v>75419.0</v>
      </c>
      <c r="AB831" s="20">
        <v>75419.0</v>
      </c>
      <c r="AC831" s="20">
        <v>0.0</v>
      </c>
      <c r="AD831" s="20">
        <v>0.0</v>
      </c>
      <c r="AE831" s="20">
        <v>0.0</v>
      </c>
      <c r="AF831" s="20">
        <v>0.0</v>
      </c>
      <c r="AG831" s="20">
        <v>0.0</v>
      </c>
      <c r="AH831" s="20">
        <v>0.0</v>
      </c>
      <c r="AI831" s="20">
        <v>0.0</v>
      </c>
      <c r="AJ831" s="20">
        <v>75419.0</v>
      </c>
      <c r="AK831" s="20">
        <v>75419.0</v>
      </c>
      <c r="AL831" s="20">
        <v>0.0</v>
      </c>
      <c r="AM831" s="20">
        <v>250.8</v>
      </c>
      <c r="AN831" s="20">
        <v>0.0</v>
      </c>
      <c r="AS831" s="11" t="str">
        <f>VLOOKUP(C831,'mayo-26'!B:AS,44,0)</f>
        <v>SUBFINANCIERA@IMSALUD.GOV.CO</v>
      </c>
      <c r="AT831" s="12" t="str">
        <f>VLOOKUP(C831,'mayo-26'!B:AT,45,0)</f>
        <v>CORREO ELECTRONICO CERTIFICADO 472</v>
      </c>
    </row>
    <row r="832" ht="14.25" customHeight="1">
      <c r="A832" s="20" t="s">
        <v>1749</v>
      </c>
      <c r="B832" s="20">
        <v>142.0</v>
      </c>
      <c r="C832" s="20">
        <v>141.0</v>
      </c>
      <c r="D832" s="21">
        <v>141.0</v>
      </c>
      <c r="E832" s="20">
        <v>9.021642E7</v>
      </c>
      <c r="F832" s="20">
        <v>9.021642E7</v>
      </c>
      <c r="G832" s="20">
        <v>8.90501434E8</v>
      </c>
      <c r="H832" s="20" t="s">
        <v>1750</v>
      </c>
      <c r="I832" s="1" t="str">
        <f>VLOOKUP(C832,'mayo-26'!B:H,7,0)</f>
        <v>CLL 25 AVE 19 AGUAS CALIENTES</v>
      </c>
      <c r="J832" s="1" t="s">
        <v>356</v>
      </c>
      <c r="K832" s="10" t="str">
        <f>VLOOKUP(C832,'mayo-26'!B:J,9,0)</f>
        <v>NO</v>
      </c>
      <c r="L832" s="1" t="str">
        <f>VLOOKUP(C832,'mayo-26'!B:K,10,0)</f>
        <v>COLEGIOS ZONA SUR</v>
      </c>
      <c r="M832" s="20" t="s">
        <v>52</v>
      </c>
      <c r="N832" s="20" t="s">
        <v>89</v>
      </c>
      <c r="O832" s="20" t="s">
        <v>861</v>
      </c>
      <c r="P832" s="20" t="s">
        <v>126</v>
      </c>
      <c r="Q832" s="20" t="s">
        <v>56</v>
      </c>
      <c r="R832" s="20" t="s">
        <v>57</v>
      </c>
      <c r="S832" s="20" t="s">
        <v>143</v>
      </c>
      <c r="T832" s="20" t="s">
        <v>59</v>
      </c>
      <c r="U832" s="20">
        <v>2026.0</v>
      </c>
      <c r="V832" s="20">
        <v>6.0</v>
      </c>
      <c r="W832" s="20">
        <v>1.08187534E9</v>
      </c>
      <c r="X832" s="20">
        <v>1.081893812E9</v>
      </c>
      <c r="Y832" s="22">
        <v>46182.0</v>
      </c>
      <c r="Z832" s="22">
        <v>46207.0</v>
      </c>
      <c r="AA832" s="20">
        <v>165738.71</v>
      </c>
      <c r="AB832" s="20">
        <v>165738.71</v>
      </c>
      <c r="AC832" s="20">
        <v>0.0</v>
      </c>
      <c r="AD832" s="20">
        <v>675.0</v>
      </c>
      <c r="AE832" s="20">
        <v>0.0</v>
      </c>
      <c r="AF832" s="20">
        <v>0.0</v>
      </c>
      <c r="AG832" s="20">
        <v>0.0</v>
      </c>
      <c r="AH832" s="20">
        <v>0.0</v>
      </c>
      <c r="AI832" s="20">
        <v>0.0</v>
      </c>
      <c r="AJ832" s="20">
        <v>165738.71</v>
      </c>
      <c r="AK832" s="20">
        <v>495148.62</v>
      </c>
      <c r="AL832" s="20">
        <v>3.0</v>
      </c>
      <c r="AM832" s="20">
        <v>250.8</v>
      </c>
      <c r="AN832" s="20">
        <v>0.0</v>
      </c>
      <c r="AS832" s="11" t="str">
        <f>VLOOKUP(C832,'mayo-26'!B:AS,44,0)</f>
        <v>AREAFINANCIERA@SEMCUCUTA.GOV.CO</v>
      </c>
      <c r="AT832" s="12" t="str">
        <f>VLOOKUP(C832,'mayo-26'!B:AT,45,0)</f>
        <v>CARTERA</v>
      </c>
    </row>
    <row r="833" ht="14.25" customHeight="1">
      <c r="A833" s="20" t="s">
        <v>1751</v>
      </c>
      <c r="B833" s="20">
        <v>146.0</v>
      </c>
      <c r="C833" s="20">
        <v>145.0</v>
      </c>
      <c r="D833" s="21">
        <v>145.0</v>
      </c>
      <c r="E833" s="20">
        <v>9.0217209E7</v>
      </c>
      <c r="F833" s="20">
        <v>9.0217209E7</v>
      </c>
      <c r="G833" s="20">
        <v>8.90501434E8</v>
      </c>
      <c r="H833" s="20" t="s">
        <v>1752</v>
      </c>
      <c r="I833" s="1" t="str">
        <f>VLOOKUP(C833,'mayo-26'!B:H,7,0)</f>
        <v>AVE 4 24-10 SAN MATEO</v>
      </c>
      <c r="J833" s="1" t="s">
        <v>1023</v>
      </c>
      <c r="K833" s="10" t="str">
        <f>VLOOKUP(C833,'mayo-26'!B:J,9,0)</f>
        <v>NO</v>
      </c>
      <c r="L833" s="1" t="str">
        <f>VLOOKUP(C833,'mayo-26'!B:K,10,0)</f>
        <v>COLEGIOS ZONA SUR</v>
      </c>
      <c r="M833" s="20" t="s">
        <v>52</v>
      </c>
      <c r="N833" s="20" t="s">
        <v>89</v>
      </c>
      <c r="O833" s="20" t="s">
        <v>861</v>
      </c>
      <c r="P833" s="20" t="s">
        <v>126</v>
      </c>
      <c r="Q833" s="20" t="s">
        <v>56</v>
      </c>
      <c r="R833" s="20" t="s">
        <v>57</v>
      </c>
      <c r="S833" s="20" t="s">
        <v>143</v>
      </c>
      <c r="T833" s="20" t="s">
        <v>59</v>
      </c>
      <c r="U833" s="20">
        <v>2026.0</v>
      </c>
      <c r="V833" s="20">
        <v>6.0</v>
      </c>
      <c r="W833" s="20">
        <v>1.081875344E9</v>
      </c>
      <c r="X833" s="20">
        <v>1.081893816E9</v>
      </c>
      <c r="Y833" s="22">
        <v>46182.0</v>
      </c>
      <c r="Z833" s="22">
        <v>46207.0</v>
      </c>
      <c r="AA833" s="20">
        <v>165738.71</v>
      </c>
      <c r="AB833" s="20">
        <v>165738.71</v>
      </c>
      <c r="AC833" s="20">
        <v>0.0</v>
      </c>
      <c r="AD833" s="20">
        <v>675.0</v>
      </c>
      <c r="AE833" s="20">
        <v>0.0</v>
      </c>
      <c r="AF833" s="20">
        <v>0.0</v>
      </c>
      <c r="AG833" s="20">
        <v>0.0</v>
      </c>
      <c r="AH833" s="20">
        <v>0.0</v>
      </c>
      <c r="AI833" s="20">
        <v>0.0</v>
      </c>
      <c r="AJ833" s="20">
        <v>165738.71</v>
      </c>
      <c r="AK833" s="20">
        <v>495148.62</v>
      </c>
      <c r="AL833" s="20">
        <v>3.0</v>
      </c>
      <c r="AM833" s="20">
        <v>250.8</v>
      </c>
      <c r="AN833" s="20">
        <v>0.0</v>
      </c>
      <c r="AS833" s="11" t="str">
        <f>VLOOKUP(C833,'mayo-26'!B:AS,44,0)</f>
        <v>AREAFINANCIERA@SEMCUCUTA.GOV.CO</v>
      </c>
      <c r="AT833" s="12" t="str">
        <f>VLOOKUP(C833,'mayo-26'!B:AT,45,0)</f>
        <v>CARTERA</v>
      </c>
    </row>
    <row r="834" ht="14.25" customHeight="1">
      <c r="A834" s="20" t="s">
        <v>1753</v>
      </c>
      <c r="B834" s="20">
        <v>150.0</v>
      </c>
      <c r="C834" s="20">
        <v>149.0</v>
      </c>
      <c r="D834" s="21">
        <v>149.0</v>
      </c>
      <c r="E834" s="20">
        <v>9.02175E7</v>
      </c>
      <c r="F834" s="20">
        <v>9.02175E7</v>
      </c>
      <c r="G834" s="20" t="s">
        <v>1754</v>
      </c>
      <c r="H834" s="20" t="s">
        <v>1755</v>
      </c>
      <c r="I834" s="1" t="str">
        <f>VLOOKUP(C834,'mayo-26'!B:H,7,0)</f>
        <v>AVE 3 21-73 POLINAL</v>
      </c>
      <c r="J834" s="1" t="s">
        <v>1023</v>
      </c>
      <c r="K834" s="10" t="str">
        <f>VLOOKUP(C834,'mayo-26'!B:J,9,0)</f>
        <v>NO</v>
      </c>
      <c r="L834" s="1" t="str">
        <f>VLOOKUP(C834,'mayo-26'!B:K,10,0)</f>
        <v>POLICIA</v>
      </c>
      <c r="M834" s="20" t="s">
        <v>52</v>
      </c>
      <c r="N834" s="20" t="s">
        <v>89</v>
      </c>
      <c r="O834" s="20" t="s">
        <v>861</v>
      </c>
      <c r="P834" s="20" t="s">
        <v>126</v>
      </c>
      <c r="Q834" s="20" t="s">
        <v>131</v>
      </c>
      <c r="R834" s="20" t="s">
        <v>151</v>
      </c>
      <c r="S834" s="20" t="s">
        <v>133</v>
      </c>
      <c r="T834" s="20" t="s">
        <v>59</v>
      </c>
      <c r="U834" s="20">
        <v>2026.0</v>
      </c>
      <c r="V834" s="20">
        <v>6.0</v>
      </c>
      <c r="W834" s="20">
        <v>1.081875347E9</v>
      </c>
      <c r="X834" s="20">
        <v>1.081893819E9</v>
      </c>
      <c r="Y834" s="22">
        <v>46182.0</v>
      </c>
      <c r="Z834" s="22">
        <v>46207.0</v>
      </c>
      <c r="AA834" s="20">
        <v>75419.0</v>
      </c>
      <c r="AB834" s="20">
        <v>75419.0</v>
      </c>
      <c r="AC834" s="20">
        <v>0.0</v>
      </c>
      <c r="AD834" s="20">
        <v>0.0</v>
      </c>
      <c r="AE834" s="20">
        <v>0.0</v>
      </c>
      <c r="AF834" s="20">
        <v>0.0</v>
      </c>
      <c r="AG834" s="20">
        <v>0.0</v>
      </c>
      <c r="AH834" s="20">
        <v>0.0</v>
      </c>
      <c r="AI834" s="20">
        <v>0.0</v>
      </c>
      <c r="AJ834" s="20">
        <v>75419.0</v>
      </c>
      <c r="AK834" s="20">
        <v>767713.97</v>
      </c>
      <c r="AL834" s="20">
        <v>10.0</v>
      </c>
      <c r="AM834" s="20">
        <v>250.8</v>
      </c>
      <c r="AN834" s="20">
        <v>0.0</v>
      </c>
      <c r="AS834" s="11" t="str">
        <f>VLOOKUP(C834,'mayo-26'!B:AS,44,0)</f>
        <v>LUIS.GONZALEZ0973@CORREO.POLICIA.GOV.CO</v>
      </c>
      <c r="AT834" s="12" t="str">
        <f>VLOOKUP(C834,'mayo-26'!B:AT,45,0)</f>
        <v>CORREO ELECTRONICO CERTIFICADO 472</v>
      </c>
    </row>
    <row r="835" ht="14.25" customHeight="1">
      <c r="A835" s="20" t="s">
        <v>1756</v>
      </c>
      <c r="B835" s="20">
        <v>154.0</v>
      </c>
      <c r="C835" s="20">
        <v>153.0</v>
      </c>
      <c r="D835" s="21">
        <v>153.0</v>
      </c>
      <c r="E835" s="20">
        <v>9.0217964E7</v>
      </c>
      <c r="F835" s="20">
        <v>9.0217964E7</v>
      </c>
      <c r="G835" s="20" t="s">
        <v>1757</v>
      </c>
      <c r="H835" s="20" t="s">
        <v>1758</v>
      </c>
      <c r="I835" s="1" t="str">
        <f>VLOOKUP(C835,'mayo-26'!B:H,7,0)</f>
        <v>REDOMA SAN MATEO AUT.INT</v>
      </c>
      <c r="J835" s="1" t="s">
        <v>863</v>
      </c>
      <c r="K835" s="10" t="str">
        <f>VLOOKUP(C835,'mayo-26'!B:J,9,0)</f>
        <v>NO</v>
      </c>
      <c r="L835" s="1" t="str">
        <f>VLOOKUP(C835,'mayo-26'!B:K,10,0)</f>
        <v>NO</v>
      </c>
      <c r="M835" s="20" t="s">
        <v>52</v>
      </c>
      <c r="N835" s="20" t="s">
        <v>89</v>
      </c>
      <c r="O835" s="20" t="s">
        <v>861</v>
      </c>
      <c r="P835" s="20" t="s">
        <v>126</v>
      </c>
      <c r="Q835" s="20" t="s">
        <v>56</v>
      </c>
      <c r="R835" s="20" t="s">
        <v>90</v>
      </c>
      <c r="S835" s="20" t="s">
        <v>143</v>
      </c>
      <c r="T835" s="20" t="s">
        <v>59</v>
      </c>
      <c r="U835" s="20">
        <v>2026.0</v>
      </c>
      <c r="V835" s="20">
        <v>6.0</v>
      </c>
      <c r="W835" s="20">
        <v>1.081875351E9</v>
      </c>
      <c r="X835" s="20">
        <v>1.081893823E9</v>
      </c>
      <c r="Y835" s="22">
        <v>46182.0</v>
      </c>
      <c r="Z835" s="22">
        <v>46207.0</v>
      </c>
      <c r="AA835" s="20">
        <v>1044193.63</v>
      </c>
      <c r="AB835" s="20">
        <v>1044193.63</v>
      </c>
      <c r="AC835" s="20">
        <v>348064.55</v>
      </c>
      <c r="AD835" s="20">
        <v>3470.0</v>
      </c>
      <c r="AE835" s="20">
        <v>0.0</v>
      </c>
      <c r="AF835" s="20">
        <v>0.0</v>
      </c>
      <c r="AG835" s="20">
        <v>0.0</v>
      </c>
      <c r="AH835" s="20">
        <v>0.0</v>
      </c>
      <c r="AI835" s="20">
        <v>0.0</v>
      </c>
      <c r="AJ835" s="20">
        <v>1044193.63</v>
      </c>
      <c r="AK835" s="20">
        <v>1044193.63</v>
      </c>
      <c r="AL835" s="20">
        <v>0.0</v>
      </c>
      <c r="AM835" s="20">
        <v>376.2</v>
      </c>
      <c r="AN835" s="20">
        <v>0.0</v>
      </c>
      <c r="AS835" s="11" t="str">
        <f>VLOOKUP(C835,'mayo-26'!B:AS,44,0)</f>
        <v>EDWARD.CAMELO@SALGADOMELENDEZ.COM</v>
      </c>
      <c r="AT835" s="12" t="str">
        <f>VLOOKUP(C835,'mayo-26'!B:AT,45,0)</f>
        <v>CORREO ELECTRONICO CERTIFICADO 472</v>
      </c>
    </row>
    <row r="836" ht="14.25" customHeight="1">
      <c r="A836" s="20" t="s">
        <v>1759</v>
      </c>
      <c r="B836" s="20">
        <v>455370.0</v>
      </c>
      <c r="C836" s="20">
        <v>157.0</v>
      </c>
      <c r="D836" s="21">
        <v>157.0</v>
      </c>
      <c r="E836" s="20">
        <v>9.0218839E7</v>
      </c>
      <c r="F836" s="20">
        <v>9.0218839E7</v>
      </c>
      <c r="G836" s="20" t="s">
        <v>148</v>
      </c>
      <c r="H836" s="20" t="s">
        <v>149</v>
      </c>
      <c r="I836" s="1" t="str">
        <f>VLOOKUP(C836,'mayo-26'!B:H,7,0)</f>
        <v>CALLE 10 NO 0E-16 EDF CENTRO EMPRESARIAL BLOQUE B HOTEL TONCHALA</v>
      </c>
      <c r="J836" s="1" t="s">
        <v>1210</v>
      </c>
      <c r="K836" s="10" t="str">
        <f>VLOOKUP(C836,'mayo-26'!B:J,9,0)</f>
        <v>NO</v>
      </c>
      <c r="L836" s="1" t="str">
        <f>VLOOKUP(C836,'mayo-26'!B:K,10,0)</f>
        <v>COLEGIOS ZONA SUR</v>
      </c>
      <c r="M836" s="20" t="s">
        <v>52</v>
      </c>
      <c r="N836" s="20" t="s">
        <v>53</v>
      </c>
      <c r="O836" s="20" t="s">
        <v>861</v>
      </c>
      <c r="P836" s="20" t="s">
        <v>126</v>
      </c>
      <c r="Q836" s="20" t="s">
        <v>56</v>
      </c>
      <c r="R836" s="20" t="s">
        <v>57</v>
      </c>
      <c r="S836" s="20" t="s">
        <v>143</v>
      </c>
      <c r="T836" s="20" t="s">
        <v>59</v>
      </c>
      <c r="U836" s="20">
        <v>2026.0</v>
      </c>
      <c r="V836" s="20">
        <v>6.0</v>
      </c>
      <c r="W836" s="20">
        <v>1.081875356E9</v>
      </c>
      <c r="X836" s="20">
        <v>1.081893828E9</v>
      </c>
      <c r="Y836" s="22">
        <v>46182.0</v>
      </c>
      <c r="Z836" s="22">
        <v>46207.0</v>
      </c>
      <c r="AA836" s="20">
        <v>475054.03</v>
      </c>
      <c r="AB836" s="20">
        <v>475054.03</v>
      </c>
      <c r="AC836" s="20">
        <v>0.0</v>
      </c>
      <c r="AD836" s="20">
        <v>2305.0</v>
      </c>
      <c r="AE836" s="20">
        <v>0.0</v>
      </c>
      <c r="AF836" s="20">
        <v>0.0</v>
      </c>
      <c r="AG836" s="20">
        <v>0.0</v>
      </c>
      <c r="AH836" s="20">
        <v>0.0</v>
      </c>
      <c r="AI836" s="20">
        <v>0.0</v>
      </c>
      <c r="AJ836" s="20">
        <v>475054.03</v>
      </c>
      <c r="AK836" s="20">
        <v>1415818.26</v>
      </c>
      <c r="AL836" s="20">
        <v>3.0</v>
      </c>
      <c r="AM836" s="20">
        <v>250.8</v>
      </c>
      <c r="AN836" s="20">
        <v>0.0</v>
      </c>
      <c r="AS836" s="11" t="str">
        <f>VLOOKUP(C836,'mayo-26'!B:AS,44,0)</f>
        <v>AREAFINANCIERA@SEMCUCUTA.GOV.CO</v>
      </c>
      <c r="AT836" s="12" t="str">
        <f>VLOOKUP(C836,'mayo-26'!B:AT,45,0)</f>
        <v>CARTERA</v>
      </c>
    </row>
    <row r="837" ht="14.25" customHeight="1">
      <c r="A837" s="20" t="s">
        <v>1760</v>
      </c>
      <c r="B837" s="20">
        <v>350.0</v>
      </c>
      <c r="C837" s="20">
        <v>15817.0</v>
      </c>
      <c r="D837" s="21">
        <v>15817.0</v>
      </c>
      <c r="E837" s="20">
        <v>7276.0</v>
      </c>
      <c r="F837" s="20">
        <v>7276.0</v>
      </c>
      <c r="G837" s="20">
        <v>9.00603041E8</v>
      </c>
      <c r="H837" s="20" t="s">
        <v>400</v>
      </c>
      <c r="I837" s="1" t="str">
        <f>VLOOKUP(C837,'mayo-26'!B:H,7,0)</f>
        <v>AVE 6 7-35 SUPERMERCADO</v>
      </c>
      <c r="J837" s="1" t="s">
        <v>865</v>
      </c>
      <c r="K837" s="10" t="str">
        <f>VLOOKUP(C837,'mayo-26'!B:J,9,0)</f>
        <v>NO</v>
      </c>
      <c r="L837" s="1" t="str">
        <f>VLOOKUP(C837,'mayo-26'!B:K,10,0)</f>
        <v>LOS MONTES</v>
      </c>
      <c r="M837" s="20" t="s">
        <v>52</v>
      </c>
      <c r="N837" s="20" t="s">
        <v>89</v>
      </c>
      <c r="O837" s="20" t="s">
        <v>861</v>
      </c>
      <c r="P837" s="20" t="s">
        <v>126</v>
      </c>
      <c r="Q837" s="20" t="s">
        <v>131</v>
      </c>
      <c r="R837" s="20" t="s">
        <v>132</v>
      </c>
      <c r="S837" s="20" t="s">
        <v>133</v>
      </c>
      <c r="T837" s="20" t="s">
        <v>59</v>
      </c>
      <c r="U837" s="20">
        <v>2026.0</v>
      </c>
      <c r="V837" s="20">
        <v>6.0</v>
      </c>
      <c r="W837" s="20">
        <v>1.081875659E9</v>
      </c>
      <c r="X837" s="20">
        <v>1.081894131E9</v>
      </c>
      <c r="Y837" s="22">
        <v>46182.0</v>
      </c>
      <c r="Z837" s="22">
        <v>46207.0</v>
      </c>
      <c r="AA837" s="20">
        <v>114389.91</v>
      </c>
      <c r="AB837" s="20">
        <v>114389.91</v>
      </c>
      <c r="AC837" s="20">
        <v>37709.5</v>
      </c>
      <c r="AD837" s="20">
        <v>0.0</v>
      </c>
      <c r="AE837" s="20">
        <v>1261.41</v>
      </c>
      <c r="AF837" s="20">
        <v>0.0</v>
      </c>
      <c r="AG837" s="20">
        <v>0.0</v>
      </c>
      <c r="AH837" s="20">
        <v>0.0</v>
      </c>
      <c r="AI837" s="20">
        <v>0.0</v>
      </c>
      <c r="AJ837" s="20">
        <v>114389.91</v>
      </c>
      <c r="AK837" s="20">
        <v>226815.25</v>
      </c>
      <c r="AL837" s="20">
        <v>1.0</v>
      </c>
      <c r="AM837" s="20">
        <v>376.2</v>
      </c>
      <c r="AN837" s="20">
        <v>0.0</v>
      </c>
      <c r="AS837" s="11" t="str">
        <f>VLOOKUP(C837,'mayo-26'!B:AS,44,0)</f>
        <v>GASTOS@SUPERLOSMONTES.CO;FACTURAELECTRONICA@SUPERLOSMONTES.CO</v>
      </c>
      <c r="AT837" s="12" t="str">
        <f>VLOOKUP(C837,'mayo-26'!B:AT,45,0)</f>
        <v>CORREO ELECTRONICO CERTIFICADO 472</v>
      </c>
    </row>
    <row r="838" ht="14.25" customHeight="1">
      <c r="A838" s="20" t="s">
        <v>1761</v>
      </c>
      <c r="B838" s="20">
        <v>162.0</v>
      </c>
      <c r="C838" s="20">
        <v>161.0</v>
      </c>
      <c r="D838" s="21">
        <v>161.0</v>
      </c>
      <c r="E838" s="20">
        <v>9.0219237E7</v>
      </c>
      <c r="F838" s="20">
        <v>9.0219237E7</v>
      </c>
      <c r="G838" s="20">
        <v>8.90500084E8</v>
      </c>
      <c r="H838" s="20" t="s">
        <v>1762</v>
      </c>
      <c r="I838" s="1" t="str">
        <f>VLOOKUP(C838,'mayo-26'!B:H,7,0)</f>
        <v>CLL 9 9E-77 COLEGIO D.SABI</v>
      </c>
      <c r="J838" s="1" t="s">
        <v>1763</v>
      </c>
      <c r="K838" s="10" t="str">
        <f>VLOOKUP(C838,'mayo-26'!B:J,9,0)</f>
        <v>NO</v>
      </c>
      <c r="L838" s="1" t="str">
        <f>VLOOKUP(C838,'mayo-26'!B:K,10,0)</f>
        <v>NO</v>
      </c>
      <c r="M838" s="20" t="s">
        <v>52</v>
      </c>
      <c r="N838" s="20" t="s">
        <v>89</v>
      </c>
      <c r="O838" s="20" t="s">
        <v>861</v>
      </c>
      <c r="P838" s="20" t="s">
        <v>126</v>
      </c>
      <c r="Q838" s="20" t="s">
        <v>56</v>
      </c>
      <c r="R838" s="20" t="s">
        <v>90</v>
      </c>
      <c r="S838" s="20" t="s">
        <v>143</v>
      </c>
      <c r="T838" s="20" t="s">
        <v>59</v>
      </c>
      <c r="U838" s="20">
        <v>2026.0</v>
      </c>
      <c r="V838" s="20">
        <v>6.0</v>
      </c>
      <c r="W838" s="20">
        <v>1.081875357E9</v>
      </c>
      <c r="X838" s="20">
        <v>1.081893829E9</v>
      </c>
      <c r="Y838" s="22">
        <v>46182.0</v>
      </c>
      <c r="Z838" s="22">
        <v>46207.0</v>
      </c>
      <c r="AA838" s="20">
        <v>552467.67</v>
      </c>
      <c r="AB838" s="20">
        <v>552467.67</v>
      </c>
      <c r="AC838" s="20">
        <v>184155.89</v>
      </c>
      <c r="AD838" s="20">
        <v>1742.5</v>
      </c>
      <c r="AE838" s="20">
        <v>0.0</v>
      </c>
      <c r="AF838" s="20">
        <v>0.0</v>
      </c>
      <c r="AG838" s="20">
        <v>0.0</v>
      </c>
      <c r="AH838" s="20">
        <v>0.0</v>
      </c>
      <c r="AI838" s="20">
        <v>0.0</v>
      </c>
      <c r="AJ838" s="20">
        <v>552467.67</v>
      </c>
      <c r="AK838" s="20">
        <v>552467.67</v>
      </c>
      <c r="AL838" s="20">
        <v>0.0</v>
      </c>
      <c r="AM838" s="20">
        <v>376.2</v>
      </c>
      <c r="AN838" s="20">
        <v>0.0</v>
      </c>
      <c r="AS838" s="11" t="str">
        <f>VLOOKUP(C838,'mayo-26'!B:AS,44,0)</f>
        <v>EDUCACION@GIMNASIODOMINGOSAVIO.EDU.CO</v>
      </c>
      <c r="AT838" s="12" t="str">
        <f>VLOOKUP(C838,'mayo-26'!B:AT,45,0)</f>
        <v>CORREO ELECTRONICO CERTIFICADO 472</v>
      </c>
    </row>
    <row r="839" ht="14.25" customHeight="1">
      <c r="A839" s="20" t="s">
        <v>1764</v>
      </c>
      <c r="B839" s="20">
        <v>16518.0</v>
      </c>
      <c r="C839" s="20">
        <v>16517.0</v>
      </c>
      <c r="D839" s="21">
        <v>16517.0</v>
      </c>
      <c r="E839" s="20">
        <v>203574.0</v>
      </c>
      <c r="F839" s="20">
        <v>203574.0</v>
      </c>
      <c r="G839" s="20">
        <v>9.01403541E8</v>
      </c>
      <c r="H839" s="20" t="s">
        <v>1765</v>
      </c>
      <c r="I839" s="1" t="str">
        <f>VLOOKUP(C839,'mayo-26'!B:H,7,0)</f>
        <v>AVE 5 # 6-20</v>
      </c>
      <c r="J839" s="1" t="s">
        <v>443</v>
      </c>
      <c r="K839" s="10" t="str">
        <f>VLOOKUP(C839,'mayo-26'!B:J,9,0)</f>
        <v>NO</v>
      </c>
      <c r="L839" s="1" t="str">
        <f>VLOOKUP(C839,'mayo-26'!B:K,10,0)</f>
        <v>NO</v>
      </c>
      <c r="M839" s="20" t="s">
        <v>52</v>
      </c>
      <c r="N839" s="20" t="s">
        <v>89</v>
      </c>
      <c r="O839" s="20" t="s">
        <v>861</v>
      </c>
      <c r="P839" s="20" t="s">
        <v>126</v>
      </c>
      <c r="Q839" s="20" t="s">
        <v>131</v>
      </c>
      <c r="R839" s="20" t="s">
        <v>132</v>
      </c>
      <c r="S839" s="20" t="s">
        <v>133</v>
      </c>
      <c r="T839" s="20" t="s">
        <v>59</v>
      </c>
      <c r="U839" s="20">
        <v>2026.0</v>
      </c>
      <c r="V839" s="20">
        <v>6.0</v>
      </c>
      <c r="W839" s="20">
        <v>1.081875664E9</v>
      </c>
      <c r="X839" s="20">
        <v>1.081894136E9</v>
      </c>
      <c r="Y839" s="22">
        <v>46182.0</v>
      </c>
      <c r="Z839" s="22">
        <v>46207.0</v>
      </c>
      <c r="AA839" s="20">
        <v>177418.85</v>
      </c>
      <c r="AB839" s="20">
        <v>177418.85</v>
      </c>
      <c r="AC839" s="20">
        <v>37709.5</v>
      </c>
      <c r="AD839" s="20">
        <v>0.0</v>
      </c>
      <c r="AE839" s="20">
        <v>64290.35</v>
      </c>
      <c r="AF839" s="20">
        <v>0.0</v>
      </c>
      <c r="AG839" s="20">
        <v>0.0</v>
      </c>
      <c r="AH839" s="20">
        <v>0.0</v>
      </c>
      <c r="AI839" s="20">
        <v>0.0</v>
      </c>
      <c r="AJ839" s="20">
        <v>177418.85</v>
      </c>
      <c r="AK839" s="20">
        <v>4371643.77</v>
      </c>
      <c r="AL839" s="20">
        <v>37.0</v>
      </c>
      <c r="AM839" s="20">
        <v>376.2</v>
      </c>
      <c r="AN839" s="20">
        <v>0.0</v>
      </c>
      <c r="AS839" s="11" t="str">
        <f>VLOOKUP(C839,'mayo-26'!B:AS,44,0)</f>
        <v>PROPORCOL.SAS@GMAIL.COM</v>
      </c>
      <c r="AT839" s="12" t="str">
        <f>VLOOKUP(C839,'mayo-26'!B:AT,45,0)</f>
        <v>CORREO ELECTRONICO CERTIFICADO 472</v>
      </c>
    </row>
    <row r="840" ht="14.25" customHeight="1">
      <c r="A840" s="20" t="s">
        <v>1766</v>
      </c>
      <c r="B840" s="20">
        <v>455370.0</v>
      </c>
      <c r="C840" s="20">
        <v>169.0</v>
      </c>
      <c r="D840" s="21">
        <v>169.0</v>
      </c>
      <c r="E840" s="20">
        <v>9.0221835E7</v>
      </c>
      <c r="F840" s="20">
        <v>9.0221835E7</v>
      </c>
      <c r="G840" s="20" t="s">
        <v>148</v>
      </c>
      <c r="H840" s="20" t="s">
        <v>149</v>
      </c>
      <c r="I840" s="1" t="str">
        <f>VLOOKUP(C840,'mayo-26'!B:H,7,0)</f>
        <v>CALLE 10 NO 0E-16 EDF CENTRO EMPRESARIAL BLOQUE B HOTEL TONCHALA</v>
      </c>
      <c r="J840" s="1" t="s">
        <v>910</v>
      </c>
      <c r="K840" s="10" t="str">
        <f>VLOOKUP(C840,'mayo-26'!B:J,9,0)</f>
        <v>NO</v>
      </c>
      <c r="L840" s="1" t="str">
        <f>VLOOKUP(C840,'mayo-26'!B:K,10,0)</f>
        <v>COLEGIOS ZONA SUR</v>
      </c>
      <c r="M840" s="20" t="s">
        <v>52</v>
      </c>
      <c r="N840" s="20" t="s">
        <v>53</v>
      </c>
      <c r="O840" s="20" t="s">
        <v>861</v>
      </c>
      <c r="P840" s="20" t="s">
        <v>126</v>
      </c>
      <c r="Q840" s="20" t="s">
        <v>56</v>
      </c>
      <c r="R840" s="20" t="s">
        <v>57</v>
      </c>
      <c r="S840" s="20" t="s">
        <v>143</v>
      </c>
      <c r="T840" s="20" t="s">
        <v>59</v>
      </c>
      <c r="U840" s="20">
        <v>2026.0</v>
      </c>
      <c r="V840" s="20">
        <v>6.0</v>
      </c>
      <c r="W840" s="20">
        <v>1.081875361E9</v>
      </c>
      <c r="X840" s="20">
        <v>1.081893833E9</v>
      </c>
      <c r="Y840" s="22">
        <v>46182.0</v>
      </c>
      <c r="Z840" s="22">
        <v>46207.0</v>
      </c>
      <c r="AA840" s="20">
        <v>751729.93</v>
      </c>
      <c r="AB840" s="20">
        <v>751729.93</v>
      </c>
      <c r="AC840" s="20">
        <v>0.0</v>
      </c>
      <c r="AD840" s="20">
        <v>3763.0</v>
      </c>
      <c r="AE840" s="20">
        <v>0.0</v>
      </c>
      <c r="AF840" s="20">
        <v>0.0</v>
      </c>
      <c r="AG840" s="20">
        <v>0.0</v>
      </c>
      <c r="AH840" s="20">
        <v>0.0</v>
      </c>
      <c r="AI840" s="20">
        <v>0.0</v>
      </c>
      <c r="AJ840" s="20">
        <v>751729.93</v>
      </c>
      <c r="AK840" s="20">
        <v>2239337.46</v>
      </c>
      <c r="AL840" s="20">
        <v>3.0</v>
      </c>
      <c r="AM840" s="20">
        <v>250.8</v>
      </c>
      <c r="AN840" s="20">
        <v>0.0</v>
      </c>
      <c r="AS840" s="11" t="str">
        <f>VLOOKUP(C840,'mayo-26'!B:AS,44,0)</f>
        <v>AREAFINANCIERA@SEMCUCUTA.GOV.CO</v>
      </c>
      <c r="AT840" s="12" t="str">
        <f>VLOOKUP(C840,'mayo-26'!B:AT,45,0)</f>
        <v>CARTERA</v>
      </c>
    </row>
    <row r="841" ht="14.25" customHeight="1">
      <c r="A841" s="20" t="s">
        <v>1767</v>
      </c>
      <c r="B841" s="20">
        <v>174.0</v>
      </c>
      <c r="C841" s="20">
        <v>173.0</v>
      </c>
      <c r="D841" s="21">
        <v>173.0</v>
      </c>
      <c r="E841" s="20">
        <v>9.022184E7</v>
      </c>
      <c r="F841" s="20">
        <v>9.022184E7</v>
      </c>
      <c r="G841" s="20" t="s">
        <v>1768</v>
      </c>
      <c r="H841" s="20" t="s">
        <v>1769</v>
      </c>
      <c r="I841" s="1" t="str">
        <f>VLOOKUP(C841,'mayo-26'!B:H,7,0)</f>
        <v>CLL 5AN AVE 13E</v>
      </c>
      <c r="J841" s="1" t="s">
        <v>1219</v>
      </c>
      <c r="K841" s="10" t="str">
        <f>VLOOKUP(C841,'mayo-26'!B:J,9,0)</f>
        <v>NO</v>
      </c>
      <c r="L841" s="1" t="str">
        <f>VLOOKUP(C841,'mayo-26'!B:K,10,0)</f>
        <v>BIENESTAR FAMILIAR</v>
      </c>
      <c r="M841" s="20" t="s">
        <v>52</v>
      </c>
      <c r="N841" s="20" t="s">
        <v>89</v>
      </c>
      <c r="O841" s="20" t="s">
        <v>861</v>
      </c>
      <c r="P841" s="20" t="s">
        <v>126</v>
      </c>
      <c r="Q841" s="20" t="s">
        <v>56</v>
      </c>
      <c r="R841" s="20" t="s">
        <v>57</v>
      </c>
      <c r="S841" s="20" t="s">
        <v>143</v>
      </c>
      <c r="T841" s="20" t="s">
        <v>59</v>
      </c>
      <c r="U841" s="20">
        <v>2026.0</v>
      </c>
      <c r="V841" s="20">
        <v>6.0</v>
      </c>
      <c r="W841" s="20">
        <v>1.081875366E9</v>
      </c>
      <c r="X841" s="20">
        <v>1.081893838E9</v>
      </c>
      <c r="Y841" s="22">
        <v>46182.0</v>
      </c>
      <c r="Z841" s="22">
        <v>46207.0</v>
      </c>
      <c r="AA841" s="20">
        <v>700398.78</v>
      </c>
      <c r="AB841" s="20">
        <v>700398.78</v>
      </c>
      <c r="AC841" s="20">
        <v>0.0</v>
      </c>
      <c r="AD841" s="20">
        <v>3492.5</v>
      </c>
      <c r="AE841" s="20">
        <v>0.0</v>
      </c>
      <c r="AF841" s="20">
        <v>0.0</v>
      </c>
      <c r="AG841" s="20">
        <v>0.0</v>
      </c>
      <c r="AH841" s="20">
        <v>0.0</v>
      </c>
      <c r="AI841" s="20">
        <v>0.0</v>
      </c>
      <c r="AJ841" s="20">
        <v>700398.78</v>
      </c>
      <c r="AK841" s="20">
        <v>700398.78</v>
      </c>
      <c r="AL841" s="20">
        <v>0.0</v>
      </c>
      <c r="AM841" s="20">
        <v>250.8</v>
      </c>
      <c r="AN841" s="20">
        <v>0.0</v>
      </c>
      <c r="AS841" s="11" t="str">
        <f>VLOOKUP(C841,'mayo-26'!B:AS,44,0)</f>
        <v>MAYRA.SALCEDO@ICBF.GOV.CO</v>
      </c>
      <c r="AT841" s="12" t="str">
        <f>VLOOKUP(C841,'mayo-26'!B:AT,45,0)</f>
        <v>CORREO ELECTRONICO CERTIFICADO 472</v>
      </c>
    </row>
    <row r="842" ht="14.25" customHeight="1">
      <c r="A842" s="20" t="s">
        <v>1770</v>
      </c>
      <c r="B842" s="20">
        <v>455370.0</v>
      </c>
      <c r="C842" s="20">
        <v>177.0</v>
      </c>
      <c r="D842" s="21">
        <v>177.0</v>
      </c>
      <c r="E842" s="20">
        <v>9.0223458E7</v>
      </c>
      <c r="F842" s="20">
        <v>9.0223458E7</v>
      </c>
      <c r="G842" s="20" t="s">
        <v>148</v>
      </c>
      <c r="H842" s="20" t="s">
        <v>149</v>
      </c>
      <c r="I842" s="1" t="str">
        <f>VLOOKUP(C842,'mayo-26'!B:H,7,0)</f>
        <v>CALLE 10 NO 0E-16 EDF CENTRO EMPRESARIAL BLOQUE B HOTEL TONCHALA</v>
      </c>
      <c r="J842" s="1" t="s">
        <v>1221</v>
      </c>
      <c r="K842" s="10" t="str">
        <f>VLOOKUP(C842,'mayo-26'!B:J,9,0)</f>
        <v>NO</v>
      </c>
      <c r="L842" s="1" t="str">
        <f>VLOOKUP(C842,'mayo-26'!B:K,10,0)</f>
        <v>COLEGIOS ZONA SUR</v>
      </c>
      <c r="M842" s="20" t="s">
        <v>52</v>
      </c>
      <c r="N842" s="20" t="s">
        <v>53</v>
      </c>
      <c r="O842" s="20" t="s">
        <v>861</v>
      </c>
      <c r="P842" s="20" t="s">
        <v>126</v>
      </c>
      <c r="Q842" s="20" t="s">
        <v>56</v>
      </c>
      <c r="R842" s="20" t="s">
        <v>57</v>
      </c>
      <c r="S842" s="20" t="s">
        <v>143</v>
      </c>
      <c r="T842" s="20" t="s">
        <v>59</v>
      </c>
      <c r="U842" s="20">
        <v>2026.0</v>
      </c>
      <c r="V842" s="20">
        <v>6.0</v>
      </c>
      <c r="W842" s="20">
        <v>1.081875368E9</v>
      </c>
      <c r="X842" s="20">
        <v>1.08189384E9</v>
      </c>
      <c r="Y842" s="22">
        <v>46182.0</v>
      </c>
      <c r="Z842" s="22">
        <v>46207.0</v>
      </c>
      <c r="AA842" s="20">
        <v>524961.96</v>
      </c>
      <c r="AB842" s="20">
        <v>524961.96</v>
      </c>
      <c r="AC842" s="20">
        <v>0.0</v>
      </c>
      <c r="AD842" s="20">
        <v>2568.0</v>
      </c>
      <c r="AE842" s="20">
        <v>0.0</v>
      </c>
      <c r="AF842" s="20">
        <v>0.0</v>
      </c>
      <c r="AG842" s="20">
        <v>0.0</v>
      </c>
      <c r="AH842" s="20">
        <v>0.0</v>
      </c>
      <c r="AI842" s="20">
        <v>0.0</v>
      </c>
      <c r="AJ842" s="20">
        <v>524961.96</v>
      </c>
      <c r="AK842" s="20">
        <v>1564368.02</v>
      </c>
      <c r="AL842" s="20">
        <v>3.0</v>
      </c>
      <c r="AM842" s="20">
        <v>250.8</v>
      </c>
      <c r="AN842" s="20">
        <v>0.0</v>
      </c>
      <c r="AS842" s="11" t="str">
        <f>VLOOKUP(C842,'mayo-26'!B:AS,44,0)</f>
        <v>AREAFINANCIERA@SEMCUCUTA.GOV.CO</v>
      </c>
      <c r="AT842" s="12" t="str">
        <f>VLOOKUP(C842,'mayo-26'!B:AT,45,0)</f>
        <v>CARTERA</v>
      </c>
    </row>
    <row r="843" ht="14.25" customHeight="1">
      <c r="A843" s="20" t="s">
        <v>1771</v>
      </c>
      <c r="B843" s="20">
        <v>455370.0</v>
      </c>
      <c r="C843" s="20">
        <v>185.0</v>
      </c>
      <c r="D843" s="21">
        <v>185.0</v>
      </c>
      <c r="E843" s="20">
        <v>9.0226156E7</v>
      </c>
      <c r="F843" s="20">
        <v>9.0226156E7</v>
      </c>
      <c r="G843" s="20" t="s">
        <v>148</v>
      </c>
      <c r="H843" s="20" t="s">
        <v>149</v>
      </c>
      <c r="I843" s="1" t="str">
        <f>VLOOKUP(C843,'mayo-26'!B:H,7,0)</f>
        <v>CALLE 10 NO 0E-16 EDF CENTRO EMPRESARIAL BLOQUE B HOTEL TONCHALA</v>
      </c>
      <c r="J843" s="1" t="s">
        <v>910</v>
      </c>
      <c r="K843" s="10" t="str">
        <f>VLOOKUP(C843,'mayo-26'!B:J,9,0)</f>
        <v>NO</v>
      </c>
      <c r="L843" s="1" t="str">
        <f>VLOOKUP(C843,'mayo-26'!B:K,10,0)</f>
        <v>COLEGIOS ZONA SUR</v>
      </c>
      <c r="M843" s="20" t="s">
        <v>52</v>
      </c>
      <c r="N843" s="20" t="s">
        <v>53</v>
      </c>
      <c r="O843" s="20" t="s">
        <v>861</v>
      </c>
      <c r="P843" s="20" t="s">
        <v>126</v>
      </c>
      <c r="Q843" s="20" t="s">
        <v>56</v>
      </c>
      <c r="R843" s="20" t="s">
        <v>57</v>
      </c>
      <c r="S843" s="20" t="s">
        <v>143</v>
      </c>
      <c r="T843" s="20" t="s">
        <v>59</v>
      </c>
      <c r="U843" s="20">
        <v>2026.0</v>
      </c>
      <c r="V843" s="20">
        <v>6.0</v>
      </c>
      <c r="W843" s="20">
        <v>1.081875372E9</v>
      </c>
      <c r="X843" s="20">
        <v>1.081893844E9</v>
      </c>
      <c r="Y843" s="22">
        <v>46182.0</v>
      </c>
      <c r="Z843" s="22">
        <v>46207.0</v>
      </c>
      <c r="AA843" s="20">
        <v>327607.4</v>
      </c>
      <c r="AB843" s="20">
        <v>327607.4</v>
      </c>
      <c r="AC843" s="20">
        <v>0.0</v>
      </c>
      <c r="AD843" s="20">
        <v>1528.0</v>
      </c>
      <c r="AE843" s="20">
        <v>0.0</v>
      </c>
      <c r="AF843" s="20">
        <v>0.0</v>
      </c>
      <c r="AG843" s="20">
        <v>0.0</v>
      </c>
      <c r="AH843" s="20">
        <v>0.0</v>
      </c>
      <c r="AI843" s="20">
        <v>0.0</v>
      </c>
      <c r="AJ843" s="20">
        <v>327607.4</v>
      </c>
      <c r="AK843" s="20">
        <v>976946.9</v>
      </c>
      <c r="AL843" s="20">
        <v>3.0</v>
      </c>
      <c r="AM843" s="20">
        <v>250.8</v>
      </c>
      <c r="AN843" s="20">
        <v>0.0</v>
      </c>
      <c r="AS843" s="11" t="str">
        <f>VLOOKUP(C843,'mayo-26'!B:AS,44,0)</f>
        <v>AREAFINANCIERA@SEMCUCUTA.GOV.CO</v>
      </c>
      <c r="AT843" s="12" t="str">
        <f>VLOOKUP(C843,'mayo-26'!B:AT,45,0)</f>
        <v>CARTERA</v>
      </c>
    </row>
    <row r="844" ht="14.25" customHeight="1">
      <c r="A844" s="20" t="s">
        <v>1772</v>
      </c>
      <c r="B844" s="20">
        <v>190.0</v>
      </c>
      <c r="C844" s="20">
        <v>189.0</v>
      </c>
      <c r="D844" s="21">
        <v>189.0</v>
      </c>
      <c r="E844" s="20">
        <v>9.0229168E7</v>
      </c>
      <c r="F844" s="20">
        <v>9.0229168E7</v>
      </c>
      <c r="G844" s="20" t="s">
        <v>1773</v>
      </c>
      <c r="H844" s="20" t="s">
        <v>1774</v>
      </c>
      <c r="I844" s="1" t="str">
        <f>VLOOKUP(C844,'mayo-26'!B:H,7,0)</f>
        <v>AVE 9E 5N-10 URB LOS PINOS</v>
      </c>
      <c r="J844" s="1" t="s">
        <v>1225</v>
      </c>
      <c r="K844" s="10" t="str">
        <f>VLOOKUP(C844,'mayo-26'!B:J,9,0)</f>
        <v>NO</v>
      </c>
      <c r="L844" s="1" t="str">
        <f>VLOOKUP(C844,'mayo-26'!B:K,10,0)</f>
        <v>NO</v>
      </c>
      <c r="M844" s="20" t="s">
        <v>52</v>
      </c>
      <c r="N844" s="20" t="s">
        <v>89</v>
      </c>
      <c r="O844" s="20" t="s">
        <v>861</v>
      </c>
      <c r="P844" s="20" t="s">
        <v>126</v>
      </c>
      <c r="Q844" s="20" t="s">
        <v>56</v>
      </c>
      <c r="R844" s="20" t="s">
        <v>90</v>
      </c>
      <c r="S844" s="20" t="s">
        <v>143</v>
      </c>
      <c r="T844" s="20" t="s">
        <v>59</v>
      </c>
      <c r="U844" s="20">
        <v>2026.0</v>
      </c>
      <c r="V844" s="20">
        <v>6.0</v>
      </c>
      <c r="W844" s="20">
        <v>1.081875374E9</v>
      </c>
      <c r="X844" s="20">
        <v>1.081893846E9</v>
      </c>
      <c r="Y844" s="22">
        <v>46182.0</v>
      </c>
      <c r="Z844" s="22">
        <v>46207.0</v>
      </c>
      <c r="AA844" s="20">
        <v>1212484.59</v>
      </c>
      <c r="AB844" s="20">
        <v>1212484.59</v>
      </c>
      <c r="AC844" s="20">
        <v>399775.25</v>
      </c>
      <c r="AD844" s="20">
        <v>4015.0</v>
      </c>
      <c r="AE844" s="20">
        <v>13158.87</v>
      </c>
      <c r="AF844" s="20">
        <v>0.0</v>
      </c>
      <c r="AG844" s="20">
        <v>0.0</v>
      </c>
      <c r="AH844" s="20">
        <v>0.0</v>
      </c>
      <c r="AI844" s="20">
        <v>0.0</v>
      </c>
      <c r="AJ844" s="20">
        <v>1212484.59</v>
      </c>
      <c r="AK844" s="20">
        <v>3592161.06</v>
      </c>
      <c r="AL844" s="20">
        <v>2.0</v>
      </c>
      <c r="AM844" s="20">
        <v>376.2</v>
      </c>
      <c r="AN844" s="20">
        <v>0.0</v>
      </c>
      <c r="AS844" s="11" t="str">
        <f>VLOOKUP(C844,'mayo-26'!B:AS,44,0)</f>
        <v>tesoreria@centrocristiano.com.co</v>
      </c>
      <c r="AT844" s="12" t="str">
        <f>VLOOKUP(C844,'mayo-26'!B:AT,45,0)</f>
        <v>CORREO ELECTRONICO CERTIFICADO 472</v>
      </c>
    </row>
    <row r="845" ht="14.25" customHeight="1">
      <c r="A845" s="20" t="s">
        <v>1775</v>
      </c>
      <c r="B845" s="20">
        <v>21318.0</v>
      </c>
      <c r="C845" s="20">
        <v>21317.0</v>
      </c>
      <c r="D845" s="21">
        <v>21317.0</v>
      </c>
      <c r="E845" s="20">
        <v>288029.0</v>
      </c>
      <c r="F845" s="20">
        <v>288029.0</v>
      </c>
      <c r="G845" s="20">
        <v>1.3812346E7</v>
      </c>
      <c r="H845" s="20" t="s">
        <v>1776</v>
      </c>
      <c r="I845" s="1" t="str">
        <f>VLOOKUP(C845,'mayo-26'!B:H,7,0)</f>
        <v>AVE 3E 4 22 LOC 105</v>
      </c>
      <c r="J845" s="1" t="s">
        <v>1777</v>
      </c>
      <c r="K845" s="10" t="str">
        <f>VLOOKUP(C845,'mayo-26'!B:J,9,0)</f>
        <v>NO</v>
      </c>
      <c r="L845" s="1" t="str">
        <f>VLOOKUP(C845,'mayo-26'!B:K,10,0)</f>
        <v>NO</v>
      </c>
      <c r="M845" s="20" t="s">
        <v>52</v>
      </c>
      <c r="N845" s="20" t="s">
        <v>89</v>
      </c>
      <c r="O845" s="20" t="s">
        <v>861</v>
      </c>
      <c r="P845" s="20" t="s">
        <v>126</v>
      </c>
      <c r="Q845" s="20" t="s">
        <v>131</v>
      </c>
      <c r="R845" s="20" t="s">
        <v>538</v>
      </c>
      <c r="S845" s="20" t="s">
        <v>133</v>
      </c>
      <c r="T845" s="20" t="s">
        <v>59</v>
      </c>
      <c r="U845" s="20">
        <v>2026.0</v>
      </c>
      <c r="V845" s="20">
        <v>6.0</v>
      </c>
      <c r="W845" s="20">
        <v>1.08187567E9</v>
      </c>
      <c r="X845" s="20">
        <v>1.081894142E9</v>
      </c>
      <c r="Y845" s="22">
        <v>46182.0</v>
      </c>
      <c r="Z845" s="22">
        <v>46207.0</v>
      </c>
      <c r="AA845" s="20">
        <v>94248.0</v>
      </c>
      <c r="AB845" s="20">
        <v>94248.0</v>
      </c>
      <c r="AC845" s="20">
        <v>31416.0</v>
      </c>
      <c r="AD845" s="20">
        <v>0.0</v>
      </c>
      <c r="AE845" s="20">
        <v>0.0</v>
      </c>
      <c r="AF845" s="20">
        <v>0.0</v>
      </c>
      <c r="AG845" s="20">
        <v>0.0</v>
      </c>
      <c r="AH845" s="20">
        <v>0.0</v>
      </c>
      <c r="AI845" s="20">
        <v>0.0</v>
      </c>
      <c r="AJ845" s="20">
        <v>0.0</v>
      </c>
      <c r="AK845" s="20">
        <v>0.0</v>
      </c>
      <c r="AL845" s="20">
        <v>0.0</v>
      </c>
      <c r="AM845" s="20">
        <v>376.2</v>
      </c>
      <c r="AN845" s="20">
        <v>0.0</v>
      </c>
      <c r="AQ845" s="20">
        <v>94248.0</v>
      </c>
      <c r="AS845" s="11" t="str">
        <f>VLOOKUP(C845,'mayo-26'!B:AS,44,0)</f>
        <v>FPRUIZ@DISTRAVES.COM;PROVEEDORFACTURA-E@DISTRAVES.COM</v>
      </c>
      <c r="AT845" s="12" t="str">
        <f>VLOOKUP(C845,'mayo-26'!B:AT,45,0)</f>
        <v>CORREO ELECTRONICO CERTIFICADO 472</v>
      </c>
    </row>
    <row r="846" ht="14.25" customHeight="1">
      <c r="A846" s="20" t="s">
        <v>1778</v>
      </c>
      <c r="B846" s="20">
        <v>218.0</v>
      </c>
      <c r="C846" s="20">
        <v>217.0</v>
      </c>
      <c r="D846" s="21">
        <v>217.0</v>
      </c>
      <c r="E846" s="20">
        <v>9.0231146E7</v>
      </c>
      <c r="F846" s="20">
        <v>9.0231146E7</v>
      </c>
      <c r="G846" s="20" t="s">
        <v>1779</v>
      </c>
      <c r="H846" s="20" t="s">
        <v>1780</v>
      </c>
      <c r="I846" s="1" t="str">
        <f>VLOOKUP(C846,'mayo-26'!B:H,7,0)</f>
        <v>CLL 7 3E-30 POPULAR</v>
      </c>
      <c r="J846" s="1" t="s">
        <v>1231</v>
      </c>
      <c r="K846" s="10" t="str">
        <f>VLOOKUP(C846,'mayo-26'!B:J,9,0)</f>
        <v>NO</v>
      </c>
      <c r="L846" s="1" t="str">
        <f>VLOOKUP(C846,'mayo-26'!B:K,10,0)</f>
        <v>NO</v>
      </c>
      <c r="M846" s="20" t="s">
        <v>52</v>
      </c>
      <c r="N846" s="20" t="s">
        <v>89</v>
      </c>
      <c r="O846" s="20" t="s">
        <v>861</v>
      </c>
      <c r="P846" s="20" t="s">
        <v>126</v>
      </c>
      <c r="Q846" s="20" t="s">
        <v>56</v>
      </c>
      <c r="R846" s="20" t="s">
        <v>57</v>
      </c>
      <c r="S846" s="20" t="s">
        <v>143</v>
      </c>
      <c r="T846" s="20" t="s">
        <v>59</v>
      </c>
      <c r="U846" s="20">
        <v>2026.0</v>
      </c>
      <c r="V846" s="20">
        <v>6.0</v>
      </c>
      <c r="W846" s="20">
        <v>1.08187538E9</v>
      </c>
      <c r="X846" s="20">
        <v>1.081893852E9</v>
      </c>
      <c r="Y846" s="22">
        <v>46182.0</v>
      </c>
      <c r="Z846" s="22">
        <v>46207.0</v>
      </c>
      <c r="AA846" s="20">
        <v>1172057.2</v>
      </c>
      <c r="AB846" s="20">
        <v>1172057.2</v>
      </c>
      <c r="AC846" s="20">
        <v>0.0</v>
      </c>
      <c r="AD846" s="20">
        <v>5978.0</v>
      </c>
      <c r="AE846" s="20">
        <v>0.0</v>
      </c>
      <c r="AF846" s="20">
        <v>0.0</v>
      </c>
      <c r="AG846" s="20">
        <v>0.0</v>
      </c>
      <c r="AH846" s="20">
        <v>0.0</v>
      </c>
      <c r="AI846" s="20">
        <v>0.0</v>
      </c>
      <c r="AJ846" s="20">
        <v>1172057.2</v>
      </c>
      <c r="AK846" s="20">
        <v>1172057.2</v>
      </c>
      <c r="AL846" s="20">
        <v>0.0</v>
      </c>
      <c r="AM846" s="20">
        <v>250.8</v>
      </c>
      <c r="AN846" s="20">
        <v>0.0</v>
      </c>
      <c r="AS846" s="11" t="str">
        <f>VLOOKUP(C846,'mayo-26'!B:AS,44,0)</f>
        <v>CONTABILIDADCUCUTA@SALESIANOSBOGOTA.ORG</v>
      </c>
      <c r="AT846" s="12" t="str">
        <f>VLOOKUP(C846,'mayo-26'!B:AT,45,0)</f>
        <v>CORREO ELECTRONICO CERTIFICADO 472</v>
      </c>
    </row>
    <row r="847" ht="14.25" customHeight="1">
      <c r="A847" s="20" t="s">
        <v>1781</v>
      </c>
      <c r="B847" s="20">
        <v>222.0</v>
      </c>
      <c r="C847" s="20">
        <v>221.0</v>
      </c>
      <c r="D847" s="21">
        <v>221.0</v>
      </c>
      <c r="E847" s="20">
        <v>9.0232169E7</v>
      </c>
      <c r="F847" s="20">
        <v>9.0232169E7</v>
      </c>
      <c r="G847" s="20">
        <v>9.0232169E7</v>
      </c>
      <c r="H847" s="20" t="s">
        <v>1782</v>
      </c>
      <c r="I847" s="1" t="str">
        <f>VLOOKUP(C847,'mayo-26'!B:H,7,0)</f>
        <v>AVE 3E 3-12 LA CANASTA</v>
      </c>
      <c r="J847" s="1" t="s">
        <v>1235</v>
      </c>
      <c r="K847" s="10" t="str">
        <f>VLOOKUP(C847,'mayo-26'!B:J,9,0)</f>
        <v>NO</v>
      </c>
      <c r="L847" s="1" t="str">
        <f>VLOOKUP(C847,'mayo-26'!B:K,10,0)</f>
        <v>NO</v>
      </c>
      <c r="M847" s="20" t="s">
        <v>52</v>
      </c>
      <c r="N847" s="20" t="s">
        <v>89</v>
      </c>
      <c r="O847" s="20" t="s">
        <v>861</v>
      </c>
      <c r="P847" s="20" t="s">
        <v>126</v>
      </c>
      <c r="Q847" s="20" t="s">
        <v>56</v>
      </c>
      <c r="R847" s="20" t="s">
        <v>90</v>
      </c>
      <c r="S847" s="20" t="s">
        <v>143</v>
      </c>
      <c r="T847" s="20" t="s">
        <v>59</v>
      </c>
      <c r="U847" s="20">
        <v>2026.0</v>
      </c>
      <c r="V847" s="20">
        <v>6.0</v>
      </c>
      <c r="W847" s="20">
        <v>1.081875383E9</v>
      </c>
      <c r="X847" s="20">
        <v>1.081893855E9</v>
      </c>
      <c r="Y847" s="22">
        <v>46182.0</v>
      </c>
      <c r="Z847" s="22">
        <v>46207.0</v>
      </c>
      <c r="AA847" s="20">
        <v>723966.89</v>
      </c>
      <c r="AB847" s="20">
        <v>723966.89</v>
      </c>
      <c r="AC847" s="20">
        <v>241322.3</v>
      </c>
      <c r="AD847" s="20">
        <v>2345.0</v>
      </c>
      <c r="AE847" s="20">
        <v>0.0</v>
      </c>
      <c r="AF847" s="20">
        <v>0.0</v>
      </c>
      <c r="AG847" s="20">
        <v>0.0</v>
      </c>
      <c r="AH847" s="20">
        <v>0.0</v>
      </c>
      <c r="AI847" s="20">
        <v>0.0</v>
      </c>
      <c r="AJ847" s="20">
        <v>723966.1</v>
      </c>
      <c r="AK847" s="20">
        <v>723966.1</v>
      </c>
      <c r="AL847" s="20">
        <v>0.0</v>
      </c>
      <c r="AM847" s="20">
        <v>376.2</v>
      </c>
      <c r="AN847" s="20">
        <v>0.0</v>
      </c>
      <c r="AQ847" s="20">
        <v>0.79</v>
      </c>
      <c r="AS847" s="11" t="str">
        <f>VLOOKUP(C847,'mayo-26'!B:AS,44,0)</f>
        <v>lacanastacucuta@hotmail.com</v>
      </c>
      <c r="AT847" s="12" t="str">
        <f>VLOOKUP(C847,'mayo-26'!B:AT,45,0)</f>
        <v>CORREO ELECTRONICO CERTIFICADO 472</v>
      </c>
    </row>
    <row r="848" ht="14.25" customHeight="1">
      <c r="A848" s="20" t="s">
        <v>1783</v>
      </c>
      <c r="B848" s="20">
        <v>226.0</v>
      </c>
      <c r="C848" s="20">
        <v>225.0</v>
      </c>
      <c r="D848" s="21">
        <v>225.0</v>
      </c>
      <c r="E848" s="20">
        <v>9.0233511E7</v>
      </c>
      <c r="F848" s="20">
        <v>9.0233511E7</v>
      </c>
      <c r="G848" s="20" t="s">
        <v>1784</v>
      </c>
      <c r="H848" s="20" t="s">
        <v>1785</v>
      </c>
      <c r="I848" s="1" t="str">
        <f>VLOOKUP(C848,'mayo-26'!B:H,7,0)</f>
        <v>DIAG SANTANDER</v>
      </c>
      <c r="J848" s="1" t="s">
        <v>926</v>
      </c>
      <c r="K848" s="10" t="str">
        <f>VLOOKUP(C848,'mayo-26'!B:J,9,0)</f>
        <v>NO</v>
      </c>
      <c r="L848" s="1" t="str">
        <f>VLOOKUP(C848,'mayo-26'!B:K,10,0)</f>
        <v>GOBERNACION</v>
      </c>
      <c r="M848" s="20" t="s">
        <v>52</v>
      </c>
      <c r="N848" s="20" t="s">
        <v>89</v>
      </c>
      <c r="O848" s="20" t="s">
        <v>861</v>
      </c>
      <c r="P848" s="20" t="s">
        <v>126</v>
      </c>
      <c r="Q848" s="20" t="s">
        <v>56</v>
      </c>
      <c r="R848" s="20" t="s">
        <v>57</v>
      </c>
      <c r="S848" s="20" t="s">
        <v>143</v>
      </c>
      <c r="T848" s="20" t="s">
        <v>59</v>
      </c>
      <c r="U848" s="20">
        <v>2026.0</v>
      </c>
      <c r="V848" s="20">
        <v>6.0</v>
      </c>
      <c r="W848" s="20">
        <v>1.081875388E9</v>
      </c>
      <c r="X848" s="20">
        <v>1.08189386E9</v>
      </c>
      <c r="Y848" s="22">
        <v>46182.0</v>
      </c>
      <c r="Z848" s="22">
        <v>46207.0</v>
      </c>
      <c r="AA848" s="20">
        <v>736928.35</v>
      </c>
      <c r="AB848" s="20">
        <v>736928.35</v>
      </c>
      <c r="AC848" s="20">
        <v>0.0</v>
      </c>
      <c r="AD848" s="20">
        <v>3685.0</v>
      </c>
      <c r="AE848" s="20">
        <v>0.0</v>
      </c>
      <c r="AF848" s="20">
        <v>0.0</v>
      </c>
      <c r="AG848" s="20">
        <v>0.0</v>
      </c>
      <c r="AH848" s="20">
        <v>0.0</v>
      </c>
      <c r="AI848" s="20">
        <v>0.0</v>
      </c>
      <c r="AJ848" s="20">
        <v>736928.35</v>
      </c>
      <c r="AK848" s="20">
        <v>736928.35</v>
      </c>
      <c r="AL848" s="20">
        <v>0.0</v>
      </c>
      <c r="AM848" s="20">
        <v>250.8</v>
      </c>
      <c r="AN848" s="20">
        <v>0.0</v>
      </c>
      <c r="AS848" s="11" t="str">
        <f>VLOOKUP(C848,'mayo-26'!B:AS,44,0)</f>
        <v>SERVICIOSADMINISTRATIVOS@NORTEDESANTANDER.GOV.CO</v>
      </c>
      <c r="AT848" s="12" t="str">
        <f>VLOOKUP(C848,'mayo-26'!B:AT,45,0)</f>
        <v>CORREO ELECTRONICO CERTIFICADO 472</v>
      </c>
    </row>
    <row r="849" ht="14.25" customHeight="1">
      <c r="A849" s="20" t="s">
        <v>1786</v>
      </c>
      <c r="B849" s="20">
        <v>230.0</v>
      </c>
      <c r="C849" s="20">
        <v>229.0</v>
      </c>
      <c r="D849" s="21">
        <v>229.0</v>
      </c>
      <c r="E849" s="20">
        <v>9.0235079E7</v>
      </c>
      <c r="F849" s="20">
        <v>9.0235079E7</v>
      </c>
      <c r="G849" s="20" t="s">
        <v>875</v>
      </c>
      <c r="H849" s="20" t="s">
        <v>1787</v>
      </c>
      <c r="I849" s="1" t="str">
        <f>VLOOKUP(C849,'mayo-26'!B:H,7,0)</f>
        <v>CLL 10 0E-100</v>
      </c>
      <c r="J849" s="1" t="s">
        <v>982</v>
      </c>
      <c r="K849" s="10" t="str">
        <f>VLOOKUP(C849,'mayo-26'!B:J,9,0)</f>
        <v>NO</v>
      </c>
      <c r="L849" s="1" t="str">
        <f>VLOOKUP(C849,'mayo-26'!B:K,10,0)</f>
        <v>ENTIDADES</v>
      </c>
      <c r="M849" s="20" t="s">
        <v>52</v>
      </c>
      <c r="N849" s="20" t="s">
        <v>89</v>
      </c>
      <c r="O849" s="20" t="s">
        <v>861</v>
      </c>
      <c r="P849" s="20" t="s">
        <v>126</v>
      </c>
      <c r="Q849" s="20" t="s">
        <v>131</v>
      </c>
      <c r="R849" s="20" t="s">
        <v>151</v>
      </c>
      <c r="S849" s="20" t="s">
        <v>133</v>
      </c>
      <c r="T849" s="20" t="s">
        <v>59</v>
      </c>
      <c r="U849" s="20">
        <v>2026.0</v>
      </c>
      <c r="V849" s="20">
        <v>6.0</v>
      </c>
      <c r="W849" s="20">
        <v>1.08187539E9</v>
      </c>
      <c r="X849" s="20">
        <v>1.081893862E9</v>
      </c>
      <c r="Y849" s="22">
        <v>46182.0</v>
      </c>
      <c r="Z849" s="22">
        <v>46207.0</v>
      </c>
      <c r="AA849" s="20">
        <v>75419.0</v>
      </c>
      <c r="AB849" s="20">
        <v>75419.0</v>
      </c>
      <c r="AC849" s="20">
        <v>0.0</v>
      </c>
      <c r="AD849" s="20">
        <v>0.0</v>
      </c>
      <c r="AE849" s="20">
        <v>0.0</v>
      </c>
      <c r="AF849" s="20">
        <v>0.0</v>
      </c>
      <c r="AG849" s="20">
        <v>0.0</v>
      </c>
      <c r="AH849" s="20">
        <v>0.0</v>
      </c>
      <c r="AI849" s="20">
        <v>0.0</v>
      </c>
      <c r="AJ849" s="20">
        <v>75419.0</v>
      </c>
      <c r="AK849" s="20">
        <v>380341.15</v>
      </c>
      <c r="AL849" s="20">
        <v>5.0</v>
      </c>
      <c r="AM849" s="20">
        <v>250.8</v>
      </c>
      <c r="AN849" s="20">
        <v>0.0</v>
      </c>
      <c r="AS849" s="11" t="str">
        <f>VLOOKUP(C849,'mayo-26'!B:AS,44,0)</f>
        <v>hernando.vergara@cucuta.gov.co</v>
      </c>
      <c r="AT849" s="12" t="str">
        <f>VLOOKUP(C849,'mayo-26'!B:AT,45,0)</f>
        <v>CARTERA</v>
      </c>
    </row>
    <row r="850" ht="14.25" customHeight="1">
      <c r="A850" s="20" t="s">
        <v>1788</v>
      </c>
      <c r="B850" s="20">
        <v>234.0</v>
      </c>
      <c r="C850" s="20">
        <v>233.0</v>
      </c>
      <c r="D850" s="21">
        <v>233.0</v>
      </c>
      <c r="E850" s="20">
        <v>9.0235102E7</v>
      </c>
      <c r="F850" s="20">
        <v>9.0235102E7</v>
      </c>
      <c r="G850" s="20" t="s">
        <v>1789</v>
      </c>
      <c r="H850" s="20" t="s">
        <v>1790</v>
      </c>
      <c r="I850" s="1" t="str">
        <f>VLOOKUP(C850,'mayo-26'!B:H,7,0)</f>
        <v>DIAG SANTANDER 11-200</v>
      </c>
      <c r="J850" s="1" t="s">
        <v>942</v>
      </c>
      <c r="K850" s="10" t="str">
        <f>VLOOKUP(C850,'mayo-26'!B:J,9,0)</f>
        <v>NO</v>
      </c>
      <c r="L850" s="1" t="str">
        <f>VLOOKUP(C850,'mayo-26'!B:K,10,0)</f>
        <v>NO</v>
      </c>
      <c r="M850" s="20" t="s">
        <v>52</v>
      </c>
      <c r="N850" s="20" t="s">
        <v>89</v>
      </c>
      <c r="O850" s="20" t="s">
        <v>861</v>
      </c>
      <c r="P850" s="20" t="s">
        <v>126</v>
      </c>
      <c r="Q850" s="20" t="s">
        <v>56</v>
      </c>
      <c r="R850" s="20" t="s">
        <v>90</v>
      </c>
      <c r="S850" s="20" t="s">
        <v>58</v>
      </c>
      <c r="T850" s="20" t="s">
        <v>59</v>
      </c>
      <c r="U850" s="20">
        <v>2026.0</v>
      </c>
      <c r="V850" s="20">
        <v>6.0</v>
      </c>
      <c r="W850" s="20">
        <v>1.081875394E9</v>
      </c>
      <c r="X850" s="20">
        <v>1.081893866E9</v>
      </c>
      <c r="Y850" s="22">
        <v>46182.0</v>
      </c>
      <c r="Z850" s="22">
        <v>46207.0</v>
      </c>
      <c r="AA850" s="20">
        <v>6396961.68</v>
      </c>
      <c r="AB850" s="20">
        <v>6396961.68</v>
      </c>
      <c r="AC850" s="20">
        <v>2132320.57</v>
      </c>
      <c r="AD850" s="20">
        <v>22275.0</v>
      </c>
      <c r="AE850" s="20">
        <v>0.0</v>
      </c>
      <c r="AF850" s="20">
        <v>0.0</v>
      </c>
      <c r="AG850" s="20">
        <v>0.0</v>
      </c>
      <c r="AH850" s="20">
        <v>0.0</v>
      </c>
      <c r="AI850" s="20">
        <v>0.0</v>
      </c>
      <c r="AJ850" s="20">
        <v>6396961.68</v>
      </c>
      <c r="AK850" s="20">
        <v>6396961.68</v>
      </c>
      <c r="AL850" s="20">
        <v>0.0</v>
      </c>
      <c r="AM850" s="20">
        <v>376.2</v>
      </c>
      <c r="AN850" s="20">
        <v>0.0</v>
      </c>
      <c r="AS850" s="11" t="str">
        <f>VLOOKUP(C850,'mayo-26'!B:AS,44,0)</f>
        <v>YRODRIGUEZG@HOMECENTER.CO; NPINZON@HOMECENTER.CO</v>
      </c>
      <c r="AT850" s="12" t="str">
        <f>VLOOKUP(C850,'mayo-26'!B:AT,45,0)</f>
        <v>CORREO ELECTRONICO CERTIFICADO 472</v>
      </c>
    </row>
    <row r="851" ht="14.25" customHeight="1">
      <c r="A851" s="20" t="s">
        <v>1791</v>
      </c>
      <c r="B851" s="20">
        <v>250.0</v>
      </c>
      <c r="C851" s="20">
        <v>249.0</v>
      </c>
      <c r="D851" s="21">
        <v>249.0</v>
      </c>
      <c r="E851" s="20">
        <v>9.0235235E7</v>
      </c>
      <c r="F851" s="20">
        <v>9.0235235E7</v>
      </c>
      <c r="G851" s="20" t="s">
        <v>1792</v>
      </c>
      <c r="H851" s="20" t="s">
        <v>1793</v>
      </c>
      <c r="I851" s="1" t="str">
        <f>VLOOKUP(C851,'mayo-26'!B:H,7,0)</f>
        <v>CLL 13 1E-54-74</v>
      </c>
      <c r="J851" s="1" t="s">
        <v>931</v>
      </c>
      <c r="K851" s="10" t="str">
        <f>VLOOKUP(C851,'mayo-26'!B:J,9,0)</f>
        <v>NO</v>
      </c>
      <c r="L851" s="1" t="str">
        <f>VLOOKUP(C851,'mayo-26'!B:K,10,0)</f>
        <v>NO</v>
      </c>
      <c r="M851" s="20" t="s">
        <v>52</v>
      </c>
      <c r="N851" s="20" t="s">
        <v>89</v>
      </c>
      <c r="O851" s="20" t="s">
        <v>861</v>
      </c>
      <c r="P851" s="20" t="s">
        <v>126</v>
      </c>
      <c r="Q851" s="20" t="s">
        <v>56</v>
      </c>
      <c r="R851" s="20" t="s">
        <v>57</v>
      </c>
      <c r="S851" s="20" t="s">
        <v>143</v>
      </c>
      <c r="T851" s="20" t="s">
        <v>59</v>
      </c>
      <c r="U851" s="20">
        <v>2026.0</v>
      </c>
      <c r="V851" s="20">
        <v>6.0</v>
      </c>
      <c r="W851" s="20">
        <v>1.0818754E9</v>
      </c>
      <c r="X851" s="20">
        <v>1.081893872E9</v>
      </c>
      <c r="Y851" s="22">
        <v>46182.0</v>
      </c>
      <c r="Z851" s="22">
        <v>46207.0</v>
      </c>
      <c r="AA851" s="20">
        <v>2892647.39</v>
      </c>
      <c r="AB851" s="20">
        <v>2892647.39</v>
      </c>
      <c r="AC851" s="20">
        <v>0.0</v>
      </c>
      <c r="AD851" s="20">
        <v>15045.0</v>
      </c>
      <c r="AE851" s="20">
        <v>0.0</v>
      </c>
      <c r="AF851" s="20">
        <v>0.0</v>
      </c>
      <c r="AG851" s="20">
        <v>0.0</v>
      </c>
      <c r="AH851" s="20">
        <v>0.0</v>
      </c>
      <c r="AI851" s="20">
        <v>0.0</v>
      </c>
      <c r="AJ851" s="20">
        <v>2892647.28</v>
      </c>
      <c r="AK851" s="20">
        <v>2892647.28</v>
      </c>
      <c r="AL851" s="20">
        <v>0.0</v>
      </c>
      <c r="AM851" s="20">
        <v>250.8</v>
      </c>
      <c r="AN851" s="20">
        <v>0.0</v>
      </c>
      <c r="AQ851" s="20">
        <v>0.11</v>
      </c>
      <c r="AS851" s="11" t="str">
        <f>VLOOKUP(C851,'mayo-26'!B:AS,44,0)</f>
        <v>CONTABILIDAD1CSJ@GMAIL.COM;ANALISTACONTABLE@CLINICASANJOSEDECUCUTA.COM</v>
      </c>
      <c r="AT851" s="12" t="str">
        <f>VLOOKUP(C851,'mayo-26'!B:AT,45,0)</f>
        <v>CORREO ELECTRONICO CERTIFICADO 472</v>
      </c>
    </row>
    <row r="852" ht="14.25" customHeight="1">
      <c r="A852" s="20" t="s">
        <v>1794</v>
      </c>
      <c r="B852" s="20">
        <v>254.0</v>
      </c>
      <c r="C852" s="20">
        <v>253.0</v>
      </c>
      <c r="D852" s="21">
        <v>253.0</v>
      </c>
      <c r="E852" s="20">
        <v>9.0235272E7</v>
      </c>
      <c r="F852" s="20">
        <v>9.0235272E7</v>
      </c>
      <c r="G852" s="20">
        <v>8.90504844E8</v>
      </c>
      <c r="H852" s="20" t="s">
        <v>934</v>
      </c>
      <c r="I852" s="1" t="str">
        <f>VLOOKUP(C852,'mayo-26'!B:H,7,0)</f>
        <v>AV.0 #11-153 L4</v>
      </c>
      <c r="J852" s="1" t="s">
        <v>931</v>
      </c>
      <c r="K852" s="10" t="str">
        <f>VLOOKUP(C852,'mayo-26'!B:J,9,0)</f>
        <v>CENTRO</v>
      </c>
      <c r="L852" s="1" t="str">
        <f>VLOOKUP(C852,'mayo-26'!B:K,10,0)</f>
        <v>CENTRO</v>
      </c>
      <c r="M852" s="20" t="s">
        <v>52</v>
      </c>
      <c r="N852" s="20" t="s">
        <v>89</v>
      </c>
      <c r="O852" s="20" t="s">
        <v>861</v>
      </c>
      <c r="P852" s="20" t="s">
        <v>126</v>
      </c>
      <c r="Q852" s="20" t="s">
        <v>131</v>
      </c>
      <c r="R852" s="20" t="s">
        <v>363</v>
      </c>
      <c r="S852" s="20" t="s">
        <v>133</v>
      </c>
      <c r="T852" s="20" t="s">
        <v>59</v>
      </c>
      <c r="U852" s="20">
        <v>2026.0</v>
      </c>
      <c r="V852" s="20">
        <v>6.0</v>
      </c>
      <c r="W852" s="20">
        <v>1.081875404E9</v>
      </c>
      <c r="X852" s="20">
        <v>1.081893876E9</v>
      </c>
      <c r="Y852" s="22">
        <v>46182.0</v>
      </c>
      <c r="Z852" s="22">
        <v>46207.0</v>
      </c>
      <c r="AA852" s="20">
        <v>75366.0</v>
      </c>
      <c r="AB852" s="20">
        <v>75366.0</v>
      </c>
      <c r="AC852" s="20">
        <v>25122.0</v>
      </c>
      <c r="AD852" s="20">
        <v>0.0</v>
      </c>
      <c r="AE852" s="20">
        <v>0.0</v>
      </c>
      <c r="AF852" s="20">
        <v>0.0</v>
      </c>
      <c r="AG852" s="20">
        <v>0.0</v>
      </c>
      <c r="AH852" s="20">
        <v>0.0</v>
      </c>
      <c r="AI852" s="20">
        <v>0.0</v>
      </c>
      <c r="AJ852" s="20">
        <v>75366.0</v>
      </c>
      <c r="AK852" s="20">
        <v>75366.0</v>
      </c>
      <c r="AL852" s="20">
        <v>0.0</v>
      </c>
      <c r="AM852" s="20">
        <v>376.2</v>
      </c>
      <c r="AN852" s="20">
        <v>0.0</v>
      </c>
      <c r="AS852" s="11" t="str">
        <f>VLOOKUP(C852,'mayo-26'!B:AS,44,0)</f>
        <v>ALVARO4960@GMAIL.COM</v>
      </c>
      <c r="AT852" s="12" t="str">
        <f>VLOOKUP(C852,'mayo-26'!B:AT,45,0)</f>
        <v>VERIFICADOR</v>
      </c>
    </row>
    <row r="853" ht="14.25" customHeight="1">
      <c r="A853" s="20" t="s">
        <v>1795</v>
      </c>
      <c r="B853" s="20">
        <v>258.0</v>
      </c>
      <c r="C853" s="20">
        <v>257.0</v>
      </c>
      <c r="D853" s="21">
        <v>257.0</v>
      </c>
      <c r="E853" s="20">
        <v>9.0235276E7</v>
      </c>
      <c r="F853" s="20">
        <v>9.0235276E7</v>
      </c>
      <c r="G853" s="20">
        <v>9.0235276E7</v>
      </c>
      <c r="H853" s="20" t="s">
        <v>934</v>
      </c>
      <c r="I853" s="1" t="str">
        <f>VLOOKUP(C853,'mayo-26'!B:H,7,0)</f>
        <v>AVE 0 11-153 203</v>
      </c>
      <c r="J853" s="1" t="s">
        <v>931</v>
      </c>
      <c r="K853" s="10" t="str">
        <f>VLOOKUP(C853,'mayo-26'!B:J,9,0)</f>
        <v>CENTRO</v>
      </c>
      <c r="L853" s="1" t="str">
        <f>VLOOKUP(C853,'mayo-26'!B:K,10,0)</f>
        <v>CENTRO</v>
      </c>
      <c r="M853" s="20" t="s">
        <v>52</v>
      </c>
      <c r="N853" s="20" t="s">
        <v>89</v>
      </c>
      <c r="O853" s="20" t="s">
        <v>861</v>
      </c>
      <c r="P853" s="20" t="s">
        <v>126</v>
      </c>
      <c r="Q853" s="20" t="s">
        <v>218</v>
      </c>
      <c r="R853" s="20" t="s">
        <v>938</v>
      </c>
      <c r="S853" s="20" t="s">
        <v>133</v>
      </c>
      <c r="T853" s="20" t="s">
        <v>59</v>
      </c>
      <c r="U853" s="20">
        <v>2026.0</v>
      </c>
      <c r="V853" s="20">
        <v>6.0</v>
      </c>
      <c r="W853" s="20">
        <v>1.081875409E9</v>
      </c>
      <c r="X853" s="20">
        <v>1.081893881E9</v>
      </c>
      <c r="Y853" s="22">
        <v>46182.0</v>
      </c>
      <c r="Z853" s="22">
        <v>46207.0</v>
      </c>
      <c r="AA853" s="20">
        <v>53134.0</v>
      </c>
      <c r="AB853" s="20">
        <v>53134.0</v>
      </c>
      <c r="AC853" s="20">
        <v>0.0</v>
      </c>
      <c r="AD853" s="20">
        <v>0.0</v>
      </c>
      <c r="AE853" s="20">
        <v>0.0</v>
      </c>
      <c r="AF853" s="20">
        <v>0.0</v>
      </c>
      <c r="AG853" s="20">
        <v>0.0</v>
      </c>
      <c r="AH853" s="20">
        <v>0.0</v>
      </c>
      <c r="AI853" s="20">
        <v>0.0</v>
      </c>
      <c r="AJ853" s="20">
        <v>53134.0</v>
      </c>
      <c r="AK853" s="20">
        <v>53134.0</v>
      </c>
      <c r="AL853" s="20">
        <v>0.0</v>
      </c>
      <c r="AM853" s="20">
        <v>250.8</v>
      </c>
      <c r="AN853" s="20">
        <v>0.0</v>
      </c>
      <c r="AS853" s="11" t="str">
        <f>VLOOKUP(C853,'mayo-26'!B:AS,44,0)</f>
        <v>jw@imetan.com</v>
      </c>
      <c r="AT853" s="12" t="str">
        <f>VLOOKUP(C853,'mayo-26'!B:AT,45,0)</f>
        <v>VERIFICADOR</v>
      </c>
    </row>
    <row r="854" ht="14.25" customHeight="1">
      <c r="A854" s="20" t="s">
        <v>1796</v>
      </c>
      <c r="B854" s="20">
        <v>262.0</v>
      </c>
      <c r="C854" s="20">
        <v>261.0</v>
      </c>
      <c r="D854" s="21">
        <v>261.0</v>
      </c>
      <c r="E854" s="20">
        <v>9.0235281E7</v>
      </c>
      <c r="F854" s="20">
        <v>9.0235281E7</v>
      </c>
      <c r="G854" s="20">
        <v>9023528.0</v>
      </c>
      <c r="H854" s="20" t="s">
        <v>934</v>
      </c>
      <c r="I854" s="1" t="str">
        <f>VLOOKUP(C854,'mayo-26'!B:H,7,0)</f>
        <v>AVE 0 11-153 402</v>
      </c>
      <c r="J854" s="1" t="s">
        <v>931</v>
      </c>
      <c r="K854" s="10" t="str">
        <f>VLOOKUP(C854,'mayo-26'!B:J,9,0)</f>
        <v>CENTRO</v>
      </c>
      <c r="L854" s="1" t="str">
        <f>VLOOKUP(C854,'mayo-26'!B:K,10,0)</f>
        <v>CENTRO</v>
      </c>
      <c r="M854" s="20" t="s">
        <v>52</v>
      </c>
      <c r="N854" s="20" t="s">
        <v>89</v>
      </c>
      <c r="O854" s="20" t="s">
        <v>861</v>
      </c>
      <c r="P854" s="20" t="s">
        <v>126</v>
      </c>
      <c r="Q854" s="20" t="s">
        <v>218</v>
      </c>
      <c r="R854" s="20" t="s">
        <v>938</v>
      </c>
      <c r="S854" s="20" t="s">
        <v>133</v>
      </c>
      <c r="T854" s="20" t="s">
        <v>59</v>
      </c>
      <c r="U854" s="20">
        <v>2026.0</v>
      </c>
      <c r="V854" s="20">
        <v>6.0</v>
      </c>
      <c r="W854" s="20">
        <v>1.081875414E9</v>
      </c>
      <c r="X854" s="20">
        <v>1.081893886E9</v>
      </c>
      <c r="Y854" s="22">
        <v>46182.0</v>
      </c>
      <c r="Z854" s="22">
        <v>46207.0</v>
      </c>
      <c r="AA854" s="20">
        <v>53134.0</v>
      </c>
      <c r="AB854" s="20">
        <v>53134.0</v>
      </c>
      <c r="AC854" s="20">
        <v>0.0</v>
      </c>
      <c r="AD854" s="20">
        <v>0.0</v>
      </c>
      <c r="AE854" s="20">
        <v>0.0</v>
      </c>
      <c r="AF854" s="20">
        <v>0.0</v>
      </c>
      <c r="AG854" s="20">
        <v>0.0</v>
      </c>
      <c r="AH854" s="20">
        <v>0.0</v>
      </c>
      <c r="AI854" s="20">
        <v>0.0</v>
      </c>
      <c r="AJ854" s="20">
        <v>53134.0</v>
      </c>
      <c r="AK854" s="20">
        <v>53134.0</v>
      </c>
      <c r="AL854" s="20">
        <v>0.0</v>
      </c>
      <c r="AM854" s="20">
        <v>250.8</v>
      </c>
      <c r="AN854" s="20">
        <v>0.0</v>
      </c>
      <c r="AS854" s="11" t="str">
        <f>VLOOKUP(C854,'mayo-26'!B:AS,44,0)</f>
        <v>ELKINSEBE@HOTMAIL.COM</v>
      </c>
      <c r="AT854" s="12" t="str">
        <f>VLOOKUP(C854,'mayo-26'!B:AT,45,0)</f>
        <v>VERIFICADOR</v>
      </c>
    </row>
    <row r="855" ht="14.25" customHeight="1">
      <c r="A855" s="20" t="s">
        <v>1797</v>
      </c>
      <c r="B855" s="20">
        <v>270.0</v>
      </c>
      <c r="C855" s="20">
        <v>269.0</v>
      </c>
      <c r="D855" s="21">
        <v>269.0</v>
      </c>
      <c r="E855" s="20">
        <v>9.0236214E7</v>
      </c>
      <c r="F855" s="20">
        <v>9.0236214E7</v>
      </c>
      <c r="G855" s="20">
        <v>2.7957378E7</v>
      </c>
      <c r="H855" s="20" t="s">
        <v>941</v>
      </c>
      <c r="I855" s="1" t="str">
        <f>VLOOKUP(C855,'mayo-26'!B:H,7,0)</f>
        <v>CLL 14 4E-23 APTO 101</v>
      </c>
      <c r="J855" s="1" t="s">
        <v>942</v>
      </c>
      <c r="K855" s="10" t="str">
        <f>VLOOKUP(C855,'mayo-26'!B:J,9,0)</f>
        <v>CENTRO</v>
      </c>
      <c r="L855" s="1" t="str">
        <f>VLOOKUP(C855,'mayo-26'!B:K,10,0)</f>
        <v>EDIFICIO ATLANTE LTDA</v>
      </c>
      <c r="M855" s="20" t="s">
        <v>52</v>
      </c>
      <c r="N855" s="20" t="s">
        <v>89</v>
      </c>
      <c r="O855" s="20" t="s">
        <v>861</v>
      </c>
      <c r="P855" s="20" t="s">
        <v>126</v>
      </c>
      <c r="Q855" s="20" t="s">
        <v>218</v>
      </c>
      <c r="R855" s="20" t="s">
        <v>943</v>
      </c>
      <c r="S855" s="20" t="s">
        <v>133</v>
      </c>
      <c r="T855" s="20" t="s">
        <v>59</v>
      </c>
      <c r="U855" s="20">
        <v>2026.0</v>
      </c>
      <c r="V855" s="20">
        <v>6.0</v>
      </c>
      <c r="W855" s="20">
        <v>1.081875416E9</v>
      </c>
      <c r="X855" s="20">
        <v>1.081893888E9</v>
      </c>
      <c r="Y855" s="22">
        <v>46182.0</v>
      </c>
      <c r="Z855" s="22">
        <v>46207.0</v>
      </c>
      <c r="AA855" s="20">
        <v>84807.0</v>
      </c>
      <c r="AB855" s="20">
        <v>84807.0</v>
      </c>
      <c r="AC855" s="20">
        <v>28269.0</v>
      </c>
      <c r="AD855" s="20">
        <v>0.0</v>
      </c>
      <c r="AE855" s="20">
        <v>0.0</v>
      </c>
      <c r="AF855" s="20">
        <v>0.0</v>
      </c>
      <c r="AG855" s="20">
        <v>0.0</v>
      </c>
      <c r="AH855" s="20">
        <v>0.0</v>
      </c>
      <c r="AI855" s="20">
        <v>0.0</v>
      </c>
      <c r="AJ855" s="20">
        <v>84807.0</v>
      </c>
      <c r="AK855" s="20">
        <v>84807.0</v>
      </c>
      <c r="AL855" s="20">
        <v>0.0</v>
      </c>
      <c r="AM855" s="20">
        <v>376.2</v>
      </c>
      <c r="AN855" s="20">
        <v>0.0</v>
      </c>
      <c r="AS855" s="11" t="str">
        <f>VLOOKUP(C855,'mayo-26'!B:AS,44,0)</f>
        <v>ADMONCUCUTA@CARMELITASTERESAS.ORG</v>
      </c>
      <c r="AT855" s="12" t="str">
        <f>VLOOKUP(C855,'mayo-26'!B:AT,45,0)</f>
        <v>VERIFICADOR</v>
      </c>
    </row>
    <row r="856" ht="14.25" customHeight="1">
      <c r="A856" s="20" t="s">
        <v>1798</v>
      </c>
      <c r="B856" s="20">
        <v>271.0</v>
      </c>
      <c r="C856" s="20">
        <v>273.0</v>
      </c>
      <c r="D856" s="21">
        <v>273.0</v>
      </c>
      <c r="E856" s="20">
        <v>9.0236218E7</v>
      </c>
      <c r="F856" s="20">
        <v>9.0236218E7</v>
      </c>
      <c r="G856" s="20">
        <v>9.0236215E7</v>
      </c>
      <c r="H856" s="20" t="s">
        <v>941</v>
      </c>
      <c r="I856" s="1" t="str">
        <f>VLOOKUP(C856,'mayo-26'!B:H,7,0)</f>
        <v>CLL 14 4E-23 APTO 201</v>
      </c>
      <c r="J856" s="1" t="s">
        <v>942</v>
      </c>
      <c r="K856" s="10" t="str">
        <f>VLOOKUP(C856,'mayo-26'!B:J,9,0)</f>
        <v>CENTRO </v>
      </c>
      <c r="L856" s="1" t="str">
        <f>VLOOKUP(C856,'mayo-26'!B:K,10,0)</f>
        <v>EDIFICIO ATLANTE LTDA</v>
      </c>
      <c r="M856" s="20" t="s">
        <v>52</v>
      </c>
      <c r="N856" s="20" t="s">
        <v>53</v>
      </c>
      <c r="O856" s="20" t="s">
        <v>861</v>
      </c>
      <c r="P856" s="20" t="s">
        <v>126</v>
      </c>
      <c r="Q856" s="20" t="s">
        <v>218</v>
      </c>
      <c r="R856" s="20" t="s">
        <v>943</v>
      </c>
      <c r="S856" s="20" t="s">
        <v>133</v>
      </c>
      <c r="T856" s="20" t="s">
        <v>59</v>
      </c>
      <c r="U856" s="20">
        <v>2026.0</v>
      </c>
      <c r="V856" s="20">
        <v>6.0</v>
      </c>
      <c r="W856" s="20">
        <v>1.08187542E9</v>
      </c>
      <c r="X856" s="20">
        <v>1.081893892E9</v>
      </c>
      <c r="Y856" s="22">
        <v>46182.0</v>
      </c>
      <c r="Z856" s="22">
        <v>46207.0</v>
      </c>
      <c r="AA856" s="20">
        <v>84807.0</v>
      </c>
      <c r="AB856" s="20">
        <v>84807.0</v>
      </c>
      <c r="AC856" s="20">
        <v>28269.0</v>
      </c>
      <c r="AD856" s="20">
        <v>0.0</v>
      </c>
      <c r="AE856" s="20">
        <v>0.0</v>
      </c>
      <c r="AF856" s="20">
        <v>0.0</v>
      </c>
      <c r="AG856" s="20">
        <v>0.0</v>
      </c>
      <c r="AH856" s="20">
        <v>0.0</v>
      </c>
      <c r="AI856" s="20">
        <v>0.0</v>
      </c>
      <c r="AJ856" s="20">
        <v>84807.0</v>
      </c>
      <c r="AK856" s="20">
        <v>84807.0</v>
      </c>
      <c r="AL856" s="20">
        <v>0.0</v>
      </c>
      <c r="AM856" s="20">
        <v>376.2</v>
      </c>
      <c r="AN856" s="20">
        <v>0.0</v>
      </c>
      <c r="AS856" s="11" t="str">
        <f>VLOOKUP(C856,'mayo-26'!B:AS,44,0)</f>
        <v>CINOVA1934@YAHOO.COM</v>
      </c>
      <c r="AT856" s="12" t="str">
        <f>VLOOKUP(C856,'mayo-26'!B:AT,45,0)</f>
        <v>VERIFICADOR</v>
      </c>
    </row>
    <row r="857" ht="14.25" customHeight="1">
      <c r="A857" s="20" t="s">
        <v>1799</v>
      </c>
      <c r="B857" s="20">
        <v>278.0</v>
      </c>
      <c r="C857" s="20">
        <v>277.0</v>
      </c>
      <c r="D857" s="21">
        <v>277.0</v>
      </c>
      <c r="E857" s="20">
        <v>9.0236222E7</v>
      </c>
      <c r="F857" s="20">
        <v>9.0236222E7</v>
      </c>
      <c r="G857" s="20">
        <v>9.0236222E7</v>
      </c>
      <c r="H857" s="20" t="s">
        <v>941</v>
      </c>
      <c r="I857" s="1" t="str">
        <f>VLOOKUP(C857,'mayo-26'!B:H,7,0)</f>
        <v>CLL 14 4E-23 APTO 502</v>
      </c>
      <c r="J857" s="1" t="s">
        <v>942</v>
      </c>
      <c r="K857" s="10" t="str">
        <f>VLOOKUP(C857,'mayo-26'!B:J,9,0)</f>
        <v>CENTRO </v>
      </c>
      <c r="L857" s="1" t="str">
        <f>VLOOKUP(C857,'mayo-26'!B:K,10,0)</f>
        <v>EDIFICIO ATLANTE LTDA</v>
      </c>
      <c r="M857" s="20" t="s">
        <v>52</v>
      </c>
      <c r="N857" s="20" t="s">
        <v>89</v>
      </c>
      <c r="O857" s="20" t="s">
        <v>861</v>
      </c>
      <c r="P857" s="20" t="s">
        <v>126</v>
      </c>
      <c r="Q857" s="20" t="s">
        <v>218</v>
      </c>
      <c r="R857" s="20" t="s">
        <v>943</v>
      </c>
      <c r="S857" s="20" t="s">
        <v>133</v>
      </c>
      <c r="T857" s="20" t="s">
        <v>59</v>
      </c>
      <c r="U857" s="20">
        <v>2026.0</v>
      </c>
      <c r="V857" s="20">
        <v>6.0</v>
      </c>
      <c r="W857" s="20">
        <v>1.081875423E9</v>
      </c>
      <c r="X857" s="20">
        <v>1.081893895E9</v>
      </c>
      <c r="Y857" s="22">
        <v>46182.0</v>
      </c>
      <c r="Z857" s="22">
        <v>46207.0</v>
      </c>
      <c r="AA857" s="20">
        <v>84807.0</v>
      </c>
      <c r="AB857" s="20">
        <v>84807.0</v>
      </c>
      <c r="AC857" s="20">
        <v>28269.0</v>
      </c>
      <c r="AD857" s="20">
        <v>0.0</v>
      </c>
      <c r="AE857" s="20">
        <v>0.0</v>
      </c>
      <c r="AF857" s="20">
        <v>0.0</v>
      </c>
      <c r="AG857" s="20">
        <v>0.0</v>
      </c>
      <c r="AH857" s="20">
        <v>0.0</v>
      </c>
      <c r="AI857" s="20">
        <v>0.0</v>
      </c>
      <c r="AJ857" s="20">
        <v>84807.0</v>
      </c>
      <c r="AK857" s="20">
        <v>84807.0</v>
      </c>
      <c r="AL857" s="20">
        <v>0.0</v>
      </c>
      <c r="AM857" s="20">
        <v>376.2</v>
      </c>
      <c r="AN857" s="20">
        <v>0.0</v>
      </c>
      <c r="AS857" s="11" t="str">
        <f>VLOOKUP(C857,'mayo-26'!B:AS,44,0)</f>
        <v>#ERROR!</v>
      </c>
      <c r="AT857" s="12" t="str">
        <f>VLOOKUP(C857,'mayo-26'!B:AT,45,0)</f>
        <v>VERIFICADOR</v>
      </c>
    </row>
    <row r="858" ht="14.25" customHeight="1">
      <c r="A858" s="20" t="s">
        <v>1800</v>
      </c>
      <c r="B858" s="20">
        <v>282.0</v>
      </c>
      <c r="C858" s="20">
        <v>281.0</v>
      </c>
      <c r="D858" s="21">
        <v>281.0</v>
      </c>
      <c r="E858" s="20">
        <v>9.023641E7</v>
      </c>
      <c r="F858" s="20">
        <v>9.023641E7</v>
      </c>
      <c r="G858" s="20" t="s">
        <v>1801</v>
      </c>
      <c r="H858" s="20" t="s">
        <v>1802</v>
      </c>
      <c r="I858" s="1" t="str">
        <f>VLOOKUP(C858,'mayo-26'!B:H,7,0)</f>
        <v>CLL 13A 2E-112 TOTALIZADOR</v>
      </c>
      <c r="J858" s="1" t="s">
        <v>942</v>
      </c>
      <c r="K858" s="10" t="str">
        <f>VLOOKUP(C858,'mayo-26'!B:J,9,0)</f>
        <v>NO</v>
      </c>
      <c r="L858" s="1" t="str">
        <f>VLOOKUP(C858,'mayo-26'!B:K,10,0)</f>
        <v>NO</v>
      </c>
      <c r="M858" s="20" t="s">
        <v>52</v>
      </c>
      <c r="N858" s="20" t="s">
        <v>89</v>
      </c>
      <c r="O858" s="20" t="s">
        <v>861</v>
      </c>
      <c r="P858" s="20" t="s">
        <v>126</v>
      </c>
      <c r="Q858" s="20" t="s">
        <v>56</v>
      </c>
      <c r="R858" s="20" t="s">
        <v>90</v>
      </c>
      <c r="S858" s="20" t="s">
        <v>143</v>
      </c>
      <c r="T858" s="20" t="s">
        <v>59</v>
      </c>
      <c r="U858" s="20">
        <v>2026.0</v>
      </c>
      <c r="V858" s="20">
        <v>6.0</v>
      </c>
      <c r="W858" s="20">
        <v>1.081875426E9</v>
      </c>
      <c r="X858" s="20">
        <v>1.081893898E9</v>
      </c>
      <c r="Y858" s="22">
        <v>46182.0</v>
      </c>
      <c r="Z858" s="22">
        <v>46207.0</v>
      </c>
      <c r="AA858" s="20">
        <v>145803.94</v>
      </c>
      <c r="AB858" s="20">
        <v>145803.94</v>
      </c>
      <c r="AC858" s="20">
        <v>48474.64</v>
      </c>
      <c r="AD858" s="20">
        <v>312.5</v>
      </c>
      <c r="AE858" s="20">
        <v>380.04</v>
      </c>
      <c r="AF858" s="20">
        <v>0.0</v>
      </c>
      <c r="AG858" s="20">
        <v>0.0</v>
      </c>
      <c r="AH858" s="20">
        <v>0.0</v>
      </c>
      <c r="AI858" s="20">
        <v>0.0</v>
      </c>
      <c r="AJ858" s="20">
        <v>1429.48</v>
      </c>
      <c r="AK858" s="20">
        <v>1429.48</v>
      </c>
      <c r="AL858" s="20">
        <v>0.0</v>
      </c>
      <c r="AM858" s="20">
        <v>376.2</v>
      </c>
      <c r="AN858" s="20">
        <v>0.0</v>
      </c>
      <c r="AQ858" s="20">
        <v>144374.46</v>
      </c>
      <c r="AS858" s="11" t="str">
        <f>VLOOKUP(C858,'mayo-26'!B:AS,44,0)</f>
        <v>CONDOMINIOEDIFICIOAGOYAN@GMAIL.COM</v>
      </c>
      <c r="AT858" s="12" t="str">
        <f>VLOOKUP(C858,'mayo-26'!B:AT,45,0)</f>
        <v>CORREO ELECTRONICO CERTIFICADO 472</v>
      </c>
    </row>
    <row r="859" ht="14.25" customHeight="1">
      <c r="A859" s="20" t="s">
        <v>1803</v>
      </c>
      <c r="B859" s="20">
        <v>286.0</v>
      </c>
      <c r="C859" s="20">
        <v>285.0</v>
      </c>
      <c r="D859" s="21">
        <v>285.0</v>
      </c>
      <c r="E859" s="20">
        <v>9.0237026E7</v>
      </c>
      <c r="F859" s="20">
        <v>9.0237026E7</v>
      </c>
      <c r="G859" s="20">
        <v>284.0</v>
      </c>
      <c r="H859" s="20" t="s">
        <v>1804</v>
      </c>
      <c r="I859" s="1" t="str">
        <f>VLOOKUP(C859,'mayo-26'!B:H,7,0)</f>
        <v>CLL 20 0-18 CONSULT.1 Y 2</v>
      </c>
      <c r="J859" s="1" t="s">
        <v>1506</v>
      </c>
      <c r="K859" s="10" t="str">
        <f>VLOOKUP(C859,'mayo-26'!B:J,9,0)</f>
        <v>NO</v>
      </c>
      <c r="L859" s="1" t="str">
        <f>VLOOKUP(C859,'mayo-26'!B:K,10,0)</f>
        <v>NO</v>
      </c>
      <c r="M859" s="20" t="s">
        <v>52</v>
      </c>
      <c r="N859" s="20" t="s">
        <v>89</v>
      </c>
      <c r="O859" s="20" t="s">
        <v>861</v>
      </c>
      <c r="P859" s="20" t="s">
        <v>126</v>
      </c>
      <c r="Q859" s="20" t="s">
        <v>131</v>
      </c>
      <c r="R859" s="20" t="s">
        <v>538</v>
      </c>
      <c r="S859" s="20" t="s">
        <v>133</v>
      </c>
      <c r="T859" s="20" t="s">
        <v>163</v>
      </c>
      <c r="U859" s="20">
        <v>2026.0</v>
      </c>
      <c r="V859" s="20">
        <v>6.0</v>
      </c>
      <c r="W859" s="20">
        <v>1.08187543E9</v>
      </c>
      <c r="X859" s="20">
        <v>1.081893902E9</v>
      </c>
      <c r="Y859" s="22">
        <v>46182.0</v>
      </c>
      <c r="Z859" s="22">
        <v>46207.0</v>
      </c>
      <c r="AA859" s="20">
        <v>55848.0</v>
      </c>
      <c r="AB859" s="20">
        <v>55848.0</v>
      </c>
      <c r="AC859" s="20">
        <v>18616.0</v>
      </c>
      <c r="AD859" s="20">
        <v>0.0</v>
      </c>
      <c r="AE859" s="20">
        <v>0.0</v>
      </c>
      <c r="AF859" s="20">
        <v>0.0</v>
      </c>
      <c r="AG859" s="20">
        <v>0.0</v>
      </c>
      <c r="AH859" s="20">
        <v>0.0</v>
      </c>
      <c r="AI859" s="20">
        <v>0.0</v>
      </c>
      <c r="AJ859" s="20">
        <v>55848.0</v>
      </c>
      <c r="AK859" s="20">
        <v>55848.0</v>
      </c>
      <c r="AL859" s="20">
        <v>0.0</v>
      </c>
      <c r="AM859" s="20">
        <v>376.2</v>
      </c>
      <c r="AN859" s="20">
        <v>0.0</v>
      </c>
      <c r="AS859" s="11" t="str">
        <f>VLOOKUP(C859,'mayo-26'!B:AS,44,0)</f>
        <v>JAMADOGUTIERREZ@HOTMAIL.COM</v>
      </c>
      <c r="AT859" s="12" t="str">
        <f>VLOOKUP(C859,'mayo-26'!B:AT,45,0)</f>
        <v>CORREO ELECTRONICO CERTIFICADO 472</v>
      </c>
    </row>
    <row r="860" ht="14.25" customHeight="1">
      <c r="A860" s="20" t="s">
        <v>1805</v>
      </c>
      <c r="B860" s="20">
        <v>455370.0</v>
      </c>
      <c r="C860" s="20">
        <v>289.0</v>
      </c>
      <c r="D860" s="21">
        <v>289.0</v>
      </c>
      <c r="E860" s="20">
        <v>9.0237566E7</v>
      </c>
      <c r="F860" s="20">
        <v>9.0237566E7</v>
      </c>
      <c r="G860" s="20" t="s">
        <v>148</v>
      </c>
      <c r="H860" s="20" t="s">
        <v>149</v>
      </c>
      <c r="I860" s="1" t="str">
        <f>VLOOKUP(C860,'mayo-26'!B:H,7,0)</f>
        <v>CALLE 10 NO 0E-16 EDF CENTRO EMPRESARIAL BLOQUE B HOTEL TONCHALA</v>
      </c>
      <c r="J860" s="1" t="s">
        <v>1256</v>
      </c>
      <c r="K860" s="10" t="str">
        <f>VLOOKUP(C860,'mayo-26'!B:J,9,0)</f>
        <v>NO</v>
      </c>
      <c r="L860" s="1" t="str">
        <f>VLOOKUP(C860,'mayo-26'!B:K,10,0)</f>
        <v>COLEGIOS ZONA SUR</v>
      </c>
      <c r="M860" s="20" t="s">
        <v>52</v>
      </c>
      <c r="N860" s="20" t="s">
        <v>53</v>
      </c>
      <c r="O860" s="20" t="s">
        <v>861</v>
      </c>
      <c r="P860" s="20" t="s">
        <v>126</v>
      </c>
      <c r="Q860" s="20" t="s">
        <v>56</v>
      </c>
      <c r="R860" s="20" t="s">
        <v>57</v>
      </c>
      <c r="S860" s="20" t="s">
        <v>143</v>
      </c>
      <c r="T860" s="20" t="s">
        <v>59</v>
      </c>
      <c r="U860" s="20">
        <v>2026.0</v>
      </c>
      <c r="V860" s="20">
        <v>6.0</v>
      </c>
      <c r="W860" s="20">
        <v>1.081875434E9</v>
      </c>
      <c r="X860" s="20">
        <v>1.081893906E9</v>
      </c>
      <c r="Y860" s="22">
        <v>46182.0</v>
      </c>
      <c r="Z860" s="22">
        <v>46207.0</v>
      </c>
      <c r="AA860" s="20">
        <v>85658.29</v>
      </c>
      <c r="AB860" s="20">
        <v>85658.29</v>
      </c>
      <c r="AC860" s="20">
        <v>0.0</v>
      </c>
      <c r="AD860" s="20">
        <v>253.0</v>
      </c>
      <c r="AE860" s="20">
        <v>0.0</v>
      </c>
      <c r="AF860" s="20">
        <v>0.0</v>
      </c>
      <c r="AG860" s="20">
        <v>0.0</v>
      </c>
      <c r="AH860" s="20">
        <v>0.0</v>
      </c>
      <c r="AI860" s="20">
        <v>0.0</v>
      </c>
      <c r="AJ860" s="20">
        <v>85658.29</v>
      </c>
      <c r="AK860" s="20">
        <v>256791.18</v>
      </c>
      <c r="AL860" s="20">
        <v>3.0</v>
      </c>
      <c r="AM860" s="20">
        <v>250.8</v>
      </c>
      <c r="AN860" s="20">
        <v>0.0</v>
      </c>
      <c r="AS860" s="11" t="str">
        <f>VLOOKUP(C860,'mayo-26'!B:AS,44,0)</f>
        <v>AREAFINANCIERA@SEMCUCUTA.GOV.CO</v>
      </c>
      <c r="AT860" s="12" t="str">
        <f>VLOOKUP(C860,'mayo-26'!B:AT,45,0)</f>
        <v>CARTERA</v>
      </c>
    </row>
    <row r="861" ht="14.25" customHeight="1">
      <c r="A861" s="20" t="s">
        <v>1806</v>
      </c>
      <c r="B861" s="20">
        <v>699.0</v>
      </c>
      <c r="C861" s="20">
        <v>29225.0</v>
      </c>
      <c r="D861" s="21">
        <v>29225.0</v>
      </c>
      <c r="E861" s="20">
        <v>91350.0</v>
      </c>
      <c r="F861" s="20">
        <v>91350.0</v>
      </c>
      <c r="G861" s="20">
        <v>9.00480569E8</v>
      </c>
      <c r="H861" s="20" t="s">
        <v>141</v>
      </c>
      <c r="I861" s="1" t="str">
        <f>VLOOKUP(C861,'mayo-26'!B:H,7,0)</f>
        <v>CLL 12 4-52 CENTRO</v>
      </c>
      <c r="J861" s="1" t="s">
        <v>863</v>
      </c>
      <c r="K861" s="10" t="str">
        <f>VLOOKUP(C861,'mayo-26'!B:J,9,0)</f>
        <v>NO</v>
      </c>
      <c r="L861" s="1" t="str">
        <f>VLOOKUP(C861,'mayo-26'!B:K,10,0)</f>
        <v>ARA CUCUTA</v>
      </c>
      <c r="M861" s="20" t="s">
        <v>52</v>
      </c>
      <c r="N861" s="20" t="s">
        <v>53</v>
      </c>
      <c r="O861" s="20" t="s">
        <v>861</v>
      </c>
      <c r="P861" s="20" t="s">
        <v>126</v>
      </c>
      <c r="Q861" s="20" t="s">
        <v>56</v>
      </c>
      <c r="R861" s="20" t="s">
        <v>90</v>
      </c>
      <c r="S861" s="20" t="s">
        <v>143</v>
      </c>
      <c r="T861" s="20" t="s">
        <v>59</v>
      </c>
      <c r="U861" s="20">
        <v>2026.0</v>
      </c>
      <c r="V861" s="20">
        <v>6.0</v>
      </c>
      <c r="W861" s="20">
        <v>1.081875673E9</v>
      </c>
      <c r="X861" s="20">
        <v>1.081894145E9</v>
      </c>
      <c r="Y861" s="22">
        <v>46182.0</v>
      </c>
      <c r="Z861" s="22">
        <v>46207.0</v>
      </c>
      <c r="AA861" s="20">
        <v>453790.0</v>
      </c>
      <c r="AB861" s="20">
        <v>453790.0</v>
      </c>
      <c r="AC861" s="20">
        <v>149286.77</v>
      </c>
      <c r="AD861" s="20">
        <v>1375.0</v>
      </c>
      <c r="AE861" s="20">
        <v>5929.72</v>
      </c>
      <c r="AF861" s="20">
        <v>0.0</v>
      </c>
      <c r="AG861" s="20">
        <v>0.0</v>
      </c>
      <c r="AH861" s="20">
        <v>0.0</v>
      </c>
      <c r="AI861" s="20">
        <v>0.0</v>
      </c>
      <c r="AJ861" s="20">
        <v>453790.0</v>
      </c>
      <c r="AK861" s="20">
        <v>902518.21</v>
      </c>
      <c r="AL861" s="20">
        <v>1.0</v>
      </c>
      <c r="AM861" s="20">
        <v>376.2</v>
      </c>
      <c r="AN861" s="20">
        <v>0.0</v>
      </c>
      <c r="AS861" s="11" t="str">
        <f>VLOOKUP(C861,'mayo-26'!B:AS,44,0)</f>
        <v>COORDINADOR.OPERACIONES.R11@JERONIMO-MARTINS.COM</v>
      </c>
      <c r="AT861" s="12" t="str">
        <f>VLOOKUP(C861,'mayo-26'!B:AT,45,0)</f>
        <v>CORREO ELECTRONICO CERTIFICADO 472</v>
      </c>
    </row>
    <row r="862" ht="14.25" customHeight="1">
      <c r="A862" s="20" t="s">
        <v>1807</v>
      </c>
      <c r="B862" s="20">
        <v>455370.0</v>
      </c>
      <c r="C862" s="20">
        <v>293.0</v>
      </c>
      <c r="D862" s="21">
        <v>293.0</v>
      </c>
      <c r="E862" s="20">
        <v>9.0239225E7</v>
      </c>
      <c r="F862" s="20">
        <v>9.0239225E7</v>
      </c>
      <c r="G862" s="20" t="s">
        <v>148</v>
      </c>
      <c r="H862" s="20" t="s">
        <v>149</v>
      </c>
      <c r="I862" s="1" t="str">
        <f>VLOOKUP(C862,'mayo-26'!B:H,7,0)</f>
        <v>CALLE 10 NO 0E-16 EDF CENTRO EMPRESARIAL BLOQUE B HOTEL TONCHALA</v>
      </c>
      <c r="J862" s="1" t="s">
        <v>1808</v>
      </c>
      <c r="K862" s="10" t="str">
        <f>VLOOKUP(C862,'mayo-26'!B:J,9,0)</f>
        <v>NO</v>
      </c>
      <c r="L862" s="1" t="str">
        <f>VLOOKUP(C862,'mayo-26'!B:K,10,0)</f>
        <v>COLEGIOS ZONA SUR</v>
      </c>
      <c r="M862" s="20" t="s">
        <v>52</v>
      </c>
      <c r="N862" s="20" t="s">
        <v>53</v>
      </c>
      <c r="O862" s="20" t="s">
        <v>861</v>
      </c>
      <c r="P862" s="20" t="s">
        <v>126</v>
      </c>
      <c r="Q862" s="20" t="s">
        <v>56</v>
      </c>
      <c r="R862" s="20" t="s">
        <v>57</v>
      </c>
      <c r="S862" s="20" t="s">
        <v>143</v>
      </c>
      <c r="T862" s="20" t="s">
        <v>59</v>
      </c>
      <c r="U862" s="20">
        <v>2026.0</v>
      </c>
      <c r="V862" s="20">
        <v>6.0</v>
      </c>
      <c r="W862" s="20">
        <v>1.081875439E9</v>
      </c>
      <c r="X862" s="20">
        <v>1.081893911E9</v>
      </c>
      <c r="Y862" s="22">
        <v>46182.0</v>
      </c>
      <c r="Z862" s="22">
        <v>46207.0</v>
      </c>
      <c r="AA862" s="20">
        <v>124939.44</v>
      </c>
      <c r="AB862" s="20">
        <v>124939.44</v>
      </c>
      <c r="AC862" s="20">
        <v>0.0</v>
      </c>
      <c r="AD862" s="20">
        <v>460.0</v>
      </c>
      <c r="AE862" s="20">
        <v>0.0</v>
      </c>
      <c r="AF862" s="20">
        <v>0.0</v>
      </c>
      <c r="AG862" s="20">
        <v>0.0</v>
      </c>
      <c r="AH862" s="20">
        <v>0.0</v>
      </c>
      <c r="AI862" s="20">
        <v>0.0</v>
      </c>
      <c r="AJ862" s="20">
        <v>124939.44</v>
      </c>
      <c r="AK862" s="20">
        <v>373710.58</v>
      </c>
      <c r="AL862" s="20">
        <v>3.0</v>
      </c>
      <c r="AM862" s="20">
        <v>250.8</v>
      </c>
      <c r="AN862" s="20">
        <v>0.0</v>
      </c>
      <c r="AS862" s="11" t="str">
        <f>VLOOKUP(C862,'mayo-26'!B:AS,44,0)</f>
        <v>AREAFINANCIERA@SEMCUCUTA.GOV.CO</v>
      </c>
      <c r="AT862" s="12" t="str">
        <f>VLOOKUP(C862,'mayo-26'!B:AT,45,0)</f>
        <v>CARTERA</v>
      </c>
    </row>
    <row r="863" ht="14.25" customHeight="1">
      <c r="A863" s="20" t="s">
        <v>1809</v>
      </c>
      <c r="B863" s="20">
        <v>298.0</v>
      </c>
      <c r="C863" s="20">
        <v>297.0</v>
      </c>
      <c r="D863" s="21">
        <v>297.0</v>
      </c>
      <c r="E863" s="20">
        <v>9.0239464E7</v>
      </c>
      <c r="F863" s="20">
        <v>9.0239464E7</v>
      </c>
      <c r="G863" s="20" t="s">
        <v>1810</v>
      </c>
      <c r="H863" s="20" t="s">
        <v>1811</v>
      </c>
      <c r="I863" s="1" t="str">
        <f>VLOOKUP(C863,'mayo-26'!B:H,7,0)</f>
        <v>AVE 3 16-39 41 HOGAR INFANTIL</v>
      </c>
      <c r="J863" s="1" t="s">
        <v>343</v>
      </c>
      <c r="K863" s="10" t="str">
        <f>VLOOKUP(C863,'mayo-26'!B:J,9,0)</f>
        <v>NO</v>
      </c>
      <c r="L863" s="1" t="str">
        <f>VLOOKUP(C863,'mayo-26'!B:K,10,0)</f>
        <v>NO</v>
      </c>
      <c r="M863" s="20" t="s">
        <v>52</v>
      </c>
      <c r="N863" s="20" t="s">
        <v>89</v>
      </c>
      <c r="O863" s="20" t="s">
        <v>861</v>
      </c>
      <c r="P863" s="20" t="s">
        <v>126</v>
      </c>
      <c r="Q863" s="20" t="s">
        <v>131</v>
      </c>
      <c r="R863" s="20" t="s">
        <v>151</v>
      </c>
      <c r="S863" s="20" t="s">
        <v>133</v>
      </c>
      <c r="T863" s="20" t="s">
        <v>59</v>
      </c>
      <c r="U863" s="20">
        <v>2026.0</v>
      </c>
      <c r="V863" s="20">
        <v>6.0</v>
      </c>
      <c r="W863" s="20">
        <v>1.081875441E9</v>
      </c>
      <c r="X863" s="20">
        <v>1.081893913E9</v>
      </c>
      <c r="Y863" s="22">
        <v>46182.0</v>
      </c>
      <c r="Z863" s="22">
        <v>46207.0</v>
      </c>
      <c r="AA863" s="20">
        <v>75419.0</v>
      </c>
      <c r="AB863" s="20">
        <v>75419.0</v>
      </c>
      <c r="AC863" s="20">
        <v>0.0</v>
      </c>
      <c r="AD863" s="20">
        <v>0.0</v>
      </c>
      <c r="AE863" s="20">
        <v>0.0</v>
      </c>
      <c r="AF863" s="20">
        <v>0.0</v>
      </c>
      <c r="AG863" s="20">
        <v>0.0</v>
      </c>
      <c r="AH863" s="20">
        <v>0.0</v>
      </c>
      <c r="AI863" s="20">
        <v>0.0</v>
      </c>
      <c r="AJ863" s="20">
        <v>75419.0</v>
      </c>
      <c r="AK863" s="20">
        <v>1280020.23</v>
      </c>
      <c r="AL863" s="20">
        <v>18.0</v>
      </c>
      <c r="AM863" s="20">
        <v>250.8</v>
      </c>
      <c r="AN863" s="20">
        <v>0.0</v>
      </c>
      <c r="AS863" s="11" t="str">
        <f>VLOOKUP(C863,'mayo-26'!B:AS,44,0)</f>
        <v>hogarmarie33@hotmail.com</v>
      </c>
      <c r="AT863" s="12" t="str">
        <f>VLOOKUP(C863,'mayo-26'!B:AT,45,0)</f>
        <v>CORREO ELECTRONICO CERTIFICADO 472</v>
      </c>
    </row>
    <row r="864" ht="14.25" customHeight="1">
      <c r="A864" s="20" t="s">
        <v>1812</v>
      </c>
      <c r="B864" s="20">
        <v>635.0</v>
      </c>
      <c r="C864" s="20">
        <v>309.0</v>
      </c>
      <c r="D864" s="21">
        <v>309.0</v>
      </c>
      <c r="E864" s="20">
        <v>9.0240109E7</v>
      </c>
      <c r="F864" s="20">
        <v>9.0240109E7</v>
      </c>
      <c r="G864" s="20" t="s">
        <v>1399</v>
      </c>
      <c r="H864" s="20" t="s">
        <v>1400</v>
      </c>
      <c r="I864" s="1" t="str">
        <f>VLOOKUP(C864,'mayo-26'!B:H,7,0)</f>
        <v>L50 CC JARDIN PLAZA</v>
      </c>
      <c r="J864" s="1" t="s">
        <v>982</v>
      </c>
      <c r="K864" s="10" t="str">
        <f>VLOOKUP(C864,'mayo-26'!B:J,9,0)</f>
        <v>NO</v>
      </c>
      <c r="L864" s="1" t="str">
        <f>VLOOKUP(C864,'mayo-26'!B:K,10,0)</f>
        <v>VERTEBRA</v>
      </c>
      <c r="M864" s="20" t="s">
        <v>52</v>
      </c>
      <c r="N864" s="20" t="s">
        <v>53</v>
      </c>
      <c r="O864" s="20" t="s">
        <v>861</v>
      </c>
      <c r="P864" s="20" t="s">
        <v>126</v>
      </c>
      <c r="Q864" s="20" t="s">
        <v>56</v>
      </c>
      <c r="R864" s="20" t="s">
        <v>90</v>
      </c>
      <c r="S864" s="20" t="s">
        <v>143</v>
      </c>
      <c r="T864" s="20" t="s">
        <v>59</v>
      </c>
      <c r="U864" s="20">
        <v>2026.0</v>
      </c>
      <c r="V864" s="20">
        <v>6.0</v>
      </c>
      <c r="W864" s="20">
        <v>1.081875445E9</v>
      </c>
      <c r="X864" s="20">
        <v>1.081893917E9</v>
      </c>
      <c r="Y864" s="22">
        <v>46182.0</v>
      </c>
      <c r="Z864" s="22">
        <v>46207.0</v>
      </c>
      <c r="AA864" s="20">
        <v>132757.15</v>
      </c>
      <c r="AB864" s="20">
        <v>132757.15</v>
      </c>
      <c r="AC864" s="20">
        <v>44252.39</v>
      </c>
      <c r="AD864" s="20">
        <v>268.0</v>
      </c>
      <c r="AE864" s="20">
        <v>0.0</v>
      </c>
      <c r="AF864" s="20">
        <v>0.0</v>
      </c>
      <c r="AG864" s="20">
        <v>0.0</v>
      </c>
      <c r="AH864" s="20">
        <v>0.0</v>
      </c>
      <c r="AI864" s="20">
        <v>0.0</v>
      </c>
      <c r="AJ864" s="20">
        <v>132757.15</v>
      </c>
      <c r="AK864" s="20">
        <v>132757.15</v>
      </c>
      <c r="AL864" s="20">
        <v>0.0</v>
      </c>
      <c r="AM864" s="20">
        <v>376.2</v>
      </c>
      <c r="AN864" s="20">
        <v>0.0</v>
      </c>
      <c r="AS864" s="11" t="str">
        <f>VLOOKUP(C864,'mayo-26'!B:AS,44,0)</f>
        <v>FACTURAS@VERTEBRA.TECH</v>
      </c>
      <c r="AT864" s="12" t="str">
        <f>VLOOKUP(C864,'mayo-26'!B:AT,45,0)</f>
        <v>CORREO ELECTRONICO CERTIFICADO 472</v>
      </c>
    </row>
    <row r="865" ht="14.25" customHeight="1">
      <c r="A865" s="20" t="s">
        <v>1813</v>
      </c>
      <c r="B865" s="20">
        <v>314.0</v>
      </c>
      <c r="C865" s="20">
        <v>313.0</v>
      </c>
      <c r="D865" s="21">
        <v>313.0</v>
      </c>
      <c r="E865" s="20">
        <v>9.0240181E7</v>
      </c>
      <c r="F865" s="20">
        <v>9.0240181E7</v>
      </c>
      <c r="G865" s="20" t="s">
        <v>1814</v>
      </c>
      <c r="H865" s="20" t="s">
        <v>1815</v>
      </c>
      <c r="I865" s="1" t="str">
        <f>VLOOKUP(C865,'mayo-26'!B:H,7,0)</f>
        <v>AV O CLL 10 EDIFICIO ROSETAL</v>
      </c>
      <c r="J865" s="1" t="s">
        <v>343</v>
      </c>
      <c r="K865" s="10" t="str">
        <f>VLOOKUP(C865,'mayo-26'!B:J,9,0)</f>
        <v>NO</v>
      </c>
      <c r="L865" s="1" t="str">
        <f>VLOOKUP(C865,'mayo-26'!B:K,10,0)</f>
        <v>NO</v>
      </c>
      <c r="M865" s="20" t="s">
        <v>52</v>
      </c>
      <c r="N865" s="20" t="s">
        <v>89</v>
      </c>
      <c r="O865" s="20" t="s">
        <v>861</v>
      </c>
      <c r="P865" s="20" t="s">
        <v>126</v>
      </c>
      <c r="Q865" s="20" t="s">
        <v>131</v>
      </c>
      <c r="R865" s="20" t="s">
        <v>151</v>
      </c>
      <c r="S865" s="20" t="s">
        <v>133</v>
      </c>
      <c r="T865" s="20" t="s">
        <v>59</v>
      </c>
      <c r="U865" s="20">
        <v>2026.0</v>
      </c>
      <c r="V865" s="20">
        <v>6.0</v>
      </c>
      <c r="W865" s="20">
        <v>1.081875448E9</v>
      </c>
      <c r="X865" s="20">
        <v>1.08189392E9</v>
      </c>
      <c r="Y865" s="22">
        <v>46182.0</v>
      </c>
      <c r="Z865" s="22">
        <v>46207.0</v>
      </c>
      <c r="AA865" s="20">
        <v>75419.0</v>
      </c>
      <c r="AB865" s="20">
        <v>75419.0</v>
      </c>
      <c r="AC865" s="20">
        <v>0.0</v>
      </c>
      <c r="AD865" s="20">
        <v>0.0</v>
      </c>
      <c r="AE865" s="20">
        <v>0.0</v>
      </c>
      <c r="AF865" s="20">
        <v>0.0</v>
      </c>
      <c r="AG865" s="20">
        <v>0.0</v>
      </c>
      <c r="AH865" s="20">
        <v>0.0</v>
      </c>
      <c r="AI865" s="20">
        <v>0.0</v>
      </c>
      <c r="AJ865" s="20">
        <v>75419.0</v>
      </c>
      <c r="AK865" s="20">
        <v>75419.0</v>
      </c>
      <c r="AL865" s="20">
        <v>0.0</v>
      </c>
      <c r="AM865" s="20">
        <v>250.8</v>
      </c>
      <c r="AN865" s="20">
        <v>0.0</v>
      </c>
      <c r="AS865" s="11" t="str">
        <f>VLOOKUP(C865,'mayo-26'!B:AS,44,0)</f>
        <v>mparada@prosperidadsocial.gov.co</v>
      </c>
      <c r="AT865" s="12" t="str">
        <f>VLOOKUP(C865,'mayo-26'!B:AT,45,0)</f>
        <v>CORREO ELECTRONICO CERTIFICADO 472</v>
      </c>
    </row>
    <row r="866" ht="14.25" customHeight="1">
      <c r="A866" s="20" t="s">
        <v>1816</v>
      </c>
      <c r="B866" s="20">
        <v>318.0</v>
      </c>
      <c r="C866" s="20">
        <v>317.0</v>
      </c>
      <c r="D866" s="21">
        <v>317.0</v>
      </c>
      <c r="E866" s="20">
        <v>9.0240346E7</v>
      </c>
      <c r="F866" s="20">
        <v>9.0240346E7</v>
      </c>
      <c r="G866" s="20" t="s">
        <v>875</v>
      </c>
      <c r="H866" s="20" t="s">
        <v>1817</v>
      </c>
      <c r="I866" s="1" t="str">
        <f>VLOOKUP(C866,'mayo-26'!B:H,7,0)</f>
        <v>CLL 13 1-10</v>
      </c>
      <c r="J866" s="1" t="s">
        <v>343</v>
      </c>
      <c r="K866" s="10" t="str">
        <f>VLOOKUP(C866,'mayo-26'!B:J,9,0)</f>
        <v>NO</v>
      </c>
      <c r="L866" s="1" t="str">
        <f>VLOOKUP(C866,'mayo-26'!B:K,10,0)</f>
        <v>ENTIDADES</v>
      </c>
      <c r="M866" s="20" t="s">
        <v>52</v>
      </c>
      <c r="N866" s="20" t="s">
        <v>89</v>
      </c>
      <c r="O866" s="20" t="s">
        <v>861</v>
      </c>
      <c r="P866" s="20" t="s">
        <v>126</v>
      </c>
      <c r="Q866" s="20" t="s">
        <v>131</v>
      </c>
      <c r="R866" s="20" t="s">
        <v>151</v>
      </c>
      <c r="S866" s="20" t="s">
        <v>133</v>
      </c>
      <c r="T866" s="20" t="s">
        <v>59</v>
      </c>
      <c r="U866" s="20">
        <v>2026.0</v>
      </c>
      <c r="V866" s="20">
        <v>6.0</v>
      </c>
      <c r="W866" s="20">
        <v>1.081875453E9</v>
      </c>
      <c r="X866" s="20">
        <v>1.081893925E9</v>
      </c>
      <c r="Y866" s="22">
        <v>46182.0</v>
      </c>
      <c r="Z866" s="22">
        <v>46207.0</v>
      </c>
      <c r="AA866" s="20">
        <v>75419.0</v>
      </c>
      <c r="AB866" s="20">
        <v>75419.0</v>
      </c>
      <c r="AC866" s="20">
        <v>0.0</v>
      </c>
      <c r="AD866" s="20">
        <v>0.0</v>
      </c>
      <c r="AE866" s="20">
        <v>0.0</v>
      </c>
      <c r="AF866" s="20">
        <v>0.0</v>
      </c>
      <c r="AG866" s="20">
        <v>0.0</v>
      </c>
      <c r="AH866" s="20">
        <v>0.0</v>
      </c>
      <c r="AI866" s="20">
        <v>0.0</v>
      </c>
      <c r="AJ866" s="20">
        <v>75419.0</v>
      </c>
      <c r="AK866" s="20">
        <v>252286.0</v>
      </c>
      <c r="AL866" s="20">
        <v>3.0</v>
      </c>
      <c r="AM866" s="20">
        <v>250.8</v>
      </c>
      <c r="AN866" s="20">
        <v>0.0</v>
      </c>
      <c r="AS866" s="11" t="str">
        <f>VLOOKUP(C866,'mayo-26'!B:AS,44,0)</f>
        <v>hernando.vergara@cucuta.gov.co</v>
      </c>
      <c r="AT866" s="12" t="str">
        <f>VLOOKUP(C866,'mayo-26'!B:AT,45,0)</f>
        <v>CARTERA</v>
      </c>
    </row>
    <row r="867" ht="14.25" customHeight="1">
      <c r="A867" s="20" t="s">
        <v>1818</v>
      </c>
      <c r="B867" s="20">
        <v>455370.0</v>
      </c>
      <c r="C867" s="20">
        <v>321.0</v>
      </c>
      <c r="D867" s="21">
        <v>321.0</v>
      </c>
      <c r="E867" s="20">
        <v>9.0240651E7</v>
      </c>
      <c r="F867" s="20">
        <v>9.0240651E7</v>
      </c>
      <c r="G867" s="20" t="s">
        <v>148</v>
      </c>
      <c r="H867" s="20" t="s">
        <v>149</v>
      </c>
      <c r="I867" s="1" t="str">
        <f>VLOOKUP(C867,'mayo-26'!B:H,7,0)</f>
        <v>CALLE 10 NO 0E-16 EDF CENTRO EMPRESARIAL BLOQUE B HOTEL TONCHALA</v>
      </c>
      <c r="J867" s="1" t="s">
        <v>343</v>
      </c>
      <c r="K867" s="10" t="str">
        <f>VLOOKUP(C867,'mayo-26'!B:J,9,0)</f>
        <v>NO</v>
      </c>
      <c r="L867" s="1" t="str">
        <f>VLOOKUP(C867,'mayo-26'!B:K,10,0)</f>
        <v>COLEGIOS ZONA SUR</v>
      </c>
      <c r="M867" s="20" t="s">
        <v>52</v>
      </c>
      <c r="N867" s="20" t="s">
        <v>53</v>
      </c>
      <c r="O867" s="20" t="s">
        <v>861</v>
      </c>
      <c r="P867" s="20" t="s">
        <v>126</v>
      </c>
      <c r="Q867" s="20" t="s">
        <v>56</v>
      </c>
      <c r="R867" s="20" t="s">
        <v>57</v>
      </c>
      <c r="S867" s="20" t="s">
        <v>143</v>
      </c>
      <c r="T867" s="20" t="s">
        <v>59</v>
      </c>
      <c r="U867" s="20">
        <v>2026.0</v>
      </c>
      <c r="V867" s="20">
        <v>6.0</v>
      </c>
      <c r="W867" s="20">
        <v>1.081875457E9</v>
      </c>
      <c r="X867" s="20">
        <v>1.081893929E9</v>
      </c>
      <c r="Y867" s="22">
        <v>46182.0</v>
      </c>
      <c r="Z867" s="22">
        <v>46207.0</v>
      </c>
      <c r="AA867" s="20">
        <v>585117.15</v>
      </c>
      <c r="AB867" s="20">
        <v>585117.15</v>
      </c>
      <c r="AC867" s="20">
        <v>0.0</v>
      </c>
      <c r="AD867" s="20">
        <v>2885.0</v>
      </c>
      <c r="AE867" s="20">
        <v>0.0</v>
      </c>
      <c r="AF867" s="20">
        <v>0.0</v>
      </c>
      <c r="AG867" s="20">
        <v>0.0</v>
      </c>
      <c r="AH867" s="20">
        <v>0.0</v>
      </c>
      <c r="AI867" s="20">
        <v>0.0</v>
      </c>
      <c r="AJ867" s="20">
        <v>585117.15</v>
      </c>
      <c r="AK867" s="20">
        <v>1743418.5</v>
      </c>
      <c r="AL867" s="20">
        <v>3.0</v>
      </c>
      <c r="AM867" s="20">
        <v>250.8</v>
      </c>
      <c r="AN867" s="20">
        <v>0.0</v>
      </c>
      <c r="AS867" s="11" t="str">
        <f>VLOOKUP(C867,'mayo-26'!B:AS,44,0)</f>
        <v>AREAFINANCIERA@SEMCUCUTA.GOV.CO</v>
      </c>
      <c r="AT867" s="12" t="str">
        <f>VLOOKUP(C867,'mayo-26'!B:AT,45,0)</f>
        <v>CARTERA</v>
      </c>
    </row>
    <row r="868" ht="14.25" customHeight="1">
      <c r="A868" s="20" t="s">
        <v>1819</v>
      </c>
      <c r="B868" s="20">
        <v>326.0</v>
      </c>
      <c r="C868" s="20">
        <v>325.0</v>
      </c>
      <c r="D868" s="21">
        <v>325.0</v>
      </c>
      <c r="E868" s="20">
        <v>9.0240854E7</v>
      </c>
      <c r="F868" s="20">
        <v>9.0240854E7</v>
      </c>
      <c r="G868" s="20">
        <v>5380605.0</v>
      </c>
      <c r="H868" s="20" t="s">
        <v>1820</v>
      </c>
      <c r="I868" s="1" t="str">
        <f>VLOOKUP(C868,'mayo-26'!B:H,7,0)</f>
        <v>CLL 10 2-75 HOTEL ACORA</v>
      </c>
      <c r="J868" s="1" t="s">
        <v>343</v>
      </c>
      <c r="K868" s="10" t="str">
        <f>VLOOKUP(C868,'mayo-26'!B:J,9,0)</f>
        <v>NO</v>
      </c>
      <c r="L868" s="1" t="str">
        <f>VLOOKUP(C868,'mayo-26'!B:K,10,0)</f>
        <v>NO</v>
      </c>
      <c r="M868" s="20" t="s">
        <v>52</v>
      </c>
      <c r="N868" s="20" t="s">
        <v>89</v>
      </c>
      <c r="O868" s="20" t="s">
        <v>861</v>
      </c>
      <c r="P868" s="20" t="s">
        <v>126</v>
      </c>
      <c r="Q868" s="20" t="s">
        <v>131</v>
      </c>
      <c r="R868" s="20" t="s">
        <v>132</v>
      </c>
      <c r="S868" s="20" t="s">
        <v>133</v>
      </c>
      <c r="T868" s="20" t="s">
        <v>59</v>
      </c>
      <c r="U868" s="20">
        <v>2026.0</v>
      </c>
      <c r="V868" s="20">
        <v>6.0</v>
      </c>
      <c r="W868" s="20">
        <v>1.081875462E9</v>
      </c>
      <c r="X868" s="20">
        <v>1.081893934E9</v>
      </c>
      <c r="Y868" s="22">
        <v>46182.0</v>
      </c>
      <c r="Z868" s="22">
        <v>46207.0</v>
      </c>
      <c r="AA868" s="20">
        <v>113128.5</v>
      </c>
      <c r="AB868" s="20">
        <v>113128.5</v>
      </c>
      <c r="AC868" s="20">
        <v>37709.5</v>
      </c>
      <c r="AD868" s="20">
        <v>0.0</v>
      </c>
      <c r="AE868" s="20">
        <v>0.0</v>
      </c>
      <c r="AF868" s="20">
        <v>0.0</v>
      </c>
      <c r="AG868" s="20">
        <v>0.0</v>
      </c>
      <c r="AH868" s="20">
        <v>0.0</v>
      </c>
      <c r="AI868" s="20">
        <v>0.0</v>
      </c>
      <c r="AJ868" s="20">
        <v>113128.5</v>
      </c>
      <c r="AK868" s="20">
        <v>113129.31</v>
      </c>
      <c r="AL868" s="20">
        <v>1.0</v>
      </c>
      <c r="AM868" s="20">
        <v>376.2</v>
      </c>
      <c r="AN868" s="20">
        <v>0.0</v>
      </c>
      <c r="AS868" s="11" t="str">
        <f>VLOOKUP(C868,'mayo-26'!B:AS,44,0)</f>
        <v>hotelacora@hotmail.com</v>
      </c>
      <c r="AT868" s="12" t="str">
        <f>VLOOKUP(C868,'mayo-26'!B:AT,45,0)</f>
        <v>CORREO ELECTRONICO CERTIFICADO 472</v>
      </c>
    </row>
    <row r="869" ht="14.25" customHeight="1">
      <c r="A869" s="20" t="s">
        <v>1821</v>
      </c>
      <c r="B869" s="20">
        <v>699.0</v>
      </c>
      <c r="C869" s="20">
        <v>32693.0</v>
      </c>
      <c r="D869" s="21">
        <v>32693.0</v>
      </c>
      <c r="E869" s="20">
        <v>96775.0</v>
      </c>
      <c r="F869" s="20">
        <v>96775.0</v>
      </c>
      <c r="G869" s="20">
        <v>9.00480569E8</v>
      </c>
      <c r="H869" s="20" t="s">
        <v>141</v>
      </c>
      <c r="I869" s="1" t="str">
        <f>VLOOKUP(C869,'mayo-26'!B:H,7,0)</f>
        <v>CLL 12 4-52 CENTRO</v>
      </c>
      <c r="J869" s="1" t="s">
        <v>873</v>
      </c>
      <c r="K869" s="10" t="str">
        <f>VLOOKUP(C869,'mayo-26'!B:J,9,0)</f>
        <v>NO</v>
      </c>
      <c r="L869" s="1" t="str">
        <f>VLOOKUP(C869,'mayo-26'!B:K,10,0)</f>
        <v>ARA CUCUTA</v>
      </c>
      <c r="M869" s="20" t="s">
        <v>52</v>
      </c>
      <c r="N869" s="20" t="s">
        <v>53</v>
      </c>
      <c r="O869" s="20" t="s">
        <v>861</v>
      </c>
      <c r="P869" s="20" t="s">
        <v>126</v>
      </c>
      <c r="Q869" s="20" t="s">
        <v>56</v>
      </c>
      <c r="R869" s="20" t="s">
        <v>90</v>
      </c>
      <c r="S869" s="20" t="s">
        <v>143</v>
      </c>
      <c r="T869" s="20" t="s">
        <v>59</v>
      </c>
      <c r="U869" s="20">
        <v>2026.0</v>
      </c>
      <c r="V869" s="20">
        <v>6.0</v>
      </c>
      <c r="W869" s="20">
        <v>1.081875679E9</v>
      </c>
      <c r="X869" s="20">
        <v>1.081894151E9</v>
      </c>
      <c r="Y869" s="22">
        <v>46182.0</v>
      </c>
      <c r="Z869" s="22">
        <v>46207.0</v>
      </c>
      <c r="AA869" s="20">
        <v>578228.13</v>
      </c>
      <c r="AB869" s="20">
        <v>578228.13</v>
      </c>
      <c r="AC869" s="20">
        <v>192742.71</v>
      </c>
      <c r="AD869" s="20">
        <v>1833.0</v>
      </c>
      <c r="AE869" s="20">
        <v>0.01</v>
      </c>
      <c r="AF869" s="20">
        <v>0.0</v>
      </c>
      <c r="AG869" s="20">
        <v>0.0</v>
      </c>
      <c r="AH869" s="20">
        <v>0.0</v>
      </c>
      <c r="AI869" s="20">
        <v>0.0</v>
      </c>
      <c r="AJ869" s="20">
        <v>578228.13</v>
      </c>
      <c r="AK869" s="20">
        <v>1178000.22</v>
      </c>
      <c r="AL869" s="20">
        <v>2.0</v>
      </c>
      <c r="AM869" s="20">
        <v>376.2</v>
      </c>
      <c r="AN869" s="20">
        <v>0.0</v>
      </c>
      <c r="AS869" s="11" t="str">
        <f>VLOOKUP(C869,'mayo-26'!B:AS,44,0)</f>
        <v>COORDINADOR.OPERACIONES.R11@JERONIMO-MARTINS.COM</v>
      </c>
      <c r="AT869" s="12" t="str">
        <f>VLOOKUP(C869,'mayo-26'!B:AT,45,0)</f>
        <v>CORREO ELECTRONICO CERTIFICADO 472</v>
      </c>
    </row>
    <row r="870" ht="14.25" customHeight="1">
      <c r="A870" s="20" t="s">
        <v>1822</v>
      </c>
      <c r="B870" s="20">
        <v>330.0</v>
      </c>
      <c r="C870" s="20">
        <v>329.0</v>
      </c>
      <c r="D870" s="21">
        <v>329.0</v>
      </c>
      <c r="E870" s="20">
        <v>9.0240881E7</v>
      </c>
      <c r="F870" s="20">
        <v>9.0240881E7</v>
      </c>
      <c r="G870" s="20">
        <v>9.0240881E7</v>
      </c>
      <c r="H870" s="20" t="s">
        <v>1274</v>
      </c>
      <c r="I870" s="1" t="str">
        <f>VLOOKUP(C870,'mayo-26'!B:H,7,0)</f>
        <v>AVE 2 10-47 LOCAL.101</v>
      </c>
      <c r="J870" s="1" t="s">
        <v>343</v>
      </c>
      <c r="K870" s="10" t="str">
        <f>VLOOKUP(C870,'mayo-26'!B:J,9,0)</f>
        <v>CENTRO</v>
      </c>
      <c r="L870" s="1" t="str">
        <f>VLOOKUP(C870,'mayo-26'!B:K,10,0)</f>
        <v>CENTRO</v>
      </c>
      <c r="M870" s="20" t="s">
        <v>52</v>
      </c>
      <c r="N870" s="20" t="s">
        <v>89</v>
      </c>
      <c r="O870" s="20" t="s">
        <v>861</v>
      </c>
      <c r="P870" s="20" t="s">
        <v>126</v>
      </c>
      <c r="Q870" s="20" t="s">
        <v>131</v>
      </c>
      <c r="R870" s="20" t="s">
        <v>363</v>
      </c>
      <c r="S870" s="20" t="s">
        <v>133</v>
      </c>
      <c r="T870" s="20" t="s">
        <v>59</v>
      </c>
      <c r="U870" s="20">
        <v>2026.0</v>
      </c>
      <c r="V870" s="20">
        <v>6.0</v>
      </c>
      <c r="W870" s="20">
        <v>1.081875467E9</v>
      </c>
      <c r="X870" s="20">
        <v>1.081893939E9</v>
      </c>
      <c r="Y870" s="22">
        <v>46182.0</v>
      </c>
      <c r="Z870" s="22">
        <v>46207.0</v>
      </c>
      <c r="AA870" s="20">
        <v>75366.0</v>
      </c>
      <c r="AB870" s="20">
        <v>75366.0</v>
      </c>
      <c r="AC870" s="20">
        <v>25122.0</v>
      </c>
      <c r="AD870" s="20">
        <v>0.0</v>
      </c>
      <c r="AE870" s="20">
        <v>0.0</v>
      </c>
      <c r="AF870" s="20">
        <v>0.0</v>
      </c>
      <c r="AG870" s="20">
        <v>0.0</v>
      </c>
      <c r="AH870" s="20">
        <v>0.0</v>
      </c>
      <c r="AI870" s="20">
        <v>0.0</v>
      </c>
      <c r="AJ870" s="20">
        <v>75366.0</v>
      </c>
      <c r="AK870" s="20">
        <v>75366.0</v>
      </c>
      <c r="AL870" s="20">
        <v>0.0</v>
      </c>
      <c r="AM870" s="20">
        <v>376.2</v>
      </c>
      <c r="AN870" s="20">
        <v>0.0</v>
      </c>
      <c r="AS870" s="11" t="str">
        <f>VLOOKUP(C870,'mayo-26'!B:AS,44,0)</f>
        <v>#ERROR!</v>
      </c>
      <c r="AT870" s="12" t="str">
        <f>VLOOKUP(C870,'mayo-26'!B:AT,45,0)</f>
        <v>VERIFICADOR</v>
      </c>
    </row>
    <row r="871" ht="14.25" customHeight="1">
      <c r="A871" s="20" t="s">
        <v>1823</v>
      </c>
      <c r="B871" s="20">
        <v>455370.0</v>
      </c>
      <c r="C871" s="20">
        <v>337.0</v>
      </c>
      <c r="D871" s="21">
        <v>337.0</v>
      </c>
      <c r="E871" s="20">
        <v>9.0241161E7</v>
      </c>
      <c r="F871" s="20">
        <v>9.0241161E7</v>
      </c>
      <c r="G871" s="20" t="s">
        <v>148</v>
      </c>
      <c r="H871" s="20" t="s">
        <v>149</v>
      </c>
      <c r="I871" s="1" t="str">
        <f>VLOOKUP(C871,'mayo-26'!B:H,7,0)</f>
        <v>CALLE 10 NO 0E-16 EDF CENTRO EMPRESARIAL BLOQUE B HOTEL TONCHALA</v>
      </c>
      <c r="J871" s="1" t="s">
        <v>443</v>
      </c>
      <c r="K871" s="10" t="str">
        <f>VLOOKUP(C871,'mayo-26'!B:J,9,0)</f>
        <v>NO</v>
      </c>
      <c r="L871" s="1" t="str">
        <f>VLOOKUP(C871,'mayo-26'!B:K,10,0)</f>
        <v>COLEGIOS ZONA SUR</v>
      </c>
      <c r="M871" s="20" t="s">
        <v>52</v>
      </c>
      <c r="N871" s="20" t="s">
        <v>53</v>
      </c>
      <c r="O871" s="20" t="s">
        <v>861</v>
      </c>
      <c r="P871" s="20" t="s">
        <v>126</v>
      </c>
      <c r="Q871" s="20" t="s">
        <v>56</v>
      </c>
      <c r="R871" s="20" t="s">
        <v>57</v>
      </c>
      <c r="S871" s="20" t="s">
        <v>143</v>
      </c>
      <c r="T871" s="20" t="s">
        <v>59</v>
      </c>
      <c r="U871" s="20">
        <v>2026.0</v>
      </c>
      <c r="V871" s="20">
        <v>6.0</v>
      </c>
      <c r="W871" s="20">
        <v>1.081875471E9</v>
      </c>
      <c r="X871" s="20">
        <v>1.081893943E9</v>
      </c>
      <c r="Y871" s="22">
        <v>46182.0</v>
      </c>
      <c r="Z871" s="22">
        <v>46207.0</v>
      </c>
      <c r="AA871" s="20">
        <v>380172.03</v>
      </c>
      <c r="AB871" s="20">
        <v>380172.03</v>
      </c>
      <c r="AC871" s="20">
        <v>0.0</v>
      </c>
      <c r="AD871" s="20">
        <v>1805.0</v>
      </c>
      <c r="AE871" s="20">
        <v>0.0</v>
      </c>
      <c r="AF871" s="20">
        <v>0.0</v>
      </c>
      <c r="AG871" s="20">
        <v>0.0</v>
      </c>
      <c r="AH871" s="20">
        <v>0.0</v>
      </c>
      <c r="AI871" s="20">
        <v>0.0</v>
      </c>
      <c r="AJ871" s="20">
        <v>380172.03</v>
      </c>
      <c r="AK871" s="20">
        <v>1133404.26</v>
      </c>
      <c r="AL871" s="20">
        <v>3.0</v>
      </c>
      <c r="AM871" s="20">
        <v>250.8</v>
      </c>
      <c r="AN871" s="20">
        <v>0.0</v>
      </c>
      <c r="AS871" s="11" t="str">
        <f>VLOOKUP(C871,'mayo-26'!B:AS,44,0)</f>
        <v>AREAFINANCIERA@SEMCUCUTA.GOV.CO</v>
      </c>
      <c r="AT871" s="12" t="str">
        <f>VLOOKUP(C871,'mayo-26'!B:AT,45,0)</f>
        <v>CARTERA</v>
      </c>
    </row>
    <row r="872" ht="14.25" customHeight="1">
      <c r="A872" s="20" t="s">
        <v>1824</v>
      </c>
      <c r="B872" s="20">
        <v>455370.0</v>
      </c>
      <c r="C872" s="20">
        <v>338221.0</v>
      </c>
      <c r="D872" s="21">
        <v>338221.0</v>
      </c>
      <c r="E872" s="20">
        <v>115694.0</v>
      </c>
      <c r="F872" s="20">
        <v>115694.0</v>
      </c>
      <c r="G872" s="20" t="s">
        <v>148</v>
      </c>
      <c r="H872" s="20" t="s">
        <v>149</v>
      </c>
      <c r="I872" s="1" t="str">
        <f>VLOOKUP(C872,'mayo-26'!B:H,7,0)</f>
        <v>CALLE 10 NO 0E-16 EDF CENTRO EMPRESARIAL BLOQUE B HOTEL TONCHALA</v>
      </c>
      <c r="J872" s="1" t="s">
        <v>1193</v>
      </c>
      <c r="K872" s="10" t="str">
        <f>VLOOKUP(C872,'mayo-26'!B:J,9,0)</f>
        <v>NO</v>
      </c>
      <c r="L872" s="1" t="str">
        <f>VLOOKUP(C872,'mayo-26'!B:K,10,0)</f>
        <v>COLEGIOS ZONA SUR</v>
      </c>
      <c r="M872" s="20" t="s">
        <v>52</v>
      </c>
      <c r="N872" s="20" t="s">
        <v>1060</v>
      </c>
      <c r="O872" s="20" t="s">
        <v>861</v>
      </c>
      <c r="P872" s="20" t="s">
        <v>126</v>
      </c>
      <c r="Q872" s="20" t="s">
        <v>56</v>
      </c>
      <c r="R872" s="20" t="s">
        <v>57</v>
      </c>
      <c r="S872" s="20" t="s">
        <v>143</v>
      </c>
      <c r="T872" s="20" t="s">
        <v>59</v>
      </c>
      <c r="U872" s="20">
        <v>2026.0</v>
      </c>
      <c r="V872" s="20">
        <v>6.0</v>
      </c>
      <c r="W872" s="20">
        <v>1.08187576E9</v>
      </c>
      <c r="X872" s="20">
        <v>1.081894232E9</v>
      </c>
      <c r="Y872" s="22">
        <v>46182.0</v>
      </c>
      <c r="Z872" s="22">
        <v>46207.0</v>
      </c>
      <c r="AA872" s="20">
        <v>51807.29</v>
      </c>
      <c r="AB872" s="20">
        <v>51807.29</v>
      </c>
      <c r="AC872" s="20">
        <v>0.0</v>
      </c>
      <c r="AD872" s="20">
        <v>253.0</v>
      </c>
      <c r="AE872" s="20">
        <v>0.0</v>
      </c>
      <c r="AF872" s="20">
        <v>0.0</v>
      </c>
      <c r="AG872" s="20">
        <v>0.0</v>
      </c>
      <c r="AH872" s="20">
        <v>0.0</v>
      </c>
      <c r="AI872" s="20">
        <v>0.0</v>
      </c>
      <c r="AJ872" s="20">
        <v>51807.29</v>
      </c>
      <c r="AK872" s="20">
        <v>154191.18</v>
      </c>
      <c r="AL872" s="20">
        <v>3.0</v>
      </c>
      <c r="AM872" s="20">
        <v>250.8</v>
      </c>
      <c r="AN872" s="20">
        <v>0.0</v>
      </c>
      <c r="AS872" s="11" t="str">
        <f>VLOOKUP(C872,'mayo-26'!B:AS,44,0)</f>
        <v>AREAFINANCIERA@SEMCUCUTA.GOV.CO</v>
      </c>
      <c r="AT872" s="12" t="str">
        <f>VLOOKUP(C872,'mayo-26'!B:AT,45,0)</f>
        <v>CARTERA</v>
      </c>
    </row>
    <row r="873" ht="14.25" customHeight="1">
      <c r="A873" s="20" t="s">
        <v>1825</v>
      </c>
      <c r="B873" s="20">
        <v>341730.0</v>
      </c>
      <c r="C873" s="20">
        <v>341729.0</v>
      </c>
      <c r="D873" s="21">
        <v>341729.0</v>
      </c>
      <c r="E873" s="20">
        <v>17411.0</v>
      </c>
      <c r="F873" s="20">
        <v>17411.0</v>
      </c>
      <c r="G873" s="20">
        <v>8.07005857E8</v>
      </c>
      <c r="H873" s="20" t="s">
        <v>1826</v>
      </c>
      <c r="I873" s="1" t="str">
        <f>VLOOKUP(C873,'mayo-26'!B:H,7,0)</f>
        <v>CLL 9 10-14 1004</v>
      </c>
      <c r="J873" s="1" t="s">
        <v>860</v>
      </c>
      <c r="K873" s="10" t="str">
        <f>VLOOKUP(C873,'mayo-26'!B:J,9,0)</f>
        <v>CENTRO</v>
      </c>
      <c r="L873" s="1" t="str">
        <f>VLOOKUP(C873,'mayo-26'!B:K,10,0)</f>
        <v>CENTRO</v>
      </c>
      <c r="M873" s="20" t="s">
        <v>52</v>
      </c>
      <c r="N873" s="20" t="s">
        <v>89</v>
      </c>
      <c r="O873" s="20" t="s">
        <v>861</v>
      </c>
      <c r="P873" s="20" t="s">
        <v>126</v>
      </c>
      <c r="Q873" s="20" t="s">
        <v>131</v>
      </c>
      <c r="R873" s="20" t="s">
        <v>132</v>
      </c>
      <c r="S873" s="20" t="s">
        <v>133</v>
      </c>
      <c r="T873" s="20" t="s">
        <v>59</v>
      </c>
      <c r="U873" s="20">
        <v>2026.0</v>
      </c>
      <c r="V873" s="20">
        <v>6.0</v>
      </c>
      <c r="W873" s="20">
        <v>1.081875764E9</v>
      </c>
      <c r="X873" s="20">
        <v>1.081894236E9</v>
      </c>
      <c r="Y873" s="22">
        <v>46182.0</v>
      </c>
      <c r="Z873" s="22">
        <v>46207.0</v>
      </c>
      <c r="AA873" s="20">
        <v>113128.5</v>
      </c>
      <c r="AB873" s="20">
        <v>113128.5</v>
      </c>
      <c r="AC873" s="20">
        <v>37709.5</v>
      </c>
      <c r="AD873" s="20">
        <v>0.0</v>
      </c>
      <c r="AE873" s="20">
        <v>0.0</v>
      </c>
      <c r="AF873" s="20">
        <v>0.0</v>
      </c>
      <c r="AG873" s="20">
        <v>0.0</v>
      </c>
      <c r="AH873" s="20">
        <v>0.0</v>
      </c>
      <c r="AI873" s="20">
        <v>0.0</v>
      </c>
      <c r="AJ873" s="20">
        <v>113128.5</v>
      </c>
      <c r="AK873" s="20">
        <v>113128.5</v>
      </c>
      <c r="AL873" s="20">
        <v>0.0</v>
      </c>
      <c r="AM873" s="20">
        <v>376.2</v>
      </c>
      <c r="AN873" s="20">
        <v>0.0</v>
      </c>
      <c r="AS873" s="11" t="str">
        <f>VLOOKUP(C873,'mayo-26'!B:AS,44,0)</f>
        <v>INTESISRECEPCION@GMAIL.COM</v>
      </c>
      <c r="AT873" s="12" t="str">
        <f>VLOOKUP(C873,'mayo-26'!B:AT,45,0)</f>
        <v>VERIFICADOR</v>
      </c>
    </row>
    <row r="874" ht="14.25" customHeight="1">
      <c r="A874" s="20" t="s">
        <v>1827</v>
      </c>
      <c r="B874" s="20">
        <v>346.0</v>
      </c>
      <c r="C874" s="20">
        <v>345.0</v>
      </c>
      <c r="D874" s="21">
        <v>345.0</v>
      </c>
      <c r="E874" s="20">
        <v>9.0241562E7</v>
      </c>
      <c r="F874" s="20">
        <v>9.0241562E7</v>
      </c>
      <c r="G874" s="20">
        <v>9.01887267E8</v>
      </c>
      <c r="H874" s="20" t="s">
        <v>1828</v>
      </c>
      <c r="I874" s="1" t="str">
        <f>VLOOKUP(C874,'mayo-26'!B:H,7,0)</f>
        <v>AVENIDAD 3 N° 7A-35 BARRIO LATINO</v>
      </c>
      <c r="J874" s="1" t="s">
        <v>443</v>
      </c>
      <c r="K874" s="10" t="str">
        <f>VLOOKUP(C874,'mayo-26'!B:J,9,0)</f>
        <v>NO</v>
      </c>
      <c r="L874" s="1" t="str">
        <f>VLOOKUP(C874,'mayo-26'!B:K,10,0)</f>
        <v>NO</v>
      </c>
      <c r="M874" s="20" t="s">
        <v>52</v>
      </c>
      <c r="N874" s="20" t="s">
        <v>89</v>
      </c>
      <c r="O874" s="20" t="s">
        <v>861</v>
      </c>
      <c r="P874" s="20" t="s">
        <v>126</v>
      </c>
      <c r="Q874" s="20" t="s">
        <v>56</v>
      </c>
      <c r="R874" s="20" t="s">
        <v>90</v>
      </c>
      <c r="S874" s="20" t="s">
        <v>143</v>
      </c>
      <c r="T874" s="20" t="s">
        <v>59</v>
      </c>
      <c r="U874" s="20">
        <v>2026.0</v>
      </c>
      <c r="V874" s="20">
        <v>6.0</v>
      </c>
      <c r="W874" s="20">
        <v>1.081875474E9</v>
      </c>
      <c r="X874" s="20">
        <v>1.081893946E9</v>
      </c>
      <c r="Y874" s="22">
        <v>46182.0</v>
      </c>
      <c r="Z874" s="22">
        <v>46207.0</v>
      </c>
      <c r="AA874" s="20">
        <v>198795.0</v>
      </c>
      <c r="AB874" s="20">
        <v>198795.0</v>
      </c>
      <c r="AC874" s="20">
        <v>66265.0</v>
      </c>
      <c r="AD874" s="20">
        <v>500.0</v>
      </c>
      <c r="AE874" s="20">
        <v>0.0</v>
      </c>
      <c r="AF874" s="20">
        <v>0.0</v>
      </c>
      <c r="AG874" s="20">
        <v>0.0</v>
      </c>
      <c r="AH874" s="20">
        <v>0.0</v>
      </c>
      <c r="AI874" s="20">
        <v>0.0</v>
      </c>
      <c r="AJ874" s="20">
        <v>198795.0</v>
      </c>
      <c r="AK874" s="20">
        <v>198795.0</v>
      </c>
      <c r="AL874" s="20">
        <v>0.0</v>
      </c>
      <c r="AM874" s="20">
        <v>376.2</v>
      </c>
      <c r="AN874" s="20">
        <v>0.0</v>
      </c>
      <c r="AS874" s="11" t="str">
        <f>VLOOKUP(C874,'mayo-26'!B:AS,44,0)</f>
        <v>RECEPCION.HVPmillenium@GMAIL.COM</v>
      </c>
      <c r="AT874" s="12" t="str">
        <f>VLOOKUP(C874,'mayo-26'!B:AT,45,0)</f>
        <v>CORREO ELECTRONICO CERTIFICADO 472</v>
      </c>
    </row>
    <row r="875" ht="14.25" customHeight="1">
      <c r="A875" s="20" t="s">
        <v>1829</v>
      </c>
      <c r="B875" s="20">
        <v>350.0</v>
      </c>
      <c r="C875" s="20">
        <v>349.0</v>
      </c>
      <c r="D875" s="21">
        <v>349.0</v>
      </c>
      <c r="E875" s="20">
        <v>9.0242126E7</v>
      </c>
      <c r="F875" s="20">
        <v>9.0242126E7</v>
      </c>
      <c r="G875" s="20">
        <v>9.00603041E8</v>
      </c>
      <c r="H875" s="20" t="s">
        <v>400</v>
      </c>
      <c r="I875" s="1" t="str">
        <f>VLOOKUP(C875,'mayo-26'!B:H,7,0)</f>
        <v>AVE 6 7-35 SUPERMERCADO</v>
      </c>
      <c r="J875" s="1" t="s">
        <v>1093</v>
      </c>
      <c r="K875" s="10" t="str">
        <f>VLOOKUP(C875,'mayo-26'!B:J,9,0)</f>
        <v>NO</v>
      </c>
      <c r="L875" s="1" t="str">
        <f>VLOOKUP(C875,'mayo-26'!B:K,10,0)</f>
        <v>LOS MONTES</v>
      </c>
      <c r="M875" s="20" t="s">
        <v>52</v>
      </c>
      <c r="N875" s="20" t="s">
        <v>89</v>
      </c>
      <c r="O875" s="20" t="s">
        <v>861</v>
      </c>
      <c r="P875" s="20" t="s">
        <v>126</v>
      </c>
      <c r="Q875" s="20" t="s">
        <v>131</v>
      </c>
      <c r="R875" s="20" t="s">
        <v>132</v>
      </c>
      <c r="S875" s="20" t="s">
        <v>133</v>
      </c>
      <c r="T875" s="20" t="s">
        <v>163</v>
      </c>
      <c r="U875" s="20">
        <v>2026.0</v>
      </c>
      <c r="V875" s="20">
        <v>6.0</v>
      </c>
      <c r="W875" s="20">
        <v>1.081875478E9</v>
      </c>
      <c r="X875" s="20">
        <v>1.08189395E9</v>
      </c>
      <c r="Y875" s="22">
        <v>46182.0</v>
      </c>
      <c r="Z875" s="22">
        <v>46207.0</v>
      </c>
      <c r="AA875" s="20">
        <v>57597.6</v>
      </c>
      <c r="AB875" s="20">
        <v>57597.6</v>
      </c>
      <c r="AC875" s="20">
        <v>18616.0</v>
      </c>
      <c r="AD875" s="20">
        <v>0.0</v>
      </c>
      <c r="AE875" s="20">
        <v>1749.6</v>
      </c>
      <c r="AF875" s="20">
        <v>0.0</v>
      </c>
      <c r="AG875" s="20">
        <v>0.0</v>
      </c>
      <c r="AH875" s="20">
        <v>0.0</v>
      </c>
      <c r="AI875" s="20">
        <v>0.0</v>
      </c>
      <c r="AJ875" s="20">
        <v>57597.6</v>
      </c>
      <c r="AK875" s="20">
        <v>114092.46</v>
      </c>
      <c r="AL875" s="20">
        <v>1.0</v>
      </c>
      <c r="AM875" s="20">
        <v>376.2</v>
      </c>
      <c r="AN875" s="20">
        <v>0.0</v>
      </c>
      <c r="AS875" s="11" t="str">
        <f>VLOOKUP(C875,'mayo-26'!B:AS,44,0)</f>
        <v>GASTOS@SUPERLOSMONTES.CO;FACTURAELECTRONICA@SUPERLOSMONTES.CO</v>
      </c>
      <c r="AT875" s="12" t="str">
        <f>VLOOKUP(C875,'mayo-26'!B:AT,45,0)</f>
        <v>CORREO ELECTRONICO CERTIFICADO 472</v>
      </c>
    </row>
    <row r="876" ht="14.25" customHeight="1">
      <c r="A876" s="20" t="s">
        <v>1830</v>
      </c>
      <c r="B876" s="20">
        <v>232.0</v>
      </c>
      <c r="C876" s="20">
        <v>353.0</v>
      </c>
      <c r="D876" s="21">
        <v>353.0</v>
      </c>
      <c r="E876" s="20">
        <v>9.0242449E7</v>
      </c>
      <c r="F876" s="20">
        <v>9.0242449E7</v>
      </c>
      <c r="G876" s="20">
        <v>8.30122566E8</v>
      </c>
      <c r="H876" s="20" t="s">
        <v>193</v>
      </c>
      <c r="I876" s="1" t="str">
        <f>VLOOKUP(C876,'mayo-26'!B:H,7,0)</f>
        <v>AV 0 N 10-61</v>
      </c>
      <c r="J876" s="1" t="s">
        <v>982</v>
      </c>
      <c r="K876" s="10" t="str">
        <f>VLOOKUP(C876,'mayo-26'!B:J,9,0)</f>
        <v>NO</v>
      </c>
      <c r="L876" s="1" t="str">
        <f>VLOOKUP(C876,'mayo-26'!B:K,10,0)</f>
        <v>MOVISTAR</v>
      </c>
      <c r="M876" s="20" t="s">
        <v>52</v>
      </c>
      <c r="N876" s="20" t="s">
        <v>53</v>
      </c>
      <c r="O876" s="20" t="s">
        <v>861</v>
      </c>
      <c r="P876" s="20" t="s">
        <v>126</v>
      </c>
      <c r="Q876" s="20" t="s">
        <v>131</v>
      </c>
      <c r="R876" s="20" t="s">
        <v>151</v>
      </c>
      <c r="S876" s="20" t="s">
        <v>133</v>
      </c>
      <c r="T876" s="20" t="s">
        <v>59</v>
      </c>
      <c r="U876" s="20">
        <v>2026.0</v>
      </c>
      <c r="V876" s="20">
        <v>6.0</v>
      </c>
      <c r="W876" s="20">
        <v>1.081875482E9</v>
      </c>
      <c r="X876" s="20">
        <v>1.081893954E9</v>
      </c>
      <c r="Y876" s="22">
        <v>46182.0</v>
      </c>
      <c r="Z876" s="22">
        <v>46207.0</v>
      </c>
      <c r="AA876" s="20">
        <v>75419.0</v>
      </c>
      <c r="AB876" s="20">
        <v>75419.0</v>
      </c>
      <c r="AC876" s="20">
        <v>0.0</v>
      </c>
      <c r="AD876" s="20">
        <v>0.0</v>
      </c>
      <c r="AE876" s="20">
        <v>0.0</v>
      </c>
      <c r="AF876" s="20">
        <v>0.0</v>
      </c>
      <c r="AG876" s="20">
        <v>0.0</v>
      </c>
      <c r="AH876" s="20">
        <v>0.0</v>
      </c>
      <c r="AI876" s="20">
        <v>0.0</v>
      </c>
      <c r="AJ876" s="20">
        <v>75419.0</v>
      </c>
      <c r="AK876" s="20">
        <v>226310.0</v>
      </c>
      <c r="AL876" s="20">
        <v>2.0</v>
      </c>
      <c r="AM876" s="20">
        <v>250.8</v>
      </c>
      <c r="AN876" s="20">
        <v>0.0</v>
      </c>
      <c r="AS876" s="11" t="str">
        <f>VLOOKUP(C876,'mayo-26'!B:AS,44,0)</f>
        <v>SERVICIOSPUBLICOS.TC@TELEFONICA.COM; D.CRUZ02@TELEFONICA.COM</v>
      </c>
      <c r="AT876" s="12" t="str">
        <f>VLOOKUP(C876,'mayo-26'!B:AT,45,0)</f>
        <v>CORREO ELECTRONICO CERTIFICADO 472</v>
      </c>
    </row>
    <row r="877" ht="14.25" customHeight="1">
      <c r="A877" s="20" t="s">
        <v>1831</v>
      </c>
      <c r="B877" s="20">
        <v>358.0</v>
      </c>
      <c r="C877" s="20">
        <v>357.0</v>
      </c>
      <c r="D877" s="21">
        <v>357.0</v>
      </c>
      <c r="E877" s="20">
        <v>9.0242671E7</v>
      </c>
      <c r="F877" s="20">
        <v>9.0242671E7</v>
      </c>
      <c r="G877" s="20">
        <v>9024267.0</v>
      </c>
      <c r="H877" s="20" t="s">
        <v>1832</v>
      </c>
      <c r="I877" s="1" t="str">
        <f>VLOOKUP(C877,'mayo-26'!B:H,7,0)</f>
        <v>CLL 12 4-33 BA#OS</v>
      </c>
      <c r="J877" s="1" t="s">
        <v>982</v>
      </c>
      <c r="K877" s="10" t="str">
        <f>VLOOKUP(C877,'mayo-26'!B:J,9,0)</f>
        <v>NO</v>
      </c>
      <c r="L877" s="1" t="str">
        <f>VLOOKUP(C877,'mayo-26'!B:K,10,0)</f>
        <v>NO</v>
      </c>
      <c r="M877" s="20" t="s">
        <v>52</v>
      </c>
      <c r="N877" s="20" t="s">
        <v>89</v>
      </c>
      <c r="O877" s="20" t="s">
        <v>861</v>
      </c>
      <c r="P877" s="20" t="s">
        <v>126</v>
      </c>
      <c r="Q877" s="20" t="s">
        <v>56</v>
      </c>
      <c r="R877" s="20" t="s">
        <v>90</v>
      </c>
      <c r="S877" s="20" t="s">
        <v>143</v>
      </c>
      <c r="T877" s="20" t="s">
        <v>59</v>
      </c>
      <c r="U877" s="20">
        <v>2026.0</v>
      </c>
      <c r="V877" s="20">
        <v>6.0</v>
      </c>
      <c r="W877" s="20">
        <v>1.081875485E9</v>
      </c>
      <c r="X877" s="20">
        <v>1.081893957E9</v>
      </c>
      <c r="Y877" s="22">
        <v>46182.0</v>
      </c>
      <c r="Z877" s="22">
        <v>46207.0</v>
      </c>
      <c r="AA877" s="20">
        <v>198795.0</v>
      </c>
      <c r="AB877" s="20">
        <v>198795.0</v>
      </c>
      <c r="AC877" s="20">
        <v>66265.0</v>
      </c>
      <c r="AD877" s="20">
        <v>500.0</v>
      </c>
      <c r="AE877" s="20">
        <v>0.0</v>
      </c>
      <c r="AF877" s="20">
        <v>0.0</v>
      </c>
      <c r="AG877" s="20">
        <v>0.0</v>
      </c>
      <c r="AH877" s="20">
        <v>0.0</v>
      </c>
      <c r="AI877" s="20">
        <v>0.0</v>
      </c>
      <c r="AJ877" s="20">
        <v>198795.0</v>
      </c>
      <c r="AK877" s="20">
        <v>198795.0</v>
      </c>
      <c r="AL877" s="20">
        <v>0.0</v>
      </c>
      <c r="AM877" s="20">
        <v>376.2</v>
      </c>
      <c r="AN877" s="20">
        <v>0.0</v>
      </c>
      <c r="AS877" s="11" t="str">
        <f>VLOOKUP(C877,'mayo-26'!B:AS,44,0)</f>
        <v>CONDOMINIOCCI@HOTMAIL.COM</v>
      </c>
      <c r="AT877" s="12" t="str">
        <f>VLOOKUP(C877,'mayo-26'!B:AT,45,0)</f>
        <v>CORREO ELECTRONICO CERTIFICADO 472</v>
      </c>
    </row>
    <row r="878" ht="14.25" customHeight="1">
      <c r="A878" s="20" t="s">
        <v>1833</v>
      </c>
      <c r="B878" s="20">
        <v>364032.0</v>
      </c>
      <c r="C878" s="20">
        <v>360285.0</v>
      </c>
      <c r="D878" s="21">
        <v>361389.0</v>
      </c>
      <c r="G878" s="20" t="s">
        <v>1834</v>
      </c>
      <c r="H878" s="20" t="s">
        <v>1835</v>
      </c>
      <c r="I878" s="1" t="str">
        <f>VLOOKUP(C878,'mayo-26'!B:H,7,0)</f>
        <v>VEREDA SAN PEDRO-EL PORTICO</v>
      </c>
      <c r="J878" s="1" t="s">
        <v>343</v>
      </c>
      <c r="K878" s="10" t="str">
        <f>VLOOKUP(C878,'mayo-26'!B:J,9,0)</f>
        <v>NO</v>
      </c>
      <c r="L878" s="1" t="str">
        <f>VLOOKUP(C878,'mayo-26'!B:K,10,0)</f>
        <v>NO</v>
      </c>
      <c r="M878" s="20" t="s">
        <v>52</v>
      </c>
      <c r="N878" s="20" t="s">
        <v>89</v>
      </c>
      <c r="O878" s="20" t="s">
        <v>861</v>
      </c>
      <c r="P878" s="20" t="s">
        <v>126</v>
      </c>
      <c r="Q878" s="20" t="s">
        <v>56</v>
      </c>
      <c r="R878" s="20" t="s">
        <v>72</v>
      </c>
      <c r="S878" s="20" t="s">
        <v>143</v>
      </c>
      <c r="T878" s="20" t="s">
        <v>59</v>
      </c>
      <c r="U878" s="20">
        <v>2026.0</v>
      </c>
      <c r="V878" s="20">
        <v>6.0</v>
      </c>
      <c r="W878" s="20">
        <v>1.081875768E9</v>
      </c>
      <c r="X878" s="20">
        <v>1.08189424E9</v>
      </c>
      <c r="Y878" s="22">
        <v>46182.0</v>
      </c>
      <c r="Z878" s="22">
        <v>46207.0</v>
      </c>
      <c r="AA878" s="20">
        <v>388145.57</v>
      </c>
      <c r="AB878" s="20">
        <v>388145.57</v>
      </c>
      <c r="AC878" s="20">
        <v>89572.06</v>
      </c>
      <c r="AD878" s="20">
        <v>1375.0</v>
      </c>
      <c r="AE878" s="20">
        <v>0.0</v>
      </c>
      <c r="AF878" s="20">
        <v>0.0</v>
      </c>
      <c r="AG878" s="20">
        <v>0.0</v>
      </c>
      <c r="AH878" s="20">
        <v>0.0</v>
      </c>
      <c r="AI878" s="20">
        <v>0.0</v>
      </c>
      <c r="AJ878" s="20">
        <v>388145.35</v>
      </c>
      <c r="AK878" s="20">
        <v>388145.35</v>
      </c>
      <c r="AL878" s="20">
        <v>0.0</v>
      </c>
      <c r="AM878" s="20">
        <v>326.04</v>
      </c>
      <c r="AN878" s="20">
        <v>0.0</v>
      </c>
      <c r="AQ878" s="20">
        <v>0.22</v>
      </c>
      <c r="AS878" s="11" t="str">
        <f>VLOOKUP(C878,'mayo-26'!B:AS,44,0)</f>
        <v>FACTURAS1@OPERADORALCM.COM</v>
      </c>
      <c r="AT878" s="12" t="str">
        <f>VLOOKUP(C878,'mayo-26'!B:AT,45,0)</f>
        <v>CORREO ELECTRONICO CERTIFICADO 472</v>
      </c>
    </row>
    <row r="879" ht="14.25" customHeight="1">
      <c r="A879" s="20" t="s">
        <v>1836</v>
      </c>
      <c r="B879" s="20">
        <v>285191.0</v>
      </c>
      <c r="C879" s="20">
        <v>364437.0</v>
      </c>
      <c r="D879" s="21">
        <v>369443.0</v>
      </c>
      <c r="E879" s="20">
        <v>1040261.0</v>
      </c>
      <c r="F879" s="20">
        <v>1040261.0</v>
      </c>
      <c r="G879" s="20">
        <v>9.00276962E8</v>
      </c>
      <c r="H879" s="20" t="s">
        <v>128</v>
      </c>
      <c r="I879" s="1" t="str">
        <f>VLOOKUP(C879,'mayo-26'!B:H,7,0)</f>
        <v>KDX 73-2 1116</v>
      </c>
      <c r="J879" s="1" t="s">
        <v>1110</v>
      </c>
      <c r="K879" s="10" t="str">
        <f>VLOOKUP(C879,'mayo-26'!B:J,9,0)</f>
        <v>NO</v>
      </c>
      <c r="L879" s="1" t="str">
        <f>VLOOKUP(C879,'mayo-26'!B:K,10,0)</f>
        <v>D1</v>
      </c>
      <c r="M879" s="20" t="s">
        <v>52</v>
      </c>
      <c r="N879" s="20" t="s">
        <v>89</v>
      </c>
      <c r="O879" s="20" t="s">
        <v>861</v>
      </c>
      <c r="P879" s="20" t="s">
        <v>126</v>
      </c>
      <c r="Q879" s="20" t="s">
        <v>131</v>
      </c>
      <c r="R879" s="20" t="s">
        <v>132</v>
      </c>
      <c r="S879" s="20" t="s">
        <v>133</v>
      </c>
      <c r="T879" s="20" t="s">
        <v>59</v>
      </c>
      <c r="U879" s="20">
        <v>2026.0</v>
      </c>
      <c r="V879" s="20">
        <v>6.0</v>
      </c>
      <c r="W879" s="20">
        <v>1.081875772E9</v>
      </c>
      <c r="X879" s="20">
        <v>1.081894244E9</v>
      </c>
      <c r="Y879" s="22">
        <v>46182.0</v>
      </c>
      <c r="Z879" s="22">
        <v>46207.0</v>
      </c>
      <c r="AA879" s="20">
        <v>113128.5</v>
      </c>
      <c r="AB879" s="20">
        <v>113128.5</v>
      </c>
      <c r="AC879" s="20">
        <v>37709.5</v>
      </c>
      <c r="AD879" s="20">
        <v>0.0</v>
      </c>
      <c r="AE879" s="20">
        <v>0.0</v>
      </c>
      <c r="AF879" s="20">
        <v>0.0</v>
      </c>
      <c r="AG879" s="20">
        <v>0.0</v>
      </c>
      <c r="AH879" s="20">
        <v>0.0</v>
      </c>
      <c r="AI879" s="20">
        <v>0.0</v>
      </c>
      <c r="AJ879" s="20">
        <v>113128.5</v>
      </c>
      <c r="AK879" s="20">
        <v>113128.5</v>
      </c>
      <c r="AL879" s="20">
        <v>0.0</v>
      </c>
      <c r="AM879" s="20">
        <v>376.2</v>
      </c>
      <c r="AN879" s="20">
        <v>0.0</v>
      </c>
      <c r="AS879" s="11" t="str">
        <f>VLOOKUP(C879,'mayo-26'!B:AS,44,0)</f>
        <v>ALBA.CELIS@D1.COM.CO;CARMEN.DAVILA@D1.COM.CO</v>
      </c>
      <c r="AT879" s="12" t="str">
        <f>VLOOKUP(C879,'mayo-26'!B:AT,45,0)</f>
        <v>CORREO ELECTRONICO CERTIFICADO 472</v>
      </c>
    </row>
    <row r="880" ht="14.25" customHeight="1">
      <c r="A880" s="20" t="s">
        <v>1837</v>
      </c>
      <c r="B880" s="20">
        <v>379545.0</v>
      </c>
      <c r="C880" s="20">
        <v>366629.0</v>
      </c>
      <c r="D880" s="21">
        <v>373101.0</v>
      </c>
      <c r="G880" s="20">
        <v>9.01365998E8</v>
      </c>
      <c r="H880" s="20" t="s">
        <v>1359</v>
      </c>
      <c r="I880" s="1" t="str">
        <f>VLOOKUP(C880,'mayo-26'!B:H,7,0)</f>
        <v>CC JARDIN PLAZA L83</v>
      </c>
      <c r="J880" s="1" t="s">
        <v>991</v>
      </c>
      <c r="K880" s="10" t="str">
        <f>VLOOKUP(C880,'mayo-26'!B:J,9,0)</f>
        <v>JARDIN PLAZA</v>
      </c>
      <c r="L880" s="1" t="str">
        <f>VLOOKUP(C880,'mayo-26'!B:K,10,0)</f>
        <v>JARDIN PLAZA</v>
      </c>
      <c r="M880" s="20" t="s">
        <v>52</v>
      </c>
      <c r="N880" s="20" t="s">
        <v>53</v>
      </c>
      <c r="O880" s="20" t="s">
        <v>861</v>
      </c>
      <c r="P880" s="20" t="s">
        <v>126</v>
      </c>
      <c r="Q880" s="20" t="s">
        <v>56</v>
      </c>
      <c r="R880" s="20" t="s">
        <v>90</v>
      </c>
      <c r="S880" s="20" t="s">
        <v>143</v>
      </c>
      <c r="T880" s="20" t="s">
        <v>59</v>
      </c>
      <c r="U880" s="20">
        <v>2026.0</v>
      </c>
      <c r="V880" s="20">
        <v>6.0</v>
      </c>
      <c r="W880" s="20">
        <v>1.081875776E9</v>
      </c>
      <c r="X880" s="20">
        <v>1.081894248E9</v>
      </c>
      <c r="Y880" s="22">
        <v>46182.0</v>
      </c>
      <c r="Z880" s="22">
        <v>46207.0</v>
      </c>
      <c r="AA880" s="20">
        <v>128487.44</v>
      </c>
      <c r="AB880" s="20">
        <v>128487.44</v>
      </c>
      <c r="AC880" s="20">
        <v>42829.15</v>
      </c>
      <c r="AD880" s="20">
        <v>253.0</v>
      </c>
      <c r="AE880" s="20">
        <v>0.0</v>
      </c>
      <c r="AF880" s="20">
        <v>0.0</v>
      </c>
      <c r="AG880" s="20">
        <v>0.0</v>
      </c>
      <c r="AH880" s="20">
        <v>0.0</v>
      </c>
      <c r="AI880" s="20">
        <v>0.0</v>
      </c>
      <c r="AJ880" s="20">
        <v>128487.44</v>
      </c>
      <c r="AK880" s="20">
        <v>128487.44</v>
      </c>
      <c r="AL880" s="20">
        <v>0.0</v>
      </c>
      <c r="AM880" s="20">
        <v>376.2</v>
      </c>
      <c r="AN880" s="20">
        <v>0.0</v>
      </c>
      <c r="AS880" s="11" t="str">
        <f>VLOOKUP(C880,'mayo-26'!B:AS,44,0)</f>
        <v>BACHIRMIREP@HOTMAIL.COM</v>
      </c>
      <c r="AT880" s="12" t="str">
        <f>VLOOKUP(C880,'mayo-26'!B:AT,45,0)</f>
        <v>VERIFICADOR</v>
      </c>
    </row>
    <row r="881" ht="14.25" customHeight="1">
      <c r="A881" s="20" t="s">
        <v>1838</v>
      </c>
      <c r="B881" s="20">
        <v>379559.0</v>
      </c>
      <c r="C881" s="20">
        <v>366633.0</v>
      </c>
      <c r="D881" s="21">
        <v>373111.0</v>
      </c>
      <c r="G881" s="20" t="s">
        <v>1839</v>
      </c>
      <c r="H881" s="20" t="s">
        <v>1840</v>
      </c>
      <c r="I881" s="1" t="str">
        <f>VLOOKUP(C881,'mayo-26'!B:H,7,0)</f>
        <v>CC JARDIN PLAZA L33</v>
      </c>
      <c r="J881" s="1" t="s">
        <v>991</v>
      </c>
      <c r="K881" s="10" t="str">
        <f>VLOOKUP(C881,'mayo-26'!B:J,9,0)</f>
        <v>JARDIN PLAZA</v>
      </c>
      <c r="L881" s="1" t="str">
        <f>VLOOKUP(C881,'mayo-26'!B:K,10,0)</f>
        <v>JARDIN PLAZA</v>
      </c>
      <c r="M881" s="20" t="s">
        <v>52</v>
      </c>
      <c r="N881" s="20" t="s">
        <v>89</v>
      </c>
      <c r="O881" s="20" t="s">
        <v>861</v>
      </c>
      <c r="P881" s="20" t="s">
        <v>126</v>
      </c>
      <c r="Q881" s="20" t="s">
        <v>56</v>
      </c>
      <c r="R881" s="20" t="s">
        <v>90</v>
      </c>
      <c r="S881" s="20" t="s">
        <v>143</v>
      </c>
      <c r="T881" s="20" t="s">
        <v>59</v>
      </c>
      <c r="U881" s="20">
        <v>2026.0</v>
      </c>
      <c r="V881" s="20">
        <v>6.0</v>
      </c>
      <c r="W881" s="20">
        <v>1.08187578E9</v>
      </c>
      <c r="X881" s="20">
        <v>1.081894252E9</v>
      </c>
      <c r="Y881" s="22">
        <v>46182.0</v>
      </c>
      <c r="Z881" s="22">
        <v>46207.0</v>
      </c>
      <c r="AA881" s="20">
        <v>127633.51</v>
      </c>
      <c r="AB881" s="20">
        <v>127633.51</v>
      </c>
      <c r="AC881" s="20">
        <v>42544.51</v>
      </c>
      <c r="AD881" s="20">
        <v>250.0</v>
      </c>
      <c r="AE881" s="20">
        <v>0.0</v>
      </c>
      <c r="AF881" s="20">
        <v>0.0</v>
      </c>
      <c r="AG881" s="20">
        <v>0.0</v>
      </c>
      <c r="AH881" s="20">
        <v>0.0</v>
      </c>
      <c r="AI881" s="20">
        <v>0.0</v>
      </c>
      <c r="AJ881" s="20">
        <v>127633.51</v>
      </c>
      <c r="AK881" s="20">
        <v>127633.51</v>
      </c>
      <c r="AL881" s="20">
        <v>0.0</v>
      </c>
      <c r="AM881" s="20">
        <v>376.2</v>
      </c>
      <c r="AN881" s="20">
        <v>0.0</v>
      </c>
      <c r="AS881" s="11" t="str">
        <f>VLOOKUP(C881,'mayo-26'!B:AS,44,0)</f>
        <v>MIRCOUNIONINV@GMAIL.COM</v>
      </c>
      <c r="AT881" s="12" t="str">
        <f>VLOOKUP(C881,'mayo-26'!B:AT,45,0)</f>
        <v>VERIFICADOR</v>
      </c>
    </row>
    <row r="882" ht="14.25" customHeight="1">
      <c r="A882" s="20" t="s">
        <v>1841</v>
      </c>
      <c r="B882" s="20">
        <v>379563.0</v>
      </c>
      <c r="C882" s="20">
        <v>366637.0</v>
      </c>
      <c r="D882" s="21">
        <v>373115.0</v>
      </c>
      <c r="G882" s="20">
        <v>8.05003626E8</v>
      </c>
      <c r="H882" s="20" t="s">
        <v>276</v>
      </c>
      <c r="I882" s="1" t="str">
        <f>VLOOKUP(C882,'mayo-26'!B:H,7,0)</f>
        <v>CC JARDIN PLAZA L65</v>
      </c>
      <c r="J882" s="1" t="s">
        <v>991</v>
      </c>
      <c r="K882" s="10" t="str">
        <f>VLOOKUP(C882,'mayo-26'!B:J,9,0)</f>
        <v>JARDIN PLAZA</v>
      </c>
      <c r="L882" s="1" t="str">
        <f>VLOOKUP(C882,'mayo-26'!B:K,10,0)</f>
        <v>VERTEBRA</v>
      </c>
      <c r="M882" s="20" t="s">
        <v>52</v>
      </c>
      <c r="N882" s="20" t="s">
        <v>53</v>
      </c>
      <c r="O882" s="20" t="s">
        <v>861</v>
      </c>
      <c r="P882" s="20" t="s">
        <v>126</v>
      </c>
      <c r="Q882" s="20" t="s">
        <v>56</v>
      </c>
      <c r="R882" s="20" t="s">
        <v>90</v>
      </c>
      <c r="S882" s="20" t="s">
        <v>143</v>
      </c>
      <c r="T882" s="20" t="s">
        <v>59</v>
      </c>
      <c r="U882" s="20">
        <v>2026.0</v>
      </c>
      <c r="V882" s="20">
        <v>6.0</v>
      </c>
      <c r="W882" s="20">
        <v>1.081875783E9</v>
      </c>
      <c r="X882" s="20">
        <v>1.081894255E9</v>
      </c>
      <c r="Y882" s="22">
        <v>46182.0</v>
      </c>
      <c r="Z882" s="22">
        <v>46207.0</v>
      </c>
      <c r="AA882" s="20">
        <v>127633.51</v>
      </c>
      <c r="AB882" s="20">
        <v>127633.51</v>
      </c>
      <c r="AC882" s="20">
        <v>42544.51</v>
      </c>
      <c r="AD882" s="20">
        <v>250.0</v>
      </c>
      <c r="AE882" s="20">
        <v>0.0</v>
      </c>
      <c r="AF882" s="20">
        <v>0.0</v>
      </c>
      <c r="AG882" s="20">
        <v>0.0</v>
      </c>
      <c r="AH882" s="20">
        <v>0.0</v>
      </c>
      <c r="AI882" s="20">
        <v>0.0</v>
      </c>
      <c r="AJ882" s="20">
        <v>127633.51</v>
      </c>
      <c r="AK882" s="20">
        <v>127633.51</v>
      </c>
      <c r="AL882" s="20">
        <v>0.0</v>
      </c>
      <c r="AM882" s="20">
        <v>376.2</v>
      </c>
      <c r="AN882" s="20">
        <v>0.0</v>
      </c>
      <c r="AS882" s="11" t="str">
        <f>VLOOKUP(C882,'mayo-26'!B:AS,44,0)</f>
        <v>FACTURAS@VERTEBRA.TECH</v>
      </c>
      <c r="AT882" s="12" t="str">
        <f>VLOOKUP(C882,'mayo-26'!B:AT,45,0)</f>
        <v>VERIFICADOR</v>
      </c>
    </row>
    <row r="883" ht="14.25" customHeight="1">
      <c r="A883" s="20" t="s">
        <v>1842</v>
      </c>
      <c r="B883" s="20">
        <v>3283.0</v>
      </c>
      <c r="C883" s="20">
        <v>369.0</v>
      </c>
      <c r="D883" s="21">
        <v>369.0</v>
      </c>
      <c r="E883" s="20">
        <v>9.024305E7</v>
      </c>
      <c r="F883" s="20">
        <v>9.024305E7</v>
      </c>
      <c r="G883" s="20">
        <v>8.90900608E8</v>
      </c>
      <c r="H883" s="20" t="s">
        <v>606</v>
      </c>
      <c r="I883" s="1" t="str">
        <f>VLOOKUP(C883,'mayo-26'!B:H,7,0)</f>
        <v>CLL 5 # 7-60 CENTRO</v>
      </c>
      <c r="J883" s="1" t="s">
        <v>982</v>
      </c>
      <c r="K883" s="10" t="str">
        <f>VLOOKUP(C883,'mayo-26'!B:J,9,0)</f>
        <v>NO</v>
      </c>
      <c r="L883" s="1" t="str">
        <f>VLOOKUP(C883,'mayo-26'!B:K,10,0)</f>
        <v>EXITO</v>
      </c>
      <c r="M883" s="20" t="s">
        <v>52</v>
      </c>
      <c r="N883" s="20" t="s">
        <v>89</v>
      </c>
      <c r="O883" s="20" t="s">
        <v>861</v>
      </c>
      <c r="P883" s="20" t="s">
        <v>126</v>
      </c>
      <c r="Q883" s="20" t="s">
        <v>56</v>
      </c>
      <c r="R883" s="20" t="s">
        <v>90</v>
      </c>
      <c r="S883" s="20" t="s">
        <v>143</v>
      </c>
      <c r="T883" s="20" t="s">
        <v>59</v>
      </c>
      <c r="U883" s="20">
        <v>2026.0</v>
      </c>
      <c r="V883" s="20">
        <v>6.0</v>
      </c>
      <c r="W883" s="20">
        <v>1.081875489E9</v>
      </c>
      <c r="X883" s="20">
        <v>1.081893961E9</v>
      </c>
      <c r="Y883" s="22">
        <v>46182.0</v>
      </c>
      <c r="Z883" s="22">
        <v>46207.0</v>
      </c>
      <c r="AA883" s="20">
        <v>966956.46</v>
      </c>
      <c r="AB883" s="20">
        <v>966956.46</v>
      </c>
      <c r="AC883" s="20">
        <v>313622.38</v>
      </c>
      <c r="AD883" s="20">
        <v>3107.0</v>
      </c>
      <c r="AE883" s="20">
        <v>26089.33</v>
      </c>
      <c r="AF883" s="20">
        <v>0.0</v>
      </c>
      <c r="AG883" s="20">
        <v>0.0</v>
      </c>
      <c r="AH883" s="20">
        <v>0.0</v>
      </c>
      <c r="AI883" s="20">
        <v>0.0</v>
      </c>
      <c r="AJ883" s="20">
        <v>966956.46</v>
      </c>
      <c r="AK883" s="20">
        <v>966957.18</v>
      </c>
      <c r="AL883" s="20">
        <v>1.0</v>
      </c>
      <c r="AM883" s="20">
        <v>376.2</v>
      </c>
      <c r="AN883" s="20">
        <v>0.0</v>
      </c>
      <c r="AS883" s="11" t="str">
        <f>VLOOKUP(C883,'mayo-26'!B:AS,44,0)</f>
        <v>GERENCIA744@GRUPO-EXITO.COM</v>
      </c>
      <c r="AT883" s="12" t="str">
        <f>VLOOKUP(C883,'mayo-26'!B:AT,45,0)</f>
        <v>CORREO ELECTRONICO CERTIFICADO 472</v>
      </c>
    </row>
    <row r="884" ht="14.25" customHeight="1">
      <c r="A884" s="20" t="s">
        <v>1843</v>
      </c>
      <c r="B884" s="20">
        <v>147.0</v>
      </c>
      <c r="C884" s="20">
        <v>369089.0</v>
      </c>
      <c r="D884" s="21">
        <v>377103.0</v>
      </c>
      <c r="E884" s="20">
        <v>415035.0</v>
      </c>
      <c r="F884" s="20">
        <v>415035.0</v>
      </c>
      <c r="G884" s="20" t="s">
        <v>179</v>
      </c>
      <c r="H884" s="20" t="s">
        <v>180</v>
      </c>
      <c r="I884" s="1" t="str">
        <f>VLOOKUP(C884,'mayo-26'!B:H,7,0)</f>
        <v>AVE 3 CLL 24 GARITA # 1</v>
      </c>
      <c r="J884" s="1" t="s">
        <v>1548</v>
      </c>
      <c r="K884" s="10" t="str">
        <f>VLOOKUP(C884,'mayo-26'!B:J,9,0)</f>
        <v>NO</v>
      </c>
      <c r="L884" s="1" t="str">
        <f>VLOOKUP(C884,'mayo-26'!B:K,10,0)</f>
        <v>POLICIA</v>
      </c>
      <c r="M884" s="20" t="s">
        <v>52</v>
      </c>
      <c r="N884" s="20" t="s">
        <v>269</v>
      </c>
      <c r="O884" s="20" t="s">
        <v>861</v>
      </c>
      <c r="P884" s="20" t="s">
        <v>126</v>
      </c>
      <c r="Q884" s="20" t="s">
        <v>131</v>
      </c>
      <c r="R884" s="20" t="s">
        <v>1111</v>
      </c>
      <c r="S884" s="20" t="s">
        <v>133</v>
      </c>
      <c r="T884" s="20" t="s">
        <v>59</v>
      </c>
      <c r="U884" s="20">
        <v>2026.0</v>
      </c>
      <c r="V884" s="20">
        <v>6.0</v>
      </c>
      <c r="W884" s="20">
        <v>1.081875787E9</v>
      </c>
      <c r="X884" s="20">
        <v>1.081894259E9</v>
      </c>
      <c r="Y884" s="22">
        <v>46182.0</v>
      </c>
      <c r="Z884" s="22">
        <v>46207.0</v>
      </c>
      <c r="AA884" s="20">
        <v>16393.0</v>
      </c>
      <c r="AB884" s="20">
        <v>16393.0</v>
      </c>
      <c r="AC884" s="20">
        <v>0.0</v>
      </c>
      <c r="AD884" s="20">
        <v>0.0</v>
      </c>
      <c r="AE884" s="20">
        <v>0.0</v>
      </c>
      <c r="AF884" s="20">
        <v>0.0</v>
      </c>
      <c r="AG884" s="20">
        <v>0.0</v>
      </c>
      <c r="AH884" s="20">
        <v>0.0</v>
      </c>
      <c r="AI884" s="20">
        <v>0.0</v>
      </c>
      <c r="AJ884" s="20">
        <v>16393.0</v>
      </c>
      <c r="AK884" s="20">
        <v>32790.0</v>
      </c>
      <c r="AL884" s="20">
        <v>1.0</v>
      </c>
      <c r="AM884" s="20">
        <v>250.8</v>
      </c>
      <c r="AN884" s="20">
        <v>0.0</v>
      </c>
      <c r="AS884" s="11" t="str">
        <f>VLOOKUP(C884,'mayo-26'!B:AS,44,0)</f>
        <v>MECUC.GUBIR@POLICIA.GOV.CO</v>
      </c>
      <c r="AT884" s="12" t="str">
        <f>VLOOKUP(C884,'mayo-26'!B:AT,45,0)</f>
        <v>CORREO ELECTRONICO CERTIFICADO 472</v>
      </c>
    </row>
    <row r="885" ht="14.25" customHeight="1">
      <c r="A885" s="20" t="s">
        <v>1844</v>
      </c>
      <c r="B885" s="20">
        <v>386512.0</v>
      </c>
      <c r="C885" s="20">
        <v>370537.0</v>
      </c>
      <c r="D885" s="21">
        <v>378721.0</v>
      </c>
      <c r="G885" s="20">
        <v>8.00130149E8</v>
      </c>
      <c r="H885" s="20" t="s">
        <v>1845</v>
      </c>
      <c r="I885" s="1" t="str">
        <f>VLOOKUP(C885,'mayo-26'!B:H,7,0)</f>
        <v>LC 76 CC JARDÍN PLAZA</v>
      </c>
      <c r="J885" s="1" t="s">
        <v>991</v>
      </c>
      <c r="K885" s="10" t="str">
        <f>VLOOKUP(C885,'mayo-26'!B:J,9,0)</f>
        <v>JARDIN PLAZA</v>
      </c>
      <c r="L885" s="1" t="str">
        <f>VLOOKUP(C885,'mayo-26'!B:K,10,0)</f>
        <v>JARDIN PLAZA</v>
      </c>
      <c r="M885" s="20" t="s">
        <v>52</v>
      </c>
      <c r="N885" s="20" t="s">
        <v>89</v>
      </c>
      <c r="O885" s="20" t="s">
        <v>861</v>
      </c>
      <c r="P885" s="20" t="s">
        <v>126</v>
      </c>
      <c r="Q885" s="20" t="s">
        <v>56</v>
      </c>
      <c r="R885" s="20" t="s">
        <v>90</v>
      </c>
      <c r="S885" s="20" t="s">
        <v>143</v>
      </c>
      <c r="T885" s="20" t="s">
        <v>59</v>
      </c>
      <c r="U885" s="20">
        <v>2026.0</v>
      </c>
      <c r="V885" s="20">
        <v>6.0</v>
      </c>
      <c r="W885" s="20">
        <v>1.081875791E9</v>
      </c>
      <c r="X885" s="20">
        <v>1.081894263E9</v>
      </c>
      <c r="Y885" s="22">
        <v>46182.0</v>
      </c>
      <c r="Z885" s="22">
        <v>46207.0</v>
      </c>
      <c r="AA885" s="20">
        <v>127633.51</v>
      </c>
      <c r="AB885" s="20">
        <v>127633.51</v>
      </c>
      <c r="AC885" s="20">
        <v>42544.51</v>
      </c>
      <c r="AD885" s="20">
        <v>250.0</v>
      </c>
      <c r="AE885" s="20">
        <v>0.0</v>
      </c>
      <c r="AF885" s="20">
        <v>0.0</v>
      </c>
      <c r="AG885" s="20">
        <v>0.0</v>
      </c>
      <c r="AH885" s="20">
        <v>0.0</v>
      </c>
      <c r="AI885" s="20">
        <v>0.0</v>
      </c>
      <c r="AJ885" s="20">
        <v>127633.51</v>
      </c>
      <c r="AK885" s="20">
        <v>127633.51</v>
      </c>
      <c r="AL885" s="20">
        <v>0.0</v>
      </c>
      <c r="AM885" s="20">
        <v>376.2</v>
      </c>
      <c r="AN885" s="20">
        <v>0.0</v>
      </c>
      <c r="AS885" s="11" t="str">
        <f>VLOOKUP(C885,'mayo-26'!B:AS,44,0)</f>
        <v>PDVJARDINPLAZACUCUTA@SUPERTEXINC.COM</v>
      </c>
      <c r="AT885" s="12" t="str">
        <f>VLOOKUP(C885,'mayo-26'!B:AT,45,0)</f>
        <v>VERIFICADOR</v>
      </c>
    </row>
    <row r="886" ht="14.25" customHeight="1">
      <c r="A886" s="20" t="s">
        <v>1846</v>
      </c>
      <c r="B886" s="20">
        <v>386739.0</v>
      </c>
      <c r="C886" s="20">
        <v>370573.0</v>
      </c>
      <c r="D886" s="21">
        <v>378841.0</v>
      </c>
      <c r="G886" s="20" t="s">
        <v>1847</v>
      </c>
      <c r="H886" s="20" t="s">
        <v>1848</v>
      </c>
      <c r="I886" s="1" t="str">
        <f>VLOOKUP(C886,'mayo-26'!B:H,7,0)</f>
        <v>LC 80 CC JARDÍN PLAZA</v>
      </c>
      <c r="J886" s="1" t="s">
        <v>991</v>
      </c>
      <c r="K886" s="10" t="str">
        <f>VLOOKUP(C886,'mayo-26'!B:J,9,0)</f>
        <v>JARDIN PLAZA</v>
      </c>
      <c r="L886" s="1" t="str">
        <f>VLOOKUP(C886,'mayo-26'!B:K,10,0)</f>
        <v>JARDIN PLAZA</v>
      </c>
      <c r="M886" s="20" t="s">
        <v>52</v>
      </c>
      <c r="N886" s="20" t="s">
        <v>89</v>
      </c>
      <c r="O886" s="20" t="s">
        <v>861</v>
      </c>
      <c r="P886" s="20" t="s">
        <v>126</v>
      </c>
      <c r="Q886" s="20" t="s">
        <v>56</v>
      </c>
      <c r="R886" s="20" t="s">
        <v>90</v>
      </c>
      <c r="S886" s="20" t="s">
        <v>143</v>
      </c>
      <c r="T886" s="20" t="s">
        <v>59</v>
      </c>
      <c r="U886" s="20">
        <v>2026.0</v>
      </c>
      <c r="V886" s="20">
        <v>6.0</v>
      </c>
      <c r="W886" s="20">
        <v>1.081875796E9</v>
      </c>
      <c r="X886" s="20">
        <v>1.081894268E9</v>
      </c>
      <c r="Y886" s="22">
        <v>46182.0</v>
      </c>
      <c r="Z886" s="22">
        <v>46207.0</v>
      </c>
      <c r="AA886" s="20">
        <v>127633.51</v>
      </c>
      <c r="AB886" s="20">
        <v>127633.51</v>
      </c>
      <c r="AC886" s="20">
        <v>42544.51</v>
      </c>
      <c r="AD886" s="20">
        <v>250.0</v>
      </c>
      <c r="AE886" s="20">
        <v>0.0</v>
      </c>
      <c r="AF886" s="20">
        <v>0.0</v>
      </c>
      <c r="AG886" s="20">
        <v>0.0</v>
      </c>
      <c r="AH886" s="20">
        <v>0.0</v>
      </c>
      <c r="AI886" s="20">
        <v>0.0</v>
      </c>
      <c r="AJ886" s="20">
        <v>127633.51</v>
      </c>
      <c r="AK886" s="20">
        <v>127633.51</v>
      </c>
      <c r="AL886" s="20">
        <v>0.0</v>
      </c>
      <c r="AM886" s="20">
        <v>376.2</v>
      </c>
      <c r="AN886" s="20">
        <v>0.0</v>
      </c>
      <c r="AS886" s="11" t="str">
        <f>VLOOKUP(C886,'mayo-26'!B:AS,44,0)</f>
        <v>FE-SERVICIOSPUBLICOS@PROSALON.COM.CO</v>
      </c>
      <c r="AT886" s="12" t="str">
        <f>VLOOKUP(C886,'mayo-26'!B:AT,45,0)</f>
        <v>VERIFICADOR</v>
      </c>
    </row>
    <row r="887" ht="14.25" customHeight="1">
      <c r="A887" s="20" t="s">
        <v>1849</v>
      </c>
      <c r="B887" s="20">
        <v>503.0</v>
      </c>
      <c r="C887" s="20">
        <v>370585.0</v>
      </c>
      <c r="D887" s="21">
        <v>378874.0</v>
      </c>
      <c r="G887" s="20" t="s">
        <v>258</v>
      </c>
      <c r="H887" s="20" t="s">
        <v>259</v>
      </c>
      <c r="I887" s="1" t="str">
        <f>VLOOKUP(C887,'mayo-26'!B:H,7,0)</f>
        <v>CLL 10 0E-51 SUB 4 ARM 8 LOCAL 1</v>
      </c>
      <c r="J887" s="1" t="s">
        <v>991</v>
      </c>
      <c r="K887" s="10" t="str">
        <f>VLOOKUP(C887,'mayo-26'!B:J,9,0)</f>
        <v>JARDIN PLAZA</v>
      </c>
      <c r="L887" s="1" t="str">
        <f>VLOOKUP(C887,'mayo-26'!B:K,10,0)</f>
        <v>VERTEBRA</v>
      </c>
      <c r="M887" s="20" t="s">
        <v>52</v>
      </c>
      <c r="N887" s="20" t="s">
        <v>89</v>
      </c>
      <c r="O887" s="20" t="s">
        <v>861</v>
      </c>
      <c r="P887" s="20" t="s">
        <v>126</v>
      </c>
      <c r="Q887" s="20" t="s">
        <v>56</v>
      </c>
      <c r="R887" s="20" t="s">
        <v>90</v>
      </c>
      <c r="S887" s="20" t="s">
        <v>143</v>
      </c>
      <c r="T887" s="20" t="s">
        <v>59</v>
      </c>
      <c r="U887" s="20">
        <v>2026.0</v>
      </c>
      <c r="V887" s="20">
        <v>6.0</v>
      </c>
      <c r="W887" s="20">
        <v>1.0818758E9</v>
      </c>
      <c r="X887" s="20">
        <v>1.081894272E9</v>
      </c>
      <c r="Y887" s="22">
        <v>46182.0</v>
      </c>
      <c r="Z887" s="22">
        <v>46207.0</v>
      </c>
      <c r="AA887" s="20">
        <v>127633.51</v>
      </c>
      <c r="AB887" s="20">
        <v>127633.51</v>
      </c>
      <c r="AC887" s="20">
        <v>42544.51</v>
      </c>
      <c r="AD887" s="20">
        <v>250.0</v>
      </c>
      <c r="AE887" s="20">
        <v>0.0</v>
      </c>
      <c r="AF887" s="20">
        <v>0.0</v>
      </c>
      <c r="AG887" s="20">
        <v>0.0</v>
      </c>
      <c r="AH887" s="20">
        <v>0.0</v>
      </c>
      <c r="AI887" s="20">
        <v>0.0</v>
      </c>
      <c r="AJ887" s="20">
        <v>127633.51</v>
      </c>
      <c r="AK887" s="20">
        <v>127633.51</v>
      </c>
      <c r="AL887" s="20">
        <v>0.0</v>
      </c>
      <c r="AM887" s="20">
        <v>376.2</v>
      </c>
      <c r="AN887" s="20">
        <v>0.0</v>
      </c>
      <c r="AS887" s="11" t="str">
        <f>VLOOKUP(C887,'mayo-26'!B:AS,44,0)</f>
        <v>FACTURAS@VERTEBRA.TECH</v>
      </c>
      <c r="AT887" s="12" t="str">
        <f>VLOOKUP(C887,'mayo-26'!B:AT,45,0)</f>
        <v>VERIFICADOR</v>
      </c>
    </row>
    <row r="888" ht="14.25" customHeight="1">
      <c r="A888" s="20" t="s">
        <v>1850</v>
      </c>
      <c r="B888" s="20">
        <v>655.0</v>
      </c>
      <c r="C888" s="20">
        <v>381.0</v>
      </c>
      <c r="D888" s="21">
        <v>381.0</v>
      </c>
      <c r="E888" s="20">
        <v>9.0243125E7</v>
      </c>
      <c r="F888" s="20">
        <v>9.0243125E7</v>
      </c>
      <c r="G888" s="20" t="s">
        <v>1411</v>
      </c>
      <c r="H888" s="20" t="s">
        <v>1412</v>
      </c>
      <c r="I888" s="1" t="str">
        <f>VLOOKUP(C888,'mayo-26'!B:H,7,0)</f>
        <v>S06 CC JARDIN PLAZA</v>
      </c>
      <c r="J888" s="1" t="s">
        <v>982</v>
      </c>
      <c r="K888" s="10" t="str">
        <f>VLOOKUP(C888,'mayo-26'!B:J,9,0)</f>
        <v>NO</v>
      </c>
      <c r="L888" s="1" t="str">
        <f>VLOOKUP(C888,'mayo-26'!B:K,10,0)</f>
        <v>NO</v>
      </c>
      <c r="M888" s="20" t="s">
        <v>52</v>
      </c>
      <c r="N888" s="20" t="s">
        <v>53</v>
      </c>
      <c r="O888" s="20" t="s">
        <v>861</v>
      </c>
      <c r="P888" s="20" t="s">
        <v>126</v>
      </c>
      <c r="Q888" s="20" t="s">
        <v>56</v>
      </c>
      <c r="R888" s="20" t="s">
        <v>90</v>
      </c>
      <c r="S888" s="20" t="s">
        <v>143</v>
      </c>
      <c r="T888" s="20" t="s">
        <v>59</v>
      </c>
      <c r="U888" s="20">
        <v>2026.0</v>
      </c>
      <c r="V888" s="20">
        <v>6.0</v>
      </c>
      <c r="W888" s="20">
        <v>1.081875492E9</v>
      </c>
      <c r="X888" s="20">
        <v>1.081893964E9</v>
      </c>
      <c r="Y888" s="22">
        <v>46182.0</v>
      </c>
      <c r="Z888" s="22">
        <v>46207.0</v>
      </c>
      <c r="AA888" s="20">
        <v>127633.51</v>
      </c>
      <c r="AB888" s="20">
        <v>127633.51</v>
      </c>
      <c r="AC888" s="20">
        <v>42544.51</v>
      </c>
      <c r="AD888" s="20">
        <v>250.0</v>
      </c>
      <c r="AE888" s="20">
        <v>0.0</v>
      </c>
      <c r="AF888" s="20">
        <v>0.0</v>
      </c>
      <c r="AG888" s="20">
        <v>0.0</v>
      </c>
      <c r="AH888" s="20">
        <v>0.0</v>
      </c>
      <c r="AI888" s="20">
        <v>0.0</v>
      </c>
      <c r="AJ888" s="20">
        <v>127633.51</v>
      </c>
      <c r="AK888" s="20">
        <v>127633.51</v>
      </c>
      <c r="AL888" s="20">
        <v>0.0</v>
      </c>
      <c r="AM888" s="20">
        <v>376.2</v>
      </c>
      <c r="AN888" s="20">
        <v>0.0</v>
      </c>
      <c r="AS888" s="11" t="str">
        <f>VLOOKUP(C888,'mayo-26'!B:AS,44,0)</f>
        <v>ANALISTA.CONTABILIDAD4@SUPERGIROSNORTESANTANDER.CO;GERENCIA@SUPERGIROSNORTESANTANDER.CO</v>
      </c>
      <c r="AT888" s="12" t="str">
        <f>VLOOKUP(C888,'mayo-26'!B:AT,45,0)</f>
        <v>CORREO ELECTRONICO CERTIFICADO 472</v>
      </c>
    </row>
    <row r="889" ht="14.25" customHeight="1">
      <c r="A889" s="20" t="s">
        <v>1851</v>
      </c>
      <c r="B889" s="20">
        <v>699.0</v>
      </c>
      <c r="C889" s="20">
        <v>384533.0</v>
      </c>
      <c r="D889" s="21">
        <v>398789.0</v>
      </c>
      <c r="E889" s="20">
        <v>1062265.0</v>
      </c>
      <c r="F889" s="20">
        <v>1062265.0</v>
      </c>
      <c r="G889" s="20">
        <v>9.00480569E8</v>
      </c>
      <c r="H889" s="20" t="s">
        <v>141</v>
      </c>
      <c r="I889" s="1" t="str">
        <f>VLOOKUP(C889,'mayo-26'!B:H,7,0)</f>
        <v>CLL 12 4-52 CENTRO</v>
      </c>
      <c r="J889" s="1" t="s">
        <v>865</v>
      </c>
      <c r="K889" s="10" t="str">
        <f>VLOOKUP(C889,'mayo-26'!B:J,9,0)</f>
        <v>NO</v>
      </c>
      <c r="L889" s="1" t="str">
        <f>VLOOKUP(C889,'mayo-26'!B:K,10,0)</f>
        <v>ARA CUCUTA</v>
      </c>
      <c r="M889" s="20" t="s">
        <v>52</v>
      </c>
      <c r="N889" s="20" t="s">
        <v>53</v>
      </c>
      <c r="O889" s="20" t="s">
        <v>861</v>
      </c>
      <c r="P889" s="20" t="s">
        <v>126</v>
      </c>
      <c r="Q889" s="20" t="s">
        <v>56</v>
      </c>
      <c r="R889" s="20" t="s">
        <v>90</v>
      </c>
      <c r="S889" s="20" t="s">
        <v>143</v>
      </c>
      <c r="T889" s="20" t="s">
        <v>59</v>
      </c>
      <c r="U889" s="20">
        <v>2026.0</v>
      </c>
      <c r="V889" s="20">
        <v>6.0</v>
      </c>
      <c r="W889" s="20">
        <v>1.081875802E9</v>
      </c>
      <c r="X889" s="20">
        <v>1.081894274E9</v>
      </c>
      <c r="Y889" s="22">
        <v>46182.0</v>
      </c>
      <c r="Z889" s="22">
        <v>46207.0</v>
      </c>
      <c r="AA889" s="20">
        <v>561569.54</v>
      </c>
      <c r="AB889" s="20">
        <v>561569.54</v>
      </c>
      <c r="AC889" s="20">
        <v>184393.1</v>
      </c>
      <c r="AD889" s="20">
        <v>1745.0</v>
      </c>
      <c r="AE889" s="20">
        <v>8390.25</v>
      </c>
      <c r="AF889" s="20">
        <v>0.0</v>
      </c>
      <c r="AG889" s="20">
        <v>0.0</v>
      </c>
      <c r="AH889" s="20">
        <v>0.0</v>
      </c>
      <c r="AI889" s="20">
        <v>0.0</v>
      </c>
      <c r="AJ889" s="20">
        <v>561569.54</v>
      </c>
      <c r="AK889" s="20">
        <v>1115642.85</v>
      </c>
      <c r="AL889" s="20">
        <v>1.0</v>
      </c>
      <c r="AM889" s="20">
        <v>376.2</v>
      </c>
      <c r="AN889" s="20">
        <v>0.0</v>
      </c>
      <c r="AS889" s="11" t="str">
        <f>VLOOKUP(C889,'mayo-26'!B:AS,44,0)</f>
        <v>COORDINADOR.OPERACIONES.R11@JERONIMO-MARTINS.COM</v>
      </c>
      <c r="AT889" s="12" t="str">
        <f>VLOOKUP(C889,'mayo-26'!B:AT,45,0)</f>
        <v>CORREO ELECTRONICO CERTIFICADO 472</v>
      </c>
    </row>
    <row r="890" ht="14.25" customHeight="1">
      <c r="A890" s="20" t="s">
        <v>1852</v>
      </c>
      <c r="B890" s="20">
        <v>390.0</v>
      </c>
      <c r="C890" s="20">
        <v>389.0</v>
      </c>
      <c r="D890" s="21">
        <v>389.0</v>
      </c>
      <c r="E890" s="20">
        <v>9.0243279E7</v>
      </c>
      <c r="F890" s="20">
        <v>9.0243279E7</v>
      </c>
      <c r="G890" s="20" t="s">
        <v>875</v>
      </c>
      <c r="H890" s="20" t="s">
        <v>1853</v>
      </c>
      <c r="I890" s="1" t="str">
        <f>VLOOKUP(C890,'mayo-26'!B:H,7,0)</f>
        <v>AVE 5 9-25</v>
      </c>
      <c r="J890" s="1" t="s">
        <v>982</v>
      </c>
      <c r="K890" s="10" t="str">
        <f>VLOOKUP(C890,'mayo-26'!B:J,9,0)</f>
        <v>NO</v>
      </c>
      <c r="L890" s="1" t="str">
        <f>VLOOKUP(C890,'mayo-26'!B:K,10,0)</f>
        <v>NO</v>
      </c>
      <c r="M890" s="20" t="s">
        <v>52</v>
      </c>
      <c r="N890" s="20" t="s">
        <v>89</v>
      </c>
      <c r="O890" s="20" t="s">
        <v>861</v>
      </c>
      <c r="P890" s="20" t="s">
        <v>126</v>
      </c>
      <c r="Q890" s="20" t="s">
        <v>131</v>
      </c>
      <c r="R890" s="20" t="s">
        <v>151</v>
      </c>
      <c r="S890" s="20" t="s">
        <v>133</v>
      </c>
      <c r="T890" s="20" t="s">
        <v>59</v>
      </c>
      <c r="U890" s="20">
        <v>2026.0</v>
      </c>
      <c r="V890" s="20">
        <v>6.0</v>
      </c>
      <c r="W890" s="20">
        <v>1.081875496E9</v>
      </c>
      <c r="X890" s="20">
        <v>1.081893968E9</v>
      </c>
      <c r="Y890" s="22">
        <v>46182.0</v>
      </c>
      <c r="Z890" s="22">
        <v>46207.0</v>
      </c>
      <c r="AA890" s="20">
        <v>75419.0</v>
      </c>
      <c r="AB890" s="20">
        <v>75419.0</v>
      </c>
      <c r="AC890" s="20">
        <v>0.0</v>
      </c>
      <c r="AD890" s="20">
        <v>0.0</v>
      </c>
      <c r="AE890" s="20">
        <v>0.0</v>
      </c>
      <c r="AF890" s="20">
        <v>0.0</v>
      </c>
      <c r="AG890" s="20">
        <v>0.0</v>
      </c>
      <c r="AH890" s="20">
        <v>0.0</v>
      </c>
      <c r="AI890" s="20">
        <v>0.0</v>
      </c>
      <c r="AJ890" s="20">
        <v>75419.0</v>
      </c>
      <c r="AK890" s="20">
        <v>75419.81</v>
      </c>
      <c r="AL890" s="20">
        <v>1.0</v>
      </c>
      <c r="AM890" s="20">
        <v>250.8</v>
      </c>
      <c r="AN890" s="20">
        <v>0.0</v>
      </c>
      <c r="AS890" s="11" t="str">
        <f>VLOOKUP(C890,'mayo-26'!B:AS,44,0)</f>
        <v>fundacion@ceramicaitalia.com</v>
      </c>
      <c r="AT890" s="12" t="str">
        <f>VLOOKUP(C890,'mayo-26'!B:AT,45,0)</f>
        <v>CORREO ELECTRONICO CERTIFICADO 472</v>
      </c>
    </row>
    <row r="891" ht="14.25" customHeight="1">
      <c r="A891" s="20" t="s">
        <v>1854</v>
      </c>
      <c r="B891" s="20">
        <v>394.0</v>
      </c>
      <c r="C891" s="20">
        <v>393.0</v>
      </c>
      <c r="D891" s="21">
        <v>393.0</v>
      </c>
      <c r="E891" s="20">
        <v>9.0243455E7</v>
      </c>
      <c r="F891" s="20">
        <v>9.0243455E7</v>
      </c>
      <c r="G891" s="20">
        <v>8.07000528E8</v>
      </c>
      <c r="H891" s="20" t="s">
        <v>1855</v>
      </c>
      <c r="I891" s="1" t="str">
        <f>VLOOKUP(C891,'mayo-26'!B:H,7,0)</f>
        <v>CLL 9 4-22.3 LOCALES</v>
      </c>
      <c r="J891" s="1" t="s">
        <v>982</v>
      </c>
      <c r="K891" s="10" t="str">
        <f>VLOOKUP(C891,'mayo-26'!B:J,9,0)</f>
        <v>NO</v>
      </c>
      <c r="L891" s="1" t="str">
        <f>VLOOKUP(C891,'mayo-26'!B:K,10,0)</f>
        <v>NO</v>
      </c>
      <c r="M891" s="20" t="s">
        <v>52</v>
      </c>
      <c r="N891" s="20" t="s">
        <v>89</v>
      </c>
      <c r="O891" s="20" t="s">
        <v>861</v>
      </c>
      <c r="P891" s="20" t="s">
        <v>126</v>
      </c>
      <c r="Q891" s="20" t="s">
        <v>56</v>
      </c>
      <c r="R891" s="20" t="s">
        <v>90</v>
      </c>
      <c r="S891" s="20" t="s">
        <v>143</v>
      </c>
      <c r="T891" s="20" t="s">
        <v>59</v>
      </c>
      <c r="U891" s="20">
        <v>2026.0</v>
      </c>
      <c r="V891" s="20">
        <v>6.0</v>
      </c>
      <c r="W891" s="20">
        <v>1.081875502E9</v>
      </c>
      <c r="X891" s="20">
        <v>1.081893974E9</v>
      </c>
      <c r="Y891" s="22">
        <v>46182.0</v>
      </c>
      <c r="Z891" s="22">
        <v>46207.0</v>
      </c>
      <c r="AA891" s="20">
        <v>1451237.4</v>
      </c>
      <c r="AB891" s="20">
        <v>1451237.4</v>
      </c>
      <c r="AC891" s="20">
        <v>483745.8</v>
      </c>
      <c r="AD891" s="20">
        <v>4900.0</v>
      </c>
      <c r="AE891" s="20">
        <v>0.0</v>
      </c>
      <c r="AF891" s="20">
        <v>0.0</v>
      </c>
      <c r="AG891" s="20">
        <v>0.0</v>
      </c>
      <c r="AH891" s="20">
        <v>0.0</v>
      </c>
      <c r="AI891" s="20">
        <v>0.0</v>
      </c>
      <c r="AJ891" s="20">
        <v>1451237.4</v>
      </c>
      <c r="AK891" s="20">
        <v>1451238.22</v>
      </c>
      <c r="AL891" s="20">
        <v>1.0</v>
      </c>
      <c r="AM891" s="20">
        <v>376.2</v>
      </c>
      <c r="AN891" s="20">
        <v>0.0</v>
      </c>
      <c r="AS891" s="11" t="str">
        <f>VLOOKUP(C891,'mayo-26'!B:AS,44,0)</f>
        <v>GIBA-L@HOTMAIL.COM</v>
      </c>
      <c r="AT891" s="12" t="str">
        <f>VLOOKUP(C891,'mayo-26'!B:AT,45,0)</f>
        <v>CORREO ELECTRONICO CERTIFICADO 472</v>
      </c>
    </row>
    <row r="892" ht="14.25" customHeight="1">
      <c r="A892" s="20" t="s">
        <v>1856</v>
      </c>
      <c r="B892" s="20">
        <v>398.0</v>
      </c>
      <c r="C892" s="20">
        <v>397.0</v>
      </c>
      <c r="D892" s="21">
        <v>397.0</v>
      </c>
      <c r="E892" s="20">
        <v>9.0244133E7</v>
      </c>
      <c r="F892" s="20">
        <v>9.0244133E7</v>
      </c>
      <c r="G892" s="20" t="s">
        <v>1532</v>
      </c>
      <c r="H892" s="20" t="s">
        <v>1533</v>
      </c>
      <c r="I892" s="1" t="str">
        <f>VLOOKUP(C892,'mayo-26'!B:H,7,0)</f>
        <v>AVENIDA 0 9 - 80 EDIFICIO ROSETAL</v>
      </c>
      <c r="J892" s="1" t="s">
        <v>1015</v>
      </c>
      <c r="K892" s="10" t="str">
        <f>VLOOKUP(C892,'mayo-26'!B:J,9,0)</f>
        <v>NO</v>
      </c>
      <c r="L892" s="1" t="str">
        <f>VLOOKUP(C892,'mayo-26'!B:K,10,0)</f>
        <v>NO</v>
      </c>
      <c r="M892" s="20" t="s">
        <v>52</v>
      </c>
      <c r="N892" s="20" t="s">
        <v>53</v>
      </c>
      <c r="O892" s="20" t="s">
        <v>861</v>
      </c>
      <c r="P892" s="20" t="s">
        <v>126</v>
      </c>
      <c r="Q892" s="20" t="s">
        <v>131</v>
      </c>
      <c r="R892" s="20" t="s">
        <v>151</v>
      </c>
      <c r="S892" s="20" t="s">
        <v>133</v>
      </c>
      <c r="T892" s="20" t="s">
        <v>59</v>
      </c>
      <c r="U892" s="20">
        <v>2026.0</v>
      </c>
      <c r="V892" s="20">
        <v>6.0</v>
      </c>
      <c r="W892" s="20">
        <v>1.081875506E9</v>
      </c>
      <c r="X892" s="20">
        <v>1.081893978E9</v>
      </c>
      <c r="Y892" s="22">
        <v>46182.0</v>
      </c>
      <c r="Z892" s="22">
        <v>46207.0</v>
      </c>
      <c r="AA892" s="20">
        <v>75419.0</v>
      </c>
      <c r="AB892" s="20">
        <v>75419.0</v>
      </c>
      <c r="AC892" s="20">
        <v>0.0</v>
      </c>
      <c r="AD892" s="20">
        <v>0.0</v>
      </c>
      <c r="AE892" s="20">
        <v>0.0</v>
      </c>
      <c r="AF892" s="20">
        <v>0.0</v>
      </c>
      <c r="AG892" s="20">
        <v>0.0</v>
      </c>
      <c r="AH892" s="20">
        <v>0.0</v>
      </c>
      <c r="AI892" s="20">
        <v>0.0</v>
      </c>
      <c r="AJ892" s="20">
        <v>75419.0</v>
      </c>
      <c r="AK892" s="20">
        <v>1050031.85</v>
      </c>
      <c r="AL892" s="20">
        <v>13.0</v>
      </c>
      <c r="AM892" s="20">
        <v>250.8</v>
      </c>
      <c r="AN892" s="20">
        <v>0.0</v>
      </c>
      <c r="AS892" s="11" t="str">
        <f>VLOOKUP(C892,'mayo-26'!B:AS,44,0)</f>
        <v>TESORERIA@IFINORTE.GOV.CO</v>
      </c>
      <c r="AT892" s="12" t="str">
        <f>VLOOKUP(C892,'mayo-26'!B:AT,45,0)</f>
        <v>CORREO ELECTRONICO CERTIFICADO 472</v>
      </c>
    </row>
    <row r="893" ht="14.25" customHeight="1">
      <c r="A893" s="20" t="s">
        <v>1857</v>
      </c>
      <c r="B893" s="20">
        <v>455370.0</v>
      </c>
      <c r="C893" s="20">
        <v>401.0</v>
      </c>
      <c r="D893" s="21">
        <v>401.0</v>
      </c>
      <c r="E893" s="20">
        <v>9.0244914E7</v>
      </c>
      <c r="F893" s="20">
        <v>9.0244914E7</v>
      </c>
      <c r="G893" s="20" t="s">
        <v>148</v>
      </c>
      <c r="H893" s="20" t="s">
        <v>149</v>
      </c>
      <c r="I893" s="1" t="str">
        <f>VLOOKUP(C893,'mayo-26'!B:H,7,0)</f>
        <v>CALLE 10 NO 0E-16 EDF CENTRO EMPRESARIAL BLOQUE B HOTEL TONCHALA</v>
      </c>
      <c r="J893" s="1" t="s">
        <v>1322</v>
      </c>
      <c r="K893" s="10" t="str">
        <f>VLOOKUP(C893,'mayo-26'!B:J,9,0)</f>
        <v>NO</v>
      </c>
      <c r="L893" s="1" t="str">
        <f>VLOOKUP(C893,'mayo-26'!B:K,10,0)</f>
        <v>COLEGIOS ZONA SUR</v>
      </c>
      <c r="M893" s="20" t="s">
        <v>52</v>
      </c>
      <c r="N893" s="20" t="s">
        <v>53</v>
      </c>
      <c r="O893" s="20" t="s">
        <v>861</v>
      </c>
      <c r="P893" s="20" t="s">
        <v>126</v>
      </c>
      <c r="Q893" s="20" t="s">
        <v>56</v>
      </c>
      <c r="R893" s="20" t="s">
        <v>57</v>
      </c>
      <c r="S893" s="20" t="s">
        <v>143</v>
      </c>
      <c r="T893" s="20" t="s">
        <v>59</v>
      </c>
      <c r="U893" s="20">
        <v>2026.0</v>
      </c>
      <c r="V893" s="20">
        <v>6.0</v>
      </c>
      <c r="W893" s="20">
        <v>1.08187551E9</v>
      </c>
      <c r="X893" s="20">
        <v>1.081893982E9</v>
      </c>
      <c r="Y893" s="22">
        <v>46182.0</v>
      </c>
      <c r="Z893" s="22">
        <v>46207.0</v>
      </c>
      <c r="AA893" s="20">
        <v>150557.59</v>
      </c>
      <c r="AB893" s="20">
        <v>150557.59</v>
      </c>
      <c r="AC893" s="20">
        <v>0.0</v>
      </c>
      <c r="AD893" s="20">
        <v>595.0</v>
      </c>
      <c r="AE893" s="20">
        <v>0.0</v>
      </c>
      <c r="AF893" s="20">
        <v>0.0</v>
      </c>
      <c r="AG893" s="20">
        <v>0.0</v>
      </c>
      <c r="AH893" s="20">
        <v>0.0</v>
      </c>
      <c r="AI893" s="20">
        <v>0.0</v>
      </c>
      <c r="AJ893" s="20">
        <v>150557.59</v>
      </c>
      <c r="AK893" s="20">
        <v>449962.38</v>
      </c>
      <c r="AL893" s="20">
        <v>3.0</v>
      </c>
      <c r="AM893" s="20">
        <v>250.8</v>
      </c>
      <c r="AN893" s="20">
        <v>0.0</v>
      </c>
      <c r="AS893" s="11" t="str">
        <f>VLOOKUP(C893,'mayo-26'!B:AS,44,0)</f>
        <v>AREAFINANCIERA@SEMCUCUTA.GOV.CO</v>
      </c>
      <c r="AT893" s="12" t="str">
        <f>VLOOKUP(C893,'mayo-26'!B:AT,45,0)</f>
        <v>CARTERA</v>
      </c>
    </row>
    <row r="894" ht="14.25" customHeight="1">
      <c r="A894" s="20" t="s">
        <v>1858</v>
      </c>
      <c r="B894" s="20">
        <v>410.0</v>
      </c>
      <c r="C894" s="20">
        <v>409.0</v>
      </c>
      <c r="D894" s="21">
        <v>409.0</v>
      </c>
      <c r="E894" s="20">
        <v>9.0248601E7</v>
      </c>
      <c r="F894" s="20">
        <v>9.0248601E7</v>
      </c>
      <c r="G894" s="20">
        <v>8.00187384E8</v>
      </c>
      <c r="H894" s="20" t="s">
        <v>1859</v>
      </c>
      <c r="I894" s="1" t="str">
        <f>VLOOKUP(C894,'mayo-26'!B:H,7,0)</f>
        <v>AVE 7 9-66 HOTEL CACIQUE</v>
      </c>
      <c r="J894" s="1" t="s">
        <v>860</v>
      </c>
      <c r="K894" s="10" t="str">
        <f>VLOOKUP(C894,'mayo-26'!B:J,9,0)</f>
        <v>NO</v>
      </c>
      <c r="L894" s="1" t="str">
        <f>VLOOKUP(C894,'mayo-26'!B:K,10,0)</f>
        <v>NO</v>
      </c>
      <c r="M894" s="20" t="s">
        <v>52</v>
      </c>
      <c r="N894" s="20" t="s">
        <v>89</v>
      </c>
      <c r="O894" s="20" t="s">
        <v>861</v>
      </c>
      <c r="P894" s="20" t="s">
        <v>126</v>
      </c>
      <c r="Q894" s="20" t="s">
        <v>56</v>
      </c>
      <c r="R894" s="20" t="s">
        <v>90</v>
      </c>
      <c r="S894" s="20" t="s">
        <v>143</v>
      </c>
      <c r="T894" s="20" t="s">
        <v>59</v>
      </c>
      <c r="U894" s="20">
        <v>2026.0</v>
      </c>
      <c r="V894" s="20">
        <v>6.0</v>
      </c>
      <c r="W894" s="20">
        <v>1.081875513E9</v>
      </c>
      <c r="X894" s="20">
        <v>1.081893985E9</v>
      </c>
      <c r="Y894" s="22">
        <v>46182.0</v>
      </c>
      <c r="Z894" s="22">
        <v>46207.0</v>
      </c>
      <c r="AA894" s="20">
        <v>163214.28</v>
      </c>
      <c r="AB894" s="20">
        <v>163214.28</v>
      </c>
      <c r="AC894" s="20">
        <v>54404.77</v>
      </c>
      <c r="AD894" s="20">
        <v>375.0</v>
      </c>
      <c r="AE894" s="20">
        <v>0.0</v>
      </c>
      <c r="AF894" s="20">
        <v>0.0</v>
      </c>
      <c r="AG894" s="20">
        <v>0.0</v>
      </c>
      <c r="AH894" s="20">
        <v>0.0</v>
      </c>
      <c r="AI894" s="20">
        <v>0.0</v>
      </c>
      <c r="AJ894" s="20">
        <v>163214.28</v>
      </c>
      <c r="AK894" s="20">
        <v>163214.28</v>
      </c>
      <c r="AL894" s="20">
        <v>0.0</v>
      </c>
      <c r="AM894" s="20">
        <v>376.2</v>
      </c>
      <c r="AN894" s="20">
        <v>0.0</v>
      </c>
      <c r="AS894" s="11" t="str">
        <f>VLOOKUP(C894,'mayo-26'!B:AS,44,0)</f>
        <v>INVERSIONESMULTIPLE@HOTMAIL.COM</v>
      </c>
      <c r="AT894" s="12" t="str">
        <f>VLOOKUP(C894,'mayo-26'!B:AT,45,0)</f>
        <v>CORREO ELECTRONICO CERTIFICADO 472</v>
      </c>
    </row>
    <row r="895" ht="14.25" customHeight="1">
      <c r="A895" s="20" t="s">
        <v>1860</v>
      </c>
      <c r="B895" s="20">
        <v>455370.0</v>
      </c>
      <c r="C895" s="20">
        <v>413.0</v>
      </c>
      <c r="D895" s="21">
        <v>413.0</v>
      </c>
      <c r="E895" s="20">
        <v>9.0250411E7</v>
      </c>
      <c r="F895" s="20">
        <v>9.0250411E7</v>
      </c>
      <c r="G895" s="20" t="s">
        <v>148</v>
      </c>
      <c r="H895" s="20" t="s">
        <v>149</v>
      </c>
      <c r="I895" s="1" t="str">
        <f>VLOOKUP(C895,'mayo-26'!B:H,7,0)</f>
        <v>CALLE 10 NO 0E-16 EDF CENTRO EMPRESARIAL BLOQUE B HOTEL TONCHALA</v>
      </c>
      <c r="J895" s="1" t="s">
        <v>1021</v>
      </c>
      <c r="K895" s="10" t="str">
        <f>VLOOKUP(C895,'mayo-26'!B:J,9,0)</f>
        <v>NO</v>
      </c>
      <c r="L895" s="1" t="str">
        <f>VLOOKUP(C895,'mayo-26'!B:K,10,0)</f>
        <v>COLEGIOS ZONA SUR</v>
      </c>
      <c r="M895" s="20" t="s">
        <v>52</v>
      </c>
      <c r="N895" s="20" t="s">
        <v>53</v>
      </c>
      <c r="O895" s="20" t="s">
        <v>861</v>
      </c>
      <c r="P895" s="20" t="s">
        <v>126</v>
      </c>
      <c r="Q895" s="20" t="s">
        <v>56</v>
      </c>
      <c r="R895" s="20" t="s">
        <v>57</v>
      </c>
      <c r="S895" s="20" t="s">
        <v>143</v>
      </c>
      <c r="T895" s="20" t="s">
        <v>59</v>
      </c>
      <c r="U895" s="20">
        <v>2026.0</v>
      </c>
      <c r="V895" s="20">
        <v>6.0</v>
      </c>
      <c r="W895" s="20">
        <v>1.081875517E9</v>
      </c>
      <c r="X895" s="20">
        <v>1.081893989E9</v>
      </c>
      <c r="Y895" s="22">
        <v>46182.0</v>
      </c>
      <c r="Z895" s="22">
        <v>46207.0</v>
      </c>
      <c r="AA895" s="20">
        <v>160994.6</v>
      </c>
      <c r="AB895" s="20">
        <v>160994.6</v>
      </c>
      <c r="AC895" s="20">
        <v>0.0</v>
      </c>
      <c r="AD895" s="20">
        <v>650.0</v>
      </c>
      <c r="AE895" s="20">
        <v>0.0</v>
      </c>
      <c r="AF895" s="20">
        <v>0.0</v>
      </c>
      <c r="AG895" s="20">
        <v>0.0</v>
      </c>
      <c r="AH895" s="20">
        <v>0.0</v>
      </c>
      <c r="AI895" s="20">
        <v>0.0</v>
      </c>
      <c r="AJ895" s="20">
        <v>160994.6</v>
      </c>
      <c r="AK895" s="20">
        <v>481027.9</v>
      </c>
      <c r="AL895" s="20">
        <v>3.0</v>
      </c>
      <c r="AM895" s="20">
        <v>250.8</v>
      </c>
      <c r="AN895" s="20">
        <v>0.0</v>
      </c>
      <c r="AS895" s="11" t="str">
        <f>VLOOKUP(C895,'mayo-26'!B:AS,44,0)</f>
        <v>AREAFINANCIERA@SEMCUCUTA.GOV.CO</v>
      </c>
      <c r="AT895" s="12" t="str">
        <f>VLOOKUP(C895,'mayo-26'!B:AT,45,0)</f>
        <v>CARTERA</v>
      </c>
    </row>
    <row r="896" ht="14.25" customHeight="1">
      <c r="A896" s="20" t="s">
        <v>1861</v>
      </c>
      <c r="B896" s="20">
        <v>455370.0</v>
      </c>
      <c r="C896" s="20">
        <v>417.0</v>
      </c>
      <c r="D896" s="21">
        <v>417.0</v>
      </c>
      <c r="E896" s="20">
        <v>9.0251543E7</v>
      </c>
      <c r="F896" s="20">
        <v>9.0251543E7</v>
      </c>
      <c r="G896" s="20" t="s">
        <v>148</v>
      </c>
      <c r="H896" s="20" t="s">
        <v>149</v>
      </c>
      <c r="I896" s="1" t="str">
        <f>VLOOKUP(C896,'mayo-26'!B:H,7,0)</f>
        <v>CALLE 10 NO 0E-16 EDF CENTRO EMPRESARIAL BLOQUE B HOTEL TONCHALA</v>
      </c>
      <c r="J896" s="1" t="s">
        <v>1862</v>
      </c>
      <c r="K896" s="10" t="str">
        <f>VLOOKUP(C896,'mayo-26'!B:J,9,0)</f>
        <v>NO</v>
      </c>
      <c r="L896" s="1" t="str">
        <f>VLOOKUP(C896,'mayo-26'!B:K,10,0)</f>
        <v>COLEGIOS ZONA SUR</v>
      </c>
      <c r="M896" s="20" t="s">
        <v>52</v>
      </c>
      <c r="N896" s="20" t="s">
        <v>53</v>
      </c>
      <c r="O896" s="20" t="s">
        <v>861</v>
      </c>
      <c r="P896" s="20" t="s">
        <v>126</v>
      </c>
      <c r="Q896" s="20" t="s">
        <v>56</v>
      </c>
      <c r="R896" s="20" t="s">
        <v>57</v>
      </c>
      <c r="S896" s="20" t="s">
        <v>143</v>
      </c>
      <c r="T896" s="20" t="s">
        <v>59</v>
      </c>
      <c r="U896" s="20">
        <v>2026.0</v>
      </c>
      <c r="V896" s="20">
        <v>6.0</v>
      </c>
      <c r="W896" s="20">
        <v>1.081875521E9</v>
      </c>
      <c r="X896" s="20">
        <v>1.081893993E9</v>
      </c>
      <c r="Y896" s="22">
        <v>46182.0</v>
      </c>
      <c r="Z896" s="22">
        <v>46207.0</v>
      </c>
      <c r="AA896" s="20">
        <v>166308.0</v>
      </c>
      <c r="AB896" s="20">
        <v>166308.0</v>
      </c>
      <c r="AC896" s="20">
        <v>0.0</v>
      </c>
      <c r="AD896" s="20">
        <v>678.0</v>
      </c>
      <c r="AE896" s="20">
        <v>0.0</v>
      </c>
      <c r="AF896" s="20">
        <v>0.0</v>
      </c>
      <c r="AG896" s="20">
        <v>0.0</v>
      </c>
      <c r="AH896" s="20">
        <v>0.0</v>
      </c>
      <c r="AI896" s="20">
        <v>0.0</v>
      </c>
      <c r="AJ896" s="20">
        <v>166308.0</v>
      </c>
      <c r="AK896" s="20">
        <v>496843.1</v>
      </c>
      <c r="AL896" s="20">
        <v>3.0</v>
      </c>
      <c r="AM896" s="20">
        <v>250.8</v>
      </c>
      <c r="AN896" s="20">
        <v>0.0</v>
      </c>
      <c r="AS896" s="11" t="str">
        <f>VLOOKUP(C896,'mayo-26'!B:AS,44,0)</f>
        <v>AREAFINANCIERA@SEMCUCUTA.GOV.CO</v>
      </c>
      <c r="AT896" s="12" t="str">
        <f>VLOOKUP(C896,'mayo-26'!B:AT,45,0)</f>
        <v>CARTERA</v>
      </c>
    </row>
    <row r="897" ht="14.25" customHeight="1">
      <c r="A897" s="20" t="s">
        <v>1863</v>
      </c>
      <c r="B897" s="20">
        <v>3283.0</v>
      </c>
      <c r="C897" s="20">
        <v>421.0</v>
      </c>
      <c r="D897" s="21">
        <v>421.0</v>
      </c>
      <c r="E897" s="20">
        <v>9.0253205E7</v>
      </c>
      <c r="F897" s="20">
        <v>9.0253205E7</v>
      </c>
      <c r="G897" s="20">
        <v>8.90900608E8</v>
      </c>
      <c r="H897" s="20" t="s">
        <v>606</v>
      </c>
      <c r="I897" s="1" t="str">
        <f>VLOOKUP(C897,'mayo-26'!B:H,7,0)</f>
        <v>CLL 5 # 7-60 CENTRO</v>
      </c>
      <c r="J897" s="1" t="s">
        <v>895</v>
      </c>
      <c r="K897" s="10" t="str">
        <f>VLOOKUP(C897,'mayo-26'!B:J,9,0)</f>
        <v>NO</v>
      </c>
      <c r="L897" s="1" t="str">
        <f>VLOOKUP(C897,'mayo-26'!B:K,10,0)</f>
        <v>EXITO</v>
      </c>
      <c r="M897" s="20" t="s">
        <v>52</v>
      </c>
      <c r="N897" s="20" t="s">
        <v>89</v>
      </c>
      <c r="O897" s="20" t="s">
        <v>861</v>
      </c>
      <c r="P897" s="20" t="s">
        <v>126</v>
      </c>
      <c r="Q897" s="20" t="s">
        <v>56</v>
      </c>
      <c r="R897" s="20" t="s">
        <v>90</v>
      </c>
      <c r="S897" s="20" t="s">
        <v>58</v>
      </c>
      <c r="T897" s="20" t="s">
        <v>59</v>
      </c>
      <c r="U897" s="20">
        <v>2026.0</v>
      </c>
      <c r="V897" s="20">
        <v>6.0</v>
      </c>
      <c r="W897" s="20">
        <v>1.081875524E9</v>
      </c>
      <c r="X897" s="20">
        <v>1.081893996E9</v>
      </c>
      <c r="Y897" s="22">
        <v>46182.0</v>
      </c>
      <c r="Z897" s="22">
        <v>46207.0</v>
      </c>
      <c r="AA897" s="20">
        <v>4481934.52</v>
      </c>
      <c r="AB897" s="20">
        <v>4481934.52</v>
      </c>
      <c r="AC897" s="20">
        <v>1493978.18</v>
      </c>
      <c r="AD897" s="20">
        <v>15547.25</v>
      </c>
      <c r="AE897" s="20">
        <v>0.0</v>
      </c>
      <c r="AF897" s="20">
        <v>0.0</v>
      </c>
      <c r="AG897" s="20">
        <v>0.0</v>
      </c>
      <c r="AH897" s="20">
        <v>0.0</v>
      </c>
      <c r="AI897" s="20">
        <v>0.0</v>
      </c>
      <c r="AJ897" s="20">
        <v>4481934.52</v>
      </c>
      <c r="AK897" s="20">
        <v>4481934.52</v>
      </c>
      <c r="AL897" s="20">
        <v>0.0</v>
      </c>
      <c r="AM897" s="20">
        <v>376.2</v>
      </c>
      <c r="AN897" s="20">
        <v>0.0</v>
      </c>
      <c r="AS897" s="11" t="str">
        <f>VLOOKUP(C897,'mayo-26'!B:AS,44,0)</f>
        <v>GERENCIA744@GRUPO-EXITO.COM</v>
      </c>
      <c r="AT897" s="12" t="str">
        <f>VLOOKUP(C897,'mayo-26'!B:AT,45,0)</f>
        <v>CORREO ELECTRONICO CERTIFICADO 472</v>
      </c>
    </row>
    <row r="898" ht="14.25" customHeight="1">
      <c r="A898" s="20" t="s">
        <v>1864</v>
      </c>
      <c r="B898" s="20">
        <v>463383.0</v>
      </c>
      <c r="C898" s="20">
        <v>428825.0</v>
      </c>
      <c r="D898" s="21">
        <v>447327.0</v>
      </c>
      <c r="E898" s="20">
        <v>1080113.0</v>
      </c>
      <c r="F898" s="20">
        <v>1080113.0</v>
      </c>
      <c r="G898" s="20">
        <v>8.11028538E8</v>
      </c>
      <c r="H898" s="20" t="s">
        <v>1865</v>
      </c>
      <c r="I898" s="1" t="str">
        <f>VLOOKUP(C898,'mayo-26'!B:H,7,0)</f>
        <v>CLL 11 DGN SANTANDER LOT B3 URB ROSETAL 1010</v>
      </c>
      <c r="J898" s="1" t="s">
        <v>942</v>
      </c>
      <c r="K898" s="10" t="str">
        <f>VLOOKUP(C898,'mayo-26'!B:J,9,0)</f>
        <v>NO</v>
      </c>
      <c r="L898" s="1" t="str">
        <f>VLOOKUP(C898,'mayo-26'!B:K,10,0)</f>
        <v>NO</v>
      </c>
      <c r="M898" s="20" t="s">
        <v>52</v>
      </c>
      <c r="N898" s="20" t="s">
        <v>53</v>
      </c>
      <c r="O898" s="20" t="s">
        <v>861</v>
      </c>
      <c r="P898" s="20" t="s">
        <v>126</v>
      </c>
      <c r="Q898" s="20" t="s">
        <v>131</v>
      </c>
      <c r="R898" s="20" t="s">
        <v>132</v>
      </c>
      <c r="S898" s="20" t="s">
        <v>133</v>
      </c>
      <c r="T898" s="20" t="s">
        <v>59</v>
      </c>
      <c r="U898" s="20">
        <v>2026.0</v>
      </c>
      <c r="V898" s="20">
        <v>6.0</v>
      </c>
      <c r="W898" s="20">
        <v>1.081875808E9</v>
      </c>
      <c r="X898" s="20">
        <v>1.08189428E9</v>
      </c>
      <c r="Y898" s="22">
        <v>46182.0</v>
      </c>
      <c r="Z898" s="22">
        <v>46207.0</v>
      </c>
      <c r="AA898" s="20">
        <v>115257.0</v>
      </c>
      <c r="AB898" s="20">
        <v>115257.0</v>
      </c>
      <c r="AC898" s="20">
        <v>38419.0</v>
      </c>
      <c r="AD898" s="20">
        <v>0.0</v>
      </c>
      <c r="AE898" s="20">
        <v>0.0</v>
      </c>
      <c r="AF898" s="20">
        <v>0.0</v>
      </c>
      <c r="AG898" s="20">
        <v>0.0</v>
      </c>
      <c r="AH898" s="20">
        <v>0.0</v>
      </c>
      <c r="AI898" s="20">
        <v>0.0</v>
      </c>
      <c r="AJ898" s="20">
        <v>115257.0</v>
      </c>
      <c r="AK898" s="20">
        <v>556212.5</v>
      </c>
      <c r="AL898" s="20">
        <v>4.0</v>
      </c>
      <c r="AM898" s="20">
        <v>6420.0</v>
      </c>
      <c r="AN898" s="20">
        <v>0.0</v>
      </c>
      <c r="AS898" s="11" t="str">
        <f>VLOOKUP(C898,'mayo-26'!B:AS,44,0)</f>
        <v>rentas.co@smartfit.com; facturacion@gruposurtitex.com.co, jairg5@hotmail.com</v>
      </c>
      <c r="AT898" s="12" t="str">
        <f>VLOOKUP(C898,'mayo-26'!B:AT,45,0)</f>
        <v>CORREO ELECTRONICO CERTIFICADO 472</v>
      </c>
    </row>
    <row r="899" ht="14.25" customHeight="1">
      <c r="A899" s="20" t="s">
        <v>1866</v>
      </c>
      <c r="B899" s="20">
        <v>464125.0</v>
      </c>
      <c r="C899" s="20">
        <v>429549.0</v>
      </c>
      <c r="D899" s="21">
        <v>448066.0</v>
      </c>
      <c r="G899" s="20">
        <v>1.090488999E9</v>
      </c>
      <c r="H899" s="20" t="s">
        <v>1867</v>
      </c>
      <c r="I899" s="1" t="str">
        <f>VLOOKUP(C899,'mayo-26'!B:H,7,0)</f>
        <v>CC JARDIN PLAZA K7</v>
      </c>
      <c r="J899" s="1" t="s">
        <v>991</v>
      </c>
      <c r="K899" s="10" t="str">
        <f>VLOOKUP(C899,'mayo-26'!B:J,9,0)</f>
        <v>JARDIN PLAZA</v>
      </c>
      <c r="L899" s="1" t="str">
        <f>VLOOKUP(C899,'mayo-26'!B:K,10,0)</f>
        <v>JARDIN PLAZA</v>
      </c>
      <c r="M899" s="20" t="s">
        <v>52</v>
      </c>
      <c r="N899" s="20" t="s">
        <v>89</v>
      </c>
      <c r="O899" s="20" t="s">
        <v>861</v>
      </c>
      <c r="P899" s="20" t="s">
        <v>126</v>
      </c>
      <c r="Q899" s="20" t="s">
        <v>56</v>
      </c>
      <c r="R899" s="20" t="s">
        <v>90</v>
      </c>
      <c r="S899" s="20" t="s">
        <v>143</v>
      </c>
      <c r="T899" s="20" t="s">
        <v>59</v>
      </c>
      <c r="U899" s="20">
        <v>2026.0</v>
      </c>
      <c r="V899" s="20">
        <v>6.0</v>
      </c>
      <c r="W899" s="20">
        <v>1.081875812E9</v>
      </c>
      <c r="X899" s="20">
        <v>1.081894284E9</v>
      </c>
      <c r="Y899" s="22">
        <v>46182.0</v>
      </c>
      <c r="Z899" s="22">
        <v>46207.0</v>
      </c>
      <c r="AA899" s="20">
        <v>134742.38</v>
      </c>
      <c r="AB899" s="20">
        <v>134742.38</v>
      </c>
      <c r="AC899" s="20">
        <v>42829.15</v>
      </c>
      <c r="AD899" s="20">
        <v>253.0</v>
      </c>
      <c r="AE899" s="20">
        <v>6254.94</v>
      </c>
      <c r="AF899" s="20">
        <v>0.0</v>
      </c>
      <c r="AG899" s="20">
        <v>0.0</v>
      </c>
      <c r="AH899" s="20">
        <v>0.0</v>
      </c>
      <c r="AI899" s="20">
        <v>0.0</v>
      </c>
      <c r="AJ899" s="20">
        <v>134742.38</v>
      </c>
      <c r="AK899" s="20">
        <v>2659763.49</v>
      </c>
      <c r="AL899" s="20">
        <v>18.0</v>
      </c>
      <c r="AM899" s="20">
        <v>376.2</v>
      </c>
      <c r="AN899" s="20">
        <v>0.0</v>
      </c>
      <c r="AS899" s="11" t="str">
        <f>VLOOKUP(C899,'mayo-26'!B:AS,44,0)</f>
        <v>DANIEL.VILLAMIZAR95@GMAIL.COM</v>
      </c>
      <c r="AT899" s="12" t="str">
        <f>VLOOKUP(C899,'mayo-26'!B:AT,45,0)</f>
        <v>VERIFICADOR</v>
      </c>
    </row>
    <row r="900" ht="14.25" customHeight="1">
      <c r="A900" s="20" t="s">
        <v>1868</v>
      </c>
      <c r="B900" s="20">
        <v>464132.0</v>
      </c>
      <c r="C900" s="20">
        <v>429553.0</v>
      </c>
      <c r="D900" s="21">
        <v>448071.0</v>
      </c>
      <c r="G900" s="20" t="s">
        <v>1869</v>
      </c>
      <c r="H900" s="20" t="s">
        <v>1870</v>
      </c>
      <c r="I900" s="1" t="str">
        <f>VLOOKUP(C900,'mayo-26'!B:H,7,0)</f>
        <v>CC JARDIN PLAZA L11A</v>
      </c>
      <c r="J900" s="1" t="s">
        <v>991</v>
      </c>
      <c r="K900" s="10" t="str">
        <f>VLOOKUP(C900,'mayo-26'!B:J,9,0)</f>
        <v>JARDIN PLAZA</v>
      </c>
      <c r="L900" s="1" t="str">
        <f>VLOOKUP(C900,'mayo-26'!B:K,10,0)</f>
        <v>JARDIN PLAZA</v>
      </c>
      <c r="M900" s="20" t="s">
        <v>52</v>
      </c>
      <c r="N900" s="20" t="s">
        <v>89</v>
      </c>
      <c r="O900" s="20" t="s">
        <v>861</v>
      </c>
      <c r="P900" s="20" t="s">
        <v>126</v>
      </c>
      <c r="Q900" s="20" t="s">
        <v>56</v>
      </c>
      <c r="R900" s="20" t="s">
        <v>90</v>
      </c>
      <c r="S900" s="20" t="s">
        <v>143</v>
      </c>
      <c r="T900" s="20" t="s">
        <v>59</v>
      </c>
      <c r="U900" s="20">
        <v>2026.0</v>
      </c>
      <c r="V900" s="20">
        <v>6.0</v>
      </c>
      <c r="W900" s="20">
        <v>1.081875815E9</v>
      </c>
      <c r="X900" s="20">
        <v>1.081894287E9</v>
      </c>
      <c r="Y900" s="22">
        <v>46182.0</v>
      </c>
      <c r="Z900" s="22">
        <v>46207.0</v>
      </c>
      <c r="AA900" s="20">
        <v>128487.44</v>
      </c>
      <c r="AB900" s="20">
        <v>128487.44</v>
      </c>
      <c r="AC900" s="20">
        <v>42829.15</v>
      </c>
      <c r="AD900" s="20">
        <v>253.0</v>
      </c>
      <c r="AE900" s="20">
        <v>0.0</v>
      </c>
      <c r="AF900" s="20">
        <v>0.0</v>
      </c>
      <c r="AG900" s="20">
        <v>0.0</v>
      </c>
      <c r="AH900" s="20">
        <v>0.0</v>
      </c>
      <c r="AI900" s="20">
        <v>0.0</v>
      </c>
      <c r="AJ900" s="20">
        <v>128487.44</v>
      </c>
      <c r="AK900" s="20">
        <v>128487.44</v>
      </c>
      <c r="AL900" s="20">
        <v>0.0</v>
      </c>
      <c r="AM900" s="20">
        <v>376.2</v>
      </c>
      <c r="AN900" s="20">
        <v>0.0</v>
      </c>
      <c r="AS900" s="11" t="str">
        <f>VLOOKUP(C900,'mayo-26'!B:AS,44,0)</f>
        <v>ADMINISTRACION@MASTERSERIES.COM.CO</v>
      </c>
      <c r="AT900" s="12" t="str">
        <f>VLOOKUP(C900,'mayo-26'!B:AT,45,0)</f>
        <v>VERIFICADOR</v>
      </c>
    </row>
    <row r="901" ht="14.25" customHeight="1">
      <c r="A901" s="20" t="s">
        <v>1871</v>
      </c>
      <c r="B901" s="20">
        <v>464839.0</v>
      </c>
      <c r="C901" s="20">
        <v>429721.0</v>
      </c>
      <c r="D901" s="21">
        <v>448582.0</v>
      </c>
      <c r="G901" s="20" t="s">
        <v>1552</v>
      </c>
      <c r="H901" s="20" t="s">
        <v>1553</v>
      </c>
      <c r="I901" s="1" t="str">
        <f>VLOOKUP(C901,'mayo-26'!B:H,7,0)</f>
        <v>CC JARDIN PLAZA L79</v>
      </c>
      <c r="J901" s="1" t="s">
        <v>991</v>
      </c>
      <c r="K901" s="10" t="str">
        <f>VLOOKUP(C901,'mayo-26'!B:J,9,0)</f>
        <v>JARDIN PLAZA</v>
      </c>
      <c r="L901" s="1" t="str">
        <f>VLOOKUP(C901,'mayo-26'!B:K,10,0)</f>
        <v>PASH</v>
      </c>
      <c r="M901" s="20" t="s">
        <v>52</v>
      </c>
      <c r="N901" s="20" t="s">
        <v>53</v>
      </c>
      <c r="O901" s="20" t="s">
        <v>861</v>
      </c>
      <c r="P901" s="20" t="s">
        <v>126</v>
      </c>
      <c r="Q901" s="20" t="s">
        <v>56</v>
      </c>
      <c r="R901" s="20" t="s">
        <v>90</v>
      </c>
      <c r="S901" s="20" t="s">
        <v>143</v>
      </c>
      <c r="T901" s="20" t="s">
        <v>59</v>
      </c>
      <c r="U901" s="20">
        <v>2026.0</v>
      </c>
      <c r="V901" s="20">
        <v>6.0</v>
      </c>
      <c r="W901" s="20">
        <v>1.081875818E9</v>
      </c>
      <c r="X901" s="20">
        <v>1.08189429E9</v>
      </c>
      <c r="Y901" s="22">
        <v>46182.0</v>
      </c>
      <c r="Z901" s="22">
        <v>46207.0</v>
      </c>
      <c r="AA901" s="20">
        <v>128487.44</v>
      </c>
      <c r="AB901" s="20">
        <v>128487.44</v>
      </c>
      <c r="AC901" s="20">
        <v>42829.15</v>
      </c>
      <c r="AD901" s="20">
        <v>253.0</v>
      </c>
      <c r="AE901" s="20">
        <v>0.0</v>
      </c>
      <c r="AF901" s="20">
        <v>0.0</v>
      </c>
      <c r="AG901" s="20">
        <v>0.0</v>
      </c>
      <c r="AH901" s="20">
        <v>0.0</v>
      </c>
      <c r="AI901" s="20">
        <v>0.0</v>
      </c>
      <c r="AJ901" s="20">
        <v>128487.44</v>
      </c>
      <c r="AK901" s="20">
        <v>128487.44</v>
      </c>
      <c r="AL901" s="20">
        <v>0.0</v>
      </c>
      <c r="AM901" s="20">
        <v>376.2</v>
      </c>
      <c r="AN901" s="20">
        <v>0.0</v>
      </c>
      <c r="AS901" s="11" t="str">
        <f>VLOOKUP(C901,'mayo-26'!B:AS,44,0)</f>
        <v>SERVICIOSPUBLICOS@PASH.COM.CO; abayona@tekstelas.com; kguavita@tekstelas.com</v>
      </c>
      <c r="AT901" s="12" t="str">
        <f>VLOOKUP(C901,'mayo-26'!B:AT,45,0)</f>
        <v>VERIFICADOR</v>
      </c>
    </row>
    <row r="902" ht="14.25" customHeight="1">
      <c r="A902" s="20" t="s">
        <v>1872</v>
      </c>
      <c r="B902" s="20">
        <v>379545.0</v>
      </c>
      <c r="C902" s="20">
        <v>432457.0</v>
      </c>
      <c r="D902" s="21">
        <v>452796.0</v>
      </c>
      <c r="G902" s="20">
        <v>9.01365998E8</v>
      </c>
      <c r="H902" s="20" t="s">
        <v>1359</v>
      </c>
      <c r="I902" s="1" t="str">
        <f>VLOOKUP(C902,'mayo-26'!B:H,7,0)</f>
        <v>CC JARDIN PLAZA L83</v>
      </c>
      <c r="J902" s="1" t="s">
        <v>991</v>
      </c>
      <c r="K902" s="10" t="str">
        <f>VLOOKUP(C902,'mayo-26'!B:J,9,0)</f>
        <v>JARDIN PLAZA</v>
      </c>
      <c r="L902" s="1" t="str">
        <f>VLOOKUP(C902,'mayo-26'!B:K,10,0)</f>
        <v>JARDIN PLAZA</v>
      </c>
      <c r="M902" s="20" t="s">
        <v>52</v>
      </c>
      <c r="N902" s="20" t="s">
        <v>53</v>
      </c>
      <c r="O902" s="20" t="s">
        <v>861</v>
      </c>
      <c r="P902" s="20" t="s">
        <v>126</v>
      </c>
      <c r="Q902" s="20" t="s">
        <v>56</v>
      </c>
      <c r="R902" s="20" t="s">
        <v>90</v>
      </c>
      <c r="S902" s="20" t="s">
        <v>143</v>
      </c>
      <c r="T902" s="20" t="s">
        <v>59</v>
      </c>
      <c r="U902" s="20">
        <v>2026.0</v>
      </c>
      <c r="V902" s="20">
        <v>6.0</v>
      </c>
      <c r="W902" s="20">
        <v>1.081875821E9</v>
      </c>
      <c r="X902" s="20">
        <v>1.081894293E9</v>
      </c>
      <c r="Y902" s="22">
        <v>46182.0</v>
      </c>
      <c r="Z902" s="22">
        <v>46207.0</v>
      </c>
      <c r="AA902" s="20">
        <v>128487.44</v>
      </c>
      <c r="AB902" s="20">
        <v>128487.44</v>
      </c>
      <c r="AC902" s="20">
        <v>42829.15</v>
      </c>
      <c r="AD902" s="20">
        <v>253.0</v>
      </c>
      <c r="AE902" s="20">
        <v>0.0</v>
      </c>
      <c r="AF902" s="20">
        <v>0.0</v>
      </c>
      <c r="AG902" s="20">
        <v>0.0</v>
      </c>
      <c r="AH902" s="20">
        <v>0.0</v>
      </c>
      <c r="AI902" s="20">
        <v>0.0</v>
      </c>
      <c r="AJ902" s="20">
        <v>128487.44</v>
      </c>
      <c r="AK902" s="20">
        <v>128487.44</v>
      </c>
      <c r="AL902" s="20">
        <v>0.0</v>
      </c>
      <c r="AM902" s="20">
        <v>376.2</v>
      </c>
      <c r="AN902" s="20">
        <v>0.0</v>
      </c>
      <c r="AS902" s="11" t="str">
        <f>VLOOKUP(C902,'mayo-26'!B:AS,44,0)</f>
        <v>BACHIRMIREP@HOTMAIL.COM</v>
      </c>
      <c r="AT902" s="12" t="str">
        <f>VLOOKUP(C902,'mayo-26'!B:AT,45,0)</f>
        <v>VERIFICADOR</v>
      </c>
    </row>
    <row r="903" ht="14.25" customHeight="1">
      <c r="A903" s="20" t="s">
        <v>1873</v>
      </c>
      <c r="B903" s="20">
        <v>475673.0</v>
      </c>
      <c r="C903" s="20">
        <v>435497.0</v>
      </c>
      <c r="D903" s="21">
        <v>457772.0</v>
      </c>
      <c r="E903" s="20">
        <v>1062849.0</v>
      </c>
      <c r="F903" s="20">
        <v>1062849.0</v>
      </c>
      <c r="G903" s="20">
        <v>9.0104503E8</v>
      </c>
      <c r="H903" s="20" t="s">
        <v>1874</v>
      </c>
      <c r="I903" s="1" t="str">
        <f>VLOOKUP(C903,'mayo-26'!B:H,7,0)</f>
        <v>NOA LOTE 3 OFC 203 ANTIGUA BDG POLAR - ANILLO VIAL</v>
      </c>
      <c r="J903" s="1" t="s">
        <v>1050</v>
      </c>
      <c r="K903" s="10" t="str">
        <f>VLOOKUP(C903,'mayo-26'!B:J,9,0)</f>
        <v>NO</v>
      </c>
      <c r="L903" s="1" t="str">
        <f>VLOOKUP(C903,'mayo-26'!B:K,10,0)</f>
        <v>GM UNIPLAS</v>
      </c>
      <c r="M903" s="20" t="s">
        <v>52</v>
      </c>
      <c r="N903" s="20" t="s">
        <v>89</v>
      </c>
      <c r="O903" s="20" t="s">
        <v>861</v>
      </c>
      <c r="P903" s="20" t="s">
        <v>126</v>
      </c>
      <c r="Q903" s="20" t="s">
        <v>56</v>
      </c>
      <c r="R903" s="20" t="s">
        <v>90</v>
      </c>
      <c r="S903" s="20" t="s">
        <v>143</v>
      </c>
      <c r="T903" s="20" t="s">
        <v>59</v>
      </c>
      <c r="U903" s="20">
        <v>2026.0</v>
      </c>
      <c r="V903" s="20">
        <v>6.0</v>
      </c>
      <c r="W903" s="20">
        <v>1.081875825E9</v>
      </c>
      <c r="X903" s="20">
        <v>1.081894297E9</v>
      </c>
      <c r="Y903" s="22">
        <v>46182.0</v>
      </c>
      <c r="Z903" s="22">
        <v>46207.0</v>
      </c>
      <c r="AA903" s="20">
        <v>718064.62</v>
      </c>
      <c r="AB903" s="20">
        <v>718064.62</v>
      </c>
      <c r="AC903" s="20">
        <v>232308.51</v>
      </c>
      <c r="AD903" s="20">
        <v>2250.0</v>
      </c>
      <c r="AE903" s="20">
        <v>21139.11</v>
      </c>
      <c r="AF903" s="20">
        <v>0.0</v>
      </c>
      <c r="AG903" s="20">
        <v>0.0</v>
      </c>
      <c r="AH903" s="20">
        <v>0.0</v>
      </c>
      <c r="AI903" s="20">
        <v>0.0</v>
      </c>
      <c r="AJ903" s="20">
        <v>718064.62</v>
      </c>
      <c r="AK903" s="20">
        <v>2787731.47</v>
      </c>
      <c r="AL903" s="20">
        <v>3.0</v>
      </c>
      <c r="AM903" s="20">
        <v>376.2</v>
      </c>
      <c r="AN903" s="20">
        <v>0.0</v>
      </c>
      <c r="AS903" s="11" t="str">
        <f>VLOOKUP(C903,'mayo-26'!B:AS,44,0)</f>
        <v>GMUNIPLAST2017@GMAIL.COM</v>
      </c>
      <c r="AT903" s="12" t="str">
        <f>VLOOKUP(C903,'mayo-26'!B:AT,45,0)</f>
        <v>CORREO ELECTRONICO CERTIFICADO 472</v>
      </c>
    </row>
    <row r="904" ht="14.25" customHeight="1">
      <c r="A904" s="20" t="s">
        <v>1875</v>
      </c>
      <c r="B904" s="20">
        <v>280920.0</v>
      </c>
      <c r="C904" s="20">
        <v>44125.0</v>
      </c>
      <c r="D904" s="21">
        <v>44125.0</v>
      </c>
      <c r="E904" s="20">
        <v>190610.0</v>
      </c>
      <c r="F904" s="20">
        <v>190610.0</v>
      </c>
      <c r="G904" s="20">
        <v>9.00576569E8</v>
      </c>
      <c r="H904" s="20" t="s">
        <v>161</v>
      </c>
      <c r="I904" s="1" t="str">
        <f>VLOOKUP(C904,'mayo-26'!B:H,7,0)</f>
        <v>AVE 12 5AN-84 1142</v>
      </c>
      <c r="J904" s="1" t="s">
        <v>1000</v>
      </c>
      <c r="K904" s="10" t="str">
        <f>VLOOKUP(C904,'mayo-26'!B:J,9,0)</f>
        <v>NO</v>
      </c>
      <c r="L904" s="1" t="str">
        <f>VLOOKUP(C904,'mayo-26'!B:K,10,0)</f>
        <v>BETEL</v>
      </c>
      <c r="M904" s="20" t="s">
        <v>52</v>
      </c>
      <c r="N904" s="20" t="s">
        <v>89</v>
      </c>
      <c r="O904" s="20" t="s">
        <v>861</v>
      </c>
      <c r="P904" s="20" t="s">
        <v>126</v>
      </c>
      <c r="Q904" s="20" t="s">
        <v>56</v>
      </c>
      <c r="R904" s="20" t="s">
        <v>90</v>
      </c>
      <c r="S904" s="20" t="s">
        <v>143</v>
      </c>
      <c r="T904" s="20" t="s">
        <v>59</v>
      </c>
      <c r="U904" s="20">
        <v>2026.0</v>
      </c>
      <c r="V904" s="20">
        <v>6.0</v>
      </c>
      <c r="W904" s="20">
        <v>1.081875685E9</v>
      </c>
      <c r="X904" s="20">
        <v>1.081894157E9</v>
      </c>
      <c r="Y904" s="22">
        <v>46182.0</v>
      </c>
      <c r="Z904" s="22">
        <v>46207.0</v>
      </c>
      <c r="AA904" s="20">
        <v>296369.35</v>
      </c>
      <c r="AB904" s="20">
        <v>296369.35</v>
      </c>
      <c r="AC904" s="20">
        <v>89036.68</v>
      </c>
      <c r="AD904" s="20">
        <v>740.0</v>
      </c>
      <c r="AE904" s="20">
        <v>29259.31</v>
      </c>
      <c r="AF904" s="20">
        <v>0.0</v>
      </c>
      <c r="AG904" s="20">
        <v>0.0</v>
      </c>
      <c r="AH904" s="20">
        <v>0.0</v>
      </c>
      <c r="AI904" s="20">
        <v>0.0</v>
      </c>
      <c r="AJ904" s="20">
        <v>296369.35</v>
      </c>
      <c r="AK904" s="20">
        <v>2233304.45</v>
      </c>
      <c r="AL904" s="20">
        <v>8.0</v>
      </c>
      <c r="AM904" s="20">
        <v>376.2</v>
      </c>
      <c r="AN904" s="20">
        <v>0.0</v>
      </c>
      <c r="AS904" s="11" t="str">
        <f>VLOOKUP(C904,'mayo-26'!B:AS,44,0)</f>
        <v>COORDTESORERIASUPERBETEL@GMAIL.COM</v>
      </c>
      <c r="AT904" s="12" t="str">
        <f>VLOOKUP(C904,'mayo-26'!B:AT,45,0)</f>
        <v>CORREO ELECTRONICO CERTIFICADO 472</v>
      </c>
    </row>
    <row r="905" ht="14.25" customHeight="1">
      <c r="A905" s="20" t="s">
        <v>1876</v>
      </c>
      <c r="B905" s="20">
        <v>450.0</v>
      </c>
      <c r="C905" s="20">
        <v>449.0</v>
      </c>
      <c r="D905" s="21">
        <v>449.0</v>
      </c>
      <c r="E905" s="20">
        <v>9.0256565E7</v>
      </c>
      <c r="F905" s="20">
        <v>9.0256565E7</v>
      </c>
      <c r="G905" s="20" t="s">
        <v>1877</v>
      </c>
      <c r="H905" s="20" t="s">
        <v>1878</v>
      </c>
      <c r="I905" s="1" t="str">
        <f>VLOOKUP(C905,'mayo-26'!B:H,7,0)</f>
        <v>AV 11E 5AN-151 EDIF COMUNICACION SOCIAL</v>
      </c>
      <c r="J905" s="1" t="s">
        <v>906</v>
      </c>
      <c r="K905" s="10" t="str">
        <f>VLOOKUP(C905,'mayo-26'!B:J,9,0)</f>
        <v>NO</v>
      </c>
      <c r="L905" s="1" t="str">
        <f>VLOOKUP(C905,'mayo-26'!B:K,10,0)</f>
        <v>NO</v>
      </c>
      <c r="M905" s="20" t="s">
        <v>52</v>
      </c>
      <c r="N905" s="20" t="s">
        <v>89</v>
      </c>
      <c r="O905" s="20" t="s">
        <v>861</v>
      </c>
      <c r="P905" s="20" t="s">
        <v>126</v>
      </c>
      <c r="Q905" s="20" t="s">
        <v>131</v>
      </c>
      <c r="R905" s="20" t="s">
        <v>151</v>
      </c>
      <c r="S905" s="20" t="s">
        <v>133</v>
      </c>
      <c r="T905" s="20" t="s">
        <v>59</v>
      </c>
      <c r="U905" s="20">
        <v>2026.0</v>
      </c>
      <c r="V905" s="20">
        <v>6.0</v>
      </c>
      <c r="W905" s="20">
        <v>1.081875528E9</v>
      </c>
      <c r="X905" s="20">
        <v>1.081894E9</v>
      </c>
      <c r="Y905" s="22">
        <v>46182.0</v>
      </c>
      <c r="Z905" s="22">
        <v>46207.0</v>
      </c>
      <c r="AA905" s="20">
        <v>75419.0</v>
      </c>
      <c r="AB905" s="20">
        <v>75419.0</v>
      </c>
      <c r="AC905" s="20">
        <v>0.0</v>
      </c>
      <c r="AD905" s="20">
        <v>0.0</v>
      </c>
      <c r="AE905" s="20">
        <v>0.0</v>
      </c>
      <c r="AF905" s="20">
        <v>0.0</v>
      </c>
      <c r="AG905" s="20">
        <v>0.0</v>
      </c>
      <c r="AH905" s="20">
        <v>0.0</v>
      </c>
      <c r="AI905" s="20">
        <v>0.0</v>
      </c>
      <c r="AJ905" s="20">
        <v>75419.0</v>
      </c>
      <c r="AK905" s="20">
        <v>75419.0</v>
      </c>
      <c r="AL905" s="20">
        <v>0.0</v>
      </c>
      <c r="AM905" s="20">
        <v>250.8</v>
      </c>
      <c r="AN905" s="20">
        <v>0.0</v>
      </c>
      <c r="AS905" s="11" t="str">
        <f>VLOOKUP(C905,'mayo-26'!B:AS,44,0)</f>
        <v>ADMISALUD_COMUNICACION@UNIPAMPLONA.EDU.CO</v>
      </c>
      <c r="AT905" s="12" t="str">
        <f>VLOOKUP(C905,'mayo-26'!B:AT,45,0)</f>
        <v>CORREO ELECTRONICO CERTIFICADO 472</v>
      </c>
    </row>
    <row r="906" ht="14.25" customHeight="1">
      <c r="A906" s="20" t="s">
        <v>1879</v>
      </c>
      <c r="B906" s="20">
        <v>684.0</v>
      </c>
      <c r="C906" s="20">
        <v>457457.0</v>
      </c>
      <c r="D906" s="21">
        <v>483715.0</v>
      </c>
      <c r="G906" s="20" t="s">
        <v>1052</v>
      </c>
      <c r="H906" s="20" t="s">
        <v>1053</v>
      </c>
      <c r="I906" s="1" t="str">
        <f>VLOOKUP(C906,'mayo-26'!B:H,7,0)</f>
        <v>L 53 CC JARDIN PALZA</v>
      </c>
      <c r="J906" s="1" t="s">
        <v>991</v>
      </c>
      <c r="K906" s="10" t="str">
        <f>VLOOKUP(C906,'mayo-26'!B:J,9,0)</f>
        <v>JARDIN PLAZA-ADMINISTRACION</v>
      </c>
      <c r="L906" s="1" t="str">
        <f>VLOOKUP(C906,'mayo-26'!B:K,10,0)</f>
        <v>JARDIN PLAZA-ADMINISTRACION</v>
      </c>
      <c r="M906" s="20" t="s">
        <v>52</v>
      </c>
      <c r="N906" s="20" t="s">
        <v>89</v>
      </c>
      <c r="O906" s="20" t="s">
        <v>861</v>
      </c>
      <c r="P906" s="20" t="s">
        <v>126</v>
      </c>
      <c r="Q906" s="20" t="s">
        <v>131</v>
      </c>
      <c r="R906" s="20" t="s">
        <v>132</v>
      </c>
      <c r="S906" s="20" t="s">
        <v>133</v>
      </c>
      <c r="T906" s="20" t="s">
        <v>59</v>
      </c>
      <c r="U906" s="20">
        <v>2026.0</v>
      </c>
      <c r="V906" s="20">
        <v>6.0</v>
      </c>
      <c r="W906" s="20">
        <v>1.081875828E9</v>
      </c>
      <c r="X906" s="20">
        <v>1.0818943E9</v>
      </c>
      <c r="Y906" s="22">
        <v>46182.0</v>
      </c>
      <c r="Z906" s="22">
        <v>46207.0</v>
      </c>
      <c r="AA906" s="20">
        <v>115650.91</v>
      </c>
      <c r="AB906" s="20">
        <v>115650.91</v>
      </c>
      <c r="AC906" s="20">
        <v>37709.5</v>
      </c>
      <c r="AD906" s="20">
        <v>0.0</v>
      </c>
      <c r="AE906" s="20">
        <v>2522.41</v>
      </c>
      <c r="AF906" s="20">
        <v>0.0</v>
      </c>
      <c r="AG906" s="20">
        <v>0.0</v>
      </c>
      <c r="AH906" s="20">
        <v>0.0</v>
      </c>
      <c r="AI906" s="20">
        <v>0.0</v>
      </c>
      <c r="AJ906" s="20">
        <v>115650.91</v>
      </c>
      <c r="AK906" s="20">
        <v>423927.93</v>
      </c>
      <c r="AL906" s="20">
        <v>3.0</v>
      </c>
      <c r="AM906" s="20">
        <v>376.2</v>
      </c>
      <c r="AN906" s="20">
        <v>0.0</v>
      </c>
      <c r="AS906" s="11" t="str">
        <f>VLOOKUP(C906,'mayo-26'!B:AS,44,0)</f>
        <v>AMBIENTAL@JARDINPLAZA.COM</v>
      </c>
      <c r="AT906" s="12" t="str">
        <f>VLOOKUP(C906,'mayo-26'!B:AT,45,0)</f>
        <v>CORREO ELECTRONICO CERTIFICADO 472</v>
      </c>
    </row>
    <row r="907" ht="14.25" customHeight="1">
      <c r="A907" s="20" t="s">
        <v>1880</v>
      </c>
      <c r="B907" s="20">
        <v>505440.0</v>
      </c>
      <c r="C907" s="20">
        <v>458093.0</v>
      </c>
      <c r="D907" s="21">
        <v>485030.0</v>
      </c>
      <c r="G907" s="20">
        <v>3.7397231E7</v>
      </c>
      <c r="H907" s="20" t="s">
        <v>1881</v>
      </c>
      <c r="I907" s="1" t="str">
        <f>VLOOKUP(C907,'mayo-26'!B:H,7,0)</f>
        <v>K05 CC JARDIN PLAZA</v>
      </c>
      <c r="J907" s="1" t="s">
        <v>991</v>
      </c>
      <c r="K907" s="10" t="str">
        <f>VLOOKUP(C907,'mayo-26'!B:J,9,0)</f>
        <v>JARDIN PLAZA</v>
      </c>
      <c r="L907" s="1" t="str">
        <f>VLOOKUP(C907,'mayo-26'!B:K,10,0)</f>
        <v>JARDIN PLAZA</v>
      </c>
      <c r="M907" s="20" t="s">
        <v>52</v>
      </c>
      <c r="N907" s="20" t="s">
        <v>89</v>
      </c>
      <c r="O907" s="20" t="s">
        <v>861</v>
      </c>
      <c r="P907" s="20" t="s">
        <v>126</v>
      </c>
      <c r="Q907" s="20" t="s">
        <v>131</v>
      </c>
      <c r="R907" s="20" t="s">
        <v>132</v>
      </c>
      <c r="S907" s="20" t="s">
        <v>133</v>
      </c>
      <c r="T907" s="20" t="s">
        <v>59</v>
      </c>
      <c r="U907" s="20">
        <v>2026.0</v>
      </c>
      <c r="V907" s="20">
        <v>6.0</v>
      </c>
      <c r="W907" s="20">
        <v>1.08187583E9</v>
      </c>
      <c r="X907" s="20">
        <v>1.081894302E9</v>
      </c>
      <c r="Y907" s="22">
        <v>46182.0</v>
      </c>
      <c r="Z907" s="22">
        <v>46207.0</v>
      </c>
      <c r="AA907" s="20">
        <v>120618.82</v>
      </c>
      <c r="AB907" s="20">
        <v>120618.82</v>
      </c>
      <c r="AC907" s="20">
        <v>37709.5</v>
      </c>
      <c r="AD907" s="20">
        <v>0.0</v>
      </c>
      <c r="AE907" s="20">
        <v>7490.32</v>
      </c>
      <c r="AF907" s="20">
        <v>0.0</v>
      </c>
      <c r="AG907" s="20">
        <v>0.0</v>
      </c>
      <c r="AH907" s="20">
        <v>0.0</v>
      </c>
      <c r="AI907" s="20">
        <v>0.0</v>
      </c>
      <c r="AJ907" s="20">
        <v>120618.82</v>
      </c>
      <c r="AK907" s="20">
        <v>670894.76</v>
      </c>
      <c r="AL907" s="20">
        <v>6.0</v>
      </c>
      <c r="AM907" s="20">
        <v>376.2</v>
      </c>
      <c r="AN907" s="20">
        <v>0.0</v>
      </c>
      <c r="AS907" s="11" t="str">
        <f>VLOOKUP(C907,'mayo-26'!B:AS,44,0)</f>
        <v>ANDRECA_11@HOTMAIL.COM</v>
      </c>
      <c r="AT907" s="12" t="str">
        <f>VLOOKUP(C907,'mayo-26'!B:AT,45,0)</f>
        <v>VERIFICADOR</v>
      </c>
    </row>
    <row r="908" ht="14.25" customHeight="1">
      <c r="A908" s="20" t="s">
        <v>1882</v>
      </c>
      <c r="B908" s="20">
        <v>505457.0</v>
      </c>
      <c r="C908" s="20">
        <v>458101.0</v>
      </c>
      <c r="D908" s="21">
        <v>485044.0</v>
      </c>
      <c r="G908" s="20" t="s">
        <v>1883</v>
      </c>
      <c r="H908" s="20" t="s">
        <v>1884</v>
      </c>
      <c r="I908" s="1" t="str">
        <f>VLOOKUP(C908,'mayo-26'!B:H,7,0)</f>
        <v>LOCAL L 93 CC JARDIN PLAZA</v>
      </c>
      <c r="J908" s="1" t="s">
        <v>991</v>
      </c>
      <c r="K908" s="10" t="str">
        <f>VLOOKUP(C908,'mayo-26'!B:J,9,0)</f>
        <v>JARDIN PLAZA-ADMINISTRACION</v>
      </c>
      <c r="L908" s="1" t="str">
        <f>VLOOKUP(C908,'mayo-26'!B:K,10,0)</f>
        <v>JARDIN PLAZA-ADMINISTRACION</v>
      </c>
      <c r="M908" s="20" t="s">
        <v>52</v>
      </c>
      <c r="N908" s="20" t="s">
        <v>89</v>
      </c>
      <c r="O908" s="20" t="s">
        <v>861</v>
      </c>
      <c r="P908" s="20" t="s">
        <v>126</v>
      </c>
      <c r="Q908" s="20" t="s">
        <v>131</v>
      </c>
      <c r="R908" s="20" t="s">
        <v>132</v>
      </c>
      <c r="S908" s="20" t="s">
        <v>133</v>
      </c>
      <c r="T908" s="20" t="s">
        <v>59</v>
      </c>
      <c r="U908" s="20">
        <v>2026.0</v>
      </c>
      <c r="V908" s="20">
        <v>6.0</v>
      </c>
      <c r="W908" s="20">
        <v>1.081875833E9</v>
      </c>
      <c r="X908" s="20">
        <v>1.081894305E9</v>
      </c>
      <c r="Y908" s="22">
        <v>46182.0</v>
      </c>
      <c r="Z908" s="22">
        <v>46207.0</v>
      </c>
      <c r="AA908" s="20">
        <v>120281.48</v>
      </c>
      <c r="AB908" s="20">
        <v>120281.48</v>
      </c>
      <c r="AC908" s="20">
        <v>37709.5</v>
      </c>
      <c r="AD908" s="20">
        <v>0.0</v>
      </c>
      <c r="AE908" s="20">
        <v>7152.98</v>
      </c>
      <c r="AF908" s="20">
        <v>0.0</v>
      </c>
      <c r="AG908" s="20">
        <v>0.0</v>
      </c>
      <c r="AH908" s="20">
        <v>0.0</v>
      </c>
      <c r="AI908" s="20">
        <v>0.0</v>
      </c>
      <c r="AJ908" s="20">
        <v>120281.48</v>
      </c>
      <c r="AK908" s="20">
        <v>633873.85</v>
      </c>
      <c r="AL908" s="20">
        <v>6.0</v>
      </c>
      <c r="AM908" s="20">
        <v>376.2</v>
      </c>
      <c r="AN908" s="20">
        <v>0.0</v>
      </c>
      <c r="AS908" s="11" t="str">
        <f>VLOOKUP(C908,'mayo-26'!B:AS,44,0)</f>
        <v>AMBIENTAL@JARDINPLAZA.COM</v>
      </c>
      <c r="AT908" s="12" t="str">
        <f>VLOOKUP(C908,'mayo-26'!B:AT,45,0)</f>
        <v>CORREO ELECTRONICO CERTIFICADO 472</v>
      </c>
    </row>
    <row r="909" ht="14.25" customHeight="1">
      <c r="A909" s="20" t="s">
        <v>1885</v>
      </c>
      <c r="B909" s="20">
        <v>505843.0</v>
      </c>
      <c r="C909" s="20">
        <v>458157.0</v>
      </c>
      <c r="D909" s="21">
        <v>485254.0</v>
      </c>
      <c r="G909" s="20" t="s">
        <v>1886</v>
      </c>
      <c r="H909" s="20" t="s">
        <v>1887</v>
      </c>
      <c r="I909" s="1" t="str">
        <f>VLOOKUP(C909,'mayo-26'!B:H,7,0)</f>
        <v>LOCAL R12 CC JARDIN PLAZA</v>
      </c>
      <c r="J909" s="1" t="s">
        <v>991</v>
      </c>
      <c r="K909" s="10" t="str">
        <f>VLOOKUP(C909,'mayo-26'!B:J,9,0)</f>
        <v>JARDIN PLAZA</v>
      </c>
      <c r="L909" s="1" t="str">
        <f>VLOOKUP(C909,'mayo-26'!B:K,10,0)</f>
        <v>JARDIN PLAZA</v>
      </c>
      <c r="M909" s="20" t="s">
        <v>52</v>
      </c>
      <c r="N909" s="20" t="s">
        <v>89</v>
      </c>
      <c r="O909" s="20" t="s">
        <v>861</v>
      </c>
      <c r="P909" s="20" t="s">
        <v>126</v>
      </c>
      <c r="Q909" s="20" t="s">
        <v>56</v>
      </c>
      <c r="R909" s="20" t="s">
        <v>90</v>
      </c>
      <c r="S909" s="20" t="s">
        <v>143</v>
      </c>
      <c r="T909" s="20" t="s">
        <v>59</v>
      </c>
      <c r="U909" s="20">
        <v>2026.0</v>
      </c>
      <c r="V909" s="20">
        <v>6.0</v>
      </c>
      <c r="W909" s="20">
        <v>1.081875836E9</v>
      </c>
      <c r="X909" s="20">
        <v>1.081894308E9</v>
      </c>
      <c r="Y909" s="22">
        <v>46182.0</v>
      </c>
      <c r="Z909" s="22">
        <v>46207.0</v>
      </c>
      <c r="AA909" s="20">
        <v>225267.08</v>
      </c>
      <c r="AB909" s="20">
        <v>225267.08</v>
      </c>
      <c r="AC909" s="20">
        <v>75089.03</v>
      </c>
      <c r="AD909" s="20">
        <v>593.0</v>
      </c>
      <c r="AE909" s="20">
        <v>0.0</v>
      </c>
      <c r="AF909" s="20">
        <v>0.0</v>
      </c>
      <c r="AG909" s="20">
        <v>0.0</v>
      </c>
      <c r="AH909" s="20">
        <v>0.0</v>
      </c>
      <c r="AI909" s="20">
        <v>0.0</v>
      </c>
      <c r="AJ909" s="20">
        <v>225267.08</v>
      </c>
      <c r="AK909" s="20">
        <v>225267.08</v>
      </c>
      <c r="AL909" s="20">
        <v>0.0</v>
      </c>
      <c r="AM909" s="20">
        <v>376.2</v>
      </c>
      <c r="AN909" s="20">
        <v>0.0</v>
      </c>
      <c r="AS909" s="11" t="str">
        <f>VLOOKUP(C909,'mayo-26'!B:AS,44,0)</f>
        <v>FUEZZAINVERSIONES@HOTMAIL.COM</v>
      </c>
      <c r="AT909" s="12" t="str">
        <f>VLOOKUP(C909,'mayo-26'!B:AT,45,0)</f>
        <v>VERIFICADOR</v>
      </c>
    </row>
    <row r="910" ht="14.25" customHeight="1">
      <c r="A910" s="20" t="s">
        <v>1888</v>
      </c>
      <c r="B910" s="20">
        <v>505877.0</v>
      </c>
      <c r="C910" s="20">
        <v>458165.0</v>
      </c>
      <c r="D910" s="21">
        <v>485274.0</v>
      </c>
      <c r="G910" s="20">
        <v>9.01174287E8</v>
      </c>
      <c r="H910" s="20" t="s">
        <v>1889</v>
      </c>
      <c r="I910" s="1" t="str">
        <f>VLOOKUP(C910,'mayo-26'!B:H,7,0)</f>
        <v>ENTRADA MINA LA DINASTIA-SAN PEDRO</v>
      </c>
      <c r="J910" s="1">
        <v>0.0</v>
      </c>
      <c r="K910" s="10" t="str">
        <f>VLOOKUP(C910,'mayo-26'!B:J,9,0)</f>
        <v>NO</v>
      </c>
      <c r="L910" s="1" t="str">
        <f>VLOOKUP(C910,'mayo-26'!B:K,10,0)</f>
        <v>NO</v>
      </c>
      <c r="M910" s="20" t="s">
        <v>52</v>
      </c>
      <c r="N910" s="20" t="s">
        <v>89</v>
      </c>
      <c r="O910" s="20" t="s">
        <v>861</v>
      </c>
      <c r="P910" s="20" t="s">
        <v>126</v>
      </c>
      <c r="Q910" s="20" t="s">
        <v>56</v>
      </c>
      <c r="R910" s="20" t="s">
        <v>90</v>
      </c>
      <c r="S910" s="20" t="s">
        <v>143</v>
      </c>
      <c r="T910" s="20" t="s">
        <v>59</v>
      </c>
      <c r="U910" s="20">
        <v>2026.0</v>
      </c>
      <c r="V910" s="20">
        <v>6.0</v>
      </c>
      <c r="W910" s="20">
        <v>1.081875839E9</v>
      </c>
      <c r="X910" s="20">
        <v>1.081894311E9</v>
      </c>
      <c r="Y910" s="22">
        <v>46182.0</v>
      </c>
      <c r="Z910" s="22">
        <v>46207.0</v>
      </c>
      <c r="AA910" s="20">
        <v>128487.44</v>
      </c>
      <c r="AB910" s="20">
        <v>128487.44</v>
      </c>
      <c r="AC910" s="20">
        <v>42829.15</v>
      </c>
      <c r="AD910" s="20">
        <v>253.0</v>
      </c>
      <c r="AE910" s="20">
        <v>0.0</v>
      </c>
      <c r="AF910" s="20">
        <v>0.0</v>
      </c>
      <c r="AG910" s="20">
        <v>0.0</v>
      </c>
      <c r="AH910" s="20">
        <v>0.0</v>
      </c>
      <c r="AI910" s="20">
        <v>0.0</v>
      </c>
      <c r="AJ910" s="20">
        <v>128487.44</v>
      </c>
      <c r="AK910" s="20">
        <v>128487.44</v>
      </c>
      <c r="AL910" s="20">
        <v>0.0</v>
      </c>
      <c r="AM910" s="20">
        <v>376.2</v>
      </c>
      <c r="AN910" s="20">
        <v>0.0</v>
      </c>
      <c r="AS910" s="11" t="str">
        <f>VLOOKUP(C910,'mayo-26'!B:AS,44,0)</f>
        <v>FACTURACIONCRISTALINA@GRUPOJARR.COM</v>
      </c>
      <c r="AT910" s="12" t="str">
        <f>VLOOKUP(C910,'mayo-26'!B:AT,45,0)</f>
        <v>CORREO ELECTRONICO CERTIFICADO 472</v>
      </c>
    </row>
    <row r="911" ht="14.25" customHeight="1">
      <c r="A911" s="20" t="s">
        <v>1890</v>
      </c>
      <c r="B911" s="20">
        <v>506943.0</v>
      </c>
      <c r="C911" s="20">
        <v>458441.0</v>
      </c>
      <c r="D911" s="21">
        <v>485953.0</v>
      </c>
      <c r="G911" s="20" t="s">
        <v>1891</v>
      </c>
      <c r="H911" s="20" t="s">
        <v>1892</v>
      </c>
      <c r="I911" s="1" t="str">
        <f>VLOOKUP(C911,'mayo-26'!B:H,7,0)</f>
        <v>CC JARDIN PLAZA LOCAL R-04</v>
      </c>
      <c r="J911" s="1" t="s">
        <v>991</v>
      </c>
      <c r="K911" s="10" t="str">
        <f>VLOOKUP(C911,'mayo-26'!B:J,9,0)</f>
        <v>JARDIN PLAZA</v>
      </c>
      <c r="L911" s="1" t="str">
        <f>VLOOKUP(C911,'mayo-26'!B:K,10,0)</f>
        <v>JARDIN PLAZA</v>
      </c>
      <c r="M911" s="20" t="s">
        <v>52</v>
      </c>
      <c r="N911" s="20" t="s">
        <v>89</v>
      </c>
      <c r="O911" s="20" t="s">
        <v>861</v>
      </c>
      <c r="P911" s="20" t="s">
        <v>126</v>
      </c>
      <c r="Q911" s="20" t="s">
        <v>56</v>
      </c>
      <c r="R911" s="20" t="s">
        <v>90</v>
      </c>
      <c r="S911" s="20" t="s">
        <v>143</v>
      </c>
      <c r="T911" s="20" t="s">
        <v>59</v>
      </c>
      <c r="U911" s="20">
        <v>2026.0</v>
      </c>
      <c r="V911" s="20">
        <v>6.0</v>
      </c>
      <c r="W911" s="20">
        <v>1.081875843E9</v>
      </c>
      <c r="X911" s="20">
        <v>1.081894315E9</v>
      </c>
      <c r="Y911" s="22">
        <v>46182.0</v>
      </c>
      <c r="Z911" s="22">
        <v>46207.0</v>
      </c>
      <c r="AA911" s="20">
        <v>128487.44</v>
      </c>
      <c r="AB911" s="20">
        <v>128487.44</v>
      </c>
      <c r="AC911" s="20">
        <v>42829.15</v>
      </c>
      <c r="AD911" s="20">
        <v>253.0</v>
      </c>
      <c r="AE911" s="20">
        <v>0.0</v>
      </c>
      <c r="AF911" s="20">
        <v>0.0</v>
      </c>
      <c r="AG911" s="20">
        <v>0.0</v>
      </c>
      <c r="AH911" s="20">
        <v>0.0</v>
      </c>
      <c r="AI911" s="20">
        <v>0.0</v>
      </c>
      <c r="AJ911" s="20">
        <v>128487.44</v>
      </c>
      <c r="AK911" s="20">
        <v>128487.44</v>
      </c>
      <c r="AL911" s="20">
        <v>0.0</v>
      </c>
      <c r="AM911" s="20">
        <v>376.2</v>
      </c>
      <c r="AN911" s="20">
        <v>0.0</v>
      </c>
      <c r="AS911" s="11" t="str">
        <f>VLOOKUP(C911,'mayo-26'!B:AS,44,0)</f>
        <v>CONTAC.CO@HM.COM</v>
      </c>
      <c r="AT911" s="12" t="str">
        <f>VLOOKUP(C911,'mayo-26'!B:AT,45,0)</f>
        <v>VERIFICADOR</v>
      </c>
    </row>
    <row r="912" ht="14.25" customHeight="1">
      <c r="A912" s="20" t="s">
        <v>1893</v>
      </c>
      <c r="B912" s="20">
        <v>509786.0</v>
      </c>
      <c r="C912" s="20">
        <v>459753.0</v>
      </c>
      <c r="D912" s="21">
        <v>488030.0</v>
      </c>
      <c r="G912" s="20">
        <v>9.00296271E8</v>
      </c>
      <c r="H912" s="20" t="s">
        <v>1894</v>
      </c>
      <c r="I912" s="1" t="str">
        <f>VLOOKUP(C912,'mayo-26'!B:H,7,0)</f>
        <v>L06 CC JARDÍN PLAZA</v>
      </c>
      <c r="J912" s="1" t="s">
        <v>991</v>
      </c>
      <c r="K912" s="10" t="str">
        <f>VLOOKUP(C912,'mayo-26'!B:J,9,0)</f>
        <v>JARDIN PLAZA</v>
      </c>
      <c r="L912" s="1" t="str">
        <f>VLOOKUP(C912,'mayo-26'!B:K,10,0)</f>
        <v>JARDIN PLAZA</v>
      </c>
      <c r="M912" s="20" t="s">
        <v>52</v>
      </c>
      <c r="N912" s="20" t="s">
        <v>89</v>
      </c>
      <c r="O912" s="20" t="s">
        <v>861</v>
      </c>
      <c r="P912" s="20" t="s">
        <v>126</v>
      </c>
      <c r="Q912" s="20" t="s">
        <v>56</v>
      </c>
      <c r="R912" s="20" t="s">
        <v>90</v>
      </c>
      <c r="S912" s="20" t="s">
        <v>143</v>
      </c>
      <c r="T912" s="20" t="s">
        <v>59</v>
      </c>
      <c r="U912" s="20">
        <v>2026.0</v>
      </c>
      <c r="V912" s="20">
        <v>6.0</v>
      </c>
      <c r="W912" s="20">
        <v>1.081875846E9</v>
      </c>
      <c r="X912" s="20">
        <v>1.081894318E9</v>
      </c>
      <c r="Y912" s="22">
        <v>46182.0</v>
      </c>
      <c r="Z912" s="22">
        <v>46207.0</v>
      </c>
      <c r="AA912" s="20">
        <v>128487.44</v>
      </c>
      <c r="AB912" s="20">
        <v>128487.44</v>
      </c>
      <c r="AC912" s="20">
        <v>42829.15</v>
      </c>
      <c r="AD912" s="20">
        <v>253.0</v>
      </c>
      <c r="AE912" s="20">
        <v>0.0</v>
      </c>
      <c r="AF912" s="20">
        <v>0.0</v>
      </c>
      <c r="AG912" s="20">
        <v>0.0</v>
      </c>
      <c r="AH912" s="20">
        <v>0.0</v>
      </c>
      <c r="AI912" s="20">
        <v>0.0</v>
      </c>
      <c r="AJ912" s="20">
        <v>128487.44</v>
      </c>
      <c r="AK912" s="20">
        <v>128487.44</v>
      </c>
      <c r="AL912" s="20">
        <v>0.0</v>
      </c>
      <c r="AM912" s="20">
        <v>376.2</v>
      </c>
      <c r="AN912" s="20">
        <v>0.0</v>
      </c>
      <c r="AS912" s="11" t="str">
        <f>VLOOKUP(C912,'mayo-26'!B:AS,44,0)</f>
        <v>CONTABILIDAD@KRONOTIME.COM.CO</v>
      </c>
      <c r="AT912" s="12" t="str">
        <f>VLOOKUP(C912,'mayo-26'!B:AT,45,0)</f>
        <v>VERIFICADOR</v>
      </c>
    </row>
    <row r="913" ht="14.25" customHeight="1">
      <c r="A913" s="20" t="s">
        <v>1895</v>
      </c>
      <c r="B913" s="20">
        <v>462.0</v>
      </c>
      <c r="C913" s="20">
        <v>461.0</v>
      </c>
      <c r="D913" s="21">
        <v>461.0</v>
      </c>
      <c r="E913" s="20">
        <v>9.0257527E7</v>
      </c>
      <c r="F913" s="20">
        <v>9.0257527E7</v>
      </c>
      <c r="G913" s="20" t="s">
        <v>1896</v>
      </c>
      <c r="H913" s="20" t="s">
        <v>1897</v>
      </c>
      <c r="I913" s="1" t="str">
        <f>VLOOKUP(C913,'mayo-26'!B:H,7,0)</f>
        <v>C.C VENTURA PLAZA PISO 3</v>
      </c>
      <c r="J913" s="1" t="s">
        <v>982</v>
      </c>
      <c r="K913" s="10" t="str">
        <f>VLOOKUP(C913,'mayo-26'!B:J,9,0)</f>
        <v>NO</v>
      </c>
      <c r="L913" s="1" t="str">
        <f>VLOOKUP(C913,'mayo-26'!B:K,10,0)</f>
        <v>NO</v>
      </c>
      <c r="M913" s="20" t="s">
        <v>52</v>
      </c>
      <c r="N913" s="20" t="s">
        <v>89</v>
      </c>
      <c r="O913" s="20" t="s">
        <v>861</v>
      </c>
      <c r="P913" s="20" t="s">
        <v>126</v>
      </c>
      <c r="Q913" s="20" t="s">
        <v>56</v>
      </c>
      <c r="R913" s="20" t="s">
        <v>90</v>
      </c>
      <c r="S913" s="20" t="s">
        <v>143</v>
      </c>
      <c r="T913" s="20" t="s">
        <v>59</v>
      </c>
      <c r="U913" s="20">
        <v>2026.0</v>
      </c>
      <c r="V913" s="20">
        <v>6.0</v>
      </c>
      <c r="W913" s="20">
        <v>1.081875532E9</v>
      </c>
      <c r="X913" s="20">
        <v>1.081894004E9</v>
      </c>
      <c r="Y913" s="22">
        <v>46182.0</v>
      </c>
      <c r="Z913" s="22">
        <v>46207.0</v>
      </c>
      <c r="AA913" s="20">
        <v>632168.55</v>
      </c>
      <c r="AB913" s="20">
        <v>632168.55</v>
      </c>
      <c r="AC913" s="20">
        <v>210722.85</v>
      </c>
      <c r="AD913" s="20">
        <v>2022.5</v>
      </c>
      <c r="AE913" s="20">
        <v>0.0</v>
      </c>
      <c r="AF913" s="20">
        <v>0.0</v>
      </c>
      <c r="AG913" s="20">
        <v>0.0</v>
      </c>
      <c r="AH913" s="20">
        <v>0.0</v>
      </c>
      <c r="AI913" s="20">
        <v>0.0</v>
      </c>
      <c r="AJ913" s="20">
        <v>632168.55</v>
      </c>
      <c r="AK913" s="20">
        <v>632168.55</v>
      </c>
      <c r="AL913" s="20">
        <v>0.0</v>
      </c>
      <c r="AM913" s="20">
        <v>376.2</v>
      </c>
      <c r="AN913" s="20">
        <v>0.0</v>
      </c>
      <c r="AS913" s="11" t="str">
        <f>VLOOKUP(C913,'mayo-26'!B:AS,44,0)</f>
        <v>VENTURAPLAZA799@CINEMARK.COM.CO</v>
      </c>
      <c r="AT913" s="12" t="str">
        <f>VLOOKUP(C913,'mayo-26'!B:AT,45,0)</f>
        <v>CORREO ELECTRONICO CERTIFICADO 472</v>
      </c>
    </row>
    <row r="914" ht="14.25" customHeight="1">
      <c r="A914" s="20" t="s">
        <v>1898</v>
      </c>
      <c r="B914" s="20">
        <v>511777.0</v>
      </c>
      <c r="C914" s="20">
        <v>461069.0</v>
      </c>
      <c r="D914" s="21">
        <v>489736.0</v>
      </c>
      <c r="G914" s="20" t="s">
        <v>1899</v>
      </c>
      <c r="H914" s="20" t="s">
        <v>1900</v>
      </c>
      <c r="I914" s="1" t="str">
        <f>VLOOKUP(C914,'mayo-26'!B:H,7,0)</f>
        <v>LOCAL 47 CC JARDÍN PLAZA</v>
      </c>
      <c r="J914" s="1" t="s">
        <v>991</v>
      </c>
      <c r="K914" s="10" t="str">
        <f>VLOOKUP(C914,'mayo-26'!B:J,9,0)</f>
        <v>JARDIN PLAZA-ADMINISTRACION</v>
      </c>
      <c r="L914" s="1" t="str">
        <f>VLOOKUP(C914,'mayo-26'!B:K,10,0)</f>
        <v>JARDIN PLAZA-ADMINISTRACION</v>
      </c>
      <c r="M914" s="20" t="s">
        <v>52</v>
      </c>
      <c r="N914" s="20" t="s">
        <v>89</v>
      </c>
      <c r="O914" s="20" t="s">
        <v>861</v>
      </c>
      <c r="P914" s="20" t="s">
        <v>126</v>
      </c>
      <c r="Q914" s="20" t="s">
        <v>131</v>
      </c>
      <c r="R914" s="20" t="s">
        <v>132</v>
      </c>
      <c r="S914" s="20" t="s">
        <v>133</v>
      </c>
      <c r="T914" s="20" t="s">
        <v>163</v>
      </c>
      <c r="U914" s="20">
        <v>2026.0</v>
      </c>
      <c r="V914" s="20">
        <v>6.0</v>
      </c>
      <c r="W914" s="20">
        <v>1.081875848E9</v>
      </c>
      <c r="X914" s="20">
        <v>1.08189432E9</v>
      </c>
      <c r="Y914" s="22">
        <v>46182.0</v>
      </c>
      <c r="Z914" s="22">
        <v>46207.0</v>
      </c>
      <c r="AA914" s="20">
        <v>61307.13</v>
      </c>
      <c r="AB914" s="20">
        <v>61307.13</v>
      </c>
      <c r="AC914" s="20">
        <v>18616.0</v>
      </c>
      <c r="AD914" s="20">
        <v>0.0</v>
      </c>
      <c r="AE914" s="20">
        <v>5459.13</v>
      </c>
      <c r="AF914" s="20">
        <v>0.0</v>
      </c>
      <c r="AG914" s="20">
        <v>0.0</v>
      </c>
      <c r="AH914" s="20">
        <v>0.0</v>
      </c>
      <c r="AI914" s="20">
        <v>0.0</v>
      </c>
      <c r="AJ914" s="20">
        <v>61307.13</v>
      </c>
      <c r="AK914" s="20">
        <v>423401.56</v>
      </c>
      <c r="AL914" s="20">
        <v>4.0</v>
      </c>
      <c r="AM914" s="20">
        <v>376.2</v>
      </c>
      <c r="AN914" s="20">
        <v>0.0</v>
      </c>
      <c r="AS914" s="11" t="str">
        <f>VLOOKUP(C914,'mayo-26'!B:AS,44,0)</f>
        <v>AMBIENTAL@JARDINPLAZA.COM</v>
      </c>
      <c r="AT914" s="12" t="str">
        <f>VLOOKUP(C914,'mayo-26'!B:AT,45,0)</f>
        <v>CORREO ELECTRONICO CERTIFICADO 472</v>
      </c>
    </row>
    <row r="915" ht="14.25" customHeight="1">
      <c r="A915" s="20" t="s">
        <v>1901</v>
      </c>
      <c r="B915" s="20">
        <v>514400.0</v>
      </c>
      <c r="C915" s="20">
        <v>462257.0</v>
      </c>
      <c r="D915" s="21">
        <v>491679.0</v>
      </c>
      <c r="G915" s="20" t="s">
        <v>1902</v>
      </c>
      <c r="H915" s="20" t="s">
        <v>1903</v>
      </c>
      <c r="I915" s="1" t="str">
        <f>VLOOKUP(C915,'mayo-26'!B:H,7,0)</f>
        <v>CC JARDIN PLAZA LC 48 URB SAN FRANCISCO</v>
      </c>
      <c r="J915" s="1" t="s">
        <v>991</v>
      </c>
      <c r="K915" s="10" t="str">
        <f>VLOOKUP(C915,'mayo-26'!B:J,9,0)</f>
        <v>JARDIN PLAZA</v>
      </c>
      <c r="L915" s="1" t="str">
        <f>VLOOKUP(C915,'mayo-26'!B:K,10,0)</f>
        <v>JARDIN PLAZA</v>
      </c>
      <c r="M915" s="20" t="s">
        <v>52</v>
      </c>
      <c r="N915" s="20" t="s">
        <v>89</v>
      </c>
      <c r="O915" s="20" t="s">
        <v>861</v>
      </c>
      <c r="P915" s="20" t="s">
        <v>126</v>
      </c>
      <c r="Q915" s="20" t="s">
        <v>56</v>
      </c>
      <c r="R915" s="20" t="s">
        <v>90</v>
      </c>
      <c r="S915" s="20" t="s">
        <v>143</v>
      </c>
      <c r="T915" s="20" t="s">
        <v>59</v>
      </c>
      <c r="U915" s="20">
        <v>2026.0</v>
      </c>
      <c r="V915" s="20">
        <v>6.0</v>
      </c>
      <c r="W915" s="20">
        <v>1.08187585E9</v>
      </c>
      <c r="X915" s="20">
        <v>1.081894322E9</v>
      </c>
      <c r="Y915" s="22">
        <v>46182.0</v>
      </c>
      <c r="Z915" s="22">
        <v>46207.0</v>
      </c>
      <c r="AA915" s="20">
        <v>128487.44</v>
      </c>
      <c r="AB915" s="20">
        <v>128487.44</v>
      </c>
      <c r="AC915" s="20">
        <v>42829.15</v>
      </c>
      <c r="AD915" s="20">
        <v>253.0</v>
      </c>
      <c r="AE915" s="20">
        <v>0.0</v>
      </c>
      <c r="AF915" s="20">
        <v>0.0</v>
      </c>
      <c r="AG915" s="20">
        <v>0.0</v>
      </c>
      <c r="AH915" s="20">
        <v>0.0</v>
      </c>
      <c r="AI915" s="20">
        <v>0.0</v>
      </c>
      <c r="AJ915" s="20">
        <v>128487.44</v>
      </c>
      <c r="AK915" s="20">
        <v>128487.44</v>
      </c>
      <c r="AL915" s="20">
        <v>0.0</v>
      </c>
      <c r="AM915" s="20">
        <v>376.2</v>
      </c>
      <c r="AN915" s="20">
        <v>0.0</v>
      </c>
      <c r="AS915" s="11" t="str">
        <f>VLOOKUP(C915,'mayo-26'!B:AS,44,0)</f>
        <v>MANISOL@BATA.COM</v>
      </c>
      <c r="AT915" s="12" t="str">
        <f>VLOOKUP(C915,'mayo-26'!B:AT,45,0)</f>
        <v>VERIFICADOR</v>
      </c>
    </row>
    <row r="916" ht="14.25" customHeight="1">
      <c r="A916" s="20" t="s">
        <v>1904</v>
      </c>
      <c r="B916" s="20">
        <v>297.0</v>
      </c>
      <c r="C916" s="20">
        <v>462277.0</v>
      </c>
      <c r="D916" s="21">
        <v>491745.0</v>
      </c>
      <c r="G916" s="20" t="s">
        <v>135</v>
      </c>
      <c r="H916" s="20" t="s">
        <v>136</v>
      </c>
      <c r="I916" s="1" t="str">
        <f>VLOOKUP(C916,'mayo-26'!B:H,7,0)</f>
        <v>AVE 4 17-89 - 0239431</v>
      </c>
      <c r="J916" s="1">
        <v>0.0</v>
      </c>
      <c r="K916" s="10" t="str">
        <f>VLOOKUP(C916,'mayo-26'!B:J,9,0)</f>
        <v>NO</v>
      </c>
      <c r="L916" s="1" t="str">
        <f>VLOOKUP(C916,'mayo-26'!B:K,10,0)</f>
        <v>IMSALUD</v>
      </c>
      <c r="M916" s="20" t="s">
        <v>52</v>
      </c>
      <c r="N916" s="20" t="s">
        <v>1060</v>
      </c>
      <c r="O916" s="20" t="s">
        <v>861</v>
      </c>
      <c r="P916" s="20" t="s">
        <v>126</v>
      </c>
      <c r="Q916" s="20" t="s">
        <v>131</v>
      </c>
      <c r="R916" s="20" t="s">
        <v>151</v>
      </c>
      <c r="S916" s="20" t="s">
        <v>133</v>
      </c>
      <c r="T916" s="20" t="s">
        <v>59</v>
      </c>
      <c r="U916" s="20">
        <v>2026.0</v>
      </c>
      <c r="V916" s="20">
        <v>6.0</v>
      </c>
      <c r="W916" s="20">
        <v>1.081875853E9</v>
      </c>
      <c r="X916" s="20">
        <v>1.081894325E9</v>
      </c>
      <c r="Y916" s="22">
        <v>46182.0</v>
      </c>
      <c r="Z916" s="22">
        <v>46207.0</v>
      </c>
      <c r="AA916" s="20">
        <v>41568.0</v>
      </c>
      <c r="AB916" s="20">
        <v>41568.0</v>
      </c>
      <c r="AC916" s="20">
        <v>0.0</v>
      </c>
      <c r="AD916" s="20">
        <v>0.0</v>
      </c>
      <c r="AE916" s="20">
        <v>0.0</v>
      </c>
      <c r="AF916" s="20">
        <v>0.0</v>
      </c>
      <c r="AG916" s="20">
        <v>0.0</v>
      </c>
      <c r="AH916" s="20">
        <v>0.0</v>
      </c>
      <c r="AI916" s="20">
        <v>0.0</v>
      </c>
      <c r="AJ916" s="20">
        <v>41568.0</v>
      </c>
      <c r="AK916" s="20">
        <v>41568.0</v>
      </c>
      <c r="AL916" s="20">
        <v>0.0</v>
      </c>
      <c r="AM916" s="20">
        <v>250.8</v>
      </c>
      <c r="AN916" s="20">
        <v>0.0</v>
      </c>
      <c r="AS916" s="11" t="str">
        <f>VLOOKUP(C916,'mayo-26'!B:AS,44,0)</f>
        <v>SUBFINANCIERA@IMSALUD.GOV.CO</v>
      </c>
      <c r="AT916" s="12" t="str">
        <f>VLOOKUP(C916,'mayo-26'!B:AT,45,0)</f>
        <v>CORREO ELECTRONICO CERTIFICADO 472</v>
      </c>
    </row>
    <row r="917" ht="14.25" customHeight="1">
      <c r="A917" s="20" t="s">
        <v>1905</v>
      </c>
      <c r="B917" s="20">
        <v>341408.0</v>
      </c>
      <c r="C917" s="20">
        <v>462625.0</v>
      </c>
      <c r="D917" s="21">
        <v>492635.0</v>
      </c>
      <c r="E917" s="20">
        <v>1109766.0</v>
      </c>
      <c r="F917" s="20">
        <v>1109766.0</v>
      </c>
      <c r="G917" s="20">
        <v>8.30129327E8</v>
      </c>
      <c r="H917" s="20" t="s">
        <v>978</v>
      </c>
      <c r="I917" s="1" t="str">
        <f>VLOOKUP(C917,'mayo-26'!B:H,7,0)</f>
        <v>AVENIDA 0 #11-29 QUINTA VELEZ</v>
      </c>
      <c r="J917" s="1" t="s">
        <v>931</v>
      </c>
      <c r="K917" s="10" t="str">
        <f>VLOOKUP(C917,'mayo-26'!B:J,9,0)</f>
        <v>NO</v>
      </c>
      <c r="L917" s="1" t="str">
        <f>VLOOKUP(C917,'mayo-26'!B:K,10,0)</f>
        <v>VERTEBRA</v>
      </c>
      <c r="M917" s="20" t="s">
        <v>52</v>
      </c>
      <c r="N917" s="20" t="s">
        <v>89</v>
      </c>
      <c r="O917" s="20" t="s">
        <v>861</v>
      </c>
      <c r="P917" s="20" t="s">
        <v>126</v>
      </c>
      <c r="Q917" s="20" t="s">
        <v>131</v>
      </c>
      <c r="R917" s="20" t="s">
        <v>132</v>
      </c>
      <c r="S917" s="20" t="s">
        <v>133</v>
      </c>
      <c r="T917" s="20" t="s">
        <v>59</v>
      </c>
      <c r="U917" s="20">
        <v>2026.0</v>
      </c>
      <c r="V917" s="20">
        <v>6.0</v>
      </c>
      <c r="W917" s="20">
        <v>1.081875857E9</v>
      </c>
      <c r="X917" s="20">
        <v>1.081894329E9</v>
      </c>
      <c r="Y917" s="22">
        <v>46182.0</v>
      </c>
      <c r="Z917" s="22">
        <v>46207.0</v>
      </c>
      <c r="AA917" s="20">
        <v>113128.5</v>
      </c>
      <c r="AB917" s="20">
        <v>113128.5</v>
      </c>
      <c r="AC917" s="20">
        <v>37709.5</v>
      </c>
      <c r="AD917" s="20">
        <v>0.0</v>
      </c>
      <c r="AE917" s="20">
        <v>0.0</v>
      </c>
      <c r="AF917" s="20">
        <v>0.0</v>
      </c>
      <c r="AG917" s="20">
        <v>0.0</v>
      </c>
      <c r="AH917" s="20">
        <v>0.0</v>
      </c>
      <c r="AI917" s="20">
        <v>0.0</v>
      </c>
      <c r="AJ917" s="20">
        <v>113128.5</v>
      </c>
      <c r="AK917" s="20">
        <v>113128.5</v>
      </c>
      <c r="AL917" s="20">
        <v>0.0</v>
      </c>
      <c r="AM917" s="20">
        <v>376.2</v>
      </c>
      <c r="AN917" s="20">
        <v>0.0</v>
      </c>
      <c r="AS917" s="11" t="str">
        <f>VLOOKUP(C917,'mayo-26'!B:AS,44,0)</f>
        <v>FACTURAS@VERTEBRA.TECH</v>
      </c>
      <c r="AT917" s="12" t="str">
        <f>VLOOKUP(C917,'mayo-26'!B:AT,45,0)</f>
        <v>CORREO ELECTRONICO CERTIFICADO 472</v>
      </c>
    </row>
    <row r="918" ht="14.25" customHeight="1">
      <c r="A918" s="20" t="s">
        <v>1906</v>
      </c>
      <c r="B918" s="20">
        <v>455370.0</v>
      </c>
      <c r="C918" s="20">
        <v>465.0</v>
      </c>
      <c r="D918" s="21">
        <v>465.0</v>
      </c>
      <c r="E918" s="20">
        <v>9.0257809E7</v>
      </c>
      <c r="F918" s="20">
        <v>9.0257809E7</v>
      </c>
      <c r="G918" s="20" t="s">
        <v>148</v>
      </c>
      <c r="H918" s="20" t="s">
        <v>149</v>
      </c>
      <c r="I918" s="1" t="str">
        <f>VLOOKUP(C918,'mayo-26'!B:H,7,0)</f>
        <v>CALLE 10 NO 0E-16 EDF CENTRO EMPRESARIAL BLOQUE B HOTEL TONCHALA</v>
      </c>
      <c r="J918" s="1" t="s">
        <v>1362</v>
      </c>
      <c r="K918" s="10" t="str">
        <f>VLOOKUP(C918,'mayo-26'!B:J,9,0)</f>
        <v>NO</v>
      </c>
      <c r="L918" s="1" t="str">
        <f>VLOOKUP(C918,'mayo-26'!B:K,10,0)</f>
        <v>COLEGIOS ZONA SUR</v>
      </c>
      <c r="M918" s="20" t="s">
        <v>52</v>
      </c>
      <c r="N918" s="20" t="s">
        <v>1060</v>
      </c>
      <c r="O918" s="20" t="s">
        <v>861</v>
      </c>
      <c r="P918" s="20" t="s">
        <v>126</v>
      </c>
      <c r="Q918" s="20" t="s">
        <v>56</v>
      </c>
      <c r="R918" s="20" t="s">
        <v>57</v>
      </c>
      <c r="S918" s="20" t="s">
        <v>143</v>
      </c>
      <c r="T918" s="20" t="s">
        <v>59</v>
      </c>
      <c r="U918" s="20">
        <v>2026.0</v>
      </c>
      <c r="V918" s="20">
        <v>6.0</v>
      </c>
      <c r="W918" s="20">
        <v>1.081875536E9</v>
      </c>
      <c r="X918" s="20">
        <v>1.081894008E9</v>
      </c>
      <c r="Y918" s="22">
        <v>46182.0</v>
      </c>
      <c r="Z918" s="22">
        <v>46207.0</v>
      </c>
      <c r="AA918" s="20">
        <v>51807.29</v>
      </c>
      <c r="AB918" s="20">
        <v>51807.29</v>
      </c>
      <c r="AC918" s="20">
        <v>0.0</v>
      </c>
      <c r="AD918" s="20">
        <v>253.0</v>
      </c>
      <c r="AE918" s="20">
        <v>0.0</v>
      </c>
      <c r="AF918" s="20">
        <v>0.0</v>
      </c>
      <c r="AG918" s="20">
        <v>0.0</v>
      </c>
      <c r="AH918" s="20">
        <v>0.0</v>
      </c>
      <c r="AI918" s="20">
        <v>0.0</v>
      </c>
      <c r="AJ918" s="20">
        <v>51807.29</v>
      </c>
      <c r="AK918" s="20">
        <v>154191.18</v>
      </c>
      <c r="AL918" s="20">
        <v>3.0</v>
      </c>
      <c r="AM918" s="20">
        <v>250.8</v>
      </c>
      <c r="AN918" s="20">
        <v>0.0</v>
      </c>
      <c r="AS918" s="11" t="str">
        <f>VLOOKUP(C918,'mayo-26'!B:AS,44,0)</f>
        <v>AREAFINANCIERA@SEMCUCUTA.GOV.CO</v>
      </c>
      <c r="AT918" s="12" t="str">
        <f>VLOOKUP(C918,'mayo-26'!B:AT,45,0)</f>
        <v>CARTERA</v>
      </c>
    </row>
    <row r="919" ht="14.25" customHeight="1">
      <c r="A919" s="20" t="s">
        <v>1907</v>
      </c>
      <c r="B919" s="20">
        <v>528599.0</v>
      </c>
      <c r="C919" s="20">
        <v>467845.0</v>
      </c>
      <c r="D919" s="21">
        <v>501577.0</v>
      </c>
      <c r="G919" s="20" t="s">
        <v>1908</v>
      </c>
      <c r="H919" s="20" t="s">
        <v>1909</v>
      </c>
      <c r="I919" s="1" t="str">
        <f>VLOOKUP(C919,'mayo-26'!B:H,7,0)</f>
        <v>CC JARDIN PLAZA LOCAL L60</v>
      </c>
      <c r="J919" s="1" t="s">
        <v>991</v>
      </c>
      <c r="K919" s="10" t="str">
        <f>VLOOKUP(C919,'mayo-26'!B:J,9,0)</f>
        <v>JARDIN PLAZA</v>
      </c>
      <c r="L919" s="1" t="str">
        <f>VLOOKUP(C919,'mayo-26'!B:K,10,0)</f>
        <v>JARDIN PLAZA</v>
      </c>
      <c r="M919" s="20" t="s">
        <v>52</v>
      </c>
      <c r="N919" s="20" t="s">
        <v>89</v>
      </c>
      <c r="O919" s="20" t="s">
        <v>861</v>
      </c>
      <c r="P919" s="20" t="s">
        <v>126</v>
      </c>
      <c r="Q919" s="20" t="s">
        <v>56</v>
      </c>
      <c r="R919" s="20" t="s">
        <v>90</v>
      </c>
      <c r="S919" s="20" t="s">
        <v>143</v>
      </c>
      <c r="T919" s="20" t="s">
        <v>59</v>
      </c>
      <c r="U919" s="20">
        <v>2026.0</v>
      </c>
      <c r="V919" s="20">
        <v>6.0</v>
      </c>
      <c r="W919" s="20">
        <v>1.08187586E9</v>
      </c>
      <c r="X919" s="20">
        <v>1.081894332E9</v>
      </c>
      <c r="Y919" s="22">
        <v>46182.0</v>
      </c>
      <c r="Z919" s="22">
        <v>46207.0</v>
      </c>
      <c r="AA919" s="20">
        <v>129917.12</v>
      </c>
      <c r="AB919" s="20">
        <v>129917.12</v>
      </c>
      <c r="AC919" s="20">
        <v>42829.15</v>
      </c>
      <c r="AD919" s="20">
        <v>253.0</v>
      </c>
      <c r="AE919" s="20">
        <v>1429.68</v>
      </c>
      <c r="AF919" s="20">
        <v>0.0</v>
      </c>
      <c r="AG919" s="20">
        <v>0.0</v>
      </c>
      <c r="AH919" s="20">
        <v>0.0</v>
      </c>
      <c r="AI919" s="20">
        <v>0.0</v>
      </c>
      <c r="AJ919" s="20">
        <v>129917.12</v>
      </c>
      <c r="AK919" s="20">
        <v>387380.85</v>
      </c>
      <c r="AL919" s="20">
        <v>2.0</v>
      </c>
      <c r="AM919" s="20">
        <v>376.2</v>
      </c>
      <c r="AN919" s="20">
        <v>0.0</v>
      </c>
      <c r="AS919" s="11" t="str">
        <f>VLOOKUP(C919,'mayo-26'!B:AS,44,0)</f>
        <v>ME.IVAN@HOTMAIL.COM</v>
      </c>
      <c r="AT919" s="12" t="str">
        <f>VLOOKUP(C919,'mayo-26'!B:AT,45,0)</f>
        <v>VERIFICADOR</v>
      </c>
    </row>
    <row r="920" ht="14.25" customHeight="1">
      <c r="A920" s="20" t="s">
        <v>1910</v>
      </c>
      <c r="B920" s="20">
        <v>147.0</v>
      </c>
      <c r="C920" s="20">
        <v>469.0</v>
      </c>
      <c r="D920" s="21">
        <v>469.0</v>
      </c>
      <c r="E920" s="20">
        <v>9.0257935E7</v>
      </c>
      <c r="F920" s="20">
        <v>9.0257935E7</v>
      </c>
      <c r="G920" s="20" t="s">
        <v>179</v>
      </c>
      <c r="H920" s="20" t="s">
        <v>180</v>
      </c>
      <c r="I920" s="1" t="str">
        <f>VLOOKUP(C920,'mayo-26'!B:H,7,0)</f>
        <v>AVE 3 CLL 24 GARITA # 1</v>
      </c>
      <c r="J920" s="1" t="s">
        <v>1023</v>
      </c>
      <c r="K920" s="10" t="str">
        <f>VLOOKUP(C920,'mayo-26'!B:J,9,0)</f>
        <v>NO</v>
      </c>
      <c r="L920" s="1" t="str">
        <f>VLOOKUP(C920,'mayo-26'!B:K,10,0)</f>
        <v>POLICIA</v>
      </c>
      <c r="M920" s="20" t="s">
        <v>52</v>
      </c>
      <c r="N920" s="20" t="s">
        <v>89</v>
      </c>
      <c r="O920" s="20" t="s">
        <v>861</v>
      </c>
      <c r="P920" s="20" t="s">
        <v>126</v>
      </c>
      <c r="Q920" s="20" t="s">
        <v>131</v>
      </c>
      <c r="R920" s="20" t="s">
        <v>151</v>
      </c>
      <c r="S920" s="20" t="s">
        <v>133</v>
      </c>
      <c r="T920" s="20" t="s">
        <v>59</v>
      </c>
      <c r="U920" s="20">
        <v>2026.0</v>
      </c>
      <c r="V920" s="20">
        <v>6.0</v>
      </c>
      <c r="W920" s="20">
        <v>1.081875541E9</v>
      </c>
      <c r="X920" s="20">
        <v>1.081894013E9</v>
      </c>
      <c r="Y920" s="22">
        <v>46182.0</v>
      </c>
      <c r="Z920" s="22">
        <v>46207.0</v>
      </c>
      <c r="AA920" s="20">
        <v>75419.0</v>
      </c>
      <c r="AB920" s="20">
        <v>75419.0</v>
      </c>
      <c r="AC920" s="20">
        <v>0.0</v>
      </c>
      <c r="AD920" s="20">
        <v>0.0</v>
      </c>
      <c r="AE920" s="20">
        <v>0.0</v>
      </c>
      <c r="AF920" s="20">
        <v>0.0</v>
      </c>
      <c r="AG920" s="20">
        <v>0.0</v>
      </c>
      <c r="AH920" s="20">
        <v>0.0</v>
      </c>
      <c r="AI920" s="20">
        <v>0.0</v>
      </c>
      <c r="AJ920" s="20">
        <v>75419.0</v>
      </c>
      <c r="AK920" s="20">
        <v>548631.05</v>
      </c>
      <c r="AL920" s="20">
        <v>6.0</v>
      </c>
      <c r="AM920" s="20">
        <v>250.8</v>
      </c>
      <c r="AN920" s="20">
        <v>0.0</v>
      </c>
      <c r="AS920" s="11" t="str">
        <f>VLOOKUP(C920,'mayo-26'!B:AS,44,0)</f>
        <v>MECUC.GUBIR@POLICIA.GOV.CO</v>
      </c>
      <c r="AT920" s="12" t="str">
        <f>VLOOKUP(C920,'mayo-26'!B:AT,45,0)</f>
        <v>CORREO ELECTRONICO CERTIFICADO 472</v>
      </c>
    </row>
    <row r="921" ht="14.25" customHeight="1">
      <c r="A921" s="20" t="s">
        <v>1911</v>
      </c>
      <c r="B921" s="20">
        <v>474.0</v>
      </c>
      <c r="C921" s="20">
        <v>473.0</v>
      </c>
      <c r="D921" s="21">
        <v>473.0</v>
      </c>
      <c r="E921" s="20">
        <v>9.0258552E7</v>
      </c>
      <c r="F921" s="20">
        <v>9.0258552E7</v>
      </c>
      <c r="G921" s="20" t="s">
        <v>1414</v>
      </c>
      <c r="H921" s="20" t="s">
        <v>1912</v>
      </c>
      <c r="I921" s="1" t="str">
        <f>VLOOKUP(C921,'mayo-26'!B:H,7,0)</f>
        <v>AV 116 7 15 OF 1402 BOGOTA DC</v>
      </c>
      <c r="J921" s="1" t="s">
        <v>942</v>
      </c>
      <c r="K921" s="10" t="str">
        <f>VLOOKUP(C921,'mayo-26'!B:J,9,0)</f>
        <v>NO</v>
      </c>
      <c r="L921" s="1" t="str">
        <f>VLOOKUP(C921,'mayo-26'!B:K,10,0)</f>
        <v>MC DONALDS</v>
      </c>
      <c r="M921" s="20" t="s">
        <v>52</v>
      </c>
      <c r="N921" s="20" t="s">
        <v>89</v>
      </c>
      <c r="O921" s="20" t="s">
        <v>861</v>
      </c>
      <c r="P921" s="20" t="s">
        <v>126</v>
      </c>
      <c r="Q921" s="20" t="s">
        <v>56</v>
      </c>
      <c r="R921" s="20" t="s">
        <v>90</v>
      </c>
      <c r="S921" s="20" t="s">
        <v>58</v>
      </c>
      <c r="T921" s="20" t="s">
        <v>59</v>
      </c>
      <c r="U921" s="20">
        <v>2026.0</v>
      </c>
      <c r="V921" s="20">
        <v>6.0</v>
      </c>
      <c r="W921" s="20">
        <v>1.081875546E9</v>
      </c>
      <c r="X921" s="20">
        <v>1.081894018E9</v>
      </c>
      <c r="Y921" s="22">
        <v>46182.0</v>
      </c>
      <c r="Z921" s="22">
        <v>46207.0</v>
      </c>
      <c r="AA921" s="20">
        <v>3349365.85</v>
      </c>
      <c r="AB921" s="20">
        <v>3349365.85</v>
      </c>
      <c r="AC921" s="20">
        <v>1092176.64</v>
      </c>
      <c r="AD921" s="20">
        <v>11312.5</v>
      </c>
      <c r="AE921" s="20">
        <v>72835.95</v>
      </c>
      <c r="AF921" s="20">
        <v>0.0</v>
      </c>
      <c r="AG921" s="20">
        <v>0.0</v>
      </c>
      <c r="AH921" s="20">
        <v>0.0</v>
      </c>
      <c r="AI921" s="20">
        <v>0.0</v>
      </c>
      <c r="AJ921" s="20">
        <v>3349365.85</v>
      </c>
      <c r="AK921" s="20">
        <v>7275830.62</v>
      </c>
      <c r="AL921" s="20">
        <v>2.0</v>
      </c>
      <c r="AM921" s="20">
        <v>376.2</v>
      </c>
      <c r="AN921" s="20">
        <v>0.0</v>
      </c>
      <c r="AS921" s="11" t="str">
        <f>VLOOKUP(C921,'mayo-26'!B:AS,44,0)</f>
        <v>FACTURAELECTRONICA@CO.MCD.COM</v>
      </c>
      <c r="AT921" s="12" t="str">
        <f>VLOOKUP(C921,'mayo-26'!B:AT,45,0)</f>
        <v>CORREO ELECTRONICO CERTIFICADO 472</v>
      </c>
    </row>
    <row r="922" ht="14.25" customHeight="1">
      <c r="A922" s="20" t="s">
        <v>1913</v>
      </c>
      <c r="B922" s="20">
        <v>545061.0</v>
      </c>
      <c r="C922" s="20">
        <v>473901.0</v>
      </c>
      <c r="D922" s="21">
        <v>513086.0</v>
      </c>
      <c r="G922" s="20" t="s">
        <v>1914</v>
      </c>
      <c r="H922" s="20" t="s">
        <v>1915</v>
      </c>
      <c r="I922" s="1" t="str">
        <f>VLOOKUP(C922,'mayo-26'!B:H,7,0)</f>
        <v>ANILLO VIAL 13 70 LC 43 (JARDIN PLAZA)</v>
      </c>
      <c r="J922" s="1">
        <v>0.0</v>
      </c>
      <c r="K922" s="10" t="str">
        <f>VLOOKUP(C922,'mayo-26'!B:J,9,0)</f>
        <v>JARDIN PLAZA</v>
      </c>
      <c r="L922" s="1" t="str">
        <f>VLOOKUP(C922,'mayo-26'!B:K,10,0)</f>
        <v>JARDIN PLAZA</v>
      </c>
      <c r="M922" s="20" t="s">
        <v>52</v>
      </c>
      <c r="N922" s="20" t="s">
        <v>89</v>
      </c>
      <c r="O922" s="20" t="s">
        <v>861</v>
      </c>
      <c r="P922" s="20" t="s">
        <v>126</v>
      </c>
      <c r="Q922" s="20" t="s">
        <v>56</v>
      </c>
      <c r="R922" s="20" t="s">
        <v>90</v>
      </c>
      <c r="S922" s="20" t="s">
        <v>143</v>
      </c>
      <c r="T922" s="20" t="s">
        <v>59</v>
      </c>
      <c r="U922" s="20">
        <v>2026.0</v>
      </c>
      <c r="V922" s="20">
        <v>6.0</v>
      </c>
      <c r="W922" s="20">
        <v>1.081875862E9</v>
      </c>
      <c r="X922" s="20">
        <v>1.081894334E9</v>
      </c>
      <c r="Y922" s="22">
        <v>46182.0</v>
      </c>
      <c r="Z922" s="22">
        <v>46207.0</v>
      </c>
      <c r="AA922" s="20">
        <v>128487.44</v>
      </c>
      <c r="AB922" s="20">
        <v>128487.44</v>
      </c>
      <c r="AC922" s="20">
        <v>42829.15</v>
      </c>
      <c r="AD922" s="20">
        <v>253.0</v>
      </c>
      <c r="AE922" s="20">
        <v>0.0</v>
      </c>
      <c r="AF922" s="20">
        <v>0.0</v>
      </c>
      <c r="AG922" s="20">
        <v>0.0</v>
      </c>
      <c r="AH922" s="20">
        <v>0.0</v>
      </c>
      <c r="AI922" s="20">
        <v>0.0</v>
      </c>
      <c r="AJ922" s="20">
        <v>128487.44</v>
      </c>
      <c r="AK922" s="20">
        <v>128487.44</v>
      </c>
      <c r="AL922" s="20">
        <v>0.0</v>
      </c>
      <c r="AM922" s="20">
        <v>376.2</v>
      </c>
      <c r="AN922" s="20">
        <v>0.0</v>
      </c>
      <c r="AS922" s="11" t="str">
        <f>VLOOKUP(C922,'mayo-26'!B:AS,44,0)</f>
        <v>ALAMCEN.JARDINPLAZACUC@FAJATE.CO</v>
      </c>
      <c r="AT922" s="12" t="str">
        <f>VLOOKUP(C922,'mayo-26'!B:AT,45,0)</f>
        <v>VERIFICADOR</v>
      </c>
    </row>
    <row r="923" ht="14.25" customHeight="1">
      <c r="A923" s="20" t="s">
        <v>1916</v>
      </c>
      <c r="B923" s="20">
        <v>551580.0</v>
      </c>
      <c r="C923" s="20">
        <v>476109.0</v>
      </c>
      <c r="D923" s="21">
        <v>517427.0</v>
      </c>
      <c r="G923" s="20">
        <v>8.91408584E8</v>
      </c>
      <c r="H923" s="20" t="s">
        <v>1917</v>
      </c>
      <c r="I923" s="1" t="str">
        <f>VLOOKUP(C923,'mayo-26'!B:H,7,0)</f>
        <v>LOCAL RM 27- JARDIN PLAZA</v>
      </c>
      <c r="J923" s="1" t="s">
        <v>76</v>
      </c>
      <c r="K923" s="10" t="str">
        <f>VLOOKUP(C923,'mayo-26'!B:J,9,0)</f>
        <v>JARDIN PLAZA</v>
      </c>
      <c r="L923" s="1" t="str">
        <f>VLOOKUP(C923,'mayo-26'!B:K,10,0)</f>
        <v>FRISBY S.A</v>
      </c>
      <c r="M923" s="20" t="s">
        <v>52</v>
      </c>
      <c r="N923" s="20" t="s">
        <v>89</v>
      </c>
      <c r="O923" s="20" t="s">
        <v>861</v>
      </c>
      <c r="P923" s="20" t="s">
        <v>126</v>
      </c>
      <c r="Q923" s="20" t="s">
        <v>56</v>
      </c>
      <c r="R923" s="20" t="s">
        <v>90</v>
      </c>
      <c r="S923" s="20" t="s">
        <v>143</v>
      </c>
      <c r="T923" s="20" t="s">
        <v>59</v>
      </c>
      <c r="U923" s="20">
        <v>2026.0</v>
      </c>
      <c r="V923" s="20">
        <v>6.0</v>
      </c>
      <c r="W923" s="20">
        <v>1.081875864E9</v>
      </c>
      <c r="X923" s="20">
        <v>1.081894336E9</v>
      </c>
      <c r="Y923" s="22">
        <v>46182.0</v>
      </c>
      <c r="Z923" s="22">
        <v>46207.0</v>
      </c>
      <c r="AA923" s="20">
        <v>198795.0</v>
      </c>
      <c r="AB923" s="20">
        <v>198795.0</v>
      </c>
      <c r="AC923" s="20">
        <v>66265.0</v>
      </c>
      <c r="AD923" s="20">
        <v>500.0</v>
      </c>
      <c r="AE923" s="20">
        <v>0.0</v>
      </c>
      <c r="AF923" s="20">
        <v>0.0</v>
      </c>
      <c r="AG923" s="20">
        <v>0.0</v>
      </c>
      <c r="AH923" s="20">
        <v>0.0</v>
      </c>
      <c r="AI923" s="20">
        <v>0.0</v>
      </c>
      <c r="AJ923" s="20">
        <v>198795.0</v>
      </c>
      <c r="AK923" s="20">
        <v>398396.25</v>
      </c>
      <c r="AL923" s="20">
        <v>1.0</v>
      </c>
      <c r="AM923" s="20">
        <v>376.2</v>
      </c>
      <c r="AN923" s="20">
        <v>0.0</v>
      </c>
      <c r="AS923" s="11" t="str">
        <f>VLOOKUP(C923,'mayo-26'!B:AS,44,0)</f>
        <v>MMORALES@FRISBY.COM.CO</v>
      </c>
      <c r="AT923" s="12" t="str">
        <f>VLOOKUP(C923,'mayo-26'!B:AT,45,0)</f>
        <v>VERIFICADOR</v>
      </c>
    </row>
    <row r="924" ht="14.25" customHeight="1">
      <c r="A924" s="20" t="s">
        <v>1918</v>
      </c>
      <c r="B924" s="20">
        <v>490.0</v>
      </c>
      <c r="C924" s="20">
        <v>489.0</v>
      </c>
      <c r="D924" s="21">
        <v>489.0</v>
      </c>
      <c r="E924" s="20">
        <v>9.0265222E7</v>
      </c>
      <c r="F924" s="20">
        <v>9.0265222E7</v>
      </c>
      <c r="G924" s="20">
        <v>9.0265222E7</v>
      </c>
      <c r="H924" s="20" t="s">
        <v>973</v>
      </c>
      <c r="I924" s="1" t="str">
        <f>VLOOKUP(C924,'mayo-26'!B:H,7,0)</f>
        <v>AVENIDA 2 10-47 LOCAL 202</v>
      </c>
      <c r="J924" s="1" t="s">
        <v>343</v>
      </c>
      <c r="K924" s="10" t="str">
        <f>VLOOKUP(C924,'mayo-26'!B:J,9,0)</f>
        <v>CENTRO</v>
      </c>
      <c r="L924" s="1" t="str">
        <f>VLOOKUP(C924,'mayo-26'!B:K,10,0)</f>
        <v>CENTRO</v>
      </c>
      <c r="M924" s="20" t="s">
        <v>52</v>
      </c>
      <c r="N924" s="20" t="s">
        <v>89</v>
      </c>
      <c r="O924" s="20" t="s">
        <v>861</v>
      </c>
      <c r="P924" s="20" t="s">
        <v>126</v>
      </c>
      <c r="Q924" s="20" t="s">
        <v>131</v>
      </c>
      <c r="R924" s="20" t="s">
        <v>363</v>
      </c>
      <c r="S924" s="20" t="s">
        <v>133</v>
      </c>
      <c r="T924" s="20" t="s">
        <v>59</v>
      </c>
      <c r="U924" s="20">
        <v>2026.0</v>
      </c>
      <c r="V924" s="20">
        <v>6.0</v>
      </c>
      <c r="W924" s="20">
        <v>1.081875551E9</v>
      </c>
      <c r="X924" s="20">
        <v>1.081894023E9</v>
      </c>
      <c r="Y924" s="22">
        <v>46182.0</v>
      </c>
      <c r="Z924" s="22">
        <v>46207.0</v>
      </c>
      <c r="AA924" s="20">
        <v>76212.03</v>
      </c>
      <c r="AB924" s="20">
        <v>76212.03</v>
      </c>
      <c r="AC924" s="20">
        <v>25122.0</v>
      </c>
      <c r="AD924" s="20">
        <v>0.0</v>
      </c>
      <c r="AE924" s="20">
        <v>846.03</v>
      </c>
      <c r="AF924" s="20">
        <v>0.0</v>
      </c>
      <c r="AG924" s="20">
        <v>0.0</v>
      </c>
      <c r="AH924" s="20">
        <v>0.0</v>
      </c>
      <c r="AI924" s="20">
        <v>0.0</v>
      </c>
      <c r="AJ924" s="20">
        <v>76212.03</v>
      </c>
      <c r="AK924" s="20">
        <v>152353.53</v>
      </c>
      <c r="AL924" s="20">
        <v>1.0</v>
      </c>
      <c r="AM924" s="20">
        <v>376.2</v>
      </c>
      <c r="AN924" s="20">
        <v>0.0</v>
      </c>
      <c r="AS924" s="11" t="str">
        <f>VLOOKUP(C924,'mayo-26'!B:AS,44,0)</f>
        <v>PRINCESSBRIDAL3650@GMAIL.COM</v>
      </c>
      <c r="AT924" s="12" t="str">
        <f>VLOOKUP(C924,'mayo-26'!B:AT,45,0)</f>
        <v>VERIFICADOR</v>
      </c>
    </row>
    <row r="925" ht="14.25" customHeight="1">
      <c r="A925" s="20" t="s">
        <v>1919</v>
      </c>
      <c r="B925" s="20">
        <v>48982.0</v>
      </c>
      <c r="C925" s="20">
        <v>48981.0</v>
      </c>
      <c r="D925" s="21">
        <v>48981.0</v>
      </c>
      <c r="E925" s="20">
        <v>16653.0</v>
      </c>
      <c r="F925" s="20">
        <v>16653.0</v>
      </c>
      <c r="G925" s="20" t="s">
        <v>858</v>
      </c>
      <c r="H925" s="20" t="s">
        <v>859</v>
      </c>
      <c r="I925" s="1" t="str">
        <f>VLOOKUP(C925,'mayo-26'!B:H,7,0)</f>
        <v>CLL 8 4-35 CENTRO</v>
      </c>
      <c r="J925" s="1" t="s">
        <v>640</v>
      </c>
      <c r="K925" s="10" t="str">
        <f>VLOOKUP(C925,'mayo-26'!B:J,9,0)</f>
        <v>NO</v>
      </c>
      <c r="L925" s="1" t="str">
        <f>VLOOKUP(C925,'mayo-26'!B:K,10,0)</f>
        <v>NO</v>
      </c>
      <c r="M925" s="20" t="s">
        <v>52</v>
      </c>
      <c r="N925" s="20" t="s">
        <v>89</v>
      </c>
      <c r="O925" s="20" t="s">
        <v>861</v>
      </c>
      <c r="P925" s="20" t="s">
        <v>126</v>
      </c>
      <c r="Q925" s="20" t="s">
        <v>131</v>
      </c>
      <c r="R925" s="20" t="s">
        <v>132</v>
      </c>
      <c r="S925" s="20" t="s">
        <v>133</v>
      </c>
      <c r="T925" s="20" t="s">
        <v>59</v>
      </c>
      <c r="U925" s="20">
        <v>2026.0</v>
      </c>
      <c r="V925" s="20">
        <v>6.0</v>
      </c>
      <c r="W925" s="20">
        <v>1.08187569E9</v>
      </c>
      <c r="X925" s="20">
        <v>1.081894162E9</v>
      </c>
      <c r="Y925" s="22">
        <v>46182.0</v>
      </c>
      <c r="Z925" s="22">
        <v>46207.0</v>
      </c>
      <c r="AA925" s="20">
        <v>113128.5</v>
      </c>
      <c r="AB925" s="20">
        <v>113128.5</v>
      </c>
      <c r="AC925" s="20">
        <v>37709.5</v>
      </c>
      <c r="AD925" s="20">
        <v>0.0</v>
      </c>
      <c r="AE925" s="20">
        <v>0.0</v>
      </c>
      <c r="AF925" s="20">
        <v>0.0</v>
      </c>
      <c r="AG925" s="20">
        <v>0.0</v>
      </c>
      <c r="AH925" s="20">
        <v>0.0</v>
      </c>
      <c r="AI925" s="20">
        <v>0.0</v>
      </c>
      <c r="AJ925" s="20">
        <v>113128.5</v>
      </c>
      <c r="AK925" s="20">
        <v>113128.5</v>
      </c>
      <c r="AL925" s="20">
        <v>0.0</v>
      </c>
      <c r="AM925" s="20">
        <v>376.2</v>
      </c>
      <c r="AN925" s="20">
        <v>0.0</v>
      </c>
      <c r="AS925" s="11" t="str">
        <f>VLOOKUP(C925,'mayo-26'!B:AS,44,0)</f>
        <v>GRUPOEMPRESARIALELSURTIDOR@GMAIL.COM</v>
      </c>
      <c r="AT925" s="12" t="str">
        <f>VLOOKUP(C925,'mayo-26'!B:AT,45,0)</f>
        <v>CORREO ELECTRONICO CERTIFICADO 472</v>
      </c>
    </row>
    <row r="926" ht="14.25" customHeight="1">
      <c r="A926" s="20" t="s">
        <v>1920</v>
      </c>
      <c r="B926" s="20">
        <v>643.0</v>
      </c>
      <c r="C926" s="20">
        <v>49121.0</v>
      </c>
      <c r="D926" s="21">
        <v>49121.0</v>
      </c>
      <c r="E926" s="20">
        <v>16917.0</v>
      </c>
      <c r="F926" s="20">
        <v>16917.0</v>
      </c>
      <c r="G926" s="20" t="s">
        <v>1189</v>
      </c>
      <c r="H926" s="20" t="s">
        <v>1190</v>
      </c>
      <c r="I926" s="1" t="str">
        <f>VLOOKUP(C926,'mayo-26'!B:H,7,0)</f>
        <v>AV ANILLO VIAL ORIENTAL JARDIN PLAZA</v>
      </c>
      <c r="J926" s="1" t="s">
        <v>343</v>
      </c>
      <c r="K926" s="10" t="str">
        <f>VLOOKUP(C926,'mayo-26'!B:J,9,0)</f>
        <v>CENTRO</v>
      </c>
      <c r="L926" s="1" t="str">
        <f>VLOOKUP(C926,'mayo-26'!B:K,10,0)</f>
        <v>CENTRO</v>
      </c>
      <c r="M926" s="20" t="s">
        <v>52</v>
      </c>
      <c r="N926" s="20" t="s">
        <v>89</v>
      </c>
      <c r="O926" s="20" t="s">
        <v>861</v>
      </c>
      <c r="P926" s="20" t="s">
        <v>126</v>
      </c>
      <c r="Q926" s="20" t="s">
        <v>131</v>
      </c>
      <c r="R926" s="20" t="s">
        <v>132</v>
      </c>
      <c r="S926" s="20" t="s">
        <v>133</v>
      </c>
      <c r="T926" s="20" t="s">
        <v>59</v>
      </c>
      <c r="U926" s="20">
        <v>2026.0</v>
      </c>
      <c r="V926" s="20">
        <v>6.0</v>
      </c>
      <c r="W926" s="20">
        <v>1.081875693E9</v>
      </c>
      <c r="X926" s="20">
        <v>1.081894165E9</v>
      </c>
      <c r="Y926" s="22">
        <v>46182.0</v>
      </c>
      <c r="Z926" s="22">
        <v>46207.0</v>
      </c>
      <c r="AA926" s="20">
        <v>113128.5</v>
      </c>
      <c r="AB926" s="20">
        <v>113128.5</v>
      </c>
      <c r="AC926" s="20">
        <v>37709.5</v>
      </c>
      <c r="AD926" s="20">
        <v>0.0</v>
      </c>
      <c r="AE926" s="20">
        <v>0.0</v>
      </c>
      <c r="AF926" s="20">
        <v>0.0</v>
      </c>
      <c r="AG926" s="20">
        <v>0.0</v>
      </c>
      <c r="AH926" s="20">
        <v>0.0</v>
      </c>
      <c r="AI926" s="20">
        <v>0.0</v>
      </c>
      <c r="AJ926" s="20">
        <v>113128.5</v>
      </c>
      <c r="AK926" s="20">
        <v>113128.5</v>
      </c>
      <c r="AL926" s="20">
        <v>0.0</v>
      </c>
      <c r="AM926" s="20">
        <v>376.2</v>
      </c>
      <c r="AN926" s="20">
        <v>0.0</v>
      </c>
      <c r="AS926" s="11" t="str">
        <f>VLOOKUP(C926,'mayo-26'!B:AS,44,0)</f>
        <v>RECEPCIONFACTURAS@QUEST.COM.CO</v>
      </c>
      <c r="AT926" s="12" t="str">
        <f>VLOOKUP(C926,'mayo-26'!B:AT,45,0)</f>
        <v>VERIFICADOR</v>
      </c>
    </row>
    <row r="927" ht="14.25" customHeight="1">
      <c r="A927" s="20" t="s">
        <v>1921</v>
      </c>
      <c r="B927" s="20">
        <v>494.0</v>
      </c>
      <c r="C927" s="20">
        <v>493.0</v>
      </c>
      <c r="D927" s="21">
        <v>493.0</v>
      </c>
      <c r="E927" s="20">
        <v>9.0266578E7</v>
      </c>
      <c r="F927" s="20">
        <v>9.0266578E7</v>
      </c>
      <c r="G927" s="20" t="s">
        <v>1922</v>
      </c>
      <c r="H927" s="20" t="s">
        <v>1923</v>
      </c>
      <c r="I927" s="1" t="str">
        <f>VLOOKUP(C927,'mayo-26'!B:H,7,0)</f>
        <v>AV 1 # 16-69</v>
      </c>
      <c r="J927" s="1" t="s">
        <v>343</v>
      </c>
      <c r="K927" s="10" t="str">
        <f>VLOOKUP(C927,'mayo-26'!B:J,9,0)</f>
        <v>NO</v>
      </c>
      <c r="L927" s="1" t="str">
        <f>VLOOKUP(C927,'mayo-26'!B:K,10,0)</f>
        <v>NO</v>
      </c>
      <c r="M927" s="20" t="s">
        <v>52</v>
      </c>
      <c r="N927" s="20" t="s">
        <v>89</v>
      </c>
      <c r="O927" s="20" t="s">
        <v>861</v>
      </c>
      <c r="P927" s="20" t="s">
        <v>126</v>
      </c>
      <c r="Q927" s="20" t="s">
        <v>131</v>
      </c>
      <c r="R927" s="20" t="s">
        <v>132</v>
      </c>
      <c r="S927" s="20" t="s">
        <v>133</v>
      </c>
      <c r="T927" s="20" t="s">
        <v>59</v>
      </c>
      <c r="U927" s="20">
        <v>2026.0</v>
      </c>
      <c r="V927" s="20">
        <v>6.0</v>
      </c>
      <c r="W927" s="20">
        <v>1.081875553E9</v>
      </c>
      <c r="X927" s="20">
        <v>1.081894025E9</v>
      </c>
      <c r="Y927" s="22">
        <v>46182.0</v>
      </c>
      <c r="Z927" s="22">
        <v>46207.0</v>
      </c>
      <c r="AA927" s="20">
        <v>114146.84</v>
      </c>
      <c r="AB927" s="20">
        <v>114146.84</v>
      </c>
      <c r="AC927" s="20">
        <v>37709.5</v>
      </c>
      <c r="AD927" s="20">
        <v>0.0</v>
      </c>
      <c r="AE927" s="20">
        <v>1018.34</v>
      </c>
      <c r="AF927" s="20">
        <v>0.0</v>
      </c>
      <c r="AG927" s="20">
        <v>0.0</v>
      </c>
      <c r="AH927" s="20">
        <v>0.0</v>
      </c>
      <c r="AI927" s="20">
        <v>0.0</v>
      </c>
      <c r="AJ927" s="20">
        <v>114146.84</v>
      </c>
      <c r="AK927" s="20">
        <v>217056.1</v>
      </c>
      <c r="AL927" s="20">
        <v>1.0</v>
      </c>
      <c r="AM927" s="20">
        <v>376.2</v>
      </c>
      <c r="AN927" s="20">
        <v>0.0</v>
      </c>
      <c r="AS927" s="11" t="str">
        <f>VLOOKUP(C927,'mayo-26'!B:AS,44,0)</f>
        <v>CONTABILIDAD.ALIADOSENSALUD@GMAIL.COM</v>
      </c>
      <c r="AT927" s="12" t="str">
        <f>VLOOKUP(C927,'mayo-26'!B:AT,45,0)</f>
        <v>CORREO ELECTRONICO CERTIFICADO 472</v>
      </c>
    </row>
    <row r="928" ht="14.25" customHeight="1">
      <c r="A928" s="20" t="s">
        <v>1924</v>
      </c>
      <c r="B928" s="20">
        <v>49338.0</v>
      </c>
      <c r="C928" s="20">
        <v>49337.0</v>
      </c>
      <c r="D928" s="21">
        <v>49337.0</v>
      </c>
      <c r="E928" s="20">
        <v>17209.0</v>
      </c>
      <c r="F928" s="20">
        <v>17209.0</v>
      </c>
      <c r="G928" s="20" t="s">
        <v>1529</v>
      </c>
      <c r="H928" s="20" t="s">
        <v>1669</v>
      </c>
      <c r="I928" s="1" t="str">
        <f>VLOOKUP(C928,'mayo-26'!B:H,7,0)</f>
        <v>CLL 9 5-19 LOC 5-21</v>
      </c>
      <c r="J928" s="1" t="s">
        <v>640</v>
      </c>
      <c r="K928" s="10" t="str">
        <f>VLOOKUP(C928,'mayo-26'!B:J,9,0)</f>
        <v>NO</v>
      </c>
      <c r="L928" s="1" t="str">
        <f>VLOOKUP(C928,'mayo-26'!B:K,10,0)</f>
        <v>DIVERSIONES DEL ORIENTE S.A.S</v>
      </c>
      <c r="M928" s="20" t="s">
        <v>52</v>
      </c>
      <c r="N928" s="20" t="s">
        <v>89</v>
      </c>
      <c r="O928" s="20" t="s">
        <v>861</v>
      </c>
      <c r="P928" s="20" t="s">
        <v>126</v>
      </c>
      <c r="Q928" s="20" t="s">
        <v>131</v>
      </c>
      <c r="R928" s="20" t="s">
        <v>132</v>
      </c>
      <c r="S928" s="20" t="s">
        <v>133</v>
      </c>
      <c r="T928" s="20" t="s">
        <v>59</v>
      </c>
      <c r="U928" s="20">
        <v>2026.0</v>
      </c>
      <c r="V928" s="20">
        <v>6.0</v>
      </c>
      <c r="W928" s="20">
        <v>1.081875697E9</v>
      </c>
      <c r="X928" s="20">
        <v>1.081894169E9</v>
      </c>
      <c r="Y928" s="22">
        <v>46182.0</v>
      </c>
      <c r="Z928" s="22">
        <v>46207.0</v>
      </c>
      <c r="AA928" s="20">
        <v>113809.12</v>
      </c>
      <c r="AB928" s="20">
        <v>113809.12</v>
      </c>
      <c r="AC928" s="20">
        <v>37709.5</v>
      </c>
      <c r="AD928" s="20">
        <v>0.0</v>
      </c>
      <c r="AE928" s="20">
        <v>680.62</v>
      </c>
      <c r="AF928" s="20">
        <v>0.0</v>
      </c>
      <c r="AG928" s="20">
        <v>0.0</v>
      </c>
      <c r="AH928" s="20">
        <v>0.0</v>
      </c>
      <c r="AI928" s="20">
        <v>0.0</v>
      </c>
      <c r="AJ928" s="20">
        <v>113809.12</v>
      </c>
      <c r="AK928" s="20">
        <v>113809.62</v>
      </c>
      <c r="AL928" s="20">
        <v>1.0</v>
      </c>
      <c r="AM928" s="20">
        <v>376.2</v>
      </c>
      <c r="AN928" s="20">
        <v>0.0</v>
      </c>
      <c r="AS928" s="11" t="str">
        <f>VLOOKUP(C928,'mayo-26'!B:AS,44,0)</f>
        <v>FACTURACION@DIVERSIONESDELORIENTE.COM; subgerencia@diversionesdeloriente.com</v>
      </c>
      <c r="AT928" s="12" t="str">
        <f>VLOOKUP(C928,'mayo-26'!B:AT,45,0)</f>
        <v>CORREO ELECTRONICO CERTIFICADO 472</v>
      </c>
    </row>
    <row r="929" ht="14.25" customHeight="1">
      <c r="A929" s="20" t="s">
        <v>1925</v>
      </c>
      <c r="B929" s="20">
        <v>498.0</v>
      </c>
      <c r="C929" s="20">
        <v>497.0</v>
      </c>
      <c r="D929" s="21">
        <v>497.0</v>
      </c>
      <c r="E929" s="20">
        <v>9.0267307E7</v>
      </c>
      <c r="F929" s="20">
        <v>9.0267307E7</v>
      </c>
      <c r="G929" s="20" t="s">
        <v>1926</v>
      </c>
      <c r="H929" s="20" t="s">
        <v>1927</v>
      </c>
      <c r="I929" s="1" t="str">
        <f>VLOOKUP(C929,'mayo-26'!B:H,7,0)</f>
        <v>AV GRAN COLOMBIA NO 9E-09</v>
      </c>
      <c r="J929" s="1" t="s">
        <v>902</v>
      </c>
      <c r="K929" s="10" t="str">
        <f>VLOOKUP(C929,'mayo-26'!B:J,9,0)</f>
        <v>NO</v>
      </c>
      <c r="L929" s="1" t="str">
        <f>VLOOKUP(C929,'mayo-26'!B:K,10,0)</f>
        <v>NO</v>
      </c>
      <c r="M929" s="20" t="s">
        <v>52</v>
      </c>
      <c r="N929" s="20" t="s">
        <v>89</v>
      </c>
      <c r="O929" s="20" t="s">
        <v>861</v>
      </c>
      <c r="P929" s="20" t="s">
        <v>126</v>
      </c>
      <c r="Q929" s="20" t="s">
        <v>131</v>
      </c>
      <c r="R929" s="20" t="s">
        <v>132</v>
      </c>
      <c r="S929" s="20" t="s">
        <v>133</v>
      </c>
      <c r="T929" s="20" t="s">
        <v>59</v>
      </c>
      <c r="U929" s="20">
        <v>2026.0</v>
      </c>
      <c r="V929" s="20">
        <v>6.0</v>
      </c>
      <c r="W929" s="20">
        <v>1.081875557E9</v>
      </c>
      <c r="X929" s="20">
        <v>1.081894029E9</v>
      </c>
      <c r="Y929" s="22">
        <v>46182.0</v>
      </c>
      <c r="Z929" s="22">
        <v>46207.0</v>
      </c>
      <c r="AA929" s="20">
        <v>113128.5</v>
      </c>
      <c r="AB929" s="20">
        <v>113128.5</v>
      </c>
      <c r="AC929" s="20">
        <v>37709.5</v>
      </c>
      <c r="AD929" s="20">
        <v>0.0</v>
      </c>
      <c r="AE929" s="20">
        <v>0.0</v>
      </c>
      <c r="AF929" s="20">
        <v>0.0</v>
      </c>
      <c r="AG929" s="20">
        <v>0.0</v>
      </c>
      <c r="AH929" s="20">
        <v>0.0</v>
      </c>
      <c r="AI929" s="20">
        <v>0.0</v>
      </c>
      <c r="AJ929" s="20">
        <v>113128.5</v>
      </c>
      <c r="AK929" s="20">
        <v>113128.5</v>
      </c>
      <c r="AL929" s="20">
        <v>0.0</v>
      </c>
      <c r="AM929" s="20">
        <v>376.2</v>
      </c>
      <c r="AN929" s="20">
        <v>0.0</v>
      </c>
      <c r="AS929" s="11" t="str">
        <f>VLOOKUP(C929,'mayo-26'!B:AS,44,0)</f>
        <v>pisosygres@hotmail.com</v>
      </c>
      <c r="AT929" s="12" t="str">
        <f>VLOOKUP(C929,'mayo-26'!B:AT,45,0)</f>
        <v>CORREO ELECTRONICO CERTIFICADO 472</v>
      </c>
    </row>
    <row r="930" ht="14.25" customHeight="1">
      <c r="A930" s="20" t="s">
        <v>1928</v>
      </c>
      <c r="B930" s="20">
        <v>49734.0</v>
      </c>
      <c r="C930" s="20">
        <v>49733.0</v>
      </c>
      <c r="D930" s="21">
        <v>49733.0</v>
      </c>
      <c r="E930" s="20">
        <v>19018.0</v>
      </c>
      <c r="F930" s="20">
        <v>19018.0</v>
      </c>
      <c r="G930" s="20" t="s">
        <v>1078</v>
      </c>
      <c r="H930" s="20" t="s">
        <v>1079</v>
      </c>
      <c r="I930" s="1" t="str">
        <f>VLOOKUP(C930,'mayo-26'!B:H,7,0)</f>
        <v>AVE 4 9-06 - 0049358</v>
      </c>
      <c r="J930" s="1" t="s">
        <v>443</v>
      </c>
      <c r="K930" s="10" t="str">
        <f>VLOOKUP(C930,'mayo-26'!B:J,9,0)</f>
        <v>NO</v>
      </c>
      <c r="L930" s="1" t="str">
        <f>VLOOKUP(C930,'mayo-26'!B:K,10,0)</f>
        <v>DROGUERIAS Y FARMACIAS CRUZ VERDE S A S</v>
      </c>
      <c r="M930" s="20" t="s">
        <v>52</v>
      </c>
      <c r="N930" s="20" t="s">
        <v>89</v>
      </c>
      <c r="O930" s="20" t="s">
        <v>861</v>
      </c>
      <c r="P930" s="20" t="s">
        <v>126</v>
      </c>
      <c r="Q930" s="20" t="s">
        <v>131</v>
      </c>
      <c r="R930" s="20" t="s">
        <v>538</v>
      </c>
      <c r="S930" s="20" t="s">
        <v>133</v>
      </c>
      <c r="T930" s="20" t="s">
        <v>59</v>
      </c>
      <c r="U930" s="20">
        <v>2026.0</v>
      </c>
      <c r="V930" s="20">
        <v>6.0</v>
      </c>
      <c r="W930" s="20">
        <v>1.081875702E9</v>
      </c>
      <c r="X930" s="20">
        <v>1.081894174E9</v>
      </c>
      <c r="Y930" s="22">
        <v>46182.0</v>
      </c>
      <c r="Z930" s="22">
        <v>46207.0</v>
      </c>
      <c r="AA930" s="20">
        <v>102035.7</v>
      </c>
      <c r="AB930" s="20">
        <v>102035.7</v>
      </c>
      <c r="AC930" s="20">
        <v>31416.0</v>
      </c>
      <c r="AD930" s="20">
        <v>0.0</v>
      </c>
      <c r="AE930" s="20">
        <v>7787.7</v>
      </c>
      <c r="AF930" s="20">
        <v>0.0</v>
      </c>
      <c r="AG930" s="20">
        <v>0.0</v>
      </c>
      <c r="AH930" s="20">
        <v>0.0</v>
      </c>
      <c r="AI930" s="20">
        <v>0.0</v>
      </c>
      <c r="AJ930" s="20">
        <v>102035.7</v>
      </c>
      <c r="AK930" s="20">
        <v>643369.03</v>
      </c>
      <c r="AL930" s="20">
        <v>6.0</v>
      </c>
      <c r="AM930" s="20">
        <v>376.2</v>
      </c>
      <c r="AN930" s="20">
        <v>0.0</v>
      </c>
      <c r="AS930" s="11" t="str">
        <f>VLOOKUP(C930,'mayo-26'!B:AS,44,0)</f>
        <v>serviciospublicos@cruzverde.com.co, notificacionesjudiciales@cruzverde.com.co</v>
      </c>
      <c r="AT930" s="12" t="str">
        <f>VLOOKUP(C930,'mayo-26'!B:AT,45,0)</f>
        <v>CORREO ELECTRONICO CERTIFICADO 472</v>
      </c>
    </row>
    <row r="931" ht="14.25" customHeight="1">
      <c r="A931" s="20" t="s">
        <v>1929</v>
      </c>
      <c r="B931" s="20">
        <v>314877.0</v>
      </c>
      <c r="C931" s="20">
        <v>49781.0</v>
      </c>
      <c r="D931" s="21">
        <v>49781.0</v>
      </c>
      <c r="E931" s="20">
        <v>19060.0</v>
      </c>
      <c r="F931" s="20">
        <v>19060.0</v>
      </c>
      <c r="G931" s="20">
        <v>8.60503159E8</v>
      </c>
      <c r="H931" s="20" t="s">
        <v>371</v>
      </c>
      <c r="I931" s="1" t="str">
        <f>VLOOKUP(C931,'mayo-26'!B:H,7,0)</f>
        <v>AVE LIBERTADORES CANAL BOGOTA LOC 23 1079</v>
      </c>
      <c r="J931" s="1" t="s">
        <v>640</v>
      </c>
      <c r="K931" s="10" t="str">
        <f>VLOOKUP(C931,'mayo-26'!B:J,9,0)</f>
        <v>CENTRO</v>
      </c>
      <c r="L931" s="1" t="str">
        <f>VLOOKUP(C931,'mayo-26'!B:K,10,0)</f>
        <v>PASH</v>
      </c>
      <c r="M931" s="20" t="s">
        <v>52</v>
      </c>
      <c r="N931" s="20" t="s">
        <v>89</v>
      </c>
      <c r="O931" s="20" t="s">
        <v>861</v>
      </c>
      <c r="P931" s="20" t="s">
        <v>126</v>
      </c>
      <c r="Q931" s="20" t="s">
        <v>131</v>
      </c>
      <c r="R931" s="20" t="s">
        <v>132</v>
      </c>
      <c r="S931" s="20" t="s">
        <v>133</v>
      </c>
      <c r="T931" s="20" t="s">
        <v>59</v>
      </c>
      <c r="U931" s="20">
        <v>2026.0</v>
      </c>
      <c r="V931" s="20">
        <v>6.0</v>
      </c>
      <c r="W931" s="20">
        <v>1.081875707E9</v>
      </c>
      <c r="X931" s="20">
        <v>1.081894179E9</v>
      </c>
      <c r="Y931" s="22">
        <v>46182.0</v>
      </c>
      <c r="Z931" s="22">
        <v>46207.0</v>
      </c>
      <c r="AA931" s="20">
        <v>113128.5</v>
      </c>
      <c r="AB931" s="20">
        <v>113128.5</v>
      </c>
      <c r="AC931" s="20">
        <v>37709.5</v>
      </c>
      <c r="AD931" s="20">
        <v>0.0</v>
      </c>
      <c r="AE931" s="20">
        <v>0.0</v>
      </c>
      <c r="AF931" s="20">
        <v>0.0</v>
      </c>
      <c r="AG931" s="20">
        <v>0.0</v>
      </c>
      <c r="AH931" s="20">
        <v>0.0</v>
      </c>
      <c r="AI931" s="20">
        <v>0.0</v>
      </c>
      <c r="AJ931" s="20">
        <v>113128.5</v>
      </c>
      <c r="AK931" s="20">
        <v>113128.5</v>
      </c>
      <c r="AL931" s="20">
        <v>0.0</v>
      </c>
      <c r="AM931" s="20">
        <v>376.2</v>
      </c>
      <c r="AN931" s="20">
        <v>0.0</v>
      </c>
      <c r="AS931" s="11" t="str">
        <f>VLOOKUP(C931,'mayo-26'!B:AS,44,0)</f>
        <v>SERVICIOSPUBLICOS@PASH.COM.CO; abayona@tekstelas.com; kguavita@tekstelas.com</v>
      </c>
      <c r="AT931" s="12" t="str">
        <f>VLOOKUP(C931,'mayo-26'!B:AT,45,0)</f>
        <v>VERIFICADOR</v>
      </c>
    </row>
    <row r="932" ht="14.25" customHeight="1">
      <c r="A932" s="20" t="s">
        <v>1930</v>
      </c>
      <c r="B932" s="20">
        <v>596813.0</v>
      </c>
      <c r="C932" s="20">
        <v>499137.0</v>
      </c>
      <c r="D932" s="21">
        <v>553189.0</v>
      </c>
      <c r="G932" s="20">
        <v>8.00120681E8</v>
      </c>
      <c r="H932" s="20" t="s">
        <v>1931</v>
      </c>
      <c r="I932" s="1" t="str">
        <f>VLOOKUP(C932,'mayo-26'!B:H,7,0)</f>
        <v>ANILLO VIAL ORIENTAL 13-70 CC JARDIN PLAZA LC A16B</v>
      </c>
      <c r="J932" s="1" t="s">
        <v>991</v>
      </c>
      <c r="K932" s="10" t="str">
        <f>VLOOKUP(C932,'mayo-26'!B:J,9,0)</f>
        <v>JARDIN PLAZA</v>
      </c>
      <c r="L932" s="1" t="str">
        <f>VLOOKUP(C932,'mayo-26'!B:K,10,0)</f>
        <v>JARDIN PLAZA</v>
      </c>
      <c r="M932" s="20" t="s">
        <v>52</v>
      </c>
      <c r="N932" s="20" t="s">
        <v>138</v>
      </c>
      <c r="O932" s="20" t="s">
        <v>861</v>
      </c>
      <c r="P932" s="20" t="s">
        <v>126</v>
      </c>
      <c r="Q932" s="20" t="s">
        <v>131</v>
      </c>
      <c r="R932" s="20" t="s">
        <v>363</v>
      </c>
      <c r="S932" s="20" t="s">
        <v>133</v>
      </c>
      <c r="T932" s="20" t="s">
        <v>59</v>
      </c>
      <c r="U932" s="20">
        <v>2026.0</v>
      </c>
      <c r="V932" s="20">
        <v>6.0</v>
      </c>
      <c r="W932" s="20">
        <v>1.081875865E9</v>
      </c>
      <c r="X932" s="20">
        <v>1.081894337E9</v>
      </c>
      <c r="Y932" s="22">
        <v>46182.0</v>
      </c>
      <c r="Z932" s="22">
        <v>46207.0</v>
      </c>
      <c r="AA932" s="20">
        <v>77494.5</v>
      </c>
      <c r="AB932" s="20">
        <v>77494.5</v>
      </c>
      <c r="AC932" s="20">
        <v>25831.5</v>
      </c>
      <c r="AD932" s="20">
        <v>0.0</v>
      </c>
      <c r="AE932" s="20">
        <v>0.0</v>
      </c>
      <c r="AF932" s="20">
        <v>0.0</v>
      </c>
      <c r="AG932" s="20">
        <v>0.0</v>
      </c>
      <c r="AH932" s="20">
        <v>0.0</v>
      </c>
      <c r="AI932" s="20">
        <v>0.0</v>
      </c>
      <c r="AJ932" s="20">
        <v>77494.5</v>
      </c>
      <c r="AK932" s="20">
        <v>77495.0</v>
      </c>
      <c r="AL932" s="20">
        <v>1.0</v>
      </c>
      <c r="AM932" s="20">
        <v>6420.0</v>
      </c>
      <c r="AN932" s="20">
        <v>0.0</v>
      </c>
      <c r="AS932" s="11" t="str">
        <f>VLOOKUP(C932,'mayo-26'!B:AS,44,0)</f>
        <v/>
      </c>
      <c r="AT932" s="12" t="str">
        <f>VLOOKUP(C932,'mayo-26'!B:AT,45,0)</f>
        <v>VERIFICADOR</v>
      </c>
    </row>
    <row r="933" ht="14.25" customHeight="1">
      <c r="A933" s="20" t="s">
        <v>1932</v>
      </c>
      <c r="B933" s="20">
        <v>502.0</v>
      </c>
      <c r="C933" s="20">
        <v>501.0</v>
      </c>
      <c r="D933" s="21">
        <v>501.0</v>
      </c>
      <c r="E933" s="20">
        <v>9.0267731E7</v>
      </c>
      <c r="F933" s="20">
        <v>9.0267731E7</v>
      </c>
      <c r="G933" s="20" t="s">
        <v>1933</v>
      </c>
      <c r="H933" s="20" t="s">
        <v>1934</v>
      </c>
      <c r="I933" s="1" t="str">
        <f>VLOOKUP(C933,'mayo-26'!B:H,7,0)</f>
        <v>CLL 10 NO 0E-51 SUB3 ARM7 LOC3 CITY PARK</v>
      </c>
      <c r="J933" s="1" t="s">
        <v>982</v>
      </c>
      <c r="K933" s="10" t="str">
        <f>VLOOKUP(C933,'mayo-26'!B:J,9,0)</f>
        <v>NO</v>
      </c>
      <c r="L933" s="1" t="str">
        <f>VLOOKUP(C933,'mayo-26'!B:K,10,0)</f>
        <v>NO</v>
      </c>
      <c r="M933" s="20" t="s">
        <v>52</v>
      </c>
      <c r="N933" s="20" t="s">
        <v>89</v>
      </c>
      <c r="O933" s="20" t="s">
        <v>861</v>
      </c>
      <c r="P933" s="20" t="s">
        <v>126</v>
      </c>
      <c r="Q933" s="20" t="s">
        <v>131</v>
      </c>
      <c r="R933" s="20" t="s">
        <v>132</v>
      </c>
      <c r="S933" s="20" t="s">
        <v>133</v>
      </c>
      <c r="T933" s="20" t="s">
        <v>59</v>
      </c>
      <c r="U933" s="20">
        <v>2026.0</v>
      </c>
      <c r="V933" s="20">
        <v>6.0</v>
      </c>
      <c r="W933" s="20">
        <v>1.081875561E9</v>
      </c>
      <c r="X933" s="20">
        <v>1.081894033E9</v>
      </c>
      <c r="Y933" s="22">
        <v>46182.0</v>
      </c>
      <c r="Z933" s="22">
        <v>46207.0</v>
      </c>
      <c r="AA933" s="20">
        <v>113128.5</v>
      </c>
      <c r="AB933" s="20">
        <v>113128.5</v>
      </c>
      <c r="AC933" s="20">
        <v>37709.5</v>
      </c>
      <c r="AD933" s="20">
        <v>0.0</v>
      </c>
      <c r="AE933" s="20">
        <v>0.0</v>
      </c>
      <c r="AF933" s="20">
        <v>0.0</v>
      </c>
      <c r="AG933" s="20">
        <v>0.0</v>
      </c>
      <c r="AH933" s="20">
        <v>0.0</v>
      </c>
      <c r="AI933" s="20">
        <v>0.0</v>
      </c>
      <c r="AJ933" s="20">
        <v>113128.5</v>
      </c>
      <c r="AK933" s="20">
        <v>113129.0</v>
      </c>
      <c r="AL933" s="20">
        <v>1.0</v>
      </c>
      <c r="AM933" s="20">
        <v>376.2</v>
      </c>
      <c r="AN933" s="20">
        <v>0.0</v>
      </c>
      <c r="AS933" s="11" t="str">
        <f>VLOOKUP(C933,'mayo-26'!B:AS,44,0)</f>
        <v>FACTURACIONE.CUCUTA@CITYPARK.COM.CO</v>
      </c>
      <c r="AT933" s="12" t="str">
        <f>VLOOKUP(C933,'mayo-26'!B:AT,45,0)</f>
        <v>CORREO ELECTRONICO CERTIFICADO 472</v>
      </c>
    </row>
    <row r="934" ht="14.25" customHeight="1">
      <c r="A934" s="20" t="s">
        <v>1935</v>
      </c>
      <c r="B934" s="20">
        <v>50854.0</v>
      </c>
      <c r="C934" s="20">
        <v>50853.0</v>
      </c>
      <c r="D934" s="21">
        <v>50853.0</v>
      </c>
      <c r="E934" s="20">
        <v>100620.0</v>
      </c>
      <c r="F934" s="20">
        <v>100620.0</v>
      </c>
      <c r="G934" s="20" t="s">
        <v>1078</v>
      </c>
      <c r="H934" s="20" t="s">
        <v>1079</v>
      </c>
      <c r="I934" s="1" t="str">
        <f>VLOOKUP(C934,'mayo-26'!B:H,7,0)</f>
        <v>CLL 12 6-05</v>
      </c>
      <c r="J934" s="1" t="s">
        <v>640</v>
      </c>
      <c r="K934" s="10" t="str">
        <f>VLOOKUP(C934,'mayo-26'!B:J,9,0)</f>
        <v>NO</v>
      </c>
      <c r="L934" s="1" t="str">
        <f>VLOOKUP(C934,'mayo-26'!B:K,10,0)</f>
        <v>DROGUERIAS Y FARMACIAS CRUZ VERDE S A S</v>
      </c>
      <c r="M934" s="20" t="s">
        <v>52</v>
      </c>
      <c r="N934" s="20" t="s">
        <v>89</v>
      </c>
      <c r="O934" s="20" t="s">
        <v>861</v>
      </c>
      <c r="P934" s="20" t="s">
        <v>126</v>
      </c>
      <c r="Q934" s="20" t="s">
        <v>131</v>
      </c>
      <c r="R934" s="20" t="s">
        <v>132</v>
      </c>
      <c r="S934" s="20" t="s">
        <v>133</v>
      </c>
      <c r="T934" s="20" t="s">
        <v>59</v>
      </c>
      <c r="U934" s="20">
        <v>2026.0</v>
      </c>
      <c r="V934" s="20">
        <v>6.0</v>
      </c>
      <c r="W934" s="20">
        <v>1.08187571E9</v>
      </c>
      <c r="X934" s="20">
        <v>1.081894182E9</v>
      </c>
      <c r="Y934" s="22">
        <v>46182.0</v>
      </c>
      <c r="Z934" s="22">
        <v>46207.0</v>
      </c>
      <c r="AA934" s="20">
        <v>122590.43</v>
      </c>
      <c r="AB934" s="20">
        <v>122590.43</v>
      </c>
      <c r="AC934" s="20">
        <v>37709.5</v>
      </c>
      <c r="AD934" s="20">
        <v>0.0</v>
      </c>
      <c r="AE934" s="20">
        <v>9461.93</v>
      </c>
      <c r="AF934" s="20">
        <v>0.0</v>
      </c>
      <c r="AG934" s="20">
        <v>0.0</v>
      </c>
      <c r="AH934" s="20">
        <v>0.0</v>
      </c>
      <c r="AI934" s="20">
        <v>0.0</v>
      </c>
      <c r="AJ934" s="20">
        <v>122590.43</v>
      </c>
      <c r="AK934" s="20">
        <v>778099.21</v>
      </c>
      <c r="AL934" s="20">
        <v>6.0</v>
      </c>
      <c r="AM934" s="20">
        <v>376.2</v>
      </c>
      <c r="AN934" s="20">
        <v>0.0</v>
      </c>
      <c r="AS934" s="11" t="str">
        <f>VLOOKUP(C934,'mayo-26'!B:AS,44,0)</f>
        <v>serviciospublicos@cruzverde.com.co, notificacionesjudiciales@cruzverde.com.co</v>
      </c>
      <c r="AT934" s="12" t="str">
        <f>VLOOKUP(C934,'mayo-26'!B:AT,45,0)</f>
        <v>CORREO ELECTRONICO CERTIFICADO 472</v>
      </c>
    </row>
    <row r="935" ht="14.25" customHeight="1">
      <c r="A935" s="20" t="s">
        <v>1936</v>
      </c>
      <c r="B935" s="20">
        <v>314877.0</v>
      </c>
      <c r="C935" s="20">
        <v>52261.0</v>
      </c>
      <c r="D935" s="21">
        <v>52261.0</v>
      </c>
      <c r="E935" s="20">
        <v>102929.0</v>
      </c>
      <c r="F935" s="20">
        <v>102929.0</v>
      </c>
      <c r="G935" s="20">
        <v>8.60503159E8</v>
      </c>
      <c r="H935" s="20" t="s">
        <v>371</v>
      </c>
      <c r="I935" s="1" t="str">
        <f>VLOOKUP(C935,'mayo-26'!B:H,7,0)</f>
        <v>AVE LIBERTADORES CANAL BOGOTA LOC 23 1079</v>
      </c>
      <c r="J935" s="1" t="s">
        <v>640</v>
      </c>
      <c r="K935" s="10" t="str">
        <f>VLOOKUP(C935,'mayo-26'!B:J,9,0)</f>
        <v>CENTRO</v>
      </c>
      <c r="L935" s="1" t="str">
        <f>VLOOKUP(C935,'mayo-26'!B:K,10,0)</f>
        <v>PASH</v>
      </c>
      <c r="M935" s="20" t="s">
        <v>52</v>
      </c>
      <c r="N935" s="20" t="s">
        <v>89</v>
      </c>
      <c r="O935" s="20" t="s">
        <v>861</v>
      </c>
      <c r="P935" s="20" t="s">
        <v>126</v>
      </c>
      <c r="Q935" s="20" t="s">
        <v>131</v>
      </c>
      <c r="R935" s="20" t="s">
        <v>132</v>
      </c>
      <c r="S935" s="20" t="s">
        <v>133</v>
      </c>
      <c r="T935" s="20" t="s">
        <v>59</v>
      </c>
      <c r="U935" s="20">
        <v>2026.0</v>
      </c>
      <c r="V935" s="20">
        <v>6.0</v>
      </c>
      <c r="W935" s="20">
        <v>1.081875713E9</v>
      </c>
      <c r="X935" s="20">
        <v>1.081894185E9</v>
      </c>
      <c r="Y935" s="22">
        <v>46182.0</v>
      </c>
      <c r="Z935" s="22">
        <v>46207.0</v>
      </c>
      <c r="AA935" s="20">
        <v>113128.5</v>
      </c>
      <c r="AB935" s="20">
        <v>113128.5</v>
      </c>
      <c r="AC935" s="20">
        <v>37709.5</v>
      </c>
      <c r="AD935" s="20">
        <v>0.0</v>
      </c>
      <c r="AE935" s="20">
        <v>0.0</v>
      </c>
      <c r="AF935" s="20">
        <v>0.0</v>
      </c>
      <c r="AG935" s="20">
        <v>0.0</v>
      </c>
      <c r="AH935" s="20">
        <v>0.0</v>
      </c>
      <c r="AI935" s="20">
        <v>0.0</v>
      </c>
      <c r="AJ935" s="20">
        <v>113128.5</v>
      </c>
      <c r="AK935" s="20">
        <v>113128.5</v>
      </c>
      <c r="AL935" s="20">
        <v>0.0</v>
      </c>
      <c r="AM935" s="20">
        <v>376.2</v>
      </c>
      <c r="AN935" s="20">
        <v>0.0</v>
      </c>
      <c r="AS935" s="11" t="str">
        <f>VLOOKUP(C935,'mayo-26'!B:AS,44,0)</f>
        <v>SERVICIOSPUBLICOS@PASH.COM.CO; abayona@tekstelas.com; kguavita@tekstelas.com</v>
      </c>
      <c r="AT935" s="12" t="str">
        <f>VLOOKUP(C935,'mayo-26'!B:AT,45,0)</f>
        <v>VERIFICADOR</v>
      </c>
    </row>
    <row r="936" ht="14.25" customHeight="1">
      <c r="A936" s="20" t="s">
        <v>1937</v>
      </c>
      <c r="B936" s="20">
        <v>686.0</v>
      </c>
      <c r="C936" s="20">
        <v>52921.0</v>
      </c>
      <c r="D936" s="21">
        <v>52921.0</v>
      </c>
      <c r="E936" s="20">
        <v>103993.0</v>
      </c>
      <c r="F936" s="20">
        <v>103993.0</v>
      </c>
      <c r="G936" s="20" t="s">
        <v>1938</v>
      </c>
      <c r="H936" s="20" t="s">
        <v>1939</v>
      </c>
      <c r="I936" s="1" t="str">
        <f>VLOOKUP(C936,'mayo-26'!B:H,7,0)</f>
        <v>CL 11 12 - 34</v>
      </c>
      <c r="J936" s="1" t="s">
        <v>860</v>
      </c>
      <c r="K936" s="10" t="str">
        <f>VLOOKUP(C936,'mayo-26'!B:J,9,0)</f>
        <v>NO</v>
      </c>
      <c r="L936" s="1" t="str">
        <f>VLOOKUP(C936,'mayo-26'!B:K,10,0)</f>
        <v>INDUSTRIA DE SUELAS LC</v>
      </c>
      <c r="M936" s="20" t="s">
        <v>52</v>
      </c>
      <c r="N936" s="20" t="s">
        <v>53</v>
      </c>
      <c r="O936" s="20" t="s">
        <v>861</v>
      </c>
      <c r="P936" s="20" t="s">
        <v>126</v>
      </c>
      <c r="Q936" s="20" t="s">
        <v>131</v>
      </c>
      <c r="R936" s="20" t="s">
        <v>132</v>
      </c>
      <c r="S936" s="20" t="s">
        <v>133</v>
      </c>
      <c r="T936" s="20" t="s">
        <v>59</v>
      </c>
      <c r="U936" s="20">
        <v>2026.0</v>
      </c>
      <c r="V936" s="20">
        <v>6.0</v>
      </c>
      <c r="W936" s="20">
        <v>1.081875716E9</v>
      </c>
      <c r="X936" s="20">
        <v>1.081894188E9</v>
      </c>
      <c r="Y936" s="22">
        <v>46182.0</v>
      </c>
      <c r="Z936" s="22">
        <v>46207.0</v>
      </c>
      <c r="AA936" s="20">
        <v>113128.5</v>
      </c>
      <c r="AB936" s="20">
        <v>113128.5</v>
      </c>
      <c r="AC936" s="20">
        <v>37709.5</v>
      </c>
      <c r="AD936" s="20">
        <v>0.0</v>
      </c>
      <c r="AE936" s="20">
        <v>0.0</v>
      </c>
      <c r="AF936" s="20">
        <v>0.0</v>
      </c>
      <c r="AG936" s="20">
        <v>0.0</v>
      </c>
      <c r="AH936" s="20">
        <v>0.0</v>
      </c>
      <c r="AI936" s="20">
        <v>0.0</v>
      </c>
      <c r="AJ936" s="20">
        <v>113128.5</v>
      </c>
      <c r="AK936" s="20">
        <v>113128.5</v>
      </c>
      <c r="AL936" s="20">
        <v>0.0</v>
      </c>
      <c r="AM936" s="20">
        <v>376.2</v>
      </c>
      <c r="AN936" s="20">
        <v>0.0</v>
      </c>
      <c r="AS936" s="11" t="str">
        <f>VLOOKUP(C936,'mayo-26'!B:AS,44,0)</f>
        <v>industriadesuelaslc@hotmail.com</v>
      </c>
      <c r="AT936" s="12" t="str">
        <f>VLOOKUP(C936,'mayo-26'!B:AT,45,0)</f>
        <v>CORREO ELECTRONICO CERTIFICADO 472</v>
      </c>
    </row>
    <row r="937" ht="14.25" customHeight="1">
      <c r="A937" s="20" t="s">
        <v>1940</v>
      </c>
      <c r="B937" s="20">
        <v>305.0</v>
      </c>
      <c r="C937" s="20">
        <v>573.0</v>
      </c>
      <c r="D937" s="21">
        <v>573.0</v>
      </c>
      <c r="E937" s="20">
        <v>9.0271742E7</v>
      </c>
      <c r="F937" s="20">
        <v>9.0271742E7</v>
      </c>
      <c r="G937" s="20">
        <v>8.99999067E8</v>
      </c>
      <c r="H937" s="20" t="s">
        <v>1514</v>
      </c>
      <c r="I937" s="1" t="str">
        <f>VLOOKUP(C937,'mayo-26'!B:H,7,0)</f>
        <v>AV 2 NO. 14-68 LA PLAYA</v>
      </c>
      <c r="J937" s="1" t="s">
        <v>902</v>
      </c>
      <c r="K937" s="10" t="str">
        <f>VLOOKUP(C937,'mayo-26'!B:J,9,0)</f>
        <v>NO</v>
      </c>
      <c r="L937" s="1" t="str">
        <f>VLOOKUP(C937,'mayo-26'!B:K,10,0)</f>
        <v>CONTRALORIA</v>
      </c>
      <c r="M937" s="20" t="s">
        <v>52</v>
      </c>
      <c r="N937" s="20" t="s">
        <v>53</v>
      </c>
      <c r="O937" s="20" t="s">
        <v>861</v>
      </c>
      <c r="P937" s="20" t="s">
        <v>126</v>
      </c>
      <c r="Q937" s="20" t="s">
        <v>131</v>
      </c>
      <c r="R937" s="20" t="s">
        <v>151</v>
      </c>
      <c r="S937" s="20" t="s">
        <v>133</v>
      </c>
      <c r="T937" s="20" t="s">
        <v>163</v>
      </c>
      <c r="U937" s="20">
        <v>2026.0</v>
      </c>
      <c r="V937" s="20">
        <v>6.0</v>
      </c>
      <c r="W937" s="20">
        <v>1.081875565E9</v>
      </c>
      <c r="X937" s="20">
        <v>1.081894037E9</v>
      </c>
      <c r="Y937" s="22">
        <v>46182.0</v>
      </c>
      <c r="Z937" s="22">
        <v>46207.0</v>
      </c>
      <c r="AA937" s="20">
        <v>37232.0</v>
      </c>
      <c r="AB937" s="20">
        <v>37232.0</v>
      </c>
      <c r="AC937" s="20">
        <v>0.0</v>
      </c>
      <c r="AD937" s="20">
        <v>0.0</v>
      </c>
      <c r="AE937" s="20">
        <v>0.0</v>
      </c>
      <c r="AF937" s="20">
        <v>0.0</v>
      </c>
      <c r="AG937" s="20">
        <v>0.0</v>
      </c>
      <c r="AH937" s="20">
        <v>0.0</v>
      </c>
      <c r="AI937" s="20">
        <v>0.0</v>
      </c>
      <c r="AJ937" s="20">
        <v>37232.0</v>
      </c>
      <c r="AK937" s="20">
        <v>37232.0</v>
      </c>
      <c r="AL937" s="20">
        <v>0.0</v>
      </c>
      <c r="AM937" s="20">
        <v>250.8</v>
      </c>
      <c r="AN937" s="20">
        <v>0.0</v>
      </c>
      <c r="AS937" s="11" t="str">
        <f>VLOOKUP(C937,'mayo-26'!B:AS,44,0)</f>
        <v>HECTOR.RODRIGUEZL@CONTRALORIA.GOV.CO</v>
      </c>
      <c r="AT937" s="12" t="str">
        <f>VLOOKUP(C937,'mayo-26'!B:AT,45,0)</f>
        <v>CORREO ELECTRONICO CERTIFICADO 472</v>
      </c>
    </row>
    <row r="938" ht="14.25" customHeight="1">
      <c r="A938" s="20" t="s">
        <v>1941</v>
      </c>
      <c r="B938" s="20">
        <v>147.0</v>
      </c>
      <c r="C938" s="20">
        <v>577.0</v>
      </c>
      <c r="D938" s="21">
        <v>577.0</v>
      </c>
      <c r="E938" s="20">
        <v>9.0274085E7</v>
      </c>
      <c r="F938" s="20">
        <v>9.0274085E7</v>
      </c>
      <c r="G938" s="20" t="s">
        <v>179</v>
      </c>
      <c r="H938" s="20" t="s">
        <v>180</v>
      </c>
      <c r="I938" s="1" t="str">
        <f>VLOOKUP(C938,'mayo-26'!B:H,7,0)</f>
        <v>AVE 3 CLL 24 GARITA # 1</v>
      </c>
      <c r="J938" s="1" t="s">
        <v>982</v>
      </c>
      <c r="K938" s="10" t="str">
        <f>VLOOKUP(C938,'mayo-26'!B:J,9,0)</f>
        <v>NO</v>
      </c>
      <c r="L938" s="1" t="str">
        <f>VLOOKUP(C938,'mayo-26'!B:K,10,0)</f>
        <v>POLICIA</v>
      </c>
      <c r="M938" s="20" t="s">
        <v>52</v>
      </c>
      <c r="N938" s="20" t="s">
        <v>89</v>
      </c>
      <c r="O938" s="20" t="s">
        <v>861</v>
      </c>
      <c r="P938" s="20" t="s">
        <v>126</v>
      </c>
      <c r="Q938" s="20" t="s">
        <v>131</v>
      </c>
      <c r="R938" s="20" t="s">
        <v>151</v>
      </c>
      <c r="S938" s="20" t="s">
        <v>133</v>
      </c>
      <c r="T938" s="20" t="s">
        <v>59</v>
      </c>
      <c r="U938" s="20">
        <v>2026.0</v>
      </c>
      <c r="V938" s="20">
        <v>6.0</v>
      </c>
      <c r="W938" s="20">
        <v>1.081875569E9</v>
      </c>
      <c r="X938" s="20">
        <v>1.081894041E9</v>
      </c>
      <c r="Y938" s="22">
        <v>46182.0</v>
      </c>
      <c r="Z938" s="22">
        <v>46207.0</v>
      </c>
      <c r="AA938" s="20">
        <v>75419.0</v>
      </c>
      <c r="AB938" s="20">
        <v>75419.0</v>
      </c>
      <c r="AC938" s="20">
        <v>0.0</v>
      </c>
      <c r="AD938" s="20">
        <v>0.0</v>
      </c>
      <c r="AE938" s="20">
        <v>0.0</v>
      </c>
      <c r="AF938" s="20">
        <v>0.0</v>
      </c>
      <c r="AG938" s="20">
        <v>0.0</v>
      </c>
      <c r="AH938" s="20">
        <v>0.0</v>
      </c>
      <c r="AI938" s="20">
        <v>0.0</v>
      </c>
      <c r="AJ938" s="20">
        <v>75419.0</v>
      </c>
      <c r="AK938" s="20">
        <v>151360.0</v>
      </c>
      <c r="AL938" s="20">
        <v>1.0</v>
      </c>
      <c r="AM938" s="20">
        <v>250.8</v>
      </c>
      <c r="AN938" s="20">
        <v>0.0</v>
      </c>
      <c r="AS938" s="11" t="str">
        <f>VLOOKUP(C938,'mayo-26'!B:AS,44,0)</f>
        <v>MECUC.GUBIR@POLICIA.GOV.CO</v>
      </c>
      <c r="AT938" s="12" t="str">
        <f>VLOOKUP(C938,'mayo-26'!B:AT,45,0)</f>
        <v>CORREO ELECTRONICO CERTIFICADO 472</v>
      </c>
    </row>
    <row r="939" ht="14.25" customHeight="1">
      <c r="A939" s="20" t="s">
        <v>1942</v>
      </c>
      <c r="B939" s="20">
        <v>582.0</v>
      </c>
      <c r="C939" s="20">
        <v>581.0</v>
      </c>
      <c r="D939" s="21">
        <v>581.0</v>
      </c>
      <c r="E939" s="20">
        <v>9.0275315E7</v>
      </c>
      <c r="F939" s="20">
        <v>9.0275315E7</v>
      </c>
      <c r="G939" s="20" t="s">
        <v>1943</v>
      </c>
      <c r="H939" s="20" t="s">
        <v>1944</v>
      </c>
      <c r="I939" s="1" t="str">
        <f>VLOOKUP(C939,'mayo-26'!B:H,7,0)</f>
        <v>CLL 0N ESQ 16E-20 AV LIBERTADORES</v>
      </c>
      <c r="J939" s="1" t="s">
        <v>1114</v>
      </c>
      <c r="K939" s="10" t="str">
        <f>VLOOKUP(C939,'mayo-26'!B:J,9,0)</f>
        <v>NO</v>
      </c>
      <c r="L939" s="1" t="str">
        <f>VLOOKUP(C939,'mayo-26'!B:K,10,0)</f>
        <v>NO</v>
      </c>
      <c r="M939" s="20" t="s">
        <v>52</v>
      </c>
      <c r="N939" s="20" t="s">
        <v>89</v>
      </c>
      <c r="O939" s="20" t="s">
        <v>861</v>
      </c>
      <c r="P939" s="20" t="s">
        <v>126</v>
      </c>
      <c r="Q939" s="20" t="s">
        <v>56</v>
      </c>
      <c r="R939" s="20" t="s">
        <v>57</v>
      </c>
      <c r="S939" s="20" t="s">
        <v>58</v>
      </c>
      <c r="T939" s="20" t="s">
        <v>59</v>
      </c>
      <c r="U939" s="20">
        <v>2026.0</v>
      </c>
      <c r="V939" s="20">
        <v>6.0</v>
      </c>
      <c r="W939" s="20">
        <v>1.081875573E9</v>
      </c>
      <c r="X939" s="20">
        <v>1.081894045E9</v>
      </c>
      <c r="Y939" s="22">
        <v>46182.0</v>
      </c>
      <c r="Z939" s="22">
        <v>46207.0</v>
      </c>
      <c r="AA939" s="20">
        <v>1.136181471E7</v>
      </c>
      <c r="AB939" s="20">
        <v>1.136181471E7</v>
      </c>
      <c r="AC939" s="20">
        <v>0.0</v>
      </c>
      <c r="AD939" s="20">
        <v>59675.0</v>
      </c>
      <c r="AE939" s="20">
        <v>0.0</v>
      </c>
      <c r="AF939" s="20">
        <v>0.0</v>
      </c>
      <c r="AG939" s="20">
        <v>0.0</v>
      </c>
      <c r="AH939" s="20">
        <v>0.0</v>
      </c>
      <c r="AI939" s="20">
        <v>0.0</v>
      </c>
      <c r="AJ939" s="20">
        <v>1.136181471E7</v>
      </c>
      <c r="AK939" s="20">
        <v>1.136181471E7</v>
      </c>
      <c r="AL939" s="20">
        <v>0.0</v>
      </c>
      <c r="AM939" s="20">
        <v>250.8</v>
      </c>
      <c r="AN939" s="20">
        <v>0.0</v>
      </c>
      <c r="AS939" s="11" t="str">
        <f>VLOOKUP(C939,'mayo-26'!B:AS,44,0)</f>
        <v>gestion.ambiental@clinicamedicalduarte.com</v>
      </c>
      <c r="AT939" s="12" t="str">
        <f>VLOOKUP(C939,'mayo-26'!B:AT,45,0)</f>
        <v>CORREO ELECTRONICO CERTIFICADO 472</v>
      </c>
    </row>
    <row r="940" ht="14.25" customHeight="1">
      <c r="A940" s="20" t="s">
        <v>1945</v>
      </c>
      <c r="B940" s="20">
        <v>586.0</v>
      </c>
      <c r="C940" s="20">
        <v>585.0</v>
      </c>
      <c r="D940" s="21">
        <v>585.0</v>
      </c>
      <c r="E940" s="20">
        <v>9.0276493E7</v>
      </c>
      <c r="F940" s="20">
        <v>9.0276493E7</v>
      </c>
      <c r="G940" s="20">
        <v>9.00603041E8</v>
      </c>
      <c r="H940" s="20" t="s">
        <v>400</v>
      </c>
      <c r="I940" s="1" t="str">
        <f>VLOOKUP(C940,'mayo-26'!B:H,7,0)</f>
        <v>AVE 1 16-35</v>
      </c>
      <c r="J940" s="1" t="s">
        <v>343</v>
      </c>
      <c r="K940" s="10" t="str">
        <f>VLOOKUP(C940,'mayo-26'!B:J,9,0)</f>
        <v>NO</v>
      </c>
      <c r="L940" s="1" t="str">
        <f>VLOOKUP(C940,'mayo-26'!B:K,10,0)</f>
        <v>LOS MONTES</v>
      </c>
      <c r="M940" s="20" t="s">
        <v>52</v>
      </c>
      <c r="N940" s="20" t="s">
        <v>89</v>
      </c>
      <c r="O940" s="20" t="s">
        <v>861</v>
      </c>
      <c r="P940" s="20" t="s">
        <v>126</v>
      </c>
      <c r="Q940" s="20" t="s">
        <v>56</v>
      </c>
      <c r="R940" s="20" t="s">
        <v>90</v>
      </c>
      <c r="S940" s="20" t="s">
        <v>143</v>
      </c>
      <c r="T940" s="20" t="s">
        <v>59</v>
      </c>
      <c r="U940" s="20">
        <v>2026.0</v>
      </c>
      <c r="V940" s="20">
        <v>6.0</v>
      </c>
      <c r="W940" s="20">
        <v>1.081875577E9</v>
      </c>
      <c r="X940" s="20">
        <v>1.081894049E9</v>
      </c>
      <c r="Y940" s="22">
        <v>46182.0</v>
      </c>
      <c r="Z940" s="22">
        <v>46207.0</v>
      </c>
      <c r="AA940" s="20">
        <v>723929.71</v>
      </c>
      <c r="AB940" s="20">
        <v>723929.71</v>
      </c>
      <c r="AC940" s="20">
        <v>234206.15</v>
      </c>
      <c r="AD940" s="20">
        <v>2270.0</v>
      </c>
      <c r="AE940" s="20">
        <v>21311.28</v>
      </c>
      <c r="AF940" s="20">
        <v>0.0</v>
      </c>
      <c r="AG940" s="20">
        <v>0.0</v>
      </c>
      <c r="AH940" s="20">
        <v>0.0</v>
      </c>
      <c r="AI940" s="20">
        <v>0.0</v>
      </c>
      <c r="AJ940" s="20">
        <v>723929.71</v>
      </c>
      <c r="AK940" s="20">
        <v>1411834.53</v>
      </c>
      <c r="AL940" s="20">
        <v>1.0</v>
      </c>
      <c r="AM940" s="20">
        <v>376.2</v>
      </c>
      <c r="AN940" s="20">
        <v>0.0</v>
      </c>
      <c r="AS940" s="11" t="str">
        <f>VLOOKUP(C940,'mayo-26'!B:AS,44,0)</f>
        <v>GASTOS@SUPERLOSMONTES.CO</v>
      </c>
      <c r="AT940" s="12" t="str">
        <f>VLOOKUP(C940,'mayo-26'!B:AT,45,0)</f>
        <v>CORREO ELECTRONICO CERTIFICADO 472</v>
      </c>
    </row>
    <row r="941" ht="14.25" customHeight="1">
      <c r="A941" s="20" t="s">
        <v>1946</v>
      </c>
      <c r="B941" s="20">
        <v>59146.0</v>
      </c>
      <c r="C941" s="20">
        <v>59145.0</v>
      </c>
      <c r="D941" s="21">
        <v>59145.0</v>
      </c>
      <c r="E941" s="20">
        <v>56972.0</v>
      </c>
      <c r="F941" s="20">
        <v>56972.0</v>
      </c>
      <c r="G941" s="20">
        <v>56972.0</v>
      </c>
      <c r="H941" s="20" t="s">
        <v>1947</v>
      </c>
      <c r="I941" s="1" t="str">
        <f>VLOOKUP(C941,'mayo-26'!B:H,7,0)</f>
        <v>AVE 1 25-49 - URB. EL ROSAL</v>
      </c>
      <c r="J941" s="1" t="s">
        <v>1256</v>
      </c>
      <c r="K941" s="10" t="str">
        <f>VLOOKUP(C941,'mayo-26'!B:J,9,0)</f>
        <v>NO</v>
      </c>
      <c r="L941" s="1" t="str">
        <f>VLOOKUP(C941,'mayo-26'!B:K,10,0)</f>
        <v>ARA CUCUTA</v>
      </c>
      <c r="M941" s="20" t="s">
        <v>52</v>
      </c>
      <c r="N941" s="20" t="s">
        <v>53</v>
      </c>
      <c r="O941" s="20" t="s">
        <v>861</v>
      </c>
      <c r="P941" s="20" t="s">
        <v>126</v>
      </c>
      <c r="Q941" s="20" t="s">
        <v>56</v>
      </c>
      <c r="R941" s="20" t="s">
        <v>90</v>
      </c>
      <c r="S941" s="20" t="s">
        <v>143</v>
      </c>
      <c r="T941" s="20" t="s">
        <v>59</v>
      </c>
      <c r="U941" s="20">
        <v>2026.0</v>
      </c>
      <c r="V941" s="20">
        <v>6.0</v>
      </c>
      <c r="W941" s="20">
        <v>1.081875719E9</v>
      </c>
      <c r="X941" s="20">
        <v>1.081894191E9</v>
      </c>
      <c r="Y941" s="22">
        <v>46182.0</v>
      </c>
      <c r="Z941" s="22">
        <v>46207.0</v>
      </c>
      <c r="AA941" s="20">
        <v>524729.07</v>
      </c>
      <c r="AB941" s="20">
        <v>524729.07</v>
      </c>
      <c r="AC941" s="20">
        <v>173007.26</v>
      </c>
      <c r="AD941" s="20">
        <v>1625.0</v>
      </c>
      <c r="AE941" s="20">
        <v>5707.3</v>
      </c>
      <c r="AF941" s="20">
        <v>0.0</v>
      </c>
      <c r="AG941" s="20">
        <v>0.0</v>
      </c>
      <c r="AH941" s="20">
        <v>0.0</v>
      </c>
      <c r="AI941" s="20">
        <v>0.0</v>
      </c>
      <c r="AJ941" s="20">
        <v>524729.07</v>
      </c>
      <c r="AK941" s="20">
        <v>1563183.2</v>
      </c>
      <c r="AL941" s="20">
        <v>2.0</v>
      </c>
      <c r="AM941" s="20">
        <v>376.2</v>
      </c>
      <c r="AN941" s="20">
        <v>0.0</v>
      </c>
      <c r="AS941" s="11" t="str">
        <f>VLOOKUP(C941,'mayo-26'!B:AS,44,0)</f>
        <v>COORDINADOR.OPERACIONES.R11@JERONIMO-MARTINS.COM</v>
      </c>
      <c r="AT941" s="12" t="str">
        <f>VLOOKUP(C941,'mayo-26'!B:AT,45,0)</f>
        <v>CORREO ELECTRONICO CERTIFICADO 472</v>
      </c>
    </row>
    <row r="942" ht="14.25" customHeight="1">
      <c r="A942" s="20" t="s">
        <v>1948</v>
      </c>
      <c r="B942" s="20">
        <v>60146.0</v>
      </c>
      <c r="C942" s="20">
        <v>60145.0</v>
      </c>
      <c r="D942" s="21">
        <v>60145.0</v>
      </c>
      <c r="E942" s="20">
        <v>15679.0</v>
      </c>
      <c r="F942" s="20">
        <v>15679.0</v>
      </c>
      <c r="G942" s="20" t="s">
        <v>1078</v>
      </c>
      <c r="H942" s="20" t="s">
        <v>1079</v>
      </c>
      <c r="I942" s="1" t="str">
        <f>VLOOKUP(C942,'mayo-26'!B:H,7,0)</f>
        <v>AVE 4E 14A-25</v>
      </c>
      <c r="J942" s="1" t="s">
        <v>942</v>
      </c>
      <c r="K942" s="10" t="str">
        <f>VLOOKUP(C942,'mayo-26'!B:J,9,0)</f>
        <v>NO</v>
      </c>
      <c r="L942" s="1" t="str">
        <f>VLOOKUP(C942,'mayo-26'!B:K,10,0)</f>
        <v>DROGUERIAS Y FARMACIAS CRUZ VERDE S A S</v>
      </c>
      <c r="M942" s="20" t="s">
        <v>52</v>
      </c>
      <c r="N942" s="20" t="s">
        <v>89</v>
      </c>
      <c r="O942" s="20" t="s">
        <v>861</v>
      </c>
      <c r="P942" s="20" t="s">
        <v>126</v>
      </c>
      <c r="Q942" s="20" t="s">
        <v>131</v>
      </c>
      <c r="R942" s="20" t="s">
        <v>538</v>
      </c>
      <c r="S942" s="20" t="s">
        <v>133</v>
      </c>
      <c r="T942" s="20" t="s">
        <v>59</v>
      </c>
      <c r="U942" s="20">
        <v>2026.0</v>
      </c>
      <c r="V942" s="20">
        <v>6.0</v>
      </c>
      <c r="W942" s="20">
        <v>1.081875723E9</v>
      </c>
      <c r="X942" s="20">
        <v>1.081894195E9</v>
      </c>
      <c r="Y942" s="22">
        <v>46182.0</v>
      </c>
      <c r="Z942" s="22">
        <v>46207.0</v>
      </c>
      <c r="AA942" s="20">
        <v>102035.7</v>
      </c>
      <c r="AB942" s="20">
        <v>102035.7</v>
      </c>
      <c r="AC942" s="20">
        <v>31416.0</v>
      </c>
      <c r="AD942" s="20">
        <v>0.0</v>
      </c>
      <c r="AE942" s="20">
        <v>7787.7</v>
      </c>
      <c r="AF942" s="20">
        <v>0.0</v>
      </c>
      <c r="AG942" s="20">
        <v>0.0</v>
      </c>
      <c r="AH942" s="20">
        <v>0.0</v>
      </c>
      <c r="AI942" s="20">
        <v>0.0</v>
      </c>
      <c r="AJ942" s="20">
        <v>102035.7</v>
      </c>
      <c r="AK942" s="20">
        <v>643369.03</v>
      </c>
      <c r="AL942" s="20">
        <v>6.0</v>
      </c>
      <c r="AM942" s="20">
        <v>376.2</v>
      </c>
      <c r="AN942" s="20">
        <v>0.0</v>
      </c>
      <c r="AS942" s="11" t="str">
        <f>VLOOKUP(C942,'mayo-26'!B:AS,44,0)</f>
        <v>serviciospublicos@cruzverde.com.co, notificacionesjudiciales@cruzverde.com.co</v>
      </c>
      <c r="AT942" s="12" t="str">
        <f>VLOOKUP(C942,'mayo-26'!B:AT,45,0)</f>
        <v>CORREO ELECTRONICO CERTIFICADO 472</v>
      </c>
    </row>
    <row r="943" ht="14.25" customHeight="1">
      <c r="A943" s="20" t="s">
        <v>1949</v>
      </c>
      <c r="B943" s="20">
        <v>635.0</v>
      </c>
      <c r="C943" s="20">
        <v>621.0</v>
      </c>
      <c r="D943" s="21">
        <v>621.0</v>
      </c>
      <c r="E943" s="20">
        <v>9.0288049E7</v>
      </c>
      <c r="F943" s="20">
        <v>9.0288049E7</v>
      </c>
      <c r="G943" s="20" t="s">
        <v>1399</v>
      </c>
      <c r="H943" s="20" t="s">
        <v>1400</v>
      </c>
      <c r="I943" s="1" t="str">
        <f>VLOOKUP(C943,'mayo-26'!B:H,7,0)</f>
        <v>L50 CC JARDIN PLAZA</v>
      </c>
      <c r="J943" s="1" t="s">
        <v>942</v>
      </c>
      <c r="K943" s="10" t="str">
        <f>VLOOKUP(C943,'mayo-26'!B:J,9,0)</f>
        <v>NO</v>
      </c>
      <c r="L943" s="1" t="str">
        <f>VLOOKUP(C943,'mayo-26'!B:K,10,0)</f>
        <v>VERTEBRA</v>
      </c>
      <c r="M943" s="20" t="s">
        <v>52</v>
      </c>
      <c r="N943" s="20" t="s">
        <v>53</v>
      </c>
      <c r="O943" s="20" t="s">
        <v>861</v>
      </c>
      <c r="P943" s="20" t="s">
        <v>126</v>
      </c>
      <c r="Q943" s="20" t="s">
        <v>131</v>
      </c>
      <c r="R943" s="20" t="s">
        <v>132</v>
      </c>
      <c r="S943" s="20" t="s">
        <v>133</v>
      </c>
      <c r="T943" s="20" t="s">
        <v>59</v>
      </c>
      <c r="U943" s="20">
        <v>2026.0</v>
      </c>
      <c r="V943" s="20">
        <v>6.0</v>
      </c>
      <c r="W943" s="20">
        <v>1.081875581E9</v>
      </c>
      <c r="X943" s="20">
        <v>1.081894053E9</v>
      </c>
      <c r="Y943" s="22">
        <v>46182.0</v>
      </c>
      <c r="Z943" s="22">
        <v>46207.0</v>
      </c>
      <c r="AA943" s="20">
        <v>113128.5</v>
      </c>
      <c r="AB943" s="20">
        <v>113128.5</v>
      </c>
      <c r="AC943" s="20">
        <v>37709.5</v>
      </c>
      <c r="AD943" s="20">
        <v>0.0</v>
      </c>
      <c r="AE943" s="20">
        <v>0.0</v>
      </c>
      <c r="AF943" s="20">
        <v>0.0</v>
      </c>
      <c r="AG943" s="20">
        <v>0.0</v>
      </c>
      <c r="AH943" s="20">
        <v>0.0</v>
      </c>
      <c r="AI943" s="20">
        <v>0.0</v>
      </c>
      <c r="AJ943" s="20">
        <v>113128.5</v>
      </c>
      <c r="AK943" s="20">
        <v>113128.5</v>
      </c>
      <c r="AL943" s="20">
        <v>0.0</v>
      </c>
      <c r="AM943" s="20">
        <v>376.2</v>
      </c>
      <c r="AN943" s="20">
        <v>0.0</v>
      </c>
      <c r="AS943" s="11" t="str">
        <f>VLOOKUP(C943,'mayo-26'!B:AS,44,0)</f>
        <v>SPDFACTURAS@VERTEBRASOLUCIONES.COM</v>
      </c>
      <c r="AT943" s="12" t="str">
        <f>VLOOKUP(C943,'mayo-26'!B:AT,45,0)</f>
        <v>CORREO ELECTRONICO CERTIFICADO 472</v>
      </c>
    </row>
    <row r="944" ht="14.25" customHeight="1">
      <c r="A944" s="20" t="s">
        <v>1950</v>
      </c>
      <c r="B944" s="20">
        <v>629.0</v>
      </c>
      <c r="C944" s="20">
        <v>629.0</v>
      </c>
      <c r="D944" s="21">
        <v>629.0</v>
      </c>
      <c r="E944" s="20">
        <v>9.029029E7</v>
      </c>
      <c r="F944" s="20">
        <v>9.029029E7</v>
      </c>
      <c r="G944" s="20" t="s">
        <v>1696</v>
      </c>
      <c r="H944" s="20" t="s">
        <v>1697</v>
      </c>
      <c r="I944" s="1" t="str">
        <f>VLOOKUP(C944,'mayo-26'!B:H,7,0)</f>
        <v>ANILLO VIAL ORIENTAL LTE 2 SANTA BARBARA - 0290289</v>
      </c>
      <c r="J944" s="1" t="s">
        <v>1050</v>
      </c>
      <c r="K944" s="10" t="str">
        <f>VLOOKUP(C944,'mayo-26'!B:J,9,0)</f>
        <v>NO</v>
      </c>
      <c r="L944" s="1" t="str">
        <f>VLOOKUP(C944,'mayo-26'!B:K,10,0)</f>
        <v>NO</v>
      </c>
      <c r="M944" s="20" t="s">
        <v>52</v>
      </c>
      <c r="N944" s="20" t="s">
        <v>89</v>
      </c>
      <c r="O944" s="20" t="s">
        <v>861</v>
      </c>
      <c r="P944" s="20" t="s">
        <v>126</v>
      </c>
      <c r="Q944" s="20" t="s">
        <v>218</v>
      </c>
      <c r="R944" s="20" t="s">
        <v>219</v>
      </c>
      <c r="S944" s="20" t="s">
        <v>133</v>
      </c>
      <c r="T944" s="20" t="s">
        <v>59</v>
      </c>
      <c r="U944" s="20">
        <v>2026.0</v>
      </c>
      <c r="V944" s="20">
        <v>6.0</v>
      </c>
      <c r="W944" s="20">
        <v>1.081875585E9</v>
      </c>
      <c r="X944" s="20">
        <v>1.081894057E9</v>
      </c>
      <c r="Y944" s="22">
        <v>46182.0</v>
      </c>
      <c r="Z944" s="22">
        <v>46207.0</v>
      </c>
      <c r="AA944" s="20">
        <v>49934.3</v>
      </c>
      <c r="AB944" s="20">
        <v>49934.3</v>
      </c>
      <c r="AC944" s="20">
        <v>-1650.7</v>
      </c>
      <c r="AD944" s="20">
        <v>0.0</v>
      </c>
      <c r="AE944" s="20">
        <v>0.0</v>
      </c>
      <c r="AF944" s="20">
        <v>0.0</v>
      </c>
      <c r="AG944" s="20">
        <v>0.0</v>
      </c>
      <c r="AH944" s="20">
        <v>0.0</v>
      </c>
      <c r="AI944" s="20">
        <v>0.0</v>
      </c>
      <c r="AJ944" s="20">
        <v>49934.3</v>
      </c>
      <c r="AK944" s="20">
        <v>49935.06</v>
      </c>
      <c r="AL944" s="20">
        <v>1.0</v>
      </c>
      <c r="AM944" s="20">
        <v>242.77</v>
      </c>
      <c r="AN944" s="20">
        <v>0.0</v>
      </c>
      <c r="AS944" s="11" t="str">
        <f>VLOOKUP(C944,'mayo-26'!B:AS,44,0)</f>
        <v>AUXILIARCOMPRAVENTA@GILYEPESYCIA.COM;YBARRETO@INVERVAN.COM</v>
      </c>
      <c r="AT944" s="12" t="str">
        <f>VLOOKUP(C944,'mayo-26'!B:AT,45,0)</f>
        <v>CORREO ELECTRONICO CERTIFICADO 472</v>
      </c>
    </row>
    <row r="945" ht="14.25" customHeight="1">
      <c r="A945" s="20" t="s">
        <v>1951</v>
      </c>
      <c r="B945" s="20">
        <v>632.0</v>
      </c>
      <c r="C945" s="20">
        <v>633.0</v>
      </c>
      <c r="D945" s="21">
        <v>633.0</v>
      </c>
      <c r="E945" s="20">
        <v>9.0290673E7</v>
      </c>
      <c r="F945" s="20">
        <v>9.0290673E7</v>
      </c>
      <c r="G945" s="20">
        <v>8.90107487E8</v>
      </c>
      <c r="H945" s="20" t="s">
        <v>1121</v>
      </c>
      <c r="I945" s="1" t="str">
        <f>VLOOKUP(C945,'mayo-26'!B:H,7,0)</f>
        <v>AV 0 1AN-37</v>
      </c>
      <c r="J945" s="1">
        <v>0.0</v>
      </c>
      <c r="K945" s="10" t="str">
        <f>VLOOKUP(C945,'mayo-26'!B:J,9,0)</f>
        <v>JARDIN PLAZA</v>
      </c>
      <c r="L945" s="1" t="str">
        <f>VLOOKUP(C945,'mayo-26'!B:K,10,0)</f>
        <v>JARDIN-PLAZA EN FISICO/OLIMPICA</v>
      </c>
      <c r="M945" s="20" t="s">
        <v>52</v>
      </c>
      <c r="N945" s="20" t="s">
        <v>53</v>
      </c>
      <c r="O945" s="20" t="s">
        <v>861</v>
      </c>
      <c r="P945" s="20" t="s">
        <v>126</v>
      </c>
      <c r="Q945" s="20" t="s">
        <v>56</v>
      </c>
      <c r="R945" s="20" t="s">
        <v>90</v>
      </c>
      <c r="S945" s="20" t="s">
        <v>58</v>
      </c>
      <c r="T945" s="20" t="s">
        <v>59</v>
      </c>
      <c r="U945" s="20">
        <v>2026.0</v>
      </c>
      <c r="V945" s="20">
        <v>6.0</v>
      </c>
      <c r="W945" s="20">
        <v>1.081875591E9</v>
      </c>
      <c r="X945" s="20">
        <v>1.081894063E9</v>
      </c>
      <c r="Y945" s="22">
        <v>46182.0</v>
      </c>
      <c r="Z945" s="22">
        <v>46207.0</v>
      </c>
      <c r="AA945" s="20">
        <v>945990.77</v>
      </c>
      <c r="AB945" s="20">
        <v>945990.77</v>
      </c>
      <c r="AC945" s="20">
        <v>315330.26</v>
      </c>
      <c r="AD945" s="20">
        <v>3125.0</v>
      </c>
      <c r="AE945" s="20">
        <v>0.0</v>
      </c>
      <c r="AF945" s="20">
        <v>0.0</v>
      </c>
      <c r="AG945" s="20">
        <v>0.0</v>
      </c>
      <c r="AH945" s="20">
        <v>0.0</v>
      </c>
      <c r="AI945" s="20">
        <v>0.0</v>
      </c>
      <c r="AJ945" s="20">
        <v>945990.77</v>
      </c>
      <c r="AK945" s="20">
        <v>945990.77</v>
      </c>
      <c r="AL945" s="20">
        <v>0.0</v>
      </c>
      <c r="AM945" s="20">
        <v>376.2</v>
      </c>
      <c r="AN945" s="20">
        <v>0.0</v>
      </c>
      <c r="AS945" s="11" t="str">
        <f>VLOOKUP(C945,'mayo-26'!B:AS,44,0)</f>
        <v>MSANCHEZ@OLIMPICA.COM.CO</v>
      </c>
      <c r="AT945" s="12" t="str">
        <f>VLOOKUP(C945,'mayo-26'!B:AT,45,0)</f>
        <v>VERIFICADOR</v>
      </c>
    </row>
    <row r="946" ht="14.25" customHeight="1">
      <c r="A946" s="20" t="s">
        <v>1952</v>
      </c>
      <c r="B946" s="20">
        <v>638.0</v>
      </c>
      <c r="C946" s="20">
        <v>637.0</v>
      </c>
      <c r="D946" s="21">
        <v>637.0</v>
      </c>
      <c r="E946" s="20">
        <v>9.0290681E7</v>
      </c>
      <c r="F946" s="20">
        <v>9.0290681E7</v>
      </c>
      <c r="G946" s="20">
        <v>1.018476778E9</v>
      </c>
      <c r="H946" s="20" t="s">
        <v>1953</v>
      </c>
      <c r="I946" s="1" t="str">
        <f>VLOOKUP(C946,'mayo-26'!B:H,7,0)</f>
        <v>S04 CC JARDIN PLAZA</v>
      </c>
      <c r="J946" s="1" t="s">
        <v>991</v>
      </c>
      <c r="K946" s="10" t="str">
        <f>VLOOKUP(C946,'mayo-26'!B:J,9,0)</f>
        <v>JARDIN PLAZA</v>
      </c>
      <c r="L946" s="1" t="str">
        <f>VLOOKUP(C946,'mayo-26'!B:K,10,0)</f>
        <v>JARDIN PLAZA</v>
      </c>
      <c r="M946" s="20" t="s">
        <v>52</v>
      </c>
      <c r="N946" s="20" t="s">
        <v>89</v>
      </c>
      <c r="O946" s="20" t="s">
        <v>861</v>
      </c>
      <c r="P946" s="20" t="s">
        <v>126</v>
      </c>
      <c r="Q946" s="20" t="s">
        <v>56</v>
      </c>
      <c r="R946" s="20" t="s">
        <v>90</v>
      </c>
      <c r="S946" s="20" t="s">
        <v>143</v>
      </c>
      <c r="T946" s="20" t="s">
        <v>59</v>
      </c>
      <c r="U946" s="20">
        <v>2026.0</v>
      </c>
      <c r="V946" s="20">
        <v>6.0</v>
      </c>
      <c r="W946" s="20">
        <v>1.081875594E9</v>
      </c>
      <c r="X946" s="20">
        <v>1.081894066E9</v>
      </c>
      <c r="Y946" s="22">
        <v>46182.0</v>
      </c>
      <c r="Z946" s="22">
        <v>46207.0</v>
      </c>
      <c r="AA946" s="20">
        <v>127633.51</v>
      </c>
      <c r="AB946" s="20">
        <v>127633.51</v>
      </c>
      <c r="AC946" s="20">
        <v>42544.51</v>
      </c>
      <c r="AD946" s="20">
        <v>250.0</v>
      </c>
      <c r="AE946" s="20">
        <v>0.0</v>
      </c>
      <c r="AF946" s="20">
        <v>0.0</v>
      </c>
      <c r="AG946" s="20">
        <v>0.0</v>
      </c>
      <c r="AH946" s="20">
        <v>0.0</v>
      </c>
      <c r="AI946" s="20">
        <v>0.0</v>
      </c>
      <c r="AJ946" s="20">
        <v>127633.51</v>
      </c>
      <c r="AK946" s="20">
        <v>127633.51</v>
      </c>
      <c r="AL946" s="20">
        <v>0.0</v>
      </c>
      <c r="AM946" s="20">
        <v>376.2</v>
      </c>
      <c r="AN946" s="20">
        <v>0.0</v>
      </c>
      <c r="AS946" s="11" t="str">
        <f>VLOOKUP(C946,'mayo-26'!B:AS,44,0)</f>
        <v>PAOLAF.PALACIOS@GMAIL.COM</v>
      </c>
      <c r="AT946" s="12" t="str">
        <f>VLOOKUP(C946,'mayo-26'!B:AT,45,0)</f>
        <v>VERIFICADOR</v>
      </c>
    </row>
    <row r="947" ht="14.25" customHeight="1">
      <c r="A947" s="20" t="s">
        <v>1954</v>
      </c>
      <c r="B947" s="20">
        <v>642.0</v>
      </c>
      <c r="C947" s="20">
        <v>641.0</v>
      </c>
      <c r="D947" s="21">
        <v>641.0</v>
      </c>
      <c r="E947" s="20">
        <v>9.0290685E7</v>
      </c>
      <c r="F947" s="20">
        <v>9.0290685E7</v>
      </c>
      <c r="G947" s="20" t="s">
        <v>1955</v>
      </c>
      <c r="H947" s="20" t="s">
        <v>1956</v>
      </c>
      <c r="I947" s="1" t="str">
        <f>VLOOKUP(C947,'mayo-26'!B:H,7,0)</f>
        <v>R06 CC JARDIN PLAZA</v>
      </c>
      <c r="J947" s="1" t="s">
        <v>991</v>
      </c>
      <c r="K947" s="10" t="str">
        <f>VLOOKUP(C947,'mayo-26'!B:J,9,0)</f>
        <v>JARDIN PLAZA</v>
      </c>
      <c r="L947" s="1" t="str">
        <f>VLOOKUP(C947,'mayo-26'!B:K,10,0)</f>
        <v>JARDIN PLAZA</v>
      </c>
      <c r="M947" s="20" t="s">
        <v>52</v>
      </c>
      <c r="N947" s="20" t="s">
        <v>89</v>
      </c>
      <c r="O947" s="20" t="s">
        <v>861</v>
      </c>
      <c r="P947" s="20" t="s">
        <v>126</v>
      </c>
      <c r="Q947" s="20" t="s">
        <v>56</v>
      </c>
      <c r="R947" s="20" t="s">
        <v>90</v>
      </c>
      <c r="S947" s="20" t="s">
        <v>143</v>
      </c>
      <c r="T947" s="20" t="s">
        <v>59</v>
      </c>
      <c r="U947" s="20">
        <v>2026.0</v>
      </c>
      <c r="V947" s="20">
        <v>6.0</v>
      </c>
      <c r="W947" s="20">
        <v>1.081875596E9</v>
      </c>
      <c r="X947" s="20">
        <v>1.081894068E9</v>
      </c>
      <c r="Y947" s="22">
        <v>46182.0</v>
      </c>
      <c r="Z947" s="22">
        <v>46207.0</v>
      </c>
      <c r="AA947" s="20">
        <v>299857.46</v>
      </c>
      <c r="AB947" s="20">
        <v>299857.46</v>
      </c>
      <c r="AC947" s="20">
        <v>99758.35</v>
      </c>
      <c r="AD947" s="20">
        <v>853.0</v>
      </c>
      <c r="AE947" s="20">
        <v>582.42</v>
      </c>
      <c r="AF947" s="20">
        <v>0.0</v>
      </c>
      <c r="AG947" s="20">
        <v>0.0</v>
      </c>
      <c r="AH947" s="20">
        <v>0.0</v>
      </c>
      <c r="AI947" s="20">
        <v>0.0</v>
      </c>
      <c r="AJ947" s="20">
        <v>299857.46</v>
      </c>
      <c r="AK947" s="20">
        <v>299857.46</v>
      </c>
      <c r="AL947" s="20">
        <v>0.0</v>
      </c>
      <c r="AM947" s="20">
        <v>376.2</v>
      </c>
      <c r="AN947" s="20">
        <v>0.0</v>
      </c>
      <c r="AS947" s="11" t="str">
        <f>VLOOKUP(C947,'mayo-26'!B:AS,44,0)</f>
        <v>WILLILLO7@HOTMAIL.COM</v>
      </c>
      <c r="AT947" s="12" t="str">
        <f>VLOOKUP(C947,'mayo-26'!B:AT,45,0)</f>
        <v>VERIFICADOR</v>
      </c>
    </row>
    <row r="948" ht="14.25" customHeight="1">
      <c r="A948" s="20" t="s">
        <v>1957</v>
      </c>
      <c r="B948" s="20">
        <v>646.0</v>
      </c>
      <c r="C948" s="20">
        <v>645.0</v>
      </c>
      <c r="D948" s="21">
        <v>645.0</v>
      </c>
      <c r="E948" s="20">
        <v>9.0290689E7</v>
      </c>
      <c r="F948" s="20">
        <v>9.0290689E7</v>
      </c>
      <c r="G948" s="20" t="s">
        <v>1958</v>
      </c>
      <c r="H948" s="20" t="s">
        <v>1959</v>
      </c>
      <c r="I948" s="1" t="str">
        <f>VLOOKUP(C948,'mayo-26'!B:H,7,0)</f>
        <v>L96-97 CC JARDIN PLAZA</v>
      </c>
      <c r="J948" s="1" t="s">
        <v>991</v>
      </c>
      <c r="K948" s="10" t="str">
        <f>VLOOKUP(C948,'mayo-26'!B:J,9,0)</f>
        <v>JARDIN PLAZA</v>
      </c>
      <c r="L948" s="1" t="str">
        <f>VLOOKUP(C948,'mayo-26'!B:K,10,0)</f>
        <v>JARDIN PLAZA</v>
      </c>
      <c r="M948" s="20" t="s">
        <v>52</v>
      </c>
      <c r="N948" s="20" t="s">
        <v>89</v>
      </c>
      <c r="O948" s="20" t="s">
        <v>861</v>
      </c>
      <c r="P948" s="20" t="s">
        <v>126</v>
      </c>
      <c r="Q948" s="20" t="s">
        <v>56</v>
      </c>
      <c r="R948" s="20" t="s">
        <v>90</v>
      </c>
      <c r="S948" s="20" t="s">
        <v>143</v>
      </c>
      <c r="T948" s="20" t="s">
        <v>59</v>
      </c>
      <c r="U948" s="20">
        <v>2026.0</v>
      </c>
      <c r="V948" s="20">
        <v>6.0</v>
      </c>
      <c r="W948" s="20">
        <v>1.0818756E9</v>
      </c>
      <c r="X948" s="20">
        <v>1.081894072E9</v>
      </c>
      <c r="Y948" s="22">
        <v>46182.0</v>
      </c>
      <c r="Z948" s="22">
        <v>46207.0</v>
      </c>
      <c r="AA948" s="20">
        <v>151334.11</v>
      </c>
      <c r="AB948" s="20">
        <v>151334.11</v>
      </c>
      <c r="AC948" s="20">
        <v>42544.51</v>
      </c>
      <c r="AD948" s="20">
        <v>250.0</v>
      </c>
      <c r="AE948" s="20">
        <v>23700.6</v>
      </c>
      <c r="AF948" s="20">
        <v>0.0</v>
      </c>
      <c r="AG948" s="20">
        <v>0.0</v>
      </c>
      <c r="AH948" s="20">
        <v>0.0</v>
      </c>
      <c r="AI948" s="20">
        <v>0.0</v>
      </c>
      <c r="AJ948" s="20">
        <v>151334.11</v>
      </c>
      <c r="AK948" s="20">
        <v>1620079.1</v>
      </c>
      <c r="AL948" s="20">
        <v>12.0</v>
      </c>
      <c r="AM948" s="20">
        <v>376.2</v>
      </c>
      <c r="AN948" s="20">
        <v>0.0</v>
      </c>
      <c r="AS948" s="11" t="str">
        <f>VLOOKUP(C948,'mayo-26'!B:AS,44,0)</f>
        <v>MAFERGARCIA2008@HOTMAIL.COM</v>
      </c>
      <c r="AT948" s="12" t="str">
        <f>VLOOKUP(C948,'mayo-26'!B:AT,45,0)</f>
        <v>VERIFICADOR</v>
      </c>
    </row>
    <row r="949" ht="14.25" customHeight="1">
      <c r="A949" s="20" t="s">
        <v>1960</v>
      </c>
      <c r="B949" s="20">
        <v>650.0</v>
      </c>
      <c r="C949" s="20">
        <v>649.0</v>
      </c>
      <c r="D949" s="21">
        <v>649.0</v>
      </c>
      <c r="E949" s="20">
        <v>9.0290693E7</v>
      </c>
      <c r="F949" s="20">
        <v>9.0290693E7</v>
      </c>
      <c r="G949" s="20" t="s">
        <v>1961</v>
      </c>
      <c r="H949" s="20" t="s">
        <v>1962</v>
      </c>
      <c r="I949" s="1" t="str">
        <f>VLOOKUP(C949,'mayo-26'!B:H,7,0)</f>
        <v>L20 CC JARDIN PLAZA - 0290693</v>
      </c>
      <c r="J949" s="1" t="s">
        <v>991</v>
      </c>
      <c r="K949" s="10" t="str">
        <f>VLOOKUP(C949,'mayo-26'!B:J,9,0)</f>
        <v>JARDIN PLAZA</v>
      </c>
      <c r="L949" s="1" t="str">
        <f>VLOOKUP(C949,'mayo-26'!B:K,10,0)</f>
        <v>JARDIN PLAZA</v>
      </c>
      <c r="M949" s="20" t="s">
        <v>52</v>
      </c>
      <c r="N949" s="20" t="s">
        <v>89</v>
      </c>
      <c r="O949" s="20" t="s">
        <v>861</v>
      </c>
      <c r="P949" s="20" t="s">
        <v>126</v>
      </c>
      <c r="Q949" s="20" t="s">
        <v>56</v>
      </c>
      <c r="R949" s="20" t="s">
        <v>90</v>
      </c>
      <c r="S949" s="20" t="s">
        <v>143</v>
      </c>
      <c r="T949" s="20" t="s">
        <v>59</v>
      </c>
      <c r="U949" s="20">
        <v>2026.0</v>
      </c>
      <c r="V949" s="20">
        <v>6.0</v>
      </c>
      <c r="W949" s="20">
        <v>1.081875605E9</v>
      </c>
      <c r="X949" s="20">
        <v>1.081894077E9</v>
      </c>
      <c r="Y949" s="22">
        <v>46182.0</v>
      </c>
      <c r="Z949" s="22">
        <v>46207.0</v>
      </c>
      <c r="AA949" s="20">
        <v>127633.51</v>
      </c>
      <c r="AB949" s="20">
        <v>127633.51</v>
      </c>
      <c r="AC949" s="20">
        <v>42544.51</v>
      </c>
      <c r="AD949" s="20">
        <v>250.0</v>
      </c>
      <c r="AE949" s="20">
        <v>0.0</v>
      </c>
      <c r="AF949" s="20">
        <v>0.0</v>
      </c>
      <c r="AG949" s="20">
        <v>0.0</v>
      </c>
      <c r="AH949" s="20">
        <v>0.0</v>
      </c>
      <c r="AI949" s="20">
        <v>0.0</v>
      </c>
      <c r="AJ949" s="20">
        <v>127633.51</v>
      </c>
      <c r="AK949" s="20">
        <v>127633.51</v>
      </c>
      <c r="AL949" s="20">
        <v>0.0</v>
      </c>
      <c r="AM949" s="20">
        <v>376.2</v>
      </c>
      <c r="AN949" s="20">
        <v>0.0</v>
      </c>
      <c r="AS949" s="11" t="str">
        <f>VLOOKUP(C949,'mayo-26'!B:AS,44,0)</f>
        <v>CUCUTA@HEALTHCOMPANY.COM.CO</v>
      </c>
      <c r="AT949" s="12" t="str">
        <f>VLOOKUP(C949,'mayo-26'!B:AT,45,0)</f>
        <v>VERIFICADOR</v>
      </c>
    </row>
    <row r="950" ht="14.25" customHeight="1">
      <c r="A950" s="20" t="s">
        <v>1963</v>
      </c>
      <c r="B950" s="20">
        <v>654.0</v>
      </c>
      <c r="C950" s="20">
        <v>653.0</v>
      </c>
      <c r="D950" s="21">
        <v>653.0</v>
      </c>
      <c r="E950" s="20">
        <v>9.0290697E7</v>
      </c>
      <c r="F950" s="20">
        <v>9.0290697E7</v>
      </c>
      <c r="G950" s="20">
        <v>9.01259029E8</v>
      </c>
      <c r="H950" s="20" t="s">
        <v>1964</v>
      </c>
      <c r="I950" s="1" t="str">
        <f>VLOOKUP(C950,'mayo-26'!B:H,7,0)</f>
        <v>L78 CC JARDIN PLAZA</v>
      </c>
      <c r="J950" s="1" t="s">
        <v>991</v>
      </c>
      <c r="K950" s="10" t="str">
        <f>VLOOKUP(C950,'mayo-26'!B:J,9,0)</f>
        <v>JARDIN PLAZA</v>
      </c>
      <c r="L950" s="1" t="str">
        <f>VLOOKUP(C950,'mayo-26'!B:K,10,0)</f>
        <v>JARDIN PLAZA</v>
      </c>
      <c r="M950" s="20" t="s">
        <v>52</v>
      </c>
      <c r="N950" s="20" t="s">
        <v>89</v>
      </c>
      <c r="O950" s="20" t="s">
        <v>861</v>
      </c>
      <c r="P950" s="20" t="s">
        <v>126</v>
      </c>
      <c r="Q950" s="20" t="s">
        <v>56</v>
      </c>
      <c r="R950" s="20" t="s">
        <v>90</v>
      </c>
      <c r="S950" s="20" t="s">
        <v>143</v>
      </c>
      <c r="T950" s="20" t="s">
        <v>59</v>
      </c>
      <c r="U950" s="20">
        <v>2026.0</v>
      </c>
      <c r="V950" s="20">
        <v>6.0</v>
      </c>
      <c r="W950" s="20">
        <v>1.081875608E9</v>
      </c>
      <c r="X950" s="20">
        <v>1.08189408E9</v>
      </c>
      <c r="Y950" s="22">
        <v>46182.0</v>
      </c>
      <c r="Z950" s="22">
        <v>46207.0</v>
      </c>
      <c r="AA950" s="20">
        <v>127633.51</v>
      </c>
      <c r="AB950" s="20">
        <v>127633.51</v>
      </c>
      <c r="AC950" s="20">
        <v>42544.51</v>
      </c>
      <c r="AD950" s="20">
        <v>250.0</v>
      </c>
      <c r="AE950" s="20">
        <v>0.0</v>
      </c>
      <c r="AF950" s="20">
        <v>0.0</v>
      </c>
      <c r="AG950" s="20">
        <v>0.0</v>
      </c>
      <c r="AH950" s="20">
        <v>0.0</v>
      </c>
      <c r="AI950" s="20">
        <v>0.0</v>
      </c>
      <c r="AJ950" s="20">
        <v>127633.51</v>
      </c>
      <c r="AK950" s="20">
        <v>127633.51</v>
      </c>
      <c r="AL950" s="20">
        <v>0.0</v>
      </c>
      <c r="AM950" s="20">
        <v>376.2</v>
      </c>
      <c r="AN950" s="20">
        <v>0.0</v>
      </c>
      <c r="AS950" s="11" t="str">
        <f>VLOOKUP(C950,'mayo-26'!B:AS,44,0)</f>
        <v>JIREHGOLDENDREAMS@HOTMAIL.COM</v>
      </c>
      <c r="AT950" s="12" t="str">
        <f>VLOOKUP(C950,'mayo-26'!B:AT,45,0)</f>
        <v>VERIFICADOR</v>
      </c>
    </row>
    <row r="951" ht="14.25" customHeight="1">
      <c r="A951" s="20" t="s">
        <v>1965</v>
      </c>
      <c r="B951" s="20">
        <v>658.0</v>
      </c>
      <c r="C951" s="20">
        <v>657.0</v>
      </c>
      <c r="D951" s="21">
        <v>657.0</v>
      </c>
      <c r="E951" s="20">
        <v>9.0290701E7</v>
      </c>
      <c r="F951" s="20">
        <v>9.0290701E7</v>
      </c>
      <c r="G951" s="20" t="s">
        <v>1966</v>
      </c>
      <c r="H951" s="20" t="s">
        <v>1967</v>
      </c>
      <c r="I951" s="1" t="str">
        <f>VLOOKUP(C951,'mayo-26'!B:H,7,0)</f>
        <v>L67-68 CC JARDIN PLAZA</v>
      </c>
      <c r="J951" s="1" t="s">
        <v>991</v>
      </c>
      <c r="K951" s="10" t="str">
        <f>VLOOKUP(C951,'mayo-26'!B:J,9,0)</f>
        <v>JARDIN PLAZA</v>
      </c>
      <c r="L951" s="1" t="str">
        <f>VLOOKUP(C951,'mayo-26'!B:K,10,0)</f>
        <v>JARDIN PLAZA</v>
      </c>
      <c r="M951" s="20" t="s">
        <v>52</v>
      </c>
      <c r="N951" s="20" t="s">
        <v>89</v>
      </c>
      <c r="O951" s="20" t="s">
        <v>861</v>
      </c>
      <c r="P951" s="20" t="s">
        <v>126</v>
      </c>
      <c r="Q951" s="20" t="s">
        <v>56</v>
      </c>
      <c r="R951" s="20" t="s">
        <v>90</v>
      </c>
      <c r="S951" s="20" t="s">
        <v>143</v>
      </c>
      <c r="T951" s="20" t="s">
        <v>59</v>
      </c>
      <c r="U951" s="20">
        <v>2026.0</v>
      </c>
      <c r="V951" s="20">
        <v>6.0</v>
      </c>
      <c r="W951" s="20">
        <v>1.081875611E9</v>
      </c>
      <c r="X951" s="20">
        <v>1.081894083E9</v>
      </c>
      <c r="Y951" s="22">
        <v>46182.0</v>
      </c>
      <c r="Z951" s="22">
        <v>46207.0</v>
      </c>
      <c r="AA951" s="20">
        <v>127633.51</v>
      </c>
      <c r="AB951" s="20">
        <v>127633.51</v>
      </c>
      <c r="AC951" s="20">
        <v>42544.51</v>
      </c>
      <c r="AD951" s="20">
        <v>250.0</v>
      </c>
      <c r="AE951" s="20">
        <v>0.0</v>
      </c>
      <c r="AF951" s="20">
        <v>0.0</v>
      </c>
      <c r="AG951" s="20">
        <v>0.0</v>
      </c>
      <c r="AH951" s="20">
        <v>0.0</v>
      </c>
      <c r="AI951" s="20">
        <v>0.0</v>
      </c>
      <c r="AJ951" s="20">
        <v>127633.51</v>
      </c>
      <c r="AK951" s="20">
        <v>127633.51</v>
      </c>
      <c r="AL951" s="20">
        <v>0.0</v>
      </c>
      <c r="AM951" s="20">
        <v>376.2</v>
      </c>
      <c r="AN951" s="20">
        <v>0.0</v>
      </c>
      <c r="AS951" s="11" t="str">
        <f>VLOOKUP(C951,'mayo-26'!B:AS,44,0)</f>
        <v>Iduque@mac-center.com</v>
      </c>
      <c r="AT951" s="12" t="str">
        <f>VLOOKUP(C951,'mayo-26'!B:AT,45,0)</f>
        <v>VERIFICADOR</v>
      </c>
    </row>
    <row r="952" ht="14.25" customHeight="1">
      <c r="A952" s="20" t="s">
        <v>1968</v>
      </c>
      <c r="B952" s="20">
        <v>662.0</v>
      </c>
      <c r="C952" s="20">
        <v>661.0</v>
      </c>
      <c r="D952" s="21">
        <v>661.0</v>
      </c>
      <c r="E952" s="20">
        <v>9.0290705E7</v>
      </c>
      <c r="F952" s="20">
        <v>9.0290705E7</v>
      </c>
      <c r="G952" s="20" t="s">
        <v>1704</v>
      </c>
      <c r="H952" s="20" t="s">
        <v>1969</v>
      </c>
      <c r="I952" s="1" t="str">
        <f>VLOOKUP(C952,'mayo-26'!B:H,7,0)</f>
        <v>L23-24 CC JARDIN PLAZA</v>
      </c>
      <c r="J952" s="1" t="s">
        <v>1450</v>
      </c>
      <c r="K952" s="10" t="str">
        <f>VLOOKUP(C952,'mayo-26'!B:J,9,0)</f>
        <v>JARDIN PLAZA</v>
      </c>
      <c r="L952" s="1" t="str">
        <f>VLOOKUP(C952,'mayo-26'!B:K,10,0)</f>
        <v>CUERO VELEZ</v>
      </c>
      <c r="M952" s="20" t="s">
        <v>52</v>
      </c>
      <c r="N952" s="20" t="s">
        <v>89</v>
      </c>
      <c r="O952" s="20" t="s">
        <v>861</v>
      </c>
      <c r="P952" s="20" t="s">
        <v>126</v>
      </c>
      <c r="Q952" s="20" t="s">
        <v>56</v>
      </c>
      <c r="R952" s="20" t="s">
        <v>90</v>
      </c>
      <c r="S952" s="20" t="s">
        <v>143</v>
      </c>
      <c r="T952" s="20" t="s">
        <v>59</v>
      </c>
      <c r="U952" s="20">
        <v>2026.0</v>
      </c>
      <c r="V952" s="20">
        <v>6.0</v>
      </c>
      <c r="W952" s="20">
        <v>1.081875615E9</v>
      </c>
      <c r="X952" s="20">
        <v>1.081894087E9</v>
      </c>
      <c r="Y952" s="22">
        <v>46182.0</v>
      </c>
      <c r="Z952" s="22">
        <v>46207.0</v>
      </c>
      <c r="AA952" s="20">
        <v>127633.51</v>
      </c>
      <c r="AB952" s="20">
        <v>127633.51</v>
      </c>
      <c r="AC952" s="20">
        <v>42544.51</v>
      </c>
      <c r="AD952" s="20">
        <v>250.0</v>
      </c>
      <c r="AE952" s="20">
        <v>0.0</v>
      </c>
      <c r="AF952" s="20">
        <v>0.0</v>
      </c>
      <c r="AG952" s="20">
        <v>0.0</v>
      </c>
      <c r="AH952" s="20">
        <v>0.0</v>
      </c>
      <c r="AI952" s="20">
        <v>0.0</v>
      </c>
      <c r="AJ952" s="20">
        <v>127633.51</v>
      </c>
      <c r="AK952" s="20">
        <v>127633.51</v>
      </c>
      <c r="AL952" s="20">
        <v>0.0</v>
      </c>
      <c r="AM952" s="20">
        <v>376.2</v>
      </c>
      <c r="AN952" s="20">
        <v>0.0</v>
      </c>
      <c r="AS952" s="11" t="str">
        <f>VLOOKUP(C952,'mayo-26'!B:AS,44,0)</f>
        <v>PSVALENCIA@CUEROSVELEZ.COM</v>
      </c>
      <c r="AT952" s="12" t="str">
        <f>VLOOKUP(C952,'mayo-26'!B:AT,45,0)</f>
        <v>VERIFICADOR</v>
      </c>
    </row>
    <row r="953" ht="14.25" customHeight="1">
      <c r="A953" s="20" t="s">
        <v>1970</v>
      </c>
      <c r="B953" s="20">
        <v>666.0</v>
      </c>
      <c r="C953" s="20">
        <v>665.0</v>
      </c>
      <c r="D953" s="21">
        <v>665.0</v>
      </c>
      <c r="E953" s="20">
        <v>9.0290709E7</v>
      </c>
      <c r="F953" s="20">
        <v>9.0290709E7</v>
      </c>
      <c r="G953" s="20" t="s">
        <v>1971</v>
      </c>
      <c r="H953" s="20" t="s">
        <v>1972</v>
      </c>
      <c r="I953" s="1" t="str">
        <f>VLOOKUP(C953,'mayo-26'!B:H,7,0)</f>
        <v>K28 CC JARDIN PLAZA</v>
      </c>
      <c r="J953" s="1" t="s">
        <v>991</v>
      </c>
      <c r="K953" s="10" t="str">
        <f>VLOOKUP(C953,'mayo-26'!B:J,9,0)</f>
        <v>JARDIN PLAZA</v>
      </c>
      <c r="L953" s="1" t="str">
        <f>VLOOKUP(C953,'mayo-26'!B:K,10,0)</f>
        <v>JARDIN PLAZA</v>
      </c>
      <c r="M953" s="20" t="s">
        <v>52</v>
      </c>
      <c r="N953" s="20" t="s">
        <v>89</v>
      </c>
      <c r="O953" s="20" t="s">
        <v>861</v>
      </c>
      <c r="P953" s="20" t="s">
        <v>126</v>
      </c>
      <c r="Q953" s="20" t="s">
        <v>56</v>
      </c>
      <c r="R953" s="20" t="s">
        <v>90</v>
      </c>
      <c r="S953" s="20" t="s">
        <v>143</v>
      </c>
      <c r="T953" s="20" t="s">
        <v>59</v>
      </c>
      <c r="U953" s="20">
        <v>2026.0</v>
      </c>
      <c r="V953" s="20">
        <v>6.0</v>
      </c>
      <c r="W953" s="20">
        <v>1.081875619E9</v>
      </c>
      <c r="X953" s="20">
        <v>1.081894091E9</v>
      </c>
      <c r="Y953" s="22">
        <v>46182.0</v>
      </c>
      <c r="Z953" s="22">
        <v>46207.0</v>
      </c>
      <c r="AA953" s="20">
        <v>198795.0</v>
      </c>
      <c r="AB953" s="20">
        <v>198795.0</v>
      </c>
      <c r="AC953" s="20">
        <v>66265.0</v>
      </c>
      <c r="AD953" s="20">
        <v>500.0</v>
      </c>
      <c r="AE953" s="20">
        <v>0.0</v>
      </c>
      <c r="AF953" s="20">
        <v>0.0</v>
      </c>
      <c r="AG953" s="20">
        <v>0.0</v>
      </c>
      <c r="AH953" s="20">
        <v>0.0</v>
      </c>
      <c r="AI953" s="20">
        <v>0.0</v>
      </c>
      <c r="AJ953" s="20">
        <v>198795.0</v>
      </c>
      <c r="AK953" s="20">
        <v>398396.25</v>
      </c>
      <c r="AL953" s="20">
        <v>1.0</v>
      </c>
      <c r="AM953" s="20">
        <v>376.2</v>
      </c>
      <c r="AN953" s="20">
        <v>0.0</v>
      </c>
      <c r="AS953" s="11" t="str">
        <f>VLOOKUP(C953,'mayo-26'!B:AS,44,0)</f>
        <v>ASISTENTECONTABLE3@INVERVAN.COM;YBARRETO@INVERVAN.COM</v>
      </c>
      <c r="AT953" s="12" t="str">
        <f>VLOOKUP(C953,'mayo-26'!B:AT,45,0)</f>
        <v>VERIFICADOR</v>
      </c>
    </row>
    <row r="954" ht="14.25" customHeight="1">
      <c r="A954" s="20" t="s">
        <v>1973</v>
      </c>
      <c r="B954" s="20">
        <v>670.0</v>
      </c>
      <c r="C954" s="20">
        <v>669.0</v>
      </c>
      <c r="D954" s="21">
        <v>669.0</v>
      </c>
      <c r="E954" s="20">
        <v>9.0290713E7</v>
      </c>
      <c r="F954" s="20">
        <v>9.0290713E7</v>
      </c>
      <c r="G954" s="20" t="s">
        <v>212</v>
      </c>
      <c r="H954" s="20" t="s">
        <v>213</v>
      </c>
      <c r="I954" s="1" t="str">
        <f>VLOOKUP(C954,'mayo-26'!B:H,7,0)</f>
        <v>A11 CC JARDIN PLAZA</v>
      </c>
      <c r="J954" s="1" t="s">
        <v>991</v>
      </c>
      <c r="K954" s="10" t="str">
        <f>VLOOKUP(C954,'mayo-26'!B:J,9,0)</f>
        <v>JARDIN PLAZA</v>
      </c>
      <c r="L954" s="1" t="str">
        <f>VLOOKUP(C954,'mayo-26'!B:K,10,0)</f>
        <v>JARDIN PLAZA</v>
      </c>
      <c r="M954" s="20" t="s">
        <v>52</v>
      </c>
      <c r="N954" s="20" t="s">
        <v>53</v>
      </c>
      <c r="O954" s="20" t="s">
        <v>861</v>
      </c>
      <c r="P954" s="20" t="s">
        <v>126</v>
      </c>
      <c r="Q954" s="20" t="s">
        <v>56</v>
      </c>
      <c r="R954" s="20" t="s">
        <v>90</v>
      </c>
      <c r="S954" s="20" t="s">
        <v>143</v>
      </c>
      <c r="T954" s="20" t="s">
        <v>59</v>
      </c>
      <c r="U954" s="20">
        <v>2026.0</v>
      </c>
      <c r="V954" s="20">
        <v>6.0</v>
      </c>
      <c r="W954" s="20">
        <v>1.081875623E9</v>
      </c>
      <c r="X954" s="20">
        <v>1.081894095E9</v>
      </c>
      <c r="Y954" s="22">
        <v>46182.0</v>
      </c>
      <c r="Z954" s="22">
        <v>46207.0</v>
      </c>
      <c r="AA954" s="20">
        <v>3756870.0</v>
      </c>
      <c r="AB954" s="20">
        <v>3756870.0</v>
      </c>
      <c r="AC954" s="20">
        <v>1252290.0</v>
      </c>
      <c r="AD954" s="20">
        <v>13000.0</v>
      </c>
      <c r="AE954" s="20">
        <v>0.0</v>
      </c>
      <c r="AF954" s="20">
        <v>0.0</v>
      </c>
      <c r="AG954" s="20">
        <v>0.0</v>
      </c>
      <c r="AH954" s="20">
        <v>0.0</v>
      </c>
      <c r="AI954" s="20">
        <v>0.0</v>
      </c>
      <c r="AJ954" s="20">
        <v>3756870.0</v>
      </c>
      <c r="AK954" s="20">
        <v>3756870.0</v>
      </c>
      <c r="AL954" s="20">
        <v>0.0</v>
      </c>
      <c r="AM954" s="20">
        <v>376.2</v>
      </c>
      <c r="AN954" s="20">
        <v>0.0</v>
      </c>
      <c r="AS954" s="11" t="str">
        <f>VLOOKUP(C954,'mayo-26'!B:AS,44,0)</f>
        <v>MULTICINEJARDINPLAZACUCUTA@ROYAL.FILMS.COM</v>
      </c>
      <c r="AT954" s="12" t="str">
        <f>VLOOKUP(C954,'mayo-26'!B:AT,45,0)</f>
        <v>VERIFICADOR</v>
      </c>
    </row>
    <row r="955" ht="14.25" customHeight="1">
      <c r="A955" s="20" t="s">
        <v>1974</v>
      </c>
      <c r="B955" s="20">
        <v>674.0</v>
      </c>
      <c r="C955" s="20">
        <v>673.0</v>
      </c>
      <c r="D955" s="21">
        <v>673.0</v>
      </c>
      <c r="E955" s="20">
        <v>9.0290718E7</v>
      </c>
      <c r="F955" s="20">
        <v>9.0290718E7</v>
      </c>
      <c r="G955" s="20">
        <v>7.0692489E7</v>
      </c>
      <c r="H955" s="20" t="s">
        <v>1975</v>
      </c>
      <c r="I955" s="1" t="str">
        <f>VLOOKUP(C955,'mayo-26'!B:H,7,0)</f>
        <v>CLL 7 9-18 LOC - 0290718</v>
      </c>
      <c r="J955" s="1" t="s">
        <v>860</v>
      </c>
      <c r="K955" s="10" t="str">
        <f>VLOOKUP(C955,'mayo-26'!B:J,9,0)</f>
        <v>NO</v>
      </c>
      <c r="L955" s="1" t="str">
        <f>VLOOKUP(C955,'mayo-26'!B:K,10,0)</f>
        <v>NO</v>
      </c>
      <c r="M955" s="20" t="s">
        <v>52</v>
      </c>
      <c r="N955" s="20" t="s">
        <v>89</v>
      </c>
      <c r="O955" s="20" t="s">
        <v>861</v>
      </c>
      <c r="P955" s="20" t="s">
        <v>126</v>
      </c>
      <c r="Q955" s="20" t="s">
        <v>131</v>
      </c>
      <c r="R955" s="20" t="s">
        <v>132</v>
      </c>
      <c r="S955" s="20" t="s">
        <v>133</v>
      </c>
      <c r="T955" s="20" t="s">
        <v>59</v>
      </c>
      <c r="U955" s="20">
        <v>2026.0</v>
      </c>
      <c r="V955" s="20">
        <v>6.0</v>
      </c>
      <c r="W955" s="20">
        <v>1.081875627E9</v>
      </c>
      <c r="X955" s="20">
        <v>1.081894099E9</v>
      </c>
      <c r="Y955" s="22">
        <v>46182.0</v>
      </c>
      <c r="Z955" s="22">
        <v>46207.0</v>
      </c>
      <c r="AA955" s="20">
        <v>113128.5</v>
      </c>
      <c r="AB955" s="20">
        <v>113128.5</v>
      </c>
      <c r="AC955" s="20">
        <v>37709.5</v>
      </c>
      <c r="AD955" s="20">
        <v>0.0</v>
      </c>
      <c r="AE955" s="20">
        <v>0.0</v>
      </c>
      <c r="AF955" s="20">
        <v>0.0</v>
      </c>
      <c r="AG955" s="20">
        <v>0.0</v>
      </c>
      <c r="AH955" s="20">
        <v>0.0</v>
      </c>
      <c r="AI955" s="20">
        <v>0.0</v>
      </c>
      <c r="AJ955" s="20">
        <v>113128.5</v>
      </c>
      <c r="AK955" s="20">
        <v>113129.0</v>
      </c>
      <c r="AL955" s="20">
        <v>1.0</v>
      </c>
      <c r="AM955" s="20">
        <v>376.2</v>
      </c>
      <c r="AN955" s="20">
        <v>0.0</v>
      </c>
      <c r="AS955" s="11" t="str">
        <f>VLOOKUP(C955,'mayo-26'!B:AS,44,0)</f>
        <v>duquegiraldo29@hotmail.com</v>
      </c>
      <c r="AT955" s="12" t="str">
        <f>VLOOKUP(C955,'mayo-26'!B:AT,45,0)</f>
        <v>CORREO ELECTRONICO CERTIFICADO 472</v>
      </c>
    </row>
    <row r="956" ht="14.25" customHeight="1">
      <c r="A956" s="20" t="s">
        <v>1976</v>
      </c>
      <c r="B956" s="20">
        <v>678.0</v>
      </c>
      <c r="C956" s="20">
        <v>677.0</v>
      </c>
      <c r="D956" s="21">
        <v>677.0</v>
      </c>
      <c r="E956" s="20">
        <v>9.0290743E7</v>
      </c>
      <c r="F956" s="20">
        <v>9.0290743E7</v>
      </c>
      <c r="G956" s="20">
        <v>6.0367249E7</v>
      </c>
      <c r="H956" s="20" t="s">
        <v>1977</v>
      </c>
      <c r="I956" s="1" t="str">
        <f>VLOOKUP(C956,'mayo-26'!B:H,7,0)</f>
        <v>R9 CC JARDIN PLAZA</v>
      </c>
      <c r="J956" s="1" t="s">
        <v>76</v>
      </c>
      <c r="K956" s="10" t="str">
        <f>VLOOKUP(C956,'mayo-26'!B:J,9,0)</f>
        <v>JARDIN PLAZA</v>
      </c>
      <c r="L956" s="1" t="str">
        <f>VLOOKUP(C956,'mayo-26'!B:K,10,0)</f>
        <v>JARDIN PLAZA</v>
      </c>
      <c r="M956" s="20" t="s">
        <v>52</v>
      </c>
      <c r="N956" s="20" t="s">
        <v>89</v>
      </c>
      <c r="O956" s="20" t="s">
        <v>861</v>
      </c>
      <c r="P956" s="20" t="s">
        <v>126</v>
      </c>
      <c r="Q956" s="20" t="s">
        <v>56</v>
      </c>
      <c r="R956" s="20" t="s">
        <v>90</v>
      </c>
      <c r="S956" s="20" t="s">
        <v>143</v>
      </c>
      <c r="T956" s="20" t="s">
        <v>59</v>
      </c>
      <c r="U956" s="20">
        <v>2026.0</v>
      </c>
      <c r="V956" s="20">
        <v>6.0</v>
      </c>
      <c r="W956" s="20">
        <v>1.081875629E9</v>
      </c>
      <c r="X956" s="20">
        <v>1.081894101E9</v>
      </c>
      <c r="Y956" s="22">
        <v>46182.0</v>
      </c>
      <c r="Z956" s="22">
        <v>46207.0</v>
      </c>
      <c r="AA956" s="20">
        <v>385238.16</v>
      </c>
      <c r="AB956" s="20">
        <v>385238.16</v>
      </c>
      <c r="AC956" s="20">
        <v>128412.73</v>
      </c>
      <c r="AD956" s="20">
        <v>1155.0</v>
      </c>
      <c r="AE956" s="20">
        <v>0.0</v>
      </c>
      <c r="AF956" s="20">
        <v>0.0</v>
      </c>
      <c r="AG956" s="20">
        <v>0.0</v>
      </c>
      <c r="AH956" s="20">
        <v>0.0</v>
      </c>
      <c r="AI956" s="20">
        <v>0.0</v>
      </c>
      <c r="AJ956" s="20">
        <v>385238.16</v>
      </c>
      <c r="AK956" s="20">
        <v>385238.16</v>
      </c>
      <c r="AL956" s="20">
        <v>0.0</v>
      </c>
      <c r="AM956" s="20">
        <v>376.2</v>
      </c>
      <c r="AN956" s="20">
        <v>0.0</v>
      </c>
      <c r="AS956" s="11" t="str">
        <f>VLOOKUP(C956,'mayo-26'!B:AS,44,0)</f>
        <v>LONDEROSEXPRESS@HOTMAIL.COM</v>
      </c>
      <c r="AT956" s="12" t="str">
        <f>VLOOKUP(C956,'mayo-26'!B:AT,45,0)</f>
        <v>VERIFICADOR</v>
      </c>
    </row>
    <row r="957" ht="14.25" customHeight="1">
      <c r="A957" s="20" t="s">
        <v>1978</v>
      </c>
      <c r="B957" s="20">
        <v>682.0</v>
      </c>
      <c r="C957" s="20">
        <v>681.0</v>
      </c>
      <c r="D957" s="21">
        <v>681.0</v>
      </c>
      <c r="E957" s="20">
        <v>9.0290761E7</v>
      </c>
      <c r="F957" s="20">
        <v>9.0290761E7</v>
      </c>
      <c r="G957" s="20">
        <v>1.090461973E9</v>
      </c>
      <c r="H957" s="20" t="s">
        <v>1979</v>
      </c>
      <c r="I957" s="1" t="str">
        <f>VLOOKUP(C957,'mayo-26'!B:H,7,0)</f>
        <v>L 107 CC JARDIN PLAZA</v>
      </c>
      <c r="J957" s="1">
        <v>0.0</v>
      </c>
      <c r="K957" s="10" t="str">
        <f>VLOOKUP(C957,'mayo-26'!B:J,9,0)</f>
        <v>JARDIN PLAZA</v>
      </c>
      <c r="L957" s="1" t="str">
        <f>VLOOKUP(C957,'mayo-26'!B:K,10,0)</f>
        <v>JARDIN PLAZA</v>
      </c>
      <c r="M957" s="20" t="s">
        <v>52</v>
      </c>
      <c r="N957" s="20" t="s">
        <v>89</v>
      </c>
      <c r="O957" s="20" t="s">
        <v>861</v>
      </c>
      <c r="P957" s="20" t="s">
        <v>126</v>
      </c>
      <c r="Q957" s="20" t="s">
        <v>56</v>
      </c>
      <c r="R957" s="20" t="s">
        <v>90</v>
      </c>
      <c r="S957" s="20" t="s">
        <v>143</v>
      </c>
      <c r="T957" s="20" t="s">
        <v>59</v>
      </c>
      <c r="U957" s="20">
        <v>2026.0</v>
      </c>
      <c r="V957" s="20">
        <v>6.0</v>
      </c>
      <c r="W957" s="20">
        <v>1.081875634E9</v>
      </c>
      <c r="X957" s="20">
        <v>1.081894106E9</v>
      </c>
      <c r="Y957" s="22">
        <v>46182.0</v>
      </c>
      <c r="Z957" s="22">
        <v>46207.0</v>
      </c>
      <c r="AA957" s="20">
        <v>205057.21</v>
      </c>
      <c r="AB957" s="20">
        <v>205057.21</v>
      </c>
      <c r="AC957" s="20">
        <v>68352.41</v>
      </c>
      <c r="AD957" s="20">
        <v>522.0</v>
      </c>
      <c r="AE957" s="20">
        <v>0.0</v>
      </c>
      <c r="AF957" s="20">
        <v>0.0</v>
      </c>
      <c r="AG957" s="20">
        <v>0.0</v>
      </c>
      <c r="AH957" s="20">
        <v>0.0</v>
      </c>
      <c r="AI957" s="20">
        <v>0.0</v>
      </c>
      <c r="AJ957" s="20">
        <v>205057.21</v>
      </c>
      <c r="AK957" s="20">
        <v>205057.21</v>
      </c>
      <c r="AL957" s="20">
        <v>0.0</v>
      </c>
      <c r="AM957" s="20">
        <v>376.2</v>
      </c>
      <c r="AN957" s="20">
        <v>0.0</v>
      </c>
      <c r="AS957" s="11" t="str">
        <f>VLOOKUP(C957,'mayo-26'!B:AS,44,0)</f>
        <v>LACHURRASQUERIAJARDIN@GMAIL.COM;AUDITORIACHURRAJARDIN@GMAIL.COM</v>
      </c>
      <c r="AT957" s="12" t="str">
        <f>VLOOKUP(C957,'mayo-26'!B:AT,45,0)</f>
        <v>VERIFICADOR</v>
      </c>
    </row>
    <row r="958" ht="14.25" customHeight="1">
      <c r="A958" s="20" t="s">
        <v>1980</v>
      </c>
      <c r="B958" s="20">
        <v>686.0</v>
      </c>
      <c r="C958" s="20">
        <v>685.0</v>
      </c>
      <c r="D958" s="21">
        <v>685.0</v>
      </c>
      <c r="E958" s="20">
        <v>9.0290773E7</v>
      </c>
      <c r="F958" s="20">
        <v>9.0290773E7</v>
      </c>
      <c r="G958" s="20" t="s">
        <v>1938</v>
      </c>
      <c r="H958" s="20" t="s">
        <v>1939</v>
      </c>
      <c r="I958" s="1" t="str">
        <f>VLOOKUP(C958,'mayo-26'!B:H,7,0)</f>
        <v>CL 11 12 - 34</v>
      </c>
      <c r="J958" s="1" t="s">
        <v>860</v>
      </c>
      <c r="K958" s="10" t="str">
        <f>VLOOKUP(C958,'mayo-26'!B:J,9,0)</f>
        <v>NO</v>
      </c>
      <c r="L958" s="1" t="str">
        <f>VLOOKUP(C958,'mayo-26'!B:K,10,0)</f>
        <v>INDUSTRIA DE SUELAS LC</v>
      </c>
      <c r="M958" s="20" t="s">
        <v>52</v>
      </c>
      <c r="N958" s="20" t="s">
        <v>53</v>
      </c>
      <c r="O958" s="20" t="s">
        <v>861</v>
      </c>
      <c r="P958" s="20" t="s">
        <v>126</v>
      </c>
      <c r="Q958" s="20" t="s">
        <v>131</v>
      </c>
      <c r="R958" s="20" t="s">
        <v>538</v>
      </c>
      <c r="S958" s="20" t="s">
        <v>133</v>
      </c>
      <c r="T958" s="20" t="s">
        <v>59</v>
      </c>
      <c r="U958" s="20">
        <v>2026.0</v>
      </c>
      <c r="V958" s="20">
        <v>6.0</v>
      </c>
      <c r="W958" s="20">
        <v>1.081875639E9</v>
      </c>
      <c r="X958" s="20">
        <v>1.081894111E9</v>
      </c>
      <c r="Y958" s="22">
        <v>46182.0</v>
      </c>
      <c r="Z958" s="22">
        <v>46207.0</v>
      </c>
      <c r="AA958" s="20">
        <v>94248.0</v>
      </c>
      <c r="AB958" s="20">
        <v>94248.0</v>
      </c>
      <c r="AC958" s="20">
        <v>31416.0</v>
      </c>
      <c r="AD958" s="20">
        <v>0.0</v>
      </c>
      <c r="AE958" s="20">
        <v>0.0</v>
      </c>
      <c r="AF958" s="20">
        <v>0.0</v>
      </c>
      <c r="AG958" s="20">
        <v>0.0</v>
      </c>
      <c r="AH958" s="20">
        <v>0.0</v>
      </c>
      <c r="AI958" s="20">
        <v>0.0</v>
      </c>
      <c r="AJ958" s="20">
        <v>94248.0</v>
      </c>
      <c r="AK958" s="20">
        <v>94248.0</v>
      </c>
      <c r="AL958" s="20">
        <v>0.0</v>
      </c>
      <c r="AM958" s="20">
        <v>376.2</v>
      </c>
      <c r="AN958" s="20">
        <v>0.0</v>
      </c>
      <c r="AS958" s="11" t="str">
        <f>VLOOKUP(C958,'mayo-26'!B:AS,44,0)</f>
        <v>industriadesuelaslc@hotmail.com</v>
      </c>
      <c r="AT958" s="12" t="str">
        <f>VLOOKUP(C958,'mayo-26'!B:AT,45,0)</f>
        <v>CORREO ELECTRONICO CERTIFICADO 472</v>
      </c>
    </row>
    <row r="959" ht="14.25" customHeight="1">
      <c r="A959" s="20" t="s">
        <v>1981</v>
      </c>
      <c r="B959" s="20">
        <v>690.0</v>
      </c>
      <c r="C959" s="20">
        <v>689.0</v>
      </c>
      <c r="D959" s="21">
        <v>689.0</v>
      </c>
      <c r="E959" s="20">
        <v>9.0290849E7</v>
      </c>
      <c r="F959" s="20">
        <v>9.0290849E7</v>
      </c>
      <c r="G959" s="20">
        <v>8.90901672E8</v>
      </c>
      <c r="H959" s="20" t="s">
        <v>1982</v>
      </c>
      <c r="I959" s="1" t="str">
        <f>VLOOKUP(C959,'mayo-26'!B:H,7,0)</f>
        <v>L26 CC JARDIN PLAZA</v>
      </c>
      <c r="J959" s="1" t="s">
        <v>991</v>
      </c>
      <c r="K959" s="10" t="str">
        <f>VLOOKUP(C959,'mayo-26'!B:J,9,0)</f>
        <v>JARDIN PLAZA</v>
      </c>
      <c r="L959" s="1" t="str">
        <f>VLOOKUP(C959,'mayo-26'!B:K,10,0)</f>
        <v>VERTEBRA</v>
      </c>
      <c r="M959" s="20" t="s">
        <v>52</v>
      </c>
      <c r="N959" s="20" t="s">
        <v>89</v>
      </c>
      <c r="O959" s="20" t="s">
        <v>861</v>
      </c>
      <c r="P959" s="20" t="s">
        <v>126</v>
      </c>
      <c r="Q959" s="20" t="s">
        <v>56</v>
      </c>
      <c r="R959" s="20" t="s">
        <v>90</v>
      </c>
      <c r="S959" s="20" t="s">
        <v>143</v>
      </c>
      <c r="T959" s="20" t="s">
        <v>59</v>
      </c>
      <c r="U959" s="20">
        <v>2026.0</v>
      </c>
      <c r="V959" s="20">
        <v>6.0</v>
      </c>
      <c r="W959" s="20">
        <v>1.081875643E9</v>
      </c>
      <c r="X959" s="20">
        <v>1.081894115E9</v>
      </c>
      <c r="Y959" s="22">
        <v>46182.0</v>
      </c>
      <c r="Z959" s="22">
        <v>46207.0</v>
      </c>
      <c r="AA959" s="20">
        <v>127633.51</v>
      </c>
      <c r="AB959" s="20">
        <v>127633.51</v>
      </c>
      <c r="AC959" s="20">
        <v>42544.51</v>
      </c>
      <c r="AD959" s="20">
        <v>250.0</v>
      </c>
      <c r="AE959" s="20">
        <v>0.0</v>
      </c>
      <c r="AF959" s="20">
        <v>0.0</v>
      </c>
      <c r="AG959" s="20">
        <v>0.0</v>
      </c>
      <c r="AH959" s="20">
        <v>0.0</v>
      </c>
      <c r="AI959" s="20">
        <v>0.0</v>
      </c>
      <c r="AJ959" s="20">
        <v>127633.51</v>
      </c>
      <c r="AK959" s="20">
        <v>127633.51</v>
      </c>
      <c r="AL959" s="20">
        <v>0.0</v>
      </c>
      <c r="AM959" s="20">
        <v>376.2</v>
      </c>
      <c r="AN959" s="20">
        <v>0.0</v>
      </c>
      <c r="AS959" s="11" t="str">
        <f>VLOOKUP(C959,'mayo-26'!B:AS,44,0)</f>
        <v>FACTURAS@VERTEBRA.TECH</v>
      </c>
      <c r="AT959" s="12" t="str">
        <f>VLOOKUP(C959,'mayo-26'!B:AT,45,0)</f>
        <v>VERIFICADOR</v>
      </c>
    </row>
    <row r="960" ht="14.25" customHeight="1">
      <c r="A960" s="20" t="s">
        <v>1983</v>
      </c>
      <c r="B960" s="20">
        <v>694.0</v>
      </c>
      <c r="C960" s="20">
        <v>693.0</v>
      </c>
      <c r="D960" s="21">
        <v>693.0</v>
      </c>
      <c r="E960" s="20">
        <v>9.0290853E7</v>
      </c>
      <c r="F960" s="20">
        <v>9.0290853E7</v>
      </c>
      <c r="G960" s="20">
        <v>9.00415529E8</v>
      </c>
      <c r="H960" s="20" t="s">
        <v>1984</v>
      </c>
      <c r="I960" s="1" t="str">
        <f>VLOOKUP(C960,'mayo-26'!B:H,7,0)</f>
        <v>R16 CC JARDIN PLAZA</v>
      </c>
      <c r="J960" s="1" t="s">
        <v>991</v>
      </c>
      <c r="K960" s="10" t="str">
        <f>VLOOKUP(C960,'mayo-26'!B:J,9,0)</f>
        <v>JARDIN PLAZA</v>
      </c>
      <c r="L960" s="1" t="str">
        <f>VLOOKUP(C960,'mayo-26'!B:K,10,0)</f>
        <v>JARDIN PLAZA</v>
      </c>
      <c r="M960" s="20" t="s">
        <v>52</v>
      </c>
      <c r="N960" s="20" t="s">
        <v>89</v>
      </c>
      <c r="O960" s="20" t="s">
        <v>861</v>
      </c>
      <c r="P960" s="20" t="s">
        <v>126</v>
      </c>
      <c r="Q960" s="20" t="s">
        <v>56</v>
      </c>
      <c r="R960" s="20" t="s">
        <v>90</v>
      </c>
      <c r="S960" s="20" t="s">
        <v>143</v>
      </c>
      <c r="T960" s="20" t="s">
        <v>59</v>
      </c>
      <c r="U960" s="20">
        <v>2026.0</v>
      </c>
      <c r="V960" s="20">
        <v>6.0</v>
      </c>
      <c r="W960" s="20">
        <v>1.081875647E9</v>
      </c>
      <c r="X960" s="20">
        <v>1.081894119E9</v>
      </c>
      <c r="Y960" s="22">
        <v>46182.0</v>
      </c>
      <c r="Z960" s="22">
        <v>46207.0</v>
      </c>
      <c r="AA960" s="20">
        <v>378580.46</v>
      </c>
      <c r="AB960" s="20">
        <v>378580.46</v>
      </c>
      <c r="AC960" s="20">
        <v>84577.23</v>
      </c>
      <c r="AD960" s="20">
        <v>693.0</v>
      </c>
      <c r="AE960" s="20">
        <v>124848.78</v>
      </c>
      <c r="AF960" s="20">
        <v>0.0</v>
      </c>
      <c r="AG960" s="20">
        <v>0.0</v>
      </c>
      <c r="AH960" s="20">
        <v>0.0</v>
      </c>
      <c r="AI960" s="20">
        <v>0.0</v>
      </c>
      <c r="AJ960" s="20">
        <v>378580.46</v>
      </c>
      <c r="AK960" s="20">
        <v>9089649.69</v>
      </c>
      <c r="AL960" s="20">
        <v>30.0</v>
      </c>
      <c r="AM960" s="20">
        <v>376.2</v>
      </c>
      <c r="AN960" s="20">
        <v>0.0</v>
      </c>
      <c r="AS960" s="11" t="str">
        <f>VLOOKUP(C960,'mayo-26'!B:AS,44,0)</f>
        <v>LOYSA88@YAHOO.ES</v>
      </c>
      <c r="AT960" s="12" t="str">
        <f>VLOOKUP(C960,'mayo-26'!B:AT,45,0)</f>
        <v>VERIFICADOR</v>
      </c>
    </row>
    <row r="961" ht="14.25" customHeight="1">
      <c r="A961" s="20" t="s">
        <v>1985</v>
      </c>
      <c r="B961" s="20">
        <v>698.0</v>
      </c>
      <c r="C961" s="20">
        <v>697.0</v>
      </c>
      <c r="D961" s="21">
        <v>697.0</v>
      </c>
      <c r="E961" s="20">
        <v>9.0291512E7</v>
      </c>
      <c r="F961" s="20">
        <v>9.0291512E7</v>
      </c>
      <c r="G961" s="20">
        <v>3.7244099E7</v>
      </c>
      <c r="H961" s="20" t="s">
        <v>1986</v>
      </c>
      <c r="I961" s="1" t="str">
        <f>VLOOKUP(C961,'mayo-26'!B:H,7,0)</f>
        <v>CLL 10 #0E-51 LOC. 356 CC VENTURA</v>
      </c>
      <c r="J961" s="1" t="s">
        <v>982</v>
      </c>
      <c r="K961" s="10" t="str">
        <f>VLOOKUP(C961,'mayo-26'!B:J,9,0)</f>
        <v>NO</v>
      </c>
      <c r="L961" s="1" t="str">
        <f>VLOOKUP(C961,'mayo-26'!B:K,10,0)</f>
        <v>FRISBY S.A</v>
      </c>
      <c r="M961" s="20" t="s">
        <v>52</v>
      </c>
      <c r="N961" s="20" t="s">
        <v>89</v>
      </c>
      <c r="O961" s="20" t="s">
        <v>861</v>
      </c>
      <c r="P961" s="20" t="s">
        <v>126</v>
      </c>
      <c r="Q961" s="20" t="s">
        <v>131</v>
      </c>
      <c r="R961" s="20" t="s">
        <v>132</v>
      </c>
      <c r="S961" s="20" t="s">
        <v>133</v>
      </c>
      <c r="T961" s="20" t="s">
        <v>59</v>
      </c>
      <c r="U961" s="20">
        <v>2026.0</v>
      </c>
      <c r="V961" s="20">
        <v>6.0</v>
      </c>
      <c r="W961" s="20">
        <v>1.081875653E9</v>
      </c>
      <c r="X961" s="20">
        <v>1.081894125E9</v>
      </c>
      <c r="Y961" s="22">
        <v>46182.0</v>
      </c>
      <c r="Z961" s="22">
        <v>46207.0</v>
      </c>
      <c r="AA961" s="20">
        <v>113128.5</v>
      </c>
      <c r="AB961" s="20">
        <v>113128.5</v>
      </c>
      <c r="AC961" s="20">
        <v>37709.5</v>
      </c>
      <c r="AD961" s="20">
        <v>0.0</v>
      </c>
      <c r="AE961" s="20">
        <v>0.0</v>
      </c>
      <c r="AF961" s="20">
        <v>0.0</v>
      </c>
      <c r="AG961" s="20">
        <v>0.0</v>
      </c>
      <c r="AH961" s="20">
        <v>0.0</v>
      </c>
      <c r="AI961" s="20">
        <v>0.0</v>
      </c>
      <c r="AJ961" s="20">
        <v>113128.5</v>
      </c>
      <c r="AK961" s="20">
        <v>113129.0</v>
      </c>
      <c r="AL961" s="20">
        <v>1.0</v>
      </c>
      <c r="AM961" s="20">
        <v>376.2</v>
      </c>
      <c r="AN961" s="20">
        <v>0.0</v>
      </c>
      <c r="AS961" s="11" t="str">
        <f>VLOOKUP(C961,'mayo-26'!B:AS,44,0)</f>
        <v>MTORO@FRISBY.COM.CO</v>
      </c>
      <c r="AT961" s="12" t="str">
        <f>VLOOKUP(C961,'mayo-26'!B:AT,45,0)</f>
        <v>CORREO ELECTRONICO CERTIFICADO 472</v>
      </c>
    </row>
    <row r="962" ht="14.25" customHeight="1">
      <c r="A962" s="20" t="s">
        <v>1987</v>
      </c>
      <c r="B962" s="20">
        <v>702.0</v>
      </c>
      <c r="C962" s="20">
        <v>701.0</v>
      </c>
      <c r="D962" s="21">
        <v>701.0</v>
      </c>
      <c r="E962" s="20">
        <v>9.0291874E7</v>
      </c>
      <c r="F962" s="20">
        <v>9.0291874E7</v>
      </c>
      <c r="G962" s="20" t="s">
        <v>1988</v>
      </c>
      <c r="H962" s="20" t="s">
        <v>1989</v>
      </c>
      <c r="I962" s="1" t="str">
        <f>VLOOKUP(C962,'mayo-26'!B:H,7,0)</f>
        <v>L81 CC JARDIN PLAZA</v>
      </c>
      <c r="J962" s="1" t="s">
        <v>991</v>
      </c>
      <c r="K962" s="10" t="str">
        <f>VLOOKUP(C962,'mayo-26'!B:J,9,0)</f>
        <v>JARDIN PLAZA</v>
      </c>
      <c r="L962" s="1" t="str">
        <f>VLOOKUP(C962,'mayo-26'!B:K,10,0)</f>
        <v>JARDIN PLAZA</v>
      </c>
      <c r="M962" s="20" t="s">
        <v>52</v>
      </c>
      <c r="N962" s="20" t="s">
        <v>89</v>
      </c>
      <c r="O962" s="20" t="s">
        <v>861</v>
      </c>
      <c r="P962" s="20" t="s">
        <v>126</v>
      </c>
      <c r="Q962" s="20" t="s">
        <v>131</v>
      </c>
      <c r="R962" s="20" t="s">
        <v>132</v>
      </c>
      <c r="S962" s="20" t="s">
        <v>133</v>
      </c>
      <c r="T962" s="20" t="s">
        <v>163</v>
      </c>
      <c r="U962" s="20">
        <v>2026.0</v>
      </c>
      <c r="V962" s="20">
        <v>6.0</v>
      </c>
      <c r="W962" s="20">
        <v>1.081875657E9</v>
      </c>
      <c r="X962" s="20">
        <v>1.081894129E9</v>
      </c>
      <c r="Y962" s="22">
        <v>46182.0</v>
      </c>
      <c r="Z962" s="22">
        <v>46207.0</v>
      </c>
      <c r="AA962" s="20">
        <v>56481.87</v>
      </c>
      <c r="AB962" s="20">
        <v>56481.87</v>
      </c>
      <c r="AC962" s="20">
        <v>18616.0</v>
      </c>
      <c r="AD962" s="20">
        <v>0.0</v>
      </c>
      <c r="AE962" s="20">
        <v>633.87</v>
      </c>
      <c r="AF962" s="20">
        <v>0.0</v>
      </c>
      <c r="AG962" s="20">
        <v>0.0</v>
      </c>
      <c r="AH962" s="20">
        <v>0.0</v>
      </c>
      <c r="AI962" s="20">
        <v>0.0</v>
      </c>
      <c r="AJ962" s="20">
        <v>56481.87</v>
      </c>
      <c r="AK962" s="20">
        <v>169595.37</v>
      </c>
      <c r="AL962" s="20">
        <v>2.0</v>
      </c>
      <c r="AM962" s="20">
        <v>376.2</v>
      </c>
      <c r="AN962" s="20">
        <v>0.0</v>
      </c>
      <c r="AS962" s="11" t="str">
        <f>VLOOKUP(C962,'mayo-26'!B:AS,44,0)</f>
        <v>AUXILIARADMON2.INFASHION@GMAIL.COM;ADMON@INFASHIONGROUP.COM</v>
      </c>
      <c r="AT962" s="12" t="str">
        <f>VLOOKUP(C962,'mayo-26'!B:AT,45,0)</f>
        <v>VERIFICADOR</v>
      </c>
    </row>
    <row r="963" ht="14.25" customHeight="1">
      <c r="A963" s="20" t="s">
        <v>1990</v>
      </c>
      <c r="B963" s="20">
        <v>95890.0</v>
      </c>
      <c r="C963" s="20">
        <v>95889.0</v>
      </c>
      <c r="D963" s="21">
        <v>95889.0</v>
      </c>
      <c r="E963" s="20">
        <v>457614.0</v>
      </c>
      <c r="F963" s="20">
        <v>457614.0</v>
      </c>
      <c r="G963" s="20" t="s">
        <v>1707</v>
      </c>
      <c r="H963" s="20" t="s">
        <v>1991</v>
      </c>
      <c r="I963" s="1" t="str">
        <f>VLOOKUP(C963,'mayo-26'!B:H,7,0)</f>
        <v>CLL 10 0E-51 LOCAL 230 VENTURA</v>
      </c>
      <c r="J963" s="1" t="s">
        <v>942</v>
      </c>
      <c r="K963" s="10" t="str">
        <f>VLOOKUP(C963,'mayo-26'!B:J,9,0)</f>
        <v>NO</v>
      </c>
      <c r="L963" s="1" t="str">
        <f>VLOOKUP(C963,'mayo-26'!B:K,10,0)</f>
        <v>NO</v>
      </c>
      <c r="M963" s="20" t="s">
        <v>52</v>
      </c>
      <c r="N963" s="20" t="s">
        <v>89</v>
      </c>
      <c r="O963" s="20" t="s">
        <v>861</v>
      </c>
      <c r="P963" s="20" t="s">
        <v>126</v>
      </c>
      <c r="Q963" s="20" t="s">
        <v>131</v>
      </c>
      <c r="R963" s="20" t="s">
        <v>132</v>
      </c>
      <c r="S963" s="20" t="s">
        <v>133</v>
      </c>
      <c r="T963" s="20" t="s">
        <v>59</v>
      </c>
      <c r="U963" s="20">
        <v>2026.0</v>
      </c>
      <c r="V963" s="20">
        <v>6.0</v>
      </c>
      <c r="W963" s="20">
        <v>1.081875727E9</v>
      </c>
      <c r="X963" s="20">
        <v>1.081894199E9</v>
      </c>
      <c r="Y963" s="22">
        <v>46182.0</v>
      </c>
      <c r="Z963" s="22">
        <v>46207.0</v>
      </c>
      <c r="AA963" s="20">
        <v>113128.5</v>
      </c>
      <c r="AB963" s="20">
        <v>113128.5</v>
      </c>
      <c r="AC963" s="20">
        <v>37709.5</v>
      </c>
      <c r="AD963" s="20">
        <v>0.0</v>
      </c>
      <c r="AE963" s="20">
        <v>0.0</v>
      </c>
      <c r="AF963" s="20">
        <v>0.0</v>
      </c>
      <c r="AG963" s="20">
        <v>0.0</v>
      </c>
      <c r="AH963" s="20">
        <v>0.0</v>
      </c>
      <c r="AI963" s="20">
        <v>0.0</v>
      </c>
      <c r="AJ963" s="20">
        <v>113128.5</v>
      </c>
      <c r="AK963" s="20">
        <v>113129.0</v>
      </c>
      <c r="AL963" s="20">
        <v>1.0</v>
      </c>
      <c r="AM963" s="20">
        <v>376.2</v>
      </c>
      <c r="AN963" s="20">
        <v>0.0</v>
      </c>
      <c r="AS963" s="11" t="str">
        <f>VLOOKUP(C963,'mayo-26'!B:AS,44,0)</f>
        <v>LVCUCUTA014@SAFELAGROUP.COM.CO</v>
      </c>
      <c r="AT963" s="12" t="str">
        <f>VLOOKUP(C963,'mayo-26'!B:AT,45,0)</f>
        <v>CORREO ELECTRONICO CERTIFICADO 472</v>
      </c>
    </row>
    <row r="964" ht="14.25" customHeight="1">
      <c r="A964" s="20" t="s">
        <v>1992</v>
      </c>
      <c r="B964" s="20">
        <v>95946.0</v>
      </c>
      <c r="C964" s="20">
        <v>95945.0</v>
      </c>
      <c r="D964" s="21">
        <v>95945.0</v>
      </c>
      <c r="E964" s="20">
        <v>457284.0</v>
      </c>
      <c r="F964" s="20">
        <v>457284.0</v>
      </c>
      <c r="G964" s="20">
        <v>457284.0</v>
      </c>
      <c r="H964" s="20" t="s">
        <v>1993</v>
      </c>
      <c r="I964" s="1" t="str">
        <f>VLOOKUP(C964,'mayo-26'!B:H,7,0)</f>
        <v>CLL 10 0E-51 LOC 348 VENTURA</v>
      </c>
      <c r="J964" s="1" t="s">
        <v>942</v>
      </c>
      <c r="K964" s="10" t="str">
        <f>VLOOKUP(C964,'mayo-26'!B:J,9,0)</f>
        <v>NO</v>
      </c>
      <c r="L964" s="1" t="str">
        <f>VLOOKUP(C964,'mayo-26'!B:K,10,0)</f>
        <v>NO</v>
      </c>
      <c r="M964" s="20" t="s">
        <v>52</v>
      </c>
      <c r="N964" s="20" t="s">
        <v>89</v>
      </c>
      <c r="O964" s="20" t="s">
        <v>861</v>
      </c>
      <c r="P964" s="20" t="s">
        <v>126</v>
      </c>
      <c r="Q964" s="20" t="s">
        <v>131</v>
      </c>
      <c r="R964" s="20" t="s">
        <v>132</v>
      </c>
      <c r="S964" s="20" t="s">
        <v>133</v>
      </c>
      <c r="T964" s="20" t="s">
        <v>59</v>
      </c>
      <c r="U964" s="20">
        <v>2026.0</v>
      </c>
      <c r="V964" s="20">
        <v>6.0</v>
      </c>
      <c r="W964" s="20">
        <v>1.08187573E9</v>
      </c>
      <c r="X964" s="20">
        <v>1.081894202E9</v>
      </c>
      <c r="Y964" s="22">
        <v>46182.0</v>
      </c>
      <c r="Z964" s="22">
        <v>46207.0</v>
      </c>
      <c r="AA964" s="20">
        <v>113128.5</v>
      </c>
      <c r="AB964" s="20">
        <v>113128.5</v>
      </c>
      <c r="AC964" s="20">
        <v>37709.5</v>
      </c>
      <c r="AD964" s="20">
        <v>0.0</v>
      </c>
      <c r="AE964" s="20">
        <v>0.0</v>
      </c>
      <c r="AF964" s="20">
        <v>0.0</v>
      </c>
      <c r="AG964" s="20">
        <v>0.0</v>
      </c>
      <c r="AH964" s="20">
        <v>0.0</v>
      </c>
      <c r="AI964" s="20">
        <v>0.0</v>
      </c>
      <c r="AJ964" s="20">
        <v>113128.5</v>
      </c>
      <c r="AK964" s="20">
        <v>227040.0</v>
      </c>
      <c r="AL964" s="20">
        <v>1.0</v>
      </c>
      <c r="AM964" s="20">
        <v>376.2</v>
      </c>
      <c r="AN964" s="20">
        <v>0.0</v>
      </c>
      <c r="AS964" s="11" t="str">
        <f>VLOOKUP(C964,'mayo-26'!B:AS,44,0)</f>
        <v>CUCUTA2-VENTURAPLAZA@HELADOSPOPSY.COM</v>
      </c>
      <c r="AT964" s="12" t="str">
        <f>VLOOKUP(C964,'mayo-26'!B:AT,45,0)</f>
        <v>CORREO ELECTRONICO CERTIFICADO 472</v>
      </c>
    </row>
    <row r="965" ht="14.25" customHeight="1">
      <c r="A965" s="20" t="s">
        <v>1994</v>
      </c>
      <c r="B965" s="20">
        <v>404633.0</v>
      </c>
      <c r="C965" s="20">
        <v>95997.0</v>
      </c>
      <c r="D965" s="21">
        <v>95997.0</v>
      </c>
      <c r="E965" s="20">
        <v>457266.0</v>
      </c>
      <c r="F965" s="20">
        <v>457266.0</v>
      </c>
      <c r="G965" s="20">
        <v>8.60002964E8</v>
      </c>
      <c r="H965" s="20" t="s">
        <v>705</v>
      </c>
      <c r="I965" s="1" t="str">
        <f>VLOOKUP(C965,'mayo-26'!B:H,7,0)</f>
        <v>AVE 6 10-82 - CENTRO</v>
      </c>
      <c r="J965" s="1" t="s">
        <v>942</v>
      </c>
      <c r="K965" s="10" t="str">
        <f>VLOOKUP(C965,'mayo-26'!B:J,9,0)</f>
        <v>NO</v>
      </c>
      <c r="L965" s="1" t="str">
        <f>VLOOKUP(C965,'mayo-26'!B:K,10,0)</f>
        <v>BANCO BOGOTA</v>
      </c>
      <c r="M965" s="20" t="s">
        <v>52</v>
      </c>
      <c r="N965" s="20" t="s">
        <v>53</v>
      </c>
      <c r="O965" s="20" t="s">
        <v>861</v>
      </c>
      <c r="P965" s="20" t="s">
        <v>126</v>
      </c>
      <c r="Q965" s="20" t="s">
        <v>131</v>
      </c>
      <c r="R965" s="20" t="s">
        <v>538</v>
      </c>
      <c r="S965" s="20" t="s">
        <v>133</v>
      </c>
      <c r="T965" s="20" t="s">
        <v>59</v>
      </c>
      <c r="U965" s="20">
        <v>2026.0</v>
      </c>
      <c r="V965" s="20">
        <v>6.0</v>
      </c>
      <c r="W965" s="20">
        <v>1.081875733E9</v>
      </c>
      <c r="X965" s="20">
        <v>1.081894205E9</v>
      </c>
      <c r="Y965" s="22">
        <v>46182.0</v>
      </c>
      <c r="Z965" s="22">
        <v>46207.0</v>
      </c>
      <c r="AA965" s="20">
        <v>94248.01</v>
      </c>
      <c r="AB965" s="20">
        <v>94248.01</v>
      </c>
      <c r="AC965" s="20">
        <v>31416.0</v>
      </c>
      <c r="AD965" s="20">
        <v>0.0</v>
      </c>
      <c r="AE965" s="20">
        <v>0.01</v>
      </c>
      <c r="AF965" s="20">
        <v>0.0</v>
      </c>
      <c r="AG965" s="20">
        <v>0.0</v>
      </c>
      <c r="AH965" s="20">
        <v>0.0</v>
      </c>
      <c r="AI965" s="20">
        <v>0.0</v>
      </c>
      <c r="AJ965" s="20">
        <v>94248.01</v>
      </c>
      <c r="AK965" s="20">
        <v>94248.51</v>
      </c>
      <c r="AL965" s="20">
        <v>1.0</v>
      </c>
      <c r="AM965" s="20">
        <v>376.2</v>
      </c>
      <c r="AN965" s="20">
        <v>0.0</v>
      </c>
      <c r="AS965" s="11" t="str">
        <f>VLOOKUP(C965,'mayo-26'!B:AS,44,0)</f>
        <v>AVS3260@BANCODEBOGOTA.COM.CO</v>
      </c>
      <c r="AT965" s="12" t="str">
        <f>VLOOKUP(C965,'mayo-26'!B:AT,45,0)</f>
        <v>CORREO ELECTRONICO CERTIFICADO 472</v>
      </c>
    </row>
    <row r="966" ht="14.25" customHeight="1">
      <c r="A966" s="20" t="s">
        <v>1995</v>
      </c>
      <c r="B966" s="20">
        <v>350.0</v>
      </c>
      <c r="C966" s="20">
        <v>96397.0</v>
      </c>
      <c r="D966" s="21">
        <v>96397.0</v>
      </c>
      <c r="E966" s="20">
        <v>419861.0</v>
      </c>
      <c r="F966" s="20">
        <v>419861.0</v>
      </c>
      <c r="G966" s="20">
        <v>9.00603041E8</v>
      </c>
      <c r="H966" s="20" t="s">
        <v>400</v>
      </c>
      <c r="I966" s="1" t="str">
        <f>VLOOKUP(C966,'mayo-26'!B:H,7,0)</f>
        <v>AVE 6 7-35 SUPERMERCADO</v>
      </c>
      <c r="J966" s="1" t="s">
        <v>863</v>
      </c>
      <c r="K966" s="10" t="str">
        <f>VLOOKUP(C966,'mayo-26'!B:J,9,0)</f>
        <v>NO</v>
      </c>
      <c r="L966" s="1" t="str">
        <f>VLOOKUP(C966,'mayo-26'!B:K,10,0)</f>
        <v>LOS MONTES</v>
      </c>
      <c r="M966" s="20" t="s">
        <v>52</v>
      </c>
      <c r="N966" s="20" t="s">
        <v>89</v>
      </c>
      <c r="O966" s="20" t="s">
        <v>861</v>
      </c>
      <c r="P966" s="20" t="s">
        <v>126</v>
      </c>
      <c r="Q966" s="20" t="s">
        <v>56</v>
      </c>
      <c r="R966" s="20" t="s">
        <v>90</v>
      </c>
      <c r="S966" s="20" t="s">
        <v>143</v>
      </c>
      <c r="T966" s="20" t="s">
        <v>59</v>
      </c>
      <c r="U966" s="20">
        <v>2026.0</v>
      </c>
      <c r="V966" s="20">
        <v>6.0</v>
      </c>
      <c r="W966" s="20">
        <v>1.081875737E9</v>
      </c>
      <c r="X966" s="20">
        <v>1.081894209E9</v>
      </c>
      <c r="Y966" s="22">
        <v>46182.0</v>
      </c>
      <c r="Z966" s="22">
        <v>46207.0</v>
      </c>
      <c r="AA966" s="20">
        <v>690193.25</v>
      </c>
      <c r="AB966" s="20">
        <v>690193.25</v>
      </c>
      <c r="AC966" s="20">
        <v>227564.4</v>
      </c>
      <c r="AD966" s="20">
        <v>2200.0</v>
      </c>
      <c r="AE966" s="20">
        <v>7500.05</v>
      </c>
      <c r="AF966" s="20">
        <v>0.0</v>
      </c>
      <c r="AG966" s="20">
        <v>0.0</v>
      </c>
      <c r="AH966" s="20">
        <v>0.0</v>
      </c>
      <c r="AI966" s="20">
        <v>0.0</v>
      </c>
      <c r="AJ966" s="20">
        <v>690193.25</v>
      </c>
      <c r="AK966" s="20">
        <v>1360692.99</v>
      </c>
      <c r="AL966" s="20">
        <v>1.0</v>
      </c>
      <c r="AM966" s="20">
        <v>376.2</v>
      </c>
      <c r="AN966" s="20">
        <v>0.0</v>
      </c>
      <c r="AS966" s="11" t="str">
        <f>VLOOKUP(C966,'mayo-26'!B:AS,44,0)</f>
        <v>GASTOS@SUPERLOSMONTES.CO;FACTURAELECTRONICA@SUPERLOSMONTES.CO</v>
      </c>
      <c r="AT966" s="12" t="str">
        <f>VLOOKUP(C966,'mayo-26'!B:AT,45,0)</f>
        <v>CORREO ELECTRONICO CERTIFICADO 472</v>
      </c>
    </row>
    <row r="967" ht="14.25" customHeight="1">
      <c r="A967" s="20" t="s">
        <v>1996</v>
      </c>
      <c r="B967" s="20">
        <v>285191.0</v>
      </c>
      <c r="C967" s="20">
        <v>137998.0</v>
      </c>
      <c r="D967" s="21">
        <v>137998.0</v>
      </c>
      <c r="E967" s="20">
        <v>465119.0</v>
      </c>
      <c r="F967" s="20">
        <v>465119.0</v>
      </c>
      <c r="G967" s="20">
        <v>9.00276962E8</v>
      </c>
      <c r="H967" s="20" t="s">
        <v>128</v>
      </c>
      <c r="I967" s="1" t="str">
        <f>VLOOKUP(C967,'mayo-26'!B:H,7,0)</f>
        <v>KDX 73-2 1116</v>
      </c>
      <c r="J967" s="1" t="s">
        <v>1997</v>
      </c>
      <c r="K967" s="10" t="str">
        <f>VLOOKUP(C967,'mayo-26'!B:J,9,0)</f>
        <v>NO</v>
      </c>
      <c r="L967" s="1" t="str">
        <f>VLOOKUP(C967,'mayo-26'!B:K,10,0)</f>
        <v>D1</v>
      </c>
      <c r="M967" s="20" t="s">
        <v>1998</v>
      </c>
      <c r="N967" s="20" t="s">
        <v>1999</v>
      </c>
      <c r="O967" s="20" t="s">
        <v>2000</v>
      </c>
      <c r="P967" s="20" t="s">
        <v>126</v>
      </c>
      <c r="Q967" s="20" t="s">
        <v>131</v>
      </c>
      <c r="R967" s="20" t="s">
        <v>132</v>
      </c>
      <c r="S967" s="20" t="s">
        <v>133</v>
      </c>
      <c r="T967" s="20" t="s">
        <v>59</v>
      </c>
      <c r="U967" s="20">
        <v>2026.0</v>
      </c>
      <c r="V967" s="20">
        <v>6.0</v>
      </c>
      <c r="W967" s="20">
        <v>1.081874915E9</v>
      </c>
      <c r="X967" s="20">
        <v>1.081893387E9</v>
      </c>
      <c r="Y967" s="22">
        <v>46182.0</v>
      </c>
      <c r="Z967" s="22">
        <v>46207.0</v>
      </c>
      <c r="AA967" s="20">
        <v>91053.0</v>
      </c>
      <c r="AB967" s="20">
        <v>91053.0</v>
      </c>
      <c r="AC967" s="20">
        <v>30351.0</v>
      </c>
      <c r="AD967" s="20">
        <v>0.0</v>
      </c>
      <c r="AE967" s="20">
        <v>0.0</v>
      </c>
      <c r="AF967" s="20">
        <v>0.0</v>
      </c>
      <c r="AG967" s="20">
        <v>0.0</v>
      </c>
      <c r="AH967" s="20">
        <v>0.0</v>
      </c>
      <c r="AI967" s="20">
        <v>0.0</v>
      </c>
      <c r="AJ967" s="20">
        <v>91053.0</v>
      </c>
      <c r="AK967" s="20">
        <v>91053.0</v>
      </c>
      <c r="AL967" s="20">
        <v>0.0</v>
      </c>
      <c r="AM967" s="20">
        <v>416.67</v>
      </c>
      <c r="AN967" s="20">
        <v>0.0</v>
      </c>
      <c r="AS967" s="11" t="str">
        <f>VLOOKUP(C967,'mayo-26'!B:AS,44,0)</f>
        <v>ALBA.CELIS@D1.COM.CO;CARMEN.DAVILA@D1.COM.CO</v>
      </c>
      <c r="AT967" s="12" t="str">
        <f>VLOOKUP(C967,'mayo-26'!B:AT,45,0)</f>
        <v>CORREO ELECTRONICO CERTIFICADO 472</v>
      </c>
    </row>
    <row r="968" ht="14.25" customHeight="1">
      <c r="A968" s="20" t="s">
        <v>2001</v>
      </c>
      <c r="B968" s="20">
        <v>344.0</v>
      </c>
      <c r="C968" s="20">
        <v>2122.0</v>
      </c>
      <c r="D968" s="21">
        <v>2122.0</v>
      </c>
      <c r="E968" s="20">
        <v>9.0404892E7</v>
      </c>
      <c r="F968" s="20">
        <v>9.0404892E7</v>
      </c>
      <c r="G968" s="20" t="s">
        <v>1228</v>
      </c>
      <c r="H968" s="20" t="s">
        <v>2002</v>
      </c>
      <c r="I968" s="1" t="str">
        <f>VLOOKUP(C968,'mayo-26'!B:H,7,0)</f>
        <v>AVE 8A # 3-50</v>
      </c>
      <c r="J968" s="1" t="s">
        <v>2003</v>
      </c>
      <c r="K968" s="10" t="str">
        <f>VLOOKUP(C968,'mayo-26'!B:J,9,0)</f>
        <v>NO</v>
      </c>
      <c r="L968" s="1" t="str">
        <f>VLOOKUP(C968,'mayo-26'!B:K,10,0)</f>
        <v>FISCALIA</v>
      </c>
      <c r="M968" s="20" t="s">
        <v>1998</v>
      </c>
      <c r="N968" s="20" t="s">
        <v>1999</v>
      </c>
      <c r="O968" s="20" t="s">
        <v>2000</v>
      </c>
      <c r="P968" s="20" t="s">
        <v>126</v>
      </c>
      <c r="Q968" s="20" t="s">
        <v>131</v>
      </c>
      <c r="R968" s="20" t="s">
        <v>151</v>
      </c>
      <c r="S968" s="20" t="s">
        <v>133</v>
      </c>
      <c r="T968" s="20" t="s">
        <v>59</v>
      </c>
      <c r="U968" s="20">
        <v>2026.0</v>
      </c>
      <c r="V968" s="20">
        <v>6.0</v>
      </c>
      <c r="W968" s="20">
        <v>1.081874887E9</v>
      </c>
      <c r="X968" s="20">
        <v>1.081893359E9</v>
      </c>
      <c r="Y968" s="22">
        <v>46182.0</v>
      </c>
      <c r="Z968" s="22">
        <v>46207.0</v>
      </c>
      <c r="AA968" s="20">
        <v>60702.0</v>
      </c>
      <c r="AB968" s="20">
        <v>60702.0</v>
      </c>
      <c r="AC968" s="20">
        <v>0.0</v>
      </c>
      <c r="AD968" s="20">
        <v>0.0</v>
      </c>
      <c r="AE968" s="20">
        <v>0.0</v>
      </c>
      <c r="AF968" s="20">
        <v>0.0</v>
      </c>
      <c r="AG968" s="20">
        <v>0.0</v>
      </c>
      <c r="AH968" s="20">
        <v>0.0</v>
      </c>
      <c r="AI968" s="20">
        <v>0.0</v>
      </c>
      <c r="AJ968" s="20">
        <v>60702.0</v>
      </c>
      <c r="AK968" s="20">
        <v>60702.0</v>
      </c>
      <c r="AL968" s="20">
        <v>0.0</v>
      </c>
      <c r="AM968" s="20">
        <v>277.78</v>
      </c>
      <c r="AN968" s="20">
        <v>0.0</v>
      </c>
      <c r="AS968" s="11" t="str">
        <f>VLOOKUP(C968,'mayo-26'!B:AS,44,0)</f>
        <v>EVA.REY@FISCALIA.GOV.CO</v>
      </c>
      <c r="AT968" s="12" t="str">
        <f>VLOOKUP(C968,'mayo-26'!B:AT,45,0)</f>
        <v>CORREO ELECTRONICO CERTIFICADO 472</v>
      </c>
    </row>
    <row r="969" ht="14.25" customHeight="1">
      <c r="A969" s="20" t="s">
        <v>2004</v>
      </c>
      <c r="B969" s="20">
        <v>2127.0</v>
      </c>
      <c r="C969" s="20">
        <v>2126.0</v>
      </c>
      <c r="D969" s="21">
        <v>2126.0</v>
      </c>
      <c r="E969" s="20">
        <v>9.041061E7</v>
      </c>
      <c r="F969" s="20">
        <v>9.041061E7</v>
      </c>
      <c r="G969" s="20">
        <v>9.01479445E8</v>
      </c>
      <c r="H969" s="20" t="s">
        <v>2005</v>
      </c>
      <c r="I969" s="1" t="str">
        <f>VLOOKUP(C969,'mayo-26'!B:H,7,0)</f>
        <v>CRA 0 CLL 6 - 33 AUT INTERNACIONAL TEMPLO HISTORICO</v>
      </c>
      <c r="J969" s="1" t="s">
        <v>2006</v>
      </c>
      <c r="K969" s="10" t="str">
        <f>VLOOKUP(C969,'mayo-26'!B:J,9,0)</f>
        <v>NO</v>
      </c>
      <c r="L969" s="1" t="str">
        <f>VLOOKUP(C969,'mayo-26'!B:K,10,0)</f>
        <v>NO</v>
      </c>
      <c r="M969" s="20" t="s">
        <v>1998</v>
      </c>
      <c r="N969" s="20" t="s">
        <v>1999</v>
      </c>
      <c r="O969" s="20" t="s">
        <v>2000</v>
      </c>
      <c r="P969" s="20" t="s">
        <v>126</v>
      </c>
      <c r="Q969" s="20" t="s">
        <v>131</v>
      </c>
      <c r="R969" s="20" t="s">
        <v>132</v>
      </c>
      <c r="S969" s="20" t="s">
        <v>133</v>
      </c>
      <c r="T969" s="20" t="s">
        <v>59</v>
      </c>
      <c r="U969" s="20">
        <v>2026.0</v>
      </c>
      <c r="V969" s="20">
        <v>6.0</v>
      </c>
      <c r="W969" s="20">
        <v>1.081874889E9</v>
      </c>
      <c r="X969" s="20">
        <v>1.081893361E9</v>
      </c>
      <c r="Y969" s="22">
        <v>46182.0</v>
      </c>
      <c r="Z969" s="22">
        <v>46207.0</v>
      </c>
      <c r="AA969" s="20">
        <v>91053.0</v>
      </c>
      <c r="AB969" s="20">
        <v>91053.0</v>
      </c>
      <c r="AC969" s="20">
        <v>30351.0</v>
      </c>
      <c r="AD969" s="20">
        <v>0.0</v>
      </c>
      <c r="AE969" s="20">
        <v>0.0</v>
      </c>
      <c r="AF969" s="20">
        <v>0.0</v>
      </c>
      <c r="AG969" s="20">
        <v>0.0</v>
      </c>
      <c r="AH969" s="20">
        <v>0.0</v>
      </c>
      <c r="AI969" s="20">
        <v>0.0</v>
      </c>
      <c r="AJ969" s="20">
        <v>91053.0</v>
      </c>
      <c r="AK969" s="20">
        <v>91053.0</v>
      </c>
      <c r="AL969" s="20">
        <v>0.0</v>
      </c>
      <c r="AM969" s="20">
        <v>416.67</v>
      </c>
      <c r="AN969" s="20">
        <v>0.0</v>
      </c>
      <c r="AS969" s="11" t="str">
        <f>VLOOKUP(C969,'mayo-26'!B:AS,44,0)</f>
        <v>boleramall16@gmail.com</v>
      </c>
      <c r="AT969" s="12" t="str">
        <f>VLOOKUP(C969,'mayo-26'!B:AT,45,0)</f>
        <v>CORREO ELECTRONICO CERTIFICADO 472</v>
      </c>
    </row>
    <row r="970" ht="14.25" customHeight="1">
      <c r="A970" s="20" t="s">
        <v>2007</v>
      </c>
      <c r="B970" s="20">
        <v>2151.0</v>
      </c>
      <c r="C970" s="20">
        <v>2150.0</v>
      </c>
      <c r="D970" s="21">
        <v>2150.0</v>
      </c>
      <c r="E970" s="20">
        <v>9.0415964E7</v>
      </c>
      <c r="F970" s="20">
        <v>9.0415964E7</v>
      </c>
      <c r="G970" s="20" t="s">
        <v>2008</v>
      </c>
      <c r="H970" s="20" t="s">
        <v>2009</v>
      </c>
      <c r="I970" s="1" t="str">
        <f>VLOOKUP(C970,'mayo-26'!B:H,7,0)</f>
        <v>KDX A-50 25N-125 US 0415964</v>
      </c>
      <c r="J970" s="1" t="s">
        <v>2003</v>
      </c>
      <c r="K970" s="10" t="str">
        <f>VLOOKUP(C970,'mayo-26'!B:J,9,0)</f>
        <v>VILLA DEL ROSARIO</v>
      </c>
      <c r="L970" s="1" t="str">
        <f>VLOOKUP(C970,'mayo-26'!B:K,10,0)</f>
        <v>NO</v>
      </c>
      <c r="M970" s="20" t="s">
        <v>1998</v>
      </c>
      <c r="N970" s="20" t="s">
        <v>1999</v>
      </c>
      <c r="O970" s="20" t="s">
        <v>2000</v>
      </c>
      <c r="P970" s="20" t="s">
        <v>126</v>
      </c>
      <c r="Q970" s="20" t="s">
        <v>131</v>
      </c>
      <c r="R970" s="20" t="s">
        <v>132</v>
      </c>
      <c r="S970" s="20" t="s">
        <v>133</v>
      </c>
      <c r="T970" s="20" t="s">
        <v>59</v>
      </c>
      <c r="U970" s="20">
        <v>2026.0</v>
      </c>
      <c r="V970" s="20">
        <v>6.0</v>
      </c>
      <c r="W970" s="20">
        <v>1.081874891E9</v>
      </c>
      <c r="X970" s="20">
        <v>1.081893363E9</v>
      </c>
      <c r="Y970" s="22">
        <v>46182.0</v>
      </c>
      <c r="Z970" s="22">
        <v>46207.0</v>
      </c>
      <c r="AA970" s="20">
        <v>91053.0</v>
      </c>
      <c r="AB970" s="20">
        <v>91053.0</v>
      </c>
      <c r="AC970" s="20">
        <v>30351.0</v>
      </c>
      <c r="AD970" s="20">
        <v>0.0</v>
      </c>
      <c r="AE970" s="20">
        <v>0.0</v>
      </c>
      <c r="AF970" s="20">
        <v>0.0</v>
      </c>
      <c r="AG970" s="20">
        <v>0.0</v>
      </c>
      <c r="AH970" s="20">
        <v>0.0</v>
      </c>
      <c r="AI970" s="20">
        <v>0.0</v>
      </c>
      <c r="AJ970" s="20">
        <v>91053.0</v>
      </c>
      <c r="AK970" s="20">
        <v>91053.0</v>
      </c>
      <c r="AL970" s="20">
        <v>0.0</v>
      </c>
      <c r="AM970" s="20">
        <v>416.67</v>
      </c>
      <c r="AN970" s="20">
        <v>0.0</v>
      </c>
      <c r="AS970" s="11" t="str">
        <f>VLOOKUP(C970,'mayo-26'!B:AS,44,0)</f>
        <v>ANGELA.MOGOLLON@MAYORAUTOS.COM</v>
      </c>
      <c r="AT970" s="12" t="str">
        <f>VLOOKUP(C970,'mayo-26'!B:AT,45,0)</f>
        <v>VERIFICADOR</v>
      </c>
    </row>
    <row r="971" ht="14.25" customHeight="1">
      <c r="A971" s="20" t="s">
        <v>2010</v>
      </c>
      <c r="B971" s="20">
        <v>232.0</v>
      </c>
      <c r="C971" s="20">
        <v>2154.0</v>
      </c>
      <c r="D971" s="21">
        <v>2154.0</v>
      </c>
      <c r="E971" s="20">
        <v>9.0416207E7</v>
      </c>
      <c r="F971" s="20">
        <v>9.0416207E7</v>
      </c>
      <c r="G971" s="20">
        <v>8.30122566E8</v>
      </c>
      <c r="H971" s="20" t="s">
        <v>193</v>
      </c>
      <c r="I971" s="1" t="str">
        <f>VLOOKUP(C971,'mayo-26'!B:H,7,0)</f>
        <v>AV 0 N 10-61</v>
      </c>
      <c r="J971" s="1" t="s">
        <v>76</v>
      </c>
      <c r="K971" s="10" t="str">
        <f>VLOOKUP(C971,'mayo-26'!B:J,9,0)</f>
        <v>NO</v>
      </c>
      <c r="L971" s="1" t="str">
        <f>VLOOKUP(C971,'mayo-26'!B:K,10,0)</f>
        <v>MOVISTAR</v>
      </c>
      <c r="M971" s="20" t="s">
        <v>1998</v>
      </c>
      <c r="N971" s="20" t="s">
        <v>2011</v>
      </c>
      <c r="O971" s="20" t="s">
        <v>2000</v>
      </c>
      <c r="P971" s="20" t="s">
        <v>126</v>
      </c>
      <c r="Q971" s="20" t="s">
        <v>131</v>
      </c>
      <c r="R971" s="20" t="s">
        <v>363</v>
      </c>
      <c r="S971" s="20" t="s">
        <v>133</v>
      </c>
      <c r="T971" s="20" t="s">
        <v>59</v>
      </c>
      <c r="U971" s="20">
        <v>2026.0</v>
      </c>
      <c r="V971" s="20">
        <v>6.0</v>
      </c>
      <c r="W971" s="20">
        <v>1.081874892E9</v>
      </c>
      <c r="X971" s="20">
        <v>1.081893364E9</v>
      </c>
      <c r="Y971" s="22">
        <v>46182.0</v>
      </c>
      <c r="Z971" s="22">
        <v>46207.0</v>
      </c>
      <c r="AA971" s="20">
        <v>59776.13</v>
      </c>
      <c r="AB971" s="20">
        <v>59776.13</v>
      </c>
      <c r="AC971" s="20">
        <v>19380.0</v>
      </c>
      <c r="AD971" s="20">
        <v>0.0</v>
      </c>
      <c r="AE971" s="20">
        <v>1636.13</v>
      </c>
      <c r="AF971" s="20">
        <v>0.0</v>
      </c>
      <c r="AG971" s="20">
        <v>0.0</v>
      </c>
      <c r="AH971" s="20">
        <v>0.0</v>
      </c>
      <c r="AI971" s="20">
        <v>0.0</v>
      </c>
      <c r="AJ971" s="20">
        <v>59776.13</v>
      </c>
      <c r="AK971" s="20">
        <v>225971.29</v>
      </c>
      <c r="AL971" s="20">
        <v>3.0</v>
      </c>
      <c r="AM971" s="20">
        <v>416.67</v>
      </c>
      <c r="AN971" s="20">
        <v>0.0</v>
      </c>
      <c r="AS971" s="11" t="str">
        <f>VLOOKUP(C971,'mayo-26'!B:AS,44,0)</f>
        <v>SERVICIOSPUBLICOS.TC@TELEFONICA.COM; D.CRUZ02@TELEFONICA.COM</v>
      </c>
      <c r="AT971" s="12" t="str">
        <f>VLOOKUP(C971,'mayo-26'!B:AT,45,0)</f>
        <v>CORREO ELECTRONICO CERTIFICADO 472</v>
      </c>
    </row>
    <row r="972" ht="14.25" customHeight="1">
      <c r="A972" s="20" t="s">
        <v>2012</v>
      </c>
      <c r="B972" s="20">
        <v>147.0</v>
      </c>
      <c r="C972" s="20">
        <v>2158.0</v>
      </c>
      <c r="D972" s="21">
        <v>2158.0</v>
      </c>
      <c r="E972" s="20">
        <v>9.0419676E7</v>
      </c>
      <c r="F972" s="20">
        <v>9.0419676E7</v>
      </c>
      <c r="G972" s="20" t="s">
        <v>179</v>
      </c>
      <c r="H972" s="20" t="s">
        <v>180</v>
      </c>
      <c r="I972" s="1" t="str">
        <f>VLOOKUP(C972,'mayo-26'!B:H,7,0)</f>
        <v>AVE 3 CLL 24 GARITA # 1</v>
      </c>
      <c r="J972" s="1" t="s">
        <v>76</v>
      </c>
      <c r="K972" s="10" t="str">
        <f>VLOOKUP(C972,'mayo-26'!B:J,9,0)</f>
        <v>NO</v>
      </c>
      <c r="L972" s="1" t="str">
        <f>VLOOKUP(C972,'mayo-26'!B:K,10,0)</f>
        <v>POLICIA</v>
      </c>
      <c r="M972" s="20" t="s">
        <v>1998</v>
      </c>
      <c r="N972" s="20" t="s">
        <v>1999</v>
      </c>
      <c r="O972" s="20" t="s">
        <v>2000</v>
      </c>
      <c r="P972" s="20" t="s">
        <v>126</v>
      </c>
      <c r="Q972" s="20" t="s">
        <v>131</v>
      </c>
      <c r="R972" s="20" t="s">
        <v>1111</v>
      </c>
      <c r="S972" s="20" t="s">
        <v>133</v>
      </c>
      <c r="T972" s="20" t="s">
        <v>59</v>
      </c>
      <c r="U972" s="20">
        <v>2026.0</v>
      </c>
      <c r="V972" s="20">
        <v>6.0</v>
      </c>
      <c r="W972" s="20">
        <v>1.0818749E9</v>
      </c>
      <c r="X972" s="20">
        <v>1.081893372E9</v>
      </c>
      <c r="Y972" s="22">
        <v>46182.0</v>
      </c>
      <c r="Z972" s="22">
        <v>46207.0</v>
      </c>
      <c r="AA972" s="20">
        <v>38760.0</v>
      </c>
      <c r="AB972" s="20">
        <v>38760.0</v>
      </c>
      <c r="AC972" s="20">
        <v>0.0</v>
      </c>
      <c r="AD972" s="20">
        <v>0.0</v>
      </c>
      <c r="AE972" s="20">
        <v>0.0</v>
      </c>
      <c r="AF972" s="20">
        <v>0.0</v>
      </c>
      <c r="AG972" s="20">
        <v>0.0</v>
      </c>
      <c r="AH972" s="20">
        <v>0.0</v>
      </c>
      <c r="AI972" s="20">
        <v>0.0</v>
      </c>
      <c r="AJ972" s="20">
        <v>38760.0</v>
      </c>
      <c r="AK972" s="20">
        <v>77345.0</v>
      </c>
      <c r="AL972" s="20">
        <v>1.0</v>
      </c>
      <c r="AM972" s="20">
        <v>277.78</v>
      </c>
      <c r="AN972" s="20">
        <v>0.0</v>
      </c>
      <c r="AS972" s="11" t="str">
        <f>VLOOKUP(C972,'mayo-26'!B:AS,44,0)</f>
        <v>MECUC.GUBIR@POLICIA.GOV.CO</v>
      </c>
      <c r="AT972" s="12" t="str">
        <f>VLOOKUP(C972,'mayo-26'!B:AT,45,0)</f>
        <v>CORREO ELECTRONICO CERTIFICADO 472</v>
      </c>
    </row>
    <row r="973" ht="14.25" customHeight="1">
      <c r="A973" s="20" t="s">
        <v>2013</v>
      </c>
      <c r="B973" s="20">
        <v>350.0</v>
      </c>
      <c r="C973" s="20">
        <v>2162.0</v>
      </c>
      <c r="D973" s="21">
        <v>2162.0</v>
      </c>
      <c r="E973" s="20">
        <v>9.0424671E7</v>
      </c>
      <c r="F973" s="20">
        <v>9.0424671E7</v>
      </c>
      <c r="G973" s="20">
        <v>9.00603041E8</v>
      </c>
      <c r="H973" s="20" t="s">
        <v>400</v>
      </c>
      <c r="I973" s="1" t="str">
        <f>VLOOKUP(C973,'mayo-26'!B:H,7,0)</f>
        <v>AVE 6 7-35 SUPERMERCADO</v>
      </c>
      <c r="J973" s="1" t="s">
        <v>2003</v>
      </c>
      <c r="K973" s="10" t="str">
        <f>VLOOKUP(C973,'mayo-26'!B:J,9,0)</f>
        <v>NO</v>
      </c>
      <c r="L973" s="1" t="str">
        <f>VLOOKUP(C973,'mayo-26'!B:K,10,0)</f>
        <v>LOS MONTES</v>
      </c>
      <c r="M973" s="20" t="s">
        <v>1998</v>
      </c>
      <c r="N973" s="20" t="s">
        <v>1999</v>
      </c>
      <c r="O973" s="20" t="s">
        <v>2000</v>
      </c>
      <c r="P973" s="20" t="s">
        <v>126</v>
      </c>
      <c r="Q973" s="20" t="s">
        <v>131</v>
      </c>
      <c r="R973" s="20" t="s">
        <v>132</v>
      </c>
      <c r="S973" s="20" t="s">
        <v>133</v>
      </c>
      <c r="T973" s="20" t="s">
        <v>59</v>
      </c>
      <c r="U973" s="20">
        <v>2026.0</v>
      </c>
      <c r="V973" s="20">
        <v>6.0</v>
      </c>
      <c r="W973" s="20">
        <v>1.081874904E9</v>
      </c>
      <c r="X973" s="20">
        <v>1.081893376E9</v>
      </c>
      <c r="Y973" s="22">
        <v>46182.0</v>
      </c>
      <c r="Z973" s="22">
        <v>46207.0</v>
      </c>
      <c r="AA973" s="20">
        <v>95413.05</v>
      </c>
      <c r="AB973" s="20">
        <v>95413.05</v>
      </c>
      <c r="AC973" s="20">
        <v>30351.0</v>
      </c>
      <c r="AD973" s="20">
        <v>0.0</v>
      </c>
      <c r="AE973" s="20">
        <v>4360.05</v>
      </c>
      <c r="AF973" s="20">
        <v>0.0</v>
      </c>
      <c r="AG973" s="20">
        <v>0.0</v>
      </c>
      <c r="AH973" s="20">
        <v>0.0</v>
      </c>
      <c r="AI973" s="20">
        <v>0.0</v>
      </c>
      <c r="AJ973" s="20">
        <v>95413.05</v>
      </c>
      <c r="AK973" s="20">
        <v>334627.62</v>
      </c>
      <c r="AL973" s="20">
        <v>3.0</v>
      </c>
      <c r="AM973" s="20">
        <v>416.67</v>
      </c>
      <c r="AN973" s="20">
        <v>0.0</v>
      </c>
      <c r="AS973" s="11" t="str">
        <f>VLOOKUP(C973,'mayo-26'!B:AS,44,0)</f>
        <v>GASTOS@SUPERLOSMONTES.CO;FACTURAELECTRONICA@SUPERLOSMONTES.CO</v>
      </c>
      <c r="AT973" s="12" t="str">
        <f>VLOOKUP(C973,'mayo-26'!B:AT,45,0)</f>
        <v>CORREO ELECTRONICO CERTIFICADO 472</v>
      </c>
    </row>
    <row r="974" ht="14.25" customHeight="1">
      <c r="A974" s="20" t="s">
        <v>2014</v>
      </c>
      <c r="B974" s="20">
        <v>390684.0</v>
      </c>
      <c r="C974" s="20">
        <v>371838.0</v>
      </c>
      <c r="D974" s="21">
        <v>381556.0</v>
      </c>
      <c r="E974" s="20">
        <v>1040175.0</v>
      </c>
      <c r="F974" s="20">
        <v>1040175.0</v>
      </c>
      <c r="G974" s="20">
        <v>8.8032631E7</v>
      </c>
      <c r="H974" s="20" t="s">
        <v>2015</v>
      </c>
      <c r="I974" s="1" t="str">
        <f>VLOOKUP(C974,'mayo-26'!B:H,7,0)</f>
        <v>CRA 15 ENTRADA AL CONJUNTO SAN NICOLAS 7768</v>
      </c>
      <c r="J974" s="1" t="s">
        <v>2016</v>
      </c>
      <c r="K974" s="10" t="str">
        <f>VLOOKUP(C974,'mayo-26'!B:J,9,0)</f>
        <v>VILLA DEL ROSARIO</v>
      </c>
      <c r="L974" s="1" t="str">
        <f>VLOOKUP(C974,'mayo-26'!B:K,10,0)</f>
        <v>EMPRESA SALSAMENTARIA</v>
      </c>
      <c r="M974" s="20" t="s">
        <v>1998</v>
      </c>
      <c r="N974" s="20" t="s">
        <v>1999</v>
      </c>
      <c r="O974" s="20" t="s">
        <v>2000</v>
      </c>
      <c r="P974" s="20" t="s">
        <v>126</v>
      </c>
      <c r="Q974" s="20" t="s">
        <v>218</v>
      </c>
      <c r="R974" s="20" t="s">
        <v>2017</v>
      </c>
      <c r="S974" s="20" t="s">
        <v>133</v>
      </c>
      <c r="T974" s="20" t="s">
        <v>59</v>
      </c>
      <c r="U974" s="20">
        <v>2026.0</v>
      </c>
      <c r="V974" s="20">
        <v>6.0</v>
      </c>
      <c r="W974" s="20">
        <v>1.081874918E9</v>
      </c>
      <c r="X974" s="20">
        <v>1.08189339E9</v>
      </c>
      <c r="Y974" s="22">
        <v>46182.0</v>
      </c>
      <c r="Z974" s="22">
        <v>46207.0</v>
      </c>
      <c r="AA974" s="20">
        <v>29056.5</v>
      </c>
      <c r="AB974" s="20">
        <v>29056.5</v>
      </c>
      <c r="AC974" s="20">
        <v>-3228.5</v>
      </c>
      <c r="AD974" s="20">
        <v>0.0</v>
      </c>
      <c r="AE974" s="20">
        <v>0.0</v>
      </c>
      <c r="AF974" s="20">
        <v>0.0</v>
      </c>
      <c r="AG974" s="20">
        <v>0.0</v>
      </c>
      <c r="AH974" s="20">
        <v>0.0</v>
      </c>
      <c r="AI974" s="20">
        <v>0.0</v>
      </c>
      <c r="AJ974" s="20">
        <v>29056.5</v>
      </c>
      <c r="AK974" s="20">
        <v>29056.5</v>
      </c>
      <c r="AL974" s="20">
        <v>0.0</v>
      </c>
      <c r="AM974" s="20">
        <v>250.0</v>
      </c>
      <c r="AN974" s="20">
        <v>0.0</v>
      </c>
      <c r="AS974" s="11" t="str">
        <f>VLOOKUP(C974,'mayo-26'!B:AS,44,0)</f>
        <v>CONTABILIDAD@ECOSALSAS.COM;ELYURAMA@HOTMAIL.COM</v>
      </c>
      <c r="AT974" s="12" t="str">
        <f>VLOOKUP(C974,'mayo-26'!B:AT,45,0)</f>
        <v>VERIFICADOR</v>
      </c>
    </row>
    <row r="975" ht="14.25" customHeight="1">
      <c r="A975" s="20" t="s">
        <v>2018</v>
      </c>
      <c r="B975" s="20">
        <v>280920.0</v>
      </c>
      <c r="C975" s="20">
        <v>384706.0</v>
      </c>
      <c r="D975" s="21">
        <v>398962.0</v>
      </c>
      <c r="E975" s="20">
        <v>1052860.0</v>
      </c>
      <c r="F975" s="20">
        <v>1052860.0</v>
      </c>
      <c r="G975" s="20">
        <v>9.00576569E8</v>
      </c>
      <c r="H975" s="20" t="s">
        <v>161</v>
      </c>
      <c r="I975" s="1" t="str">
        <f>VLOOKUP(C975,'mayo-26'!B:H,7,0)</f>
        <v>AVE 12 5AN-84 1142</v>
      </c>
      <c r="J975" s="1" t="s">
        <v>2003</v>
      </c>
      <c r="K975" s="10" t="str">
        <f>VLOOKUP(C975,'mayo-26'!B:J,9,0)</f>
        <v>NO</v>
      </c>
      <c r="L975" s="1" t="str">
        <f>VLOOKUP(C975,'mayo-26'!B:K,10,0)</f>
        <v>BETEL</v>
      </c>
      <c r="M975" s="20" t="s">
        <v>1998</v>
      </c>
      <c r="N975" s="20" t="s">
        <v>1999</v>
      </c>
      <c r="O975" s="20" t="s">
        <v>2000</v>
      </c>
      <c r="P975" s="20" t="s">
        <v>126</v>
      </c>
      <c r="Q975" s="20" t="s">
        <v>56</v>
      </c>
      <c r="R975" s="20" t="s">
        <v>90</v>
      </c>
      <c r="S975" s="20" t="s">
        <v>143</v>
      </c>
      <c r="T975" s="20" t="s">
        <v>59</v>
      </c>
      <c r="U975" s="20">
        <v>2026.0</v>
      </c>
      <c r="V975" s="20">
        <v>6.0</v>
      </c>
      <c r="W975" s="20">
        <v>1.081874921E9</v>
      </c>
      <c r="X975" s="20">
        <v>1.081893393E9</v>
      </c>
      <c r="Y975" s="22">
        <v>46182.0</v>
      </c>
      <c r="Z975" s="22">
        <v>46207.0</v>
      </c>
      <c r="AA975" s="20">
        <v>518300.59</v>
      </c>
      <c r="AB975" s="20">
        <v>518300.59</v>
      </c>
      <c r="AC975" s="20">
        <v>153580.64</v>
      </c>
      <c r="AD975" s="20">
        <v>1352.5</v>
      </c>
      <c r="AE975" s="20">
        <v>57558.7</v>
      </c>
      <c r="AF975" s="20">
        <v>0.0</v>
      </c>
      <c r="AG975" s="20">
        <v>0.0</v>
      </c>
      <c r="AH975" s="20">
        <v>0.0</v>
      </c>
      <c r="AI975" s="20">
        <v>0.0</v>
      </c>
      <c r="AJ975" s="20">
        <v>518300.59</v>
      </c>
      <c r="AK975" s="20">
        <v>4250340.74</v>
      </c>
      <c r="AL975" s="20">
        <v>8.0</v>
      </c>
      <c r="AM975" s="20">
        <v>416.67</v>
      </c>
      <c r="AN975" s="20">
        <v>0.0</v>
      </c>
      <c r="AS975" s="11" t="str">
        <f>VLOOKUP(C975,'mayo-26'!B:AS,44,0)</f>
        <v>COORDTESORERIASUPERBETEL@GMAIL.COM</v>
      </c>
      <c r="AT975" s="12" t="str">
        <f>VLOOKUP(C975,'mayo-26'!B:AT,45,0)</f>
        <v>CORREO ELECTRONICO CERTIFICADO 472</v>
      </c>
    </row>
    <row r="976" ht="14.25" customHeight="1">
      <c r="A976" s="20" t="s">
        <v>2019</v>
      </c>
      <c r="B976" s="20">
        <v>699.0</v>
      </c>
      <c r="C976" s="20">
        <v>78886.0</v>
      </c>
      <c r="D976" s="21">
        <v>78886.0</v>
      </c>
      <c r="E976" s="20">
        <v>106239.0</v>
      </c>
      <c r="F976" s="20">
        <v>106239.0</v>
      </c>
      <c r="G976" s="20">
        <v>9.00480569E8</v>
      </c>
      <c r="H976" s="20" t="s">
        <v>141</v>
      </c>
      <c r="I976" s="1" t="str">
        <f>VLOOKUP(C976,'mayo-26'!B:H,7,0)</f>
        <v>CLL 12 4-52 CENTRO</v>
      </c>
      <c r="J976" s="1" t="s">
        <v>2020</v>
      </c>
      <c r="K976" s="10" t="str">
        <f>VLOOKUP(C976,'mayo-26'!B:J,9,0)</f>
        <v>NO</v>
      </c>
      <c r="L976" s="1" t="str">
        <f>VLOOKUP(C976,'mayo-26'!B:K,10,0)</f>
        <v>ARA VILLAROSARIO</v>
      </c>
      <c r="M976" s="20" t="s">
        <v>1998</v>
      </c>
      <c r="N976" s="20" t="s">
        <v>2011</v>
      </c>
      <c r="O976" s="20" t="s">
        <v>2000</v>
      </c>
      <c r="P976" s="20" t="s">
        <v>126</v>
      </c>
      <c r="Q976" s="20" t="s">
        <v>56</v>
      </c>
      <c r="R976" s="20" t="s">
        <v>90</v>
      </c>
      <c r="S976" s="20" t="s">
        <v>143</v>
      </c>
      <c r="T976" s="20" t="s">
        <v>59</v>
      </c>
      <c r="U976" s="20">
        <v>2026.0</v>
      </c>
      <c r="V976" s="20">
        <v>6.0</v>
      </c>
      <c r="W976" s="20">
        <v>1.081874907E9</v>
      </c>
      <c r="X976" s="20">
        <v>1.081893379E9</v>
      </c>
      <c r="Y976" s="22">
        <v>46182.0</v>
      </c>
      <c r="Z976" s="22">
        <v>46207.0</v>
      </c>
      <c r="AA976" s="20">
        <v>587130.6</v>
      </c>
      <c r="AB976" s="20">
        <v>587130.6</v>
      </c>
      <c r="AC976" s="20">
        <v>195710.21</v>
      </c>
      <c r="AD976" s="20">
        <v>1745.0</v>
      </c>
      <c r="AE976" s="20">
        <v>0.0</v>
      </c>
      <c r="AF976" s="20">
        <v>0.0</v>
      </c>
      <c r="AG976" s="20">
        <v>0.0</v>
      </c>
      <c r="AH976" s="20">
        <v>0.0</v>
      </c>
      <c r="AI976" s="20">
        <v>0.0</v>
      </c>
      <c r="AJ976" s="20">
        <v>587130.6</v>
      </c>
      <c r="AK976" s="20">
        <v>1174116.84</v>
      </c>
      <c r="AL976" s="20">
        <v>1.0</v>
      </c>
      <c r="AM976" s="20">
        <v>416.67</v>
      </c>
      <c r="AN976" s="20">
        <v>0.0</v>
      </c>
      <c r="AS976" s="11" t="str">
        <f>VLOOKUP(C976,'mayo-26'!B:AS,44,0)</f>
        <v>COORDINADOR.OPERACIONES.R11@JERONIMO-MARTINS.COM</v>
      </c>
      <c r="AT976" s="12" t="str">
        <f>VLOOKUP(C976,'mayo-26'!B:AT,45,0)</f>
        <v>CORREO ELECTRONICO CERTIFICADO 472</v>
      </c>
    </row>
    <row r="977" ht="14.25" customHeight="1">
      <c r="A977" s="20" t="s">
        <v>2021</v>
      </c>
      <c r="B977" s="20">
        <v>84823.0</v>
      </c>
      <c r="C977" s="20">
        <v>84822.0</v>
      </c>
      <c r="D977" s="21">
        <v>84822.0</v>
      </c>
      <c r="E977" s="20">
        <v>111868.0</v>
      </c>
      <c r="F977" s="20">
        <v>111868.0</v>
      </c>
      <c r="G977" s="20">
        <v>111868.0</v>
      </c>
      <c r="H977" s="20" t="s">
        <v>2022</v>
      </c>
      <c r="I977" s="1" t="str">
        <f>VLOOKUP(C977,'mayo-26'!B:H,7,0)</f>
        <v>MNZ X LOTE 69 CALLE 8 8</v>
      </c>
      <c r="J977" s="1" t="s">
        <v>2023</v>
      </c>
      <c r="K977" s="10" t="str">
        <f>VLOOKUP(C977,'mayo-26'!B:J,9,0)</f>
        <v>VILLA DEL ROSARIO</v>
      </c>
      <c r="L977" s="1" t="str">
        <f>VLOOKUP(C977,'mayo-26'!B:K,10,0)</f>
        <v>EXITO</v>
      </c>
      <c r="M977" s="20" t="s">
        <v>1998</v>
      </c>
      <c r="N977" s="20" t="s">
        <v>1999</v>
      </c>
      <c r="O977" s="20" t="s">
        <v>2000</v>
      </c>
      <c r="P977" s="20" t="s">
        <v>2024</v>
      </c>
      <c r="Q977" s="20" t="s">
        <v>131</v>
      </c>
      <c r="R977" s="20" t="s">
        <v>132</v>
      </c>
      <c r="S977" s="20" t="s">
        <v>133</v>
      </c>
      <c r="T977" s="20" t="s">
        <v>59</v>
      </c>
      <c r="U977" s="20">
        <v>2026.0</v>
      </c>
      <c r="V977" s="20">
        <v>6.0</v>
      </c>
      <c r="W977" s="20">
        <v>1.081874911E9</v>
      </c>
      <c r="X977" s="20">
        <v>1.081893383E9</v>
      </c>
      <c r="Y977" s="22">
        <v>46182.0</v>
      </c>
      <c r="Z977" s="22">
        <v>46207.0</v>
      </c>
      <c r="AA977" s="20">
        <v>87266.8</v>
      </c>
      <c r="AB977" s="20">
        <v>87266.8</v>
      </c>
      <c r="AC977" s="20">
        <v>28765.95</v>
      </c>
      <c r="AD977" s="20">
        <v>0.0</v>
      </c>
      <c r="AE977" s="20">
        <v>968.95</v>
      </c>
      <c r="AF977" s="20">
        <v>0.0</v>
      </c>
      <c r="AG977" s="20">
        <v>0.0</v>
      </c>
      <c r="AH977" s="20">
        <v>0.0</v>
      </c>
      <c r="AI977" s="20">
        <v>0.0</v>
      </c>
      <c r="AJ977" s="20">
        <v>87266.8</v>
      </c>
      <c r="AK977" s="20">
        <v>258642.82</v>
      </c>
      <c r="AL977" s="20">
        <v>2.0</v>
      </c>
      <c r="AM977" s="20">
        <v>-1168.38</v>
      </c>
      <c r="AN977" s="20">
        <v>0.0</v>
      </c>
      <c r="AS977" s="11" t="str">
        <f>VLOOKUP(C977,'mayo-26'!B:AS,44,0)</f>
        <v>GERENCIA4772@GRUPO-EXITO.COM</v>
      </c>
      <c r="AT977" s="12" t="str">
        <f>VLOOKUP(C977,'mayo-26'!B:AT,45,0)</f>
        <v>VERIFICADOR</v>
      </c>
    </row>
    <row r="978" ht="14.25" customHeight="1">
      <c r="A978" s="20" t="s">
        <v>2025</v>
      </c>
      <c r="B978" s="20">
        <v>285191.0</v>
      </c>
      <c r="C978" s="20">
        <v>150257.0</v>
      </c>
      <c r="D978" s="21">
        <v>150257.0</v>
      </c>
      <c r="E978" s="20">
        <v>651964.0</v>
      </c>
      <c r="F978" s="20">
        <v>651964.0</v>
      </c>
      <c r="G978" s="20">
        <v>9.00276962E8</v>
      </c>
      <c r="H978" s="20" t="s">
        <v>128</v>
      </c>
      <c r="I978" s="1" t="str">
        <f>VLOOKUP(C978,'mayo-26'!B:H,7,0)</f>
        <v>KDX 73-2 1116</v>
      </c>
      <c r="J978" s="1" t="s">
        <v>2026</v>
      </c>
      <c r="K978" s="10" t="str">
        <f>VLOOKUP(C978,'mayo-26'!B:J,9,0)</f>
        <v>NO</v>
      </c>
      <c r="L978" s="1" t="str">
        <f>VLOOKUP(C978,'mayo-26'!B:K,10,0)</f>
        <v>D1</v>
      </c>
      <c r="M978" s="20" t="s">
        <v>1998</v>
      </c>
      <c r="N978" s="20" t="s">
        <v>1999</v>
      </c>
      <c r="O978" s="20" t="s">
        <v>2000</v>
      </c>
      <c r="P978" s="20" t="s">
        <v>126</v>
      </c>
      <c r="Q978" s="20" t="s">
        <v>131</v>
      </c>
      <c r="R978" s="20" t="s">
        <v>132</v>
      </c>
      <c r="S978" s="20" t="s">
        <v>133</v>
      </c>
      <c r="T978" s="20" t="s">
        <v>59</v>
      </c>
      <c r="U978" s="20">
        <v>2026.0</v>
      </c>
      <c r="V978" s="20">
        <v>6.0</v>
      </c>
      <c r="W978" s="20">
        <v>1.081874912E9</v>
      </c>
      <c r="X978" s="20">
        <v>1.081893384E9</v>
      </c>
      <c r="Y978" s="22">
        <v>46182.0</v>
      </c>
      <c r="Z978" s="22">
        <v>46207.0</v>
      </c>
      <c r="AA978" s="20">
        <v>91053.0</v>
      </c>
      <c r="AB978" s="20">
        <v>91053.0</v>
      </c>
      <c r="AC978" s="20">
        <v>30351.0</v>
      </c>
      <c r="AD978" s="20">
        <v>0.0</v>
      </c>
      <c r="AE978" s="20">
        <v>0.0</v>
      </c>
      <c r="AF978" s="20">
        <v>0.0</v>
      </c>
      <c r="AG978" s="20">
        <v>0.0</v>
      </c>
      <c r="AH978" s="20">
        <v>0.0</v>
      </c>
      <c r="AI978" s="20">
        <v>0.0</v>
      </c>
      <c r="AJ978" s="20">
        <v>91053.0</v>
      </c>
      <c r="AK978" s="20">
        <v>91053.0</v>
      </c>
      <c r="AL978" s="20">
        <v>0.0</v>
      </c>
      <c r="AM978" s="20">
        <v>416.67</v>
      </c>
      <c r="AN978" s="20">
        <v>0.0</v>
      </c>
      <c r="AS978" s="11" t="str">
        <f>VLOOKUP(C978,'mayo-26'!B:AS,44,0)</f>
        <v>ALBA.CELIS@D1.COM.CO;CARMEN.DAVILA@D1.COM.CO</v>
      </c>
      <c r="AT978" s="12" t="str">
        <f>VLOOKUP(C978,'mayo-26'!B:AT,45,0)</f>
        <v>CORREO ELECTRONICO CERTIFICADO 472</v>
      </c>
    </row>
    <row r="979" ht="14.25" customHeight="1">
      <c r="A979" s="20" t="s">
        <v>2027</v>
      </c>
      <c r="B979" s="20">
        <v>285191.0</v>
      </c>
      <c r="C979" s="20">
        <v>153217.0</v>
      </c>
      <c r="D979" s="21">
        <v>153217.0</v>
      </c>
      <c r="E979" s="20">
        <v>1007309.0</v>
      </c>
      <c r="F979" s="20">
        <v>1007309.0</v>
      </c>
      <c r="G979" s="20">
        <v>9.00276962E8</v>
      </c>
      <c r="H979" s="20" t="s">
        <v>128</v>
      </c>
      <c r="I979" s="1" t="str">
        <f>VLOOKUP(C979,'mayo-26'!B:H,7,0)</f>
        <v>KDX 73-2 1116</v>
      </c>
      <c r="J979" s="1" t="s">
        <v>2023</v>
      </c>
      <c r="K979" s="10" t="str">
        <f>VLOOKUP(C979,'mayo-26'!B:J,9,0)</f>
        <v>NO</v>
      </c>
      <c r="L979" s="1" t="str">
        <f>VLOOKUP(C979,'mayo-26'!B:K,10,0)</f>
        <v>D1</v>
      </c>
      <c r="M979" s="20" t="s">
        <v>1998</v>
      </c>
      <c r="N979" s="20" t="s">
        <v>1999</v>
      </c>
      <c r="O979" s="20" t="s">
        <v>2000</v>
      </c>
      <c r="P979" s="20" t="s">
        <v>126</v>
      </c>
      <c r="Q979" s="20" t="s">
        <v>131</v>
      </c>
      <c r="R979" s="20" t="s">
        <v>363</v>
      </c>
      <c r="S979" s="20" t="s">
        <v>133</v>
      </c>
      <c r="T979" s="20" t="s">
        <v>59</v>
      </c>
      <c r="U979" s="20">
        <v>2026.0</v>
      </c>
      <c r="V979" s="20">
        <v>6.0</v>
      </c>
      <c r="W979" s="20">
        <v>1.081874914E9</v>
      </c>
      <c r="X979" s="20">
        <v>1.081893386E9</v>
      </c>
      <c r="Y979" s="22">
        <v>46182.0</v>
      </c>
      <c r="Z979" s="22">
        <v>46207.0</v>
      </c>
      <c r="AA979" s="20">
        <v>58140.0</v>
      </c>
      <c r="AB979" s="20">
        <v>58140.0</v>
      </c>
      <c r="AC979" s="20">
        <v>19380.0</v>
      </c>
      <c r="AD979" s="20">
        <v>0.0</v>
      </c>
      <c r="AE979" s="20">
        <v>0.0</v>
      </c>
      <c r="AF979" s="20">
        <v>0.0</v>
      </c>
      <c r="AG979" s="20">
        <v>0.0</v>
      </c>
      <c r="AH979" s="20">
        <v>0.0</v>
      </c>
      <c r="AI979" s="20">
        <v>0.0</v>
      </c>
      <c r="AJ979" s="20">
        <v>58140.0</v>
      </c>
      <c r="AK979" s="20">
        <v>58140.0</v>
      </c>
      <c r="AL979" s="20">
        <v>0.0</v>
      </c>
      <c r="AM979" s="20">
        <v>416.67</v>
      </c>
      <c r="AN979" s="20">
        <v>0.0</v>
      </c>
      <c r="AS979" s="11" t="str">
        <f>VLOOKUP(C979,'mayo-26'!B:AS,44,0)</f>
        <v>ALBA.CELIS@D1.COM.CO;CARMEN.DAVILA@D1.COM.CO</v>
      </c>
      <c r="AT979" s="12" t="str">
        <f>VLOOKUP(C979,'mayo-26'!B:AT,45,0)</f>
        <v>CORREO ELECTRONICO CERTIFICADO 472</v>
      </c>
    </row>
    <row r="980" ht="14.25" customHeight="1">
      <c r="A980" s="20" t="s">
        <v>2028</v>
      </c>
      <c r="B980" s="20">
        <v>2126.0</v>
      </c>
      <c r="C980" s="20">
        <v>2125.0</v>
      </c>
      <c r="D980" s="21">
        <v>2125.0</v>
      </c>
      <c r="E980" s="20">
        <v>9.0410609E7</v>
      </c>
      <c r="F980" s="20">
        <v>9.0410609E7</v>
      </c>
      <c r="G980" s="20" t="s">
        <v>1877</v>
      </c>
      <c r="H980" s="20" t="s">
        <v>2029</v>
      </c>
      <c r="I980" s="1" t="str">
        <f>VLOOKUP(C980,'mayo-26'!B:H,7,0)</f>
        <v>VILLA ANTIGUA AUTOPISTA SAN AN</v>
      </c>
      <c r="J980" s="1" t="s">
        <v>2006</v>
      </c>
      <c r="K980" s="10" t="str">
        <f>VLOOKUP(C980,'mayo-26'!B:J,9,0)</f>
        <v>NO</v>
      </c>
      <c r="L980" s="1" t="str">
        <f>VLOOKUP(C980,'mayo-26'!B:K,10,0)</f>
        <v>NO</v>
      </c>
      <c r="M980" s="20" t="s">
        <v>1998</v>
      </c>
      <c r="N980" s="20" t="s">
        <v>1999</v>
      </c>
      <c r="O980" s="20" t="s">
        <v>2000</v>
      </c>
      <c r="P980" s="20" t="s">
        <v>126</v>
      </c>
      <c r="Q980" s="20" t="s">
        <v>56</v>
      </c>
      <c r="R980" s="20" t="s">
        <v>57</v>
      </c>
      <c r="S980" s="20" t="s">
        <v>143</v>
      </c>
      <c r="T980" s="20" t="s">
        <v>59</v>
      </c>
      <c r="U980" s="20">
        <v>2026.0</v>
      </c>
      <c r="V980" s="20">
        <v>6.0</v>
      </c>
      <c r="W980" s="20">
        <v>1.081874885E9</v>
      </c>
      <c r="X980" s="20">
        <v>1.081893357E9</v>
      </c>
      <c r="Y980" s="22">
        <v>46182.0</v>
      </c>
      <c r="Z980" s="22">
        <v>46207.0</v>
      </c>
      <c r="AA980" s="20">
        <v>2044402.49</v>
      </c>
      <c r="AB980" s="20">
        <v>2044402.49</v>
      </c>
      <c r="AC980" s="20">
        <v>0.0</v>
      </c>
      <c r="AD980" s="20">
        <v>9445.0</v>
      </c>
      <c r="AE980" s="20">
        <v>0.0</v>
      </c>
      <c r="AF980" s="20">
        <v>0.0</v>
      </c>
      <c r="AG980" s="20">
        <v>0.0</v>
      </c>
      <c r="AH980" s="20">
        <v>0.0</v>
      </c>
      <c r="AI980" s="20">
        <v>0.0</v>
      </c>
      <c r="AJ980" s="20">
        <v>2044402.49</v>
      </c>
      <c r="AK980" s="20">
        <v>2044402.49</v>
      </c>
      <c r="AL980" s="20">
        <v>0.0</v>
      </c>
      <c r="AM980" s="20">
        <v>277.78</v>
      </c>
      <c r="AN980" s="20">
        <v>0.0</v>
      </c>
      <c r="AS980" s="11" t="str">
        <f>VLOOKUP(C980,'mayo-26'!B:AS,44,0)</f>
        <v>POLIZAS@UNIPAMPLONA.EDU.CO;VILLAROSARIO@UNIPAMPLONA.EDU.CO</v>
      </c>
      <c r="AT980" s="12" t="str">
        <f>VLOOKUP(C980,'mayo-26'!B:AT,45,0)</f>
        <v>CORREO ELECTRONICO CERTIFICADO 472</v>
      </c>
    </row>
    <row r="981" ht="14.25" customHeight="1">
      <c r="A981" s="20" t="s">
        <v>2030</v>
      </c>
      <c r="B981" s="20">
        <v>232.0</v>
      </c>
      <c r="C981" s="20">
        <v>2153.0</v>
      </c>
      <c r="D981" s="21">
        <v>2153.0</v>
      </c>
      <c r="E981" s="20">
        <v>9.0416206E7</v>
      </c>
      <c r="F981" s="20">
        <v>9.0416206E7</v>
      </c>
      <c r="G981" s="20">
        <v>8.30122566E8</v>
      </c>
      <c r="H981" s="20" t="s">
        <v>193</v>
      </c>
      <c r="I981" s="1" t="str">
        <f>VLOOKUP(C981,'mayo-26'!B:H,7,0)</f>
        <v>AV 0 N 10-61</v>
      </c>
      <c r="J981" s="1" t="s">
        <v>2031</v>
      </c>
      <c r="K981" s="10" t="str">
        <f>VLOOKUP(C981,'mayo-26'!B:J,9,0)</f>
        <v>NO</v>
      </c>
      <c r="L981" s="1" t="str">
        <f>VLOOKUP(C981,'mayo-26'!B:K,10,0)</f>
        <v>MOVISTAR</v>
      </c>
      <c r="M981" s="20" t="s">
        <v>1998</v>
      </c>
      <c r="N981" s="20" t="s">
        <v>2011</v>
      </c>
      <c r="O981" s="20" t="s">
        <v>2000</v>
      </c>
      <c r="P981" s="20" t="s">
        <v>126</v>
      </c>
      <c r="Q981" s="20" t="s">
        <v>131</v>
      </c>
      <c r="R981" s="20" t="s">
        <v>363</v>
      </c>
      <c r="S981" s="20" t="s">
        <v>133</v>
      </c>
      <c r="T981" s="20" t="s">
        <v>59</v>
      </c>
      <c r="U981" s="20">
        <v>2026.0</v>
      </c>
      <c r="V981" s="20">
        <v>6.0</v>
      </c>
      <c r="W981" s="20">
        <v>1.081874888E9</v>
      </c>
      <c r="X981" s="20">
        <v>1.08189336E9</v>
      </c>
      <c r="Y981" s="22">
        <v>46182.0</v>
      </c>
      <c r="Z981" s="22">
        <v>46207.0</v>
      </c>
      <c r="AA981" s="20">
        <v>58782.97</v>
      </c>
      <c r="AB981" s="20">
        <v>58782.97</v>
      </c>
      <c r="AC981" s="20">
        <v>19380.0</v>
      </c>
      <c r="AD981" s="20">
        <v>0.0</v>
      </c>
      <c r="AE981" s="20">
        <v>642.97</v>
      </c>
      <c r="AF981" s="20">
        <v>0.0</v>
      </c>
      <c r="AG981" s="20">
        <v>0.0</v>
      </c>
      <c r="AH981" s="20">
        <v>0.0</v>
      </c>
      <c r="AI981" s="20">
        <v>0.0</v>
      </c>
      <c r="AJ981" s="20">
        <v>58782.97</v>
      </c>
      <c r="AK981" s="20">
        <v>173966.47</v>
      </c>
      <c r="AL981" s="20">
        <v>2.0</v>
      </c>
      <c r="AM981" s="20">
        <v>416.67</v>
      </c>
      <c r="AN981" s="20">
        <v>0.0</v>
      </c>
      <c r="AS981" s="11" t="str">
        <f>VLOOKUP(C981,'mayo-26'!B:AS,44,0)</f>
        <v>SERVICIOSPUBLICOS.TC@TELEFONICA.COM; D.CRUZ02@TELEFONICA.COM</v>
      </c>
      <c r="AT981" s="12" t="str">
        <f>VLOOKUP(C981,'mayo-26'!B:AT,45,0)</f>
        <v>CORREO ELECTRONICO CERTIFICADO 472</v>
      </c>
    </row>
    <row r="982" ht="14.25" customHeight="1">
      <c r="A982" s="20" t="s">
        <v>2032</v>
      </c>
      <c r="B982" s="20">
        <v>2162.0</v>
      </c>
      <c r="C982" s="20">
        <v>2161.0</v>
      </c>
      <c r="D982" s="21">
        <v>2161.0</v>
      </c>
      <c r="E982" s="20">
        <v>9.0423467E7</v>
      </c>
      <c r="F982" s="20">
        <v>9.0423467E7</v>
      </c>
      <c r="G982" s="20" t="s">
        <v>2033</v>
      </c>
      <c r="H982" s="20" t="s">
        <v>2034</v>
      </c>
      <c r="I982" s="1" t="str">
        <f>VLOOKUP(C982,'mayo-26'!B:H,7,0)</f>
        <v>HACIENDO EL RETAZO</v>
      </c>
      <c r="J982" s="1" t="s">
        <v>2035</v>
      </c>
      <c r="K982" s="10" t="str">
        <f>VLOOKUP(C982,'mayo-26'!B:J,9,0)</f>
        <v>VILLA DEL ROSARIO</v>
      </c>
      <c r="L982" s="1" t="str">
        <f>VLOOKUP(C982,'mayo-26'!B:K,10,0)</f>
        <v>NO</v>
      </c>
      <c r="M982" s="20" t="s">
        <v>1998</v>
      </c>
      <c r="N982" s="20" t="s">
        <v>1999</v>
      </c>
      <c r="O982" s="20" t="s">
        <v>2000</v>
      </c>
      <c r="P982" s="20" t="s">
        <v>126</v>
      </c>
      <c r="Q982" s="20" t="s">
        <v>131</v>
      </c>
      <c r="R982" s="20" t="s">
        <v>363</v>
      </c>
      <c r="S982" s="20" t="s">
        <v>133</v>
      </c>
      <c r="T982" s="20" t="s">
        <v>59</v>
      </c>
      <c r="U982" s="20">
        <v>2026.0</v>
      </c>
      <c r="V982" s="20">
        <v>6.0</v>
      </c>
      <c r="W982" s="20">
        <v>1.081874894E9</v>
      </c>
      <c r="X982" s="20">
        <v>1.081893366E9</v>
      </c>
      <c r="Y982" s="22">
        <v>46182.0</v>
      </c>
      <c r="Z982" s="22">
        <v>46207.0</v>
      </c>
      <c r="AA982" s="20">
        <v>58140.0</v>
      </c>
      <c r="AB982" s="20">
        <v>58140.0</v>
      </c>
      <c r="AC982" s="20">
        <v>19380.0</v>
      </c>
      <c r="AD982" s="20">
        <v>0.0</v>
      </c>
      <c r="AE982" s="20">
        <v>0.0</v>
      </c>
      <c r="AF982" s="20">
        <v>0.0</v>
      </c>
      <c r="AG982" s="20">
        <v>0.0</v>
      </c>
      <c r="AH982" s="20">
        <v>0.0</v>
      </c>
      <c r="AI982" s="20">
        <v>0.0</v>
      </c>
      <c r="AJ982" s="20">
        <v>58140.0</v>
      </c>
      <c r="AK982" s="20">
        <v>58140.0</v>
      </c>
      <c r="AL982" s="20">
        <v>0.0</v>
      </c>
      <c r="AM982" s="20">
        <v>416.67</v>
      </c>
      <c r="AN982" s="20">
        <v>0.0</v>
      </c>
      <c r="AS982" s="11" t="str">
        <f>VLOOKUP(C982,'mayo-26'!B:AS,44,0)</f>
        <v>PROCESADORALIMENTOSLAVILLA@GMAIL.COM</v>
      </c>
      <c r="AT982" s="12" t="str">
        <f>VLOOKUP(C982,'mayo-26'!B:AT,45,0)</f>
        <v>VERIFICADOR</v>
      </c>
    </row>
    <row r="983" ht="14.25" customHeight="1">
      <c r="A983" s="20" t="s">
        <v>2036</v>
      </c>
      <c r="B983" s="20">
        <v>285191.0</v>
      </c>
      <c r="C983" s="20">
        <v>368017.0</v>
      </c>
      <c r="D983" s="21">
        <v>375301.0</v>
      </c>
      <c r="E983" s="20">
        <v>1048303.0</v>
      </c>
      <c r="F983" s="20">
        <v>1048303.0</v>
      </c>
      <c r="G983" s="20">
        <v>9.00276962E8</v>
      </c>
      <c r="H983" s="20" t="s">
        <v>128</v>
      </c>
      <c r="I983" s="1" t="str">
        <f>VLOOKUP(C983,'mayo-26'!B:H,7,0)</f>
        <v>KDX 73-2 1116</v>
      </c>
      <c r="J983" s="1" t="s">
        <v>869</v>
      </c>
      <c r="K983" s="10" t="str">
        <f>VLOOKUP(C983,'mayo-26'!B:J,9,0)</f>
        <v>VILLA DEL ROSARIO</v>
      </c>
      <c r="L983" s="1" t="str">
        <f>VLOOKUP(C983,'mayo-26'!B:K,10,0)</f>
        <v>NO</v>
      </c>
      <c r="M983" s="20" t="s">
        <v>1998</v>
      </c>
      <c r="N983" s="20" t="s">
        <v>1999</v>
      </c>
      <c r="O983" s="20" t="s">
        <v>2000</v>
      </c>
      <c r="P983" s="20" t="s">
        <v>126</v>
      </c>
      <c r="Q983" s="20" t="s">
        <v>131</v>
      </c>
      <c r="R983" s="20" t="s">
        <v>132</v>
      </c>
      <c r="S983" s="20" t="s">
        <v>133</v>
      </c>
      <c r="T983" s="20" t="s">
        <v>163</v>
      </c>
      <c r="U983" s="20">
        <v>2026.0</v>
      </c>
      <c r="V983" s="20">
        <v>6.0</v>
      </c>
      <c r="W983" s="20">
        <v>1.081874917E9</v>
      </c>
      <c r="X983" s="20">
        <v>1.081893389E9</v>
      </c>
      <c r="Y983" s="22">
        <v>46182.0</v>
      </c>
      <c r="Z983" s="22">
        <v>46207.0</v>
      </c>
      <c r="AA983" s="20">
        <v>24232.5</v>
      </c>
      <c r="AB983" s="20">
        <v>24232.5</v>
      </c>
      <c r="AC983" s="20">
        <v>8077.5</v>
      </c>
      <c r="AD983" s="20">
        <v>0.0</v>
      </c>
      <c r="AE983" s="20">
        <v>0.0</v>
      </c>
      <c r="AF983" s="20">
        <v>0.0</v>
      </c>
      <c r="AG983" s="20">
        <v>0.0</v>
      </c>
      <c r="AH983" s="20">
        <v>0.0</v>
      </c>
      <c r="AI983" s="20">
        <v>0.0</v>
      </c>
      <c r="AJ983" s="20">
        <v>24232.5</v>
      </c>
      <c r="AK983" s="20">
        <v>48195.0</v>
      </c>
      <c r="AL983" s="20">
        <v>1.0</v>
      </c>
      <c r="AM983" s="20">
        <v>416.67</v>
      </c>
      <c r="AN983" s="20">
        <v>0.0</v>
      </c>
      <c r="AS983" s="11" t="str">
        <f>VLOOKUP(C983,'mayo-26'!B:AS,44,0)</f>
        <v/>
      </c>
      <c r="AT983" s="12" t="str">
        <f>VLOOKUP(C983,'mayo-26'!B:AT,45,0)</f>
        <v>VERIFICADOR</v>
      </c>
    </row>
    <row r="984" ht="14.25" customHeight="1">
      <c r="A984" s="20" t="s">
        <v>2037</v>
      </c>
      <c r="B984" s="20">
        <v>535856.0</v>
      </c>
      <c r="C984" s="20">
        <v>470561.0</v>
      </c>
      <c r="D984" s="21">
        <v>506549.0</v>
      </c>
      <c r="E984" s="20">
        <v>1113322.0</v>
      </c>
      <c r="F984" s="20">
        <v>1113322.0</v>
      </c>
      <c r="G984" s="20">
        <v>1113322.0</v>
      </c>
      <c r="H984" s="20" t="s">
        <v>2038</v>
      </c>
      <c r="I984" s="1" t="str">
        <f>VLOOKUP(C984,'mayo-26'!B:H,7,0)</f>
        <v>KMT 7 9 ANL VIAL ORIENTAL BDG 7 1034</v>
      </c>
      <c r="J984" s="1" t="s">
        <v>2039</v>
      </c>
      <c r="K984" s="10" t="str">
        <f>VLOOKUP(C984,'mayo-26'!B:J,9,0)</f>
        <v>NO</v>
      </c>
      <c r="L984" s="1" t="str">
        <f>VLOOKUP(C984,'mayo-26'!B:K,10,0)</f>
        <v>D1</v>
      </c>
      <c r="M984" s="20" t="s">
        <v>1998</v>
      </c>
      <c r="N984" s="20" t="s">
        <v>2011</v>
      </c>
      <c r="O984" s="20" t="s">
        <v>2000</v>
      </c>
      <c r="P984" s="20" t="s">
        <v>126</v>
      </c>
      <c r="Q984" s="20" t="s">
        <v>56</v>
      </c>
      <c r="R984" s="20" t="s">
        <v>90</v>
      </c>
      <c r="S984" s="20" t="s">
        <v>143</v>
      </c>
      <c r="T984" s="20" t="s">
        <v>59</v>
      </c>
      <c r="U984" s="20">
        <v>2026.0</v>
      </c>
      <c r="V984" s="20">
        <v>6.0</v>
      </c>
      <c r="W984" s="20">
        <v>1.081874919E9</v>
      </c>
      <c r="X984" s="20">
        <v>1.081893391E9</v>
      </c>
      <c r="Y984" s="22">
        <v>46182.0</v>
      </c>
      <c r="Z984" s="22">
        <v>46207.0</v>
      </c>
      <c r="AA984" s="20">
        <v>188334.75</v>
      </c>
      <c r="AB984" s="20">
        <v>188334.75</v>
      </c>
      <c r="AC984" s="20">
        <v>62778.25</v>
      </c>
      <c r="AD984" s="20">
        <v>500.0</v>
      </c>
      <c r="AE984" s="20">
        <v>0.0</v>
      </c>
      <c r="AF984" s="20">
        <v>0.0</v>
      </c>
      <c r="AG984" s="20">
        <v>0.0</v>
      </c>
      <c r="AH984" s="20">
        <v>0.0</v>
      </c>
      <c r="AI984" s="20">
        <v>0.0</v>
      </c>
      <c r="AJ984" s="20">
        <v>188334.75</v>
      </c>
      <c r="AK984" s="20">
        <v>609270.0</v>
      </c>
      <c r="AL984" s="20">
        <v>2.0</v>
      </c>
      <c r="AM984" s="20">
        <v>6858.0</v>
      </c>
      <c r="AN984" s="20">
        <v>0.0</v>
      </c>
      <c r="AS984" s="11" t="str">
        <f>VLOOKUP(C984,'mayo-26'!B:AS,44,0)</f>
        <v>ALBA.CELIS@D1.COM.CO;CARMEN.DAVILA@D1.COM.CO</v>
      </c>
      <c r="AT984" s="12" t="str">
        <f>VLOOKUP(C984,'mayo-26'!B:AT,45,0)</f>
        <v>CORREO ELECTRONICO CERTIFICADO 472</v>
      </c>
    </row>
    <row r="985" ht="14.25" customHeight="1">
      <c r="A985" s="20" t="s">
        <v>2040</v>
      </c>
      <c r="B985" s="20">
        <v>404633.0</v>
      </c>
      <c r="C985" s="20">
        <v>79213.0</v>
      </c>
      <c r="D985" s="21">
        <v>79213.0</v>
      </c>
      <c r="E985" s="20">
        <v>108262.0</v>
      </c>
      <c r="F985" s="20">
        <v>108262.0</v>
      </c>
      <c r="G985" s="20">
        <v>8.60002964E8</v>
      </c>
      <c r="H985" s="20" t="s">
        <v>705</v>
      </c>
      <c r="I985" s="1" t="str">
        <f>VLOOKUP(C985,'mayo-26'!B:H,7,0)</f>
        <v>AVE 6 10-82 - CENTRO</v>
      </c>
      <c r="J985" s="1" t="s">
        <v>640</v>
      </c>
      <c r="K985" s="10" t="str">
        <f>VLOOKUP(C985,'mayo-26'!B:J,9,0)</f>
        <v>NO</v>
      </c>
      <c r="L985" s="1" t="str">
        <f>VLOOKUP(C985,'mayo-26'!B:K,10,0)</f>
        <v>BANCO BOGOTA</v>
      </c>
      <c r="M985" s="20" t="s">
        <v>1998</v>
      </c>
      <c r="N985" s="20" t="s">
        <v>2011</v>
      </c>
      <c r="O985" s="20" t="s">
        <v>2000</v>
      </c>
      <c r="P985" s="20" t="s">
        <v>126</v>
      </c>
      <c r="Q985" s="20" t="s">
        <v>131</v>
      </c>
      <c r="R985" s="20" t="s">
        <v>363</v>
      </c>
      <c r="S985" s="20" t="s">
        <v>133</v>
      </c>
      <c r="T985" s="20" t="s">
        <v>59</v>
      </c>
      <c r="U985" s="20">
        <v>2026.0</v>
      </c>
      <c r="V985" s="20">
        <v>6.0</v>
      </c>
      <c r="W985" s="20">
        <v>1.081874896E9</v>
      </c>
      <c r="X985" s="20">
        <v>1.081893368E9</v>
      </c>
      <c r="Y985" s="22">
        <v>46182.0</v>
      </c>
      <c r="Z985" s="22">
        <v>46207.0</v>
      </c>
      <c r="AA985" s="20">
        <v>58140.0</v>
      </c>
      <c r="AB985" s="20">
        <v>58140.0</v>
      </c>
      <c r="AC985" s="20">
        <v>19380.0</v>
      </c>
      <c r="AD985" s="20">
        <v>0.0</v>
      </c>
      <c r="AE985" s="20">
        <v>0.0</v>
      </c>
      <c r="AF985" s="20">
        <v>0.0</v>
      </c>
      <c r="AG985" s="20">
        <v>0.0</v>
      </c>
      <c r="AH985" s="20">
        <v>0.0</v>
      </c>
      <c r="AI985" s="20">
        <v>0.0</v>
      </c>
      <c r="AJ985" s="20">
        <v>58140.0</v>
      </c>
      <c r="AK985" s="20">
        <v>58140.0</v>
      </c>
      <c r="AL985" s="20">
        <v>0.0</v>
      </c>
      <c r="AM985" s="20">
        <v>416.67</v>
      </c>
      <c r="AN985" s="20">
        <v>0.0</v>
      </c>
      <c r="AS985" s="11" t="str">
        <f>VLOOKUP(C985,'mayo-26'!B:AS,44,0)</f>
        <v>AVS3260@BANCODEBOGOTA.COM.CO</v>
      </c>
      <c r="AT985" s="12" t="str">
        <f>VLOOKUP(C985,'mayo-26'!B:AT,45,0)</f>
        <v>CORREO ELECTRONICO CERTIFICADO 472</v>
      </c>
    </row>
    <row r="986" ht="14.25" customHeight="1">
      <c r="A986" s="20" t="s">
        <v>2041</v>
      </c>
      <c r="B986" s="20">
        <v>141.0</v>
      </c>
      <c r="C986" s="20">
        <v>85729.0</v>
      </c>
      <c r="D986" s="21">
        <v>85729.0</v>
      </c>
      <c r="E986" s="20">
        <v>107086.0</v>
      </c>
      <c r="F986" s="20">
        <v>107086.0</v>
      </c>
      <c r="G986" s="20">
        <v>8.90500514E8</v>
      </c>
      <c r="H986" s="20" t="s">
        <v>145</v>
      </c>
      <c r="I986" s="1" t="str">
        <f>VLOOKUP(C986,'mayo-26'!B:H,7,0)</f>
        <v>AV 2 CALLE 39 LIBERTAD</v>
      </c>
      <c r="J986" s="1" t="s">
        <v>2042</v>
      </c>
      <c r="K986" s="10" t="str">
        <f>VLOOKUP(C986,'mayo-26'!B:J,9,0)</f>
        <v>NO</v>
      </c>
      <c r="L986" s="1" t="str">
        <f>VLOOKUP(C986,'mayo-26'!B:K,10,0)</f>
        <v>CENS</v>
      </c>
      <c r="M986" s="20" t="s">
        <v>1998</v>
      </c>
      <c r="N986" s="20" t="s">
        <v>2011</v>
      </c>
      <c r="O986" s="20" t="s">
        <v>2000</v>
      </c>
      <c r="P986" s="20" t="s">
        <v>126</v>
      </c>
      <c r="Q986" s="20" t="s">
        <v>131</v>
      </c>
      <c r="R986" s="20" t="s">
        <v>363</v>
      </c>
      <c r="S986" s="20" t="s">
        <v>133</v>
      </c>
      <c r="T986" s="20" t="s">
        <v>59</v>
      </c>
      <c r="U986" s="20">
        <v>2026.0</v>
      </c>
      <c r="V986" s="20">
        <v>6.0</v>
      </c>
      <c r="W986" s="20">
        <v>1.081874898E9</v>
      </c>
      <c r="X986" s="20">
        <v>1.08189337E9</v>
      </c>
      <c r="Y986" s="22">
        <v>46182.0</v>
      </c>
      <c r="Z986" s="22">
        <v>46207.0</v>
      </c>
      <c r="AA986" s="20">
        <v>58140.0</v>
      </c>
      <c r="AB986" s="20">
        <v>58140.0</v>
      </c>
      <c r="AC986" s="20">
        <v>19380.0</v>
      </c>
      <c r="AD986" s="20">
        <v>0.0</v>
      </c>
      <c r="AE986" s="20">
        <v>0.0</v>
      </c>
      <c r="AF986" s="20">
        <v>0.0</v>
      </c>
      <c r="AG986" s="20">
        <v>0.0</v>
      </c>
      <c r="AH986" s="20">
        <v>0.0</v>
      </c>
      <c r="AI986" s="20">
        <v>0.0</v>
      </c>
      <c r="AJ986" s="20">
        <v>58140.0</v>
      </c>
      <c r="AK986" s="20">
        <v>58140.0</v>
      </c>
      <c r="AL986" s="20">
        <v>0.0</v>
      </c>
      <c r="AM986" s="20">
        <v>416.67</v>
      </c>
      <c r="AN986" s="20">
        <v>0.0</v>
      </c>
      <c r="AS986" s="11" t="str">
        <f>VLOOKUP(C986,'mayo-26'!B:AS,44,0)</f>
        <v>FACTURAELECTRONICACENS@GRUPO-EPM.COM</v>
      </c>
      <c r="AT986" s="12" t="str">
        <f>VLOOKUP(C986,'mayo-26'!B:AT,45,0)</f>
        <v>CORREO ELECTRONICO CERTIFICADO 472</v>
      </c>
    </row>
    <row r="987" ht="14.25" customHeight="1">
      <c r="A987" s="20" t="s">
        <v>2043</v>
      </c>
      <c r="B987" s="20">
        <v>699.0</v>
      </c>
      <c r="C987" s="20">
        <v>85805.0</v>
      </c>
      <c r="D987" s="21">
        <v>85805.0</v>
      </c>
      <c r="E987" s="20">
        <v>106871.0</v>
      </c>
      <c r="F987" s="20">
        <v>106871.0</v>
      </c>
      <c r="G987" s="20">
        <v>9.00480569E8</v>
      </c>
      <c r="H987" s="20" t="s">
        <v>141</v>
      </c>
      <c r="I987" s="1" t="str">
        <f>VLOOKUP(C987,'mayo-26'!B:H,7,0)</f>
        <v>CLL 12 4-52 CENTRO</v>
      </c>
      <c r="J987" s="1" t="s">
        <v>2042</v>
      </c>
      <c r="K987" s="10" t="str">
        <f>VLOOKUP(C987,'mayo-26'!B:J,9,0)</f>
        <v>NO</v>
      </c>
      <c r="L987" s="1" t="str">
        <f>VLOOKUP(C987,'mayo-26'!B:K,10,0)</f>
        <v>ARA VILLAROSARIO</v>
      </c>
      <c r="M987" s="20" t="s">
        <v>1998</v>
      </c>
      <c r="N987" s="20" t="s">
        <v>2011</v>
      </c>
      <c r="O987" s="20" t="s">
        <v>2000</v>
      </c>
      <c r="P987" s="20" t="s">
        <v>126</v>
      </c>
      <c r="Q987" s="20" t="s">
        <v>56</v>
      </c>
      <c r="R987" s="20" t="s">
        <v>90</v>
      </c>
      <c r="S987" s="20" t="s">
        <v>143</v>
      </c>
      <c r="T987" s="20" t="s">
        <v>59</v>
      </c>
      <c r="U987" s="20">
        <v>2026.0</v>
      </c>
      <c r="V987" s="20">
        <v>6.0</v>
      </c>
      <c r="W987" s="20">
        <v>1.081874902E9</v>
      </c>
      <c r="X987" s="20">
        <v>1.081893374E9</v>
      </c>
      <c r="Y987" s="22">
        <v>46182.0</v>
      </c>
      <c r="Z987" s="22">
        <v>46207.0</v>
      </c>
      <c r="AA987" s="20">
        <v>192327.2</v>
      </c>
      <c r="AB987" s="20">
        <v>192327.2</v>
      </c>
      <c r="AC987" s="20">
        <v>62076.25</v>
      </c>
      <c r="AD987" s="20">
        <v>500.0</v>
      </c>
      <c r="AE987" s="20">
        <v>6098.45</v>
      </c>
      <c r="AF987" s="20">
        <v>0.0</v>
      </c>
      <c r="AG987" s="20">
        <v>0.0</v>
      </c>
      <c r="AH987" s="20">
        <v>0.0</v>
      </c>
      <c r="AI987" s="20">
        <v>0.0</v>
      </c>
      <c r="AJ987" s="20">
        <v>192327.2</v>
      </c>
      <c r="AK987" s="20">
        <v>378321.95</v>
      </c>
      <c r="AL987" s="20">
        <v>1.0</v>
      </c>
      <c r="AM987" s="20">
        <v>416.67</v>
      </c>
      <c r="AN987" s="20">
        <v>0.0</v>
      </c>
      <c r="AS987" s="11" t="str">
        <f>VLOOKUP(C987,'mayo-26'!B:AS,44,0)</f>
        <v>COORDINADOR.OPERACIONES.R11@JERONIMO-MARTINS.COM</v>
      </c>
      <c r="AT987" s="12" t="str">
        <f>VLOOKUP(C987,'mayo-26'!B:AT,45,0)</f>
        <v>CORREO ELECTRONICO CERTIFICADO 472</v>
      </c>
    </row>
    <row r="988" ht="14.25" customHeight="1">
      <c r="A988" s="20" t="s">
        <v>2044</v>
      </c>
      <c r="B988" s="20">
        <v>89374.0</v>
      </c>
      <c r="C988" s="20">
        <v>89373.0</v>
      </c>
      <c r="D988" s="21">
        <v>89373.0</v>
      </c>
      <c r="E988" s="20">
        <v>268.0</v>
      </c>
      <c r="F988" s="20">
        <v>268.0</v>
      </c>
      <c r="G988" s="20">
        <v>9.01525686E8</v>
      </c>
      <c r="H988" s="20" t="s">
        <v>2045</v>
      </c>
      <c r="I988" s="1" t="str">
        <f>VLOOKUP(C988,'mayo-26'!B:H,7,0)</f>
        <v>MNZ Z LTE 23 LA PARADA</v>
      </c>
      <c r="J988" s="1" t="s">
        <v>2046</v>
      </c>
      <c r="K988" s="10" t="str">
        <f>VLOOKUP(C988,'mayo-26'!B:J,9,0)</f>
        <v>NO</v>
      </c>
      <c r="L988" s="1" t="str">
        <f>VLOOKUP(C988,'mayo-26'!B:K,10,0)</f>
        <v>NO</v>
      </c>
      <c r="M988" s="20" t="s">
        <v>1998</v>
      </c>
      <c r="N988" s="20" t="s">
        <v>1999</v>
      </c>
      <c r="O988" s="20" t="s">
        <v>2000</v>
      </c>
      <c r="P988" s="20" t="s">
        <v>126</v>
      </c>
      <c r="Q988" s="20" t="s">
        <v>131</v>
      </c>
      <c r="R988" s="20" t="s">
        <v>132</v>
      </c>
      <c r="S988" s="20" t="s">
        <v>133</v>
      </c>
      <c r="T988" s="20" t="s">
        <v>59</v>
      </c>
      <c r="U988" s="20">
        <v>2026.0</v>
      </c>
      <c r="V988" s="20">
        <v>6.0</v>
      </c>
      <c r="W988" s="20">
        <v>1.081874909E9</v>
      </c>
      <c r="X988" s="20">
        <v>1.081893381E9</v>
      </c>
      <c r="Y988" s="22">
        <v>46182.0</v>
      </c>
      <c r="Z988" s="22">
        <v>46207.0</v>
      </c>
      <c r="AA988" s="20">
        <v>91053.0</v>
      </c>
      <c r="AB988" s="20">
        <v>91053.0</v>
      </c>
      <c r="AC988" s="20">
        <v>30351.0</v>
      </c>
      <c r="AD988" s="20">
        <v>0.0</v>
      </c>
      <c r="AE988" s="20">
        <v>0.0</v>
      </c>
      <c r="AF988" s="20">
        <v>0.0</v>
      </c>
      <c r="AG988" s="20">
        <v>0.0</v>
      </c>
      <c r="AH988" s="20">
        <v>0.0</v>
      </c>
      <c r="AI988" s="20">
        <v>0.0</v>
      </c>
      <c r="AJ988" s="20">
        <v>91053.0</v>
      </c>
      <c r="AK988" s="20">
        <v>91053.0</v>
      </c>
      <c r="AL988" s="20">
        <v>0.0</v>
      </c>
      <c r="AM988" s="20">
        <v>416.67</v>
      </c>
      <c r="AN988" s="20">
        <v>0.0</v>
      </c>
      <c r="AS988" s="11" t="str">
        <f>VLOOKUP(C988,'mayo-26'!B:AS,44,0)</f>
        <v>QATARMOTEL01@HOTMAIL.COM</v>
      </c>
      <c r="AT988" s="12" t="str">
        <f>VLOOKUP(C988,'mayo-26'!B:AT,45,0)</f>
        <v>CORREO ELECTRONICO CERTIFICADO 472</v>
      </c>
    </row>
    <row r="989" ht="14.25" customHeight="1">
      <c r="A989" s="20" t="s">
        <v>2047</v>
      </c>
      <c r="B989" s="20">
        <v>2125.0</v>
      </c>
      <c r="C989" s="20">
        <v>2124.0</v>
      </c>
      <c r="D989" s="21">
        <v>2124.0</v>
      </c>
      <c r="E989" s="20">
        <v>9.0410607E7</v>
      </c>
      <c r="F989" s="20">
        <v>9.0410607E7</v>
      </c>
      <c r="G989" s="20">
        <v>8.99999068E8</v>
      </c>
      <c r="H989" s="20" t="s">
        <v>2048</v>
      </c>
      <c r="I989" s="1" t="str">
        <f>VLOOKUP(C989,'mayo-26'!B:H,7,0)</f>
        <v>KM 8 AUTOP SAN ANTONIO</v>
      </c>
      <c r="J989" s="1" t="s">
        <v>76</v>
      </c>
      <c r="K989" s="10" t="str">
        <f>VLOOKUP(C989,'mayo-26'!B:J,9,0)</f>
        <v>NO</v>
      </c>
      <c r="L989" s="1" t="str">
        <f>VLOOKUP(C989,'mayo-26'!B:K,10,0)</f>
        <v>NO</v>
      </c>
      <c r="M989" s="20" t="s">
        <v>1998</v>
      </c>
      <c r="N989" s="20" t="s">
        <v>1999</v>
      </c>
      <c r="O989" s="20" t="s">
        <v>2000</v>
      </c>
      <c r="P989" s="20" t="s">
        <v>126</v>
      </c>
      <c r="Q989" s="20" t="s">
        <v>56</v>
      </c>
      <c r="R989" s="20" t="s">
        <v>90</v>
      </c>
      <c r="S989" s="20" t="s">
        <v>143</v>
      </c>
      <c r="T989" s="20" t="s">
        <v>59</v>
      </c>
      <c r="U989" s="20">
        <v>2026.0</v>
      </c>
      <c r="V989" s="20">
        <v>6.0</v>
      </c>
      <c r="W989" s="20">
        <v>1.081874886E9</v>
      </c>
      <c r="X989" s="20">
        <v>1.081893358E9</v>
      </c>
      <c r="Y989" s="22">
        <v>46182.0</v>
      </c>
      <c r="Z989" s="22">
        <v>46207.0</v>
      </c>
      <c r="AA989" s="20">
        <v>396339.99</v>
      </c>
      <c r="AB989" s="20">
        <v>396339.99</v>
      </c>
      <c r="AC989" s="20">
        <v>132113.34</v>
      </c>
      <c r="AD989" s="20">
        <v>1152.5</v>
      </c>
      <c r="AE989" s="20">
        <v>0.0</v>
      </c>
      <c r="AF989" s="20">
        <v>0.0</v>
      </c>
      <c r="AG989" s="20">
        <v>0.0</v>
      </c>
      <c r="AH989" s="20">
        <v>0.0</v>
      </c>
      <c r="AI989" s="20">
        <v>0.0</v>
      </c>
      <c r="AJ989" s="20">
        <v>396339.99</v>
      </c>
      <c r="AK989" s="20">
        <v>396339.99</v>
      </c>
      <c r="AL989" s="20">
        <v>0.0</v>
      </c>
      <c r="AM989" s="20">
        <v>416.67</v>
      </c>
      <c r="AN989" s="20">
        <v>0.0</v>
      </c>
      <c r="AS989" s="11" t="str">
        <f>VLOOKUP(C989,'mayo-26'!B:AS,44,0)</f>
        <v>SERVICIOS.PUBLICOS@CENIT-TRANSPORTE.COM</v>
      </c>
      <c r="AT989" s="12" t="str">
        <f>VLOOKUP(C989,'mayo-26'!B:AT,45,0)</f>
        <v>CORREO ELECTRONICO CERTIFICADO 472</v>
      </c>
    </row>
    <row r="990" ht="14.25" customHeight="1">
      <c r="A990" s="20" t="s">
        <v>2049</v>
      </c>
      <c r="B990" s="20">
        <v>2129.0</v>
      </c>
      <c r="C990" s="20">
        <v>2128.0</v>
      </c>
      <c r="D990" s="21">
        <v>2128.0</v>
      </c>
      <c r="E990" s="20">
        <v>9.0410612E7</v>
      </c>
      <c r="F990" s="20">
        <v>9.0410612E7</v>
      </c>
      <c r="G990" s="20" t="s">
        <v>2050</v>
      </c>
      <c r="H990" s="20" t="s">
        <v>2051</v>
      </c>
      <c r="I990" s="1" t="str">
        <f>VLOOKUP(C990,'mayo-26'!B:H,7,0)</f>
        <v>FINCA LA SOLITA VEREDA EL PALM - 0410612</v>
      </c>
      <c r="J990" s="1" t="s">
        <v>76</v>
      </c>
      <c r="K990" s="10" t="str">
        <f>VLOOKUP(C990,'mayo-26'!B:J,9,0)</f>
        <v>VILLA DEL ROSARIO</v>
      </c>
      <c r="L990" s="1" t="str">
        <f>VLOOKUP(C990,'mayo-26'!B:K,10,0)</f>
        <v>NO</v>
      </c>
      <c r="M990" s="20" t="s">
        <v>1998</v>
      </c>
      <c r="N990" s="20" t="s">
        <v>1999</v>
      </c>
      <c r="O990" s="20" t="s">
        <v>2000</v>
      </c>
      <c r="P990" s="20" t="s">
        <v>126</v>
      </c>
      <c r="Q990" s="20" t="s">
        <v>131</v>
      </c>
      <c r="R990" s="20" t="s">
        <v>132</v>
      </c>
      <c r="S990" s="20" t="s">
        <v>133</v>
      </c>
      <c r="T990" s="20" t="s">
        <v>59</v>
      </c>
      <c r="U990" s="20">
        <v>2026.0</v>
      </c>
      <c r="V990" s="20">
        <v>6.0</v>
      </c>
      <c r="W990" s="20">
        <v>1.08187489E9</v>
      </c>
      <c r="X990" s="20">
        <v>1.081893362E9</v>
      </c>
      <c r="Y990" s="22">
        <v>46182.0</v>
      </c>
      <c r="Z990" s="22">
        <v>46207.0</v>
      </c>
      <c r="AA990" s="20">
        <v>91053.0</v>
      </c>
      <c r="AB990" s="20">
        <v>91053.0</v>
      </c>
      <c r="AC990" s="20">
        <v>30351.0</v>
      </c>
      <c r="AD990" s="20">
        <v>0.0</v>
      </c>
      <c r="AE990" s="20">
        <v>0.0</v>
      </c>
      <c r="AF990" s="20">
        <v>0.0</v>
      </c>
      <c r="AG990" s="20">
        <v>0.0</v>
      </c>
      <c r="AH990" s="20">
        <v>0.0</v>
      </c>
      <c r="AI990" s="20">
        <v>0.0</v>
      </c>
      <c r="AJ990" s="20">
        <v>91053.0</v>
      </c>
      <c r="AK990" s="20">
        <v>181851.0</v>
      </c>
      <c r="AL990" s="20">
        <v>1.0</v>
      </c>
      <c r="AM990" s="20">
        <v>416.67</v>
      </c>
      <c r="AN990" s="20">
        <v>0.0</v>
      </c>
      <c r="AS990" s="11" t="str">
        <f>VLOOKUP(C990,'mayo-26'!B:AS,44,0)</f>
        <v>COMPRASANDINA2020@GMAIL.COM</v>
      </c>
      <c r="AT990" s="12" t="str">
        <f>VLOOKUP(C990,'mayo-26'!B:AT,45,0)</f>
        <v>VERIFICADOR</v>
      </c>
    </row>
    <row r="991" ht="14.25" customHeight="1">
      <c r="A991" s="20" t="s">
        <v>2052</v>
      </c>
      <c r="B991" s="20">
        <v>2133.0</v>
      </c>
      <c r="C991" s="20">
        <v>2132.0</v>
      </c>
      <c r="D991" s="21">
        <v>2132.0</v>
      </c>
      <c r="E991" s="20">
        <v>9.0410617E7</v>
      </c>
      <c r="F991" s="20">
        <v>9.0410617E7</v>
      </c>
      <c r="G991" s="20" t="s">
        <v>2053</v>
      </c>
      <c r="H991" s="20" t="s">
        <v>2054</v>
      </c>
      <c r="I991" s="1" t="str">
        <f>VLOOKUP(C991,'mayo-26'!B:H,7,0)</f>
        <v>CLL 7 11B-176 MZ 2 LOTE 7 LA PARADA</v>
      </c>
      <c r="J991" s="1" t="s">
        <v>76</v>
      </c>
      <c r="K991" s="10" t="str">
        <f>VLOOKUP(C991,'mayo-26'!B:J,9,0)</f>
        <v>NO</v>
      </c>
      <c r="L991" s="1" t="str">
        <f>VLOOKUP(C991,'mayo-26'!B:K,10,0)</f>
        <v>NO</v>
      </c>
      <c r="M991" s="20" t="s">
        <v>1998</v>
      </c>
      <c r="N991" s="20" t="s">
        <v>1999</v>
      </c>
      <c r="O991" s="20" t="s">
        <v>2000</v>
      </c>
      <c r="P991" s="20" t="s">
        <v>126</v>
      </c>
      <c r="Q991" s="20" t="s">
        <v>131</v>
      </c>
      <c r="R991" s="20" t="s">
        <v>132</v>
      </c>
      <c r="S991" s="20" t="s">
        <v>133</v>
      </c>
      <c r="T991" s="20" t="s">
        <v>59</v>
      </c>
      <c r="U991" s="20">
        <v>2026.0</v>
      </c>
      <c r="V991" s="20">
        <v>6.0</v>
      </c>
      <c r="W991" s="20">
        <v>1.081874899E9</v>
      </c>
      <c r="X991" s="20">
        <v>1.081893371E9</v>
      </c>
      <c r="Y991" s="22">
        <v>46182.0</v>
      </c>
      <c r="Z991" s="22">
        <v>46207.0</v>
      </c>
      <c r="AA991" s="20">
        <v>91053.0</v>
      </c>
      <c r="AB991" s="20">
        <v>91053.0</v>
      </c>
      <c r="AC991" s="20">
        <v>30351.0</v>
      </c>
      <c r="AD991" s="20">
        <v>0.0</v>
      </c>
      <c r="AE991" s="20">
        <v>0.0</v>
      </c>
      <c r="AF991" s="20">
        <v>0.0</v>
      </c>
      <c r="AG991" s="20">
        <v>0.0</v>
      </c>
      <c r="AH991" s="20">
        <v>0.0</v>
      </c>
      <c r="AI991" s="20">
        <v>0.0</v>
      </c>
      <c r="AJ991" s="20">
        <v>91053.0</v>
      </c>
      <c r="AK991" s="20">
        <v>91053.0</v>
      </c>
      <c r="AL991" s="20">
        <v>0.0</v>
      </c>
      <c r="AM991" s="20">
        <v>416.67</v>
      </c>
      <c r="AN991" s="20">
        <v>0.0</v>
      </c>
      <c r="AS991" s="11" t="str">
        <f>VLOOKUP(C991,'mayo-26'!B:AS,44,0)</f>
        <v>MOTELELCASTILLO@OUTLOOK.COM</v>
      </c>
      <c r="AT991" s="12" t="str">
        <f>VLOOKUP(C991,'mayo-26'!B:AT,45,0)</f>
        <v>CORREO ELECTRONICO CERTIFICADO 472</v>
      </c>
    </row>
    <row r="992" ht="14.25" customHeight="1">
      <c r="A992" s="20" t="s">
        <v>2055</v>
      </c>
      <c r="B992" s="20">
        <v>2141.0</v>
      </c>
      <c r="C992" s="20">
        <v>2140.0</v>
      </c>
      <c r="D992" s="21">
        <v>2140.0</v>
      </c>
      <c r="E992" s="20">
        <v>9.0410641E7</v>
      </c>
      <c r="F992" s="20">
        <v>9.0410641E7</v>
      </c>
      <c r="G992" s="20" t="s">
        <v>2056</v>
      </c>
      <c r="H992" s="20" t="s">
        <v>2057</v>
      </c>
      <c r="I992" s="1" t="str">
        <f>VLOOKUP(C992,'mayo-26'!B:H,7,0)</f>
        <v>AUTOP. SAN ANTONIO N 8N-255</v>
      </c>
      <c r="J992" s="1" t="s">
        <v>76</v>
      </c>
      <c r="K992" s="10" t="str">
        <f>VLOOKUP(C992,'mayo-26'!B:J,9,0)</f>
        <v>VILLA DEL ROSARIO</v>
      </c>
      <c r="L992" s="1" t="str">
        <f>VLOOKUP(C992,'mayo-26'!B:K,10,0)</f>
        <v>NO</v>
      </c>
      <c r="M992" s="20" t="s">
        <v>1998</v>
      </c>
      <c r="N992" s="20" t="s">
        <v>1999</v>
      </c>
      <c r="O992" s="20" t="s">
        <v>2000</v>
      </c>
      <c r="P992" s="20" t="s">
        <v>126</v>
      </c>
      <c r="Q992" s="20" t="s">
        <v>56</v>
      </c>
      <c r="R992" s="20" t="s">
        <v>90</v>
      </c>
      <c r="S992" s="20" t="s">
        <v>143</v>
      </c>
      <c r="T992" s="20" t="s">
        <v>59</v>
      </c>
      <c r="U992" s="20">
        <v>2026.0</v>
      </c>
      <c r="V992" s="20">
        <v>6.0</v>
      </c>
      <c r="W992" s="20">
        <v>1.081874903E9</v>
      </c>
      <c r="X992" s="20">
        <v>1.081893375E9</v>
      </c>
      <c r="Y992" s="22">
        <v>46182.0</v>
      </c>
      <c r="Z992" s="22">
        <v>46207.0</v>
      </c>
      <c r="AA992" s="20">
        <v>105726.38</v>
      </c>
      <c r="AB992" s="20">
        <v>105726.38</v>
      </c>
      <c r="AC992" s="20">
        <v>35242.13</v>
      </c>
      <c r="AD992" s="20">
        <v>250.0</v>
      </c>
      <c r="AE992" s="20">
        <v>0.0</v>
      </c>
      <c r="AF992" s="20">
        <v>0.0</v>
      </c>
      <c r="AG992" s="20">
        <v>0.0</v>
      </c>
      <c r="AH992" s="20">
        <v>0.0</v>
      </c>
      <c r="AI992" s="20">
        <v>0.0</v>
      </c>
      <c r="AJ992" s="20">
        <v>105726.38</v>
      </c>
      <c r="AK992" s="20">
        <v>211953.44</v>
      </c>
      <c r="AL992" s="20">
        <v>2.0</v>
      </c>
      <c r="AM992" s="20">
        <v>416.67</v>
      </c>
      <c r="AN992" s="20">
        <v>0.0</v>
      </c>
      <c r="AS992" s="11" t="str">
        <f>VLOOKUP(C992,'mayo-26'!B:AS,44,0)</f>
        <v>CONTABILIDADONAVA@GMAIL.COM</v>
      </c>
      <c r="AT992" s="12" t="str">
        <f>VLOOKUP(C992,'mayo-26'!B:AT,45,0)</f>
        <v>VERIFICADOR</v>
      </c>
    </row>
    <row r="993" ht="14.25" customHeight="1">
      <c r="A993" s="20" t="s">
        <v>2058</v>
      </c>
      <c r="B993" s="20">
        <v>2145.0</v>
      </c>
      <c r="C993" s="20">
        <v>2144.0</v>
      </c>
      <c r="D993" s="21">
        <v>2144.0</v>
      </c>
      <c r="E993" s="20">
        <v>9.0410651E7</v>
      </c>
      <c r="F993" s="20">
        <v>9.0410651E7</v>
      </c>
      <c r="G993" s="20">
        <v>1.090473226E9</v>
      </c>
      <c r="H993" s="20" t="s">
        <v>2059</v>
      </c>
      <c r="I993" s="1" t="str">
        <f>VLOOKUP(C993,'mayo-26'!B:H,7,0)</f>
        <v>CARRERA 1 E 9-123 VILLA ANTIGUA</v>
      </c>
      <c r="J993" s="1" t="s">
        <v>2006</v>
      </c>
      <c r="K993" s="10" t="str">
        <f>VLOOKUP(C993,'mayo-26'!B:J,9,0)</f>
        <v>VILLA DEL ROSARIO</v>
      </c>
      <c r="L993" s="1" t="str">
        <f>VLOOKUP(C993,'mayo-26'!B:K,10,0)</f>
        <v>NO</v>
      </c>
      <c r="M993" s="20" t="s">
        <v>1998</v>
      </c>
      <c r="N993" s="20" t="s">
        <v>1999</v>
      </c>
      <c r="O993" s="20" t="s">
        <v>2000</v>
      </c>
      <c r="P993" s="20" t="s">
        <v>126</v>
      </c>
      <c r="Q993" s="20" t="s">
        <v>56</v>
      </c>
      <c r="R993" s="20" t="s">
        <v>90</v>
      </c>
      <c r="S993" s="20" t="s">
        <v>143</v>
      </c>
      <c r="T993" s="20" t="s">
        <v>59</v>
      </c>
      <c r="U993" s="20">
        <v>2026.0</v>
      </c>
      <c r="V993" s="20">
        <v>6.0</v>
      </c>
      <c r="W993" s="20">
        <v>1.081874906E9</v>
      </c>
      <c r="X993" s="20">
        <v>1.081893378E9</v>
      </c>
      <c r="Y993" s="22">
        <v>46182.0</v>
      </c>
      <c r="Z993" s="22">
        <v>46207.0</v>
      </c>
      <c r="AA993" s="20">
        <v>185423.75</v>
      </c>
      <c r="AB993" s="20">
        <v>185423.75</v>
      </c>
      <c r="AC993" s="20">
        <v>61807.92</v>
      </c>
      <c r="AD993" s="20">
        <v>497.5</v>
      </c>
      <c r="AE993" s="20">
        <v>0.0</v>
      </c>
      <c r="AF993" s="20">
        <v>0.0</v>
      </c>
      <c r="AG993" s="20">
        <v>0.0</v>
      </c>
      <c r="AH993" s="20">
        <v>0.0</v>
      </c>
      <c r="AI993" s="20">
        <v>0.0</v>
      </c>
      <c r="AJ993" s="20">
        <v>185423.75</v>
      </c>
      <c r="AK993" s="20">
        <v>185423.75</v>
      </c>
      <c r="AL993" s="20">
        <v>0.0</v>
      </c>
      <c r="AM993" s="20">
        <v>416.67</v>
      </c>
      <c r="AN993" s="20">
        <v>0.0</v>
      </c>
      <c r="AS993" s="11" t="str">
        <f>VLOOKUP(C993,'mayo-26'!B:AS,44,0)</f>
        <v>CLUBVILLACAMPESTRE@HOTMAIL.COM</v>
      </c>
      <c r="AT993" s="12" t="str">
        <f>VLOOKUP(C993,'mayo-26'!B:AT,45,0)</f>
        <v>VERIFICADOR</v>
      </c>
    </row>
    <row r="994" ht="14.25" customHeight="1">
      <c r="A994" s="20" t="s">
        <v>2060</v>
      </c>
      <c r="B994" s="20">
        <v>2149.0</v>
      </c>
      <c r="C994" s="20">
        <v>2148.0</v>
      </c>
      <c r="D994" s="21">
        <v>2148.0</v>
      </c>
      <c r="E994" s="20">
        <v>9.0415961E7</v>
      </c>
      <c r="F994" s="20">
        <v>9.0415961E7</v>
      </c>
      <c r="G994" s="20">
        <v>6.0296332E7</v>
      </c>
      <c r="H994" s="20" t="s">
        <v>2061</v>
      </c>
      <c r="I994" s="1" t="str">
        <f>VLOOKUP(C994,'mayo-26'!B:H,7,0)</f>
        <v>AUTOPISTA INTERNACIONAL - 0415961</v>
      </c>
      <c r="J994" s="1" t="s">
        <v>2006</v>
      </c>
      <c r="K994" s="10" t="str">
        <f>VLOOKUP(C994,'mayo-26'!B:J,9,0)</f>
        <v>VILLA DEL ROSARIO</v>
      </c>
      <c r="L994" s="1" t="str">
        <f>VLOOKUP(C994,'mayo-26'!B:K,10,0)</f>
        <v>NO</v>
      </c>
      <c r="M994" s="20" t="s">
        <v>1998</v>
      </c>
      <c r="N994" s="20" t="s">
        <v>1999</v>
      </c>
      <c r="O994" s="20" t="s">
        <v>2000</v>
      </c>
      <c r="P994" s="20" t="s">
        <v>126</v>
      </c>
      <c r="Q994" s="20" t="s">
        <v>131</v>
      </c>
      <c r="R994" s="20" t="s">
        <v>132</v>
      </c>
      <c r="S994" s="20" t="s">
        <v>133</v>
      </c>
      <c r="T994" s="20" t="s">
        <v>59</v>
      </c>
      <c r="U994" s="20">
        <v>2026.0</v>
      </c>
      <c r="V994" s="20">
        <v>6.0</v>
      </c>
      <c r="W994" s="20">
        <v>1.081874908E9</v>
      </c>
      <c r="X994" s="20">
        <v>1.08189338E9</v>
      </c>
      <c r="Y994" s="22">
        <v>46182.0</v>
      </c>
      <c r="Z994" s="22">
        <v>46207.0</v>
      </c>
      <c r="AA994" s="20">
        <v>91053.0</v>
      </c>
      <c r="AB994" s="20">
        <v>91053.0</v>
      </c>
      <c r="AC994" s="20">
        <v>30351.0</v>
      </c>
      <c r="AD994" s="20">
        <v>0.0</v>
      </c>
      <c r="AE994" s="20">
        <v>0.0</v>
      </c>
      <c r="AF994" s="20">
        <v>0.0</v>
      </c>
      <c r="AG994" s="20">
        <v>0.0</v>
      </c>
      <c r="AH994" s="20">
        <v>0.0</v>
      </c>
      <c r="AI994" s="20">
        <v>0.0</v>
      </c>
      <c r="AJ994" s="20">
        <v>91053.0</v>
      </c>
      <c r="AK994" s="20">
        <v>91053.0</v>
      </c>
      <c r="AL994" s="20">
        <v>0.0</v>
      </c>
      <c r="AM994" s="20">
        <v>416.67</v>
      </c>
      <c r="AN994" s="20">
        <v>0.0</v>
      </c>
      <c r="AS994" s="11" t="str">
        <f>VLOOKUP(C994,'mayo-26'!B:AS,44,0)</f>
        <v>NUNESGUERREROMARIAJ@GMAIL.COM</v>
      </c>
      <c r="AT994" s="12" t="str">
        <f>VLOOKUP(C994,'mayo-26'!B:AT,45,0)</f>
        <v>VERIFICADOR</v>
      </c>
    </row>
    <row r="995" ht="14.25" customHeight="1">
      <c r="A995" s="20" t="s">
        <v>2062</v>
      </c>
      <c r="B995" s="20">
        <v>232.0</v>
      </c>
      <c r="C995" s="20">
        <v>2152.0</v>
      </c>
      <c r="D995" s="21">
        <v>2152.0</v>
      </c>
      <c r="E995" s="20">
        <v>9.041619E7</v>
      </c>
      <c r="F995" s="20">
        <v>9.041619E7</v>
      </c>
      <c r="G995" s="20">
        <v>8.30122566E8</v>
      </c>
      <c r="H995" s="20" t="s">
        <v>193</v>
      </c>
      <c r="I995" s="1" t="str">
        <f>VLOOKUP(C995,'mayo-26'!B:H,7,0)</f>
        <v>AV 0 N 10-61</v>
      </c>
      <c r="J995" s="1" t="s">
        <v>76</v>
      </c>
      <c r="K995" s="10" t="str">
        <f>VLOOKUP(C995,'mayo-26'!B:J,9,0)</f>
        <v>NO</v>
      </c>
      <c r="L995" s="1" t="str">
        <f>VLOOKUP(C995,'mayo-26'!B:K,10,0)</f>
        <v>MOVISTAR</v>
      </c>
      <c r="M995" s="20" t="s">
        <v>1998</v>
      </c>
      <c r="N995" s="20" t="s">
        <v>2011</v>
      </c>
      <c r="O995" s="20" t="s">
        <v>2000</v>
      </c>
      <c r="P995" s="20" t="s">
        <v>126</v>
      </c>
      <c r="Q995" s="20" t="s">
        <v>131</v>
      </c>
      <c r="R995" s="20" t="s">
        <v>363</v>
      </c>
      <c r="S995" s="20" t="s">
        <v>133</v>
      </c>
      <c r="T995" s="20" t="s">
        <v>59</v>
      </c>
      <c r="U995" s="20">
        <v>2026.0</v>
      </c>
      <c r="V995" s="20">
        <v>6.0</v>
      </c>
      <c r="W995" s="20">
        <v>1.08187491E9</v>
      </c>
      <c r="X995" s="20">
        <v>1.081893382E9</v>
      </c>
      <c r="Y995" s="22">
        <v>46182.0</v>
      </c>
      <c r="Z995" s="22">
        <v>46207.0</v>
      </c>
      <c r="AA995" s="20">
        <v>58782.97</v>
      </c>
      <c r="AB995" s="20">
        <v>58782.97</v>
      </c>
      <c r="AC995" s="20">
        <v>19380.0</v>
      </c>
      <c r="AD995" s="20">
        <v>0.0</v>
      </c>
      <c r="AE995" s="20">
        <v>642.97</v>
      </c>
      <c r="AF995" s="20">
        <v>0.0</v>
      </c>
      <c r="AG995" s="20">
        <v>0.0</v>
      </c>
      <c r="AH995" s="20">
        <v>0.0</v>
      </c>
      <c r="AI995" s="20">
        <v>0.0</v>
      </c>
      <c r="AJ995" s="20">
        <v>58782.97</v>
      </c>
      <c r="AK995" s="20">
        <v>173966.47</v>
      </c>
      <c r="AL995" s="20">
        <v>2.0</v>
      </c>
      <c r="AM995" s="20">
        <v>416.67</v>
      </c>
      <c r="AN995" s="20">
        <v>0.0</v>
      </c>
      <c r="AS995" s="11" t="str">
        <f>VLOOKUP(C995,'mayo-26'!B:AS,44,0)</f>
        <v>SERVICIOSPUBLICOS.TC@TELEFONICA.COM; D.CRUZ02@TELEFONICA.COM</v>
      </c>
      <c r="AT995" s="12" t="str">
        <f>VLOOKUP(C995,'mayo-26'!B:AT,45,0)</f>
        <v>CORREO ELECTRONICO CERTIFICADO 472</v>
      </c>
    </row>
    <row r="996" ht="14.25" customHeight="1">
      <c r="A996" s="20" t="s">
        <v>2063</v>
      </c>
      <c r="B996" s="20">
        <v>2161.0</v>
      </c>
      <c r="C996" s="20">
        <v>2160.0</v>
      </c>
      <c r="D996" s="21">
        <v>2160.0</v>
      </c>
      <c r="E996" s="20">
        <v>9.0422721E7</v>
      </c>
      <c r="F996" s="20">
        <v>9.0422721E7</v>
      </c>
      <c r="G996" s="20">
        <v>8.905028E8</v>
      </c>
      <c r="H996" s="20" t="s">
        <v>2064</v>
      </c>
      <c r="I996" s="1" t="str">
        <f>VLOOKUP(C996,'mayo-26'!B:H,7,0)</f>
        <v>CLL 6 7-07</v>
      </c>
      <c r="J996" s="1" t="s">
        <v>982</v>
      </c>
      <c r="K996" s="10" t="str">
        <f>VLOOKUP(C996,'mayo-26'!B:J,9,0)</f>
        <v>VILLA DEL ROSARIO</v>
      </c>
      <c r="L996" s="1" t="str">
        <f>VLOOKUP(C996,'mayo-26'!B:K,10,0)</f>
        <v>NO</v>
      </c>
      <c r="M996" s="20" t="s">
        <v>1998</v>
      </c>
      <c r="N996" s="20" t="s">
        <v>1999</v>
      </c>
      <c r="O996" s="20" t="s">
        <v>2000</v>
      </c>
      <c r="P996" s="20" t="s">
        <v>126</v>
      </c>
      <c r="Q996" s="20" t="s">
        <v>131</v>
      </c>
      <c r="R996" s="20" t="s">
        <v>132</v>
      </c>
      <c r="S996" s="20" t="s">
        <v>133</v>
      </c>
      <c r="T996" s="20" t="s">
        <v>59</v>
      </c>
      <c r="U996" s="20">
        <v>2026.0</v>
      </c>
      <c r="V996" s="20">
        <v>6.0</v>
      </c>
      <c r="W996" s="20">
        <v>1.081874913E9</v>
      </c>
      <c r="X996" s="20">
        <v>1.081893385E9</v>
      </c>
      <c r="Y996" s="22">
        <v>46182.0</v>
      </c>
      <c r="Z996" s="22">
        <v>46207.0</v>
      </c>
      <c r="AA996" s="20">
        <v>91053.0</v>
      </c>
      <c r="AB996" s="20">
        <v>91053.0</v>
      </c>
      <c r="AC996" s="20">
        <v>30351.0</v>
      </c>
      <c r="AD996" s="20">
        <v>0.0</v>
      </c>
      <c r="AE996" s="20">
        <v>0.0</v>
      </c>
      <c r="AF996" s="20">
        <v>0.0</v>
      </c>
      <c r="AG996" s="20">
        <v>0.0</v>
      </c>
      <c r="AH996" s="20">
        <v>0.0</v>
      </c>
      <c r="AI996" s="20">
        <v>0.0</v>
      </c>
      <c r="AJ996" s="20">
        <v>91053.0</v>
      </c>
      <c r="AK996" s="20">
        <v>91053.53</v>
      </c>
      <c r="AL996" s="20">
        <v>1.0</v>
      </c>
      <c r="AM996" s="20">
        <v>416.67</v>
      </c>
      <c r="AN996" s="20">
        <v>0.0</v>
      </c>
      <c r="AS996" s="11" t="str">
        <f>VLOOKUP(C996,'mayo-26'!B:AS,44,0)</f>
        <v>PARROQUIANSRVILLADELROSARIO@GMAIL.COM</v>
      </c>
      <c r="AT996" s="12" t="str">
        <f>VLOOKUP(C996,'mayo-26'!B:AT,45,0)</f>
        <v>VERIFICADOR</v>
      </c>
    </row>
    <row r="997" ht="14.25" customHeight="1">
      <c r="A997" s="20" t="s">
        <v>2065</v>
      </c>
      <c r="B997" s="20">
        <v>699.0</v>
      </c>
      <c r="C997" s="20">
        <v>434908.0</v>
      </c>
      <c r="D997" s="21">
        <v>456433.0</v>
      </c>
      <c r="E997" s="20">
        <v>1086181.0</v>
      </c>
      <c r="F997" s="20">
        <v>1086181.0</v>
      </c>
      <c r="G997" s="20">
        <v>9.00480569E8</v>
      </c>
      <c r="H997" s="20" t="s">
        <v>141</v>
      </c>
      <c r="I997" s="1" t="str">
        <f>VLOOKUP(C997,'mayo-26'!B:H,7,0)</f>
        <v>CLL 12 4-52 CENTRO</v>
      </c>
      <c r="J997" s="1" t="s">
        <v>2066</v>
      </c>
      <c r="K997" s="10" t="str">
        <f>VLOOKUP(C997,'mayo-26'!B:J,9,0)</f>
        <v>NO</v>
      </c>
      <c r="L997" s="1" t="str">
        <f>VLOOKUP(C997,'mayo-26'!B:K,10,0)</f>
        <v>ARA VILLAROSARIO</v>
      </c>
      <c r="M997" s="20" t="s">
        <v>1998</v>
      </c>
      <c r="N997" s="20" t="s">
        <v>2011</v>
      </c>
      <c r="O997" s="20" t="s">
        <v>2000</v>
      </c>
      <c r="P997" s="20" t="s">
        <v>126</v>
      </c>
      <c r="Q997" s="20" t="s">
        <v>56</v>
      </c>
      <c r="R997" s="20" t="s">
        <v>90</v>
      </c>
      <c r="S997" s="20" t="s">
        <v>143</v>
      </c>
      <c r="T997" s="20" t="s">
        <v>59</v>
      </c>
      <c r="U997" s="20">
        <v>2026.0</v>
      </c>
      <c r="V997" s="20">
        <v>6.0</v>
      </c>
      <c r="W997" s="20">
        <v>1.081874922E9</v>
      </c>
      <c r="X997" s="20">
        <v>1.081893394E9</v>
      </c>
      <c r="Y997" s="22">
        <v>46182.0</v>
      </c>
      <c r="Z997" s="22">
        <v>46207.0</v>
      </c>
      <c r="AA997" s="20">
        <v>360807.51</v>
      </c>
      <c r="AB997" s="20">
        <v>360807.51</v>
      </c>
      <c r="AC997" s="20">
        <v>118964.6</v>
      </c>
      <c r="AD997" s="20">
        <v>1030.0</v>
      </c>
      <c r="AE997" s="20">
        <v>3913.72</v>
      </c>
      <c r="AF997" s="20">
        <v>0.0</v>
      </c>
      <c r="AG997" s="20">
        <v>0.0</v>
      </c>
      <c r="AH997" s="20">
        <v>0.0</v>
      </c>
      <c r="AI997" s="20">
        <v>0.0</v>
      </c>
      <c r="AJ997" s="20">
        <v>360807.51</v>
      </c>
      <c r="AK997" s="20">
        <v>1069007.12</v>
      </c>
      <c r="AL997" s="20">
        <v>2.0</v>
      </c>
      <c r="AM997" s="20">
        <v>416.67</v>
      </c>
      <c r="AN997" s="20">
        <v>0.0</v>
      </c>
      <c r="AS997" s="11" t="str">
        <f>VLOOKUP(C997,'mayo-26'!B:AS,44,0)</f>
        <v>COORDINADOR.OPERACIONES.R11@JERONIMO-MARTINS.COM</v>
      </c>
      <c r="AT997" s="12" t="str">
        <f>VLOOKUP(C997,'mayo-26'!B:AT,45,0)</f>
        <v>CORREO ELECTRONICO CERTIFICADO 472</v>
      </c>
    </row>
    <row r="998" ht="14.25" customHeight="1">
      <c r="A998" s="20" t="s">
        <v>2067</v>
      </c>
      <c r="B998" s="20">
        <v>533877.0</v>
      </c>
      <c r="C998" s="20">
        <v>470332.0</v>
      </c>
      <c r="D998" s="21">
        <v>505482.0</v>
      </c>
      <c r="E998" s="20">
        <v>1124963.0</v>
      </c>
      <c r="F998" s="20">
        <v>1124963.0</v>
      </c>
      <c r="G998" s="20">
        <v>1124963.0</v>
      </c>
      <c r="H998" s="20" t="s">
        <v>2068</v>
      </c>
      <c r="I998" s="1" t="str">
        <f>VLOOKUP(C998,'mayo-26'!B:H,7,0)</f>
        <v>NOA KMT 2 296 AUT LOCA 2 SIERRA NEVADA 6070</v>
      </c>
      <c r="J998" s="1" t="s">
        <v>2069</v>
      </c>
      <c r="K998" s="10" t="str">
        <f>VLOOKUP(C998,'mayo-26'!B:J,9,0)</f>
        <v>NO</v>
      </c>
      <c r="L998" s="1" t="str">
        <f>VLOOKUP(C998,'mayo-26'!B:K,10,0)</f>
        <v>D1</v>
      </c>
      <c r="M998" s="20" t="s">
        <v>1998</v>
      </c>
      <c r="N998" s="20" t="s">
        <v>2011</v>
      </c>
      <c r="O998" s="20" t="s">
        <v>2000</v>
      </c>
      <c r="P998" s="20" t="s">
        <v>126</v>
      </c>
      <c r="Q998" s="20" t="s">
        <v>131</v>
      </c>
      <c r="R998" s="20" t="s">
        <v>132</v>
      </c>
      <c r="S998" s="20" t="s">
        <v>133</v>
      </c>
      <c r="T998" s="20" t="s">
        <v>59</v>
      </c>
      <c r="U998" s="20">
        <v>2026.0</v>
      </c>
      <c r="V998" s="20">
        <v>6.0</v>
      </c>
      <c r="W998" s="20">
        <v>1.081874923E9</v>
      </c>
      <c r="X998" s="20">
        <v>1.081893395E9</v>
      </c>
      <c r="Y998" s="22">
        <v>46182.0</v>
      </c>
      <c r="Z998" s="22">
        <v>46207.0</v>
      </c>
      <c r="AA998" s="20">
        <v>93159.0</v>
      </c>
      <c r="AB998" s="20">
        <v>93159.0</v>
      </c>
      <c r="AC998" s="20">
        <v>31053.0</v>
      </c>
      <c r="AD998" s="20">
        <v>0.0</v>
      </c>
      <c r="AE998" s="20">
        <v>0.0</v>
      </c>
      <c r="AF998" s="20">
        <v>0.0</v>
      </c>
      <c r="AG998" s="20">
        <v>0.0</v>
      </c>
      <c r="AH998" s="20">
        <v>0.0</v>
      </c>
      <c r="AI998" s="20">
        <v>0.0</v>
      </c>
      <c r="AJ998" s="20">
        <v>93159.0</v>
      </c>
      <c r="AK998" s="20">
        <v>441341.0</v>
      </c>
      <c r="AL998" s="20">
        <v>2.0</v>
      </c>
      <c r="AM998" s="20">
        <v>6858.0</v>
      </c>
      <c r="AN998" s="20">
        <v>0.0</v>
      </c>
      <c r="AS998" s="11" t="str">
        <f>VLOOKUP(C998,'mayo-26'!B:AS,44,0)</f>
        <v>ALBA.CELIS@D1.COM.CO;CARMEN.DAVILA@D1.COM.CO</v>
      </c>
      <c r="AT998" s="12" t="str">
        <f>VLOOKUP(C998,'mayo-26'!B:AT,45,0)</f>
        <v>CORREO ELECTRONICO CERTIFICADO 472</v>
      </c>
    </row>
    <row r="999" ht="14.25" customHeight="1">
      <c r="A999" s="20" t="s">
        <v>2070</v>
      </c>
      <c r="B999" s="20">
        <v>699.0</v>
      </c>
      <c r="C999" s="20">
        <v>472916.0</v>
      </c>
      <c r="D999" s="21">
        <v>511547.0</v>
      </c>
      <c r="E999" s="20">
        <v>1128051.0</v>
      </c>
      <c r="F999" s="20">
        <v>1128051.0</v>
      </c>
      <c r="G999" s="20">
        <v>9.00480569E8</v>
      </c>
      <c r="H999" s="20" t="s">
        <v>141</v>
      </c>
      <c r="I999" s="1" t="str">
        <f>VLOOKUP(C999,'mayo-26'!B:H,7,0)</f>
        <v>CLL 12 4-52 CENTRO</v>
      </c>
      <c r="J999" s="1" t="s">
        <v>2023</v>
      </c>
      <c r="K999" s="10" t="str">
        <f>VLOOKUP(C999,'mayo-26'!B:J,9,0)</f>
        <v>NO</v>
      </c>
      <c r="L999" s="1" t="str">
        <f>VLOOKUP(C999,'mayo-26'!B:K,10,0)</f>
        <v>ARA VILLAROSARIO</v>
      </c>
      <c r="M999" s="20" t="s">
        <v>1998</v>
      </c>
      <c r="N999" s="20" t="s">
        <v>2011</v>
      </c>
      <c r="O999" s="20" t="s">
        <v>2000</v>
      </c>
      <c r="P999" s="20" t="s">
        <v>126</v>
      </c>
      <c r="Q999" s="20" t="s">
        <v>131</v>
      </c>
      <c r="R999" s="20" t="s">
        <v>132</v>
      </c>
      <c r="S999" s="20" t="s">
        <v>133</v>
      </c>
      <c r="T999" s="20" t="s">
        <v>59</v>
      </c>
      <c r="U999" s="20">
        <v>2026.0</v>
      </c>
      <c r="V999" s="20">
        <v>6.0</v>
      </c>
      <c r="W999" s="20">
        <v>1.081874924E9</v>
      </c>
      <c r="X999" s="20">
        <v>1.081893396E9</v>
      </c>
      <c r="Y999" s="22">
        <v>46182.0</v>
      </c>
      <c r="Z999" s="22">
        <v>46207.0</v>
      </c>
      <c r="AA999" s="20">
        <v>93875.08</v>
      </c>
      <c r="AB999" s="20">
        <v>93875.08</v>
      </c>
      <c r="AC999" s="20">
        <v>30351.0</v>
      </c>
      <c r="AD999" s="20">
        <v>0.0</v>
      </c>
      <c r="AE999" s="20">
        <v>2822.08</v>
      </c>
      <c r="AF999" s="20">
        <v>0.0</v>
      </c>
      <c r="AG999" s="20">
        <v>0.0</v>
      </c>
      <c r="AH999" s="20">
        <v>0.0</v>
      </c>
      <c r="AI999" s="20">
        <v>0.0</v>
      </c>
      <c r="AJ999" s="20">
        <v>93875.08</v>
      </c>
      <c r="AK999" s="20">
        <v>184673.08</v>
      </c>
      <c r="AL999" s="20">
        <v>1.0</v>
      </c>
      <c r="AM999" s="20">
        <v>416.67</v>
      </c>
      <c r="AN999" s="20">
        <v>0.0</v>
      </c>
      <c r="AS999" s="11" t="str">
        <f>VLOOKUP(C999,'mayo-26'!B:AS,44,0)</f>
        <v>COORDINADOR.OPERACIONES.R11@JERONIMO-MARTINS.COM</v>
      </c>
      <c r="AT999" s="12" t="str">
        <f>VLOOKUP(C999,'mayo-26'!B:AT,45,0)</f>
        <v>CORREO ELECTRONICO CERTIFICADO 472</v>
      </c>
    </row>
    <row r="1000" ht="14.25" customHeight="1">
      <c r="A1000" s="20" t="s">
        <v>2071</v>
      </c>
      <c r="B1000" s="20">
        <v>699.0</v>
      </c>
      <c r="C1000" s="20">
        <v>475648.0</v>
      </c>
      <c r="D1000" s="21">
        <v>516337.0</v>
      </c>
      <c r="E1000" s="20">
        <v>1139746.0</v>
      </c>
      <c r="F1000" s="20">
        <v>1139746.0</v>
      </c>
      <c r="G1000" s="20">
        <v>9.00480569E8</v>
      </c>
      <c r="H1000" s="20" t="s">
        <v>141</v>
      </c>
      <c r="I1000" s="1" t="str">
        <f>VLOOKUP(C1000,'mayo-26'!B:H,7,0)</f>
        <v>CLL 12 4-52 CENTRO</v>
      </c>
      <c r="J1000" s="1" t="s">
        <v>2006</v>
      </c>
      <c r="K1000" s="10" t="str">
        <f>VLOOKUP(C1000,'mayo-26'!B:J,9,0)</f>
        <v>NO</v>
      </c>
      <c r="L1000" s="1" t="str">
        <f>VLOOKUP(C1000,'mayo-26'!B:K,10,0)</f>
        <v>ARA VILLAROSARIO</v>
      </c>
      <c r="M1000" s="20" t="s">
        <v>1998</v>
      </c>
      <c r="N1000" s="20" t="s">
        <v>1999</v>
      </c>
      <c r="O1000" s="20" t="s">
        <v>2000</v>
      </c>
      <c r="P1000" s="20" t="s">
        <v>2024</v>
      </c>
      <c r="Q1000" s="20" t="s">
        <v>131</v>
      </c>
      <c r="R1000" s="20" t="s">
        <v>132</v>
      </c>
      <c r="S1000" s="20" t="s">
        <v>133</v>
      </c>
      <c r="T1000" s="20" t="s">
        <v>59</v>
      </c>
      <c r="U1000" s="20">
        <v>2026.0</v>
      </c>
      <c r="V1000" s="20">
        <v>6.0</v>
      </c>
      <c r="W1000" s="20">
        <v>1.081874925E9</v>
      </c>
      <c r="X1000" s="20">
        <v>1.081893397E9</v>
      </c>
      <c r="Y1000" s="22">
        <v>46182.0</v>
      </c>
      <c r="Z1000" s="22">
        <v>46207.0</v>
      </c>
      <c r="AA1000" s="20">
        <v>86297.85</v>
      </c>
      <c r="AB1000" s="20">
        <v>86297.85</v>
      </c>
      <c r="AC1000" s="20">
        <v>28765.95</v>
      </c>
      <c r="AD1000" s="20">
        <v>0.0</v>
      </c>
      <c r="AE1000" s="20">
        <v>0.0</v>
      </c>
      <c r="AF1000" s="20">
        <v>0.0</v>
      </c>
      <c r="AG1000" s="20">
        <v>0.0</v>
      </c>
      <c r="AH1000" s="20">
        <v>0.0</v>
      </c>
      <c r="AI1000" s="20">
        <v>0.0</v>
      </c>
      <c r="AJ1000" s="20">
        <v>86297.85</v>
      </c>
      <c r="AK1000" s="20">
        <v>86297.85</v>
      </c>
      <c r="AL1000" s="20">
        <v>0.0</v>
      </c>
      <c r="AM1000" s="20">
        <v>-1168.38</v>
      </c>
      <c r="AN1000" s="20">
        <v>0.0</v>
      </c>
      <c r="AS1000" s="11" t="str">
        <f>VLOOKUP(C1000,'mayo-26'!B:AS,44,0)</f>
        <v>COORDINADOR.OPERACIONES.R11@JERONIMO-MARTINS.COM</v>
      </c>
      <c r="AT1000" s="12" t="str">
        <f>VLOOKUP(C1000,'mayo-26'!B:AT,45,0)</f>
        <v>CORREO ELECTRONICO CERTIFICADO 472</v>
      </c>
    </row>
    <row r="1001" ht="14.25" customHeight="1">
      <c r="A1001" s="20" t="s">
        <v>2072</v>
      </c>
      <c r="B1001" s="20">
        <v>699.0</v>
      </c>
      <c r="C1001" s="20">
        <v>81600.0</v>
      </c>
      <c r="D1001" s="21">
        <v>81600.0</v>
      </c>
      <c r="E1001" s="20">
        <v>110166.0</v>
      </c>
      <c r="F1001" s="20">
        <v>110166.0</v>
      </c>
      <c r="G1001" s="20">
        <v>9.00480569E8</v>
      </c>
      <c r="H1001" s="20" t="s">
        <v>141</v>
      </c>
      <c r="I1001" s="1" t="str">
        <f>VLOOKUP(C1001,'mayo-26'!B:H,7,0)</f>
        <v>CLL 12 4-52 CENTRO</v>
      </c>
      <c r="J1001" s="1" t="s">
        <v>2026</v>
      </c>
      <c r="K1001" s="10" t="str">
        <f>VLOOKUP(C1001,'mayo-26'!B:J,9,0)</f>
        <v>NO</v>
      </c>
      <c r="L1001" s="1" t="str">
        <f>VLOOKUP(C1001,'mayo-26'!B:K,10,0)</f>
        <v>ARA VILLAROSARIO</v>
      </c>
      <c r="M1001" s="20" t="s">
        <v>1998</v>
      </c>
      <c r="N1001" s="20" t="s">
        <v>2011</v>
      </c>
      <c r="O1001" s="20" t="s">
        <v>2000</v>
      </c>
      <c r="P1001" s="20" t="s">
        <v>126</v>
      </c>
      <c r="Q1001" s="20" t="s">
        <v>56</v>
      </c>
      <c r="R1001" s="20" t="s">
        <v>90</v>
      </c>
      <c r="S1001" s="20" t="s">
        <v>143</v>
      </c>
      <c r="T1001" s="20" t="s">
        <v>59</v>
      </c>
      <c r="U1001" s="20">
        <v>2026.0</v>
      </c>
      <c r="V1001" s="20">
        <v>6.0</v>
      </c>
      <c r="W1001" s="20">
        <v>1.081874916E9</v>
      </c>
      <c r="X1001" s="20">
        <v>1.081893388E9</v>
      </c>
      <c r="Y1001" s="22">
        <v>46182.0</v>
      </c>
      <c r="Z1001" s="22">
        <v>46207.0</v>
      </c>
      <c r="AA1001" s="20">
        <v>827027.66</v>
      </c>
      <c r="AB1001" s="20">
        <v>827027.66</v>
      </c>
      <c r="AC1001" s="20">
        <v>275675.89</v>
      </c>
      <c r="AD1001" s="20">
        <v>2490.0</v>
      </c>
      <c r="AE1001" s="20">
        <v>0.0</v>
      </c>
      <c r="AF1001" s="20">
        <v>0.0</v>
      </c>
      <c r="AG1001" s="20">
        <v>0.0</v>
      </c>
      <c r="AH1001" s="20">
        <v>0.0</v>
      </c>
      <c r="AI1001" s="20">
        <v>0.0</v>
      </c>
      <c r="AJ1001" s="20">
        <v>827027.66</v>
      </c>
      <c r="AK1001" s="20">
        <v>1653964.6</v>
      </c>
      <c r="AL1001" s="20">
        <v>1.0</v>
      </c>
      <c r="AM1001" s="20">
        <v>416.67</v>
      </c>
      <c r="AN1001" s="20">
        <v>0.0</v>
      </c>
      <c r="AS1001" s="11" t="str">
        <f>VLOOKUP(C1001,'mayo-26'!B:AS,44,0)</f>
        <v>COORDINADOR.OPERACIONES.R11@JERONIMO-MARTINS.COM</v>
      </c>
      <c r="AT1001" s="12" t="str">
        <f>VLOOKUP(C1001,'mayo-26'!B:AT,45,0)</f>
        <v>CORREO ELECTRONICO CERTIFICADO 472</v>
      </c>
    </row>
    <row r="1002" ht="14.25" customHeight="1">
      <c r="A1002" s="20" t="s">
        <v>2073</v>
      </c>
      <c r="B1002" s="20">
        <v>84677.0</v>
      </c>
      <c r="C1002" s="20">
        <v>84676.0</v>
      </c>
      <c r="D1002" s="21">
        <v>84676.0</v>
      </c>
      <c r="E1002" s="20">
        <v>111925.0</v>
      </c>
      <c r="F1002" s="20">
        <v>111925.0</v>
      </c>
      <c r="G1002" s="20">
        <v>2209423.0</v>
      </c>
      <c r="H1002" s="20" t="s">
        <v>2074</v>
      </c>
      <c r="I1002" s="1" t="str">
        <f>VLOOKUP(C1002,'mayo-26'!B:H,7,0)</f>
        <v>MNZ Z LOT 20 CARRERA A. PARAD</v>
      </c>
      <c r="J1002" s="1" t="s">
        <v>2023</v>
      </c>
      <c r="K1002" s="10" t="str">
        <f>VLOOKUP(C1002,'mayo-26'!B:J,9,0)</f>
        <v>VILLA DEL ROSARIO</v>
      </c>
      <c r="L1002" s="1" t="str">
        <f>VLOOKUP(C1002,'mayo-26'!B:K,10,0)</f>
        <v>EMPRESA SALSAMENTARIA</v>
      </c>
      <c r="M1002" s="20" t="s">
        <v>1998</v>
      </c>
      <c r="N1002" s="20" t="s">
        <v>1999</v>
      </c>
      <c r="O1002" s="20" t="s">
        <v>2000</v>
      </c>
      <c r="P1002" s="20" t="s">
        <v>2024</v>
      </c>
      <c r="Q1002" s="20" t="s">
        <v>131</v>
      </c>
      <c r="R1002" s="20" t="s">
        <v>132</v>
      </c>
      <c r="S1002" s="20" t="s">
        <v>133</v>
      </c>
      <c r="T1002" s="20" t="s">
        <v>59</v>
      </c>
      <c r="U1002" s="20">
        <v>2026.0</v>
      </c>
      <c r="V1002" s="20">
        <v>6.0</v>
      </c>
      <c r="W1002" s="20">
        <v>1.08187492E9</v>
      </c>
      <c r="X1002" s="20">
        <v>1.081893392E9</v>
      </c>
      <c r="Y1002" s="22">
        <v>46182.0</v>
      </c>
      <c r="Z1002" s="22">
        <v>46207.0</v>
      </c>
      <c r="AA1002" s="20">
        <v>86297.85</v>
      </c>
      <c r="AB1002" s="20">
        <v>86297.85</v>
      </c>
      <c r="AC1002" s="20">
        <v>28765.95</v>
      </c>
      <c r="AD1002" s="20">
        <v>0.0</v>
      </c>
      <c r="AE1002" s="20">
        <v>0.0</v>
      </c>
      <c r="AF1002" s="20">
        <v>0.0</v>
      </c>
      <c r="AG1002" s="20">
        <v>0.0</v>
      </c>
      <c r="AH1002" s="20">
        <v>0.0</v>
      </c>
      <c r="AI1002" s="20">
        <v>0.0</v>
      </c>
      <c r="AJ1002" s="20">
        <v>86297.85</v>
      </c>
      <c r="AK1002" s="20">
        <v>86298.7</v>
      </c>
      <c r="AL1002" s="20">
        <v>1.0</v>
      </c>
      <c r="AM1002" s="20">
        <v>-1168.38</v>
      </c>
      <c r="AN1002" s="20">
        <v>0.0</v>
      </c>
      <c r="AS1002" s="11" t="str">
        <f>VLOOKUP(C1002,'mayo-26'!B:AS,44,0)</f>
        <v/>
      </c>
      <c r="AT1002" s="12" t="str">
        <f>VLOOKUP(C1002,'mayo-26'!B:AT,45,0)</f>
        <v>VERIFICADOR</v>
      </c>
    </row>
    <row r="1003" ht="14.25" customHeight="1">
      <c r="A1003" s="20" t="s">
        <v>2075</v>
      </c>
      <c r="B1003" s="20">
        <v>141.0</v>
      </c>
      <c r="C1003" s="20">
        <v>153163.0</v>
      </c>
      <c r="D1003" s="21">
        <v>153163.0</v>
      </c>
      <c r="E1003" s="20">
        <v>527003.0</v>
      </c>
      <c r="F1003" s="20">
        <v>527003.0</v>
      </c>
      <c r="G1003" s="20">
        <v>8.90500514E8</v>
      </c>
      <c r="H1003" s="20" t="s">
        <v>145</v>
      </c>
      <c r="I1003" s="1" t="str">
        <f>VLOOKUP(C1003,'mayo-26'!B:H,7,0)</f>
        <v>AV 2 CALLE 39 LIBERTAD</v>
      </c>
      <c r="J1003" s="1" t="s">
        <v>2076</v>
      </c>
      <c r="K1003" s="10" t="str">
        <f>VLOOKUP(C1003,'mayo-26'!B:J,9,0)</f>
        <v>NO</v>
      </c>
      <c r="L1003" s="1" t="str">
        <f>VLOOKUP(C1003,'mayo-26'!B:K,10,0)</f>
        <v>CENS</v>
      </c>
      <c r="M1003" s="20" t="s">
        <v>1998</v>
      </c>
      <c r="N1003" s="20" t="s">
        <v>2011</v>
      </c>
      <c r="O1003" s="20" t="s">
        <v>2000</v>
      </c>
      <c r="P1003" s="20" t="s">
        <v>126</v>
      </c>
      <c r="Q1003" s="20" t="s">
        <v>131</v>
      </c>
      <c r="R1003" s="20" t="s">
        <v>363</v>
      </c>
      <c r="S1003" s="20" t="s">
        <v>133</v>
      </c>
      <c r="T1003" s="20" t="s">
        <v>59</v>
      </c>
      <c r="U1003" s="20">
        <v>2026.0</v>
      </c>
      <c r="V1003" s="20">
        <v>6.0</v>
      </c>
      <c r="W1003" s="20">
        <v>1.081874901E9</v>
      </c>
      <c r="X1003" s="20">
        <v>1.081893373E9</v>
      </c>
      <c r="Y1003" s="22">
        <v>46182.0</v>
      </c>
      <c r="Z1003" s="22">
        <v>46207.0</v>
      </c>
      <c r="AA1003" s="20">
        <v>58140.0</v>
      </c>
      <c r="AB1003" s="20">
        <v>58140.0</v>
      </c>
      <c r="AC1003" s="20">
        <v>19380.0</v>
      </c>
      <c r="AD1003" s="20">
        <v>0.0</v>
      </c>
      <c r="AE1003" s="20">
        <v>0.0</v>
      </c>
      <c r="AF1003" s="20">
        <v>0.0</v>
      </c>
      <c r="AG1003" s="20">
        <v>0.0</v>
      </c>
      <c r="AH1003" s="20">
        <v>0.0</v>
      </c>
      <c r="AI1003" s="20">
        <v>0.0</v>
      </c>
      <c r="AJ1003" s="20">
        <v>58140.0</v>
      </c>
      <c r="AK1003" s="20">
        <v>58140.0</v>
      </c>
      <c r="AL1003" s="20">
        <v>0.0</v>
      </c>
      <c r="AM1003" s="20">
        <v>416.67</v>
      </c>
      <c r="AN1003" s="20">
        <v>0.0</v>
      </c>
      <c r="AS1003" s="11" t="str">
        <f>VLOOKUP(C1003,'mayo-26'!B:AS,44,0)</f>
        <v>FACTURAELECTRONICACENS@GRUPO-EPM.COM</v>
      </c>
      <c r="AT1003" s="12" t="str">
        <f>VLOOKUP(C1003,'mayo-26'!B:AT,45,0)</f>
        <v>CORREO ELECTRONICO CERTIFICADO 472</v>
      </c>
    </row>
    <row r="1004" ht="14.25" customHeight="1">
      <c r="A1004" s="20" t="s">
        <v>2077</v>
      </c>
      <c r="B1004" s="20">
        <v>153452.0</v>
      </c>
      <c r="C1004" s="20">
        <v>153451.0</v>
      </c>
      <c r="D1004" s="21">
        <v>153451.0</v>
      </c>
      <c r="E1004" s="20">
        <v>1019172.0</v>
      </c>
      <c r="F1004" s="20">
        <v>1019172.0</v>
      </c>
      <c r="G1004" s="20">
        <v>6.0402737E7</v>
      </c>
      <c r="H1004" s="20" t="s">
        <v>2078</v>
      </c>
      <c r="I1004" s="1" t="str">
        <f>VLOOKUP(C1004,'mayo-26'!B:H,7,0)</f>
        <v>MNZ 2 LOTE 20-1A (CRA A PARADA 11B-239)</v>
      </c>
      <c r="J1004" s="1" t="s">
        <v>2023</v>
      </c>
      <c r="K1004" s="10" t="str">
        <f>VLOOKUP(C1004,'mayo-26'!B:J,9,0)</f>
        <v>VILLA DEL ROSARIO</v>
      </c>
      <c r="L1004" s="1" t="str">
        <f>VLOOKUP(C1004,'mayo-26'!B:K,10,0)</f>
        <v>EMPRESA SALSAMENTARIA</v>
      </c>
      <c r="M1004" s="20" t="s">
        <v>1998</v>
      </c>
      <c r="N1004" s="20" t="s">
        <v>1999</v>
      </c>
      <c r="O1004" s="20" t="s">
        <v>2000</v>
      </c>
      <c r="P1004" s="20" t="s">
        <v>126</v>
      </c>
      <c r="Q1004" s="20" t="s">
        <v>56</v>
      </c>
      <c r="R1004" s="20" t="s">
        <v>90</v>
      </c>
      <c r="S1004" s="20" t="s">
        <v>143</v>
      </c>
      <c r="T1004" s="20" t="s">
        <v>59</v>
      </c>
      <c r="U1004" s="20">
        <v>2026.0</v>
      </c>
      <c r="V1004" s="20">
        <v>6.0</v>
      </c>
      <c r="W1004" s="20">
        <v>1.081874905E9</v>
      </c>
      <c r="X1004" s="20">
        <v>1.081893377E9</v>
      </c>
      <c r="Y1004" s="22">
        <v>46182.0</v>
      </c>
      <c r="Z1004" s="22">
        <v>46207.0</v>
      </c>
      <c r="AA1004" s="20">
        <v>186228.75</v>
      </c>
      <c r="AB1004" s="20">
        <v>186228.75</v>
      </c>
      <c r="AC1004" s="20">
        <v>62076.25</v>
      </c>
      <c r="AD1004" s="20">
        <v>500.0</v>
      </c>
      <c r="AE1004" s="20">
        <v>0.0</v>
      </c>
      <c r="AF1004" s="20">
        <v>0.0</v>
      </c>
      <c r="AG1004" s="20">
        <v>0.0</v>
      </c>
      <c r="AH1004" s="20">
        <v>0.0</v>
      </c>
      <c r="AI1004" s="20">
        <v>0.0</v>
      </c>
      <c r="AJ1004" s="20">
        <v>186228.75</v>
      </c>
      <c r="AK1004" s="20">
        <v>186229.5</v>
      </c>
      <c r="AL1004" s="20">
        <v>1.0</v>
      </c>
      <c r="AM1004" s="20">
        <v>416.67</v>
      </c>
      <c r="AN1004" s="20">
        <v>0.0</v>
      </c>
      <c r="AS1004" s="11" t="str">
        <f>VLOOKUP(C1004,'mayo-26'!B:AS,44,0)</f>
        <v>CRVILLAPRADA@HOTMAIL.COM</v>
      </c>
      <c r="AT1004" s="12" t="str">
        <f>VLOOKUP(C1004,'mayo-26'!B:AT,45,0)</f>
        <v>VERIFICADOR</v>
      </c>
    </row>
    <row r="1005" ht="14.25" customHeight="1">
      <c r="A1005" s="20" t="s">
        <v>2079</v>
      </c>
      <c r="B1005" s="20">
        <v>2124.0</v>
      </c>
      <c r="C1005" s="20">
        <v>2123.0</v>
      </c>
      <c r="D1005" s="21">
        <v>2123.0</v>
      </c>
      <c r="E1005" s="20">
        <v>9.0410603E7</v>
      </c>
      <c r="F1005" s="20">
        <v>9.0410603E7</v>
      </c>
      <c r="G1005" s="20">
        <v>1.3825186E7</v>
      </c>
      <c r="H1005" s="20" t="s">
        <v>2080</v>
      </c>
      <c r="I1005" s="1" t="str">
        <f>VLOOKUP(C1005,'mayo-26'!B:H,7,0)</f>
        <v>KMT 001 AUTOPISTA VIA SAN ANT</v>
      </c>
      <c r="J1005" s="1" t="s">
        <v>76</v>
      </c>
      <c r="K1005" s="10" t="str">
        <f>VLOOKUP(C1005,'mayo-26'!B:J,9,0)</f>
        <v>NO</v>
      </c>
      <c r="L1005" s="1" t="str">
        <f>VLOOKUP(C1005,'mayo-26'!B:K,10,0)</f>
        <v>NO</v>
      </c>
      <c r="M1005" s="20" t="s">
        <v>1998</v>
      </c>
      <c r="N1005" s="20" t="s">
        <v>1999</v>
      </c>
      <c r="O1005" s="20" t="s">
        <v>2000</v>
      </c>
      <c r="P1005" s="20" t="s">
        <v>126</v>
      </c>
      <c r="Q1005" s="20" t="s">
        <v>131</v>
      </c>
      <c r="R1005" s="20" t="s">
        <v>132</v>
      </c>
      <c r="S1005" s="20" t="s">
        <v>133</v>
      </c>
      <c r="T1005" s="20" t="s">
        <v>59</v>
      </c>
      <c r="U1005" s="20">
        <v>2026.0</v>
      </c>
      <c r="V1005" s="20">
        <v>6.0</v>
      </c>
      <c r="W1005" s="20">
        <v>1.081874884E9</v>
      </c>
      <c r="X1005" s="20">
        <v>1.081893356E9</v>
      </c>
      <c r="Y1005" s="22">
        <v>46182.0</v>
      </c>
      <c r="Z1005" s="22">
        <v>46207.0</v>
      </c>
      <c r="AA1005" s="20">
        <v>91938.28</v>
      </c>
      <c r="AB1005" s="20">
        <v>91938.28</v>
      </c>
      <c r="AC1005" s="20">
        <v>30351.0</v>
      </c>
      <c r="AD1005" s="20">
        <v>0.0</v>
      </c>
      <c r="AE1005" s="20">
        <v>885.28</v>
      </c>
      <c r="AF1005" s="20">
        <v>0.0</v>
      </c>
      <c r="AG1005" s="20">
        <v>0.0</v>
      </c>
      <c r="AH1005" s="20">
        <v>0.0</v>
      </c>
      <c r="AI1005" s="20">
        <v>0.0</v>
      </c>
      <c r="AJ1005" s="20">
        <v>91938.28</v>
      </c>
      <c r="AK1005" s="20">
        <v>91938.89</v>
      </c>
      <c r="AL1005" s="20">
        <v>1.0</v>
      </c>
      <c r="AM1005" s="20">
        <v>416.67</v>
      </c>
      <c r="AN1005" s="20">
        <v>0.0</v>
      </c>
      <c r="AS1005" s="11" t="str">
        <f>VLOOKUP(C1005,'mayo-26'!B:AS,44,0)</f>
        <v>girly0488@gmail.com</v>
      </c>
      <c r="AT1005" s="12" t="str">
        <f>VLOOKUP(C1005,'mayo-26'!B:AT,45,0)</f>
        <v>CORREO ELECTRONICO CERTIFICADO 472</v>
      </c>
    </row>
    <row r="1006" ht="14.25" customHeight="1">
      <c r="A1006" s="20" t="s">
        <v>2081</v>
      </c>
      <c r="B1006" s="20">
        <v>2144.0</v>
      </c>
      <c r="C1006" s="20">
        <v>2143.0</v>
      </c>
      <c r="D1006" s="21">
        <v>2143.0</v>
      </c>
      <c r="E1006" s="20">
        <v>9.0410649E7</v>
      </c>
      <c r="F1006" s="20">
        <v>9.0410649E7</v>
      </c>
      <c r="G1006" s="20">
        <v>8.00026124E8</v>
      </c>
      <c r="H1006" s="20" t="s">
        <v>2082</v>
      </c>
      <c r="I1006" s="1" t="str">
        <f>VLOOKUP(C1006,'mayo-26'!B:H,7,0)</f>
        <v>KM 3 LOMITAS VIA SAN ANTONIO</v>
      </c>
      <c r="J1006" s="1" t="s">
        <v>2003</v>
      </c>
      <c r="K1006" s="10" t="str">
        <f>VLOOKUP(C1006,'mayo-26'!B:J,9,0)</f>
        <v>NO</v>
      </c>
      <c r="L1006" s="1" t="str">
        <f>VLOOKUP(C1006,'mayo-26'!B:K,10,0)</f>
        <v>NO</v>
      </c>
      <c r="M1006" s="20" t="s">
        <v>1998</v>
      </c>
      <c r="N1006" s="20" t="s">
        <v>1999</v>
      </c>
      <c r="O1006" s="20" t="s">
        <v>2000</v>
      </c>
      <c r="P1006" s="20" t="s">
        <v>126</v>
      </c>
      <c r="Q1006" s="20" t="s">
        <v>131</v>
      </c>
      <c r="R1006" s="20" t="s">
        <v>132</v>
      </c>
      <c r="S1006" s="20" t="s">
        <v>133</v>
      </c>
      <c r="T1006" s="20" t="s">
        <v>59</v>
      </c>
      <c r="U1006" s="20">
        <v>2026.0</v>
      </c>
      <c r="V1006" s="20">
        <v>6.0</v>
      </c>
      <c r="W1006" s="20">
        <v>1.081874893E9</v>
      </c>
      <c r="X1006" s="20">
        <v>1.081893365E9</v>
      </c>
      <c r="Y1006" s="22">
        <v>46182.0</v>
      </c>
      <c r="Z1006" s="22">
        <v>46207.0</v>
      </c>
      <c r="AA1006" s="20">
        <v>91053.0</v>
      </c>
      <c r="AB1006" s="20">
        <v>91053.0</v>
      </c>
      <c r="AC1006" s="20">
        <v>30351.0</v>
      </c>
      <c r="AD1006" s="20">
        <v>0.0</v>
      </c>
      <c r="AE1006" s="20">
        <v>0.0</v>
      </c>
      <c r="AF1006" s="20">
        <v>0.0</v>
      </c>
      <c r="AG1006" s="20">
        <v>0.0</v>
      </c>
      <c r="AH1006" s="20">
        <v>0.0</v>
      </c>
      <c r="AI1006" s="20">
        <v>0.0</v>
      </c>
      <c r="AJ1006" s="20">
        <v>255.0</v>
      </c>
      <c r="AK1006" s="20">
        <v>255.0</v>
      </c>
      <c r="AL1006" s="20">
        <v>0.0</v>
      </c>
      <c r="AM1006" s="20">
        <v>416.67</v>
      </c>
      <c r="AN1006" s="20">
        <v>0.0</v>
      </c>
      <c r="AQ1006" s="20">
        <v>90798.0</v>
      </c>
      <c r="AS1006" s="11" t="str">
        <f>VLOOKUP(C1006,'mayo-26'!B:AS,44,0)</f>
        <v>EFACTURACION@TRANSFORMADORESCDM.COM</v>
      </c>
      <c r="AT1006" s="12" t="str">
        <f>VLOOKUP(C1006,'mayo-26'!B:AT,45,0)</f>
        <v>CORREO ELECTRONICO CERTIFICADO 472</v>
      </c>
    </row>
    <row r="1007" ht="14.25" customHeight="1">
      <c r="A1007" s="20" t="s">
        <v>2083</v>
      </c>
      <c r="B1007" s="20">
        <v>312.0</v>
      </c>
      <c r="C1007" s="20">
        <v>2147.0</v>
      </c>
      <c r="D1007" s="21">
        <v>2147.0</v>
      </c>
      <c r="E1007" s="20">
        <v>9.0410756E7</v>
      </c>
      <c r="F1007" s="20">
        <v>9.0410756E7</v>
      </c>
      <c r="G1007" s="20">
        <v>8.90500675E8</v>
      </c>
      <c r="H1007" s="20" t="s">
        <v>967</v>
      </c>
      <c r="I1007" s="1" t="str">
        <f>VLOOKUP(C1007,'mayo-26'!B:H,7,0)</f>
        <v>CLL 14 1-76</v>
      </c>
      <c r="J1007" s="1" t="s">
        <v>76</v>
      </c>
      <c r="K1007" s="10" t="str">
        <f>VLOOKUP(C1007,'mayo-26'!B:J,9,0)</f>
        <v>NO</v>
      </c>
      <c r="L1007" s="1" t="str">
        <f>VLOOKUP(C1007,'mayo-26'!B:K,10,0)</f>
        <v>COMFAORIENTE</v>
      </c>
      <c r="M1007" s="20" t="s">
        <v>1998</v>
      </c>
      <c r="N1007" s="20" t="s">
        <v>2011</v>
      </c>
      <c r="O1007" s="20" t="s">
        <v>2000</v>
      </c>
      <c r="P1007" s="20" t="s">
        <v>126</v>
      </c>
      <c r="Q1007" s="20" t="s">
        <v>56</v>
      </c>
      <c r="R1007" s="20" t="s">
        <v>57</v>
      </c>
      <c r="S1007" s="20" t="s">
        <v>143</v>
      </c>
      <c r="T1007" s="20" t="s">
        <v>59</v>
      </c>
      <c r="U1007" s="20">
        <v>2026.0</v>
      </c>
      <c r="V1007" s="20">
        <v>6.0</v>
      </c>
      <c r="W1007" s="20">
        <v>1.081874895E9</v>
      </c>
      <c r="X1007" s="20">
        <v>1.081893367E9</v>
      </c>
      <c r="Y1007" s="22">
        <v>46182.0</v>
      </c>
      <c r="Z1007" s="22">
        <v>46207.0</v>
      </c>
      <c r="AA1007" s="20">
        <v>3706256.81</v>
      </c>
      <c r="AB1007" s="20">
        <v>3706256.81</v>
      </c>
      <c r="AC1007" s="20">
        <v>0.0</v>
      </c>
      <c r="AD1007" s="20">
        <v>14233.0</v>
      </c>
      <c r="AE1007" s="20">
        <v>0.0</v>
      </c>
      <c r="AF1007" s="20">
        <v>0.0</v>
      </c>
      <c r="AG1007" s="20">
        <v>0.0</v>
      </c>
      <c r="AH1007" s="20">
        <v>0.0</v>
      </c>
      <c r="AI1007" s="20">
        <v>0.0</v>
      </c>
      <c r="AJ1007" s="20">
        <v>3706256.81</v>
      </c>
      <c r="AK1007" s="20">
        <v>3706256.81</v>
      </c>
      <c r="AL1007" s="20">
        <v>0.0</v>
      </c>
      <c r="AM1007" s="20">
        <v>634277.78</v>
      </c>
      <c r="AN1007" s="20">
        <v>0.0</v>
      </c>
      <c r="AS1007" s="11" t="str">
        <f>VLOOKUP(C1007,'mayo-26'!B:AS,44,0)</f>
        <v>MANTENIMIENTO@COMFAORIENTE.COM;TALENTOHUMANO@COMFAORIENTE.COM</v>
      </c>
      <c r="AT1007" s="12" t="str">
        <f>VLOOKUP(C1007,'mayo-26'!B:AT,45,0)</f>
        <v>CORREO ELECTRONICO CERTIFICADO 472</v>
      </c>
    </row>
    <row r="1008" ht="14.25" customHeight="1">
      <c r="A1008" s="20" t="s">
        <v>2084</v>
      </c>
      <c r="B1008" s="20">
        <v>147.0</v>
      </c>
      <c r="C1008" s="20">
        <v>2155.0</v>
      </c>
      <c r="D1008" s="21">
        <v>2155.0</v>
      </c>
      <c r="E1008" s="20">
        <v>9.0419575E7</v>
      </c>
      <c r="F1008" s="20">
        <v>9.0419575E7</v>
      </c>
      <c r="G1008" s="20" t="s">
        <v>179</v>
      </c>
      <c r="H1008" s="20" t="s">
        <v>180</v>
      </c>
      <c r="I1008" s="1" t="str">
        <f>VLOOKUP(C1008,'mayo-26'!B:H,7,0)</f>
        <v>AVE 3 CLL 24 GARITA # 1</v>
      </c>
      <c r="J1008" s="1" t="s">
        <v>76</v>
      </c>
      <c r="K1008" s="10" t="str">
        <f>VLOOKUP(C1008,'mayo-26'!B:J,9,0)</f>
        <v>NO</v>
      </c>
      <c r="L1008" s="1" t="str">
        <f>VLOOKUP(C1008,'mayo-26'!B:K,10,0)</f>
        <v>POLICIA</v>
      </c>
      <c r="M1008" s="20" t="s">
        <v>1998</v>
      </c>
      <c r="N1008" s="20" t="s">
        <v>1999</v>
      </c>
      <c r="O1008" s="20" t="s">
        <v>2000</v>
      </c>
      <c r="P1008" s="20" t="s">
        <v>126</v>
      </c>
      <c r="Q1008" s="20" t="s">
        <v>56</v>
      </c>
      <c r="R1008" s="20" t="s">
        <v>57</v>
      </c>
      <c r="S1008" s="20" t="s">
        <v>143</v>
      </c>
      <c r="T1008" s="20" t="s">
        <v>59</v>
      </c>
      <c r="U1008" s="20">
        <v>2026.0</v>
      </c>
      <c r="V1008" s="20">
        <v>6.0</v>
      </c>
      <c r="W1008" s="20">
        <v>1.081874897E9</v>
      </c>
      <c r="X1008" s="20">
        <v>1.081893369E9</v>
      </c>
      <c r="Y1008" s="22">
        <v>46182.0</v>
      </c>
      <c r="Z1008" s="22">
        <v>46207.0</v>
      </c>
      <c r="AA1008" s="20">
        <v>161720.28</v>
      </c>
      <c r="AB1008" s="20">
        <v>161720.28</v>
      </c>
      <c r="AC1008" s="20">
        <v>0.0</v>
      </c>
      <c r="AD1008" s="20">
        <v>675.0</v>
      </c>
      <c r="AE1008" s="20">
        <v>0.0</v>
      </c>
      <c r="AF1008" s="20">
        <v>0.0</v>
      </c>
      <c r="AG1008" s="20">
        <v>0.0</v>
      </c>
      <c r="AH1008" s="20">
        <v>0.0</v>
      </c>
      <c r="AI1008" s="20">
        <v>0.0</v>
      </c>
      <c r="AJ1008" s="20">
        <v>161720.28</v>
      </c>
      <c r="AK1008" s="20">
        <v>323292.87</v>
      </c>
      <c r="AL1008" s="20">
        <v>1.0</v>
      </c>
      <c r="AM1008" s="20">
        <v>277.78</v>
      </c>
      <c r="AN1008" s="20">
        <v>0.0</v>
      </c>
      <c r="AS1008" s="11" t="str">
        <f>VLOOKUP(C1008,'mayo-26'!B:AS,44,0)</f>
        <v>MECUC.GUBIR@POLICIA.GOV.CO</v>
      </c>
      <c r="AT1008" s="12" t="str">
        <f>VLOOKUP(C1008,'mayo-26'!B:AT,45,0)</f>
        <v>CORREO ELECTRONICO CERTIFICADO 472</v>
      </c>
    </row>
    <row r="1009" ht="14.25" customHeight="1">
      <c r="A1009" s="15" t="s">
        <v>2085</v>
      </c>
      <c r="B1009" s="23">
        <v>12.0</v>
      </c>
      <c r="C1009" s="23">
        <v>11.0</v>
      </c>
      <c r="D1009" s="23">
        <v>11.0</v>
      </c>
      <c r="E1009" s="23">
        <v>9.0300047E7</v>
      </c>
      <c r="F1009" s="23">
        <v>9.0300047E7</v>
      </c>
      <c r="G1009" s="24">
        <v>2.7583326E7</v>
      </c>
      <c r="H1009" s="25" t="s">
        <v>2086</v>
      </c>
      <c r="I1009" s="1" t="str">
        <f>VLOOKUP(C1009,'mayo-26'!B:H,7,0)</f>
        <v>AV.9 # 54B-90 APTO 501</v>
      </c>
      <c r="J1009" s="1" t="str">
        <f>VLOOKUP(C1009,'mayo-26'!B:I,8,0)</f>
        <v>LA FLORESTA</v>
      </c>
      <c r="K1009" s="10" t="str">
        <f>VLOOKUP(C1009,'mayo-26'!B:J,9,0)</f>
        <v>EDIFICIO LA FONTANA</v>
      </c>
      <c r="L1009" s="1" t="str">
        <f>VLOOKUP(C1009,'mayo-26'!B:K,10,0)</f>
        <v>EDIFICIO LA FONTANA</v>
      </c>
      <c r="M1009" s="18" t="s">
        <v>2087</v>
      </c>
      <c r="N1009" s="18" t="s">
        <v>2088</v>
      </c>
      <c r="O1009" s="25" t="s">
        <v>2089</v>
      </c>
      <c r="P1009" s="18" t="s">
        <v>126</v>
      </c>
      <c r="Q1009" s="25" t="s">
        <v>218</v>
      </c>
      <c r="R1009" s="25" t="s">
        <v>943</v>
      </c>
      <c r="S1009" s="25" t="s">
        <v>133</v>
      </c>
      <c r="T1009" s="25" t="s">
        <v>59</v>
      </c>
      <c r="U1009" s="24">
        <v>2026.0</v>
      </c>
      <c r="V1009" s="24">
        <v>6.0</v>
      </c>
      <c r="W1009" s="24">
        <v>1.081874813E9</v>
      </c>
      <c r="X1009" s="24">
        <v>1.081893285E9</v>
      </c>
      <c r="Y1009" s="25" t="s">
        <v>60</v>
      </c>
      <c r="Z1009" s="25" t="s">
        <v>61</v>
      </c>
      <c r="AA1009" s="24">
        <v>56568.0</v>
      </c>
      <c r="AB1009" s="24">
        <v>56568.0</v>
      </c>
      <c r="AC1009" s="26">
        <v>18856.0</v>
      </c>
      <c r="AD1009" s="26">
        <v>0.0</v>
      </c>
      <c r="AE1009" s="24">
        <v>0.0</v>
      </c>
      <c r="AF1009" s="24">
        <v>0.0</v>
      </c>
      <c r="AG1009" s="24">
        <v>0.0</v>
      </c>
      <c r="AH1009" s="24">
        <v>0.0</v>
      </c>
      <c r="AI1009" s="24">
        <v>0.0</v>
      </c>
      <c r="AJ1009" s="24">
        <v>56568.0</v>
      </c>
      <c r="AK1009" s="24">
        <v>56568.0</v>
      </c>
      <c r="AL1009" s="24">
        <v>0.0</v>
      </c>
      <c r="AM1009" s="24">
        <v>416.67</v>
      </c>
      <c r="AN1009" s="24">
        <v>0.0</v>
      </c>
      <c r="AO1009" s="25" t="s">
        <v>62</v>
      </c>
      <c r="AP1009" s="25" t="s">
        <v>62</v>
      </c>
      <c r="AQ1009" s="25" t="s">
        <v>62</v>
      </c>
      <c r="AR1009" s="25" t="s">
        <v>62</v>
      </c>
      <c r="AS1009" s="11" t="str">
        <f>VLOOKUP(C1009,'mayo-26'!B:AS,44,0)</f>
        <v>BARCOCLAUDIA2216@GMAIL.COM</v>
      </c>
      <c r="AT1009" s="12" t="str">
        <f>VLOOKUP(C1009,'mayo-26'!B:AT,45,0)</f>
        <v>VERIFICADOR</v>
      </c>
    </row>
    <row r="1010" ht="14.25" customHeight="1">
      <c r="A1010" s="15" t="s">
        <v>2090</v>
      </c>
      <c r="B1010" s="23">
        <v>699.0</v>
      </c>
      <c r="C1010" s="23">
        <v>127375.0</v>
      </c>
      <c r="D1010" s="23">
        <v>127375.0</v>
      </c>
      <c r="E1010" s="23">
        <v>513662.0</v>
      </c>
      <c r="F1010" s="23">
        <v>513662.0</v>
      </c>
      <c r="G1010" s="24">
        <v>9.00480569E8</v>
      </c>
      <c r="H1010" s="25" t="s">
        <v>141</v>
      </c>
      <c r="I1010" s="1" t="str">
        <f>VLOOKUP(C1010,'mayo-26'!B:H,7,0)</f>
        <v>CLL 12 4-52 CENTRO</v>
      </c>
      <c r="J1010" s="1" t="str">
        <f>VLOOKUP(C1010,'mayo-26'!B:I,8,0)</f>
        <v>PORTAL DE LOS PATIOS</v>
      </c>
      <c r="K1010" s="10" t="str">
        <f>VLOOKUP(C1010,'mayo-26'!B:J,9,0)</f>
        <v>NO</v>
      </c>
      <c r="L1010" s="1" t="str">
        <f>VLOOKUP(C1010,'mayo-26'!B:K,10,0)</f>
        <v>ARA PATIOS</v>
      </c>
      <c r="M1010" s="18" t="s">
        <v>2087</v>
      </c>
      <c r="N1010" s="18" t="s">
        <v>2091</v>
      </c>
      <c r="O1010" s="25" t="s">
        <v>2089</v>
      </c>
      <c r="P1010" s="18" t="s">
        <v>126</v>
      </c>
      <c r="Q1010" s="25" t="s">
        <v>56</v>
      </c>
      <c r="R1010" s="25" t="s">
        <v>90</v>
      </c>
      <c r="S1010" s="25" t="s">
        <v>143</v>
      </c>
      <c r="T1010" s="25" t="s">
        <v>59</v>
      </c>
      <c r="U1010" s="24">
        <v>2026.0</v>
      </c>
      <c r="V1010" s="24">
        <v>6.0</v>
      </c>
      <c r="W1010" s="24">
        <v>1.081874866E9</v>
      </c>
      <c r="X1010" s="24">
        <v>1.081893338E9</v>
      </c>
      <c r="Y1010" s="25" t="s">
        <v>60</v>
      </c>
      <c r="Z1010" s="25" t="s">
        <v>61</v>
      </c>
      <c r="AA1010" s="24">
        <v>682034.76</v>
      </c>
      <c r="AB1010" s="24">
        <v>682034.76</v>
      </c>
      <c r="AC1010" s="26">
        <v>224884.35</v>
      </c>
      <c r="AD1010" s="26">
        <v>2205.0</v>
      </c>
      <c r="AE1010" s="24">
        <v>7381.74</v>
      </c>
      <c r="AF1010" s="24">
        <v>0.0</v>
      </c>
      <c r="AG1010" s="24">
        <v>0.0</v>
      </c>
      <c r="AH1010" s="24">
        <v>0.0</v>
      </c>
      <c r="AI1010" s="24">
        <v>0.0</v>
      </c>
      <c r="AJ1010" s="24">
        <v>682034.76</v>
      </c>
      <c r="AK1010" s="24">
        <v>2024522.93</v>
      </c>
      <c r="AL1010" s="24">
        <v>2.0</v>
      </c>
      <c r="AM1010" s="24">
        <v>416.67</v>
      </c>
      <c r="AN1010" s="24">
        <v>0.0</v>
      </c>
      <c r="AO1010" s="25" t="s">
        <v>62</v>
      </c>
      <c r="AP1010" s="25" t="s">
        <v>62</v>
      </c>
      <c r="AQ1010" s="25" t="s">
        <v>62</v>
      </c>
      <c r="AR1010" s="25" t="s">
        <v>62</v>
      </c>
      <c r="AS1010" s="11" t="str">
        <f>VLOOKUP(C1010,'mayo-26'!B:AS,44,0)</f>
        <v>COORDINADOR.OPERACIONES.R11@JERONIMO-MARTINS.COM</v>
      </c>
      <c r="AT1010" s="12" t="str">
        <f>VLOOKUP(C1010,'mayo-26'!B:AT,45,0)</f>
        <v>CORREO ELECTRONICO CERTIFICADO 472</v>
      </c>
    </row>
    <row r="1011" ht="14.25" customHeight="1">
      <c r="A1011" s="15" t="s">
        <v>2092</v>
      </c>
      <c r="B1011" s="23">
        <v>141.0</v>
      </c>
      <c r="C1011" s="23">
        <v>137375.0</v>
      </c>
      <c r="D1011" s="23">
        <v>137375.0</v>
      </c>
      <c r="E1011" s="23">
        <v>532566.0</v>
      </c>
      <c r="F1011" s="23">
        <v>532566.0</v>
      </c>
      <c r="G1011" s="24">
        <v>8.90500514E8</v>
      </c>
      <c r="H1011" s="25" t="s">
        <v>145</v>
      </c>
      <c r="I1011" s="1" t="str">
        <f>VLOOKUP(C1011,'mayo-26'!B:H,7,0)</f>
        <v>AV 2 CALLE 39 LIBERTAD</v>
      </c>
      <c r="J1011" s="1" t="str">
        <f>VLOOKUP(C1011,'mayo-26'!B:I,8,0)</f>
        <v>KM 8 PATIOS</v>
      </c>
      <c r="K1011" s="10" t="str">
        <f>VLOOKUP(C1011,'mayo-26'!B:J,9,0)</f>
        <v>NO</v>
      </c>
      <c r="L1011" s="1" t="str">
        <f>VLOOKUP(C1011,'mayo-26'!B:K,10,0)</f>
        <v>CENS</v>
      </c>
      <c r="M1011" s="18" t="s">
        <v>2087</v>
      </c>
      <c r="N1011" s="18" t="s">
        <v>2091</v>
      </c>
      <c r="O1011" s="25" t="s">
        <v>2089</v>
      </c>
      <c r="P1011" s="18" t="s">
        <v>126</v>
      </c>
      <c r="Q1011" s="25" t="s">
        <v>131</v>
      </c>
      <c r="R1011" s="25" t="s">
        <v>363</v>
      </c>
      <c r="S1011" s="25" t="s">
        <v>133</v>
      </c>
      <c r="T1011" s="25" t="s">
        <v>59</v>
      </c>
      <c r="U1011" s="24">
        <v>2026.0</v>
      </c>
      <c r="V1011" s="24">
        <v>6.0</v>
      </c>
      <c r="W1011" s="24">
        <v>1.081874869E9</v>
      </c>
      <c r="X1011" s="24">
        <v>1.081893341E9</v>
      </c>
      <c r="Y1011" s="25" t="s">
        <v>60</v>
      </c>
      <c r="Z1011" s="25" t="s">
        <v>61</v>
      </c>
      <c r="AA1011" s="24">
        <v>51384.13</v>
      </c>
      <c r="AB1011" s="24">
        <v>51384.13</v>
      </c>
      <c r="AC1011" s="26">
        <v>17008.0</v>
      </c>
      <c r="AD1011" s="26">
        <v>0.0</v>
      </c>
      <c r="AE1011" s="24">
        <v>360.13</v>
      </c>
      <c r="AF1011" s="24">
        <v>0.0</v>
      </c>
      <c r="AG1011" s="24">
        <v>0.0</v>
      </c>
      <c r="AH1011" s="24">
        <v>0.0</v>
      </c>
      <c r="AI1011" s="24">
        <v>0.0</v>
      </c>
      <c r="AJ1011" s="24">
        <v>51384.13</v>
      </c>
      <c r="AK1011" s="24">
        <v>96980.43</v>
      </c>
      <c r="AL1011" s="24">
        <v>1.0</v>
      </c>
      <c r="AM1011" s="24">
        <v>416.67</v>
      </c>
      <c r="AN1011" s="24">
        <v>0.0</v>
      </c>
      <c r="AO1011" s="25" t="s">
        <v>62</v>
      </c>
      <c r="AP1011" s="25" t="s">
        <v>62</v>
      </c>
      <c r="AQ1011" s="25" t="s">
        <v>62</v>
      </c>
      <c r="AR1011" s="25" t="s">
        <v>62</v>
      </c>
      <c r="AS1011" s="11" t="str">
        <f>VLOOKUP(C1011,'mayo-26'!B:AS,44,0)</f>
        <v>FACTURAELECTRONICACENS@GRUPO-EPM.COM</v>
      </c>
      <c r="AT1011" s="12" t="str">
        <f>VLOOKUP(C1011,'mayo-26'!B:AT,45,0)</f>
        <v>CORREO ELECTRONICO CERTIFICADO 472</v>
      </c>
    </row>
    <row r="1012" ht="14.25" customHeight="1">
      <c r="A1012" s="15" t="s">
        <v>2093</v>
      </c>
      <c r="B1012" s="23">
        <v>16.0</v>
      </c>
      <c r="C1012" s="23">
        <v>15.0</v>
      </c>
      <c r="D1012" s="23">
        <v>15.0</v>
      </c>
      <c r="E1012" s="23">
        <v>9.0300051E7</v>
      </c>
      <c r="F1012" s="23">
        <v>9.0300051E7</v>
      </c>
      <c r="G1012" s="24">
        <v>1.3170175E7</v>
      </c>
      <c r="H1012" s="25" t="s">
        <v>2094</v>
      </c>
      <c r="I1012" s="1" t="str">
        <f>VLOOKUP(C1012,'mayo-26'!B:H,7,0)</f>
        <v>AV.9 # 54B-90 APTO 303</v>
      </c>
      <c r="J1012" s="1" t="str">
        <f>VLOOKUP(C1012,'mayo-26'!B:I,8,0)</f>
        <v>LA FLORESTA</v>
      </c>
      <c r="K1012" s="10" t="str">
        <f>VLOOKUP(C1012,'mayo-26'!B:J,9,0)</f>
        <v>EDIFICIO LA FONTANA</v>
      </c>
      <c r="L1012" s="1" t="str">
        <f>VLOOKUP(C1012,'mayo-26'!B:K,10,0)</f>
        <v>EDIFICIO LA FONTANA</v>
      </c>
      <c r="M1012" s="18" t="s">
        <v>2087</v>
      </c>
      <c r="N1012" s="18" t="s">
        <v>2088</v>
      </c>
      <c r="O1012" s="25" t="s">
        <v>2089</v>
      </c>
      <c r="P1012" s="18" t="s">
        <v>126</v>
      </c>
      <c r="Q1012" s="25" t="s">
        <v>218</v>
      </c>
      <c r="R1012" s="25" t="s">
        <v>943</v>
      </c>
      <c r="S1012" s="25" t="s">
        <v>133</v>
      </c>
      <c r="T1012" s="25" t="s">
        <v>59</v>
      </c>
      <c r="U1012" s="24">
        <v>2026.0</v>
      </c>
      <c r="V1012" s="24">
        <v>6.0</v>
      </c>
      <c r="W1012" s="24">
        <v>1.081874816E9</v>
      </c>
      <c r="X1012" s="24">
        <v>1.081893288E9</v>
      </c>
      <c r="Y1012" s="25" t="s">
        <v>60</v>
      </c>
      <c r="Z1012" s="25" t="s">
        <v>61</v>
      </c>
      <c r="AA1012" s="24">
        <v>79876.78</v>
      </c>
      <c r="AB1012" s="24">
        <v>79876.78</v>
      </c>
      <c r="AC1012" s="26">
        <v>18856.0</v>
      </c>
      <c r="AD1012" s="26">
        <v>0.0</v>
      </c>
      <c r="AE1012" s="24">
        <v>23308.78</v>
      </c>
      <c r="AF1012" s="24">
        <v>0.0</v>
      </c>
      <c r="AG1012" s="24">
        <v>0.0</v>
      </c>
      <c r="AH1012" s="24">
        <v>0.0</v>
      </c>
      <c r="AI1012" s="24">
        <v>0.0</v>
      </c>
      <c r="AJ1012" s="24">
        <v>79876.78</v>
      </c>
      <c r="AK1012" s="24">
        <v>1456458.16</v>
      </c>
      <c r="AL1012" s="24">
        <v>11.0</v>
      </c>
      <c r="AM1012" s="24">
        <v>416.67</v>
      </c>
      <c r="AN1012" s="24">
        <v>0.0</v>
      </c>
      <c r="AO1012" s="25" t="s">
        <v>62</v>
      </c>
      <c r="AP1012" s="25" t="s">
        <v>62</v>
      </c>
      <c r="AQ1012" s="25" t="s">
        <v>62</v>
      </c>
      <c r="AR1012" s="25" t="s">
        <v>62</v>
      </c>
      <c r="AS1012" s="11" t="str">
        <f>VLOOKUP(C1012,'mayo-26'!B:AS,44,0)</f>
        <v>ELIVARIE@HOTMAIL.COM</v>
      </c>
      <c r="AT1012" s="12" t="str">
        <f>VLOOKUP(C1012,'mayo-26'!B:AT,45,0)</f>
        <v>VERIFICADOR</v>
      </c>
    </row>
    <row r="1013" ht="14.25" customHeight="1">
      <c r="A1013" s="15" t="s">
        <v>2095</v>
      </c>
      <c r="B1013" s="23">
        <v>20.0</v>
      </c>
      <c r="C1013" s="23">
        <v>19.0</v>
      </c>
      <c r="D1013" s="23">
        <v>19.0</v>
      </c>
      <c r="E1013" s="23">
        <v>9.0300055E7</v>
      </c>
      <c r="F1013" s="23">
        <v>9.0300055E7</v>
      </c>
      <c r="G1013" s="24">
        <v>9.0300055E7</v>
      </c>
      <c r="H1013" s="25" t="s">
        <v>2086</v>
      </c>
      <c r="I1013" s="1" t="str">
        <f>VLOOKUP(C1013,'mayo-26'!B:H,7,0)</f>
        <v>AVE 9 # 54B-90 APTO 202</v>
      </c>
      <c r="J1013" s="1" t="str">
        <f>VLOOKUP(C1013,'mayo-26'!B:I,8,0)</f>
        <v>LA FLORESTA</v>
      </c>
      <c r="K1013" s="10" t="str">
        <f>VLOOKUP(C1013,'mayo-26'!B:J,9,0)</f>
        <v>EDIFICIO LA FONTANA</v>
      </c>
      <c r="L1013" s="1" t="str">
        <f>VLOOKUP(C1013,'mayo-26'!B:K,10,0)</f>
        <v>EDIFICIO LA FONTANA</v>
      </c>
      <c r="M1013" s="18" t="s">
        <v>2087</v>
      </c>
      <c r="N1013" s="18" t="s">
        <v>2088</v>
      </c>
      <c r="O1013" s="25" t="s">
        <v>2089</v>
      </c>
      <c r="P1013" s="18" t="s">
        <v>126</v>
      </c>
      <c r="Q1013" s="25" t="s">
        <v>218</v>
      </c>
      <c r="R1013" s="25" t="s">
        <v>943</v>
      </c>
      <c r="S1013" s="25" t="s">
        <v>133</v>
      </c>
      <c r="T1013" s="25" t="s">
        <v>59</v>
      </c>
      <c r="U1013" s="24">
        <v>2026.0</v>
      </c>
      <c r="V1013" s="24">
        <v>6.0</v>
      </c>
      <c r="W1013" s="24">
        <v>1.081874822E9</v>
      </c>
      <c r="X1013" s="24">
        <v>1.081893294E9</v>
      </c>
      <c r="Y1013" s="25" t="s">
        <v>60</v>
      </c>
      <c r="Z1013" s="25" t="s">
        <v>61</v>
      </c>
      <c r="AA1013" s="24">
        <v>79250.41</v>
      </c>
      <c r="AB1013" s="24">
        <v>79250.41</v>
      </c>
      <c r="AC1013" s="26">
        <v>18856.0</v>
      </c>
      <c r="AD1013" s="26">
        <v>0.0</v>
      </c>
      <c r="AE1013" s="24">
        <v>22682.41</v>
      </c>
      <c r="AF1013" s="24">
        <v>0.0</v>
      </c>
      <c r="AG1013" s="24">
        <v>0.0</v>
      </c>
      <c r="AH1013" s="24">
        <v>0.0</v>
      </c>
      <c r="AI1013" s="24">
        <v>0.0</v>
      </c>
      <c r="AJ1013" s="24">
        <v>79250.41</v>
      </c>
      <c r="AK1013" s="24">
        <v>1496343.33</v>
      </c>
      <c r="AL1013" s="24">
        <v>25.0</v>
      </c>
      <c r="AM1013" s="24">
        <v>416.67</v>
      </c>
      <c r="AN1013" s="24">
        <v>0.0</v>
      </c>
      <c r="AO1013" s="25" t="s">
        <v>62</v>
      </c>
      <c r="AP1013" s="25" t="s">
        <v>62</v>
      </c>
      <c r="AQ1013" s="25" t="s">
        <v>62</v>
      </c>
      <c r="AR1013" s="25" t="s">
        <v>62</v>
      </c>
      <c r="AS1013" s="11" t="str">
        <f>VLOOKUP(C1013,'mayo-26'!B:AS,44,0)</f>
        <v/>
      </c>
      <c r="AT1013" s="12" t="str">
        <f>VLOOKUP(C1013,'mayo-26'!B:AT,45,0)</f>
        <v>VERIFICADOR</v>
      </c>
    </row>
    <row r="1014" ht="14.25" customHeight="1">
      <c r="A1014" s="15" t="s">
        <v>2096</v>
      </c>
      <c r="B1014" s="23">
        <v>24.0</v>
      </c>
      <c r="C1014" s="23">
        <v>23.0</v>
      </c>
      <c r="D1014" s="23">
        <v>23.0</v>
      </c>
      <c r="E1014" s="23">
        <v>9.0300059E7</v>
      </c>
      <c r="F1014" s="23">
        <v>9.0300059E7</v>
      </c>
      <c r="G1014" s="24">
        <v>9.0300059E7</v>
      </c>
      <c r="H1014" s="25" t="s">
        <v>2097</v>
      </c>
      <c r="I1014" s="1" t="str">
        <f>VLOOKUP(C1014,'mayo-26'!B:H,7,0)</f>
        <v>AV.9 #54B-185 APTO.102</v>
      </c>
      <c r="J1014" s="1" t="str">
        <f>VLOOKUP(C1014,'mayo-26'!B:I,8,0)</f>
        <v>LA FLORESTA</v>
      </c>
      <c r="K1014" s="10" t="str">
        <f>VLOOKUP(C1014,'mayo-26'!B:J,9,0)</f>
        <v>NO</v>
      </c>
      <c r="L1014" s="1" t="str">
        <f>VLOOKUP(C1014,'mayo-26'!B:K,10,0)</f>
        <v>CONST MIRADOR DE LA FLORESTA</v>
      </c>
      <c r="M1014" s="18" t="s">
        <v>2087</v>
      </c>
      <c r="N1014" s="18" t="s">
        <v>2088</v>
      </c>
      <c r="O1014" s="25" t="s">
        <v>2089</v>
      </c>
      <c r="P1014" s="18" t="s">
        <v>126</v>
      </c>
      <c r="Q1014" s="25" t="s">
        <v>218</v>
      </c>
      <c r="R1014" s="25" t="s">
        <v>943</v>
      </c>
      <c r="S1014" s="25" t="s">
        <v>133</v>
      </c>
      <c r="T1014" s="25" t="s">
        <v>59</v>
      </c>
      <c r="U1014" s="24">
        <v>2026.0</v>
      </c>
      <c r="V1014" s="24">
        <v>6.0</v>
      </c>
      <c r="W1014" s="24">
        <v>1.081874827E9</v>
      </c>
      <c r="X1014" s="24">
        <v>1.081893299E9</v>
      </c>
      <c r="Y1014" s="25" t="s">
        <v>60</v>
      </c>
      <c r="Z1014" s="25" t="s">
        <v>61</v>
      </c>
      <c r="AA1014" s="24">
        <v>56568.0</v>
      </c>
      <c r="AB1014" s="24">
        <v>56568.0</v>
      </c>
      <c r="AC1014" s="26">
        <v>18856.0</v>
      </c>
      <c r="AD1014" s="26">
        <v>0.0</v>
      </c>
      <c r="AE1014" s="24">
        <v>0.0</v>
      </c>
      <c r="AF1014" s="24">
        <v>0.0</v>
      </c>
      <c r="AG1014" s="24">
        <v>0.0</v>
      </c>
      <c r="AH1014" s="24">
        <v>0.0</v>
      </c>
      <c r="AI1014" s="24">
        <v>0.0</v>
      </c>
      <c r="AJ1014" s="24">
        <v>56568.0</v>
      </c>
      <c r="AK1014" s="24">
        <v>56568.5</v>
      </c>
      <c r="AL1014" s="24">
        <v>1.0</v>
      </c>
      <c r="AM1014" s="24">
        <v>416.67</v>
      </c>
      <c r="AN1014" s="24">
        <v>0.0</v>
      </c>
      <c r="AO1014" s="25" t="s">
        <v>62</v>
      </c>
      <c r="AP1014" s="25" t="s">
        <v>62</v>
      </c>
      <c r="AQ1014" s="25" t="s">
        <v>62</v>
      </c>
      <c r="AR1014" s="25" t="s">
        <v>62</v>
      </c>
      <c r="AS1014" s="11" t="str">
        <f>VLOOKUP(C1014,'mayo-26'!B:AS,44,0)</f>
        <v/>
      </c>
      <c r="AT1014" s="12" t="str">
        <f>VLOOKUP(C1014,'mayo-26'!B:AT,45,0)</f>
        <v>VERIFICADOR</v>
      </c>
    </row>
    <row r="1015" ht="14.25" customHeight="1">
      <c r="A1015" s="15" t="s">
        <v>2098</v>
      </c>
      <c r="B1015" s="23">
        <v>28.0</v>
      </c>
      <c r="C1015" s="23">
        <v>27.0</v>
      </c>
      <c r="D1015" s="23">
        <v>27.0</v>
      </c>
      <c r="E1015" s="23">
        <v>9.0300066E7</v>
      </c>
      <c r="F1015" s="23">
        <v>9.0300066E7</v>
      </c>
      <c r="G1015" s="24">
        <v>9.0300066E7</v>
      </c>
      <c r="H1015" s="25" t="s">
        <v>2097</v>
      </c>
      <c r="I1015" s="1" t="str">
        <f>VLOOKUP(C1015,'mayo-26'!B:H,7,0)</f>
        <v>AV.9 #54B-185 APTO.401</v>
      </c>
      <c r="J1015" s="1" t="str">
        <f>VLOOKUP(C1015,'mayo-26'!B:I,8,0)</f>
        <v>LA FLORESTA</v>
      </c>
      <c r="K1015" s="10" t="str">
        <f>VLOOKUP(C1015,'mayo-26'!B:J,9,0)</f>
        <v>NO</v>
      </c>
      <c r="L1015" s="1" t="str">
        <f>VLOOKUP(C1015,'mayo-26'!B:K,10,0)</f>
        <v>CONST MIRADOR DE LA FLORESTA</v>
      </c>
      <c r="M1015" s="18" t="s">
        <v>2087</v>
      </c>
      <c r="N1015" s="18" t="s">
        <v>2088</v>
      </c>
      <c r="O1015" s="25" t="s">
        <v>2089</v>
      </c>
      <c r="P1015" s="18" t="s">
        <v>126</v>
      </c>
      <c r="Q1015" s="25" t="s">
        <v>218</v>
      </c>
      <c r="R1015" s="25" t="s">
        <v>943</v>
      </c>
      <c r="S1015" s="25" t="s">
        <v>133</v>
      </c>
      <c r="T1015" s="25" t="s">
        <v>59</v>
      </c>
      <c r="U1015" s="24">
        <v>2026.0</v>
      </c>
      <c r="V1015" s="24">
        <v>6.0</v>
      </c>
      <c r="W1015" s="24">
        <v>1.081874831E9</v>
      </c>
      <c r="X1015" s="24">
        <v>1.081893303E9</v>
      </c>
      <c r="Y1015" s="25" t="s">
        <v>60</v>
      </c>
      <c r="Z1015" s="25" t="s">
        <v>61</v>
      </c>
      <c r="AA1015" s="24">
        <v>57696.93</v>
      </c>
      <c r="AB1015" s="24">
        <v>57696.93</v>
      </c>
      <c r="AC1015" s="26">
        <v>18856.0</v>
      </c>
      <c r="AD1015" s="26">
        <v>0.0</v>
      </c>
      <c r="AE1015" s="24">
        <v>1128.93</v>
      </c>
      <c r="AF1015" s="24">
        <v>0.0</v>
      </c>
      <c r="AG1015" s="24">
        <v>0.0</v>
      </c>
      <c r="AH1015" s="24">
        <v>0.0</v>
      </c>
      <c r="AI1015" s="24">
        <v>0.0</v>
      </c>
      <c r="AJ1015" s="24">
        <v>57696.93</v>
      </c>
      <c r="AK1015" s="24">
        <v>57696.93</v>
      </c>
      <c r="AL1015" s="24">
        <v>0.0</v>
      </c>
      <c r="AM1015" s="24">
        <v>416.67</v>
      </c>
      <c r="AN1015" s="24">
        <v>0.0</v>
      </c>
      <c r="AO1015" s="25" t="s">
        <v>62</v>
      </c>
      <c r="AP1015" s="25" t="s">
        <v>62</v>
      </c>
      <c r="AQ1015" s="25" t="s">
        <v>62</v>
      </c>
      <c r="AR1015" s="25" t="s">
        <v>62</v>
      </c>
      <c r="AS1015" s="11" t="str">
        <f>VLOOKUP(C1015,'mayo-26'!B:AS,44,0)</f>
        <v/>
      </c>
      <c r="AT1015" s="12" t="str">
        <f>VLOOKUP(C1015,'mayo-26'!B:AT,45,0)</f>
        <v>VERIFICADOR</v>
      </c>
    </row>
    <row r="1016" ht="14.25" customHeight="1">
      <c r="A1016" s="15" t="s">
        <v>2099</v>
      </c>
      <c r="B1016" s="23">
        <v>4.0</v>
      </c>
      <c r="C1016" s="23">
        <v>3.0</v>
      </c>
      <c r="D1016" s="23">
        <v>3.0</v>
      </c>
      <c r="E1016" s="23">
        <v>9.0300039E7</v>
      </c>
      <c r="F1016" s="23">
        <v>9.0300039E7</v>
      </c>
      <c r="G1016" s="24">
        <v>8.90505256E8</v>
      </c>
      <c r="H1016" s="25" t="s">
        <v>2086</v>
      </c>
      <c r="I1016" s="1" t="str">
        <f>VLOOKUP(C1016,'mayo-26'!B:H,7,0)</f>
        <v>AV.9 # 54B-90 APTO 703</v>
      </c>
      <c r="J1016" s="1" t="str">
        <f>VLOOKUP(C1016,'mayo-26'!B:I,8,0)</f>
        <v>LA FLORESTA</v>
      </c>
      <c r="K1016" s="10" t="str">
        <f>VLOOKUP(C1016,'mayo-26'!B:J,9,0)</f>
        <v>EDIFICIO LA FONTANA</v>
      </c>
      <c r="L1016" s="1" t="str">
        <f>VLOOKUP(C1016,'mayo-26'!B:K,10,0)</f>
        <v>EDIFICIO LA FONTANA</v>
      </c>
      <c r="M1016" s="18" t="s">
        <v>2087</v>
      </c>
      <c r="N1016" s="18" t="s">
        <v>2088</v>
      </c>
      <c r="O1016" s="25" t="s">
        <v>2089</v>
      </c>
      <c r="P1016" s="18" t="s">
        <v>126</v>
      </c>
      <c r="Q1016" s="25" t="s">
        <v>218</v>
      </c>
      <c r="R1016" s="25" t="s">
        <v>943</v>
      </c>
      <c r="S1016" s="25" t="s">
        <v>133</v>
      </c>
      <c r="T1016" s="25" t="s">
        <v>59</v>
      </c>
      <c r="U1016" s="24">
        <v>2026.0</v>
      </c>
      <c r="V1016" s="24">
        <v>6.0</v>
      </c>
      <c r="W1016" s="24">
        <v>1.081874807E9</v>
      </c>
      <c r="X1016" s="24">
        <v>1.081893278E9</v>
      </c>
      <c r="Y1016" s="25" t="s">
        <v>60</v>
      </c>
      <c r="Z1016" s="25" t="s">
        <v>61</v>
      </c>
      <c r="AA1016" s="24">
        <v>56568.0</v>
      </c>
      <c r="AB1016" s="24">
        <v>56568.0</v>
      </c>
      <c r="AC1016" s="26">
        <v>18856.0</v>
      </c>
      <c r="AD1016" s="26">
        <v>0.0</v>
      </c>
      <c r="AE1016" s="24">
        <v>0.0</v>
      </c>
      <c r="AF1016" s="24">
        <v>0.0</v>
      </c>
      <c r="AG1016" s="24">
        <v>0.0</v>
      </c>
      <c r="AH1016" s="24">
        <v>0.0</v>
      </c>
      <c r="AI1016" s="24">
        <v>0.0</v>
      </c>
      <c r="AJ1016" s="24">
        <v>56568.0</v>
      </c>
      <c r="AK1016" s="24">
        <v>56568.0</v>
      </c>
      <c r="AL1016" s="24">
        <v>0.0</v>
      </c>
      <c r="AM1016" s="24">
        <v>416.67</v>
      </c>
      <c r="AN1016" s="24">
        <v>0.0</v>
      </c>
      <c r="AO1016" s="25" t="s">
        <v>62</v>
      </c>
      <c r="AP1016" s="25" t="s">
        <v>62</v>
      </c>
      <c r="AQ1016" s="25" t="s">
        <v>62</v>
      </c>
      <c r="AR1016" s="25" t="s">
        <v>62</v>
      </c>
      <c r="AS1016" s="11" t="str">
        <f>VLOOKUP(C1016,'mayo-26'!B:AS,44,0)</f>
        <v>COLBRA@HOTMAIL.COM</v>
      </c>
      <c r="AT1016" s="12" t="str">
        <f>VLOOKUP(C1016,'mayo-26'!B:AT,45,0)</f>
        <v>VERIFICADOR</v>
      </c>
    </row>
    <row r="1017" ht="14.25" customHeight="1">
      <c r="A1017" s="15" t="s">
        <v>2100</v>
      </c>
      <c r="B1017" s="23">
        <v>32.0</v>
      </c>
      <c r="C1017" s="23">
        <v>31.0</v>
      </c>
      <c r="D1017" s="23">
        <v>31.0</v>
      </c>
      <c r="E1017" s="23">
        <v>9.0300071E7</v>
      </c>
      <c r="F1017" s="23">
        <v>9.0300071E7</v>
      </c>
      <c r="G1017" s="24">
        <v>9.0300071E7</v>
      </c>
      <c r="H1017" s="25" t="s">
        <v>2097</v>
      </c>
      <c r="I1017" s="1" t="str">
        <f>VLOOKUP(C1017,'mayo-26'!B:H,7,0)</f>
        <v>AV.9 #54B-185 APTO.503</v>
      </c>
      <c r="J1017" s="1" t="str">
        <f>VLOOKUP(C1017,'mayo-26'!B:I,8,0)</f>
        <v>LA FLORESTA</v>
      </c>
      <c r="K1017" s="10" t="str">
        <f>VLOOKUP(C1017,'mayo-26'!B:J,9,0)</f>
        <v>NO</v>
      </c>
      <c r="L1017" s="1" t="str">
        <f>VLOOKUP(C1017,'mayo-26'!B:K,10,0)</f>
        <v>CONST MIRADOR DE LA FLORESTA</v>
      </c>
      <c r="M1017" s="18" t="s">
        <v>2087</v>
      </c>
      <c r="N1017" s="18" t="s">
        <v>2088</v>
      </c>
      <c r="O1017" s="25" t="s">
        <v>2089</v>
      </c>
      <c r="P1017" s="18" t="s">
        <v>126</v>
      </c>
      <c r="Q1017" s="25" t="s">
        <v>218</v>
      </c>
      <c r="R1017" s="25" t="s">
        <v>943</v>
      </c>
      <c r="S1017" s="25" t="s">
        <v>133</v>
      </c>
      <c r="T1017" s="25" t="s">
        <v>59</v>
      </c>
      <c r="U1017" s="24">
        <v>2026.0</v>
      </c>
      <c r="V1017" s="24">
        <v>6.0</v>
      </c>
      <c r="W1017" s="24">
        <v>1.081874836E9</v>
      </c>
      <c r="X1017" s="24">
        <v>1.081893308E9</v>
      </c>
      <c r="Y1017" s="25" t="s">
        <v>60</v>
      </c>
      <c r="Z1017" s="25" t="s">
        <v>61</v>
      </c>
      <c r="AA1017" s="24">
        <v>56899.11</v>
      </c>
      <c r="AB1017" s="24">
        <v>56899.11</v>
      </c>
      <c r="AC1017" s="26">
        <v>18856.0</v>
      </c>
      <c r="AD1017" s="26">
        <v>0.0</v>
      </c>
      <c r="AE1017" s="24">
        <v>331.11</v>
      </c>
      <c r="AF1017" s="24">
        <v>0.0</v>
      </c>
      <c r="AG1017" s="24">
        <v>0.0</v>
      </c>
      <c r="AH1017" s="24">
        <v>0.0</v>
      </c>
      <c r="AI1017" s="24">
        <v>0.0</v>
      </c>
      <c r="AJ1017" s="24">
        <v>56899.11</v>
      </c>
      <c r="AK1017" s="24">
        <v>56899.62</v>
      </c>
      <c r="AL1017" s="24">
        <v>1.0</v>
      </c>
      <c r="AM1017" s="24">
        <v>416.67</v>
      </c>
      <c r="AN1017" s="24">
        <v>0.0</v>
      </c>
      <c r="AO1017" s="25" t="s">
        <v>62</v>
      </c>
      <c r="AP1017" s="25" t="s">
        <v>62</v>
      </c>
      <c r="AQ1017" s="25" t="s">
        <v>62</v>
      </c>
      <c r="AR1017" s="25" t="s">
        <v>62</v>
      </c>
      <c r="AS1017" s="11" t="str">
        <f>VLOOKUP(C1017,'mayo-26'!B:AS,44,0)</f>
        <v/>
      </c>
      <c r="AT1017" s="12" t="str">
        <f>VLOOKUP(C1017,'mayo-26'!B:AT,45,0)</f>
        <v>VERIFICADOR</v>
      </c>
    </row>
    <row r="1018" ht="14.25" customHeight="1">
      <c r="A1018" s="15" t="s">
        <v>2101</v>
      </c>
      <c r="B1018" s="23">
        <v>36.0</v>
      </c>
      <c r="C1018" s="23">
        <v>35.0</v>
      </c>
      <c r="D1018" s="23">
        <v>35.0</v>
      </c>
      <c r="E1018" s="23">
        <v>9.0300075E7</v>
      </c>
      <c r="F1018" s="23">
        <v>9.0300075E7</v>
      </c>
      <c r="G1018" s="24">
        <v>9.0300075E7</v>
      </c>
      <c r="H1018" s="25" t="s">
        <v>2097</v>
      </c>
      <c r="I1018" s="1" t="str">
        <f>VLOOKUP(C1018,'mayo-26'!B:H,7,0)</f>
        <v>AV.9 #54B-185 APTO.701</v>
      </c>
      <c r="J1018" s="1" t="str">
        <f>VLOOKUP(C1018,'mayo-26'!B:I,8,0)</f>
        <v>LA FLORESTA</v>
      </c>
      <c r="K1018" s="10" t="str">
        <f>VLOOKUP(C1018,'mayo-26'!B:J,9,0)</f>
        <v>NO</v>
      </c>
      <c r="L1018" s="1" t="str">
        <f>VLOOKUP(C1018,'mayo-26'!B:K,10,0)</f>
        <v>CONST MIRADOR DE LA FLORESTA</v>
      </c>
      <c r="M1018" s="18" t="s">
        <v>2087</v>
      </c>
      <c r="N1018" s="18" t="s">
        <v>2088</v>
      </c>
      <c r="O1018" s="25" t="s">
        <v>2089</v>
      </c>
      <c r="P1018" s="18" t="s">
        <v>126</v>
      </c>
      <c r="Q1018" s="25" t="s">
        <v>218</v>
      </c>
      <c r="R1018" s="25" t="s">
        <v>943</v>
      </c>
      <c r="S1018" s="25" t="s">
        <v>133</v>
      </c>
      <c r="T1018" s="25" t="s">
        <v>59</v>
      </c>
      <c r="U1018" s="24">
        <v>2026.0</v>
      </c>
      <c r="V1018" s="24">
        <v>6.0</v>
      </c>
      <c r="W1018" s="24">
        <v>1.08187484E9</v>
      </c>
      <c r="X1018" s="24">
        <v>1.081893312E9</v>
      </c>
      <c r="Y1018" s="25" t="s">
        <v>60</v>
      </c>
      <c r="Z1018" s="25" t="s">
        <v>61</v>
      </c>
      <c r="AA1018" s="24">
        <v>59294.66</v>
      </c>
      <c r="AB1018" s="24">
        <v>59294.66</v>
      </c>
      <c r="AC1018" s="26">
        <v>18856.0</v>
      </c>
      <c r="AD1018" s="26">
        <v>0.0</v>
      </c>
      <c r="AE1018" s="24">
        <v>2726.66</v>
      </c>
      <c r="AF1018" s="24">
        <v>0.0</v>
      </c>
      <c r="AG1018" s="24">
        <v>0.0</v>
      </c>
      <c r="AH1018" s="24">
        <v>0.0</v>
      </c>
      <c r="AI1018" s="24">
        <v>0.0</v>
      </c>
      <c r="AJ1018" s="24">
        <v>59294.66</v>
      </c>
      <c r="AK1018" s="24">
        <v>281305.43</v>
      </c>
      <c r="AL1018" s="24">
        <v>4.0</v>
      </c>
      <c r="AM1018" s="24">
        <v>416.67</v>
      </c>
      <c r="AN1018" s="24">
        <v>0.0</v>
      </c>
      <c r="AO1018" s="25" t="s">
        <v>62</v>
      </c>
      <c r="AP1018" s="25" t="s">
        <v>62</v>
      </c>
      <c r="AQ1018" s="25" t="s">
        <v>62</v>
      </c>
      <c r="AR1018" s="25" t="s">
        <v>62</v>
      </c>
      <c r="AS1018" s="11" t="str">
        <f>VLOOKUP(C1018,'mayo-26'!B:AS,44,0)</f>
        <v/>
      </c>
      <c r="AT1018" s="12" t="str">
        <f>VLOOKUP(C1018,'mayo-26'!B:AT,45,0)</f>
        <v>VERIFICADOR</v>
      </c>
    </row>
    <row r="1019" ht="14.25" customHeight="1">
      <c r="A1019" s="15" t="s">
        <v>2102</v>
      </c>
      <c r="B1019" s="23">
        <v>285191.0</v>
      </c>
      <c r="C1019" s="23">
        <v>362703.0</v>
      </c>
      <c r="D1019" s="23">
        <v>366024.0</v>
      </c>
      <c r="E1019" s="23">
        <v>1031824.0</v>
      </c>
      <c r="F1019" s="23">
        <v>1031824.0</v>
      </c>
      <c r="G1019" s="24">
        <v>9.00276962E8</v>
      </c>
      <c r="H1019" s="25" t="s">
        <v>128</v>
      </c>
      <c r="I1019" s="1" t="str">
        <f>VLOOKUP(C1019,'mayo-26'!B:H,7,0)</f>
        <v>KDX 73-2 1116</v>
      </c>
      <c r="J1019" s="1" t="str">
        <f>VLOOKUP(C1019,'mayo-26'!B:I,8,0)</f>
        <v>PIZARREAL</v>
      </c>
      <c r="K1019" s="10" t="str">
        <f>VLOOKUP(C1019,'mayo-26'!B:J,9,0)</f>
        <v>NO</v>
      </c>
      <c r="L1019" s="1" t="str">
        <f>VLOOKUP(C1019,'mayo-26'!B:K,10,0)</f>
        <v>D1</v>
      </c>
      <c r="M1019" s="18" t="s">
        <v>2087</v>
      </c>
      <c r="N1019" s="18" t="s">
        <v>2088</v>
      </c>
      <c r="O1019" s="25" t="s">
        <v>2089</v>
      </c>
      <c r="P1019" s="18" t="s">
        <v>126</v>
      </c>
      <c r="Q1019" s="25" t="s">
        <v>131</v>
      </c>
      <c r="R1019" s="25" t="s">
        <v>132</v>
      </c>
      <c r="S1019" s="25" t="s">
        <v>133</v>
      </c>
      <c r="T1019" s="25" t="s">
        <v>59</v>
      </c>
      <c r="U1019" s="24">
        <v>2026.0</v>
      </c>
      <c r="V1019" s="24">
        <v>6.0</v>
      </c>
      <c r="W1019" s="24">
        <v>1.081874872E9</v>
      </c>
      <c r="X1019" s="24">
        <v>1.081893344E9</v>
      </c>
      <c r="Y1019" s="25" t="s">
        <v>60</v>
      </c>
      <c r="Z1019" s="25" t="s">
        <v>61</v>
      </c>
      <c r="AA1019" s="24">
        <v>87310.5</v>
      </c>
      <c r="AB1019" s="24">
        <v>87310.5</v>
      </c>
      <c r="AC1019" s="26">
        <v>29103.5</v>
      </c>
      <c r="AD1019" s="26">
        <v>0.0</v>
      </c>
      <c r="AE1019" s="24">
        <v>0.0</v>
      </c>
      <c r="AF1019" s="24">
        <v>0.0</v>
      </c>
      <c r="AG1019" s="24">
        <v>0.0</v>
      </c>
      <c r="AH1019" s="24">
        <v>0.0</v>
      </c>
      <c r="AI1019" s="24">
        <v>0.0</v>
      </c>
      <c r="AJ1019" s="24">
        <v>87310.5</v>
      </c>
      <c r="AK1019" s="24">
        <v>87310.5</v>
      </c>
      <c r="AL1019" s="24">
        <v>0.0</v>
      </c>
      <c r="AM1019" s="24">
        <v>416.67</v>
      </c>
      <c r="AN1019" s="24">
        <v>0.0</v>
      </c>
      <c r="AO1019" s="25" t="s">
        <v>62</v>
      </c>
      <c r="AP1019" s="25" t="s">
        <v>62</v>
      </c>
      <c r="AQ1019" s="25" t="s">
        <v>62</v>
      </c>
      <c r="AR1019" s="25" t="s">
        <v>62</v>
      </c>
      <c r="AS1019" s="11" t="str">
        <f>VLOOKUP(C1019,'mayo-26'!B:AS,44,0)</f>
        <v>ALBA.CELIS@D1.COM.CO;CARMEN.DAVILA@D1.COM.CO</v>
      </c>
      <c r="AT1019" s="12" t="str">
        <f>VLOOKUP(C1019,'mayo-26'!B:AT,45,0)</f>
        <v>CORREO ELECTRONICO CERTIFICADO 472</v>
      </c>
    </row>
    <row r="1020" ht="14.25" customHeight="1">
      <c r="A1020" s="15" t="s">
        <v>2103</v>
      </c>
      <c r="B1020" s="23">
        <v>40.0</v>
      </c>
      <c r="C1020" s="23">
        <v>39.0</v>
      </c>
      <c r="D1020" s="23">
        <v>39.0</v>
      </c>
      <c r="E1020" s="23">
        <v>9.0309272E7</v>
      </c>
      <c r="F1020" s="23">
        <v>9.0309272E7</v>
      </c>
      <c r="G1020" s="24">
        <v>9.0309272E7</v>
      </c>
      <c r="H1020" s="25" t="s">
        <v>2104</v>
      </c>
      <c r="I1020" s="1" t="str">
        <f>VLOOKUP(C1020,'mayo-26'!B:H,7,0)</f>
        <v>AVE 10 32-44 RAFAEL HERNANDEZ</v>
      </c>
      <c r="J1020" s="1" t="str">
        <f>VLOOKUP(C1020,'mayo-26'!B:I,8,0)</f>
        <v>PATIOS CENTRO</v>
      </c>
      <c r="K1020" s="10" t="str">
        <f>VLOOKUP(C1020,'mayo-26'!B:J,9,0)</f>
        <v>PATIOS</v>
      </c>
      <c r="L1020" s="1" t="str">
        <f>VLOOKUP(C1020,'mayo-26'!B:K,10,0)</f>
        <v>NO</v>
      </c>
      <c r="M1020" s="18" t="s">
        <v>2087</v>
      </c>
      <c r="N1020" s="18" t="s">
        <v>2088</v>
      </c>
      <c r="O1020" s="25" t="s">
        <v>2089</v>
      </c>
      <c r="P1020" s="18" t="s">
        <v>126</v>
      </c>
      <c r="Q1020" s="25" t="s">
        <v>131</v>
      </c>
      <c r="R1020" s="25" t="s">
        <v>363</v>
      </c>
      <c r="S1020" s="25" t="s">
        <v>133</v>
      </c>
      <c r="T1020" s="25" t="s">
        <v>59</v>
      </c>
      <c r="U1020" s="24">
        <v>2026.0</v>
      </c>
      <c r="V1020" s="24">
        <v>6.0</v>
      </c>
      <c r="W1020" s="24">
        <v>1.081874843E9</v>
      </c>
      <c r="X1020" s="24">
        <v>1.081893315E9</v>
      </c>
      <c r="Y1020" s="25" t="s">
        <v>60</v>
      </c>
      <c r="Z1020" s="25" t="s">
        <v>61</v>
      </c>
      <c r="AA1020" s="24">
        <v>51024.0</v>
      </c>
      <c r="AB1020" s="24">
        <v>51024.0</v>
      </c>
      <c r="AC1020" s="26">
        <v>17008.0</v>
      </c>
      <c r="AD1020" s="26">
        <v>0.0</v>
      </c>
      <c r="AE1020" s="24">
        <v>0.0</v>
      </c>
      <c r="AF1020" s="24">
        <v>0.0</v>
      </c>
      <c r="AG1020" s="24">
        <v>0.0</v>
      </c>
      <c r="AH1020" s="24">
        <v>0.0</v>
      </c>
      <c r="AI1020" s="24">
        <v>0.0</v>
      </c>
      <c r="AJ1020" s="24">
        <v>51024.0</v>
      </c>
      <c r="AK1020" s="24">
        <v>51024.0</v>
      </c>
      <c r="AL1020" s="24">
        <v>0.0</v>
      </c>
      <c r="AM1020" s="24">
        <v>416.67</v>
      </c>
      <c r="AN1020" s="24">
        <v>0.0</v>
      </c>
      <c r="AO1020" s="25" t="s">
        <v>62</v>
      </c>
      <c r="AP1020" s="25" t="s">
        <v>62</v>
      </c>
      <c r="AQ1020" s="25" t="s">
        <v>62</v>
      </c>
      <c r="AR1020" s="25" t="s">
        <v>62</v>
      </c>
      <c r="AS1020" s="11" t="str">
        <f>VLOOKUP(C1020,'mayo-26'!B:AS,44,0)</f>
        <v>CARMENCARVAJAL@GMAIL.COM</v>
      </c>
      <c r="AT1020" s="12" t="str">
        <f>VLOOKUP(C1020,'mayo-26'!B:AT,45,0)</f>
        <v>VERIFICADOR</v>
      </c>
    </row>
    <row r="1021" ht="14.25" customHeight="1">
      <c r="A1021" s="15" t="s">
        <v>2105</v>
      </c>
      <c r="B1021" s="23">
        <v>463249.0</v>
      </c>
      <c r="C1021" s="23">
        <v>428691.0</v>
      </c>
      <c r="D1021" s="23">
        <v>447193.0</v>
      </c>
      <c r="E1021" s="23">
        <v>1043000.0</v>
      </c>
      <c r="F1021" s="23">
        <v>1043000.0</v>
      </c>
      <c r="G1021" s="24">
        <v>9.01378925E8</v>
      </c>
      <c r="H1021" s="25" t="s">
        <v>2106</v>
      </c>
      <c r="I1021" s="1" t="str">
        <f>VLOOKUP(C1021,'mayo-26'!B:H,7,0)</f>
        <v>KDX HACIENDA LOS VADOS - LOTE 1. 1316</v>
      </c>
      <c r="J1021" s="1" t="str">
        <f>VLOOKUP(C1021,'mayo-26'!B:I,8,0)</f>
        <v>VDA AGUALINDA</v>
      </c>
      <c r="K1021" s="10" t="str">
        <f>VLOOKUP(C1021,'mayo-26'!B:J,9,0)</f>
        <v>NO</v>
      </c>
      <c r="L1021" s="1" t="str">
        <f>VLOOKUP(C1021,'mayo-26'!B:K,10,0)</f>
        <v>NO</v>
      </c>
      <c r="M1021" s="18" t="s">
        <v>2087</v>
      </c>
      <c r="N1021" s="18" t="s">
        <v>2107</v>
      </c>
      <c r="O1021" s="25" t="s">
        <v>2089</v>
      </c>
      <c r="P1021" s="18" t="s">
        <v>126</v>
      </c>
      <c r="Q1021" s="25" t="s">
        <v>56</v>
      </c>
      <c r="R1021" s="25" t="s">
        <v>90</v>
      </c>
      <c r="S1021" s="25" t="s">
        <v>143</v>
      </c>
      <c r="T1021" s="25" t="s">
        <v>59</v>
      </c>
      <c r="U1021" s="24">
        <v>2026.0</v>
      </c>
      <c r="V1021" s="24">
        <v>6.0</v>
      </c>
      <c r="W1021" s="24">
        <v>1.081874875E9</v>
      </c>
      <c r="X1021" s="24">
        <v>1.081893347E9</v>
      </c>
      <c r="Y1021" s="25" t="s">
        <v>60</v>
      </c>
      <c r="Z1021" s="25" t="s">
        <v>61</v>
      </c>
      <c r="AA1021" s="24">
        <v>81229.54</v>
      </c>
      <c r="AB1021" s="24">
        <v>81229.54</v>
      </c>
      <c r="AC1021" s="26">
        <v>27076.52</v>
      </c>
      <c r="AD1021" s="26">
        <v>253.0</v>
      </c>
      <c r="AE1021" s="24">
        <v>0.0</v>
      </c>
      <c r="AF1021" s="24">
        <v>0.0</v>
      </c>
      <c r="AG1021" s="24">
        <v>0.0</v>
      </c>
      <c r="AH1021" s="24">
        <v>0.0</v>
      </c>
      <c r="AI1021" s="24">
        <v>0.0</v>
      </c>
      <c r="AJ1021" s="24">
        <v>81229.54</v>
      </c>
      <c r="AK1021" s="24">
        <v>81230.37</v>
      </c>
      <c r="AL1021" s="24">
        <v>1.0</v>
      </c>
      <c r="AM1021" s="24">
        <v>416.67</v>
      </c>
      <c r="AN1021" s="24">
        <v>0.0</v>
      </c>
      <c r="AO1021" s="25" t="s">
        <v>62</v>
      </c>
      <c r="AP1021" s="25" t="s">
        <v>62</v>
      </c>
      <c r="AQ1021" s="25" t="s">
        <v>62</v>
      </c>
      <c r="AR1021" s="25" t="s">
        <v>62</v>
      </c>
      <c r="AS1021" s="11" t="str">
        <f>VLOOKUP(C1021,'mayo-26'!B:AS,44,0)</f>
        <v>LIZETHDUQUE@ITALCOL.COM</v>
      </c>
      <c r="AT1021" s="12" t="str">
        <f>VLOOKUP(C1021,'mayo-26'!B:AT,45,0)</f>
        <v>CORREO ELECTRONICO CERTIFICADO 472</v>
      </c>
    </row>
    <row r="1022" ht="14.25" customHeight="1">
      <c r="A1022" s="15" t="s">
        <v>2108</v>
      </c>
      <c r="B1022" s="23">
        <v>44.0</v>
      </c>
      <c r="C1022" s="23">
        <v>43.0</v>
      </c>
      <c r="D1022" s="23">
        <v>43.0</v>
      </c>
      <c r="E1022" s="23">
        <v>9.0313266E7</v>
      </c>
      <c r="F1022" s="23">
        <v>9.0313266E7</v>
      </c>
      <c r="G1022" s="24">
        <v>8.8308328E7</v>
      </c>
      <c r="H1022" s="25" t="s">
        <v>2109</v>
      </c>
      <c r="I1022" s="1" t="str">
        <f>VLOOKUP(C1022,'mayo-26'!B:H,7,0)</f>
        <v>CEMENTERIO LA ESPERANZA - 0313266</v>
      </c>
      <c r="J1022" s="1" t="str">
        <f>VLOOKUP(C1022,'mayo-26'!B:I,8,0)</f>
        <v>KM 4 LOS PATIOS</v>
      </c>
      <c r="K1022" s="10" t="str">
        <f>VLOOKUP(C1022,'mayo-26'!B:J,9,0)</f>
        <v>PATIOS</v>
      </c>
      <c r="L1022" s="1" t="str">
        <f>VLOOKUP(C1022,'mayo-26'!B:K,10,0)</f>
        <v>NO</v>
      </c>
      <c r="M1022" s="18" t="s">
        <v>2087</v>
      </c>
      <c r="N1022" s="18" t="s">
        <v>2088</v>
      </c>
      <c r="O1022" s="25" t="s">
        <v>2089</v>
      </c>
      <c r="P1022" s="18" t="s">
        <v>126</v>
      </c>
      <c r="Q1022" s="25" t="s">
        <v>56</v>
      </c>
      <c r="R1022" s="25" t="s">
        <v>90</v>
      </c>
      <c r="S1022" s="25" t="s">
        <v>143</v>
      </c>
      <c r="T1022" s="25" t="s">
        <v>59</v>
      </c>
      <c r="U1022" s="24">
        <v>2026.0</v>
      </c>
      <c r="V1022" s="24">
        <v>6.0</v>
      </c>
      <c r="W1022" s="24">
        <v>1.081874847E9</v>
      </c>
      <c r="X1022" s="24">
        <v>1.081893319E9</v>
      </c>
      <c r="Y1022" s="25" t="s">
        <v>60</v>
      </c>
      <c r="Z1022" s="25" t="s">
        <v>61</v>
      </c>
      <c r="AA1022" s="24">
        <v>255977.25</v>
      </c>
      <c r="AB1022" s="24">
        <v>255977.25</v>
      </c>
      <c r="AC1022" s="26">
        <v>84619.94</v>
      </c>
      <c r="AD1022" s="26">
        <v>775.0</v>
      </c>
      <c r="AE1022" s="24">
        <v>2117.46</v>
      </c>
      <c r="AF1022" s="24">
        <v>0.0</v>
      </c>
      <c r="AG1022" s="24">
        <v>0.0</v>
      </c>
      <c r="AH1022" s="24">
        <v>0.0</v>
      </c>
      <c r="AI1022" s="24">
        <v>0.0</v>
      </c>
      <c r="AJ1022" s="24">
        <v>255977.25</v>
      </c>
      <c r="AK1022" s="24">
        <v>256425.67</v>
      </c>
      <c r="AL1022" s="24">
        <v>1.0</v>
      </c>
      <c r="AM1022" s="24">
        <v>416.67</v>
      </c>
      <c r="AN1022" s="24">
        <v>0.0</v>
      </c>
      <c r="AO1022" s="25" t="s">
        <v>62</v>
      </c>
      <c r="AP1022" s="25" t="s">
        <v>62</v>
      </c>
      <c r="AQ1022" s="25" t="s">
        <v>62</v>
      </c>
      <c r="AR1022" s="25" t="s">
        <v>62</v>
      </c>
      <c r="AS1022" s="11" t="str">
        <f>VLOOKUP(C1022,'mayo-26'!B:AS,44,0)</f>
        <v>JESUSBLANCO1091@GMAIL.COM</v>
      </c>
      <c r="AT1022" s="12" t="str">
        <f>VLOOKUP(C1022,'mayo-26'!B:AT,45,0)</f>
        <v>VERIFICADOR</v>
      </c>
    </row>
    <row r="1023" ht="14.25" customHeight="1">
      <c r="A1023" s="15" t="s">
        <v>2110</v>
      </c>
      <c r="B1023" s="23">
        <v>527955.0</v>
      </c>
      <c r="C1023" s="23">
        <v>467759.0</v>
      </c>
      <c r="D1023" s="23">
        <v>501196.0</v>
      </c>
      <c r="E1023" s="25" t="s">
        <v>62</v>
      </c>
      <c r="F1023" s="25" t="s">
        <v>62</v>
      </c>
      <c r="G1023" s="24">
        <v>8.00244387E8</v>
      </c>
      <c r="H1023" s="25" t="s">
        <v>2111</v>
      </c>
      <c r="I1023" s="1" t="str">
        <f>VLOOKUP(C1023,'mayo-26'!B:H,7,0)</f>
        <v>AV 10 NO 61-60 LOTE 1 PINAR DEL RIO</v>
      </c>
      <c r="J1023" s="1" t="str">
        <f>VLOOKUP(C1023,'mayo-26'!B:I,8,0)</f>
        <v>PINAR DEL RIO</v>
      </c>
      <c r="K1023" s="10" t="str">
        <f>VLOOKUP(C1023,'mayo-26'!B:J,9,0)</f>
        <v>NO</v>
      </c>
      <c r="L1023" s="1" t="str">
        <f>VLOOKUP(C1023,'mayo-26'!B:K,10,0)</f>
        <v>MC DONALDS</v>
      </c>
      <c r="M1023" s="18" t="s">
        <v>2087</v>
      </c>
      <c r="N1023" s="18" t="s">
        <v>2088</v>
      </c>
      <c r="O1023" s="25" t="s">
        <v>2089</v>
      </c>
      <c r="P1023" s="18" t="s">
        <v>126</v>
      </c>
      <c r="Q1023" s="25" t="s">
        <v>56</v>
      </c>
      <c r="R1023" s="25" t="s">
        <v>90</v>
      </c>
      <c r="S1023" s="25" t="s">
        <v>58</v>
      </c>
      <c r="T1023" s="25" t="s">
        <v>59</v>
      </c>
      <c r="U1023" s="24">
        <v>2026.0</v>
      </c>
      <c r="V1023" s="24">
        <v>6.0</v>
      </c>
      <c r="W1023" s="24">
        <v>1.081874877E9</v>
      </c>
      <c r="X1023" s="24">
        <v>1.081893349E9</v>
      </c>
      <c r="Y1023" s="25" t="s">
        <v>60</v>
      </c>
      <c r="Z1023" s="25" t="s">
        <v>61</v>
      </c>
      <c r="AA1023" s="24">
        <v>1675550.86</v>
      </c>
      <c r="AB1023" s="24">
        <v>1675550.86</v>
      </c>
      <c r="AC1023" s="26">
        <v>557840.66</v>
      </c>
      <c r="AD1023" s="26">
        <v>5599.5</v>
      </c>
      <c r="AE1023" s="24">
        <v>2028.88</v>
      </c>
      <c r="AF1023" s="24">
        <v>0.0</v>
      </c>
      <c r="AG1023" s="24">
        <v>0.0</v>
      </c>
      <c r="AH1023" s="24">
        <v>0.0</v>
      </c>
      <c r="AI1023" s="24">
        <v>0.0</v>
      </c>
      <c r="AJ1023" s="24">
        <v>1675550.86</v>
      </c>
      <c r="AK1023" s="24">
        <v>1675551.79</v>
      </c>
      <c r="AL1023" s="24">
        <v>1.0</v>
      </c>
      <c r="AM1023" s="24">
        <v>416.67</v>
      </c>
      <c r="AN1023" s="24">
        <v>0.0</v>
      </c>
      <c r="AO1023" s="25" t="s">
        <v>62</v>
      </c>
      <c r="AP1023" s="25" t="s">
        <v>62</v>
      </c>
      <c r="AQ1023" s="25" t="s">
        <v>62</v>
      </c>
      <c r="AR1023" s="25" t="s">
        <v>62</v>
      </c>
      <c r="AS1023" s="11" t="str">
        <f>VLOOKUP(C1023,'mayo-26'!B:AS,44,0)</f>
        <v>LCO.PDR@CO.MCD.COM</v>
      </c>
      <c r="AT1023" s="12" t="str">
        <f>VLOOKUP(C1023,'mayo-26'!B:AT,45,0)</f>
        <v>CORREO ELECTRONICO CERTIFICADO 472</v>
      </c>
    </row>
    <row r="1024" ht="14.25" customHeight="1">
      <c r="A1024" s="15" t="s">
        <v>2112</v>
      </c>
      <c r="B1024" s="23">
        <v>280920.0</v>
      </c>
      <c r="C1024" s="23">
        <v>67247.0</v>
      </c>
      <c r="D1024" s="23">
        <v>67247.0</v>
      </c>
      <c r="E1024" s="23">
        <v>78040.0</v>
      </c>
      <c r="F1024" s="23">
        <v>78040.0</v>
      </c>
      <c r="G1024" s="24">
        <v>9.00576569E8</v>
      </c>
      <c r="H1024" s="25" t="s">
        <v>161</v>
      </c>
      <c r="I1024" s="1" t="str">
        <f>VLOOKUP(C1024,'mayo-26'!B:H,7,0)</f>
        <v>AVE 12 5AN-84 1142</v>
      </c>
      <c r="J1024" s="1" t="str">
        <f>VLOOKUP(C1024,'mayo-26'!B:I,8,0)</f>
        <v>11 DE NOVIEMBRE</v>
      </c>
      <c r="K1024" s="10" t="str">
        <f>VLOOKUP(C1024,'mayo-26'!B:J,9,0)</f>
        <v>NO</v>
      </c>
      <c r="L1024" s="1" t="str">
        <f>VLOOKUP(C1024,'mayo-26'!B:K,10,0)</f>
        <v>BETEL</v>
      </c>
      <c r="M1024" s="18" t="s">
        <v>2087</v>
      </c>
      <c r="N1024" s="18" t="s">
        <v>2088</v>
      </c>
      <c r="O1024" s="25" t="s">
        <v>2089</v>
      </c>
      <c r="P1024" s="18" t="s">
        <v>126</v>
      </c>
      <c r="Q1024" s="25" t="s">
        <v>56</v>
      </c>
      <c r="R1024" s="25" t="s">
        <v>90</v>
      </c>
      <c r="S1024" s="25" t="s">
        <v>143</v>
      </c>
      <c r="T1024" s="25" t="s">
        <v>59</v>
      </c>
      <c r="U1024" s="24">
        <v>2026.0</v>
      </c>
      <c r="V1024" s="24">
        <v>6.0</v>
      </c>
      <c r="W1024" s="24">
        <v>1.081874857E9</v>
      </c>
      <c r="X1024" s="24">
        <v>1.081893329E9</v>
      </c>
      <c r="Y1024" s="25" t="s">
        <v>60</v>
      </c>
      <c r="Z1024" s="25" t="s">
        <v>61</v>
      </c>
      <c r="AA1024" s="24">
        <v>382564.85</v>
      </c>
      <c r="AB1024" s="24">
        <v>382564.85</v>
      </c>
      <c r="AC1024" s="26">
        <v>113310.39</v>
      </c>
      <c r="AD1024" s="26">
        <v>1067.5</v>
      </c>
      <c r="AE1024" s="24">
        <v>42633.7</v>
      </c>
      <c r="AF1024" s="24">
        <v>0.0</v>
      </c>
      <c r="AG1024" s="24">
        <v>0.0</v>
      </c>
      <c r="AH1024" s="24">
        <v>0.0</v>
      </c>
      <c r="AI1024" s="24">
        <v>0.0</v>
      </c>
      <c r="AJ1024" s="24">
        <v>382564.85</v>
      </c>
      <c r="AK1024" s="24">
        <v>3146036.52</v>
      </c>
      <c r="AL1024" s="24">
        <v>8.0</v>
      </c>
      <c r="AM1024" s="24">
        <v>416.67</v>
      </c>
      <c r="AN1024" s="24">
        <v>0.0</v>
      </c>
      <c r="AO1024" s="25" t="s">
        <v>62</v>
      </c>
      <c r="AP1024" s="25" t="s">
        <v>62</v>
      </c>
      <c r="AQ1024" s="25" t="s">
        <v>62</v>
      </c>
      <c r="AR1024" s="25" t="s">
        <v>62</v>
      </c>
      <c r="AS1024" s="11" t="str">
        <f>VLOOKUP(C1024,'mayo-26'!B:AS,44,0)</f>
        <v>COORDTESORERIASUPERBETEL@GMAIL.COM</v>
      </c>
      <c r="AT1024" s="12" t="str">
        <f>VLOOKUP(C1024,'mayo-26'!B:AT,45,0)</f>
        <v>CORREO ELECTRONICO CERTIFICADO 472</v>
      </c>
    </row>
    <row r="1025" ht="14.25" customHeight="1">
      <c r="A1025" s="15" t="s">
        <v>2113</v>
      </c>
      <c r="B1025" s="23">
        <v>67264.0</v>
      </c>
      <c r="C1025" s="23">
        <v>67263.0</v>
      </c>
      <c r="D1025" s="23">
        <v>67263.0</v>
      </c>
      <c r="E1025" s="23">
        <v>78060.0</v>
      </c>
      <c r="F1025" s="23">
        <v>78060.0</v>
      </c>
      <c r="G1025" s="24">
        <v>9.01429119E8</v>
      </c>
      <c r="H1025" s="25" t="s">
        <v>2114</v>
      </c>
      <c r="I1025" s="1" t="str">
        <f>VLOOKUP(C1025,'mayo-26'!B:H,7,0)</f>
        <v>AVE 10 21-14</v>
      </c>
      <c r="J1025" s="1" t="str">
        <f>VLOOKUP(C1025,'mayo-26'!B:I,8,0)</f>
        <v>11 DE NOVIEMBRE</v>
      </c>
      <c r="K1025" s="10" t="str">
        <f>VLOOKUP(C1025,'mayo-26'!B:J,9,0)</f>
        <v>PATIOS</v>
      </c>
      <c r="L1025" s="1" t="str">
        <f>VLOOKUP(C1025,'mayo-26'!B:K,10,0)</f>
        <v>NO</v>
      </c>
      <c r="M1025" s="18" t="s">
        <v>2087</v>
      </c>
      <c r="N1025" s="18" t="s">
        <v>2088</v>
      </c>
      <c r="O1025" s="25" t="s">
        <v>2089</v>
      </c>
      <c r="P1025" s="18" t="s">
        <v>126</v>
      </c>
      <c r="Q1025" s="25" t="s">
        <v>56</v>
      </c>
      <c r="R1025" s="25" t="s">
        <v>90</v>
      </c>
      <c r="S1025" s="25" t="s">
        <v>143</v>
      </c>
      <c r="T1025" s="25" t="s">
        <v>59</v>
      </c>
      <c r="U1025" s="24">
        <v>2026.0</v>
      </c>
      <c r="V1025" s="24">
        <v>6.0</v>
      </c>
      <c r="W1025" s="24">
        <v>1.081874859E9</v>
      </c>
      <c r="X1025" s="24">
        <v>1.081893331E9</v>
      </c>
      <c r="Y1025" s="25" t="s">
        <v>60</v>
      </c>
      <c r="Z1025" s="25" t="s">
        <v>61</v>
      </c>
      <c r="AA1025" s="24">
        <v>161167.56</v>
      </c>
      <c r="AB1025" s="24">
        <v>161167.56</v>
      </c>
      <c r="AC1025" s="26">
        <v>53722.52</v>
      </c>
      <c r="AD1025" s="26">
        <v>460.0</v>
      </c>
      <c r="AE1025" s="24">
        <v>0.0</v>
      </c>
      <c r="AF1025" s="24">
        <v>0.0</v>
      </c>
      <c r="AG1025" s="24">
        <v>0.0</v>
      </c>
      <c r="AH1025" s="24">
        <v>0.0</v>
      </c>
      <c r="AI1025" s="24">
        <v>0.0</v>
      </c>
      <c r="AJ1025" s="24">
        <v>161167.56</v>
      </c>
      <c r="AK1025" s="24">
        <v>161167.56</v>
      </c>
      <c r="AL1025" s="24">
        <v>0.0</v>
      </c>
      <c r="AM1025" s="24">
        <v>416.67</v>
      </c>
      <c r="AN1025" s="24">
        <v>0.0</v>
      </c>
      <c r="AO1025" s="25" t="s">
        <v>62</v>
      </c>
      <c r="AP1025" s="25" t="s">
        <v>62</v>
      </c>
      <c r="AQ1025" s="25" t="s">
        <v>62</v>
      </c>
      <c r="AR1025" s="25" t="s">
        <v>62</v>
      </c>
      <c r="AS1025" s="11" t="str">
        <f>VLOOKUP(C1025,'mayo-26'!B:AS,44,0)</f>
        <v>AUTOLACAMPINA25@HOTMAIL.COM;ZULUAGAPATIOSSAS@HOTMAIL.COM;ZULUAGAPATIOSSAS@GMAIL.COM</v>
      </c>
      <c r="AT1025" s="12" t="str">
        <f>VLOOKUP(C1025,'mayo-26'!B:AT,45,0)</f>
        <v>VERIFICADOR</v>
      </c>
    </row>
    <row r="1026" ht="14.25" customHeight="1">
      <c r="A1026" s="15" t="s">
        <v>2115</v>
      </c>
      <c r="B1026" s="23">
        <v>8.0</v>
      </c>
      <c r="C1026" s="23">
        <v>7.0</v>
      </c>
      <c r="D1026" s="23">
        <v>7.0</v>
      </c>
      <c r="E1026" s="23">
        <v>9.0300043E7</v>
      </c>
      <c r="F1026" s="23">
        <v>9.0300043E7</v>
      </c>
      <c r="G1026" s="24">
        <v>9.0300043E7</v>
      </c>
      <c r="H1026" s="25" t="s">
        <v>2086</v>
      </c>
      <c r="I1026" s="1" t="str">
        <f>VLOOKUP(C1026,'mayo-26'!B:H,7,0)</f>
        <v>AV.9 # 54B-90 APTO.602</v>
      </c>
      <c r="J1026" s="1" t="str">
        <f>VLOOKUP(C1026,'mayo-26'!B:I,8,0)</f>
        <v>LA FLORESTA</v>
      </c>
      <c r="K1026" s="10" t="str">
        <f>VLOOKUP(C1026,'mayo-26'!B:J,9,0)</f>
        <v>EDIFICIO LA FONTANA</v>
      </c>
      <c r="L1026" s="1" t="str">
        <f>VLOOKUP(C1026,'mayo-26'!B:K,10,0)</f>
        <v>EDIFICIO LA FONTANA</v>
      </c>
      <c r="M1026" s="18" t="s">
        <v>2087</v>
      </c>
      <c r="N1026" s="18" t="s">
        <v>2088</v>
      </c>
      <c r="O1026" s="25" t="s">
        <v>2089</v>
      </c>
      <c r="P1026" s="18" t="s">
        <v>126</v>
      </c>
      <c r="Q1026" s="25" t="s">
        <v>218</v>
      </c>
      <c r="R1026" s="25" t="s">
        <v>943</v>
      </c>
      <c r="S1026" s="25" t="s">
        <v>133</v>
      </c>
      <c r="T1026" s="25" t="s">
        <v>59</v>
      </c>
      <c r="U1026" s="24">
        <v>2026.0</v>
      </c>
      <c r="V1026" s="24">
        <v>6.0</v>
      </c>
      <c r="W1026" s="24">
        <v>1.08187481E9</v>
      </c>
      <c r="X1026" s="24">
        <v>1.081893282E9</v>
      </c>
      <c r="Y1026" s="25" t="s">
        <v>60</v>
      </c>
      <c r="Z1026" s="25" t="s">
        <v>61</v>
      </c>
      <c r="AA1026" s="24">
        <v>56678.37</v>
      </c>
      <c r="AB1026" s="24">
        <v>56678.37</v>
      </c>
      <c r="AC1026" s="26">
        <v>18856.0</v>
      </c>
      <c r="AD1026" s="26">
        <v>0.0</v>
      </c>
      <c r="AE1026" s="24">
        <v>110.37</v>
      </c>
      <c r="AF1026" s="24">
        <v>0.0</v>
      </c>
      <c r="AG1026" s="24">
        <v>0.0</v>
      </c>
      <c r="AH1026" s="24">
        <v>0.0</v>
      </c>
      <c r="AI1026" s="24">
        <v>0.0</v>
      </c>
      <c r="AJ1026" s="24">
        <v>56678.37</v>
      </c>
      <c r="AK1026" s="24">
        <v>114045.96</v>
      </c>
      <c r="AL1026" s="24">
        <v>1.0</v>
      </c>
      <c r="AM1026" s="24">
        <v>416.67</v>
      </c>
      <c r="AN1026" s="24">
        <v>0.0</v>
      </c>
      <c r="AO1026" s="25" t="s">
        <v>62</v>
      </c>
      <c r="AP1026" s="25" t="s">
        <v>62</v>
      </c>
      <c r="AQ1026" s="25" t="s">
        <v>62</v>
      </c>
      <c r="AR1026" s="25" t="s">
        <v>62</v>
      </c>
      <c r="AS1026" s="11" t="str">
        <f>VLOOKUP(C1026,'mayo-26'!B:AS,44,0)</f>
        <v/>
      </c>
      <c r="AT1026" s="12" t="str">
        <f>VLOOKUP(C1026,'mayo-26'!B:AT,45,0)</f>
        <v>VERIFICADOR</v>
      </c>
    </row>
    <row r="1027" ht="14.25" customHeight="1">
      <c r="A1027" s="15" t="s">
        <v>2116</v>
      </c>
      <c r="B1027" s="23">
        <v>285191.0</v>
      </c>
      <c r="C1027" s="23">
        <v>70763.0</v>
      </c>
      <c r="D1027" s="23">
        <v>70763.0</v>
      </c>
      <c r="E1027" s="23">
        <v>82025.0</v>
      </c>
      <c r="F1027" s="23">
        <v>82025.0</v>
      </c>
      <c r="G1027" s="24">
        <v>9.00276962E8</v>
      </c>
      <c r="H1027" s="25" t="s">
        <v>128</v>
      </c>
      <c r="I1027" s="1" t="str">
        <f>VLOOKUP(C1027,'mayo-26'!B:H,7,0)</f>
        <v>KDX 73-2 1116</v>
      </c>
      <c r="J1027" s="1" t="str">
        <f>VLOOKUP(C1027,'mayo-26'!B:I,8,0)</f>
        <v>PATIOS CENTRO</v>
      </c>
      <c r="K1027" s="10" t="str">
        <f>VLOOKUP(C1027,'mayo-26'!B:J,9,0)</f>
        <v>NO</v>
      </c>
      <c r="L1027" s="1" t="str">
        <f>VLOOKUP(C1027,'mayo-26'!B:K,10,0)</f>
        <v>D1</v>
      </c>
      <c r="M1027" s="18" t="s">
        <v>2087</v>
      </c>
      <c r="N1027" s="18" t="s">
        <v>2088</v>
      </c>
      <c r="O1027" s="25" t="s">
        <v>2089</v>
      </c>
      <c r="P1027" s="18" t="s">
        <v>126</v>
      </c>
      <c r="Q1027" s="25" t="s">
        <v>131</v>
      </c>
      <c r="R1027" s="25" t="s">
        <v>132</v>
      </c>
      <c r="S1027" s="25" t="s">
        <v>133</v>
      </c>
      <c r="T1027" s="25" t="s">
        <v>59</v>
      </c>
      <c r="U1027" s="24">
        <v>2026.0</v>
      </c>
      <c r="V1027" s="24">
        <v>6.0</v>
      </c>
      <c r="W1027" s="24">
        <v>1.081874861E9</v>
      </c>
      <c r="X1027" s="24">
        <v>1.081893333E9</v>
      </c>
      <c r="Y1027" s="25" t="s">
        <v>60</v>
      </c>
      <c r="Z1027" s="25" t="s">
        <v>61</v>
      </c>
      <c r="AA1027" s="24">
        <v>87310.5</v>
      </c>
      <c r="AB1027" s="24">
        <v>87310.5</v>
      </c>
      <c r="AC1027" s="26">
        <v>29103.5</v>
      </c>
      <c r="AD1027" s="26">
        <v>0.0</v>
      </c>
      <c r="AE1027" s="24">
        <v>0.0</v>
      </c>
      <c r="AF1027" s="24">
        <v>0.0</v>
      </c>
      <c r="AG1027" s="24">
        <v>0.0</v>
      </c>
      <c r="AH1027" s="24">
        <v>0.0</v>
      </c>
      <c r="AI1027" s="24">
        <v>0.0</v>
      </c>
      <c r="AJ1027" s="24">
        <v>87310.5</v>
      </c>
      <c r="AK1027" s="24">
        <v>87310.5</v>
      </c>
      <c r="AL1027" s="24">
        <v>0.0</v>
      </c>
      <c r="AM1027" s="24">
        <v>416.67</v>
      </c>
      <c r="AN1027" s="24">
        <v>0.0</v>
      </c>
      <c r="AO1027" s="25" t="s">
        <v>62</v>
      </c>
      <c r="AP1027" s="25" t="s">
        <v>62</v>
      </c>
      <c r="AQ1027" s="25" t="s">
        <v>62</v>
      </c>
      <c r="AR1027" s="25" t="s">
        <v>62</v>
      </c>
      <c r="AS1027" s="11" t="str">
        <f>VLOOKUP(C1027,'mayo-26'!B:AS,44,0)</f>
        <v>ALBA.CELIS@D1.COM.CO;CARMEN.DAVILA@D1.COM.CO</v>
      </c>
      <c r="AT1027" s="12" t="str">
        <f>VLOOKUP(C1027,'mayo-26'!B:AT,45,0)</f>
        <v>CORREO ELECTRONICO CERTIFICADO 472</v>
      </c>
    </row>
    <row r="1028" ht="14.25" customHeight="1">
      <c r="A1028" s="15" t="s">
        <v>2117</v>
      </c>
      <c r="B1028" s="23">
        <v>147.0</v>
      </c>
      <c r="C1028" s="23">
        <v>99.0</v>
      </c>
      <c r="D1028" s="23">
        <v>99.0</v>
      </c>
      <c r="E1028" s="23">
        <v>9.0319766E7</v>
      </c>
      <c r="F1028" s="23">
        <v>9.0319766E7</v>
      </c>
      <c r="G1028" s="25" t="s">
        <v>179</v>
      </c>
      <c r="H1028" s="25" t="s">
        <v>180</v>
      </c>
      <c r="I1028" s="1" t="str">
        <f>VLOOKUP(C1028,'mayo-26'!B:H,7,0)</f>
        <v>AVE 3 CLL 24 GARITA # 1</v>
      </c>
      <c r="J1028" s="1" t="str">
        <f>VLOOKUP(C1028,'mayo-26'!B:I,8,0)</f>
        <v>LA SABANA</v>
      </c>
      <c r="K1028" s="10" t="str">
        <f>VLOOKUP(C1028,'mayo-26'!B:J,9,0)</f>
        <v>NO</v>
      </c>
      <c r="L1028" s="1" t="str">
        <f>VLOOKUP(C1028,'mayo-26'!B:K,10,0)</f>
        <v>POLICIA</v>
      </c>
      <c r="M1028" s="18" t="s">
        <v>2087</v>
      </c>
      <c r="N1028" s="18" t="s">
        <v>2088</v>
      </c>
      <c r="O1028" s="25" t="s">
        <v>2089</v>
      </c>
      <c r="P1028" s="18" t="s">
        <v>126</v>
      </c>
      <c r="Q1028" s="25" t="s">
        <v>56</v>
      </c>
      <c r="R1028" s="25" t="s">
        <v>57</v>
      </c>
      <c r="S1028" s="25" t="s">
        <v>143</v>
      </c>
      <c r="T1028" s="25" t="s">
        <v>59</v>
      </c>
      <c r="U1028" s="24">
        <v>2026.0</v>
      </c>
      <c r="V1028" s="24">
        <v>6.0</v>
      </c>
      <c r="W1028" s="24">
        <v>1.081874852E9</v>
      </c>
      <c r="X1028" s="24">
        <v>1.081893324E9</v>
      </c>
      <c r="Y1028" s="25" t="s">
        <v>60</v>
      </c>
      <c r="Z1028" s="25" t="s">
        <v>61</v>
      </c>
      <c r="AA1028" s="24">
        <v>134909.4</v>
      </c>
      <c r="AB1028" s="24">
        <v>134909.4</v>
      </c>
      <c r="AC1028" s="26">
        <v>0.0</v>
      </c>
      <c r="AD1028" s="26">
        <v>600.0</v>
      </c>
      <c r="AE1028" s="24">
        <v>0.0</v>
      </c>
      <c r="AF1028" s="24">
        <v>0.0</v>
      </c>
      <c r="AG1028" s="24">
        <v>0.0</v>
      </c>
      <c r="AH1028" s="24">
        <v>0.0</v>
      </c>
      <c r="AI1028" s="24">
        <v>0.0</v>
      </c>
      <c r="AJ1028" s="24">
        <v>134909.4</v>
      </c>
      <c r="AK1028" s="24">
        <v>401636.8</v>
      </c>
      <c r="AL1028" s="24">
        <v>2.0</v>
      </c>
      <c r="AM1028" s="24">
        <v>277.78</v>
      </c>
      <c r="AN1028" s="24">
        <v>0.0</v>
      </c>
      <c r="AO1028" s="25" t="s">
        <v>62</v>
      </c>
      <c r="AP1028" s="25" t="s">
        <v>62</v>
      </c>
      <c r="AQ1028" s="25" t="s">
        <v>62</v>
      </c>
      <c r="AR1028" s="25" t="s">
        <v>62</v>
      </c>
      <c r="AS1028" s="11" t="str">
        <f>VLOOKUP(C1028,'mayo-26'!B:AS,44,0)</f>
        <v>MECUC.GUBIR@POLICIA.GOV.CO</v>
      </c>
      <c r="AT1028" s="12" t="str">
        <f>VLOOKUP(C1028,'mayo-26'!B:AT,45,0)</f>
        <v>CORREO ELECTRONICO CERTIFICADO 472</v>
      </c>
    </row>
    <row r="1029" ht="14.25" customHeight="1">
      <c r="A1029" s="15" t="s">
        <v>2118</v>
      </c>
      <c r="B1029" s="23">
        <v>147.0</v>
      </c>
      <c r="C1029" s="23">
        <v>100.0</v>
      </c>
      <c r="D1029" s="23">
        <v>100.0</v>
      </c>
      <c r="E1029" s="23">
        <v>9.0319768E7</v>
      </c>
      <c r="F1029" s="23">
        <v>9.0319768E7</v>
      </c>
      <c r="G1029" s="25" t="s">
        <v>179</v>
      </c>
      <c r="H1029" s="25" t="s">
        <v>180</v>
      </c>
      <c r="I1029" s="1" t="str">
        <f>VLOOKUP(C1029,'mayo-26'!B:H,7,0)</f>
        <v>AVE 3 CLL 24 GARITA # 1</v>
      </c>
      <c r="J1029" s="1" t="str">
        <f>VLOOKUP(C1029,'mayo-26'!B:I,8,0)</f>
        <v>SIN DETERMINAR</v>
      </c>
      <c r="K1029" s="10" t="str">
        <f>VLOOKUP(C1029,'mayo-26'!B:J,9,0)</f>
        <v>NO</v>
      </c>
      <c r="L1029" s="1" t="str">
        <f>VLOOKUP(C1029,'mayo-26'!B:K,10,0)</f>
        <v>POLICIA</v>
      </c>
      <c r="M1029" s="18" t="s">
        <v>2087</v>
      </c>
      <c r="N1029" s="18" t="s">
        <v>2088</v>
      </c>
      <c r="O1029" s="25" t="s">
        <v>2089</v>
      </c>
      <c r="P1029" s="18" t="s">
        <v>126</v>
      </c>
      <c r="Q1029" s="25" t="s">
        <v>131</v>
      </c>
      <c r="R1029" s="25" t="s">
        <v>1111</v>
      </c>
      <c r="S1029" s="25" t="s">
        <v>133</v>
      </c>
      <c r="T1029" s="25" t="s">
        <v>59</v>
      </c>
      <c r="U1029" s="24">
        <v>2026.0</v>
      </c>
      <c r="V1029" s="24">
        <v>6.0</v>
      </c>
      <c r="W1029" s="24">
        <v>1.081874855E9</v>
      </c>
      <c r="X1029" s="24">
        <v>1.081893327E9</v>
      </c>
      <c r="Y1029" s="25" t="s">
        <v>60</v>
      </c>
      <c r="Z1029" s="25" t="s">
        <v>61</v>
      </c>
      <c r="AA1029" s="24">
        <v>34016.0</v>
      </c>
      <c r="AB1029" s="24">
        <v>34016.0</v>
      </c>
      <c r="AC1029" s="26">
        <v>0.0</v>
      </c>
      <c r="AD1029" s="26">
        <v>0.0</v>
      </c>
      <c r="AE1029" s="24">
        <v>0.0</v>
      </c>
      <c r="AF1029" s="24">
        <v>0.0</v>
      </c>
      <c r="AG1029" s="24">
        <v>0.0</v>
      </c>
      <c r="AH1029" s="24">
        <v>0.0</v>
      </c>
      <c r="AI1029" s="24">
        <v>0.0</v>
      </c>
      <c r="AJ1029" s="24">
        <v>34016.0</v>
      </c>
      <c r="AK1029" s="24">
        <v>101530.0</v>
      </c>
      <c r="AL1029" s="24">
        <v>2.0</v>
      </c>
      <c r="AM1029" s="24">
        <v>277.78</v>
      </c>
      <c r="AN1029" s="24">
        <v>0.0</v>
      </c>
      <c r="AO1029" s="25" t="s">
        <v>62</v>
      </c>
      <c r="AP1029" s="25" t="s">
        <v>62</v>
      </c>
      <c r="AQ1029" s="25" t="s">
        <v>62</v>
      </c>
      <c r="AR1029" s="25" t="s">
        <v>62</v>
      </c>
      <c r="AS1029" s="11" t="str">
        <f>VLOOKUP(C1029,'mayo-26'!B:AS,44,0)</f>
        <v>MECUC.GUBIR@POLICIA.GOV.CO</v>
      </c>
      <c r="AT1029" s="12" t="str">
        <f>VLOOKUP(C1029,'mayo-26'!B:AT,45,0)</f>
        <v>CORREO ELECTRONICO CERTIFICADO 472</v>
      </c>
    </row>
    <row r="1030" ht="14.25" customHeight="1">
      <c r="A1030" s="15" t="s">
        <v>2119</v>
      </c>
      <c r="B1030" s="23">
        <v>13.0</v>
      </c>
      <c r="C1030" s="23">
        <v>12.0</v>
      </c>
      <c r="D1030" s="23">
        <v>12.0</v>
      </c>
      <c r="E1030" s="23">
        <v>9.0300048E7</v>
      </c>
      <c r="F1030" s="23">
        <v>9.0300048E7</v>
      </c>
      <c r="G1030" s="24">
        <v>9.00409853E8</v>
      </c>
      <c r="H1030" s="25" t="s">
        <v>2086</v>
      </c>
      <c r="I1030" s="1" t="str">
        <f>VLOOKUP(C1030,'mayo-26'!B:H,7,0)</f>
        <v>AVE 9 # 54B-90 APTO 403</v>
      </c>
      <c r="J1030" s="1" t="str">
        <f>VLOOKUP(C1030,'mayo-26'!B:I,8,0)</f>
        <v>LA FLORESTA</v>
      </c>
      <c r="K1030" s="10" t="str">
        <f>VLOOKUP(C1030,'mayo-26'!B:J,9,0)</f>
        <v>EDIFICIO LA FONTANA</v>
      </c>
      <c r="L1030" s="1" t="str">
        <f>VLOOKUP(C1030,'mayo-26'!B:K,10,0)</f>
        <v>EDIFICIO LA FONTANA</v>
      </c>
      <c r="M1030" s="18" t="s">
        <v>2087</v>
      </c>
      <c r="N1030" s="18" t="s">
        <v>2088</v>
      </c>
      <c r="O1030" s="25" t="s">
        <v>2089</v>
      </c>
      <c r="P1030" s="18" t="s">
        <v>126</v>
      </c>
      <c r="Q1030" s="25" t="s">
        <v>218</v>
      </c>
      <c r="R1030" s="25" t="s">
        <v>943</v>
      </c>
      <c r="S1030" s="25" t="s">
        <v>133</v>
      </c>
      <c r="T1030" s="25" t="s">
        <v>59</v>
      </c>
      <c r="U1030" s="24">
        <v>2026.0</v>
      </c>
      <c r="V1030" s="24">
        <v>6.0</v>
      </c>
      <c r="W1030" s="24">
        <v>1.081874819E9</v>
      </c>
      <c r="X1030" s="24">
        <v>1.081893291E9</v>
      </c>
      <c r="Y1030" s="25" t="s">
        <v>60</v>
      </c>
      <c r="Z1030" s="25" t="s">
        <v>61</v>
      </c>
      <c r="AA1030" s="24">
        <v>57009.49</v>
      </c>
      <c r="AB1030" s="24">
        <v>57009.49</v>
      </c>
      <c r="AC1030" s="26">
        <v>18856.0</v>
      </c>
      <c r="AD1030" s="26">
        <v>0.0</v>
      </c>
      <c r="AE1030" s="24">
        <v>441.49</v>
      </c>
      <c r="AF1030" s="24">
        <v>0.0</v>
      </c>
      <c r="AG1030" s="24">
        <v>0.0</v>
      </c>
      <c r="AH1030" s="24">
        <v>0.0</v>
      </c>
      <c r="AI1030" s="24">
        <v>0.0</v>
      </c>
      <c r="AJ1030" s="24">
        <v>57009.49</v>
      </c>
      <c r="AK1030" s="24">
        <v>114705.22</v>
      </c>
      <c r="AL1030" s="24">
        <v>1.0</v>
      </c>
      <c r="AM1030" s="24">
        <v>416.67</v>
      </c>
      <c r="AN1030" s="24">
        <v>0.0</v>
      </c>
      <c r="AO1030" s="25" t="s">
        <v>62</v>
      </c>
      <c r="AP1030" s="25" t="s">
        <v>62</v>
      </c>
      <c r="AQ1030" s="25" t="s">
        <v>62</v>
      </c>
      <c r="AR1030" s="25" t="s">
        <v>62</v>
      </c>
      <c r="AS1030" s="11" t="str">
        <f>VLOOKUP(C1030,'mayo-26'!B:AS,44,0)</f>
        <v>MRSANCHEZD@GMAIL.COM</v>
      </c>
      <c r="AT1030" s="12" t="str">
        <f>VLOOKUP(C1030,'mayo-26'!B:AT,45,0)</f>
        <v>VERIFICADOR</v>
      </c>
    </row>
    <row r="1031" ht="14.25" customHeight="1">
      <c r="A1031" s="15" t="s">
        <v>2120</v>
      </c>
      <c r="B1031" s="23">
        <v>4.0</v>
      </c>
      <c r="C1031" s="23">
        <v>16.0</v>
      </c>
      <c r="D1031" s="23">
        <v>16.0</v>
      </c>
      <c r="E1031" s="23">
        <v>9.0300052E7</v>
      </c>
      <c r="F1031" s="23">
        <v>9.0300052E7</v>
      </c>
      <c r="G1031" s="24">
        <v>8.90505256E8</v>
      </c>
      <c r="H1031" s="25" t="s">
        <v>2086</v>
      </c>
      <c r="I1031" s="1" t="str">
        <f>VLOOKUP(C1031,'mayo-26'!B:H,7,0)</f>
        <v>AV.9 # 54B-90 APTO 703</v>
      </c>
      <c r="J1031" s="1" t="str">
        <f>VLOOKUP(C1031,'mayo-26'!B:I,8,0)</f>
        <v>LA FLORESTA</v>
      </c>
      <c r="K1031" s="10" t="str">
        <f>VLOOKUP(C1031,'mayo-26'!B:J,9,0)</f>
        <v>EDIFICIO LA FONTANA</v>
      </c>
      <c r="L1031" s="1" t="str">
        <f>VLOOKUP(C1031,'mayo-26'!B:K,10,0)</f>
        <v>EDIFICIO LA FONTANA</v>
      </c>
      <c r="M1031" s="18" t="s">
        <v>2087</v>
      </c>
      <c r="N1031" s="18" t="s">
        <v>2091</v>
      </c>
      <c r="O1031" s="25" t="s">
        <v>2089</v>
      </c>
      <c r="P1031" s="18" t="s">
        <v>126</v>
      </c>
      <c r="Q1031" s="25" t="s">
        <v>218</v>
      </c>
      <c r="R1031" s="25" t="s">
        <v>943</v>
      </c>
      <c r="S1031" s="25" t="s">
        <v>133</v>
      </c>
      <c r="T1031" s="25" t="s">
        <v>59</v>
      </c>
      <c r="U1031" s="24">
        <v>2026.0</v>
      </c>
      <c r="V1031" s="24">
        <v>6.0</v>
      </c>
      <c r="W1031" s="24">
        <v>1.081874823E9</v>
      </c>
      <c r="X1031" s="24">
        <v>1.081893295E9</v>
      </c>
      <c r="Y1031" s="25" t="s">
        <v>60</v>
      </c>
      <c r="Z1031" s="25" t="s">
        <v>61</v>
      </c>
      <c r="AA1031" s="24">
        <v>57193.42</v>
      </c>
      <c r="AB1031" s="24">
        <v>57193.42</v>
      </c>
      <c r="AC1031" s="26">
        <v>18856.0</v>
      </c>
      <c r="AD1031" s="26">
        <v>0.0</v>
      </c>
      <c r="AE1031" s="24">
        <v>625.42</v>
      </c>
      <c r="AF1031" s="24">
        <v>0.0</v>
      </c>
      <c r="AG1031" s="24">
        <v>0.0</v>
      </c>
      <c r="AH1031" s="24">
        <v>0.0</v>
      </c>
      <c r="AI1031" s="24">
        <v>0.0</v>
      </c>
      <c r="AJ1031" s="24">
        <v>57193.42</v>
      </c>
      <c r="AK1031" s="24">
        <v>169766.08</v>
      </c>
      <c r="AL1031" s="24">
        <v>2.0</v>
      </c>
      <c r="AM1031" s="24">
        <v>416.67</v>
      </c>
      <c r="AN1031" s="24">
        <v>0.0</v>
      </c>
      <c r="AO1031" s="25" t="s">
        <v>62</v>
      </c>
      <c r="AP1031" s="25" t="s">
        <v>62</v>
      </c>
      <c r="AQ1031" s="25" t="s">
        <v>62</v>
      </c>
      <c r="AR1031" s="25" t="s">
        <v>62</v>
      </c>
      <c r="AS1031" s="11" t="str">
        <f>VLOOKUP(C1031,'mayo-26'!B:AS,44,0)</f>
        <v>COLBRA@HOTMAIL.COM</v>
      </c>
      <c r="AT1031" s="12" t="str">
        <f>VLOOKUP(C1031,'mayo-26'!B:AT,45,0)</f>
        <v>VERIFICADOR</v>
      </c>
    </row>
    <row r="1032" ht="14.25" customHeight="1">
      <c r="A1032" s="15" t="s">
        <v>2121</v>
      </c>
      <c r="B1032" s="23">
        <v>21.0</v>
      </c>
      <c r="C1032" s="23">
        <v>20.0</v>
      </c>
      <c r="D1032" s="23">
        <v>20.0</v>
      </c>
      <c r="E1032" s="23">
        <v>9.0300056E7</v>
      </c>
      <c r="F1032" s="23">
        <v>9.0300056E7</v>
      </c>
      <c r="G1032" s="24">
        <v>9.01381278E8</v>
      </c>
      <c r="H1032" s="25" t="s">
        <v>2086</v>
      </c>
      <c r="I1032" s="1" t="str">
        <f>VLOOKUP(C1032,'mayo-26'!B:H,7,0)</f>
        <v>AV.9 # 54B-90 APTO 201</v>
      </c>
      <c r="J1032" s="1" t="str">
        <f>VLOOKUP(C1032,'mayo-26'!B:I,8,0)</f>
        <v>LA FLORESTA</v>
      </c>
      <c r="K1032" s="10" t="str">
        <f>VLOOKUP(C1032,'mayo-26'!B:J,9,0)</f>
        <v>EDIFICIO LA FONTANA</v>
      </c>
      <c r="L1032" s="1" t="str">
        <f>VLOOKUP(C1032,'mayo-26'!B:K,10,0)</f>
        <v>EDIFICIO LA FONTANA</v>
      </c>
      <c r="M1032" s="18" t="s">
        <v>2087</v>
      </c>
      <c r="N1032" s="18" t="s">
        <v>2088</v>
      </c>
      <c r="O1032" s="25" t="s">
        <v>2089</v>
      </c>
      <c r="P1032" s="18" t="s">
        <v>126</v>
      </c>
      <c r="Q1032" s="25" t="s">
        <v>218</v>
      </c>
      <c r="R1032" s="25" t="s">
        <v>943</v>
      </c>
      <c r="S1032" s="25" t="s">
        <v>133</v>
      </c>
      <c r="T1032" s="25" t="s">
        <v>59</v>
      </c>
      <c r="U1032" s="24">
        <v>2026.0</v>
      </c>
      <c r="V1032" s="24">
        <v>6.0</v>
      </c>
      <c r="W1032" s="24">
        <v>1.081874826E9</v>
      </c>
      <c r="X1032" s="24">
        <v>1.081893298E9</v>
      </c>
      <c r="Y1032" s="25" t="s">
        <v>60</v>
      </c>
      <c r="Z1032" s="25" t="s">
        <v>61</v>
      </c>
      <c r="AA1032" s="24">
        <v>56568.0</v>
      </c>
      <c r="AB1032" s="24">
        <v>56568.0</v>
      </c>
      <c r="AC1032" s="26">
        <v>18856.0</v>
      </c>
      <c r="AD1032" s="26">
        <v>0.0</v>
      </c>
      <c r="AE1032" s="24">
        <v>0.0</v>
      </c>
      <c r="AF1032" s="24">
        <v>0.0</v>
      </c>
      <c r="AG1032" s="24">
        <v>0.0</v>
      </c>
      <c r="AH1032" s="24">
        <v>0.0</v>
      </c>
      <c r="AI1032" s="24">
        <v>0.0</v>
      </c>
      <c r="AJ1032" s="24">
        <v>56568.0</v>
      </c>
      <c r="AK1032" s="24">
        <v>113044.5</v>
      </c>
      <c r="AL1032" s="24">
        <v>1.0</v>
      </c>
      <c r="AM1032" s="24">
        <v>416.67</v>
      </c>
      <c r="AN1032" s="24">
        <v>0.0</v>
      </c>
      <c r="AO1032" s="25" t="s">
        <v>62</v>
      </c>
      <c r="AP1032" s="25" t="s">
        <v>62</v>
      </c>
      <c r="AQ1032" s="25" t="s">
        <v>62</v>
      </c>
      <c r="AR1032" s="25" t="s">
        <v>62</v>
      </c>
      <c r="AS1032" s="11" t="str">
        <f>VLOOKUP(C1032,'mayo-26'!B:AS,44,0)</f>
        <v>JOJOCEGU@HOTMAIL.COM</v>
      </c>
      <c r="AT1032" s="12" t="str">
        <f>VLOOKUP(C1032,'mayo-26'!B:AT,45,0)</f>
        <v>VERIFICADOR</v>
      </c>
    </row>
    <row r="1033" ht="14.25" customHeight="1">
      <c r="A1033" s="15" t="s">
        <v>2122</v>
      </c>
      <c r="B1033" s="23">
        <v>25.0</v>
      </c>
      <c r="C1033" s="23">
        <v>24.0</v>
      </c>
      <c r="D1033" s="23">
        <v>24.0</v>
      </c>
      <c r="E1033" s="23">
        <v>9.030006E7</v>
      </c>
      <c r="F1033" s="23">
        <v>9.030006E7</v>
      </c>
      <c r="G1033" s="24">
        <v>9.030006E7</v>
      </c>
      <c r="H1033" s="25" t="s">
        <v>2097</v>
      </c>
      <c r="I1033" s="1" t="str">
        <f>VLOOKUP(C1033,'mayo-26'!B:H,7,0)</f>
        <v>AV.9 #54B-185 APTO.201</v>
      </c>
      <c r="J1033" s="1" t="str">
        <f>VLOOKUP(C1033,'mayo-26'!B:I,8,0)</f>
        <v>LA FLORESTA</v>
      </c>
      <c r="K1033" s="10" t="str">
        <f>VLOOKUP(C1033,'mayo-26'!B:J,9,0)</f>
        <v>NO</v>
      </c>
      <c r="L1033" s="1" t="str">
        <f>VLOOKUP(C1033,'mayo-26'!B:K,10,0)</f>
        <v>CONST MIRADOR DE LA FLORESTA</v>
      </c>
      <c r="M1033" s="18" t="s">
        <v>2087</v>
      </c>
      <c r="N1033" s="18" t="s">
        <v>2088</v>
      </c>
      <c r="O1033" s="25" t="s">
        <v>2089</v>
      </c>
      <c r="P1033" s="18" t="s">
        <v>126</v>
      </c>
      <c r="Q1033" s="25" t="s">
        <v>218</v>
      </c>
      <c r="R1033" s="25" t="s">
        <v>943</v>
      </c>
      <c r="S1033" s="25" t="s">
        <v>133</v>
      </c>
      <c r="T1033" s="25" t="s">
        <v>59</v>
      </c>
      <c r="U1033" s="24">
        <v>2026.0</v>
      </c>
      <c r="V1033" s="24">
        <v>6.0</v>
      </c>
      <c r="W1033" s="24">
        <v>1.08187483E9</v>
      </c>
      <c r="X1033" s="24">
        <v>1.081893302E9</v>
      </c>
      <c r="Y1033" s="25" t="s">
        <v>60</v>
      </c>
      <c r="Z1033" s="25" t="s">
        <v>61</v>
      </c>
      <c r="AA1033" s="24">
        <v>56568.0</v>
      </c>
      <c r="AB1033" s="24">
        <v>56568.0</v>
      </c>
      <c r="AC1033" s="26">
        <v>18856.0</v>
      </c>
      <c r="AD1033" s="26">
        <v>0.0</v>
      </c>
      <c r="AE1033" s="24">
        <v>0.0</v>
      </c>
      <c r="AF1033" s="24">
        <v>0.0</v>
      </c>
      <c r="AG1033" s="24">
        <v>0.0</v>
      </c>
      <c r="AH1033" s="24">
        <v>0.0</v>
      </c>
      <c r="AI1033" s="24">
        <v>0.0</v>
      </c>
      <c r="AJ1033" s="24">
        <v>56568.0</v>
      </c>
      <c r="AK1033" s="24">
        <v>56568.0</v>
      </c>
      <c r="AL1033" s="24">
        <v>0.0</v>
      </c>
      <c r="AM1033" s="24">
        <v>416.67</v>
      </c>
      <c r="AN1033" s="24">
        <v>0.0</v>
      </c>
      <c r="AO1033" s="25" t="s">
        <v>62</v>
      </c>
      <c r="AP1033" s="25" t="s">
        <v>62</v>
      </c>
      <c r="AQ1033" s="25" t="s">
        <v>62</v>
      </c>
      <c r="AR1033" s="25" t="s">
        <v>62</v>
      </c>
      <c r="AS1033" s="11" t="str">
        <f>VLOOKUP(C1033,'mayo-26'!B:AS,44,0)</f>
        <v/>
      </c>
      <c r="AT1033" s="12" t="str">
        <f>VLOOKUP(C1033,'mayo-26'!B:AT,45,0)</f>
        <v>VERIFICADOR</v>
      </c>
    </row>
    <row r="1034" ht="14.25" customHeight="1">
      <c r="A1034" s="15" t="s">
        <v>2123</v>
      </c>
      <c r="B1034" s="23">
        <v>29.0</v>
      </c>
      <c r="C1034" s="23">
        <v>28.0</v>
      </c>
      <c r="D1034" s="23">
        <v>28.0</v>
      </c>
      <c r="E1034" s="23">
        <v>9.0300067E7</v>
      </c>
      <c r="F1034" s="23">
        <v>9.0300067E7</v>
      </c>
      <c r="G1034" s="24">
        <v>9.0300067E7</v>
      </c>
      <c r="H1034" s="25" t="s">
        <v>2097</v>
      </c>
      <c r="I1034" s="1" t="str">
        <f>VLOOKUP(C1034,'mayo-26'!B:H,7,0)</f>
        <v>AV.9 #54B-185 APTO.402</v>
      </c>
      <c r="J1034" s="1" t="str">
        <f>VLOOKUP(C1034,'mayo-26'!B:I,8,0)</f>
        <v>LA FLORESTA</v>
      </c>
      <c r="K1034" s="10" t="str">
        <f>VLOOKUP(C1034,'mayo-26'!B:J,9,0)</f>
        <v>NO</v>
      </c>
      <c r="L1034" s="1" t="str">
        <f>VLOOKUP(C1034,'mayo-26'!B:K,10,0)</f>
        <v>CONST MIRADOR DE LA FLORESTA</v>
      </c>
      <c r="M1034" s="18" t="s">
        <v>2087</v>
      </c>
      <c r="N1034" s="18" t="s">
        <v>2088</v>
      </c>
      <c r="O1034" s="25" t="s">
        <v>2089</v>
      </c>
      <c r="P1034" s="18" t="s">
        <v>126</v>
      </c>
      <c r="Q1034" s="25" t="s">
        <v>218</v>
      </c>
      <c r="R1034" s="25" t="s">
        <v>943</v>
      </c>
      <c r="S1034" s="25" t="s">
        <v>133</v>
      </c>
      <c r="T1034" s="25" t="s">
        <v>59</v>
      </c>
      <c r="U1034" s="24">
        <v>2026.0</v>
      </c>
      <c r="V1034" s="24">
        <v>6.0</v>
      </c>
      <c r="W1034" s="24">
        <v>1.081874834E9</v>
      </c>
      <c r="X1034" s="24">
        <v>1.081893306E9</v>
      </c>
      <c r="Y1034" s="25" t="s">
        <v>60</v>
      </c>
      <c r="Z1034" s="25" t="s">
        <v>61</v>
      </c>
      <c r="AA1034" s="24">
        <v>56568.0</v>
      </c>
      <c r="AB1034" s="24">
        <v>56568.0</v>
      </c>
      <c r="AC1034" s="26">
        <v>18856.0</v>
      </c>
      <c r="AD1034" s="26">
        <v>0.0</v>
      </c>
      <c r="AE1034" s="24">
        <v>0.0</v>
      </c>
      <c r="AF1034" s="24">
        <v>0.0</v>
      </c>
      <c r="AG1034" s="24">
        <v>0.0</v>
      </c>
      <c r="AH1034" s="24">
        <v>0.0</v>
      </c>
      <c r="AI1034" s="24">
        <v>0.0</v>
      </c>
      <c r="AJ1034" s="24">
        <v>56568.0</v>
      </c>
      <c r="AK1034" s="24">
        <v>56568.5</v>
      </c>
      <c r="AL1034" s="24">
        <v>1.0</v>
      </c>
      <c r="AM1034" s="24">
        <v>416.67</v>
      </c>
      <c r="AN1034" s="24">
        <v>0.0</v>
      </c>
      <c r="AO1034" s="25" t="s">
        <v>62</v>
      </c>
      <c r="AP1034" s="25" t="s">
        <v>62</v>
      </c>
      <c r="AQ1034" s="25" t="s">
        <v>62</v>
      </c>
      <c r="AR1034" s="25" t="s">
        <v>62</v>
      </c>
      <c r="AS1034" s="11" t="str">
        <f>VLOOKUP(C1034,'mayo-26'!B:AS,44,0)</f>
        <v>FONSIRAM@GMAIL.COM</v>
      </c>
      <c r="AT1034" s="12" t="str">
        <f>VLOOKUP(C1034,'mayo-26'!B:AT,45,0)</f>
        <v>VERIFICADOR</v>
      </c>
    </row>
    <row r="1035" ht="14.25" customHeight="1">
      <c r="A1035" s="15" t="s">
        <v>2124</v>
      </c>
      <c r="B1035" s="23">
        <v>33.0</v>
      </c>
      <c r="C1035" s="23">
        <v>32.0</v>
      </c>
      <c r="D1035" s="23">
        <v>32.0</v>
      </c>
      <c r="E1035" s="23">
        <v>9.0300072E7</v>
      </c>
      <c r="F1035" s="23">
        <v>9.0300072E7</v>
      </c>
      <c r="G1035" s="24">
        <v>9.0300072E7</v>
      </c>
      <c r="H1035" s="25" t="s">
        <v>2097</v>
      </c>
      <c r="I1035" s="1" t="str">
        <f>VLOOKUP(C1035,'mayo-26'!B:H,7,0)</f>
        <v>AV.9 #54B-185 APTO.601</v>
      </c>
      <c r="J1035" s="1" t="str">
        <f>VLOOKUP(C1035,'mayo-26'!B:I,8,0)</f>
        <v>LA FLORESTA</v>
      </c>
      <c r="K1035" s="10" t="str">
        <f>VLOOKUP(C1035,'mayo-26'!B:J,9,0)</f>
        <v>NO</v>
      </c>
      <c r="L1035" s="1" t="str">
        <f>VLOOKUP(C1035,'mayo-26'!B:K,10,0)</f>
        <v>CONST MIRADOR DE LA FLORESTA</v>
      </c>
      <c r="M1035" s="18" t="s">
        <v>2087</v>
      </c>
      <c r="N1035" s="18" t="s">
        <v>2088</v>
      </c>
      <c r="O1035" s="25" t="s">
        <v>2089</v>
      </c>
      <c r="P1035" s="18" t="s">
        <v>126</v>
      </c>
      <c r="Q1035" s="25" t="s">
        <v>218</v>
      </c>
      <c r="R1035" s="25" t="s">
        <v>943</v>
      </c>
      <c r="S1035" s="25" t="s">
        <v>133</v>
      </c>
      <c r="T1035" s="25" t="s">
        <v>59</v>
      </c>
      <c r="U1035" s="24">
        <v>2026.0</v>
      </c>
      <c r="V1035" s="24">
        <v>6.0</v>
      </c>
      <c r="W1035" s="24">
        <v>1.081874838E9</v>
      </c>
      <c r="X1035" s="24">
        <v>1.08189331E9</v>
      </c>
      <c r="Y1035" s="25" t="s">
        <v>60</v>
      </c>
      <c r="Z1035" s="25" t="s">
        <v>61</v>
      </c>
      <c r="AA1035" s="24">
        <v>59555.66</v>
      </c>
      <c r="AB1035" s="24">
        <v>59555.66</v>
      </c>
      <c r="AC1035" s="26">
        <v>18856.0</v>
      </c>
      <c r="AD1035" s="26">
        <v>0.0</v>
      </c>
      <c r="AE1035" s="24">
        <v>2987.66</v>
      </c>
      <c r="AF1035" s="24">
        <v>0.0</v>
      </c>
      <c r="AG1035" s="24">
        <v>0.0</v>
      </c>
      <c r="AH1035" s="24">
        <v>0.0</v>
      </c>
      <c r="AI1035" s="24">
        <v>0.0</v>
      </c>
      <c r="AJ1035" s="24">
        <v>59555.66</v>
      </c>
      <c r="AK1035" s="24">
        <v>242553.28</v>
      </c>
      <c r="AL1035" s="24">
        <v>4.0</v>
      </c>
      <c r="AM1035" s="24">
        <v>416.67</v>
      </c>
      <c r="AN1035" s="24">
        <v>0.0</v>
      </c>
      <c r="AO1035" s="25" t="s">
        <v>62</v>
      </c>
      <c r="AP1035" s="25" t="s">
        <v>62</v>
      </c>
      <c r="AQ1035" s="25" t="s">
        <v>62</v>
      </c>
      <c r="AR1035" s="25" t="s">
        <v>62</v>
      </c>
      <c r="AS1035" s="11" t="str">
        <f>VLOOKUP(C1035,'mayo-26'!B:AS,44,0)</f>
        <v/>
      </c>
      <c r="AT1035" s="12" t="str">
        <f>VLOOKUP(C1035,'mayo-26'!B:AT,45,0)</f>
        <v>VERIFICADOR</v>
      </c>
    </row>
    <row r="1036" ht="14.25" customHeight="1">
      <c r="A1036" s="15" t="s">
        <v>2125</v>
      </c>
      <c r="B1036" s="23">
        <v>350.0</v>
      </c>
      <c r="C1036" s="23">
        <v>335792.0</v>
      </c>
      <c r="D1036" s="23">
        <v>335792.0</v>
      </c>
      <c r="E1036" s="23">
        <v>4098.0</v>
      </c>
      <c r="F1036" s="23">
        <v>4098.0</v>
      </c>
      <c r="G1036" s="24">
        <v>9.00603041E8</v>
      </c>
      <c r="H1036" s="25" t="s">
        <v>400</v>
      </c>
      <c r="I1036" s="1" t="str">
        <f>VLOOKUP(C1036,'mayo-26'!B:H,7,0)</f>
        <v>AVE 6 7-35 SUPERMERCADO</v>
      </c>
      <c r="J1036" s="1" t="str">
        <f>VLOOKUP(C1036,'mayo-26'!B:I,8,0)</f>
        <v>PINAR DEL RIO</v>
      </c>
      <c r="K1036" s="10" t="str">
        <f>VLOOKUP(C1036,'mayo-26'!B:J,9,0)</f>
        <v>NO</v>
      </c>
      <c r="L1036" s="1" t="str">
        <f>VLOOKUP(C1036,'mayo-26'!B:K,10,0)</f>
        <v>LOS MONTES</v>
      </c>
      <c r="M1036" s="18" t="s">
        <v>2087</v>
      </c>
      <c r="N1036" s="18" t="s">
        <v>2088</v>
      </c>
      <c r="O1036" s="25" t="s">
        <v>2089</v>
      </c>
      <c r="P1036" s="18" t="s">
        <v>126</v>
      </c>
      <c r="Q1036" s="25" t="s">
        <v>56</v>
      </c>
      <c r="R1036" s="25" t="s">
        <v>90</v>
      </c>
      <c r="S1036" s="25" t="s">
        <v>143</v>
      </c>
      <c r="T1036" s="25" t="s">
        <v>59</v>
      </c>
      <c r="U1036" s="24">
        <v>2026.0</v>
      </c>
      <c r="V1036" s="24">
        <v>6.0</v>
      </c>
      <c r="W1036" s="24">
        <v>1.08187487E9</v>
      </c>
      <c r="X1036" s="24">
        <v>1.081893342E9</v>
      </c>
      <c r="Y1036" s="25" t="s">
        <v>60</v>
      </c>
      <c r="Z1036" s="25" t="s">
        <v>61</v>
      </c>
      <c r="AA1036" s="24">
        <v>99372.75</v>
      </c>
      <c r="AB1036" s="24">
        <v>99372.75</v>
      </c>
      <c r="AC1036" s="26">
        <v>33124.25</v>
      </c>
      <c r="AD1036" s="26">
        <v>250.0</v>
      </c>
      <c r="AE1036" s="24">
        <v>0.0</v>
      </c>
      <c r="AF1036" s="24">
        <v>0.0</v>
      </c>
      <c r="AG1036" s="24">
        <v>0.0</v>
      </c>
      <c r="AH1036" s="24">
        <v>0.0</v>
      </c>
      <c r="AI1036" s="24">
        <v>0.0</v>
      </c>
      <c r="AJ1036" s="24">
        <v>99372.75</v>
      </c>
      <c r="AK1036" s="24">
        <v>130387.5</v>
      </c>
      <c r="AL1036" s="24">
        <v>1.0</v>
      </c>
      <c r="AM1036" s="24">
        <v>416.67</v>
      </c>
      <c r="AN1036" s="24">
        <v>0.0</v>
      </c>
      <c r="AO1036" s="25" t="s">
        <v>62</v>
      </c>
      <c r="AP1036" s="25" t="s">
        <v>62</v>
      </c>
      <c r="AQ1036" s="25" t="s">
        <v>62</v>
      </c>
      <c r="AR1036" s="25" t="s">
        <v>62</v>
      </c>
      <c r="AS1036" s="11" t="str">
        <f>VLOOKUP(C1036,'mayo-26'!B:AS,44,0)</f>
        <v>GASTOS@SUPERLOSMONTES.CO;FACTURAELECTRONICA@SUPERLOSMONTES.CO</v>
      </c>
      <c r="AT1036" s="12" t="str">
        <f>VLOOKUP(C1036,'mayo-26'!B:AT,45,0)</f>
        <v>CORREO ELECTRONICO CERTIFICADO 472</v>
      </c>
    </row>
    <row r="1037" ht="14.25" customHeight="1">
      <c r="A1037" s="15" t="s">
        <v>2126</v>
      </c>
      <c r="B1037" s="23">
        <v>37.0</v>
      </c>
      <c r="C1037" s="23">
        <v>36.0</v>
      </c>
      <c r="D1037" s="23">
        <v>36.0</v>
      </c>
      <c r="E1037" s="23">
        <v>9.0300076E7</v>
      </c>
      <c r="F1037" s="23">
        <v>9.0300076E7</v>
      </c>
      <c r="G1037" s="24">
        <v>9.0300076E7</v>
      </c>
      <c r="H1037" s="25" t="s">
        <v>2097</v>
      </c>
      <c r="I1037" s="1" t="str">
        <f>VLOOKUP(C1037,'mayo-26'!B:H,7,0)</f>
        <v>AV.9 #54B-185 APTO.702</v>
      </c>
      <c r="J1037" s="1" t="str">
        <f>VLOOKUP(C1037,'mayo-26'!B:I,8,0)</f>
        <v>LA FLORESTA</v>
      </c>
      <c r="K1037" s="10" t="str">
        <f>VLOOKUP(C1037,'mayo-26'!B:J,9,0)</f>
        <v>NO</v>
      </c>
      <c r="L1037" s="1" t="str">
        <f>VLOOKUP(C1037,'mayo-26'!B:K,10,0)</f>
        <v>CONST MIRADOR DE LA FLORESTA</v>
      </c>
      <c r="M1037" s="18" t="s">
        <v>2087</v>
      </c>
      <c r="N1037" s="18" t="s">
        <v>2088</v>
      </c>
      <c r="O1037" s="25" t="s">
        <v>2089</v>
      </c>
      <c r="P1037" s="18" t="s">
        <v>126</v>
      </c>
      <c r="Q1037" s="25" t="s">
        <v>218</v>
      </c>
      <c r="R1037" s="25" t="s">
        <v>943</v>
      </c>
      <c r="S1037" s="25" t="s">
        <v>133</v>
      </c>
      <c r="T1037" s="25" t="s">
        <v>59</v>
      </c>
      <c r="U1037" s="24">
        <v>2026.0</v>
      </c>
      <c r="V1037" s="24">
        <v>6.0</v>
      </c>
      <c r="W1037" s="24">
        <v>1.081874844E9</v>
      </c>
      <c r="X1037" s="24">
        <v>1.081893316E9</v>
      </c>
      <c r="Y1037" s="25" t="s">
        <v>60</v>
      </c>
      <c r="Z1037" s="25" t="s">
        <v>61</v>
      </c>
      <c r="AA1037" s="24">
        <v>56568.0</v>
      </c>
      <c r="AB1037" s="24">
        <v>56568.0</v>
      </c>
      <c r="AC1037" s="26">
        <v>18856.0</v>
      </c>
      <c r="AD1037" s="26">
        <v>0.0</v>
      </c>
      <c r="AE1037" s="24">
        <v>0.0</v>
      </c>
      <c r="AF1037" s="24">
        <v>0.0</v>
      </c>
      <c r="AG1037" s="24">
        <v>0.0</v>
      </c>
      <c r="AH1037" s="24">
        <v>0.0</v>
      </c>
      <c r="AI1037" s="24">
        <v>0.0</v>
      </c>
      <c r="AJ1037" s="24">
        <v>56568.0</v>
      </c>
      <c r="AK1037" s="24">
        <v>113044.5</v>
      </c>
      <c r="AL1037" s="24">
        <v>1.0</v>
      </c>
      <c r="AM1037" s="24">
        <v>416.67</v>
      </c>
      <c r="AN1037" s="24">
        <v>0.0</v>
      </c>
      <c r="AO1037" s="25" t="s">
        <v>62</v>
      </c>
      <c r="AP1037" s="25" t="s">
        <v>62</v>
      </c>
      <c r="AQ1037" s="25" t="s">
        <v>62</v>
      </c>
      <c r="AR1037" s="25" t="s">
        <v>62</v>
      </c>
      <c r="AS1037" s="11" t="str">
        <f>VLOOKUP(C1037,'mayo-26'!B:AS,44,0)</f>
        <v/>
      </c>
      <c r="AT1037" s="12" t="str">
        <f>VLOOKUP(C1037,'mayo-26'!B:AT,45,0)</f>
        <v>VERIFICADOR</v>
      </c>
    </row>
    <row r="1038" ht="14.25" customHeight="1">
      <c r="A1038" s="15" t="s">
        <v>2127</v>
      </c>
      <c r="B1038" s="23">
        <v>5.0</v>
      </c>
      <c r="C1038" s="23">
        <v>4.0</v>
      </c>
      <c r="D1038" s="23">
        <v>4.0</v>
      </c>
      <c r="E1038" s="23">
        <v>9.030004E7</v>
      </c>
      <c r="F1038" s="23">
        <v>9.030004E7</v>
      </c>
      <c r="G1038" s="24">
        <v>4.1612756E7</v>
      </c>
      <c r="H1038" s="25" t="s">
        <v>2086</v>
      </c>
      <c r="I1038" s="1" t="str">
        <f>VLOOKUP(C1038,'mayo-26'!B:H,7,0)</f>
        <v>AV.9 # 54B-90 APTO 702</v>
      </c>
      <c r="J1038" s="1" t="str">
        <f>VLOOKUP(C1038,'mayo-26'!B:I,8,0)</f>
        <v>LA FLORESTA</v>
      </c>
      <c r="K1038" s="10" t="str">
        <f>VLOOKUP(C1038,'mayo-26'!B:J,9,0)</f>
        <v>EDIFICIO LA FONTANA</v>
      </c>
      <c r="L1038" s="1" t="str">
        <f>VLOOKUP(C1038,'mayo-26'!B:K,10,0)</f>
        <v>EDIFICIO LA FONTANA</v>
      </c>
      <c r="M1038" s="18" t="s">
        <v>2087</v>
      </c>
      <c r="N1038" s="18" t="s">
        <v>2088</v>
      </c>
      <c r="O1038" s="25" t="s">
        <v>2089</v>
      </c>
      <c r="P1038" s="18" t="s">
        <v>126</v>
      </c>
      <c r="Q1038" s="25" t="s">
        <v>218</v>
      </c>
      <c r="R1038" s="25" t="s">
        <v>943</v>
      </c>
      <c r="S1038" s="25" t="s">
        <v>133</v>
      </c>
      <c r="T1038" s="25" t="s">
        <v>59</v>
      </c>
      <c r="U1038" s="24">
        <v>2026.0</v>
      </c>
      <c r="V1038" s="24">
        <v>6.0</v>
      </c>
      <c r="W1038" s="24">
        <v>1.081874808E9</v>
      </c>
      <c r="X1038" s="24">
        <v>1.08189328E9</v>
      </c>
      <c r="Y1038" s="25" t="s">
        <v>60</v>
      </c>
      <c r="Z1038" s="25" t="s">
        <v>61</v>
      </c>
      <c r="AA1038" s="24">
        <v>56568.0</v>
      </c>
      <c r="AB1038" s="24">
        <v>56568.0</v>
      </c>
      <c r="AC1038" s="26">
        <v>18856.0</v>
      </c>
      <c r="AD1038" s="26">
        <v>0.0</v>
      </c>
      <c r="AE1038" s="24">
        <v>0.0</v>
      </c>
      <c r="AF1038" s="24">
        <v>0.0</v>
      </c>
      <c r="AG1038" s="24">
        <v>0.0</v>
      </c>
      <c r="AH1038" s="24">
        <v>0.0</v>
      </c>
      <c r="AI1038" s="24">
        <v>0.0</v>
      </c>
      <c r="AJ1038" s="24">
        <v>56568.0</v>
      </c>
      <c r="AK1038" s="24">
        <v>56568.0</v>
      </c>
      <c r="AL1038" s="24">
        <v>0.0</v>
      </c>
      <c r="AM1038" s="24">
        <v>416.67</v>
      </c>
      <c r="AN1038" s="24">
        <v>0.0</v>
      </c>
      <c r="AO1038" s="25" t="s">
        <v>62</v>
      </c>
      <c r="AP1038" s="25" t="s">
        <v>62</v>
      </c>
      <c r="AQ1038" s="25" t="s">
        <v>62</v>
      </c>
      <c r="AR1038" s="25" t="s">
        <v>62</v>
      </c>
      <c r="AS1038" s="11" t="str">
        <f>VLOOKUP(C1038,'mayo-26'!B:AS,44,0)</f>
        <v>CONTABILIDAD@ALUMARONLINE.COM</v>
      </c>
      <c r="AT1038" s="12" t="str">
        <f>VLOOKUP(C1038,'mayo-26'!B:AT,45,0)</f>
        <v>VERIFICADOR</v>
      </c>
    </row>
    <row r="1039" ht="14.25" customHeight="1">
      <c r="A1039" s="15" t="s">
        <v>2128</v>
      </c>
      <c r="B1039" s="23">
        <v>441.0</v>
      </c>
      <c r="C1039" s="23">
        <v>40.0</v>
      </c>
      <c r="D1039" s="23">
        <v>40.0</v>
      </c>
      <c r="E1039" s="23">
        <v>9.0310046E7</v>
      </c>
      <c r="F1039" s="23">
        <v>9.0310046E7</v>
      </c>
      <c r="G1039" s="25" t="s">
        <v>1590</v>
      </c>
      <c r="H1039" s="25" t="s">
        <v>1591</v>
      </c>
      <c r="I1039" s="1" t="str">
        <f>VLOOKUP(C1039,'mayo-26'!B:H,7,0)</f>
        <v>DIAG SDER 8-93 CENTRO</v>
      </c>
      <c r="J1039" s="1" t="str">
        <f>VLOOKUP(C1039,'mayo-26'!B:I,8,0)</f>
        <v>URB ARBOLEDA</v>
      </c>
      <c r="K1039" s="10" t="str">
        <f>VLOOKUP(C1039,'mayo-26'!B:J,9,0)</f>
        <v>NO</v>
      </c>
      <c r="L1039" s="1" t="str">
        <f>VLOOKUP(C1039,'mayo-26'!B:K,10,0)</f>
        <v>LA ESPERANZA</v>
      </c>
      <c r="M1039" s="18" t="s">
        <v>2087</v>
      </c>
      <c r="N1039" s="18" t="s">
        <v>2088</v>
      </c>
      <c r="O1039" s="25" t="s">
        <v>2089</v>
      </c>
      <c r="P1039" s="18" t="s">
        <v>126</v>
      </c>
      <c r="Q1039" s="25" t="s">
        <v>56</v>
      </c>
      <c r="R1039" s="25" t="s">
        <v>90</v>
      </c>
      <c r="S1039" s="25" t="s">
        <v>143</v>
      </c>
      <c r="T1039" s="25" t="s">
        <v>59</v>
      </c>
      <c r="U1039" s="24">
        <v>2026.0</v>
      </c>
      <c r="V1039" s="24">
        <v>6.0</v>
      </c>
      <c r="W1039" s="24">
        <v>1.081874846E9</v>
      </c>
      <c r="X1039" s="24">
        <v>1.081893318E9</v>
      </c>
      <c r="Y1039" s="25" t="s">
        <v>60</v>
      </c>
      <c r="Z1039" s="25" t="s">
        <v>61</v>
      </c>
      <c r="AA1039" s="24">
        <v>572397.34</v>
      </c>
      <c r="AB1039" s="24">
        <v>572397.34</v>
      </c>
      <c r="AC1039" s="26">
        <v>190799.12</v>
      </c>
      <c r="AD1039" s="26">
        <v>1857.5</v>
      </c>
      <c r="AE1039" s="24">
        <v>0.0</v>
      </c>
      <c r="AF1039" s="24">
        <v>0.0</v>
      </c>
      <c r="AG1039" s="24">
        <v>0.0</v>
      </c>
      <c r="AH1039" s="24">
        <v>0.0</v>
      </c>
      <c r="AI1039" s="24">
        <v>0.0</v>
      </c>
      <c r="AJ1039" s="24">
        <v>572397.34</v>
      </c>
      <c r="AK1039" s="24">
        <v>572397.34</v>
      </c>
      <c r="AL1039" s="24">
        <v>0.0</v>
      </c>
      <c r="AM1039" s="24">
        <v>416.67</v>
      </c>
      <c r="AN1039" s="24">
        <v>0.0</v>
      </c>
      <c r="AO1039" s="25" t="s">
        <v>62</v>
      </c>
      <c r="AP1039" s="25" t="s">
        <v>62</v>
      </c>
      <c r="AQ1039" s="25" t="s">
        <v>62</v>
      </c>
      <c r="AR1039" s="25" t="s">
        <v>62</v>
      </c>
      <c r="AS1039" s="11" t="str">
        <f>VLOOKUP(C1039,'mayo-26'!B:AS,44,0)</f>
        <v>FACTURACION@ORGLAESPERANZA.COM</v>
      </c>
      <c r="AT1039" s="12" t="str">
        <f>VLOOKUP(C1039,'mayo-26'!B:AT,45,0)</f>
        <v>CORREO ELECTRONICO CERTIFICADO 472</v>
      </c>
    </row>
    <row r="1040" ht="14.25" customHeight="1">
      <c r="A1040" s="15" t="s">
        <v>2129</v>
      </c>
      <c r="B1040" s="23">
        <v>699.0</v>
      </c>
      <c r="C1040" s="23">
        <v>454844.0</v>
      </c>
      <c r="D1040" s="23">
        <v>479376.0</v>
      </c>
      <c r="E1040" s="23">
        <v>1058049.0</v>
      </c>
      <c r="F1040" s="23">
        <v>1058049.0</v>
      </c>
      <c r="G1040" s="24">
        <v>9.00480569E8</v>
      </c>
      <c r="H1040" s="25" t="s">
        <v>141</v>
      </c>
      <c r="I1040" s="1" t="str">
        <f>VLOOKUP(C1040,'mayo-26'!B:H,7,0)</f>
        <v>CLL 12 4-52 CENTRO</v>
      </c>
      <c r="J1040" s="1" t="str">
        <f>VLOOKUP(C1040,'mayo-26'!B:I,8,0)</f>
        <v>LA FLORESTA</v>
      </c>
      <c r="K1040" s="10" t="str">
        <f>VLOOKUP(C1040,'mayo-26'!B:J,9,0)</f>
        <v>PATIOS</v>
      </c>
      <c r="L1040" s="1" t="str">
        <f>VLOOKUP(C1040,'mayo-26'!B:K,10,0)</f>
        <v>ARA PATIOS</v>
      </c>
      <c r="M1040" s="18" t="s">
        <v>2087</v>
      </c>
      <c r="N1040" s="18" t="s">
        <v>2091</v>
      </c>
      <c r="O1040" s="25" t="s">
        <v>2089</v>
      </c>
      <c r="P1040" s="18" t="s">
        <v>126</v>
      </c>
      <c r="Q1040" s="25" t="s">
        <v>56</v>
      </c>
      <c r="R1040" s="25" t="s">
        <v>90</v>
      </c>
      <c r="S1040" s="25" t="s">
        <v>143</v>
      </c>
      <c r="T1040" s="25" t="s">
        <v>59</v>
      </c>
      <c r="U1040" s="24">
        <v>2026.0</v>
      </c>
      <c r="V1040" s="24">
        <v>6.0</v>
      </c>
      <c r="W1040" s="24">
        <v>1.081874873E9</v>
      </c>
      <c r="X1040" s="24">
        <v>1.081893345E9</v>
      </c>
      <c r="Y1040" s="25" t="s">
        <v>60</v>
      </c>
      <c r="Z1040" s="25" t="s">
        <v>61</v>
      </c>
      <c r="AA1040" s="24">
        <v>1852960.98</v>
      </c>
      <c r="AB1040" s="24">
        <v>1852960.98</v>
      </c>
      <c r="AC1040" s="26">
        <v>523559.25</v>
      </c>
      <c r="AD1040" s="26">
        <v>5250.0</v>
      </c>
      <c r="AE1040" s="24">
        <v>282283.23</v>
      </c>
      <c r="AF1040" s="24">
        <v>0.0</v>
      </c>
      <c r="AG1040" s="24">
        <v>0.0</v>
      </c>
      <c r="AH1040" s="24">
        <v>0.0</v>
      </c>
      <c r="AI1040" s="24">
        <v>0.0</v>
      </c>
      <c r="AJ1040" s="24">
        <v>1852960.98</v>
      </c>
      <c r="AK1040" s="24">
        <v>5939514.26</v>
      </c>
      <c r="AL1040" s="24">
        <v>2.0</v>
      </c>
      <c r="AM1040" s="24">
        <v>416.67</v>
      </c>
      <c r="AN1040" s="24">
        <v>0.0</v>
      </c>
      <c r="AO1040" s="25" t="s">
        <v>62</v>
      </c>
      <c r="AP1040" s="25" t="s">
        <v>62</v>
      </c>
      <c r="AQ1040" s="25" t="s">
        <v>62</v>
      </c>
      <c r="AR1040" s="25" t="s">
        <v>62</v>
      </c>
      <c r="AS1040" s="11" t="str">
        <f>VLOOKUP(C1040,'mayo-26'!B:AS,44,0)</f>
        <v>CARLOS.FONSECA@JERONIMO-MARTINS.COM</v>
      </c>
      <c r="AT1040" s="12" t="str">
        <f>VLOOKUP(C1040,'mayo-26'!B:AT,45,0)</f>
        <v>CORREO ELECTRONICO CERTIFICADO 472</v>
      </c>
    </row>
    <row r="1041" ht="14.25" customHeight="1">
      <c r="A1041" s="15" t="s">
        <v>2130</v>
      </c>
      <c r="B1041" s="23">
        <v>285191.0</v>
      </c>
      <c r="C1041" s="23">
        <v>461780.0</v>
      </c>
      <c r="D1041" s="23">
        <v>490746.0</v>
      </c>
      <c r="E1041" s="23">
        <v>1092456.0</v>
      </c>
      <c r="F1041" s="23">
        <v>1092456.0</v>
      </c>
      <c r="G1041" s="24">
        <v>9.00276962E8</v>
      </c>
      <c r="H1041" s="25" t="s">
        <v>128</v>
      </c>
      <c r="I1041" s="1" t="str">
        <f>VLOOKUP(C1041,'mayo-26'!B:H,7,0)</f>
        <v>KDX 73-2 1116</v>
      </c>
      <c r="J1041" s="1" t="str">
        <f>VLOOKUP(C1041,'mayo-26'!B:I,8,0)</f>
        <v>ANILLO VIAL</v>
      </c>
      <c r="K1041" s="10" t="str">
        <f>VLOOKUP(C1041,'mayo-26'!B:J,9,0)</f>
        <v>NO</v>
      </c>
      <c r="L1041" s="1" t="str">
        <f>VLOOKUP(C1041,'mayo-26'!B:K,10,0)</f>
        <v>D1</v>
      </c>
      <c r="M1041" s="18" t="s">
        <v>2087</v>
      </c>
      <c r="N1041" s="18" t="s">
        <v>2088</v>
      </c>
      <c r="O1041" s="25" t="s">
        <v>2089</v>
      </c>
      <c r="P1041" s="18" t="s">
        <v>126</v>
      </c>
      <c r="Q1041" s="25" t="s">
        <v>131</v>
      </c>
      <c r="R1041" s="25" t="s">
        <v>132</v>
      </c>
      <c r="S1041" s="25" t="s">
        <v>133</v>
      </c>
      <c r="T1041" s="25" t="s">
        <v>59</v>
      </c>
      <c r="U1041" s="24">
        <v>2026.0</v>
      </c>
      <c r="V1041" s="24">
        <v>6.0</v>
      </c>
      <c r="W1041" s="24">
        <v>1.081874876E9</v>
      </c>
      <c r="X1041" s="24">
        <v>1.081893348E9</v>
      </c>
      <c r="Y1041" s="25" t="s">
        <v>60</v>
      </c>
      <c r="Z1041" s="25" t="s">
        <v>61</v>
      </c>
      <c r="AA1041" s="24">
        <v>88271.96</v>
      </c>
      <c r="AB1041" s="24">
        <v>88271.96</v>
      </c>
      <c r="AC1041" s="26">
        <v>29103.5</v>
      </c>
      <c r="AD1041" s="26">
        <v>0.0</v>
      </c>
      <c r="AE1041" s="24">
        <v>961.46</v>
      </c>
      <c r="AF1041" s="24">
        <v>0.0</v>
      </c>
      <c r="AG1041" s="24">
        <v>0.0</v>
      </c>
      <c r="AH1041" s="24">
        <v>0.0</v>
      </c>
      <c r="AI1041" s="24">
        <v>0.0</v>
      </c>
      <c r="AJ1041" s="24">
        <v>88271.96</v>
      </c>
      <c r="AK1041" s="24">
        <v>186357.01</v>
      </c>
      <c r="AL1041" s="24">
        <v>2.0</v>
      </c>
      <c r="AM1041" s="24">
        <v>416.67</v>
      </c>
      <c r="AN1041" s="24">
        <v>0.0</v>
      </c>
      <c r="AO1041" s="25" t="s">
        <v>62</v>
      </c>
      <c r="AP1041" s="25" t="s">
        <v>62</v>
      </c>
      <c r="AQ1041" s="25" t="s">
        <v>62</v>
      </c>
      <c r="AR1041" s="25" t="s">
        <v>62</v>
      </c>
      <c r="AS1041" s="11" t="str">
        <f>VLOOKUP(C1041,'mayo-26'!B:AS,44,0)</f>
        <v>ALBA.CELIS@D1.COM.CO;CARMEN.DAVILA@D1.COM.CO</v>
      </c>
      <c r="AT1041" s="12" t="str">
        <f>VLOOKUP(C1041,'mayo-26'!B:AT,45,0)</f>
        <v>CORREO ELECTRONICO CERTIFICADO 472</v>
      </c>
    </row>
    <row r="1042" ht="14.25" customHeight="1">
      <c r="A1042" s="15" t="s">
        <v>2131</v>
      </c>
      <c r="B1042" s="23">
        <v>587567.0</v>
      </c>
      <c r="C1042" s="23">
        <v>495824.0</v>
      </c>
      <c r="D1042" s="23">
        <v>546119.0</v>
      </c>
      <c r="E1042" s="23">
        <v>1125343.0</v>
      </c>
      <c r="F1042" s="23">
        <v>1125343.0</v>
      </c>
      <c r="G1042" s="24">
        <v>1125343.0</v>
      </c>
      <c r="H1042" s="25" t="s">
        <v>2132</v>
      </c>
      <c r="I1042" s="1" t="str">
        <f>VLOOKUP(C1042,'mayo-26'!B:H,7,0)</f>
        <v>NOA MNZ A SIERRAS DEL ESTE</v>
      </c>
      <c r="J1042" s="1" t="str">
        <f>VLOOKUP(C1042,'mayo-26'!B:I,8,0)</f>
        <v>LA CORDIALIDAD</v>
      </c>
      <c r="K1042" s="10" t="str">
        <f>VLOOKUP(C1042,'mayo-26'!B:J,9,0)</f>
        <v>NO</v>
      </c>
      <c r="L1042" s="1" t="str">
        <f>VLOOKUP(C1042,'mayo-26'!B:K,10,0)</f>
        <v>D1</v>
      </c>
      <c r="M1042" s="18" t="s">
        <v>2087</v>
      </c>
      <c r="N1042" s="18" t="s">
        <v>2091</v>
      </c>
      <c r="O1042" s="25" t="s">
        <v>2089</v>
      </c>
      <c r="P1042" s="18" t="s">
        <v>126</v>
      </c>
      <c r="Q1042" s="25" t="s">
        <v>131</v>
      </c>
      <c r="R1042" s="25" t="s">
        <v>132</v>
      </c>
      <c r="S1042" s="25" t="s">
        <v>133</v>
      </c>
      <c r="T1042" s="25" t="s">
        <v>59</v>
      </c>
      <c r="U1042" s="24">
        <v>2026.0</v>
      </c>
      <c r="V1042" s="24">
        <v>6.0</v>
      </c>
      <c r="W1042" s="24">
        <v>1.081874879E9</v>
      </c>
      <c r="X1042" s="24">
        <v>1.081893351E9</v>
      </c>
      <c r="Y1042" s="25" t="s">
        <v>60</v>
      </c>
      <c r="Z1042" s="25" t="s">
        <v>61</v>
      </c>
      <c r="AA1042" s="24">
        <v>89416.5</v>
      </c>
      <c r="AB1042" s="24">
        <v>89416.5</v>
      </c>
      <c r="AC1042" s="26">
        <v>29805.5</v>
      </c>
      <c r="AD1042" s="26">
        <v>0.0</v>
      </c>
      <c r="AE1042" s="24">
        <v>0.0</v>
      </c>
      <c r="AF1042" s="24">
        <v>0.0</v>
      </c>
      <c r="AG1042" s="24">
        <v>0.0</v>
      </c>
      <c r="AH1042" s="24">
        <v>0.0</v>
      </c>
      <c r="AI1042" s="24">
        <v>0.0</v>
      </c>
      <c r="AJ1042" s="24">
        <v>89416.5</v>
      </c>
      <c r="AK1042" s="24">
        <v>278202.0</v>
      </c>
      <c r="AL1042" s="24">
        <v>1.0</v>
      </c>
      <c r="AM1042" s="24">
        <v>6858.0</v>
      </c>
      <c r="AN1042" s="24">
        <v>0.0</v>
      </c>
      <c r="AO1042" s="25" t="s">
        <v>62</v>
      </c>
      <c r="AP1042" s="25" t="s">
        <v>62</v>
      </c>
      <c r="AQ1042" s="25" t="s">
        <v>62</v>
      </c>
      <c r="AR1042" s="25" t="s">
        <v>62</v>
      </c>
      <c r="AS1042" s="11" t="str">
        <f>VLOOKUP(C1042,'mayo-26'!B:AS,44,0)</f>
        <v>ALBA.CELIS@D1.COM.CO;CARMEN.DAVILA@D1.COM.CO</v>
      </c>
      <c r="AT1042" s="12" t="str">
        <f>VLOOKUP(C1042,'mayo-26'!B:AT,45,0)</f>
        <v>CORREO ELECTRONICO CERTIFICADO 472</v>
      </c>
    </row>
    <row r="1043" ht="14.25" customHeight="1">
      <c r="A1043" s="15" t="s">
        <v>2133</v>
      </c>
      <c r="B1043" s="23">
        <v>66293.0</v>
      </c>
      <c r="C1043" s="23">
        <v>66292.0</v>
      </c>
      <c r="D1043" s="23">
        <v>66292.0</v>
      </c>
      <c r="E1043" s="23">
        <v>328144.0</v>
      </c>
      <c r="F1043" s="23">
        <v>328144.0</v>
      </c>
      <c r="G1043" s="24">
        <v>328144.0</v>
      </c>
      <c r="H1043" s="25" t="s">
        <v>2134</v>
      </c>
      <c r="I1043" s="1" t="str">
        <f>VLOOKUP(C1043,'mayo-26'!B:H,7,0)</f>
        <v>ANILLO VIAL 19 - 50</v>
      </c>
      <c r="J1043" s="1" t="str">
        <f>VLOOKUP(C1043,'mayo-26'!B:I,8,0)</f>
        <v>TASAJERO</v>
      </c>
      <c r="K1043" s="10" t="str">
        <f>VLOOKUP(C1043,'mayo-26'!B:J,9,0)</f>
        <v>PATIOS</v>
      </c>
      <c r="L1043" s="1" t="str">
        <f>VLOOKUP(C1043,'mayo-26'!B:K,10,0)</f>
        <v>NO</v>
      </c>
      <c r="M1043" s="18" t="s">
        <v>2087</v>
      </c>
      <c r="N1043" s="18" t="s">
        <v>2088</v>
      </c>
      <c r="O1043" s="25" t="s">
        <v>2089</v>
      </c>
      <c r="P1043" s="18" t="s">
        <v>126</v>
      </c>
      <c r="Q1043" s="25" t="s">
        <v>56</v>
      </c>
      <c r="R1043" s="25" t="s">
        <v>90</v>
      </c>
      <c r="S1043" s="25" t="s">
        <v>143</v>
      </c>
      <c r="T1043" s="25" t="s">
        <v>59</v>
      </c>
      <c r="U1043" s="24">
        <v>2026.0</v>
      </c>
      <c r="V1043" s="24">
        <v>6.0</v>
      </c>
      <c r="W1043" s="24">
        <v>1.08187486E9</v>
      </c>
      <c r="X1043" s="24">
        <v>1.081893332E9</v>
      </c>
      <c r="Y1043" s="25" t="s">
        <v>60</v>
      </c>
      <c r="Z1043" s="25" t="s">
        <v>61</v>
      </c>
      <c r="AA1043" s="24">
        <v>597946.8</v>
      </c>
      <c r="AB1043" s="24">
        <v>597946.8</v>
      </c>
      <c r="AC1043" s="26">
        <v>111593.85</v>
      </c>
      <c r="AD1043" s="26">
        <v>1050.0</v>
      </c>
      <c r="AE1043" s="24">
        <v>263165.25</v>
      </c>
      <c r="AF1043" s="24">
        <v>0.0</v>
      </c>
      <c r="AG1043" s="24">
        <v>0.0</v>
      </c>
      <c r="AH1043" s="24">
        <v>0.0</v>
      </c>
      <c r="AI1043" s="24">
        <v>0.0</v>
      </c>
      <c r="AJ1043" s="24">
        <v>597946.8</v>
      </c>
      <c r="AK1043" s="24">
        <v>1.869539432E7</v>
      </c>
      <c r="AL1043" s="24">
        <v>47.0</v>
      </c>
      <c r="AM1043" s="24">
        <v>416.67</v>
      </c>
      <c r="AN1043" s="24">
        <v>0.0</v>
      </c>
      <c r="AO1043" s="25" t="s">
        <v>62</v>
      </c>
      <c r="AP1043" s="25" t="s">
        <v>62</v>
      </c>
      <c r="AQ1043" s="25" t="s">
        <v>62</v>
      </c>
      <c r="AR1043" s="25" t="s">
        <v>62</v>
      </c>
      <c r="AS1043" s="11" t="str">
        <f>VLOOKUP(C1043,'mayo-26'!B:AS,44,0)</f>
        <v>JORGECALDERON_28@HOTMAIL.COM</v>
      </c>
      <c r="AT1043" s="12" t="str">
        <f>VLOOKUP(C1043,'mayo-26'!B:AT,45,0)</f>
        <v>VERIFICADOR</v>
      </c>
    </row>
    <row r="1044" ht="14.25" customHeight="1">
      <c r="A1044" s="15" t="s">
        <v>2135</v>
      </c>
      <c r="B1044" s="23">
        <v>699.0</v>
      </c>
      <c r="C1044" s="23">
        <v>67296.0</v>
      </c>
      <c r="D1044" s="23">
        <v>67296.0</v>
      </c>
      <c r="E1044" s="23">
        <v>78087.0</v>
      </c>
      <c r="F1044" s="23">
        <v>78087.0</v>
      </c>
      <c r="G1044" s="24">
        <v>9.00480569E8</v>
      </c>
      <c r="H1044" s="25" t="s">
        <v>141</v>
      </c>
      <c r="I1044" s="1" t="str">
        <f>VLOOKUP(C1044,'mayo-26'!B:H,7,0)</f>
        <v>CLL 12 4-52 CENTRO</v>
      </c>
      <c r="J1044" s="1" t="str">
        <f>VLOOKUP(C1044,'mayo-26'!B:I,8,0)</f>
        <v>11 DE NOVIEMBRE</v>
      </c>
      <c r="K1044" s="10" t="str">
        <f>VLOOKUP(C1044,'mayo-26'!B:J,9,0)</f>
        <v>NO</v>
      </c>
      <c r="L1044" s="1" t="str">
        <f>VLOOKUP(C1044,'mayo-26'!B:K,10,0)</f>
        <v>ARA PATIOS</v>
      </c>
      <c r="M1044" s="18" t="s">
        <v>2087</v>
      </c>
      <c r="N1044" s="18" t="s">
        <v>2091</v>
      </c>
      <c r="O1044" s="25" t="s">
        <v>2089</v>
      </c>
      <c r="P1044" s="18" t="s">
        <v>126</v>
      </c>
      <c r="Q1044" s="25" t="s">
        <v>56</v>
      </c>
      <c r="R1044" s="25" t="s">
        <v>90</v>
      </c>
      <c r="S1044" s="25" t="s">
        <v>143</v>
      </c>
      <c r="T1044" s="25" t="s">
        <v>59</v>
      </c>
      <c r="U1044" s="24">
        <v>2026.0</v>
      </c>
      <c r="V1044" s="24">
        <v>6.0</v>
      </c>
      <c r="W1044" s="24">
        <v>1.081874864E9</v>
      </c>
      <c r="X1044" s="24">
        <v>1.081893336E9</v>
      </c>
      <c r="Y1044" s="25" t="s">
        <v>60</v>
      </c>
      <c r="Z1044" s="25" t="s">
        <v>61</v>
      </c>
      <c r="AA1044" s="24">
        <v>732605.95</v>
      </c>
      <c r="AB1044" s="24">
        <v>732605.95</v>
      </c>
      <c r="AC1044" s="26">
        <v>241559.14</v>
      </c>
      <c r="AD1044" s="26">
        <v>2375.0</v>
      </c>
      <c r="AE1044" s="24">
        <v>7928.56</v>
      </c>
      <c r="AF1044" s="24">
        <v>0.0</v>
      </c>
      <c r="AG1044" s="24">
        <v>0.0</v>
      </c>
      <c r="AH1044" s="24">
        <v>0.0</v>
      </c>
      <c r="AI1044" s="24">
        <v>0.0</v>
      </c>
      <c r="AJ1044" s="24">
        <v>732605.95</v>
      </c>
      <c r="AK1044" s="24">
        <v>2180786.69</v>
      </c>
      <c r="AL1044" s="24">
        <v>3.0</v>
      </c>
      <c r="AM1044" s="24">
        <v>416.67</v>
      </c>
      <c r="AN1044" s="24">
        <v>0.0</v>
      </c>
      <c r="AO1044" s="25" t="s">
        <v>62</v>
      </c>
      <c r="AP1044" s="25" t="s">
        <v>62</v>
      </c>
      <c r="AQ1044" s="25" t="s">
        <v>62</v>
      </c>
      <c r="AR1044" s="25" t="s">
        <v>62</v>
      </c>
      <c r="AS1044" s="11" t="str">
        <f>VLOOKUP(C1044,'mayo-26'!B:AS,44,0)</f>
        <v>COORDINADOR.OPERACIONES.R11@JERONIMO-MARTINS.COM</v>
      </c>
      <c r="AT1044" s="12" t="str">
        <f>VLOOKUP(C1044,'mayo-26'!B:AT,45,0)</f>
        <v>CORREO ELECTRONICO CERTIFICADO 472</v>
      </c>
    </row>
    <row r="1045" ht="14.25" customHeight="1">
      <c r="A1045" s="15" t="s">
        <v>2136</v>
      </c>
      <c r="B1045" s="23">
        <v>285191.0</v>
      </c>
      <c r="C1045" s="23">
        <v>72672.0</v>
      </c>
      <c r="D1045" s="23">
        <v>72672.0</v>
      </c>
      <c r="E1045" s="23">
        <v>74864.0</v>
      </c>
      <c r="F1045" s="23">
        <v>74864.0</v>
      </c>
      <c r="G1045" s="24">
        <v>9.00276962E8</v>
      </c>
      <c r="H1045" s="25" t="s">
        <v>128</v>
      </c>
      <c r="I1045" s="1" t="str">
        <f>VLOOKUP(C1045,'mayo-26'!B:H,7,0)</f>
        <v>KDX 73-2 1116</v>
      </c>
      <c r="J1045" s="1" t="str">
        <f>VLOOKUP(C1045,'mayo-26'!B:I,8,0)</f>
        <v>PATIOS CENTRO</v>
      </c>
      <c r="K1045" s="10" t="str">
        <f>VLOOKUP(C1045,'mayo-26'!B:J,9,0)</f>
        <v>NO</v>
      </c>
      <c r="L1045" s="1" t="str">
        <f>VLOOKUP(C1045,'mayo-26'!B:K,10,0)</f>
        <v>D1</v>
      </c>
      <c r="M1045" s="18" t="s">
        <v>2087</v>
      </c>
      <c r="N1045" s="18" t="s">
        <v>2088</v>
      </c>
      <c r="O1045" s="25" t="s">
        <v>2089</v>
      </c>
      <c r="P1045" s="18" t="s">
        <v>126</v>
      </c>
      <c r="Q1045" s="25" t="s">
        <v>131</v>
      </c>
      <c r="R1045" s="25" t="s">
        <v>132</v>
      </c>
      <c r="S1045" s="25" t="s">
        <v>133</v>
      </c>
      <c r="T1045" s="25" t="s">
        <v>59</v>
      </c>
      <c r="U1045" s="24">
        <v>2026.0</v>
      </c>
      <c r="V1045" s="24">
        <v>6.0</v>
      </c>
      <c r="W1045" s="24">
        <v>1.081874867E9</v>
      </c>
      <c r="X1045" s="24">
        <v>1.081893339E9</v>
      </c>
      <c r="Y1045" s="25" t="s">
        <v>60</v>
      </c>
      <c r="Z1045" s="25" t="s">
        <v>61</v>
      </c>
      <c r="AA1045" s="24">
        <v>87310.5</v>
      </c>
      <c r="AB1045" s="24">
        <v>87310.5</v>
      </c>
      <c r="AC1045" s="26">
        <v>29103.5</v>
      </c>
      <c r="AD1045" s="26">
        <v>0.0</v>
      </c>
      <c r="AE1045" s="24">
        <v>0.0</v>
      </c>
      <c r="AF1045" s="24">
        <v>0.0</v>
      </c>
      <c r="AG1045" s="24">
        <v>0.0</v>
      </c>
      <c r="AH1045" s="24">
        <v>0.0</v>
      </c>
      <c r="AI1045" s="24">
        <v>0.0</v>
      </c>
      <c r="AJ1045" s="24">
        <v>87310.5</v>
      </c>
      <c r="AK1045" s="24">
        <v>87310.5</v>
      </c>
      <c r="AL1045" s="24">
        <v>0.0</v>
      </c>
      <c r="AM1045" s="24">
        <v>416.67</v>
      </c>
      <c r="AN1045" s="24">
        <v>0.0</v>
      </c>
      <c r="AO1045" s="25" t="s">
        <v>62</v>
      </c>
      <c r="AP1045" s="25" t="s">
        <v>62</v>
      </c>
      <c r="AQ1045" s="25" t="s">
        <v>62</v>
      </c>
      <c r="AR1045" s="25" t="s">
        <v>62</v>
      </c>
      <c r="AS1045" s="11" t="str">
        <f>VLOOKUP(C1045,'mayo-26'!B:AS,44,0)</f>
        <v>ALBA.CELIS@D1.COM.CO;CARMEN.DAVILA@D1.COM.CO</v>
      </c>
      <c r="AT1045" s="12" t="str">
        <f>VLOOKUP(C1045,'mayo-26'!B:AT,45,0)</f>
        <v>CORREO ELECTRONICO CERTIFICADO 472</v>
      </c>
    </row>
    <row r="1046" ht="14.25" customHeight="1">
      <c r="A1046" s="15" t="s">
        <v>2137</v>
      </c>
      <c r="B1046" s="23">
        <v>9.0</v>
      </c>
      <c r="C1046" s="23">
        <v>8.0</v>
      </c>
      <c r="D1046" s="23">
        <v>8.0</v>
      </c>
      <c r="E1046" s="23">
        <v>9.0300044E7</v>
      </c>
      <c r="F1046" s="23">
        <v>9.0300044E7</v>
      </c>
      <c r="G1046" s="24">
        <v>1.3451942E7</v>
      </c>
      <c r="H1046" s="25" t="s">
        <v>2086</v>
      </c>
      <c r="I1046" s="1" t="str">
        <f>VLOOKUP(C1046,'mayo-26'!B:H,7,0)</f>
        <v>AVE 9 # 54B-90 APTO 601</v>
      </c>
      <c r="J1046" s="1" t="str">
        <f>VLOOKUP(C1046,'mayo-26'!B:I,8,0)</f>
        <v>LA FLORESTA</v>
      </c>
      <c r="K1046" s="10" t="str">
        <f>VLOOKUP(C1046,'mayo-26'!B:J,9,0)</f>
        <v>EDIFICIO LA FONTANA</v>
      </c>
      <c r="L1046" s="1" t="str">
        <f>VLOOKUP(C1046,'mayo-26'!B:K,10,0)</f>
        <v>EDIFICIO LA FONTANA</v>
      </c>
      <c r="M1046" s="18" t="s">
        <v>2087</v>
      </c>
      <c r="N1046" s="18" t="s">
        <v>2088</v>
      </c>
      <c r="O1046" s="25" t="s">
        <v>2089</v>
      </c>
      <c r="P1046" s="18" t="s">
        <v>126</v>
      </c>
      <c r="Q1046" s="25" t="s">
        <v>218</v>
      </c>
      <c r="R1046" s="25" t="s">
        <v>943</v>
      </c>
      <c r="S1046" s="25" t="s">
        <v>133</v>
      </c>
      <c r="T1046" s="25" t="s">
        <v>59</v>
      </c>
      <c r="U1046" s="24">
        <v>2026.0</v>
      </c>
      <c r="V1046" s="24">
        <v>6.0</v>
      </c>
      <c r="W1046" s="24">
        <v>1.081874811E9</v>
      </c>
      <c r="X1046" s="24">
        <v>1.081893283E9</v>
      </c>
      <c r="Y1046" s="25" t="s">
        <v>60</v>
      </c>
      <c r="Z1046" s="25" t="s">
        <v>61</v>
      </c>
      <c r="AA1046" s="24">
        <v>127240.33</v>
      </c>
      <c r="AB1046" s="24">
        <v>127240.33</v>
      </c>
      <c r="AC1046" s="26">
        <v>18856.0</v>
      </c>
      <c r="AD1046" s="26">
        <v>0.0</v>
      </c>
      <c r="AE1046" s="24">
        <v>70672.33</v>
      </c>
      <c r="AF1046" s="24">
        <v>0.0</v>
      </c>
      <c r="AG1046" s="24">
        <v>0.0</v>
      </c>
      <c r="AH1046" s="24">
        <v>0.0</v>
      </c>
      <c r="AI1046" s="24">
        <v>0.0</v>
      </c>
      <c r="AJ1046" s="24">
        <v>127240.33</v>
      </c>
      <c r="AK1046" s="24">
        <v>6154177.05</v>
      </c>
      <c r="AL1046" s="24">
        <v>57.0</v>
      </c>
      <c r="AM1046" s="24">
        <v>416.67</v>
      </c>
      <c r="AN1046" s="24">
        <v>0.0</v>
      </c>
      <c r="AO1046" s="25" t="s">
        <v>62</v>
      </c>
      <c r="AP1046" s="25" t="s">
        <v>62</v>
      </c>
      <c r="AQ1046" s="25" t="s">
        <v>62</v>
      </c>
      <c r="AR1046" s="25" t="s">
        <v>62</v>
      </c>
      <c r="AS1046" s="11" t="str">
        <f>VLOOKUP(C1046,'mayo-26'!B:AS,44,0)</f>
        <v>TUTOREY12@HOTMAIL.COM</v>
      </c>
      <c r="AT1046" s="12" t="str">
        <f>VLOOKUP(C1046,'mayo-26'!B:AT,45,0)</f>
        <v>VERIFICADOR</v>
      </c>
    </row>
    <row r="1047" ht="14.25" customHeight="1">
      <c r="A1047" s="15" t="s">
        <v>2138</v>
      </c>
      <c r="B1047" s="23">
        <v>232.0</v>
      </c>
      <c r="C1047" s="23">
        <v>96.0</v>
      </c>
      <c r="D1047" s="23">
        <v>96.0</v>
      </c>
      <c r="E1047" s="23">
        <v>9.0316973E7</v>
      </c>
      <c r="F1047" s="23">
        <v>9.0316973E7</v>
      </c>
      <c r="G1047" s="24">
        <v>8.30122566E8</v>
      </c>
      <c r="H1047" s="25" t="s">
        <v>193</v>
      </c>
      <c r="I1047" s="1" t="str">
        <f>VLOOKUP(C1047,'mayo-26'!B:H,7,0)</f>
        <v>AV 0 N 10-61</v>
      </c>
      <c r="J1047" s="1" t="str">
        <f>VLOOKUP(C1047,'mayo-26'!B:I,8,0)</f>
        <v>SIN DETERMINAR</v>
      </c>
      <c r="K1047" s="10" t="str">
        <f>VLOOKUP(C1047,'mayo-26'!B:J,9,0)</f>
        <v>NO</v>
      </c>
      <c r="L1047" s="1" t="str">
        <f>VLOOKUP(C1047,'mayo-26'!B:K,10,0)</f>
        <v>MOVISTAR</v>
      </c>
      <c r="M1047" s="18" t="s">
        <v>2087</v>
      </c>
      <c r="N1047" s="18" t="s">
        <v>2091</v>
      </c>
      <c r="O1047" s="25" t="s">
        <v>2089</v>
      </c>
      <c r="P1047" s="18" t="s">
        <v>126</v>
      </c>
      <c r="Q1047" s="25" t="s">
        <v>131</v>
      </c>
      <c r="R1047" s="25" t="s">
        <v>363</v>
      </c>
      <c r="S1047" s="25" t="s">
        <v>133</v>
      </c>
      <c r="T1047" s="25" t="s">
        <v>59</v>
      </c>
      <c r="U1047" s="24">
        <v>2026.0</v>
      </c>
      <c r="V1047" s="24">
        <v>6.0</v>
      </c>
      <c r="W1047" s="24">
        <v>1.081874851E9</v>
      </c>
      <c r="X1047" s="24">
        <v>1.081893323E9</v>
      </c>
      <c r="Y1047" s="25" t="s">
        <v>60</v>
      </c>
      <c r="Z1047" s="25" t="s">
        <v>61</v>
      </c>
      <c r="AA1047" s="24">
        <v>51588.81</v>
      </c>
      <c r="AB1047" s="24">
        <v>51588.81</v>
      </c>
      <c r="AC1047" s="26">
        <v>17008.0</v>
      </c>
      <c r="AD1047" s="26">
        <v>0.0</v>
      </c>
      <c r="AE1047" s="24">
        <v>564.81</v>
      </c>
      <c r="AF1047" s="24">
        <v>0.0</v>
      </c>
      <c r="AG1047" s="24">
        <v>0.0</v>
      </c>
      <c r="AH1047" s="24">
        <v>0.0</v>
      </c>
      <c r="AI1047" s="24">
        <v>0.0</v>
      </c>
      <c r="AJ1047" s="24">
        <v>51588.81</v>
      </c>
      <c r="AK1047" s="24">
        <v>153120.18</v>
      </c>
      <c r="AL1047" s="24">
        <v>2.0</v>
      </c>
      <c r="AM1047" s="24">
        <v>416.67</v>
      </c>
      <c r="AN1047" s="24">
        <v>0.0</v>
      </c>
      <c r="AO1047" s="25" t="s">
        <v>62</v>
      </c>
      <c r="AP1047" s="25" t="s">
        <v>62</v>
      </c>
      <c r="AQ1047" s="25" t="s">
        <v>62</v>
      </c>
      <c r="AR1047" s="25" t="s">
        <v>62</v>
      </c>
      <c r="AS1047" s="11" t="str">
        <f>VLOOKUP(C1047,'mayo-26'!B:AS,44,0)</f>
        <v>SERVICIOSPUBLICOS.TC@TELEFONICA.COM; D.CRUZ02@TELEFONICA.COM</v>
      </c>
      <c r="AT1047" s="12" t="str">
        <f>VLOOKUP(C1047,'mayo-26'!B:AT,45,0)</f>
        <v>CORREO ELECTRONICO CERTIFICADO 472</v>
      </c>
    </row>
    <row r="1048" ht="14.25" customHeight="1">
      <c r="A1048" s="15" t="s">
        <v>2139</v>
      </c>
      <c r="B1048" s="23">
        <v>2.0</v>
      </c>
      <c r="C1048" s="23">
        <v>1.0</v>
      </c>
      <c r="D1048" s="23">
        <v>1.0</v>
      </c>
      <c r="E1048" s="23">
        <v>9.0300063E7</v>
      </c>
      <c r="F1048" s="23">
        <v>9.0300063E7</v>
      </c>
      <c r="G1048" s="24">
        <v>9.0300063E7</v>
      </c>
      <c r="H1048" s="25" t="s">
        <v>2097</v>
      </c>
      <c r="I1048" s="1" t="str">
        <f>VLOOKUP(C1048,'mayo-26'!B:H,7,0)</f>
        <v>AV.9 #54B-185 APTO.301</v>
      </c>
      <c r="J1048" s="1" t="str">
        <f>VLOOKUP(C1048,'mayo-26'!B:I,8,0)</f>
        <v>LA FLORESTA</v>
      </c>
      <c r="K1048" s="10" t="str">
        <f>VLOOKUP(C1048,'mayo-26'!B:J,9,0)</f>
        <v>NO</v>
      </c>
      <c r="L1048" s="1" t="str">
        <f>VLOOKUP(C1048,'mayo-26'!B:K,10,0)</f>
        <v>CONST MIRADOR DE LA FLORESTA</v>
      </c>
      <c r="M1048" s="18" t="s">
        <v>2087</v>
      </c>
      <c r="N1048" s="18" t="s">
        <v>2088</v>
      </c>
      <c r="O1048" s="25" t="s">
        <v>2089</v>
      </c>
      <c r="P1048" s="18" t="s">
        <v>126</v>
      </c>
      <c r="Q1048" s="25" t="s">
        <v>218</v>
      </c>
      <c r="R1048" s="25" t="s">
        <v>943</v>
      </c>
      <c r="S1048" s="25" t="s">
        <v>133</v>
      </c>
      <c r="T1048" s="25" t="s">
        <v>59</v>
      </c>
      <c r="U1048" s="24">
        <v>2026.0</v>
      </c>
      <c r="V1048" s="24">
        <v>6.0</v>
      </c>
      <c r="W1048" s="24">
        <v>1.081874806E9</v>
      </c>
      <c r="X1048" s="24">
        <v>1.081893279E9</v>
      </c>
      <c r="Y1048" s="25" t="s">
        <v>60</v>
      </c>
      <c r="Z1048" s="25" t="s">
        <v>61</v>
      </c>
      <c r="AA1048" s="24">
        <v>57193.42</v>
      </c>
      <c r="AB1048" s="24">
        <v>57193.42</v>
      </c>
      <c r="AC1048" s="26">
        <v>18856.0</v>
      </c>
      <c r="AD1048" s="26">
        <v>0.0</v>
      </c>
      <c r="AE1048" s="24">
        <v>625.42</v>
      </c>
      <c r="AF1048" s="24">
        <v>0.0</v>
      </c>
      <c r="AG1048" s="24">
        <v>0.0</v>
      </c>
      <c r="AH1048" s="24">
        <v>0.0</v>
      </c>
      <c r="AI1048" s="24">
        <v>0.0</v>
      </c>
      <c r="AJ1048" s="24">
        <v>57193.42</v>
      </c>
      <c r="AK1048" s="24">
        <v>170750.73</v>
      </c>
      <c r="AL1048" s="24">
        <v>2.0</v>
      </c>
      <c r="AM1048" s="24">
        <v>416.67</v>
      </c>
      <c r="AN1048" s="24">
        <v>0.0</v>
      </c>
      <c r="AO1048" s="25" t="s">
        <v>62</v>
      </c>
      <c r="AP1048" s="25" t="s">
        <v>62</v>
      </c>
      <c r="AQ1048" s="25" t="s">
        <v>62</v>
      </c>
      <c r="AR1048" s="25" t="s">
        <v>62</v>
      </c>
      <c r="AS1048" s="11" t="str">
        <f>VLOOKUP(C1048,'mayo-26'!B:AS,44,0)</f>
        <v/>
      </c>
      <c r="AT1048" s="12" t="str">
        <f>VLOOKUP(C1048,'mayo-26'!B:AT,45,0)</f>
        <v>VERIFICADOR</v>
      </c>
    </row>
    <row r="1049" ht="14.25" customHeight="1">
      <c r="A1049" s="15" t="s">
        <v>2140</v>
      </c>
      <c r="B1049" s="23">
        <v>102.0</v>
      </c>
      <c r="C1049" s="23">
        <v>101.0</v>
      </c>
      <c r="D1049" s="23">
        <v>101.0</v>
      </c>
      <c r="E1049" s="23">
        <v>9.032293E7</v>
      </c>
      <c r="F1049" s="23">
        <v>9.032293E7</v>
      </c>
      <c r="G1049" s="25" t="s">
        <v>2141</v>
      </c>
      <c r="H1049" s="25" t="s">
        <v>2142</v>
      </c>
      <c r="I1049" s="1" t="str">
        <f>VLOOKUP(C1049,'mayo-26'!B:H,7,0)</f>
        <v>AV 10 14-62</v>
      </c>
      <c r="J1049" s="1" t="str">
        <f>VLOOKUP(C1049,'mayo-26'!B:I,8,0)</f>
        <v>PIZARREAL</v>
      </c>
      <c r="K1049" s="10" t="str">
        <f>VLOOKUP(C1049,'mayo-26'!B:J,9,0)</f>
        <v>PATIOS</v>
      </c>
      <c r="L1049" s="1" t="str">
        <f>VLOOKUP(C1049,'mayo-26'!B:K,10,0)</f>
        <v>NO</v>
      </c>
      <c r="M1049" s="18" t="s">
        <v>2087</v>
      </c>
      <c r="N1049" s="18" t="s">
        <v>2088</v>
      </c>
      <c r="O1049" s="25" t="s">
        <v>2089</v>
      </c>
      <c r="P1049" s="18" t="s">
        <v>126</v>
      </c>
      <c r="Q1049" s="25" t="s">
        <v>56</v>
      </c>
      <c r="R1049" s="25" t="s">
        <v>90</v>
      </c>
      <c r="S1049" s="25" t="s">
        <v>143</v>
      </c>
      <c r="T1049" s="25" t="s">
        <v>59</v>
      </c>
      <c r="U1049" s="24">
        <v>2026.0</v>
      </c>
      <c r="V1049" s="24">
        <v>6.0</v>
      </c>
      <c r="W1049" s="24">
        <v>1.081874854E9</v>
      </c>
      <c r="X1049" s="24">
        <v>1.081893326E9</v>
      </c>
      <c r="Y1049" s="25" t="s">
        <v>60</v>
      </c>
      <c r="Z1049" s="25" t="s">
        <v>61</v>
      </c>
      <c r="AA1049" s="24">
        <v>1644243.0</v>
      </c>
      <c r="AB1049" s="24">
        <v>1644243.0</v>
      </c>
      <c r="AC1049" s="26">
        <v>548081.0</v>
      </c>
      <c r="AD1049" s="26">
        <v>5500.0</v>
      </c>
      <c r="AE1049" s="24">
        <v>0.0</v>
      </c>
      <c r="AF1049" s="24">
        <v>0.0</v>
      </c>
      <c r="AG1049" s="24">
        <v>0.0</v>
      </c>
      <c r="AH1049" s="24">
        <v>0.0</v>
      </c>
      <c r="AI1049" s="24">
        <v>0.0</v>
      </c>
      <c r="AJ1049" s="24">
        <v>1644243.0</v>
      </c>
      <c r="AK1049" s="24">
        <v>1651773.0</v>
      </c>
      <c r="AL1049" s="24">
        <v>1.0</v>
      </c>
      <c r="AM1049" s="24">
        <v>416.67</v>
      </c>
      <c r="AN1049" s="24">
        <v>0.0</v>
      </c>
      <c r="AO1049" s="25" t="s">
        <v>62</v>
      </c>
      <c r="AP1049" s="25" t="s">
        <v>62</v>
      </c>
      <c r="AQ1049" s="25" t="s">
        <v>62</v>
      </c>
      <c r="AR1049" s="25" t="s">
        <v>62</v>
      </c>
      <c r="AS1049" s="11" t="str">
        <f>VLOOKUP(C1049,'mayo-26'!B:AS,44,0)</f>
        <v>JMDELNORTESAS@GMAIL.COM</v>
      </c>
      <c r="AT1049" s="12" t="str">
        <f>VLOOKUP(C1049,'mayo-26'!B:AT,45,0)</f>
        <v>VERIFICADOR</v>
      </c>
    </row>
    <row r="1050" ht="14.25" customHeight="1">
      <c r="A1050" s="15" t="s">
        <v>2143</v>
      </c>
      <c r="B1050" s="23">
        <v>285191.0</v>
      </c>
      <c r="C1050" s="23">
        <v>129745.0</v>
      </c>
      <c r="D1050" s="23">
        <v>129745.0</v>
      </c>
      <c r="E1050" s="23">
        <v>564115.0</v>
      </c>
      <c r="F1050" s="23">
        <v>564115.0</v>
      </c>
      <c r="G1050" s="24">
        <v>9.00276962E8</v>
      </c>
      <c r="H1050" s="25" t="s">
        <v>128</v>
      </c>
      <c r="I1050" s="1" t="str">
        <f>VLOOKUP(C1050,'mayo-26'!B:H,7,0)</f>
        <v>KDX 73-2 1116</v>
      </c>
      <c r="J1050" s="1" t="str">
        <f>VLOOKUP(C1050,'mayo-26'!B:I,8,0)</f>
        <v>PINAR DEL RIO</v>
      </c>
      <c r="K1050" s="10" t="str">
        <f>VLOOKUP(C1050,'mayo-26'!B:J,9,0)</f>
        <v>NO</v>
      </c>
      <c r="L1050" s="1" t="str">
        <f>VLOOKUP(C1050,'mayo-26'!B:K,10,0)</f>
        <v>D1</v>
      </c>
      <c r="M1050" s="18" t="s">
        <v>2087</v>
      </c>
      <c r="N1050" s="18" t="s">
        <v>2088</v>
      </c>
      <c r="O1050" s="25" t="s">
        <v>2089</v>
      </c>
      <c r="P1050" s="18" t="s">
        <v>126</v>
      </c>
      <c r="Q1050" s="25" t="s">
        <v>131</v>
      </c>
      <c r="R1050" s="25" t="s">
        <v>132</v>
      </c>
      <c r="S1050" s="25" t="s">
        <v>133</v>
      </c>
      <c r="T1050" s="25" t="s">
        <v>59</v>
      </c>
      <c r="U1050" s="24">
        <v>2026.0</v>
      </c>
      <c r="V1050" s="24">
        <v>6.0</v>
      </c>
      <c r="W1050" s="24">
        <v>1.081874871E9</v>
      </c>
      <c r="X1050" s="24">
        <v>1.081893343E9</v>
      </c>
      <c r="Y1050" s="25" t="s">
        <v>60</v>
      </c>
      <c r="Z1050" s="25" t="s">
        <v>61</v>
      </c>
      <c r="AA1050" s="24">
        <v>87310.5</v>
      </c>
      <c r="AB1050" s="24">
        <v>87310.5</v>
      </c>
      <c r="AC1050" s="26">
        <v>29103.5</v>
      </c>
      <c r="AD1050" s="26">
        <v>0.0</v>
      </c>
      <c r="AE1050" s="24">
        <v>0.0</v>
      </c>
      <c r="AF1050" s="24">
        <v>0.0</v>
      </c>
      <c r="AG1050" s="24">
        <v>0.0</v>
      </c>
      <c r="AH1050" s="24">
        <v>0.0</v>
      </c>
      <c r="AI1050" s="24">
        <v>0.0</v>
      </c>
      <c r="AJ1050" s="24">
        <v>87310.5</v>
      </c>
      <c r="AK1050" s="24">
        <v>87310.5</v>
      </c>
      <c r="AL1050" s="24">
        <v>0.0</v>
      </c>
      <c r="AM1050" s="24">
        <v>416.67</v>
      </c>
      <c r="AN1050" s="24">
        <v>0.0</v>
      </c>
      <c r="AO1050" s="25" t="s">
        <v>62</v>
      </c>
      <c r="AP1050" s="25" t="s">
        <v>62</v>
      </c>
      <c r="AQ1050" s="25" t="s">
        <v>62</v>
      </c>
      <c r="AR1050" s="25" t="s">
        <v>62</v>
      </c>
      <c r="AS1050" s="11" t="str">
        <f>VLOOKUP(C1050,'mayo-26'!B:AS,44,0)</f>
        <v>ALBA.CELIS@D1.COM.CO;CARMEN.DAVILA@D1.COM.CO</v>
      </c>
      <c r="AT1050" s="12" t="str">
        <f>VLOOKUP(C1050,'mayo-26'!B:AT,45,0)</f>
        <v>CORREO ELECTRONICO CERTIFICADO 472</v>
      </c>
    </row>
    <row r="1051" ht="14.25" customHeight="1">
      <c r="A1051" s="15" t="s">
        <v>2144</v>
      </c>
      <c r="B1051" s="23">
        <v>14.0</v>
      </c>
      <c r="C1051" s="23">
        <v>13.0</v>
      </c>
      <c r="D1051" s="23">
        <v>13.0</v>
      </c>
      <c r="E1051" s="23">
        <v>9.0300049E7</v>
      </c>
      <c r="F1051" s="23">
        <v>9.0300049E7</v>
      </c>
      <c r="G1051" s="24">
        <v>9.0300049E7</v>
      </c>
      <c r="H1051" s="25" t="s">
        <v>2086</v>
      </c>
      <c r="I1051" s="1" t="str">
        <f>VLOOKUP(C1051,'mayo-26'!B:H,7,0)</f>
        <v>AV.9 # 54B-90 APTO.402</v>
      </c>
      <c r="J1051" s="1" t="str">
        <f>VLOOKUP(C1051,'mayo-26'!B:I,8,0)</f>
        <v>LA FLORESTA</v>
      </c>
      <c r="K1051" s="10" t="str">
        <f>VLOOKUP(C1051,'mayo-26'!B:J,9,0)</f>
        <v>EDIFICIO LA FONTANA</v>
      </c>
      <c r="L1051" s="1" t="str">
        <f>VLOOKUP(C1051,'mayo-26'!B:K,10,0)</f>
        <v>EDIFICIO LA FONTANA</v>
      </c>
      <c r="M1051" s="18" t="s">
        <v>2087</v>
      </c>
      <c r="N1051" s="18" t="s">
        <v>2088</v>
      </c>
      <c r="O1051" s="25" t="s">
        <v>2089</v>
      </c>
      <c r="P1051" s="18" t="s">
        <v>126</v>
      </c>
      <c r="Q1051" s="25" t="s">
        <v>218</v>
      </c>
      <c r="R1051" s="25" t="s">
        <v>943</v>
      </c>
      <c r="S1051" s="25" t="s">
        <v>133</v>
      </c>
      <c r="T1051" s="25" t="s">
        <v>59</v>
      </c>
      <c r="U1051" s="24">
        <v>2026.0</v>
      </c>
      <c r="V1051" s="24">
        <v>6.0</v>
      </c>
      <c r="W1051" s="24">
        <v>1.081874818E9</v>
      </c>
      <c r="X1051" s="24">
        <v>1.08189329E9</v>
      </c>
      <c r="Y1051" s="25" t="s">
        <v>60</v>
      </c>
      <c r="Z1051" s="25" t="s">
        <v>61</v>
      </c>
      <c r="AA1051" s="24">
        <v>56568.0</v>
      </c>
      <c r="AB1051" s="24">
        <v>56568.0</v>
      </c>
      <c r="AC1051" s="26">
        <v>18856.0</v>
      </c>
      <c r="AD1051" s="26">
        <v>0.0</v>
      </c>
      <c r="AE1051" s="24">
        <v>0.0</v>
      </c>
      <c r="AF1051" s="24">
        <v>0.0</v>
      </c>
      <c r="AG1051" s="24">
        <v>0.0</v>
      </c>
      <c r="AH1051" s="24">
        <v>0.0</v>
      </c>
      <c r="AI1051" s="24">
        <v>0.0</v>
      </c>
      <c r="AJ1051" s="24">
        <v>56568.0</v>
      </c>
      <c r="AK1051" s="24">
        <v>56568.0</v>
      </c>
      <c r="AL1051" s="24">
        <v>0.0</v>
      </c>
      <c r="AM1051" s="24">
        <v>416.67</v>
      </c>
      <c r="AN1051" s="24">
        <v>0.0</v>
      </c>
      <c r="AO1051" s="25" t="s">
        <v>62</v>
      </c>
      <c r="AP1051" s="25" t="s">
        <v>62</v>
      </c>
      <c r="AQ1051" s="25" t="s">
        <v>62</v>
      </c>
      <c r="AR1051" s="25" t="s">
        <v>62</v>
      </c>
      <c r="AS1051" s="11" t="str">
        <f>VLOOKUP(C1051,'mayo-26'!B:AS,44,0)</f>
        <v>ASESOR2@INMOBILIARIALAFONTANA.COM</v>
      </c>
      <c r="AT1051" s="12" t="str">
        <f>VLOOKUP(C1051,'mayo-26'!B:AT,45,0)</f>
        <v>VERIFICADOR</v>
      </c>
    </row>
    <row r="1052" ht="14.25" customHeight="1">
      <c r="A1052" s="15" t="s">
        <v>2145</v>
      </c>
      <c r="B1052" s="23">
        <v>18.0</v>
      </c>
      <c r="C1052" s="23">
        <v>17.0</v>
      </c>
      <c r="D1052" s="23">
        <v>17.0</v>
      </c>
      <c r="E1052" s="23">
        <v>9.0300053E7</v>
      </c>
      <c r="F1052" s="23">
        <v>9.0300053E7</v>
      </c>
      <c r="G1052" s="24">
        <v>9.0300053E7</v>
      </c>
      <c r="H1052" s="25" t="s">
        <v>2094</v>
      </c>
      <c r="I1052" s="1" t="str">
        <f>VLOOKUP(C1052,'mayo-26'!B:H,7,0)</f>
        <v>AVE # 54B-38 APTO 301</v>
      </c>
      <c r="J1052" s="1" t="str">
        <f>VLOOKUP(C1052,'mayo-26'!B:I,8,0)</f>
        <v>LA FLORESTA</v>
      </c>
      <c r="K1052" s="10" t="str">
        <f>VLOOKUP(C1052,'mayo-26'!B:J,9,0)</f>
        <v>EDIFICIO LA FONTANA</v>
      </c>
      <c r="L1052" s="1" t="str">
        <f>VLOOKUP(C1052,'mayo-26'!B:K,10,0)</f>
        <v>EDIFICIO LA FONTANA</v>
      </c>
      <c r="M1052" s="18" t="s">
        <v>2087</v>
      </c>
      <c r="N1052" s="18" t="s">
        <v>2088</v>
      </c>
      <c r="O1052" s="25" t="s">
        <v>2089</v>
      </c>
      <c r="P1052" s="18" t="s">
        <v>126</v>
      </c>
      <c r="Q1052" s="25" t="s">
        <v>218</v>
      </c>
      <c r="R1052" s="25" t="s">
        <v>943</v>
      </c>
      <c r="S1052" s="25" t="s">
        <v>133</v>
      </c>
      <c r="T1052" s="25" t="s">
        <v>59</v>
      </c>
      <c r="U1052" s="24">
        <v>2026.0</v>
      </c>
      <c r="V1052" s="24">
        <v>6.0</v>
      </c>
      <c r="W1052" s="24">
        <v>1.081874821E9</v>
      </c>
      <c r="X1052" s="24">
        <v>1.081893293E9</v>
      </c>
      <c r="Y1052" s="25" t="s">
        <v>60</v>
      </c>
      <c r="Z1052" s="25" t="s">
        <v>61</v>
      </c>
      <c r="AA1052" s="24">
        <v>56972.69</v>
      </c>
      <c r="AB1052" s="24">
        <v>56972.69</v>
      </c>
      <c r="AC1052" s="26">
        <v>18856.0</v>
      </c>
      <c r="AD1052" s="26">
        <v>0.0</v>
      </c>
      <c r="AE1052" s="24">
        <v>404.69</v>
      </c>
      <c r="AF1052" s="24">
        <v>0.0</v>
      </c>
      <c r="AG1052" s="24">
        <v>0.0</v>
      </c>
      <c r="AH1052" s="24">
        <v>0.0</v>
      </c>
      <c r="AI1052" s="24">
        <v>0.0</v>
      </c>
      <c r="AJ1052" s="24">
        <v>56972.69</v>
      </c>
      <c r="AK1052" s="24">
        <v>56973.47</v>
      </c>
      <c r="AL1052" s="24">
        <v>1.0</v>
      </c>
      <c r="AM1052" s="24">
        <v>416.67</v>
      </c>
      <c r="AN1052" s="24">
        <v>0.0</v>
      </c>
      <c r="AO1052" s="25" t="s">
        <v>62</v>
      </c>
      <c r="AP1052" s="25" t="s">
        <v>62</v>
      </c>
      <c r="AQ1052" s="25" t="s">
        <v>62</v>
      </c>
      <c r="AR1052" s="25" t="s">
        <v>62</v>
      </c>
      <c r="AS1052" s="11" t="str">
        <f>VLOOKUP(C1052,'mayo-26'!B:AS,44,0)</f>
        <v/>
      </c>
      <c r="AT1052" s="12" t="str">
        <f>VLOOKUP(C1052,'mayo-26'!B:AT,45,0)</f>
        <v>VERIFICADOR</v>
      </c>
    </row>
    <row r="1053" ht="14.25" customHeight="1">
      <c r="A1053" s="19" t="s">
        <v>2146</v>
      </c>
      <c r="B1053" s="23">
        <v>22.0</v>
      </c>
      <c r="C1053" s="23">
        <v>21.0</v>
      </c>
      <c r="D1053" s="23">
        <v>21.0</v>
      </c>
      <c r="E1053" s="23">
        <v>9.0300057E7</v>
      </c>
      <c r="F1053" s="23">
        <v>9.0300057E7</v>
      </c>
      <c r="G1053" s="24">
        <v>3.7213317E7</v>
      </c>
      <c r="H1053" s="25" t="s">
        <v>2086</v>
      </c>
      <c r="I1053" s="1" t="str">
        <f>VLOOKUP(C1053,'mayo-26'!B:H,7,0)</f>
        <v>AV.9 # 54B-90 APTO 101</v>
      </c>
      <c r="J1053" s="1" t="str">
        <f>VLOOKUP(C1053,'mayo-26'!B:I,8,0)</f>
        <v>LA FLORESTA</v>
      </c>
      <c r="K1053" s="10" t="str">
        <f>VLOOKUP(C1053,'mayo-26'!B:J,9,0)</f>
        <v>EDIFICIO LA FONTANA</v>
      </c>
      <c r="L1053" s="1" t="str">
        <f>VLOOKUP(C1053,'mayo-26'!B:K,10,0)</f>
        <v>EDIFICIO LA FONTANA</v>
      </c>
      <c r="M1053" s="18" t="s">
        <v>2087</v>
      </c>
      <c r="N1053" s="18" t="s">
        <v>2088</v>
      </c>
      <c r="O1053" s="25" t="s">
        <v>2089</v>
      </c>
      <c r="P1053" s="18" t="s">
        <v>126</v>
      </c>
      <c r="Q1053" s="25" t="s">
        <v>218</v>
      </c>
      <c r="R1053" s="25" t="s">
        <v>943</v>
      </c>
      <c r="S1053" s="25" t="s">
        <v>133</v>
      </c>
      <c r="T1053" s="25" t="s">
        <v>163</v>
      </c>
      <c r="U1053" s="24">
        <v>2026.0</v>
      </c>
      <c r="V1053" s="24">
        <v>6.0</v>
      </c>
      <c r="W1053" s="24">
        <v>1.081874825E9</v>
      </c>
      <c r="X1053" s="24">
        <v>1.081893297E9</v>
      </c>
      <c r="Y1053" s="25" t="s">
        <v>60</v>
      </c>
      <c r="Z1053" s="25" t="s">
        <v>61</v>
      </c>
      <c r="AA1053" s="24">
        <v>24871.5</v>
      </c>
      <c r="AB1053" s="24">
        <v>24871.5</v>
      </c>
      <c r="AC1053" s="26">
        <v>8290.5</v>
      </c>
      <c r="AD1053" s="26">
        <v>0.0</v>
      </c>
      <c r="AE1053" s="24">
        <v>0.0</v>
      </c>
      <c r="AF1053" s="24">
        <v>0.0</v>
      </c>
      <c r="AG1053" s="24">
        <v>0.0</v>
      </c>
      <c r="AH1053" s="24">
        <v>0.0</v>
      </c>
      <c r="AI1053" s="24">
        <v>0.0</v>
      </c>
      <c r="AJ1053" s="24">
        <v>24871.5</v>
      </c>
      <c r="AK1053" s="24">
        <v>24872.48</v>
      </c>
      <c r="AL1053" s="24">
        <v>1.0</v>
      </c>
      <c r="AM1053" s="24">
        <v>416.67</v>
      </c>
      <c r="AN1053" s="24">
        <v>0.0</v>
      </c>
      <c r="AO1053" s="25" t="s">
        <v>62</v>
      </c>
      <c r="AP1053" s="25" t="s">
        <v>62</v>
      </c>
      <c r="AQ1053" s="25" t="s">
        <v>62</v>
      </c>
      <c r="AR1053" s="25" t="s">
        <v>62</v>
      </c>
      <c r="AS1053" s="11" t="str">
        <f>VLOOKUP(C1053,'mayo-26'!B:AS,44,0)</f>
        <v>ESPERANZA6116@HOTMAIL.COM;MARTINORODRIGUEZD@HOTMAIL.COM</v>
      </c>
      <c r="AT1053" s="12" t="str">
        <f>VLOOKUP(C1053,'mayo-26'!B:AT,45,0)</f>
        <v>VERIFICADOR</v>
      </c>
    </row>
    <row r="1054" ht="14.25" customHeight="1">
      <c r="A1054" s="15" t="s">
        <v>2147</v>
      </c>
      <c r="B1054" s="23">
        <v>26.0</v>
      </c>
      <c r="C1054" s="23">
        <v>25.0</v>
      </c>
      <c r="D1054" s="23">
        <v>25.0</v>
      </c>
      <c r="E1054" s="23">
        <v>9.0300061E7</v>
      </c>
      <c r="F1054" s="23">
        <v>9.0300061E7</v>
      </c>
      <c r="G1054" s="24">
        <v>9.0300061E7</v>
      </c>
      <c r="H1054" s="25" t="s">
        <v>2097</v>
      </c>
      <c r="I1054" s="1" t="str">
        <f>VLOOKUP(C1054,'mayo-26'!B:H,7,0)</f>
        <v>AV.9 #54B-185 APTO.202</v>
      </c>
      <c r="J1054" s="1" t="str">
        <f>VLOOKUP(C1054,'mayo-26'!B:I,8,0)</f>
        <v>LA FLORESTA</v>
      </c>
      <c r="K1054" s="10" t="str">
        <f>VLOOKUP(C1054,'mayo-26'!B:J,9,0)</f>
        <v>NO</v>
      </c>
      <c r="L1054" s="1" t="str">
        <f>VLOOKUP(C1054,'mayo-26'!B:K,10,0)</f>
        <v>CONST MIRADOR DE LA FLORESTA</v>
      </c>
      <c r="M1054" s="18" t="s">
        <v>2087</v>
      </c>
      <c r="N1054" s="18" t="s">
        <v>2088</v>
      </c>
      <c r="O1054" s="25" t="s">
        <v>2089</v>
      </c>
      <c r="P1054" s="18" t="s">
        <v>126</v>
      </c>
      <c r="Q1054" s="25" t="s">
        <v>218</v>
      </c>
      <c r="R1054" s="25" t="s">
        <v>943</v>
      </c>
      <c r="S1054" s="25" t="s">
        <v>133</v>
      </c>
      <c r="T1054" s="25" t="s">
        <v>59</v>
      </c>
      <c r="U1054" s="24">
        <v>2026.0</v>
      </c>
      <c r="V1054" s="24">
        <v>6.0</v>
      </c>
      <c r="W1054" s="24">
        <v>1.081874829E9</v>
      </c>
      <c r="X1054" s="24">
        <v>1.081893301E9</v>
      </c>
      <c r="Y1054" s="25" t="s">
        <v>60</v>
      </c>
      <c r="Z1054" s="25" t="s">
        <v>61</v>
      </c>
      <c r="AA1054" s="24">
        <v>57193.42</v>
      </c>
      <c r="AB1054" s="24">
        <v>57193.42</v>
      </c>
      <c r="AC1054" s="26">
        <v>18856.0</v>
      </c>
      <c r="AD1054" s="26">
        <v>0.0</v>
      </c>
      <c r="AE1054" s="24">
        <v>625.42</v>
      </c>
      <c r="AF1054" s="24">
        <v>0.0</v>
      </c>
      <c r="AG1054" s="24">
        <v>0.0</v>
      </c>
      <c r="AH1054" s="24">
        <v>0.0</v>
      </c>
      <c r="AI1054" s="24">
        <v>0.0</v>
      </c>
      <c r="AJ1054" s="24">
        <v>57193.42</v>
      </c>
      <c r="AK1054" s="24">
        <v>169411.42</v>
      </c>
      <c r="AL1054" s="24">
        <v>2.0</v>
      </c>
      <c r="AM1054" s="24">
        <v>416.67</v>
      </c>
      <c r="AN1054" s="24">
        <v>0.0</v>
      </c>
      <c r="AO1054" s="25" t="s">
        <v>62</v>
      </c>
      <c r="AP1054" s="25" t="s">
        <v>62</v>
      </c>
      <c r="AQ1054" s="25" t="s">
        <v>62</v>
      </c>
      <c r="AR1054" s="25" t="s">
        <v>62</v>
      </c>
      <c r="AS1054" s="11" t="str">
        <f>VLOOKUP(C1054,'mayo-26'!B:AS,44,0)</f>
        <v>GERMANBAUTISTA1A@HOTMAIL.COM</v>
      </c>
      <c r="AT1054" s="12" t="str">
        <f>VLOOKUP(C1054,'mayo-26'!B:AT,45,0)</f>
        <v>VERIFICADOR</v>
      </c>
    </row>
    <row r="1055" ht="14.25" customHeight="1">
      <c r="A1055" s="15" t="s">
        <v>2148</v>
      </c>
      <c r="B1055" s="23">
        <v>30.0</v>
      </c>
      <c r="C1055" s="23">
        <v>29.0</v>
      </c>
      <c r="D1055" s="23">
        <v>29.0</v>
      </c>
      <c r="E1055" s="23">
        <v>9.0300068E7</v>
      </c>
      <c r="F1055" s="23">
        <v>9.0300068E7</v>
      </c>
      <c r="G1055" s="24">
        <v>1.9365474E7</v>
      </c>
      <c r="H1055" s="25" t="s">
        <v>2097</v>
      </c>
      <c r="I1055" s="1" t="str">
        <f>VLOOKUP(C1055,'mayo-26'!B:H,7,0)</f>
        <v>AV.9 #54B-185 APTO.403</v>
      </c>
      <c r="J1055" s="1" t="str">
        <f>VLOOKUP(C1055,'mayo-26'!B:I,8,0)</f>
        <v>LA FLORESTA</v>
      </c>
      <c r="K1055" s="10" t="str">
        <f>VLOOKUP(C1055,'mayo-26'!B:J,9,0)</f>
        <v>NO</v>
      </c>
      <c r="L1055" s="1" t="str">
        <f>VLOOKUP(C1055,'mayo-26'!B:K,10,0)</f>
        <v>CONST MIRADOR DE LA FLORESTA</v>
      </c>
      <c r="M1055" s="18" t="s">
        <v>2087</v>
      </c>
      <c r="N1055" s="18" t="s">
        <v>2088</v>
      </c>
      <c r="O1055" s="25" t="s">
        <v>2089</v>
      </c>
      <c r="P1055" s="18" t="s">
        <v>126</v>
      </c>
      <c r="Q1055" s="25" t="s">
        <v>218</v>
      </c>
      <c r="R1055" s="25" t="s">
        <v>943</v>
      </c>
      <c r="S1055" s="25" t="s">
        <v>133</v>
      </c>
      <c r="T1055" s="25" t="s">
        <v>59</v>
      </c>
      <c r="U1055" s="24">
        <v>2026.0</v>
      </c>
      <c r="V1055" s="24">
        <v>6.0</v>
      </c>
      <c r="W1055" s="24">
        <v>1.081874833E9</v>
      </c>
      <c r="X1055" s="24">
        <v>1.081893305E9</v>
      </c>
      <c r="Y1055" s="25" t="s">
        <v>60</v>
      </c>
      <c r="Z1055" s="25" t="s">
        <v>61</v>
      </c>
      <c r="AA1055" s="24">
        <v>64314.38</v>
      </c>
      <c r="AB1055" s="24">
        <v>64314.38</v>
      </c>
      <c r="AC1055" s="26">
        <v>18856.0</v>
      </c>
      <c r="AD1055" s="26">
        <v>0.0</v>
      </c>
      <c r="AE1055" s="24">
        <v>7746.38</v>
      </c>
      <c r="AF1055" s="24">
        <v>0.0</v>
      </c>
      <c r="AG1055" s="24">
        <v>0.0</v>
      </c>
      <c r="AH1055" s="24">
        <v>0.0</v>
      </c>
      <c r="AI1055" s="24">
        <v>0.0</v>
      </c>
      <c r="AJ1055" s="24">
        <v>64314.38</v>
      </c>
      <c r="AK1055" s="24">
        <v>556883.66</v>
      </c>
      <c r="AL1055" s="24">
        <v>9.0</v>
      </c>
      <c r="AM1055" s="24">
        <v>416.67</v>
      </c>
      <c r="AN1055" s="24">
        <v>0.0</v>
      </c>
      <c r="AO1055" s="25" t="s">
        <v>62</v>
      </c>
      <c r="AP1055" s="25" t="s">
        <v>62</v>
      </c>
      <c r="AQ1055" s="25" t="s">
        <v>62</v>
      </c>
      <c r="AR1055" s="25" t="s">
        <v>62</v>
      </c>
      <c r="AS1055" s="11" t="str">
        <f>VLOOKUP(C1055,'mayo-26'!B:AS,44,0)</f>
        <v>alvayane@hotmail.com</v>
      </c>
      <c r="AT1055" s="12" t="str">
        <f>VLOOKUP(C1055,'mayo-26'!B:AT,45,0)</f>
        <v>VERIFICADOR</v>
      </c>
    </row>
    <row r="1056" ht="14.25" customHeight="1">
      <c r="A1056" s="15" t="s">
        <v>2149</v>
      </c>
      <c r="B1056" s="23">
        <v>34.0</v>
      </c>
      <c r="C1056" s="23">
        <v>33.0</v>
      </c>
      <c r="D1056" s="23">
        <v>33.0</v>
      </c>
      <c r="E1056" s="23">
        <v>9.0300073E7</v>
      </c>
      <c r="F1056" s="23">
        <v>9.0300073E7</v>
      </c>
      <c r="G1056" s="24">
        <v>9.0300073E7</v>
      </c>
      <c r="H1056" s="25" t="s">
        <v>2097</v>
      </c>
      <c r="I1056" s="1" t="str">
        <f>VLOOKUP(C1056,'mayo-26'!B:H,7,0)</f>
        <v>AV.9 #54B-185 APTO.602</v>
      </c>
      <c r="J1056" s="1" t="str">
        <f>VLOOKUP(C1056,'mayo-26'!B:I,8,0)</f>
        <v>LA FLORESTA</v>
      </c>
      <c r="K1056" s="10" t="str">
        <f>VLOOKUP(C1056,'mayo-26'!B:J,9,0)</f>
        <v>NO</v>
      </c>
      <c r="L1056" s="1" t="str">
        <f>VLOOKUP(C1056,'mayo-26'!B:K,10,0)</f>
        <v>CONST MIRADOR DE LA FLORESTA</v>
      </c>
      <c r="M1056" s="18" t="s">
        <v>2087</v>
      </c>
      <c r="N1056" s="18" t="s">
        <v>2088</v>
      </c>
      <c r="O1056" s="25" t="s">
        <v>2089</v>
      </c>
      <c r="P1056" s="18" t="s">
        <v>126</v>
      </c>
      <c r="Q1056" s="25" t="s">
        <v>218</v>
      </c>
      <c r="R1056" s="25" t="s">
        <v>943</v>
      </c>
      <c r="S1056" s="25" t="s">
        <v>133</v>
      </c>
      <c r="T1056" s="25" t="s">
        <v>59</v>
      </c>
      <c r="U1056" s="24">
        <v>2026.0</v>
      </c>
      <c r="V1056" s="24">
        <v>6.0</v>
      </c>
      <c r="W1056" s="24">
        <v>1.081874837E9</v>
      </c>
      <c r="X1056" s="24">
        <v>1.081893309E9</v>
      </c>
      <c r="Y1056" s="25" t="s">
        <v>60</v>
      </c>
      <c r="Z1056" s="25" t="s">
        <v>61</v>
      </c>
      <c r="AA1056" s="24">
        <v>56568.0</v>
      </c>
      <c r="AB1056" s="24">
        <v>56568.0</v>
      </c>
      <c r="AC1056" s="26">
        <v>18856.0</v>
      </c>
      <c r="AD1056" s="26">
        <v>0.0</v>
      </c>
      <c r="AE1056" s="24">
        <v>0.0</v>
      </c>
      <c r="AF1056" s="24">
        <v>0.0</v>
      </c>
      <c r="AG1056" s="24">
        <v>0.0</v>
      </c>
      <c r="AH1056" s="24">
        <v>0.0</v>
      </c>
      <c r="AI1056" s="24">
        <v>0.0</v>
      </c>
      <c r="AJ1056" s="24">
        <v>56568.0</v>
      </c>
      <c r="AK1056" s="24">
        <v>56568.5</v>
      </c>
      <c r="AL1056" s="24">
        <v>1.0</v>
      </c>
      <c r="AM1056" s="24">
        <v>416.67</v>
      </c>
      <c r="AN1056" s="24">
        <v>0.0</v>
      </c>
      <c r="AO1056" s="25" t="s">
        <v>62</v>
      </c>
      <c r="AP1056" s="25" t="s">
        <v>62</v>
      </c>
      <c r="AQ1056" s="25" t="s">
        <v>62</v>
      </c>
      <c r="AR1056" s="25" t="s">
        <v>62</v>
      </c>
      <c r="AS1056" s="11" t="str">
        <f>VLOOKUP(C1056,'mayo-26'!B:AS,44,0)</f>
        <v/>
      </c>
      <c r="AT1056" s="12" t="str">
        <f>VLOOKUP(C1056,'mayo-26'!B:AT,45,0)</f>
        <v>VERIFICADOR</v>
      </c>
    </row>
    <row r="1057" ht="14.25" customHeight="1">
      <c r="A1057" s="15" t="s">
        <v>2150</v>
      </c>
      <c r="B1057" s="23">
        <v>341190.0</v>
      </c>
      <c r="C1057" s="23">
        <v>341189.0</v>
      </c>
      <c r="D1057" s="23">
        <v>341189.0</v>
      </c>
      <c r="E1057" s="23">
        <v>389.0</v>
      </c>
      <c r="F1057" s="23">
        <v>389.0</v>
      </c>
      <c r="G1057" s="24">
        <v>389.0</v>
      </c>
      <c r="H1057" s="25" t="s">
        <v>2151</v>
      </c>
      <c r="I1057" s="1" t="str">
        <f>VLOOKUP(C1057,'mayo-26'!B:H,7,0)</f>
        <v>KMT 15 VIA P/PLONA VADOS 0000</v>
      </c>
      <c r="J1057" s="1">
        <f>VLOOKUP(C1057,'mayo-26'!B:I,8,0)</f>
        <v>0</v>
      </c>
      <c r="K1057" s="10" t="str">
        <f>VLOOKUP(C1057,'mayo-26'!B:J,9,0)</f>
        <v>NO</v>
      </c>
      <c r="L1057" s="1" t="str">
        <f>VLOOKUP(C1057,'mayo-26'!B:K,10,0)</f>
        <v>NO</v>
      </c>
      <c r="M1057" s="18" t="s">
        <v>2087</v>
      </c>
      <c r="N1057" s="18" t="s">
        <v>2107</v>
      </c>
      <c r="O1057" s="25" t="s">
        <v>2089</v>
      </c>
      <c r="P1057" s="18" t="s">
        <v>126</v>
      </c>
      <c r="Q1057" s="25" t="s">
        <v>131</v>
      </c>
      <c r="R1057" s="25" t="s">
        <v>132</v>
      </c>
      <c r="S1057" s="25" t="s">
        <v>133</v>
      </c>
      <c r="T1057" s="25" t="s">
        <v>59</v>
      </c>
      <c r="U1057" s="24">
        <v>2026.0</v>
      </c>
      <c r="V1057" s="24">
        <v>6.0</v>
      </c>
      <c r="W1057" s="24">
        <v>1.081874874E9</v>
      </c>
      <c r="X1057" s="24">
        <v>1.081893346E9</v>
      </c>
      <c r="Y1057" s="25" t="s">
        <v>60</v>
      </c>
      <c r="Z1057" s="25" t="s">
        <v>61</v>
      </c>
      <c r="AA1057" s="24">
        <v>69060.51</v>
      </c>
      <c r="AB1057" s="24">
        <v>69060.51</v>
      </c>
      <c r="AC1057" s="26">
        <v>22761.5</v>
      </c>
      <c r="AD1057" s="26">
        <v>0.0</v>
      </c>
      <c r="AE1057" s="24">
        <v>776.01</v>
      </c>
      <c r="AF1057" s="24">
        <v>0.0</v>
      </c>
      <c r="AG1057" s="24">
        <v>0.0</v>
      </c>
      <c r="AH1057" s="24">
        <v>0.0</v>
      </c>
      <c r="AI1057" s="24">
        <v>0.0</v>
      </c>
      <c r="AJ1057" s="24">
        <v>69060.51</v>
      </c>
      <c r="AK1057" s="24">
        <v>137360.01</v>
      </c>
      <c r="AL1057" s="24">
        <v>1.0</v>
      </c>
      <c r="AM1057" s="24">
        <v>416.67</v>
      </c>
      <c r="AN1057" s="24">
        <v>0.0</v>
      </c>
      <c r="AO1057" s="25" t="s">
        <v>62</v>
      </c>
      <c r="AP1057" s="25" t="s">
        <v>62</v>
      </c>
      <c r="AQ1057" s="25" t="s">
        <v>62</v>
      </c>
      <c r="AR1057" s="25" t="s">
        <v>62</v>
      </c>
      <c r="AS1057" s="11" t="str">
        <f>VLOOKUP(C1057,'mayo-26'!B:AS,44,0)</f>
        <v>TEJARLOSVADOS@HOTMAIL.COM</v>
      </c>
      <c r="AT1057" s="12" t="str">
        <f>VLOOKUP(C1057,'mayo-26'!B:AT,45,0)</f>
        <v>CORREO ELECTRONICO CERTIFICADO 472</v>
      </c>
    </row>
    <row r="1058" ht="14.25" customHeight="1">
      <c r="A1058" s="19" t="s">
        <v>2152</v>
      </c>
      <c r="B1058" s="23">
        <v>38.0</v>
      </c>
      <c r="C1058" s="23">
        <v>37.0</v>
      </c>
      <c r="D1058" s="23">
        <v>37.0</v>
      </c>
      <c r="E1058" s="23">
        <v>9.0300077E7</v>
      </c>
      <c r="F1058" s="23">
        <v>9.0300077E7</v>
      </c>
      <c r="G1058" s="24">
        <v>9.0300077E7</v>
      </c>
      <c r="H1058" s="25" t="s">
        <v>2097</v>
      </c>
      <c r="I1058" s="1" t="str">
        <f>VLOOKUP(C1058,'mayo-26'!B:H,7,0)</f>
        <v>AV.9 #54B-185 APTO.703</v>
      </c>
      <c r="J1058" s="1" t="str">
        <f>VLOOKUP(C1058,'mayo-26'!B:I,8,0)</f>
        <v>LA FLORESTA</v>
      </c>
      <c r="K1058" s="10" t="str">
        <f>VLOOKUP(C1058,'mayo-26'!B:J,9,0)</f>
        <v>NO</v>
      </c>
      <c r="L1058" s="1" t="str">
        <f>VLOOKUP(C1058,'mayo-26'!B:K,10,0)</f>
        <v>CONST MIRADOR DE LA FLORESTA</v>
      </c>
      <c r="M1058" s="18" t="s">
        <v>2087</v>
      </c>
      <c r="N1058" s="18" t="s">
        <v>2088</v>
      </c>
      <c r="O1058" s="25" t="s">
        <v>2089</v>
      </c>
      <c r="P1058" s="18" t="s">
        <v>126</v>
      </c>
      <c r="Q1058" s="25" t="s">
        <v>218</v>
      </c>
      <c r="R1058" s="25" t="s">
        <v>943</v>
      </c>
      <c r="S1058" s="25" t="s">
        <v>133</v>
      </c>
      <c r="T1058" s="25" t="s">
        <v>59</v>
      </c>
      <c r="U1058" s="24">
        <v>2026.0</v>
      </c>
      <c r="V1058" s="24">
        <v>6.0</v>
      </c>
      <c r="W1058" s="24">
        <v>1.081874841E9</v>
      </c>
      <c r="X1058" s="24">
        <v>1.081893313E9</v>
      </c>
      <c r="Y1058" s="25" t="s">
        <v>60</v>
      </c>
      <c r="Z1058" s="25" t="s">
        <v>61</v>
      </c>
      <c r="AA1058" s="24">
        <v>56568.0</v>
      </c>
      <c r="AB1058" s="24">
        <v>56568.0</v>
      </c>
      <c r="AC1058" s="26">
        <v>18856.0</v>
      </c>
      <c r="AD1058" s="26">
        <v>0.0</v>
      </c>
      <c r="AE1058" s="24">
        <v>0.0</v>
      </c>
      <c r="AF1058" s="24">
        <v>0.0</v>
      </c>
      <c r="AG1058" s="24">
        <v>0.0</v>
      </c>
      <c r="AH1058" s="24">
        <v>0.0</v>
      </c>
      <c r="AI1058" s="24">
        <v>0.0</v>
      </c>
      <c r="AJ1058" s="24">
        <v>56568.0</v>
      </c>
      <c r="AK1058" s="24">
        <v>56568.0</v>
      </c>
      <c r="AL1058" s="24">
        <v>0.0</v>
      </c>
      <c r="AM1058" s="24">
        <v>416.67</v>
      </c>
      <c r="AN1058" s="24">
        <v>0.0</v>
      </c>
      <c r="AO1058" s="25" t="s">
        <v>62</v>
      </c>
      <c r="AP1058" s="25" t="s">
        <v>62</v>
      </c>
      <c r="AQ1058" s="25" t="s">
        <v>62</v>
      </c>
      <c r="AR1058" s="25" t="s">
        <v>62</v>
      </c>
      <c r="AS1058" s="11" t="str">
        <f>VLOOKUP(C1058,'mayo-26'!B:AS,44,0)</f>
        <v/>
      </c>
      <c r="AT1058" s="12" t="str">
        <f>VLOOKUP(C1058,'mayo-26'!B:AT,45,0)</f>
        <v>VERIFICADOR</v>
      </c>
    </row>
    <row r="1059" ht="14.25" customHeight="1">
      <c r="A1059" s="15" t="s">
        <v>2153</v>
      </c>
      <c r="B1059" s="23">
        <v>42.0</v>
      </c>
      <c r="C1059" s="23">
        <v>41.0</v>
      </c>
      <c r="D1059" s="23">
        <v>41.0</v>
      </c>
      <c r="E1059" s="23">
        <v>9.0310087E7</v>
      </c>
      <c r="F1059" s="23">
        <v>9.0310087E7</v>
      </c>
      <c r="G1059" s="25" t="s">
        <v>2154</v>
      </c>
      <c r="H1059" s="25" t="s">
        <v>2155</v>
      </c>
      <c r="I1059" s="1" t="str">
        <f>VLOOKUP(C1059,'mayo-26'!B:H,7,0)</f>
        <v>CL 51 10-45 SEC LA FLORESTA</v>
      </c>
      <c r="J1059" s="1" t="str">
        <f>VLOOKUP(C1059,'mayo-26'!B:I,8,0)</f>
        <v>LA FLORESTA</v>
      </c>
      <c r="K1059" s="10" t="str">
        <f>VLOOKUP(C1059,'mayo-26'!B:J,9,0)</f>
        <v>PATIOS</v>
      </c>
      <c r="L1059" s="1" t="str">
        <f>VLOOKUP(C1059,'mayo-26'!B:K,10,0)</f>
        <v>NO</v>
      </c>
      <c r="M1059" s="18" t="s">
        <v>2087</v>
      </c>
      <c r="N1059" s="18" t="s">
        <v>2088</v>
      </c>
      <c r="O1059" s="25" t="s">
        <v>2089</v>
      </c>
      <c r="P1059" s="18" t="s">
        <v>126</v>
      </c>
      <c r="Q1059" s="25" t="s">
        <v>56</v>
      </c>
      <c r="R1059" s="25" t="s">
        <v>90</v>
      </c>
      <c r="S1059" s="25" t="s">
        <v>143</v>
      </c>
      <c r="T1059" s="25" t="s">
        <v>59</v>
      </c>
      <c r="U1059" s="24">
        <v>2026.0</v>
      </c>
      <c r="V1059" s="24">
        <v>6.0</v>
      </c>
      <c r="W1059" s="24">
        <v>1.081874845E9</v>
      </c>
      <c r="X1059" s="24">
        <v>1.081893317E9</v>
      </c>
      <c r="Y1059" s="25" t="s">
        <v>60</v>
      </c>
      <c r="Z1059" s="25" t="s">
        <v>61</v>
      </c>
      <c r="AA1059" s="24">
        <v>257538.07</v>
      </c>
      <c r="AB1059" s="24">
        <v>257538.07</v>
      </c>
      <c r="AC1059" s="26">
        <v>85846.03</v>
      </c>
      <c r="AD1059" s="26">
        <v>787.5</v>
      </c>
      <c r="AE1059" s="24">
        <v>0.0</v>
      </c>
      <c r="AF1059" s="24">
        <v>0.0</v>
      </c>
      <c r="AG1059" s="24">
        <v>0.0</v>
      </c>
      <c r="AH1059" s="24">
        <v>0.0</v>
      </c>
      <c r="AI1059" s="24">
        <v>0.0</v>
      </c>
      <c r="AJ1059" s="24">
        <v>257538.07</v>
      </c>
      <c r="AK1059" s="24">
        <v>257538.07</v>
      </c>
      <c r="AL1059" s="24">
        <v>0.0</v>
      </c>
      <c r="AM1059" s="24">
        <v>416.67</v>
      </c>
      <c r="AN1059" s="24">
        <v>0.0</v>
      </c>
      <c r="AO1059" s="25" t="s">
        <v>62</v>
      </c>
      <c r="AP1059" s="25" t="s">
        <v>62</v>
      </c>
      <c r="AQ1059" s="25" t="s">
        <v>62</v>
      </c>
      <c r="AR1059" s="25" t="s">
        <v>62</v>
      </c>
      <c r="AS1059" s="11" t="str">
        <f>VLOOKUP(C1059,'mayo-26'!B:AS,44,0)</f>
        <v>CONTABILIDADCUCUTA@FONOSGASES.COM</v>
      </c>
      <c r="AT1059" s="12" t="str">
        <f>VLOOKUP(C1059,'mayo-26'!B:AT,45,0)</f>
        <v>VERIFICADOR</v>
      </c>
    </row>
    <row r="1060" ht="14.25" customHeight="1">
      <c r="A1060" s="15" t="s">
        <v>2156</v>
      </c>
      <c r="B1060" s="23">
        <v>699.0</v>
      </c>
      <c r="C1060" s="23">
        <v>426385.0</v>
      </c>
      <c r="D1060" s="23">
        <v>443306.0</v>
      </c>
      <c r="E1060" s="23">
        <v>1068665.0</v>
      </c>
      <c r="F1060" s="23">
        <v>1068665.0</v>
      </c>
      <c r="G1060" s="24">
        <v>9.00480569E8</v>
      </c>
      <c r="H1060" s="25" t="s">
        <v>141</v>
      </c>
      <c r="I1060" s="1" t="str">
        <f>VLOOKUP(C1060,'mayo-26'!B:H,7,0)</f>
        <v>CLL 12 4-52 CENTRO</v>
      </c>
      <c r="J1060" s="1" t="str">
        <f>VLOOKUP(C1060,'mayo-26'!B:I,8,0)</f>
        <v>URB BELLAVISTA</v>
      </c>
      <c r="K1060" s="10" t="str">
        <f>VLOOKUP(C1060,'mayo-26'!B:J,9,0)</f>
        <v>NO</v>
      </c>
      <c r="L1060" s="1" t="str">
        <f>VLOOKUP(C1060,'mayo-26'!B:K,10,0)</f>
        <v>ARA PATIOS</v>
      </c>
      <c r="M1060" s="18" t="s">
        <v>2087</v>
      </c>
      <c r="N1060" s="18" t="s">
        <v>2091</v>
      </c>
      <c r="O1060" s="25" t="s">
        <v>2089</v>
      </c>
      <c r="P1060" s="18" t="s">
        <v>126</v>
      </c>
      <c r="Q1060" s="25" t="s">
        <v>56</v>
      </c>
      <c r="R1060" s="25" t="s">
        <v>90</v>
      </c>
      <c r="S1060" s="25" t="s">
        <v>143</v>
      </c>
      <c r="T1060" s="25" t="s">
        <v>59</v>
      </c>
      <c r="U1060" s="24">
        <v>2026.0</v>
      </c>
      <c r="V1060" s="24">
        <v>6.0</v>
      </c>
      <c r="W1060" s="24">
        <v>1.081874878E9</v>
      </c>
      <c r="X1060" s="24">
        <v>1.08189335E9</v>
      </c>
      <c r="Y1060" s="25" t="s">
        <v>60</v>
      </c>
      <c r="Z1060" s="25" t="s">
        <v>61</v>
      </c>
      <c r="AA1060" s="24">
        <v>775740.18</v>
      </c>
      <c r="AB1060" s="24">
        <v>775740.18</v>
      </c>
      <c r="AC1060" s="26">
        <v>255781.74</v>
      </c>
      <c r="AD1060" s="26">
        <v>2520.0</v>
      </c>
      <c r="AE1060" s="24">
        <v>8394.96</v>
      </c>
      <c r="AF1060" s="24">
        <v>0.0</v>
      </c>
      <c r="AG1060" s="24">
        <v>0.0</v>
      </c>
      <c r="AH1060" s="24">
        <v>0.0</v>
      </c>
      <c r="AI1060" s="24">
        <v>0.0</v>
      </c>
      <c r="AJ1060" s="24">
        <v>775740.18</v>
      </c>
      <c r="AK1060" s="24">
        <v>2486740.88</v>
      </c>
      <c r="AL1060" s="24">
        <v>2.0</v>
      </c>
      <c r="AM1060" s="24">
        <v>416.67</v>
      </c>
      <c r="AN1060" s="24">
        <v>0.0</v>
      </c>
      <c r="AO1060" s="25" t="s">
        <v>62</v>
      </c>
      <c r="AP1060" s="25" t="s">
        <v>62</v>
      </c>
      <c r="AQ1060" s="25" t="s">
        <v>62</v>
      </c>
      <c r="AR1060" s="25" t="s">
        <v>62</v>
      </c>
      <c r="AS1060" s="11" t="str">
        <f>VLOOKUP(C1060,'mayo-26'!B:AS,44,0)</f>
        <v>COORDINADOR.OPERACIONES.R11@JERONIMO-MARTINS.COM</v>
      </c>
      <c r="AT1060" s="12" t="str">
        <f>VLOOKUP(C1060,'mayo-26'!B:AT,45,0)</f>
        <v>CORREO ELECTRONICO CERTIFICADO 472</v>
      </c>
    </row>
    <row r="1061" ht="14.25" customHeight="1">
      <c r="A1061" s="15" t="s">
        <v>2157</v>
      </c>
      <c r="B1061" s="23">
        <v>699.0</v>
      </c>
      <c r="C1061" s="23">
        <v>437289.0</v>
      </c>
      <c r="D1061" s="23">
        <v>460743.0</v>
      </c>
      <c r="E1061" s="23">
        <v>324862.0</v>
      </c>
      <c r="F1061" s="23">
        <v>324862.0</v>
      </c>
      <c r="G1061" s="24">
        <v>9.00480569E8</v>
      </c>
      <c r="H1061" s="25" t="s">
        <v>141</v>
      </c>
      <c r="I1061" s="1" t="str">
        <f>VLOOKUP(C1061,'mayo-26'!B:H,7,0)</f>
        <v>CLL 12 4-52 CENTRO</v>
      </c>
      <c r="J1061" s="1" t="str">
        <f>VLOOKUP(C1061,'mayo-26'!B:I,8,0)</f>
        <v>PIZARREAL</v>
      </c>
      <c r="K1061" s="10" t="str">
        <f>VLOOKUP(C1061,'mayo-26'!B:J,9,0)</f>
        <v>NO</v>
      </c>
      <c r="L1061" s="1" t="str">
        <f>VLOOKUP(C1061,'mayo-26'!B:K,10,0)</f>
        <v>ARA PATIOS</v>
      </c>
      <c r="M1061" s="18" t="s">
        <v>2087</v>
      </c>
      <c r="N1061" s="18" t="s">
        <v>2091</v>
      </c>
      <c r="O1061" s="25" t="s">
        <v>2089</v>
      </c>
      <c r="P1061" s="18" t="s">
        <v>126</v>
      </c>
      <c r="Q1061" s="25" t="s">
        <v>56</v>
      </c>
      <c r="R1061" s="25" t="s">
        <v>90</v>
      </c>
      <c r="S1061" s="25" t="s">
        <v>143</v>
      </c>
      <c r="T1061" s="25" t="s">
        <v>59</v>
      </c>
      <c r="U1061" s="24">
        <v>2026.0</v>
      </c>
      <c r="V1061" s="24">
        <v>6.0</v>
      </c>
      <c r="W1061" s="24">
        <v>1.08187488E9</v>
      </c>
      <c r="X1061" s="24">
        <v>1.081893352E9</v>
      </c>
      <c r="Y1061" s="25" t="s">
        <v>60</v>
      </c>
      <c r="Z1061" s="25" t="s">
        <v>61</v>
      </c>
      <c r="AA1061" s="24">
        <v>894731.21</v>
      </c>
      <c r="AB1061" s="24">
        <v>894731.21</v>
      </c>
      <c r="AC1061" s="26">
        <v>295016.54</v>
      </c>
      <c r="AD1061" s="26">
        <v>2920.0</v>
      </c>
      <c r="AE1061" s="24">
        <v>9681.59</v>
      </c>
      <c r="AF1061" s="24">
        <v>0.0</v>
      </c>
      <c r="AG1061" s="24">
        <v>0.0</v>
      </c>
      <c r="AH1061" s="24">
        <v>0.0</v>
      </c>
      <c r="AI1061" s="24">
        <v>0.0</v>
      </c>
      <c r="AJ1061" s="24">
        <v>894731.21</v>
      </c>
      <c r="AK1061" s="24">
        <v>2647638.67</v>
      </c>
      <c r="AL1061" s="24">
        <v>2.0</v>
      </c>
      <c r="AM1061" s="24">
        <v>416.67</v>
      </c>
      <c r="AN1061" s="24">
        <v>0.0</v>
      </c>
      <c r="AO1061" s="25" t="s">
        <v>62</v>
      </c>
      <c r="AP1061" s="25" t="s">
        <v>62</v>
      </c>
      <c r="AQ1061" s="25" t="s">
        <v>62</v>
      </c>
      <c r="AR1061" s="25" t="s">
        <v>62</v>
      </c>
      <c r="AS1061" s="11" t="str">
        <f>VLOOKUP(C1061,'mayo-26'!B:AS,44,0)</f>
        <v>COORDINADOR.OPERACIONES.R11@JERONIMO-MARTINS.COM</v>
      </c>
      <c r="AT1061" s="12" t="str">
        <f>VLOOKUP(C1061,'mayo-26'!B:AT,45,0)</f>
        <v>CORREO ELECTRONICO CERTIFICADO 472</v>
      </c>
    </row>
    <row r="1062" ht="14.25" customHeight="1">
      <c r="A1062" s="15" t="s">
        <v>2158</v>
      </c>
      <c r="B1062" s="23">
        <v>511422.0</v>
      </c>
      <c r="C1062" s="23">
        <v>461009.0</v>
      </c>
      <c r="D1062" s="23">
        <v>489492.0</v>
      </c>
      <c r="E1062" s="25" t="s">
        <v>62</v>
      </c>
      <c r="F1062" s="25" t="s">
        <v>62</v>
      </c>
      <c r="G1062" s="24">
        <v>8.90209174E8</v>
      </c>
      <c r="H1062" s="25" t="s">
        <v>2159</v>
      </c>
      <c r="I1062" s="1" t="str">
        <f>VLOOKUP(C1062,'mayo-26'!B:H,7,0)</f>
        <v>LA GARITA, PARQUEADERO ENTRADA RIO PAMPLONITA</v>
      </c>
      <c r="J1062" s="1" t="str">
        <f>VLOOKUP(C1062,'mayo-26'!B:I,8,0)</f>
        <v>VEREDA LA GARITA</v>
      </c>
      <c r="K1062" s="10" t="str">
        <f>VLOOKUP(C1062,'mayo-26'!B:J,9,0)</f>
        <v>NO</v>
      </c>
      <c r="L1062" s="1" t="str">
        <f>VLOOKUP(C1062,'mayo-26'!B:K,10,0)</f>
        <v>NO</v>
      </c>
      <c r="M1062" s="18" t="s">
        <v>2087</v>
      </c>
      <c r="N1062" s="18" t="s">
        <v>2088</v>
      </c>
      <c r="O1062" s="25" t="s">
        <v>2089</v>
      </c>
      <c r="P1062" s="18" t="s">
        <v>126</v>
      </c>
      <c r="Q1062" s="25" t="s">
        <v>131</v>
      </c>
      <c r="R1062" s="25" t="s">
        <v>132</v>
      </c>
      <c r="S1062" s="25" t="s">
        <v>133</v>
      </c>
      <c r="T1062" s="25" t="s">
        <v>59</v>
      </c>
      <c r="U1062" s="24">
        <v>2026.0</v>
      </c>
      <c r="V1062" s="24">
        <v>6.0</v>
      </c>
      <c r="W1062" s="24">
        <v>1.081874881E9</v>
      </c>
      <c r="X1062" s="24">
        <v>1.081893353E9</v>
      </c>
      <c r="Y1062" s="25" t="s">
        <v>60</v>
      </c>
      <c r="Z1062" s="25" t="s">
        <v>61</v>
      </c>
      <c r="AA1062" s="24">
        <v>87310.5</v>
      </c>
      <c r="AB1062" s="24">
        <v>87310.5</v>
      </c>
      <c r="AC1062" s="26">
        <v>29103.5</v>
      </c>
      <c r="AD1062" s="26">
        <v>0.0</v>
      </c>
      <c r="AE1062" s="24">
        <v>0.0</v>
      </c>
      <c r="AF1062" s="24">
        <v>0.0</v>
      </c>
      <c r="AG1062" s="24">
        <v>0.0</v>
      </c>
      <c r="AH1062" s="24">
        <v>0.0</v>
      </c>
      <c r="AI1062" s="24">
        <v>0.0</v>
      </c>
      <c r="AJ1062" s="24">
        <v>87310.5</v>
      </c>
      <c r="AK1062" s="24">
        <v>87311.0</v>
      </c>
      <c r="AL1062" s="24">
        <v>1.0</v>
      </c>
      <c r="AM1062" s="24">
        <v>416.67</v>
      </c>
      <c r="AN1062" s="24">
        <v>0.0</v>
      </c>
      <c r="AO1062" s="25" t="s">
        <v>62</v>
      </c>
      <c r="AP1062" s="25" t="s">
        <v>62</v>
      </c>
      <c r="AQ1062" s="25" t="s">
        <v>62</v>
      </c>
      <c r="AR1062" s="25" t="s">
        <v>62</v>
      </c>
      <c r="AS1062" s="11" t="str">
        <f>VLOOKUP(C1062,'mayo-26'!B:AS,44,0)</f>
        <v>ADMINISTRACION.MTOCUCUTA@ISMOCOL.COM</v>
      </c>
      <c r="AT1062" s="12" t="str">
        <f>VLOOKUP(C1062,'mayo-26'!B:AT,45,0)</f>
        <v>CORREO ELECTRONICO CERTIFICADO 472</v>
      </c>
    </row>
    <row r="1063" ht="14.25" customHeight="1">
      <c r="A1063" s="15" t="s">
        <v>2160</v>
      </c>
      <c r="B1063" s="23">
        <v>549212.0</v>
      </c>
      <c r="C1063" s="23">
        <v>475429.0</v>
      </c>
      <c r="D1063" s="23">
        <v>515883.0</v>
      </c>
      <c r="E1063" s="25" t="s">
        <v>62</v>
      </c>
      <c r="F1063" s="25" t="s">
        <v>62</v>
      </c>
      <c r="G1063" s="24">
        <v>9.00114676E8</v>
      </c>
      <c r="H1063" s="25" t="s">
        <v>2161</v>
      </c>
      <c r="I1063" s="1" t="str">
        <f>VLOOKUP(C1063,'mayo-26'!B:H,7,0)</f>
        <v>PATIOS VADOS</v>
      </c>
      <c r="J1063" s="1" t="str">
        <f>VLOOKUP(C1063,'mayo-26'!B:I,8,0)</f>
        <v>SIN DETERMINAR</v>
      </c>
      <c r="K1063" s="10" t="str">
        <f>VLOOKUP(C1063,'mayo-26'!B:J,9,0)</f>
        <v>CENTRO </v>
      </c>
      <c r="L1063" s="1" t="str">
        <f>VLOOKUP(C1063,'mayo-26'!B:K,10,0)</f>
        <v>CENTRO</v>
      </c>
      <c r="M1063" s="18" t="s">
        <v>2087</v>
      </c>
      <c r="N1063" s="18" t="s">
        <v>2091</v>
      </c>
      <c r="O1063" s="25" t="s">
        <v>2089</v>
      </c>
      <c r="P1063" s="18" t="s">
        <v>126</v>
      </c>
      <c r="Q1063" s="25" t="s">
        <v>56</v>
      </c>
      <c r="R1063" s="25" t="s">
        <v>90</v>
      </c>
      <c r="S1063" s="25" t="s">
        <v>143</v>
      </c>
      <c r="T1063" s="25" t="s">
        <v>59</v>
      </c>
      <c r="U1063" s="24">
        <v>2026.0</v>
      </c>
      <c r="V1063" s="24">
        <v>6.0</v>
      </c>
      <c r="W1063" s="24">
        <v>1.081874882E9</v>
      </c>
      <c r="X1063" s="24">
        <v>1.081893354E9</v>
      </c>
      <c r="Y1063" s="25" t="s">
        <v>60</v>
      </c>
      <c r="Z1063" s="25" t="s">
        <v>61</v>
      </c>
      <c r="AA1063" s="24">
        <v>99395.07</v>
      </c>
      <c r="AB1063" s="24">
        <v>99395.07</v>
      </c>
      <c r="AC1063" s="26">
        <v>33124.25</v>
      </c>
      <c r="AD1063" s="26">
        <v>250.0</v>
      </c>
      <c r="AE1063" s="24">
        <v>22.32</v>
      </c>
      <c r="AF1063" s="24">
        <v>0.0</v>
      </c>
      <c r="AG1063" s="24">
        <v>0.0</v>
      </c>
      <c r="AH1063" s="24">
        <v>0.0</v>
      </c>
      <c r="AI1063" s="24">
        <v>0.0</v>
      </c>
      <c r="AJ1063" s="24">
        <v>99395.07</v>
      </c>
      <c r="AK1063" s="24">
        <v>105614.05</v>
      </c>
      <c r="AL1063" s="24">
        <v>1.0</v>
      </c>
      <c r="AM1063" s="24">
        <v>416.67</v>
      </c>
      <c r="AN1063" s="24">
        <v>0.0</v>
      </c>
      <c r="AO1063" s="25" t="s">
        <v>62</v>
      </c>
      <c r="AP1063" s="25" t="s">
        <v>62</v>
      </c>
      <c r="AQ1063" s="25" t="s">
        <v>62</v>
      </c>
      <c r="AR1063" s="25" t="s">
        <v>62</v>
      </c>
      <c r="AS1063" s="11" t="str">
        <f>VLOOKUP(C1063,'mayo-26'!B:AS,44,0)</f>
        <v>FACTURASMX@MINEX.COM.CO</v>
      </c>
      <c r="AT1063" s="12" t="str">
        <f>VLOOKUP(C1063,'mayo-26'!B:AT,45,0)</f>
        <v>VERIFICADOR</v>
      </c>
    </row>
    <row r="1064" ht="14.25" customHeight="1">
      <c r="A1064" s="15" t="s">
        <v>2162</v>
      </c>
      <c r="B1064" s="23">
        <v>572861.0</v>
      </c>
      <c r="C1064" s="23">
        <v>484925.0</v>
      </c>
      <c r="D1064" s="23">
        <v>533347.0</v>
      </c>
      <c r="E1064" s="23">
        <v>312745.0</v>
      </c>
      <c r="F1064" s="23">
        <v>312745.0</v>
      </c>
      <c r="G1064" s="24">
        <v>1.3451448E7</v>
      </c>
      <c r="H1064" s="25" t="s">
        <v>2163</v>
      </c>
      <c r="I1064" s="1" t="str">
        <f>VLOOKUP(C1064,'mayo-26'!B:H,7,0)</f>
        <v>CLL 16 7B-72</v>
      </c>
      <c r="J1064" s="1" t="str">
        <f>VLOOKUP(C1064,'mayo-26'!B:I,8,0)</f>
        <v>URB VILLA CELINA</v>
      </c>
      <c r="K1064" s="10" t="str">
        <f>VLOOKUP(C1064,'mayo-26'!B:J,9,0)</f>
        <v>NO</v>
      </c>
      <c r="L1064" s="1" t="str">
        <f>VLOOKUP(C1064,'mayo-26'!B:K,10,0)</f>
        <v>NO</v>
      </c>
      <c r="M1064" s="18" t="s">
        <v>2087</v>
      </c>
      <c r="N1064" s="18" t="s">
        <v>2088</v>
      </c>
      <c r="O1064" s="25" t="s">
        <v>2089</v>
      </c>
      <c r="P1064" s="18" t="s">
        <v>126</v>
      </c>
      <c r="Q1064" s="25" t="s">
        <v>56</v>
      </c>
      <c r="R1064" s="25" t="s">
        <v>90</v>
      </c>
      <c r="S1064" s="25" t="s">
        <v>143</v>
      </c>
      <c r="T1064" s="25" t="s">
        <v>59</v>
      </c>
      <c r="U1064" s="24">
        <v>2026.0</v>
      </c>
      <c r="V1064" s="24">
        <v>6.0</v>
      </c>
      <c r="W1064" s="24">
        <v>1.081874883E9</v>
      </c>
      <c r="X1064" s="24">
        <v>1.081893355E9</v>
      </c>
      <c r="Y1064" s="25" t="s">
        <v>60</v>
      </c>
      <c r="Z1064" s="25" t="s">
        <v>61</v>
      </c>
      <c r="AA1064" s="24">
        <v>450719.12</v>
      </c>
      <c r="AB1064" s="24">
        <v>450719.12</v>
      </c>
      <c r="AC1064" s="26">
        <v>133467.26</v>
      </c>
      <c r="AD1064" s="26">
        <v>1273.0</v>
      </c>
      <c r="AE1064" s="24">
        <v>50317.36</v>
      </c>
      <c r="AF1064" s="24">
        <v>0.0</v>
      </c>
      <c r="AG1064" s="24">
        <v>0.0</v>
      </c>
      <c r="AH1064" s="24">
        <v>0.0</v>
      </c>
      <c r="AI1064" s="24">
        <v>0.0</v>
      </c>
      <c r="AJ1064" s="24">
        <v>450719.12</v>
      </c>
      <c r="AK1064" s="24">
        <v>3677510.36</v>
      </c>
      <c r="AL1064" s="24">
        <v>8.0</v>
      </c>
      <c r="AM1064" s="24">
        <v>416.67</v>
      </c>
      <c r="AN1064" s="24">
        <v>0.0</v>
      </c>
      <c r="AO1064" s="25" t="s">
        <v>62</v>
      </c>
      <c r="AP1064" s="25" t="s">
        <v>62</v>
      </c>
      <c r="AQ1064" s="25" t="s">
        <v>62</v>
      </c>
      <c r="AR1064" s="25" t="s">
        <v>62</v>
      </c>
      <c r="AS1064" s="11" t="str">
        <f>VLOOKUP(C1064,'mayo-26'!B:AS,44,0)</f>
        <v>FACTURACIONRENTAMAX@HOTMAIL.COM</v>
      </c>
      <c r="AT1064" s="12" t="str">
        <f>VLOOKUP(C1064,'mayo-26'!B:AT,45,0)</f>
        <v>CORREO ELECTRONICO CERTIFICADO 472</v>
      </c>
    </row>
    <row r="1065" ht="14.25" customHeight="1">
      <c r="A1065" s="15" t="s">
        <v>2164</v>
      </c>
      <c r="B1065" s="23">
        <v>6.0</v>
      </c>
      <c r="C1065" s="23">
        <v>5.0</v>
      </c>
      <c r="D1065" s="23">
        <v>5.0</v>
      </c>
      <c r="E1065" s="23">
        <v>9.0300041E7</v>
      </c>
      <c r="F1065" s="23">
        <v>9.0300041E7</v>
      </c>
      <c r="G1065" s="24">
        <v>3.7238382E7</v>
      </c>
      <c r="H1065" s="25" t="s">
        <v>2086</v>
      </c>
      <c r="I1065" s="1" t="str">
        <f>VLOOKUP(C1065,'mayo-26'!B:H,7,0)</f>
        <v>AV.9 # 54B-90 APTO 701</v>
      </c>
      <c r="J1065" s="1" t="str">
        <f>VLOOKUP(C1065,'mayo-26'!B:I,8,0)</f>
        <v>LA FLORESTA</v>
      </c>
      <c r="K1065" s="10" t="str">
        <f>VLOOKUP(C1065,'mayo-26'!B:J,9,0)</f>
        <v>EDIFICIO LA FONTANA</v>
      </c>
      <c r="L1065" s="1" t="str">
        <f>VLOOKUP(C1065,'mayo-26'!B:K,10,0)</f>
        <v>EDIFICIO LA FONTANA</v>
      </c>
      <c r="M1065" s="18" t="s">
        <v>2087</v>
      </c>
      <c r="N1065" s="18" t="s">
        <v>2088</v>
      </c>
      <c r="O1065" s="25" t="s">
        <v>2089</v>
      </c>
      <c r="P1065" s="18" t="s">
        <v>126</v>
      </c>
      <c r="Q1065" s="25" t="s">
        <v>218</v>
      </c>
      <c r="R1065" s="25" t="s">
        <v>943</v>
      </c>
      <c r="S1065" s="25" t="s">
        <v>133</v>
      </c>
      <c r="T1065" s="25" t="s">
        <v>59</v>
      </c>
      <c r="U1065" s="24">
        <v>2026.0</v>
      </c>
      <c r="V1065" s="24">
        <v>6.0</v>
      </c>
      <c r="W1065" s="24">
        <v>1.081874812E9</v>
      </c>
      <c r="X1065" s="24">
        <v>1.081893284E9</v>
      </c>
      <c r="Y1065" s="25" t="s">
        <v>60</v>
      </c>
      <c r="Z1065" s="25" t="s">
        <v>61</v>
      </c>
      <c r="AA1065" s="24">
        <v>56568.0</v>
      </c>
      <c r="AB1065" s="24">
        <v>56568.0</v>
      </c>
      <c r="AC1065" s="26">
        <v>18856.0</v>
      </c>
      <c r="AD1065" s="26">
        <v>0.0</v>
      </c>
      <c r="AE1065" s="24">
        <v>0.0</v>
      </c>
      <c r="AF1065" s="24">
        <v>0.0</v>
      </c>
      <c r="AG1065" s="24">
        <v>0.0</v>
      </c>
      <c r="AH1065" s="24">
        <v>0.0</v>
      </c>
      <c r="AI1065" s="24">
        <v>0.0</v>
      </c>
      <c r="AJ1065" s="24">
        <v>56568.0</v>
      </c>
      <c r="AK1065" s="24">
        <v>56568.0</v>
      </c>
      <c r="AL1065" s="24">
        <v>0.0</v>
      </c>
      <c r="AM1065" s="24">
        <v>416.67</v>
      </c>
      <c r="AN1065" s="24">
        <v>0.0</v>
      </c>
      <c r="AO1065" s="25" t="s">
        <v>62</v>
      </c>
      <c r="AP1065" s="25" t="s">
        <v>62</v>
      </c>
      <c r="AQ1065" s="25" t="s">
        <v>62</v>
      </c>
      <c r="AR1065" s="25" t="s">
        <v>62</v>
      </c>
      <c r="AS1065" s="11" t="str">
        <f>VLOOKUP(C1065,'mayo-26'!B:AS,44,0)</f>
        <v>CONTABILIDAD@ALUMARONLINE.COM</v>
      </c>
      <c r="AT1065" s="12" t="str">
        <f>VLOOKUP(C1065,'mayo-26'!B:AT,45,0)</f>
        <v>VERIFICADOR</v>
      </c>
    </row>
    <row r="1066" ht="14.25" customHeight="1">
      <c r="A1066" s="15" t="s">
        <v>2165</v>
      </c>
      <c r="B1066" s="23">
        <v>63966.0</v>
      </c>
      <c r="C1066" s="23">
        <v>63965.0</v>
      </c>
      <c r="D1066" s="23">
        <v>63965.0</v>
      </c>
      <c r="E1066" s="23">
        <v>82501.0</v>
      </c>
      <c r="F1066" s="23">
        <v>82501.0</v>
      </c>
      <c r="G1066" s="24">
        <v>9.00928406E8</v>
      </c>
      <c r="H1066" s="25" t="s">
        <v>2166</v>
      </c>
      <c r="I1066" s="1" t="str">
        <f>VLOOKUP(C1066,'mayo-26'!B:H,7,0)</f>
        <v>MNZ 23 LTE 312</v>
      </c>
      <c r="J1066" s="1" t="str">
        <f>VLOOKUP(C1066,'mayo-26'!B:I,8,0)</f>
        <v>VIDELSO</v>
      </c>
      <c r="K1066" s="10" t="str">
        <f>VLOOKUP(C1066,'mayo-26'!B:J,9,0)</f>
        <v>PATIOS</v>
      </c>
      <c r="L1066" s="1" t="str">
        <f>VLOOKUP(C1066,'mayo-26'!B:K,10,0)</f>
        <v>NO</v>
      </c>
      <c r="M1066" s="18" t="s">
        <v>2087</v>
      </c>
      <c r="N1066" s="18" t="s">
        <v>2088</v>
      </c>
      <c r="O1066" s="25" t="s">
        <v>2089</v>
      </c>
      <c r="P1066" s="18" t="s">
        <v>126</v>
      </c>
      <c r="Q1066" s="25" t="s">
        <v>131</v>
      </c>
      <c r="R1066" s="25" t="s">
        <v>132</v>
      </c>
      <c r="S1066" s="25" t="s">
        <v>133</v>
      </c>
      <c r="T1066" s="25" t="s">
        <v>59</v>
      </c>
      <c r="U1066" s="24">
        <v>2026.0</v>
      </c>
      <c r="V1066" s="24">
        <v>6.0</v>
      </c>
      <c r="W1066" s="24">
        <v>1.081874858E9</v>
      </c>
      <c r="X1066" s="24">
        <v>1.08189333E9</v>
      </c>
      <c r="Y1066" s="25" t="s">
        <v>60</v>
      </c>
      <c r="Z1066" s="25" t="s">
        <v>61</v>
      </c>
      <c r="AA1066" s="24">
        <v>87310.5</v>
      </c>
      <c r="AB1066" s="24">
        <v>87310.5</v>
      </c>
      <c r="AC1066" s="26">
        <v>29103.5</v>
      </c>
      <c r="AD1066" s="26">
        <v>0.0</v>
      </c>
      <c r="AE1066" s="24">
        <v>0.0</v>
      </c>
      <c r="AF1066" s="24">
        <v>0.0</v>
      </c>
      <c r="AG1066" s="24">
        <v>0.0</v>
      </c>
      <c r="AH1066" s="24">
        <v>0.0</v>
      </c>
      <c r="AI1066" s="24">
        <v>0.0</v>
      </c>
      <c r="AJ1066" s="24">
        <v>87310.5</v>
      </c>
      <c r="AK1066" s="24">
        <v>87311.0</v>
      </c>
      <c r="AL1066" s="24">
        <v>1.0</v>
      </c>
      <c r="AM1066" s="24">
        <v>416.67</v>
      </c>
      <c r="AN1066" s="24">
        <v>0.0</v>
      </c>
      <c r="AO1066" s="25" t="s">
        <v>62</v>
      </c>
      <c r="AP1066" s="25" t="s">
        <v>62</v>
      </c>
      <c r="AQ1066" s="25" t="s">
        <v>62</v>
      </c>
      <c r="AR1066" s="25" t="s">
        <v>62</v>
      </c>
      <c r="AS1066" s="11" t="str">
        <f>VLOOKUP(C1066,'mayo-26'!B:AS,44,0)</f>
        <v>CONTABILIDAD@AVICOLAJUNIOR.CO</v>
      </c>
      <c r="AT1066" s="12" t="str">
        <f>VLOOKUP(C1066,'mayo-26'!B:AT,45,0)</f>
        <v>VERIFICADOR</v>
      </c>
    </row>
    <row r="1067" ht="14.25" customHeight="1">
      <c r="A1067" s="15" t="s">
        <v>2167</v>
      </c>
      <c r="B1067" s="23">
        <v>404633.0</v>
      </c>
      <c r="C1067" s="23">
        <v>71613.0</v>
      </c>
      <c r="D1067" s="23">
        <v>71613.0</v>
      </c>
      <c r="E1067" s="23">
        <v>74167.0</v>
      </c>
      <c r="F1067" s="23">
        <v>74167.0</v>
      </c>
      <c r="G1067" s="24">
        <v>8.60002964E8</v>
      </c>
      <c r="H1067" s="25" t="s">
        <v>705</v>
      </c>
      <c r="I1067" s="1" t="str">
        <f>VLOOKUP(C1067,'mayo-26'!B:H,7,0)</f>
        <v>AVE 6 10-82 - CENTRO</v>
      </c>
      <c r="J1067" s="1" t="str">
        <f>VLOOKUP(C1067,'mayo-26'!B:I,8,0)</f>
        <v>PATIOS CENTRO</v>
      </c>
      <c r="K1067" s="10" t="str">
        <f>VLOOKUP(C1067,'mayo-26'!B:J,9,0)</f>
        <v>NO</v>
      </c>
      <c r="L1067" s="1" t="str">
        <f>VLOOKUP(C1067,'mayo-26'!B:K,10,0)</f>
        <v>BANCO BOGOTA</v>
      </c>
      <c r="M1067" s="18" t="s">
        <v>2087</v>
      </c>
      <c r="N1067" s="18" t="s">
        <v>2091</v>
      </c>
      <c r="O1067" s="25" t="s">
        <v>2089</v>
      </c>
      <c r="P1067" s="18" t="s">
        <v>126</v>
      </c>
      <c r="Q1067" s="25" t="s">
        <v>131</v>
      </c>
      <c r="R1067" s="25" t="s">
        <v>363</v>
      </c>
      <c r="S1067" s="25" t="s">
        <v>133</v>
      </c>
      <c r="T1067" s="25" t="s">
        <v>59</v>
      </c>
      <c r="U1067" s="24">
        <v>2026.0</v>
      </c>
      <c r="V1067" s="24">
        <v>6.0</v>
      </c>
      <c r="W1067" s="24">
        <v>1.081874863E9</v>
      </c>
      <c r="X1067" s="24">
        <v>1.081893335E9</v>
      </c>
      <c r="Y1067" s="25" t="s">
        <v>60</v>
      </c>
      <c r="Z1067" s="25" t="s">
        <v>61</v>
      </c>
      <c r="AA1067" s="24">
        <v>51024.0</v>
      </c>
      <c r="AB1067" s="24">
        <v>51024.0</v>
      </c>
      <c r="AC1067" s="26">
        <v>17008.0</v>
      </c>
      <c r="AD1067" s="26">
        <v>0.0</v>
      </c>
      <c r="AE1067" s="24">
        <v>0.0</v>
      </c>
      <c r="AF1067" s="24">
        <v>0.0</v>
      </c>
      <c r="AG1067" s="24">
        <v>0.0</v>
      </c>
      <c r="AH1067" s="24">
        <v>0.0</v>
      </c>
      <c r="AI1067" s="24">
        <v>0.0</v>
      </c>
      <c r="AJ1067" s="24">
        <v>51024.0</v>
      </c>
      <c r="AK1067" s="24">
        <v>51024.0</v>
      </c>
      <c r="AL1067" s="24">
        <v>0.0</v>
      </c>
      <c r="AM1067" s="24">
        <v>416.67</v>
      </c>
      <c r="AN1067" s="24">
        <v>0.0</v>
      </c>
      <c r="AO1067" s="25" t="s">
        <v>62</v>
      </c>
      <c r="AP1067" s="25" t="s">
        <v>62</v>
      </c>
      <c r="AQ1067" s="25" t="s">
        <v>62</v>
      </c>
      <c r="AR1067" s="25" t="s">
        <v>62</v>
      </c>
      <c r="AS1067" s="11" t="str">
        <f>VLOOKUP(C1067,'mayo-26'!B:AS,44,0)</f>
        <v>AVS3260@BANCODEBOGOTA.COM.CO</v>
      </c>
      <c r="AT1067" s="12" t="str">
        <f>VLOOKUP(C1067,'mayo-26'!B:AT,45,0)</f>
        <v>CORREO ELECTRONICO CERTIFICADO 472</v>
      </c>
    </row>
    <row r="1068" ht="14.25" customHeight="1">
      <c r="A1068" s="19" t="s">
        <v>2168</v>
      </c>
      <c r="B1068" s="23">
        <v>699.0</v>
      </c>
      <c r="C1068" s="23">
        <v>72129.0</v>
      </c>
      <c r="D1068" s="23">
        <v>72129.0</v>
      </c>
      <c r="E1068" s="23">
        <v>74652.0</v>
      </c>
      <c r="F1068" s="23">
        <v>74652.0</v>
      </c>
      <c r="G1068" s="24">
        <v>9.00480569E8</v>
      </c>
      <c r="H1068" s="25" t="s">
        <v>141</v>
      </c>
      <c r="I1068" s="1" t="str">
        <f>VLOOKUP(C1068,'mayo-26'!B:H,7,0)</f>
        <v>CLL 12 4-52 CENTRO</v>
      </c>
      <c r="J1068" s="1" t="str">
        <f>VLOOKUP(C1068,'mayo-26'!B:I,8,0)</f>
        <v>LA CORDIALIDAD</v>
      </c>
      <c r="K1068" s="10" t="str">
        <f>VLOOKUP(C1068,'mayo-26'!B:J,9,0)</f>
        <v>NO</v>
      </c>
      <c r="L1068" s="1" t="str">
        <f>VLOOKUP(C1068,'mayo-26'!B:K,10,0)</f>
        <v>ARA PATIOS</v>
      </c>
      <c r="M1068" s="18" t="s">
        <v>2087</v>
      </c>
      <c r="N1068" s="18" t="s">
        <v>2091</v>
      </c>
      <c r="O1068" s="25" t="s">
        <v>2089</v>
      </c>
      <c r="P1068" s="18" t="s">
        <v>126</v>
      </c>
      <c r="Q1068" s="25" t="s">
        <v>56</v>
      </c>
      <c r="R1068" s="25" t="s">
        <v>90</v>
      </c>
      <c r="S1068" s="25" t="s">
        <v>143</v>
      </c>
      <c r="T1068" s="25" t="s">
        <v>59</v>
      </c>
      <c r="U1068" s="24">
        <v>2026.0</v>
      </c>
      <c r="V1068" s="24">
        <v>6.0</v>
      </c>
      <c r="W1068" s="24">
        <v>1.081874865E9</v>
      </c>
      <c r="X1068" s="24">
        <v>1.081893337E9</v>
      </c>
      <c r="Y1068" s="25" t="s">
        <v>60</v>
      </c>
      <c r="Z1068" s="25" t="s">
        <v>61</v>
      </c>
      <c r="AA1068" s="24">
        <v>749859.65</v>
      </c>
      <c r="AB1068" s="24">
        <v>749859.65</v>
      </c>
      <c r="AC1068" s="26">
        <v>247248.18</v>
      </c>
      <c r="AD1068" s="26">
        <v>2433.0</v>
      </c>
      <c r="AE1068" s="24">
        <v>8115.13</v>
      </c>
      <c r="AF1068" s="24">
        <v>0.0</v>
      </c>
      <c r="AG1068" s="24">
        <v>0.0</v>
      </c>
      <c r="AH1068" s="24">
        <v>0.0</v>
      </c>
      <c r="AI1068" s="24">
        <v>0.0</v>
      </c>
      <c r="AJ1068" s="24">
        <v>749859.65</v>
      </c>
      <c r="AK1068" s="24">
        <v>2231291.0</v>
      </c>
      <c r="AL1068" s="24">
        <v>3.0</v>
      </c>
      <c r="AM1068" s="24">
        <v>416.67</v>
      </c>
      <c r="AN1068" s="24">
        <v>0.0</v>
      </c>
      <c r="AO1068" s="25" t="s">
        <v>62</v>
      </c>
      <c r="AP1068" s="25" t="s">
        <v>62</v>
      </c>
      <c r="AQ1068" s="25" t="s">
        <v>62</v>
      </c>
      <c r="AR1068" s="25" t="s">
        <v>62</v>
      </c>
      <c r="AS1068" s="11" t="str">
        <f>VLOOKUP(C1068,'mayo-26'!B:AS,44,0)</f>
        <v>COORDINADOR.OPERACIONES.R11@JERONIMO-MARTINS.COM</v>
      </c>
      <c r="AT1068" s="12" t="str">
        <f>VLOOKUP(C1068,'mayo-26'!B:AT,45,0)</f>
        <v>CORREO ELECTRONICO CERTIFICADO 472</v>
      </c>
    </row>
    <row r="1069" ht="14.25" customHeight="1">
      <c r="A1069" s="15" t="s">
        <v>2169</v>
      </c>
      <c r="B1069" s="23">
        <v>82.0</v>
      </c>
      <c r="C1069" s="23">
        <v>81.0</v>
      </c>
      <c r="D1069" s="23">
        <v>81.0</v>
      </c>
      <c r="E1069" s="23">
        <v>9.0314217E7</v>
      </c>
      <c r="F1069" s="23">
        <v>9.0314217E7</v>
      </c>
      <c r="G1069" s="24">
        <v>9.0314217E7</v>
      </c>
      <c r="H1069" s="25" t="s">
        <v>2170</v>
      </c>
      <c r="I1069" s="1" t="str">
        <f>VLOOKUP(C1069,'mayo-26'!B:H,7,0)</f>
        <v>AV 9 54B-185 APTO 302 FLORESTA</v>
      </c>
      <c r="J1069" s="1" t="str">
        <f>VLOOKUP(C1069,'mayo-26'!B:I,8,0)</f>
        <v>LA FLORESTA</v>
      </c>
      <c r="K1069" s="10" t="str">
        <f>VLOOKUP(C1069,'mayo-26'!B:J,9,0)</f>
        <v>NO</v>
      </c>
      <c r="L1069" s="1" t="str">
        <f>VLOOKUP(C1069,'mayo-26'!B:K,10,0)</f>
        <v>CONST MIRADOR DE LA FLORESTA</v>
      </c>
      <c r="M1069" s="18" t="s">
        <v>2087</v>
      </c>
      <c r="N1069" s="18" t="s">
        <v>2088</v>
      </c>
      <c r="O1069" s="25" t="s">
        <v>2089</v>
      </c>
      <c r="P1069" s="18" t="s">
        <v>126</v>
      </c>
      <c r="Q1069" s="25" t="s">
        <v>218</v>
      </c>
      <c r="R1069" s="25" t="s">
        <v>943</v>
      </c>
      <c r="S1069" s="25" t="s">
        <v>133</v>
      </c>
      <c r="T1069" s="25" t="s">
        <v>59</v>
      </c>
      <c r="U1069" s="24">
        <v>2026.0</v>
      </c>
      <c r="V1069" s="24">
        <v>6.0</v>
      </c>
      <c r="W1069" s="24">
        <v>1.081874849E9</v>
      </c>
      <c r="X1069" s="24">
        <v>1.081893321E9</v>
      </c>
      <c r="Y1069" s="25" t="s">
        <v>60</v>
      </c>
      <c r="Z1069" s="25" t="s">
        <v>61</v>
      </c>
      <c r="AA1069" s="24">
        <v>56568.0</v>
      </c>
      <c r="AB1069" s="24">
        <v>56568.0</v>
      </c>
      <c r="AC1069" s="26">
        <v>18856.0</v>
      </c>
      <c r="AD1069" s="26">
        <v>0.0</v>
      </c>
      <c r="AE1069" s="24">
        <v>0.0</v>
      </c>
      <c r="AF1069" s="24">
        <v>0.0</v>
      </c>
      <c r="AG1069" s="24">
        <v>0.0</v>
      </c>
      <c r="AH1069" s="24">
        <v>0.0</v>
      </c>
      <c r="AI1069" s="24">
        <v>0.0</v>
      </c>
      <c r="AJ1069" s="24">
        <v>56568.0</v>
      </c>
      <c r="AK1069" s="24">
        <v>56568.0</v>
      </c>
      <c r="AL1069" s="24">
        <v>0.0</v>
      </c>
      <c r="AM1069" s="24">
        <v>416.67</v>
      </c>
      <c r="AN1069" s="24">
        <v>0.0</v>
      </c>
      <c r="AO1069" s="25" t="s">
        <v>62</v>
      </c>
      <c r="AP1069" s="25" t="s">
        <v>62</v>
      </c>
      <c r="AQ1069" s="25" t="s">
        <v>62</v>
      </c>
      <c r="AR1069" s="25" t="s">
        <v>62</v>
      </c>
      <c r="AS1069" s="11" t="str">
        <f>VLOOKUP(C1069,'mayo-26'!B:AS,44,0)</f>
        <v/>
      </c>
      <c r="AT1069" s="12" t="str">
        <f>VLOOKUP(C1069,'mayo-26'!B:AT,45,0)</f>
        <v>VERIFICADOR</v>
      </c>
    </row>
    <row r="1070" ht="14.25" customHeight="1">
      <c r="A1070" s="15" t="s">
        <v>2171</v>
      </c>
      <c r="B1070" s="23">
        <v>10.0</v>
      </c>
      <c r="C1070" s="23">
        <v>9.0</v>
      </c>
      <c r="D1070" s="23">
        <v>9.0</v>
      </c>
      <c r="E1070" s="23">
        <v>9.0300045E7</v>
      </c>
      <c r="F1070" s="23">
        <v>9.0300045E7</v>
      </c>
      <c r="G1070" s="24">
        <v>8.8235008E7</v>
      </c>
      <c r="H1070" s="25" t="s">
        <v>2086</v>
      </c>
      <c r="I1070" s="1" t="str">
        <f>VLOOKUP(C1070,'mayo-26'!B:H,7,0)</f>
        <v>AV.9 # 54B-90 APTO 503</v>
      </c>
      <c r="J1070" s="1" t="str">
        <f>VLOOKUP(C1070,'mayo-26'!B:I,8,0)</f>
        <v>LA FLORESTA</v>
      </c>
      <c r="K1070" s="10" t="str">
        <f>VLOOKUP(C1070,'mayo-26'!B:J,9,0)</f>
        <v>EDIFICIO LA FONTANA</v>
      </c>
      <c r="L1070" s="1" t="str">
        <f>VLOOKUP(C1070,'mayo-26'!B:K,10,0)</f>
        <v>EDIFICIO LA FONTANA</v>
      </c>
      <c r="M1070" s="18" t="s">
        <v>2087</v>
      </c>
      <c r="N1070" s="18" t="s">
        <v>2088</v>
      </c>
      <c r="O1070" s="25" t="s">
        <v>2089</v>
      </c>
      <c r="P1070" s="18" t="s">
        <v>126</v>
      </c>
      <c r="Q1070" s="25" t="s">
        <v>218</v>
      </c>
      <c r="R1070" s="25" t="s">
        <v>943</v>
      </c>
      <c r="S1070" s="25" t="s">
        <v>133</v>
      </c>
      <c r="T1070" s="25" t="s">
        <v>59</v>
      </c>
      <c r="U1070" s="24">
        <v>2026.0</v>
      </c>
      <c r="V1070" s="24">
        <v>6.0</v>
      </c>
      <c r="W1070" s="24">
        <v>1.081874815E9</v>
      </c>
      <c r="X1070" s="24">
        <v>1.081893287E9</v>
      </c>
      <c r="Y1070" s="25" t="s">
        <v>60</v>
      </c>
      <c r="Z1070" s="25" t="s">
        <v>61</v>
      </c>
      <c r="AA1070" s="24">
        <v>56568.0</v>
      </c>
      <c r="AB1070" s="24">
        <v>56568.0</v>
      </c>
      <c r="AC1070" s="26">
        <v>18856.0</v>
      </c>
      <c r="AD1070" s="26">
        <v>0.0</v>
      </c>
      <c r="AE1070" s="24">
        <v>0.0</v>
      </c>
      <c r="AF1070" s="24">
        <v>0.0</v>
      </c>
      <c r="AG1070" s="24">
        <v>0.0</v>
      </c>
      <c r="AH1070" s="24">
        <v>0.0</v>
      </c>
      <c r="AI1070" s="24">
        <v>0.0</v>
      </c>
      <c r="AJ1070" s="24">
        <v>56568.0</v>
      </c>
      <c r="AK1070" s="24">
        <v>56568.5</v>
      </c>
      <c r="AL1070" s="24">
        <v>1.0</v>
      </c>
      <c r="AM1070" s="24">
        <v>416.67</v>
      </c>
      <c r="AN1070" s="24">
        <v>0.0</v>
      </c>
      <c r="AO1070" s="25" t="s">
        <v>62</v>
      </c>
      <c r="AP1070" s="25" t="s">
        <v>62</v>
      </c>
      <c r="AQ1070" s="25" t="s">
        <v>62</v>
      </c>
      <c r="AR1070" s="25" t="s">
        <v>62</v>
      </c>
      <c r="AS1070" s="11" t="str">
        <f>VLOOKUP(C1070,'mayo-26'!B:AS,44,0)</f>
        <v>FABIOPENARANDA@HOTMAIL.COM</v>
      </c>
      <c r="AT1070" s="12" t="str">
        <f>VLOOKUP(C1070,'mayo-26'!B:AT,45,0)</f>
        <v>VERIFICADOR</v>
      </c>
    </row>
    <row r="1071" ht="14.25" customHeight="1">
      <c r="A1071" s="15" t="s">
        <v>2172</v>
      </c>
      <c r="B1071" s="23">
        <v>94570.0</v>
      </c>
      <c r="C1071" s="23">
        <v>94569.0</v>
      </c>
      <c r="D1071" s="23">
        <v>94569.0</v>
      </c>
      <c r="E1071" s="23">
        <v>440470.0</v>
      </c>
      <c r="F1071" s="23">
        <v>440470.0</v>
      </c>
      <c r="G1071" s="24">
        <v>9.01025046E8</v>
      </c>
      <c r="H1071" s="25" t="s">
        <v>1080</v>
      </c>
      <c r="I1071" s="1" t="str">
        <f>VLOOKUP(C1071,'mayo-26'!B:H,7,0)</f>
        <v>AV. 10 NRO. 23A -62</v>
      </c>
      <c r="J1071" s="1" t="str">
        <f>VLOOKUP(C1071,'mayo-26'!B:I,8,0)</f>
        <v>11 DE NOVIEMBRE</v>
      </c>
      <c r="K1071" s="10" t="str">
        <f>VLOOKUP(C1071,'mayo-26'!B:J,9,0)</f>
        <v>NO</v>
      </c>
      <c r="L1071" s="1" t="str">
        <f>VLOOKUP(C1071,'mayo-26'!B:K,10,0)</f>
        <v>PUNTO Y FAMA</v>
      </c>
      <c r="M1071" s="18" t="s">
        <v>2087</v>
      </c>
      <c r="N1071" s="18" t="s">
        <v>2088</v>
      </c>
      <c r="O1071" s="25" t="s">
        <v>2089</v>
      </c>
      <c r="P1071" s="18" t="s">
        <v>126</v>
      </c>
      <c r="Q1071" s="25" t="s">
        <v>56</v>
      </c>
      <c r="R1071" s="25" t="s">
        <v>90</v>
      </c>
      <c r="S1071" s="25" t="s">
        <v>143</v>
      </c>
      <c r="T1071" s="25" t="s">
        <v>59</v>
      </c>
      <c r="U1071" s="24">
        <v>2026.0</v>
      </c>
      <c r="V1071" s="24">
        <v>6.0</v>
      </c>
      <c r="W1071" s="24">
        <v>1.081874868E9</v>
      </c>
      <c r="X1071" s="24">
        <v>1.08189334E9</v>
      </c>
      <c r="Y1071" s="25" t="s">
        <v>60</v>
      </c>
      <c r="Z1071" s="25" t="s">
        <v>61</v>
      </c>
      <c r="AA1071" s="24">
        <v>619211.65</v>
      </c>
      <c r="AB1071" s="24">
        <v>619211.65</v>
      </c>
      <c r="AC1071" s="26">
        <v>155733.0</v>
      </c>
      <c r="AD1071" s="26">
        <v>1500.0</v>
      </c>
      <c r="AE1071" s="24">
        <v>152012.65</v>
      </c>
      <c r="AF1071" s="24">
        <v>0.0</v>
      </c>
      <c r="AG1071" s="24">
        <v>0.0</v>
      </c>
      <c r="AH1071" s="24">
        <v>0.0</v>
      </c>
      <c r="AI1071" s="24">
        <v>0.0</v>
      </c>
      <c r="AJ1071" s="24">
        <v>619211.65</v>
      </c>
      <c r="AK1071" s="24">
        <v>9893495.15</v>
      </c>
      <c r="AL1071" s="24">
        <v>19.0</v>
      </c>
      <c r="AM1071" s="24">
        <v>416.67</v>
      </c>
      <c r="AN1071" s="24">
        <v>0.0</v>
      </c>
      <c r="AO1071" s="25" t="s">
        <v>62</v>
      </c>
      <c r="AP1071" s="25" t="s">
        <v>62</v>
      </c>
      <c r="AQ1071" s="25" t="s">
        <v>62</v>
      </c>
      <c r="AR1071" s="25" t="s">
        <v>62</v>
      </c>
      <c r="AS1071" s="11" t="str">
        <f>VLOOKUP(C1071,'mayo-26'!B:AS,44,0)</f>
        <v>FACTURACION@PUNTOYFAMA.CO</v>
      </c>
      <c r="AT1071" s="12" t="str">
        <f>VLOOKUP(C1071,'mayo-26'!B:AT,45,0)</f>
        <v>CORREO ELECTRONICO CERTIFICADO 472</v>
      </c>
    </row>
    <row r="1072" ht="14.25" customHeight="1">
      <c r="A1072" s="15" t="s">
        <v>2173</v>
      </c>
      <c r="B1072" s="23">
        <v>232.0</v>
      </c>
      <c r="C1072" s="23">
        <v>97.0</v>
      </c>
      <c r="D1072" s="23">
        <v>97.0</v>
      </c>
      <c r="E1072" s="23">
        <v>9.0316974E7</v>
      </c>
      <c r="F1072" s="23">
        <v>9.0316974E7</v>
      </c>
      <c r="G1072" s="24">
        <v>8.30122566E8</v>
      </c>
      <c r="H1072" s="25" t="s">
        <v>193</v>
      </c>
      <c r="I1072" s="1" t="str">
        <f>VLOOKUP(C1072,'mayo-26'!B:H,7,0)</f>
        <v>AV 0 N 10-61</v>
      </c>
      <c r="J1072" s="1" t="str">
        <f>VLOOKUP(C1072,'mayo-26'!B:I,8,0)</f>
        <v>SIN DETERMINAR</v>
      </c>
      <c r="K1072" s="10" t="str">
        <f>VLOOKUP(C1072,'mayo-26'!B:J,9,0)</f>
        <v>NO</v>
      </c>
      <c r="L1072" s="1" t="str">
        <f>VLOOKUP(C1072,'mayo-26'!B:K,10,0)</f>
        <v>MOVISTAR</v>
      </c>
      <c r="M1072" s="18" t="s">
        <v>2087</v>
      </c>
      <c r="N1072" s="18" t="s">
        <v>2091</v>
      </c>
      <c r="O1072" s="25" t="s">
        <v>2089</v>
      </c>
      <c r="P1072" s="18" t="s">
        <v>126</v>
      </c>
      <c r="Q1072" s="25" t="s">
        <v>131</v>
      </c>
      <c r="R1072" s="25" t="s">
        <v>363</v>
      </c>
      <c r="S1072" s="25" t="s">
        <v>133</v>
      </c>
      <c r="T1072" s="25" t="s">
        <v>59</v>
      </c>
      <c r="U1072" s="24">
        <v>2026.0</v>
      </c>
      <c r="V1072" s="24">
        <v>6.0</v>
      </c>
      <c r="W1072" s="24">
        <v>1.08187485E9</v>
      </c>
      <c r="X1072" s="24">
        <v>1.081893322E9</v>
      </c>
      <c r="Y1072" s="25" t="s">
        <v>60</v>
      </c>
      <c r="Z1072" s="25" t="s">
        <v>61</v>
      </c>
      <c r="AA1072" s="24">
        <v>51588.81</v>
      </c>
      <c r="AB1072" s="24">
        <v>51588.81</v>
      </c>
      <c r="AC1072" s="26">
        <v>17008.0</v>
      </c>
      <c r="AD1072" s="26">
        <v>0.0</v>
      </c>
      <c r="AE1072" s="24">
        <v>564.81</v>
      </c>
      <c r="AF1072" s="24">
        <v>0.0</v>
      </c>
      <c r="AG1072" s="24">
        <v>0.0</v>
      </c>
      <c r="AH1072" s="24">
        <v>0.0</v>
      </c>
      <c r="AI1072" s="24">
        <v>0.0</v>
      </c>
      <c r="AJ1072" s="24">
        <v>51588.81</v>
      </c>
      <c r="AK1072" s="24">
        <v>153197.3</v>
      </c>
      <c r="AL1072" s="24">
        <v>2.0</v>
      </c>
      <c r="AM1072" s="24">
        <v>416.67</v>
      </c>
      <c r="AN1072" s="24">
        <v>0.0</v>
      </c>
      <c r="AO1072" s="25" t="s">
        <v>62</v>
      </c>
      <c r="AP1072" s="25" t="s">
        <v>62</v>
      </c>
      <c r="AQ1072" s="25" t="s">
        <v>62</v>
      </c>
      <c r="AR1072" s="25" t="s">
        <v>62</v>
      </c>
      <c r="AS1072" s="11" t="str">
        <f>VLOOKUP(C1072,'mayo-26'!B:AS,44,0)</f>
        <v>SERVICIOSPUBLICOS.TC@TELEFONICA.COM; D.CRUZ02@TELEFONICA.COM</v>
      </c>
      <c r="AT1072" s="12" t="str">
        <f>VLOOKUP(C1072,'mayo-26'!B:AT,45,0)</f>
        <v>CORREO ELECTRONICO CERTIFICADO 472</v>
      </c>
    </row>
    <row r="1073" ht="14.25" customHeight="1">
      <c r="A1073" s="15" t="s">
        <v>2174</v>
      </c>
      <c r="B1073" s="23">
        <v>11.0</v>
      </c>
      <c r="C1073" s="23">
        <v>10.0</v>
      </c>
      <c r="D1073" s="23">
        <v>10.0</v>
      </c>
      <c r="E1073" s="23">
        <v>9.0300046E7</v>
      </c>
      <c r="F1073" s="23">
        <v>9.0300046E7</v>
      </c>
      <c r="G1073" s="24">
        <v>2.7681217E7</v>
      </c>
      <c r="H1073" s="25" t="s">
        <v>2086</v>
      </c>
      <c r="I1073" s="1" t="str">
        <f>VLOOKUP(C1073,'mayo-26'!B:H,7,0)</f>
        <v>AVE 9 # 54B-90 APTO 502</v>
      </c>
      <c r="J1073" s="1" t="str">
        <f>VLOOKUP(C1073,'mayo-26'!B:I,8,0)</f>
        <v>LA FLORESTA</v>
      </c>
      <c r="K1073" s="10" t="str">
        <f>VLOOKUP(C1073,'mayo-26'!B:J,9,0)</f>
        <v>EDIFICIO LA FONTANA</v>
      </c>
      <c r="L1073" s="1" t="str">
        <f>VLOOKUP(C1073,'mayo-26'!B:K,10,0)</f>
        <v>EDIFICIO LA FONTANA</v>
      </c>
      <c r="M1073" s="18" t="s">
        <v>2087</v>
      </c>
      <c r="N1073" s="18" t="s">
        <v>2088</v>
      </c>
      <c r="O1073" s="25" t="s">
        <v>2089</v>
      </c>
      <c r="P1073" s="18" t="s">
        <v>126</v>
      </c>
      <c r="Q1073" s="25" t="s">
        <v>218</v>
      </c>
      <c r="R1073" s="25" t="s">
        <v>943</v>
      </c>
      <c r="S1073" s="25" t="s">
        <v>133</v>
      </c>
      <c r="T1073" s="25" t="s">
        <v>59</v>
      </c>
      <c r="U1073" s="24">
        <v>2026.0</v>
      </c>
      <c r="V1073" s="24">
        <v>6.0</v>
      </c>
      <c r="W1073" s="24">
        <v>1.081874817E9</v>
      </c>
      <c r="X1073" s="24">
        <v>1.081893289E9</v>
      </c>
      <c r="Y1073" s="25" t="s">
        <v>60</v>
      </c>
      <c r="Z1073" s="25" t="s">
        <v>61</v>
      </c>
      <c r="AA1073" s="24">
        <v>56568.0</v>
      </c>
      <c r="AB1073" s="24">
        <v>56568.0</v>
      </c>
      <c r="AC1073" s="26">
        <v>18856.0</v>
      </c>
      <c r="AD1073" s="26">
        <v>0.0</v>
      </c>
      <c r="AE1073" s="24">
        <v>0.0</v>
      </c>
      <c r="AF1073" s="24">
        <v>0.0</v>
      </c>
      <c r="AG1073" s="24">
        <v>0.0</v>
      </c>
      <c r="AH1073" s="24">
        <v>0.0</v>
      </c>
      <c r="AI1073" s="24">
        <v>0.0</v>
      </c>
      <c r="AJ1073" s="24">
        <v>56567.0</v>
      </c>
      <c r="AK1073" s="24">
        <v>56567.0</v>
      </c>
      <c r="AL1073" s="24">
        <v>0.0</v>
      </c>
      <c r="AM1073" s="24">
        <v>416.67</v>
      </c>
      <c r="AN1073" s="24">
        <v>0.0</v>
      </c>
      <c r="AO1073" s="25" t="s">
        <v>62</v>
      </c>
      <c r="AP1073" s="25" t="s">
        <v>62</v>
      </c>
      <c r="AQ1073" s="24">
        <v>1.0</v>
      </c>
      <c r="AR1073" s="25" t="s">
        <v>62</v>
      </c>
      <c r="AS1073" s="11" t="str">
        <f>VLOOKUP(C1073,'mayo-26'!B:AS,44,0)</f>
        <v>JACALDE@HOTMAIL.COM</v>
      </c>
      <c r="AT1073" s="12" t="str">
        <f>VLOOKUP(C1073,'mayo-26'!B:AT,45,0)</f>
        <v>VERIFICADOR</v>
      </c>
    </row>
    <row r="1074" ht="14.25" customHeight="1">
      <c r="A1074" s="15" t="s">
        <v>2175</v>
      </c>
      <c r="B1074" s="23">
        <v>350.0</v>
      </c>
      <c r="C1074" s="23">
        <v>102.0</v>
      </c>
      <c r="D1074" s="23">
        <v>102.0</v>
      </c>
      <c r="E1074" s="23">
        <v>9.0323582E7</v>
      </c>
      <c r="F1074" s="23">
        <v>9.0323582E7</v>
      </c>
      <c r="G1074" s="24">
        <v>9.00603041E8</v>
      </c>
      <c r="H1074" s="25" t="s">
        <v>400</v>
      </c>
      <c r="I1074" s="1" t="str">
        <f>VLOOKUP(C1074,'mayo-26'!B:H,7,0)</f>
        <v>AVE 6 7-35 SUPERMERCADO</v>
      </c>
      <c r="J1074" s="1" t="str">
        <f>VLOOKUP(C1074,'mayo-26'!B:I,8,0)</f>
        <v>SAN REMO</v>
      </c>
      <c r="K1074" s="10" t="str">
        <f>VLOOKUP(C1074,'mayo-26'!B:J,9,0)</f>
        <v>NO</v>
      </c>
      <c r="L1074" s="1" t="str">
        <f>VLOOKUP(C1074,'mayo-26'!B:K,10,0)</f>
        <v>LOS MONTES</v>
      </c>
      <c r="M1074" s="18" t="s">
        <v>2087</v>
      </c>
      <c r="N1074" s="18" t="s">
        <v>2088</v>
      </c>
      <c r="O1074" s="25" t="s">
        <v>2089</v>
      </c>
      <c r="P1074" s="18" t="s">
        <v>126</v>
      </c>
      <c r="Q1074" s="25" t="s">
        <v>56</v>
      </c>
      <c r="R1074" s="25" t="s">
        <v>90</v>
      </c>
      <c r="S1074" s="25" t="s">
        <v>143</v>
      </c>
      <c r="T1074" s="25" t="s">
        <v>59</v>
      </c>
      <c r="U1074" s="24">
        <v>2026.0</v>
      </c>
      <c r="V1074" s="24">
        <v>6.0</v>
      </c>
      <c r="W1074" s="24">
        <v>1.081874842E9</v>
      </c>
      <c r="X1074" s="24">
        <v>1.081893314E9</v>
      </c>
      <c r="Y1074" s="25" t="s">
        <v>60</v>
      </c>
      <c r="Z1074" s="25" t="s">
        <v>61</v>
      </c>
      <c r="AA1074" s="24">
        <v>1005730.05</v>
      </c>
      <c r="AB1074" s="24">
        <v>1005730.05</v>
      </c>
      <c r="AC1074" s="26">
        <v>335232.21</v>
      </c>
      <c r="AD1074" s="26">
        <v>3330.0</v>
      </c>
      <c r="AE1074" s="24">
        <v>33.42</v>
      </c>
      <c r="AF1074" s="24">
        <v>0.0</v>
      </c>
      <c r="AG1074" s="24">
        <v>0.0</v>
      </c>
      <c r="AH1074" s="24">
        <v>0.0</v>
      </c>
      <c r="AI1074" s="24">
        <v>0.0</v>
      </c>
      <c r="AJ1074" s="24">
        <v>1005730.05</v>
      </c>
      <c r="AK1074" s="24">
        <v>1005730.05</v>
      </c>
      <c r="AL1074" s="24">
        <v>0.0</v>
      </c>
      <c r="AM1074" s="24">
        <v>416.67</v>
      </c>
      <c r="AN1074" s="24">
        <v>0.0</v>
      </c>
      <c r="AO1074" s="25" t="s">
        <v>62</v>
      </c>
      <c r="AP1074" s="25" t="s">
        <v>62</v>
      </c>
      <c r="AQ1074" s="25" t="s">
        <v>62</v>
      </c>
      <c r="AR1074" s="25" t="s">
        <v>62</v>
      </c>
      <c r="AS1074" s="11" t="str">
        <f>VLOOKUP(C1074,'mayo-26'!B:AS,44,0)</f>
        <v>GASTOS@SUPERLOSMONTES.CO;FACTURAELECTRONICA@SUPERLOSMONTES.CO</v>
      </c>
      <c r="AT1074" s="12" t="str">
        <f>VLOOKUP(C1074,'mayo-26'!B:AT,45,0)</f>
        <v>CORREO ELECTRONICO CERTIFICADO 472</v>
      </c>
    </row>
    <row r="1075" ht="14.25" customHeight="1">
      <c r="A1075" s="15" t="s">
        <v>2176</v>
      </c>
      <c r="B1075" s="23">
        <v>107.0</v>
      </c>
      <c r="C1075" s="23">
        <v>106.0</v>
      </c>
      <c r="D1075" s="23">
        <v>106.0</v>
      </c>
      <c r="E1075" s="23">
        <v>9.0325591E7</v>
      </c>
      <c r="F1075" s="23">
        <v>9.0325591E7</v>
      </c>
      <c r="G1075" s="24">
        <v>8.07007098E8</v>
      </c>
      <c r="H1075" s="25" t="s">
        <v>2177</v>
      </c>
      <c r="I1075" s="1" t="str">
        <f>VLOOKUP(C1075,'mayo-26'!B:H,7,0)</f>
        <v>KM 17 VDA LOS VADOS VIA PAMPLONA</v>
      </c>
      <c r="J1075" s="1" t="str">
        <f>VLOOKUP(C1075,'mayo-26'!B:I,8,0)</f>
        <v>SIN DETERMINAR</v>
      </c>
      <c r="K1075" s="10" t="str">
        <f>VLOOKUP(C1075,'mayo-26'!B:J,9,0)</f>
        <v>PATIOS</v>
      </c>
      <c r="L1075" s="1" t="str">
        <f>VLOOKUP(C1075,'mayo-26'!B:K,10,0)</f>
        <v>NO</v>
      </c>
      <c r="M1075" s="18" t="s">
        <v>2087</v>
      </c>
      <c r="N1075" s="18" t="s">
        <v>2107</v>
      </c>
      <c r="O1075" s="25" t="s">
        <v>2089</v>
      </c>
      <c r="P1075" s="18" t="s">
        <v>126</v>
      </c>
      <c r="Q1075" s="25" t="s">
        <v>56</v>
      </c>
      <c r="R1075" s="25" t="s">
        <v>90</v>
      </c>
      <c r="S1075" s="25" t="s">
        <v>143</v>
      </c>
      <c r="T1075" s="25" t="s">
        <v>59</v>
      </c>
      <c r="U1075" s="24">
        <v>2026.0</v>
      </c>
      <c r="V1075" s="24">
        <v>6.0</v>
      </c>
      <c r="W1075" s="24">
        <v>1.081874848E9</v>
      </c>
      <c r="X1075" s="24">
        <v>1.08189332E9</v>
      </c>
      <c r="Y1075" s="25" t="s">
        <v>60</v>
      </c>
      <c r="Z1075" s="25" t="s">
        <v>61</v>
      </c>
      <c r="AA1075" s="24">
        <v>156086.33</v>
      </c>
      <c r="AB1075" s="24">
        <v>156086.33</v>
      </c>
      <c r="AC1075" s="26">
        <v>51304.0</v>
      </c>
      <c r="AD1075" s="26">
        <v>500.0</v>
      </c>
      <c r="AE1075" s="24">
        <v>2174.33</v>
      </c>
      <c r="AF1075" s="24">
        <v>0.0</v>
      </c>
      <c r="AG1075" s="24">
        <v>0.0</v>
      </c>
      <c r="AH1075" s="24">
        <v>0.0</v>
      </c>
      <c r="AI1075" s="24">
        <v>0.0</v>
      </c>
      <c r="AJ1075" s="24">
        <v>156086.33</v>
      </c>
      <c r="AK1075" s="24">
        <v>156086.33</v>
      </c>
      <c r="AL1075" s="24">
        <v>0.0</v>
      </c>
      <c r="AM1075" s="24">
        <v>416.67</v>
      </c>
      <c r="AN1075" s="24">
        <v>0.0</v>
      </c>
      <c r="AO1075" s="25" t="s">
        <v>62</v>
      </c>
      <c r="AP1075" s="25" t="s">
        <v>62</v>
      </c>
      <c r="AQ1075" s="25" t="s">
        <v>62</v>
      </c>
      <c r="AR1075" s="25" t="s">
        <v>62</v>
      </c>
      <c r="AS1075" s="11" t="str">
        <f>VLOOKUP(C1075,'mayo-26'!B:AS,44,0)</f>
        <v>ceramicaamerica@gmail.com</v>
      </c>
      <c r="AT1075" s="12" t="str">
        <f>VLOOKUP(C1075,'mayo-26'!B:AT,45,0)</f>
        <v>VERIFICADOR</v>
      </c>
    </row>
    <row r="1076" ht="14.25" customHeight="1">
      <c r="A1076" s="15" t="s">
        <v>2178</v>
      </c>
      <c r="B1076" s="23">
        <v>280920.0</v>
      </c>
      <c r="C1076" s="23">
        <v>137226.0</v>
      </c>
      <c r="D1076" s="23">
        <v>137226.0</v>
      </c>
      <c r="E1076" s="23">
        <v>1015202.0</v>
      </c>
      <c r="F1076" s="23">
        <v>1015202.0</v>
      </c>
      <c r="G1076" s="24">
        <v>9.00576569E8</v>
      </c>
      <c r="H1076" s="25" t="s">
        <v>161</v>
      </c>
      <c r="I1076" s="1" t="str">
        <f>VLOOKUP(C1076,'mayo-26'!B:H,7,0)</f>
        <v>AVE 12 5AN-84 1142</v>
      </c>
      <c r="J1076" s="1" t="str">
        <f>VLOOKUP(C1076,'mayo-26'!B:I,8,0)</f>
        <v>TERRAZA LA FLORESTA</v>
      </c>
      <c r="K1076" s="10" t="str">
        <f>VLOOKUP(C1076,'mayo-26'!B:J,9,0)</f>
        <v>NO</v>
      </c>
      <c r="L1076" s="1" t="str">
        <f>VLOOKUP(C1076,'mayo-26'!B:K,10,0)</f>
        <v>BETEL</v>
      </c>
      <c r="M1076" s="18" t="s">
        <v>2087</v>
      </c>
      <c r="N1076" s="18" t="s">
        <v>2088</v>
      </c>
      <c r="O1076" s="25" t="s">
        <v>2089</v>
      </c>
      <c r="P1076" s="18" t="s">
        <v>126</v>
      </c>
      <c r="Q1076" s="25" t="s">
        <v>56</v>
      </c>
      <c r="R1076" s="25" t="s">
        <v>90</v>
      </c>
      <c r="S1076" s="25" t="s">
        <v>143</v>
      </c>
      <c r="T1076" s="25" t="s">
        <v>59</v>
      </c>
      <c r="U1076" s="24">
        <v>2026.0</v>
      </c>
      <c r="V1076" s="24">
        <v>6.0</v>
      </c>
      <c r="W1076" s="24">
        <v>1.081874853E9</v>
      </c>
      <c r="X1076" s="24">
        <v>1.081893325E9</v>
      </c>
      <c r="Y1076" s="25" t="s">
        <v>60</v>
      </c>
      <c r="Z1076" s="25" t="s">
        <v>61</v>
      </c>
      <c r="AA1076" s="24">
        <v>615415.71</v>
      </c>
      <c r="AB1076" s="24">
        <v>615415.71</v>
      </c>
      <c r="AC1076" s="26">
        <v>182216.49</v>
      </c>
      <c r="AD1076" s="26">
        <v>1770.0</v>
      </c>
      <c r="AE1076" s="24">
        <v>68766.24</v>
      </c>
      <c r="AF1076" s="24">
        <v>0.0</v>
      </c>
      <c r="AG1076" s="24">
        <v>0.0</v>
      </c>
      <c r="AH1076" s="24">
        <v>0.0</v>
      </c>
      <c r="AI1076" s="24">
        <v>0.0</v>
      </c>
      <c r="AJ1076" s="24">
        <v>615415.71</v>
      </c>
      <c r="AK1076" s="24">
        <v>5058864.59</v>
      </c>
      <c r="AL1076" s="24">
        <v>8.0</v>
      </c>
      <c r="AM1076" s="24">
        <v>416.67</v>
      </c>
      <c r="AN1076" s="24">
        <v>0.0</v>
      </c>
      <c r="AO1076" s="25" t="s">
        <v>62</v>
      </c>
      <c r="AP1076" s="25" t="s">
        <v>62</v>
      </c>
      <c r="AQ1076" s="25" t="s">
        <v>62</v>
      </c>
      <c r="AR1076" s="25" t="s">
        <v>62</v>
      </c>
      <c r="AS1076" s="11" t="str">
        <f>VLOOKUP(C1076,'mayo-26'!B:AS,44,0)</f>
        <v>COORDTESORERIASUPERBETEL@GMAIL.COM</v>
      </c>
      <c r="AT1076" s="12" t="str">
        <f>VLOOKUP(C1076,'mayo-26'!B:AT,45,0)</f>
        <v>CORREO ELECTRONICO CERTIFICADO 472</v>
      </c>
    </row>
    <row r="1077" ht="14.25" customHeight="1">
      <c r="A1077" s="15" t="s">
        <v>2179</v>
      </c>
      <c r="B1077" s="23">
        <v>15.0</v>
      </c>
      <c r="C1077" s="23">
        <v>14.0</v>
      </c>
      <c r="D1077" s="23">
        <v>14.0</v>
      </c>
      <c r="E1077" s="23">
        <v>9.030005E7</v>
      </c>
      <c r="F1077" s="23">
        <v>9.030005E7</v>
      </c>
      <c r="G1077" s="24">
        <v>1.050310032E9</v>
      </c>
      <c r="H1077" s="25" t="s">
        <v>2086</v>
      </c>
      <c r="I1077" s="1" t="str">
        <f>VLOOKUP(C1077,'mayo-26'!B:H,7,0)</f>
        <v>AVE 9# 54B-90 APTO 401</v>
      </c>
      <c r="J1077" s="1" t="str">
        <f>VLOOKUP(C1077,'mayo-26'!B:I,8,0)</f>
        <v>LA FLORESTA</v>
      </c>
      <c r="K1077" s="10" t="str">
        <f>VLOOKUP(C1077,'mayo-26'!B:J,9,0)</f>
        <v>EDIFICIO LA FONTANA</v>
      </c>
      <c r="L1077" s="1" t="str">
        <f>VLOOKUP(C1077,'mayo-26'!B:K,10,0)</f>
        <v>EDIFICIO LA FONTANA</v>
      </c>
      <c r="M1077" s="18" t="s">
        <v>2087</v>
      </c>
      <c r="N1077" s="18" t="s">
        <v>2088</v>
      </c>
      <c r="O1077" s="25" t="s">
        <v>2089</v>
      </c>
      <c r="P1077" s="18" t="s">
        <v>126</v>
      </c>
      <c r="Q1077" s="25" t="s">
        <v>218</v>
      </c>
      <c r="R1077" s="25" t="s">
        <v>943</v>
      </c>
      <c r="S1077" s="25" t="s">
        <v>133</v>
      </c>
      <c r="T1077" s="25" t="s">
        <v>59</v>
      </c>
      <c r="U1077" s="24">
        <v>2026.0</v>
      </c>
      <c r="V1077" s="24">
        <v>6.0</v>
      </c>
      <c r="W1077" s="24">
        <v>1.08187482E9</v>
      </c>
      <c r="X1077" s="24">
        <v>1.081893292E9</v>
      </c>
      <c r="Y1077" s="25" t="s">
        <v>60</v>
      </c>
      <c r="Z1077" s="25" t="s">
        <v>61</v>
      </c>
      <c r="AA1077" s="24">
        <v>56568.0</v>
      </c>
      <c r="AB1077" s="24">
        <v>56568.0</v>
      </c>
      <c r="AC1077" s="26">
        <v>18856.0</v>
      </c>
      <c r="AD1077" s="26">
        <v>0.0</v>
      </c>
      <c r="AE1077" s="24">
        <v>0.0</v>
      </c>
      <c r="AF1077" s="24">
        <v>0.0</v>
      </c>
      <c r="AG1077" s="24">
        <v>0.0</v>
      </c>
      <c r="AH1077" s="24">
        <v>0.0</v>
      </c>
      <c r="AI1077" s="24">
        <v>0.0</v>
      </c>
      <c r="AJ1077" s="24">
        <v>56568.0</v>
      </c>
      <c r="AK1077" s="24">
        <v>56568.5</v>
      </c>
      <c r="AL1077" s="24">
        <v>1.0</v>
      </c>
      <c r="AM1077" s="24">
        <v>416.67</v>
      </c>
      <c r="AN1077" s="24">
        <v>0.0</v>
      </c>
      <c r="AO1077" s="25" t="s">
        <v>62</v>
      </c>
      <c r="AP1077" s="25" t="s">
        <v>62</v>
      </c>
      <c r="AQ1077" s="25" t="s">
        <v>62</v>
      </c>
      <c r="AR1077" s="25" t="s">
        <v>62</v>
      </c>
      <c r="AS1077" s="11" t="str">
        <f>VLOOKUP(C1077,'mayo-26'!B:AS,44,0)</f>
        <v>JAIMESOSCAR0099@GMAIL.COM</v>
      </c>
      <c r="AT1077" s="12" t="str">
        <f>VLOOKUP(C1077,'mayo-26'!B:AT,45,0)</f>
        <v>VERIFICADOR</v>
      </c>
    </row>
    <row r="1078" ht="14.25" customHeight="1">
      <c r="A1078" s="15" t="s">
        <v>2180</v>
      </c>
      <c r="B1078" s="23">
        <v>19.0</v>
      </c>
      <c r="C1078" s="23">
        <v>18.0</v>
      </c>
      <c r="D1078" s="23">
        <v>18.0</v>
      </c>
      <c r="E1078" s="23">
        <v>9.0300054E7</v>
      </c>
      <c r="F1078" s="23">
        <v>9.0300054E7</v>
      </c>
      <c r="G1078" s="24">
        <v>7.9263577E7</v>
      </c>
      <c r="H1078" s="25" t="s">
        <v>2094</v>
      </c>
      <c r="I1078" s="1" t="str">
        <f>VLOOKUP(C1078,'mayo-26'!B:H,7,0)</f>
        <v>AVE 9 # 54B-90 APTO 203</v>
      </c>
      <c r="J1078" s="1" t="str">
        <f>VLOOKUP(C1078,'mayo-26'!B:I,8,0)</f>
        <v>LA FLORESTA</v>
      </c>
      <c r="K1078" s="10" t="str">
        <f>VLOOKUP(C1078,'mayo-26'!B:J,9,0)</f>
        <v>EDIFICIO LA FONTANA</v>
      </c>
      <c r="L1078" s="1" t="str">
        <f>VLOOKUP(C1078,'mayo-26'!B:K,10,0)</f>
        <v>EDIFICIO LA FONTANA</v>
      </c>
      <c r="M1078" s="18" t="s">
        <v>2087</v>
      </c>
      <c r="N1078" s="18" t="s">
        <v>2088</v>
      </c>
      <c r="O1078" s="25" t="s">
        <v>2089</v>
      </c>
      <c r="P1078" s="18" t="s">
        <v>126</v>
      </c>
      <c r="Q1078" s="25" t="s">
        <v>218</v>
      </c>
      <c r="R1078" s="25" t="s">
        <v>943</v>
      </c>
      <c r="S1078" s="25" t="s">
        <v>133</v>
      </c>
      <c r="T1078" s="25" t="s">
        <v>59</v>
      </c>
      <c r="U1078" s="24">
        <v>2026.0</v>
      </c>
      <c r="V1078" s="24">
        <v>6.0</v>
      </c>
      <c r="W1078" s="24">
        <v>1.081874824E9</v>
      </c>
      <c r="X1078" s="24">
        <v>1.081893296E9</v>
      </c>
      <c r="Y1078" s="25" t="s">
        <v>60</v>
      </c>
      <c r="Z1078" s="25" t="s">
        <v>61</v>
      </c>
      <c r="AA1078" s="24">
        <v>58333.19</v>
      </c>
      <c r="AB1078" s="24">
        <v>58333.19</v>
      </c>
      <c r="AC1078" s="26">
        <v>18856.0</v>
      </c>
      <c r="AD1078" s="26">
        <v>0.0</v>
      </c>
      <c r="AE1078" s="24">
        <v>1765.19</v>
      </c>
      <c r="AF1078" s="24">
        <v>0.0</v>
      </c>
      <c r="AG1078" s="24">
        <v>0.0</v>
      </c>
      <c r="AH1078" s="24">
        <v>0.0</v>
      </c>
      <c r="AI1078" s="24">
        <v>0.0</v>
      </c>
      <c r="AJ1078" s="24">
        <v>58333.19</v>
      </c>
      <c r="AK1078" s="24">
        <v>58334.04</v>
      </c>
      <c r="AL1078" s="24">
        <v>1.0</v>
      </c>
      <c r="AM1078" s="24">
        <v>416.67</v>
      </c>
      <c r="AN1078" s="24">
        <v>0.0</v>
      </c>
      <c r="AO1078" s="25" t="s">
        <v>62</v>
      </c>
      <c r="AP1078" s="25" t="s">
        <v>62</v>
      </c>
      <c r="AQ1078" s="25" t="s">
        <v>62</v>
      </c>
      <c r="AR1078" s="25" t="s">
        <v>62</v>
      </c>
      <c r="AS1078" s="11" t="str">
        <f>VLOOKUP(C1078,'mayo-26'!B:AS,44,0)</f>
        <v>ASISTENTEPARQUESURBANOS@GMAIL.COM</v>
      </c>
      <c r="AT1078" s="12" t="str">
        <f>VLOOKUP(C1078,'mayo-26'!B:AT,45,0)</f>
        <v>VERIFICADOR</v>
      </c>
    </row>
    <row r="1079" ht="14.25" customHeight="1">
      <c r="A1079" s="15" t="s">
        <v>2181</v>
      </c>
      <c r="B1079" s="23">
        <v>3.0</v>
      </c>
      <c r="C1079" s="23">
        <v>2.0</v>
      </c>
      <c r="D1079" s="23">
        <v>2.0</v>
      </c>
      <c r="E1079" s="23">
        <v>9.0300065E7</v>
      </c>
      <c r="F1079" s="23">
        <v>9.0300065E7</v>
      </c>
      <c r="G1079" s="24">
        <v>6.1744151992E10</v>
      </c>
      <c r="H1079" s="25" t="s">
        <v>2097</v>
      </c>
      <c r="I1079" s="1" t="str">
        <f>VLOOKUP(C1079,'mayo-26'!B:H,7,0)</f>
        <v>AV.9 #54B-185 APTO.303</v>
      </c>
      <c r="J1079" s="1" t="str">
        <f>VLOOKUP(C1079,'mayo-26'!B:I,8,0)</f>
        <v>LA FLORESTA</v>
      </c>
      <c r="K1079" s="10" t="str">
        <f>VLOOKUP(C1079,'mayo-26'!B:J,9,0)</f>
        <v>NO</v>
      </c>
      <c r="L1079" s="1" t="str">
        <f>VLOOKUP(C1079,'mayo-26'!B:K,10,0)</f>
        <v>CONST MIRADOR DE LA FLORESTA</v>
      </c>
      <c r="M1079" s="18" t="s">
        <v>2087</v>
      </c>
      <c r="N1079" s="18" t="s">
        <v>2088</v>
      </c>
      <c r="O1079" s="25" t="s">
        <v>2089</v>
      </c>
      <c r="P1079" s="18" t="s">
        <v>126</v>
      </c>
      <c r="Q1079" s="25" t="s">
        <v>218</v>
      </c>
      <c r="R1079" s="25" t="s">
        <v>943</v>
      </c>
      <c r="S1079" s="25" t="s">
        <v>133</v>
      </c>
      <c r="T1079" s="25" t="s">
        <v>59</v>
      </c>
      <c r="U1079" s="24">
        <v>2026.0</v>
      </c>
      <c r="V1079" s="24">
        <v>6.0</v>
      </c>
      <c r="W1079" s="24">
        <v>1.081874809E9</v>
      </c>
      <c r="X1079" s="24">
        <v>1.081893281E9</v>
      </c>
      <c r="Y1079" s="25" t="s">
        <v>60</v>
      </c>
      <c r="Z1079" s="25" t="s">
        <v>61</v>
      </c>
      <c r="AA1079" s="24">
        <v>56568.0</v>
      </c>
      <c r="AB1079" s="24">
        <v>56568.0</v>
      </c>
      <c r="AC1079" s="26">
        <v>18856.0</v>
      </c>
      <c r="AD1079" s="26">
        <v>0.0</v>
      </c>
      <c r="AE1079" s="24">
        <v>0.0</v>
      </c>
      <c r="AF1079" s="24">
        <v>0.0</v>
      </c>
      <c r="AG1079" s="24">
        <v>0.0</v>
      </c>
      <c r="AH1079" s="24">
        <v>0.0</v>
      </c>
      <c r="AI1079" s="24">
        <v>0.0</v>
      </c>
      <c r="AJ1079" s="24">
        <v>56568.0</v>
      </c>
      <c r="AK1079" s="24">
        <v>56568.5</v>
      </c>
      <c r="AL1079" s="24">
        <v>1.0</v>
      </c>
      <c r="AM1079" s="24">
        <v>416.67</v>
      </c>
      <c r="AN1079" s="24">
        <v>0.0</v>
      </c>
      <c r="AO1079" s="25" t="s">
        <v>62</v>
      </c>
      <c r="AP1079" s="25" t="s">
        <v>62</v>
      </c>
      <c r="AQ1079" s="25" t="s">
        <v>62</v>
      </c>
      <c r="AR1079" s="25" t="s">
        <v>62</v>
      </c>
      <c r="AS1079" s="11" t="str">
        <f>VLOOKUP(C1079,'mayo-26'!B:AS,44,0)</f>
        <v/>
      </c>
      <c r="AT1079" s="12" t="str">
        <f>VLOOKUP(C1079,'mayo-26'!B:AT,45,0)</f>
        <v>VERIFICADOR</v>
      </c>
    </row>
    <row r="1080" ht="14.25" customHeight="1">
      <c r="A1080" s="15" t="s">
        <v>2182</v>
      </c>
      <c r="B1080" s="23">
        <v>23.0</v>
      </c>
      <c r="C1080" s="23">
        <v>22.0</v>
      </c>
      <c r="D1080" s="23">
        <v>22.0</v>
      </c>
      <c r="E1080" s="23">
        <v>9.0300058E7</v>
      </c>
      <c r="F1080" s="23">
        <v>9.0300058E7</v>
      </c>
      <c r="G1080" s="24">
        <v>9.0300058E7</v>
      </c>
      <c r="H1080" s="25" t="s">
        <v>2097</v>
      </c>
      <c r="I1080" s="1" t="str">
        <f>VLOOKUP(C1080,'mayo-26'!B:H,7,0)</f>
        <v>AV.9 #54B-185 APTO.101</v>
      </c>
      <c r="J1080" s="1" t="str">
        <f>VLOOKUP(C1080,'mayo-26'!B:I,8,0)</f>
        <v>LA FLORESTA</v>
      </c>
      <c r="K1080" s="10" t="str">
        <f>VLOOKUP(C1080,'mayo-26'!B:J,9,0)</f>
        <v>NO</v>
      </c>
      <c r="L1080" s="1" t="str">
        <f>VLOOKUP(C1080,'mayo-26'!B:K,10,0)</f>
        <v>CONST MIRADOR DE LA FLORESTA</v>
      </c>
      <c r="M1080" s="18" t="s">
        <v>2087</v>
      </c>
      <c r="N1080" s="18" t="s">
        <v>2088</v>
      </c>
      <c r="O1080" s="25" t="s">
        <v>2089</v>
      </c>
      <c r="P1080" s="18" t="s">
        <v>126</v>
      </c>
      <c r="Q1080" s="25" t="s">
        <v>218</v>
      </c>
      <c r="R1080" s="25" t="s">
        <v>943</v>
      </c>
      <c r="S1080" s="25" t="s">
        <v>133</v>
      </c>
      <c r="T1080" s="25" t="s">
        <v>59</v>
      </c>
      <c r="U1080" s="24">
        <v>2026.0</v>
      </c>
      <c r="V1080" s="24">
        <v>6.0</v>
      </c>
      <c r="W1080" s="24">
        <v>1.081874828E9</v>
      </c>
      <c r="X1080" s="24">
        <v>1.0818933E9</v>
      </c>
      <c r="Y1080" s="25" t="s">
        <v>60</v>
      </c>
      <c r="Z1080" s="25" t="s">
        <v>61</v>
      </c>
      <c r="AA1080" s="24">
        <v>56580.65</v>
      </c>
      <c r="AB1080" s="24">
        <v>56580.65</v>
      </c>
      <c r="AC1080" s="26">
        <v>18856.0</v>
      </c>
      <c r="AD1080" s="26">
        <v>0.0</v>
      </c>
      <c r="AE1080" s="24">
        <v>12.65</v>
      </c>
      <c r="AF1080" s="24">
        <v>0.0</v>
      </c>
      <c r="AG1080" s="24">
        <v>0.0</v>
      </c>
      <c r="AH1080" s="24">
        <v>0.0</v>
      </c>
      <c r="AI1080" s="24">
        <v>0.0</v>
      </c>
      <c r="AJ1080" s="24">
        <v>56580.65</v>
      </c>
      <c r="AK1080" s="24">
        <v>56581.0</v>
      </c>
      <c r="AL1080" s="24">
        <v>1.0</v>
      </c>
      <c r="AM1080" s="24">
        <v>416.67</v>
      </c>
      <c r="AN1080" s="24">
        <v>0.0</v>
      </c>
      <c r="AO1080" s="25" t="s">
        <v>62</v>
      </c>
      <c r="AP1080" s="25" t="s">
        <v>62</v>
      </c>
      <c r="AQ1080" s="25" t="s">
        <v>62</v>
      </c>
      <c r="AR1080" s="25" t="s">
        <v>62</v>
      </c>
      <c r="AS1080" s="11" t="str">
        <f>VLOOKUP(C1080,'mayo-26'!B:AS,44,0)</f>
        <v>MINITACHI@GMAIL.COM</v>
      </c>
      <c r="AT1080" s="12" t="str">
        <f>VLOOKUP(C1080,'mayo-26'!B:AT,45,0)</f>
        <v>VERIFICADOR</v>
      </c>
    </row>
    <row r="1081" ht="14.25" customHeight="1">
      <c r="A1081" s="15" t="s">
        <v>2183</v>
      </c>
      <c r="B1081" s="23">
        <v>27.0</v>
      </c>
      <c r="C1081" s="23">
        <v>26.0</v>
      </c>
      <c r="D1081" s="23">
        <v>26.0</v>
      </c>
      <c r="E1081" s="23">
        <v>9.0300062E7</v>
      </c>
      <c r="F1081" s="23">
        <v>9.0300062E7</v>
      </c>
      <c r="G1081" s="24">
        <v>1.3499739E7</v>
      </c>
      <c r="H1081" s="25" t="s">
        <v>2097</v>
      </c>
      <c r="I1081" s="1" t="str">
        <f>VLOOKUP(C1081,'mayo-26'!B:H,7,0)</f>
        <v>AV.9 #54B-185 APTO.203</v>
      </c>
      <c r="J1081" s="1" t="str">
        <f>VLOOKUP(C1081,'mayo-26'!B:I,8,0)</f>
        <v>LA FLORESTA</v>
      </c>
      <c r="K1081" s="10" t="str">
        <f>VLOOKUP(C1081,'mayo-26'!B:J,9,0)</f>
        <v>NO</v>
      </c>
      <c r="L1081" s="1" t="str">
        <f>VLOOKUP(C1081,'mayo-26'!B:K,10,0)</f>
        <v>CONST MIRADOR DE LA FLORESTA</v>
      </c>
      <c r="M1081" s="18" t="s">
        <v>2087</v>
      </c>
      <c r="N1081" s="18" t="s">
        <v>2088</v>
      </c>
      <c r="O1081" s="25" t="s">
        <v>2089</v>
      </c>
      <c r="P1081" s="18" t="s">
        <v>126</v>
      </c>
      <c r="Q1081" s="25" t="s">
        <v>218</v>
      </c>
      <c r="R1081" s="25" t="s">
        <v>943</v>
      </c>
      <c r="S1081" s="25" t="s">
        <v>133</v>
      </c>
      <c r="T1081" s="25" t="s">
        <v>59</v>
      </c>
      <c r="U1081" s="24">
        <v>2026.0</v>
      </c>
      <c r="V1081" s="24">
        <v>6.0</v>
      </c>
      <c r="W1081" s="24">
        <v>1.081874832E9</v>
      </c>
      <c r="X1081" s="24">
        <v>1.081893304E9</v>
      </c>
      <c r="Y1081" s="25" t="s">
        <v>60</v>
      </c>
      <c r="Z1081" s="25" t="s">
        <v>61</v>
      </c>
      <c r="AA1081" s="24">
        <v>56568.0</v>
      </c>
      <c r="AB1081" s="24">
        <v>56568.0</v>
      </c>
      <c r="AC1081" s="26">
        <v>18856.0</v>
      </c>
      <c r="AD1081" s="26">
        <v>0.0</v>
      </c>
      <c r="AE1081" s="24">
        <v>0.0</v>
      </c>
      <c r="AF1081" s="24">
        <v>0.0</v>
      </c>
      <c r="AG1081" s="24">
        <v>0.0</v>
      </c>
      <c r="AH1081" s="24">
        <v>0.0</v>
      </c>
      <c r="AI1081" s="24">
        <v>0.0</v>
      </c>
      <c r="AJ1081" s="24">
        <v>91.0</v>
      </c>
      <c r="AK1081" s="24">
        <v>91.0</v>
      </c>
      <c r="AL1081" s="24">
        <v>0.0</v>
      </c>
      <c r="AM1081" s="24">
        <v>416.67</v>
      </c>
      <c r="AN1081" s="24">
        <v>0.0</v>
      </c>
      <c r="AO1081" s="25" t="s">
        <v>62</v>
      </c>
      <c r="AP1081" s="25" t="s">
        <v>62</v>
      </c>
      <c r="AQ1081" s="24">
        <v>56477.0</v>
      </c>
      <c r="AR1081" s="25" t="s">
        <v>62</v>
      </c>
      <c r="AS1081" s="11" t="str">
        <f>VLOOKUP(C1081,'mayo-26'!B:AS,44,0)</f>
        <v>JENNY.GIL@VEOLIA.COM</v>
      </c>
      <c r="AT1081" s="12" t="str">
        <f>VLOOKUP(C1081,'mayo-26'!B:AT,45,0)</f>
        <v>VERIFICADOR</v>
      </c>
    </row>
    <row r="1082" ht="14.25" customHeight="1">
      <c r="A1082" s="15" t="s">
        <v>2184</v>
      </c>
      <c r="B1082" s="23">
        <v>31.0</v>
      </c>
      <c r="C1082" s="23">
        <v>30.0</v>
      </c>
      <c r="D1082" s="23">
        <v>30.0</v>
      </c>
      <c r="E1082" s="23">
        <v>9.0300069E7</v>
      </c>
      <c r="F1082" s="23">
        <v>9.0300069E7</v>
      </c>
      <c r="G1082" s="24">
        <v>9.00232107E8</v>
      </c>
      <c r="H1082" s="25" t="s">
        <v>2097</v>
      </c>
      <c r="I1082" s="1" t="str">
        <f>VLOOKUP(C1082,'mayo-26'!B:H,7,0)</f>
        <v>AV.9 #54B-185 APTO.501</v>
      </c>
      <c r="J1082" s="1" t="str">
        <f>VLOOKUP(C1082,'mayo-26'!B:I,8,0)</f>
        <v>LA FLORESTA</v>
      </c>
      <c r="K1082" s="10" t="str">
        <f>VLOOKUP(C1082,'mayo-26'!B:J,9,0)</f>
        <v>NO</v>
      </c>
      <c r="L1082" s="1" t="str">
        <f>VLOOKUP(C1082,'mayo-26'!B:K,10,0)</f>
        <v>CONST MIRADOR DE LA FLORESTA</v>
      </c>
      <c r="M1082" s="18" t="s">
        <v>2087</v>
      </c>
      <c r="N1082" s="18" t="s">
        <v>2088</v>
      </c>
      <c r="O1082" s="25" t="s">
        <v>2089</v>
      </c>
      <c r="P1082" s="18" t="s">
        <v>126</v>
      </c>
      <c r="Q1082" s="25" t="s">
        <v>218</v>
      </c>
      <c r="R1082" s="25" t="s">
        <v>943</v>
      </c>
      <c r="S1082" s="25" t="s">
        <v>133</v>
      </c>
      <c r="T1082" s="25" t="s">
        <v>59</v>
      </c>
      <c r="U1082" s="24">
        <v>2026.0</v>
      </c>
      <c r="V1082" s="24">
        <v>6.0</v>
      </c>
      <c r="W1082" s="24">
        <v>1.081874835E9</v>
      </c>
      <c r="X1082" s="24">
        <v>1.081893307E9</v>
      </c>
      <c r="Y1082" s="25" t="s">
        <v>60</v>
      </c>
      <c r="Z1082" s="25" t="s">
        <v>61</v>
      </c>
      <c r="AA1082" s="24">
        <v>68245.14</v>
      </c>
      <c r="AB1082" s="24">
        <v>68245.14</v>
      </c>
      <c r="AC1082" s="26">
        <v>18856.0</v>
      </c>
      <c r="AD1082" s="26">
        <v>0.0</v>
      </c>
      <c r="AE1082" s="24">
        <v>11677.14</v>
      </c>
      <c r="AF1082" s="24">
        <v>0.0</v>
      </c>
      <c r="AG1082" s="24">
        <v>0.0</v>
      </c>
      <c r="AH1082" s="24">
        <v>0.0</v>
      </c>
      <c r="AI1082" s="24">
        <v>0.0</v>
      </c>
      <c r="AJ1082" s="24">
        <v>68245.14</v>
      </c>
      <c r="AK1082" s="24">
        <v>786631.33</v>
      </c>
      <c r="AL1082" s="24">
        <v>13.0</v>
      </c>
      <c r="AM1082" s="24">
        <v>416.67</v>
      </c>
      <c r="AN1082" s="24">
        <v>0.0</v>
      </c>
      <c r="AO1082" s="25" t="s">
        <v>62</v>
      </c>
      <c r="AP1082" s="25" t="s">
        <v>62</v>
      </c>
      <c r="AQ1082" s="25" t="s">
        <v>62</v>
      </c>
      <c r="AR1082" s="25" t="s">
        <v>62</v>
      </c>
      <c r="AS1082" s="11" t="str">
        <f>VLOOKUP(C1082,'mayo-26'!B:AS,44,0)</f>
        <v>SAKIPACHECO@GMAIL.COM</v>
      </c>
      <c r="AT1082" s="12" t="str">
        <f>VLOOKUP(C1082,'mayo-26'!B:AT,45,0)</f>
        <v>VERIFICADOR</v>
      </c>
    </row>
    <row r="1083" ht="14.25" customHeight="1">
      <c r="A1083" s="15" t="s">
        <v>2185</v>
      </c>
      <c r="B1083" s="23">
        <v>35.0</v>
      </c>
      <c r="C1083" s="23">
        <v>34.0</v>
      </c>
      <c r="D1083" s="23">
        <v>34.0</v>
      </c>
      <c r="E1083" s="23">
        <v>9.0300074E7</v>
      </c>
      <c r="F1083" s="23">
        <v>9.0300074E7</v>
      </c>
      <c r="G1083" s="24">
        <v>9.0300074E7</v>
      </c>
      <c r="H1083" s="25" t="s">
        <v>2097</v>
      </c>
      <c r="I1083" s="1" t="str">
        <f>VLOOKUP(C1083,'mayo-26'!B:H,7,0)</f>
        <v>AV.9 #54B-185 APTO.603</v>
      </c>
      <c r="J1083" s="1" t="str">
        <f>VLOOKUP(C1083,'mayo-26'!B:I,8,0)</f>
        <v>LA FLORESTA</v>
      </c>
      <c r="K1083" s="10" t="str">
        <f>VLOOKUP(C1083,'mayo-26'!B:J,9,0)</f>
        <v>NO</v>
      </c>
      <c r="L1083" s="1" t="str">
        <f>VLOOKUP(C1083,'mayo-26'!B:K,10,0)</f>
        <v>CONST MIRADOR DE LA FLORESTA</v>
      </c>
      <c r="M1083" s="18" t="s">
        <v>2087</v>
      </c>
      <c r="N1083" s="18" t="s">
        <v>2088</v>
      </c>
      <c r="O1083" s="25" t="s">
        <v>2089</v>
      </c>
      <c r="P1083" s="18" t="s">
        <v>126</v>
      </c>
      <c r="Q1083" s="25" t="s">
        <v>218</v>
      </c>
      <c r="R1083" s="25" t="s">
        <v>943</v>
      </c>
      <c r="S1083" s="25" t="s">
        <v>133</v>
      </c>
      <c r="T1083" s="25" t="s">
        <v>59</v>
      </c>
      <c r="U1083" s="24">
        <v>2026.0</v>
      </c>
      <c r="V1083" s="24">
        <v>6.0</v>
      </c>
      <c r="W1083" s="24">
        <v>1.081874839E9</v>
      </c>
      <c r="X1083" s="24">
        <v>1.081893311E9</v>
      </c>
      <c r="Y1083" s="25" t="s">
        <v>60</v>
      </c>
      <c r="Z1083" s="25" t="s">
        <v>61</v>
      </c>
      <c r="AA1083" s="24">
        <v>57193.43</v>
      </c>
      <c r="AB1083" s="24">
        <v>57193.43</v>
      </c>
      <c r="AC1083" s="26">
        <v>18856.0</v>
      </c>
      <c r="AD1083" s="26">
        <v>0.0</v>
      </c>
      <c r="AE1083" s="24">
        <v>625.43</v>
      </c>
      <c r="AF1083" s="24">
        <v>0.0</v>
      </c>
      <c r="AG1083" s="24">
        <v>0.0</v>
      </c>
      <c r="AH1083" s="24">
        <v>0.0</v>
      </c>
      <c r="AI1083" s="24">
        <v>0.0</v>
      </c>
      <c r="AJ1083" s="24">
        <v>57193.43</v>
      </c>
      <c r="AK1083" s="24">
        <v>169815.11</v>
      </c>
      <c r="AL1083" s="24">
        <v>3.0</v>
      </c>
      <c r="AM1083" s="24">
        <v>416.67</v>
      </c>
      <c r="AN1083" s="24">
        <v>0.0</v>
      </c>
      <c r="AO1083" s="25" t="s">
        <v>62</v>
      </c>
      <c r="AP1083" s="25" t="s">
        <v>62</v>
      </c>
      <c r="AQ1083" s="25" t="s">
        <v>62</v>
      </c>
      <c r="AR1083" s="25" t="s">
        <v>62</v>
      </c>
      <c r="AS1083" s="11" t="str">
        <f>VLOOKUP(C1083,'mayo-26'!B:AS,44,0)</f>
        <v/>
      </c>
      <c r="AT1083" s="12" t="str">
        <f>VLOOKUP(C1083,'mayo-26'!B:AT,45,0)</f>
        <v>VERIFICADOR</v>
      </c>
    </row>
    <row r="1084" ht="14.25" customHeight="1">
      <c r="A1084" s="15" t="s">
        <v>2186</v>
      </c>
      <c r="B1084" s="23">
        <v>460692.0</v>
      </c>
      <c r="C1084" s="23">
        <v>427314.0</v>
      </c>
      <c r="D1084" s="23">
        <v>444969.0</v>
      </c>
      <c r="E1084" s="23">
        <v>1045221.0</v>
      </c>
      <c r="F1084" s="23">
        <v>1045221.0</v>
      </c>
      <c r="G1084" s="24">
        <v>1.098728054E9</v>
      </c>
      <c r="H1084" s="25" t="s">
        <v>2187</v>
      </c>
      <c r="I1084" s="1" t="str">
        <f>VLOOKUP(C1084,'mayo-26'!B:H,7,0)</f>
        <v>NOA LOTE 6C 1312</v>
      </c>
      <c r="J1084" s="1" t="str">
        <f>VLOOKUP(C1084,'mayo-26'!B:I,8,0)</f>
        <v>VEREDA LA GARITA</v>
      </c>
      <c r="K1084" s="10" t="str">
        <f>VLOOKUP(C1084,'mayo-26'!B:J,9,0)</f>
        <v>NO</v>
      </c>
      <c r="L1084" s="1" t="str">
        <f>VLOOKUP(C1084,'mayo-26'!B:K,10,0)</f>
        <v>NO</v>
      </c>
      <c r="M1084" s="18" t="s">
        <v>2087</v>
      </c>
      <c r="N1084" s="18" t="s">
        <v>2107</v>
      </c>
      <c r="O1084" s="25" t="s">
        <v>2089</v>
      </c>
      <c r="P1084" s="18" t="s">
        <v>126</v>
      </c>
      <c r="Q1084" s="25" t="s">
        <v>218</v>
      </c>
      <c r="R1084" s="25" t="s">
        <v>2017</v>
      </c>
      <c r="S1084" s="25" t="s">
        <v>133</v>
      </c>
      <c r="T1084" s="25" t="s">
        <v>59</v>
      </c>
      <c r="U1084" s="24">
        <v>2026.0</v>
      </c>
      <c r="V1084" s="24">
        <v>6.0</v>
      </c>
      <c r="W1084" s="24">
        <v>1.081874856E9</v>
      </c>
      <c r="X1084" s="24">
        <v>1.081893328E9</v>
      </c>
      <c r="Y1084" s="25" t="s">
        <v>60</v>
      </c>
      <c r="Z1084" s="25" t="s">
        <v>61</v>
      </c>
      <c r="AA1084" s="24">
        <v>31538.05</v>
      </c>
      <c r="AB1084" s="24">
        <v>31538.05</v>
      </c>
      <c r="AC1084" s="26" t="s">
        <v>2188</v>
      </c>
      <c r="AD1084" s="26">
        <v>0.0</v>
      </c>
      <c r="AE1084" s="24">
        <v>13886.65</v>
      </c>
      <c r="AF1084" s="24">
        <v>0.0</v>
      </c>
      <c r="AG1084" s="24">
        <v>0.0</v>
      </c>
      <c r="AH1084" s="24">
        <v>0.0</v>
      </c>
      <c r="AI1084" s="24">
        <v>0.0</v>
      </c>
      <c r="AJ1084" s="24">
        <v>31538.05</v>
      </c>
      <c r="AK1084" s="24">
        <v>1059425.75</v>
      </c>
      <c r="AL1084" s="24">
        <v>43.0</v>
      </c>
      <c r="AM1084" s="24">
        <v>258.34</v>
      </c>
      <c r="AN1084" s="24">
        <v>0.0</v>
      </c>
      <c r="AO1084" s="25" t="s">
        <v>62</v>
      </c>
      <c r="AP1084" s="25" t="s">
        <v>62</v>
      </c>
      <c r="AQ1084" s="25" t="s">
        <v>62</v>
      </c>
      <c r="AR1084" s="25" t="s">
        <v>62</v>
      </c>
      <c r="AS1084" s="11" t="str">
        <f>VLOOKUP(C1084,'mayo-26'!B:AS,44,0)</f>
        <v>DAVIDCALDERON_11@HOTMAIL.COM</v>
      </c>
      <c r="AT1084" s="12" t="str">
        <f>VLOOKUP(C1084,'mayo-26'!B:AT,45,0)</f>
        <v>CORREO ELECTRONICO CERTIFICADO 472</v>
      </c>
    </row>
    <row r="1085" ht="14.25" customHeight="1">
      <c r="A1085" s="15" t="s">
        <v>2189</v>
      </c>
      <c r="B1085" s="23">
        <v>581946.0</v>
      </c>
      <c r="C1085" s="23">
        <v>492694.0</v>
      </c>
      <c r="D1085" s="23">
        <v>541735.0</v>
      </c>
      <c r="E1085" s="23">
        <v>273001.0</v>
      </c>
      <c r="F1085" s="23">
        <v>273001.0</v>
      </c>
      <c r="G1085" s="24">
        <v>273001.0</v>
      </c>
      <c r="H1085" s="25" t="s">
        <v>2190</v>
      </c>
      <c r="I1085" s="1" t="str">
        <f>VLOOKUP(C1085,'mayo-26'!B:H,7,0)</f>
        <v>KMT 12</v>
      </c>
      <c r="J1085" s="1" t="str">
        <f>VLOOKUP(C1085,'mayo-26'!B:I,8,0)</f>
        <v>VDA AGUALINDA</v>
      </c>
      <c r="K1085" s="10" t="str">
        <f>VLOOKUP(C1085,'mayo-26'!B:J,9,0)</f>
        <v>NO</v>
      </c>
      <c r="L1085" s="1" t="str">
        <f>VLOOKUP(C1085,'mayo-26'!B:K,10,0)</f>
        <v>NO</v>
      </c>
      <c r="M1085" s="18" t="s">
        <v>2087</v>
      </c>
      <c r="N1085" s="18" t="s">
        <v>2191</v>
      </c>
      <c r="O1085" s="25" t="s">
        <v>2089</v>
      </c>
      <c r="P1085" s="18" t="s">
        <v>2024</v>
      </c>
      <c r="Q1085" s="25" t="s">
        <v>218</v>
      </c>
      <c r="R1085" s="25" t="s">
        <v>457</v>
      </c>
      <c r="S1085" s="25" t="s">
        <v>133</v>
      </c>
      <c r="T1085" s="25" t="s">
        <v>59</v>
      </c>
      <c r="U1085" s="24">
        <v>2026.0</v>
      </c>
      <c r="V1085" s="24">
        <v>6.0</v>
      </c>
      <c r="W1085" s="24">
        <v>1.081874862E9</v>
      </c>
      <c r="X1085" s="24">
        <v>1.081893334E9</v>
      </c>
      <c r="Y1085" s="25" t="s">
        <v>60</v>
      </c>
      <c r="Z1085" s="25" t="s">
        <v>61</v>
      </c>
      <c r="AA1085" s="24">
        <v>7982.74</v>
      </c>
      <c r="AB1085" s="24">
        <v>7982.74</v>
      </c>
      <c r="AC1085" s="26" t="s">
        <v>2192</v>
      </c>
      <c r="AD1085" s="26">
        <v>0.0</v>
      </c>
      <c r="AE1085" s="24">
        <v>0.0</v>
      </c>
      <c r="AF1085" s="24">
        <v>0.0</v>
      </c>
      <c r="AG1085" s="24">
        <v>0.0</v>
      </c>
      <c r="AH1085" s="24">
        <v>0.0</v>
      </c>
      <c r="AI1085" s="24">
        <v>0.0</v>
      </c>
      <c r="AJ1085" s="24">
        <v>7982.74</v>
      </c>
      <c r="AK1085" s="24">
        <v>7983.6</v>
      </c>
      <c r="AL1085" s="24">
        <v>1.0</v>
      </c>
      <c r="AM1085" s="24">
        <v>2608.3</v>
      </c>
      <c r="AN1085" s="24">
        <v>0.0</v>
      </c>
      <c r="AO1085" s="25" t="s">
        <v>62</v>
      </c>
      <c r="AP1085" s="25" t="s">
        <v>62</v>
      </c>
      <c r="AQ1085" s="25" t="s">
        <v>62</v>
      </c>
      <c r="AR1085" s="25" t="s">
        <v>62</v>
      </c>
      <c r="AS1085" s="11" t="str">
        <f>VLOOKUP(C1085,'mayo-26'!B:AS,44,0)</f>
        <v>ceramicastamesis@hotmail.com, facturacionrocanova@gmail.com</v>
      </c>
      <c r="AT1085" s="12" t="str">
        <f>VLOOKUP(C1085,'mayo-26'!B:AT,45,0)</f>
        <v>CORREO ELECTRONICO CERTIFICADO 472</v>
      </c>
    </row>
    <row r="1086" ht="14.25" customHeight="1">
      <c r="A1086" s="15" t="s">
        <v>2193</v>
      </c>
      <c r="B1086" s="23">
        <v>7.0</v>
      </c>
      <c r="C1086" s="23">
        <v>6.0</v>
      </c>
      <c r="D1086" s="23">
        <v>6.0</v>
      </c>
      <c r="E1086" s="23">
        <v>9.0300042E7</v>
      </c>
      <c r="F1086" s="23">
        <v>9.0300042E7</v>
      </c>
      <c r="G1086" s="24">
        <v>9.0300042E7</v>
      </c>
      <c r="H1086" s="25" t="s">
        <v>2086</v>
      </c>
      <c r="I1086" s="1" t="str">
        <f>VLOOKUP(C1086,'mayo-26'!B:H,7,0)</f>
        <v>AV.9 # 54B-90 APTO 603</v>
      </c>
      <c r="J1086" s="1" t="str">
        <f>VLOOKUP(C1086,'mayo-26'!B:I,8,0)</f>
        <v>LA FLORESTA</v>
      </c>
      <c r="K1086" s="10" t="str">
        <f>VLOOKUP(C1086,'mayo-26'!B:J,9,0)</f>
        <v>EDIFICIO LA FONTANA</v>
      </c>
      <c r="L1086" s="1" t="str">
        <f>VLOOKUP(C1086,'mayo-26'!B:K,10,0)</f>
        <v>EDIFICIO LA FONTANA</v>
      </c>
      <c r="M1086" s="18" t="s">
        <v>2087</v>
      </c>
      <c r="N1086" s="18" t="s">
        <v>2088</v>
      </c>
      <c r="O1086" s="25" t="s">
        <v>2089</v>
      </c>
      <c r="P1086" s="18" t="s">
        <v>126</v>
      </c>
      <c r="Q1086" s="25" t="s">
        <v>218</v>
      </c>
      <c r="R1086" s="25" t="s">
        <v>943</v>
      </c>
      <c r="S1086" s="25" t="s">
        <v>133</v>
      </c>
      <c r="T1086" s="25" t="s">
        <v>59</v>
      </c>
      <c r="U1086" s="24">
        <v>2026.0</v>
      </c>
      <c r="V1086" s="24">
        <v>6.0</v>
      </c>
      <c r="W1086" s="24">
        <v>1.081874814E9</v>
      </c>
      <c r="X1086" s="24">
        <v>1.081893286E9</v>
      </c>
      <c r="Y1086" s="25" t="s">
        <v>60</v>
      </c>
      <c r="Z1086" s="25" t="s">
        <v>61</v>
      </c>
      <c r="AA1086" s="24">
        <v>56568.0</v>
      </c>
      <c r="AB1086" s="24">
        <v>56568.0</v>
      </c>
      <c r="AC1086" s="26">
        <v>18856.0</v>
      </c>
      <c r="AD1086" s="26">
        <v>0.0</v>
      </c>
      <c r="AE1086" s="24">
        <v>0.0</v>
      </c>
      <c r="AF1086" s="24">
        <v>0.0</v>
      </c>
      <c r="AG1086" s="24">
        <v>0.0</v>
      </c>
      <c r="AH1086" s="24">
        <v>0.0</v>
      </c>
      <c r="AI1086" s="24">
        <v>0.0</v>
      </c>
      <c r="AJ1086" s="24">
        <v>56568.0</v>
      </c>
      <c r="AK1086" s="24">
        <v>56568.5</v>
      </c>
      <c r="AL1086" s="24">
        <v>1.0</v>
      </c>
      <c r="AM1086" s="24">
        <v>416.67</v>
      </c>
      <c r="AN1086" s="24">
        <v>0.0</v>
      </c>
      <c r="AO1086" s="25" t="s">
        <v>62</v>
      </c>
      <c r="AP1086" s="25" t="s">
        <v>62</v>
      </c>
      <c r="AQ1086" s="25" t="s">
        <v>62</v>
      </c>
      <c r="AR1086" s="25" t="s">
        <v>62</v>
      </c>
      <c r="AS1086" s="11" t="str">
        <f>VLOOKUP(C1086,'mayo-26'!B:AS,44,0)</f>
        <v/>
      </c>
      <c r="AT1086" s="12" t="str">
        <f>VLOOKUP(C1086,'mayo-26'!B:AT,45,0)</f>
        <v>VERIFICADOR</v>
      </c>
    </row>
    <row r="1087" ht="14.25" customHeight="1">
      <c r="A1087" s="15" t="s">
        <v>2194</v>
      </c>
      <c r="B1087" s="23">
        <v>597463.0</v>
      </c>
      <c r="C1087" s="23">
        <v>499151.0</v>
      </c>
      <c r="D1087" s="23">
        <v>553625.0</v>
      </c>
      <c r="E1087" s="25" t="s">
        <v>62</v>
      </c>
      <c r="F1087" s="25" t="s">
        <v>62</v>
      </c>
      <c r="G1087" s="24">
        <v>8.00044113E8</v>
      </c>
      <c r="H1087" s="25" t="s">
        <v>2195</v>
      </c>
      <c r="I1087" s="1" t="str">
        <f>VLOOKUP(C1087,'mayo-26'!B:H,7,0)</f>
        <v>#N/A</v>
      </c>
      <c r="J1087" s="1" t="str">
        <f>VLOOKUP(C1087,'mayo-26'!B:I,8,0)</f>
        <v>#N/A</v>
      </c>
      <c r="K1087" s="10" t="str">
        <f>VLOOKUP(C1087,'mayo-26'!B:J,9,0)</f>
        <v>#N/A</v>
      </c>
      <c r="L1087" s="1" t="str">
        <f>VLOOKUP(C1087,'mayo-26'!B:K,10,0)</f>
        <v>#N/A</v>
      </c>
      <c r="M1087" s="18" t="s">
        <v>2087</v>
      </c>
      <c r="N1087" s="18" t="s">
        <v>2088</v>
      </c>
      <c r="O1087" s="25" t="s">
        <v>2089</v>
      </c>
      <c r="P1087" s="18" t="s">
        <v>2196</v>
      </c>
      <c r="Q1087" s="25" t="s">
        <v>131</v>
      </c>
      <c r="R1087" s="25" t="s">
        <v>363</v>
      </c>
      <c r="S1087" s="25" t="s">
        <v>133</v>
      </c>
      <c r="T1087" s="25" t="s">
        <v>59</v>
      </c>
      <c r="U1087" s="24">
        <v>2026.0</v>
      </c>
      <c r="V1087" s="24">
        <v>6.0</v>
      </c>
      <c r="W1087" s="24">
        <v>1.081871638E9</v>
      </c>
      <c r="X1087" s="24">
        <v>1.081889947E9</v>
      </c>
      <c r="Y1087" s="25" t="s">
        <v>2197</v>
      </c>
      <c r="Z1087" s="25" t="s">
        <v>61</v>
      </c>
      <c r="AA1087" s="24">
        <v>4.666818994E7</v>
      </c>
      <c r="AB1087" s="24">
        <v>4.666818994E7</v>
      </c>
      <c r="AC1087" s="26">
        <v>0.0</v>
      </c>
      <c r="AD1087" s="26">
        <v>0.0</v>
      </c>
      <c r="AE1087" s="24">
        <v>0.0</v>
      </c>
      <c r="AF1087" s="24">
        <v>0.0</v>
      </c>
      <c r="AG1087" s="24">
        <v>0.0</v>
      </c>
      <c r="AH1087" s="24">
        <v>0.0</v>
      </c>
      <c r="AI1087" s="24">
        <v>0.0</v>
      </c>
      <c r="AJ1087" s="24">
        <v>4.666818994E7</v>
      </c>
      <c r="AK1087" s="24">
        <v>4.666818994E7</v>
      </c>
      <c r="AL1087" s="24">
        <v>0.0</v>
      </c>
      <c r="AM1087" s="24">
        <v>4.666818994E7</v>
      </c>
      <c r="AN1087" s="24">
        <v>0.0</v>
      </c>
      <c r="AO1087" s="25" t="s">
        <v>62</v>
      </c>
      <c r="AP1087" s="25" t="s">
        <v>62</v>
      </c>
      <c r="AQ1087" s="25" t="s">
        <v>62</v>
      </c>
      <c r="AR1087" s="25" t="s">
        <v>62</v>
      </c>
      <c r="AS1087" s="11" t="str">
        <f>VLOOKUP(C1087,'mayo-26'!B:AS,44,0)</f>
        <v>#N/A</v>
      </c>
      <c r="AT1087" s="12" t="str">
        <f>VLOOKUP(C1087,'mayo-26'!B:AT,45,0)</f>
        <v>#N/A</v>
      </c>
    </row>
    <row r="1088" ht="14.25" customHeight="1">
      <c r="A1088" s="20"/>
      <c r="B1088" s="20"/>
      <c r="C1088" s="20"/>
      <c r="D1088" s="21"/>
      <c r="E1088" s="20"/>
      <c r="F1088" s="20"/>
      <c r="G1088" s="20"/>
      <c r="H1088" s="20"/>
      <c r="K1088" s="1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2"/>
      <c r="Z1088" s="22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S1088" s="11"/>
      <c r="AT1088" s="12"/>
    </row>
    <row r="1089" ht="14.25" customHeight="1">
      <c r="A1089" s="20"/>
      <c r="B1089" s="20"/>
      <c r="C1089" s="20"/>
      <c r="D1089" s="21"/>
      <c r="E1089" s="20"/>
      <c r="F1089" s="20"/>
      <c r="G1089" s="20"/>
      <c r="H1089" s="20"/>
      <c r="K1089" s="1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2"/>
      <c r="Z1089" s="22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S1089" s="11"/>
      <c r="AT1089" s="12"/>
    </row>
    <row r="1090" ht="14.25" customHeight="1">
      <c r="A1090" s="20"/>
      <c r="B1090" s="20"/>
      <c r="C1090" s="20"/>
      <c r="D1090" s="21"/>
      <c r="E1090" s="20"/>
      <c r="F1090" s="20"/>
      <c r="G1090" s="20"/>
      <c r="H1090" s="20"/>
      <c r="K1090" s="1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2"/>
      <c r="Z1090" s="22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S1090" s="11"/>
      <c r="AT1090" s="12"/>
    </row>
    <row r="1091" ht="14.25" customHeight="1">
      <c r="A1091" s="20"/>
      <c r="B1091" s="20"/>
      <c r="C1091" s="20"/>
      <c r="D1091" s="21"/>
      <c r="E1091" s="20"/>
      <c r="F1091" s="20"/>
      <c r="G1091" s="20"/>
      <c r="H1091" s="20"/>
      <c r="K1091" s="1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2"/>
      <c r="Z1091" s="22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S1091" s="11"/>
      <c r="AT1091" s="12"/>
    </row>
    <row r="1092" ht="14.25" customHeight="1">
      <c r="A1092" s="20"/>
      <c r="B1092" s="20"/>
      <c r="C1092" s="20"/>
      <c r="D1092" s="21"/>
      <c r="E1092" s="20"/>
      <c r="F1092" s="20"/>
      <c r="G1092" s="20"/>
      <c r="H1092" s="20"/>
      <c r="K1092" s="1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2"/>
      <c r="Z1092" s="22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S1092" s="11"/>
      <c r="AT1092" s="12"/>
    </row>
    <row r="1093" ht="14.25" customHeight="1">
      <c r="A1093" s="20"/>
      <c r="B1093" s="20"/>
      <c r="C1093" s="20"/>
      <c r="D1093" s="21"/>
      <c r="E1093" s="20"/>
      <c r="F1093" s="20"/>
      <c r="G1093" s="20"/>
      <c r="H1093" s="20"/>
      <c r="K1093" s="1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2"/>
      <c r="Z1093" s="22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S1093" s="11"/>
      <c r="AT1093" s="12"/>
    </row>
    <row r="1094" ht="14.25" customHeight="1">
      <c r="A1094" s="20"/>
      <c r="B1094" s="20"/>
      <c r="C1094" s="20"/>
      <c r="D1094" s="21"/>
      <c r="E1094" s="20"/>
      <c r="F1094" s="20"/>
      <c r="G1094" s="20"/>
      <c r="H1094" s="20"/>
      <c r="K1094" s="1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2"/>
      <c r="Z1094" s="22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S1094" s="11"/>
      <c r="AT1094" s="12"/>
    </row>
    <row r="1095" ht="14.25" customHeight="1">
      <c r="A1095" s="20"/>
      <c r="B1095" s="20"/>
      <c r="C1095" s="20"/>
      <c r="D1095" s="21"/>
      <c r="E1095" s="20"/>
      <c r="F1095" s="20"/>
      <c r="G1095" s="20"/>
      <c r="H1095" s="20"/>
      <c r="K1095" s="1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2"/>
      <c r="Z1095" s="22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S1095" s="11"/>
      <c r="AT1095" s="12"/>
    </row>
    <row r="1096" ht="14.25" customHeight="1">
      <c r="A1096" s="20"/>
      <c r="B1096" s="20"/>
      <c r="C1096" s="20"/>
      <c r="D1096" s="21"/>
      <c r="E1096" s="20"/>
      <c r="F1096" s="20"/>
      <c r="G1096" s="20"/>
      <c r="H1096" s="20"/>
      <c r="K1096" s="1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2"/>
      <c r="Z1096" s="22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S1096" s="11"/>
      <c r="AT1096" s="12"/>
    </row>
    <row r="1097" ht="14.25" customHeight="1">
      <c r="A1097" s="20"/>
      <c r="B1097" s="20"/>
      <c r="C1097" s="20"/>
      <c r="D1097" s="21"/>
      <c r="E1097" s="20"/>
      <c r="F1097" s="20"/>
      <c r="G1097" s="20"/>
      <c r="H1097" s="20"/>
      <c r="K1097" s="1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2"/>
      <c r="Z1097" s="22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S1097" s="11"/>
      <c r="AT1097" s="12"/>
    </row>
    <row r="1098" ht="14.25" customHeight="1">
      <c r="A1098" s="20"/>
      <c r="B1098" s="20"/>
      <c r="C1098" s="20"/>
      <c r="D1098" s="21"/>
      <c r="E1098" s="20"/>
      <c r="F1098" s="20"/>
      <c r="G1098" s="20"/>
      <c r="H1098" s="20"/>
      <c r="K1098" s="1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2"/>
      <c r="Z1098" s="22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S1098" s="11"/>
      <c r="AT1098" s="12"/>
    </row>
    <row r="1099" ht="14.25" customHeight="1">
      <c r="A1099" s="20"/>
      <c r="B1099" s="20"/>
      <c r="C1099" s="20"/>
      <c r="D1099" s="21"/>
      <c r="E1099" s="20"/>
      <c r="F1099" s="20"/>
      <c r="G1099" s="20"/>
      <c r="H1099" s="20"/>
      <c r="K1099" s="1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2"/>
      <c r="Z1099" s="22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S1099" s="11"/>
      <c r="AT1099" s="12"/>
    </row>
    <row r="1100" ht="14.25" customHeight="1">
      <c r="A1100" s="20"/>
      <c r="B1100" s="20"/>
      <c r="C1100" s="20"/>
      <c r="D1100" s="21"/>
      <c r="E1100" s="20"/>
      <c r="F1100" s="20"/>
      <c r="G1100" s="20"/>
      <c r="H1100" s="20"/>
      <c r="K1100" s="1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2"/>
      <c r="Z1100" s="22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S1100" s="11"/>
      <c r="AT1100" s="12"/>
    </row>
    <row r="1101" ht="14.25" customHeight="1">
      <c r="A1101" s="20"/>
      <c r="B1101" s="20"/>
      <c r="C1101" s="20"/>
      <c r="D1101" s="21"/>
      <c r="E1101" s="20"/>
      <c r="F1101" s="20"/>
      <c r="G1101" s="20"/>
      <c r="H1101" s="20"/>
      <c r="K1101" s="1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2"/>
      <c r="Z1101" s="22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S1101" s="11"/>
      <c r="AT1101" s="12"/>
    </row>
    <row r="1102" ht="14.25" customHeight="1">
      <c r="A1102" s="20"/>
      <c r="B1102" s="20"/>
      <c r="C1102" s="20"/>
      <c r="D1102" s="21"/>
      <c r="E1102" s="20"/>
      <c r="F1102" s="20"/>
      <c r="G1102" s="20"/>
      <c r="H1102" s="20"/>
      <c r="K1102" s="1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2"/>
      <c r="Z1102" s="22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S1102" s="11"/>
      <c r="AT1102" s="12"/>
    </row>
    <row r="1103" ht="14.25" customHeight="1">
      <c r="A1103" s="20"/>
      <c r="B1103" s="20"/>
      <c r="C1103" s="20"/>
      <c r="D1103" s="21"/>
      <c r="E1103" s="20"/>
      <c r="F1103" s="20"/>
      <c r="G1103" s="20"/>
      <c r="H1103" s="20"/>
      <c r="K1103" s="1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2"/>
      <c r="Z1103" s="22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S1103" s="11"/>
      <c r="AT1103" s="12"/>
    </row>
    <row r="1104" ht="14.25" customHeight="1">
      <c r="A1104" s="20"/>
      <c r="B1104" s="20"/>
      <c r="C1104" s="20"/>
      <c r="D1104" s="21"/>
      <c r="E1104" s="20"/>
      <c r="F1104" s="20"/>
      <c r="G1104" s="20"/>
      <c r="H1104" s="20"/>
      <c r="K1104" s="1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2"/>
      <c r="Z1104" s="22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S1104" s="11"/>
      <c r="AT1104" s="12"/>
    </row>
    <row r="1105" ht="14.25" customHeight="1">
      <c r="A1105" s="20"/>
      <c r="B1105" s="20"/>
      <c r="C1105" s="20"/>
      <c r="D1105" s="21"/>
      <c r="E1105" s="20"/>
      <c r="F1105" s="20"/>
      <c r="G1105" s="20"/>
      <c r="H1105" s="20"/>
      <c r="K1105" s="1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2"/>
      <c r="Z1105" s="22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S1105" s="11"/>
      <c r="AT1105" s="12"/>
    </row>
    <row r="1106" ht="14.25" customHeight="1">
      <c r="A1106" s="20"/>
      <c r="B1106" s="20"/>
      <c r="C1106" s="20"/>
      <c r="D1106" s="21"/>
      <c r="E1106" s="20"/>
      <c r="F1106" s="20"/>
      <c r="G1106" s="20"/>
      <c r="H1106" s="20"/>
      <c r="K1106" s="1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2"/>
      <c r="Z1106" s="22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S1106" s="11"/>
      <c r="AT1106" s="12"/>
    </row>
    <row r="1107" ht="14.25" customHeight="1">
      <c r="A1107" s="20"/>
      <c r="B1107" s="20"/>
      <c r="C1107" s="20"/>
      <c r="D1107" s="21"/>
      <c r="E1107" s="20"/>
      <c r="F1107" s="20"/>
      <c r="G1107" s="20"/>
      <c r="H1107" s="20"/>
      <c r="K1107" s="1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2"/>
      <c r="Z1107" s="22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S1107" s="11"/>
      <c r="AT1107" s="12"/>
    </row>
    <row r="1108" ht="14.25" customHeight="1">
      <c r="A1108" s="20"/>
      <c r="B1108" s="20"/>
      <c r="C1108" s="20"/>
      <c r="D1108" s="21"/>
      <c r="E1108" s="20"/>
      <c r="F1108" s="20"/>
      <c r="G1108" s="20"/>
      <c r="H1108" s="20"/>
      <c r="K1108" s="1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2"/>
      <c r="Z1108" s="22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S1108" s="11"/>
      <c r="AT1108" s="12"/>
    </row>
    <row r="1109" ht="14.25" customHeight="1">
      <c r="A1109" s="20"/>
      <c r="B1109" s="20"/>
      <c r="C1109" s="20"/>
      <c r="D1109" s="21"/>
      <c r="E1109" s="20"/>
      <c r="F1109" s="20"/>
      <c r="G1109" s="20"/>
      <c r="H1109" s="20"/>
      <c r="K1109" s="1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2"/>
      <c r="Z1109" s="22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S1109" s="11"/>
      <c r="AT1109" s="12"/>
    </row>
    <row r="1110" ht="14.25" customHeight="1">
      <c r="A1110" s="20"/>
      <c r="B1110" s="20"/>
      <c r="C1110" s="20"/>
      <c r="D1110" s="21"/>
      <c r="E1110" s="20"/>
      <c r="F1110" s="20"/>
      <c r="G1110" s="20"/>
      <c r="H1110" s="20"/>
      <c r="K1110" s="1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2"/>
      <c r="Z1110" s="22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S1110" s="11"/>
      <c r="AT1110" s="12"/>
    </row>
    <row r="1111" ht="14.25" customHeight="1">
      <c r="A1111" s="20"/>
      <c r="B1111" s="20"/>
      <c r="C1111" s="20"/>
      <c r="D1111" s="21"/>
      <c r="E1111" s="20"/>
      <c r="F1111" s="20"/>
      <c r="G1111" s="20"/>
      <c r="H1111" s="20"/>
      <c r="K1111" s="1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2"/>
      <c r="Z1111" s="22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S1111" s="11"/>
      <c r="AT1111" s="12"/>
    </row>
    <row r="1112" ht="14.25" customHeight="1">
      <c r="A1112" s="20"/>
      <c r="B1112" s="20"/>
      <c r="C1112" s="20"/>
      <c r="D1112" s="21"/>
      <c r="E1112" s="20"/>
      <c r="F1112" s="20"/>
      <c r="G1112" s="20"/>
      <c r="H1112" s="20"/>
      <c r="K1112" s="1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2"/>
      <c r="Z1112" s="22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S1112" s="11"/>
      <c r="AT1112" s="12"/>
    </row>
    <row r="1113" ht="14.25" customHeight="1">
      <c r="A1113" s="20"/>
      <c r="B1113" s="20"/>
      <c r="C1113" s="20"/>
      <c r="D1113" s="21"/>
      <c r="E1113" s="20"/>
      <c r="F1113" s="20"/>
      <c r="G1113" s="20"/>
      <c r="H1113" s="20"/>
      <c r="K1113" s="1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2"/>
      <c r="Z1113" s="22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S1113" s="11"/>
      <c r="AT1113" s="12"/>
    </row>
    <row r="1114" ht="14.25" customHeight="1">
      <c r="A1114" s="20"/>
      <c r="B1114" s="20"/>
      <c r="C1114" s="20"/>
      <c r="D1114" s="21"/>
      <c r="E1114" s="20"/>
      <c r="F1114" s="20"/>
      <c r="G1114" s="20"/>
      <c r="H1114" s="20"/>
      <c r="K1114" s="1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2"/>
      <c r="Z1114" s="22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S1114" s="11"/>
      <c r="AT1114" s="12"/>
    </row>
    <row r="1115" ht="14.25" customHeight="1">
      <c r="A1115" s="20"/>
      <c r="B1115" s="20"/>
      <c r="C1115" s="20"/>
      <c r="D1115" s="21"/>
      <c r="E1115" s="20"/>
      <c r="F1115" s="20"/>
      <c r="G1115" s="20"/>
      <c r="H1115" s="20"/>
      <c r="K1115" s="1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2"/>
      <c r="Z1115" s="22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S1115" s="11"/>
      <c r="AT1115" s="12"/>
    </row>
    <row r="1116" ht="14.25" customHeight="1">
      <c r="A1116" s="20"/>
      <c r="B1116" s="20"/>
      <c r="C1116" s="20"/>
      <c r="D1116" s="21"/>
      <c r="E1116" s="20"/>
      <c r="F1116" s="20"/>
      <c r="G1116" s="20"/>
      <c r="H1116" s="20"/>
      <c r="K1116" s="1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2"/>
      <c r="Z1116" s="22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S1116" s="11"/>
      <c r="AT1116" s="12"/>
    </row>
    <row r="1117" ht="14.25" customHeight="1">
      <c r="A1117" s="20"/>
      <c r="B1117" s="20"/>
      <c r="C1117" s="20"/>
      <c r="D1117" s="21"/>
      <c r="E1117" s="20"/>
      <c r="F1117" s="20"/>
      <c r="G1117" s="20"/>
      <c r="H1117" s="20"/>
      <c r="K1117" s="1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2"/>
      <c r="Z1117" s="22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S1117" s="11"/>
      <c r="AT1117" s="12"/>
    </row>
    <row r="1118" ht="14.25" customHeight="1">
      <c r="A1118" s="20"/>
      <c r="B1118" s="20"/>
      <c r="C1118" s="20"/>
      <c r="D1118" s="21"/>
      <c r="E1118" s="20"/>
      <c r="F1118" s="20"/>
      <c r="G1118" s="20"/>
      <c r="H1118" s="20"/>
      <c r="K1118" s="1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2"/>
      <c r="Z1118" s="22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S1118" s="11"/>
      <c r="AT1118" s="12"/>
    </row>
    <row r="1119" ht="14.25" customHeight="1">
      <c r="A1119" s="20"/>
      <c r="B1119" s="20"/>
      <c r="C1119" s="20"/>
      <c r="D1119" s="21"/>
      <c r="E1119" s="20"/>
      <c r="F1119" s="20"/>
      <c r="G1119" s="20"/>
      <c r="H1119" s="20"/>
      <c r="K1119" s="1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2"/>
      <c r="Z1119" s="22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S1119" s="11"/>
      <c r="AT1119" s="12"/>
    </row>
    <row r="1120" ht="14.25" customHeight="1">
      <c r="A1120" s="20"/>
      <c r="B1120" s="20"/>
      <c r="C1120" s="20"/>
      <c r="D1120" s="21"/>
      <c r="E1120" s="20"/>
      <c r="F1120" s="20"/>
      <c r="G1120" s="20"/>
      <c r="H1120" s="20"/>
      <c r="K1120" s="1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2"/>
      <c r="Z1120" s="22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S1120" s="11"/>
      <c r="AT1120" s="12"/>
    </row>
    <row r="1121" ht="14.25" customHeight="1">
      <c r="A1121" s="20"/>
      <c r="B1121" s="20"/>
      <c r="C1121" s="20"/>
      <c r="D1121" s="21"/>
      <c r="E1121" s="20"/>
      <c r="F1121" s="20"/>
      <c r="G1121" s="20"/>
      <c r="H1121" s="20"/>
      <c r="K1121" s="1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2"/>
      <c r="Z1121" s="22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S1121" s="11"/>
      <c r="AT1121" s="12"/>
    </row>
    <row r="1122" ht="14.25" customHeight="1">
      <c r="A1122" s="20"/>
      <c r="B1122" s="20"/>
      <c r="C1122" s="20"/>
      <c r="D1122" s="21"/>
      <c r="E1122" s="20"/>
      <c r="F1122" s="20"/>
      <c r="G1122" s="20"/>
      <c r="H1122" s="20"/>
      <c r="K1122" s="1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2"/>
      <c r="Z1122" s="22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S1122" s="11"/>
      <c r="AT1122" s="12"/>
    </row>
    <row r="1123" ht="14.25" customHeight="1">
      <c r="A1123" s="20"/>
      <c r="B1123" s="20"/>
      <c r="C1123" s="20"/>
      <c r="D1123" s="21"/>
      <c r="E1123" s="20"/>
      <c r="F1123" s="20"/>
      <c r="G1123" s="20"/>
      <c r="H1123" s="20"/>
      <c r="K1123" s="1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2"/>
      <c r="Z1123" s="22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S1123" s="11"/>
      <c r="AT1123" s="12"/>
    </row>
    <row r="1124" ht="14.25" customHeight="1">
      <c r="A1124" s="20"/>
      <c r="B1124" s="20"/>
      <c r="C1124" s="20"/>
      <c r="D1124" s="21"/>
      <c r="E1124" s="20"/>
      <c r="F1124" s="20"/>
      <c r="G1124" s="20"/>
      <c r="H1124" s="20"/>
      <c r="K1124" s="1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2"/>
      <c r="Z1124" s="22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S1124" s="11"/>
      <c r="AT1124" s="12"/>
    </row>
    <row r="1125" ht="14.25" customHeight="1">
      <c r="A1125" s="20"/>
      <c r="B1125" s="20"/>
      <c r="C1125" s="20"/>
      <c r="D1125" s="21"/>
      <c r="E1125" s="20"/>
      <c r="F1125" s="20"/>
      <c r="G1125" s="20"/>
      <c r="H1125" s="20"/>
      <c r="K1125" s="1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2"/>
      <c r="Z1125" s="22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S1125" s="11"/>
      <c r="AT1125" s="12"/>
    </row>
    <row r="1126" ht="14.25" customHeight="1">
      <c r="A1126" s="20"/>
      <c r="B1126" s="20"/>
      <c r="C1126" s="20"/>
      <c r="D1126" s="21"/>
      <c r="E1126" s="20"/>
      <c r="F1126" s="20"/>
      <c r="G1126" s="20"/>
      <c r="H1126" s="20"/>
      <c r="K1126" s="1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2"/>
      <c r="Z1126" s="22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S1126" s="11"/>
      <c r="AT1126" s="12"/>
    </row>
    <row r="1127" ht="14.25" customHeight="1">
      <c r="A1127" s="20"/>
      <c r="B1127" s="20"/>
      <c r="C1127" s="20"/>
      <c r="D1127" s="21"/>
      <c r="E1127" s="20"/>
      <c r="F1127" s="20"/>
      <c r="G1127" s="20"/>
      <c r="H1127" s="20"/>
      <c r="K1127" s="1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2"/>
      <c r="Z1127" s="22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S1127" s="11"/>
      <c r="AT1127" s="12"/>
    </row>
    <row r="1128" ht="14.25" customHeight="1">
      <c r="A1128" s="20"/>
      <c r="B1128" s="20"/>
      <c r="C1128" s="20"/>
      <c r="D1128" s="21"/>
      <c r="E1128" s="20"/>
      <c r="F1128" s="20"/>
      <c r="G1128" s="20"/>
      <c r="H1128" s="20"/>
      <c r="K1128" s="1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2"/>
      <c r="Z1128" s="22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S1128" s="11"/>
      <c r="AT1128" s="12"/>
    </row>
    <row r="1129" ht="14.25" customHeight="1">
      <c r="A1129" s="20"/>
      <c r="B1129" s="20"/>
      <c r="C1129" s="20"/>
      <c r="D1129" s="21"/>
      <c r="E1129" s="20"/>
      <c r="F1129" s="20"/>
      <c r="G1129" s="20"/>
      <c r="H1129" s="20"/>
      <c r="K1129" s="1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2"/>
      <c r="Z1129" s="22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S1129" s="11"/>
      <c r="AT1129" s="12"/>
    </row>
    <row r="1130" ht="14.25" customHeight="1">
      <c r="A1130" s="20"/>
      <c r="B1130" s="20"/>
      <c r="C1130" s="20"/>
      <c r="D1130" s="21"/>
      <c r="E1130" s="20"/>
      <c r="F1130" s="20"/>
      <c r="G1130" s="20"/>
      <c r="H1130" s="20"/>
      <c r="K1130" s="1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2"/>
      <c r="Z1130" s="22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S1130" s="11"/>
      <c r="AT1130" s="12"/>
    </row>
    <row r="1131" ht="14.25" customHeight="1">
      <c r="A1131" s="20"/>
      <c r="B1131" s="20"/>
      <c r="C1131" s="20"/>
      <c r="D1131" s="21"/>
      <c r="E1131" s="20"/>
      <c r="F1131" s="20"/>
      <c r="G1131" s="20"/>
      <c r="H1131" s="20"/>
      <c r="K1131" s="1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2"/>
      <c r="Z1131" s="22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S1131" s="11"/>
      <c r="AT1131" s="12"/>
    </row>
    <row r="1132" ht="14.25" customHeight="1">
      <c r="A1132" s="20"/>
      <c r="B1132" s="20"/>
      <c r="C1132" s="20"/>
      <c r="D1132" s="21"/>
      <c r="E1132" s="20"/>
      <c r="F1132" s="20"/>
      <c r="G1132" s="20"/>
      <c r="H1132" s="20"/>
      <c r="K1132" s="1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2"/>
      <c r="Z1132" s="22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S1132" s="11"/>
      <c r="AT1132" s="12"/>
    </row>
    <row r="1133" ht="14.25" customHeight="1">
      <c r="A1133" s="20"/>
      <c r="B1133" s="20"/>
      <c r="C1133" s="20"/>
      <c r="D1133" s="21"/>
      <c r="E1133" s="20"/>
      <c r="F1133" s="20"/>
      <c r="G1133" s="20"/>
      <c r="H1133" s="20"/>
      <c r="K1133" s="1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2"/>
      <c r="Z1133" s="22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S1133" s="11"/>
      <c r="AT1133" s="12"/>
    </row>
    <row r="1134" ht="14.25" customHeight="1">
      <c r="A1134" s="20"/>
      <c r="B1134" s="20"/>
      <c r="C1134" s="20"/>
      <c r="D1134" s="21"/>
      <c r="E1134" s="20"/>
      <c r="F1134" s="20"/>
      <c r="G1134" s="20"/>
      <c r="H1134" s="20"/>
      <c r="K1134" s="1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2"/>
      <c r="Z1134" s="22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S1134" s="11"/>
      <c r="AT1134" s="12"/>
    </row>
    <row r="1135" ht="14.25" customHeight="1">
      <c r="A1135" s="20"/>
      <c r="B1135" s="20"/>
      <c r="C1135" s="20"/>
      <c r="D1135" s="21"/>
      <c r="E1135" s="20"/>
      <c r="F1135" s="20"/>
      <c r="G1135" s="20"/>
      <c r="H1135" s="20"/>
      <c r="K1135" s="1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2"/>
      <c r="Z1135" s="22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S1135" s="11"/>
      <c r="AT1135" s="12"/>
    </row>
    <row r="1136" ht="14.25" customHeight="1">
      <c r="A1136" s="20"/>
      <c r="B1136" s="20"/>
      <c r="C1136" s="20"/>
      <c r="D1136" s="21"/>
      <c r="E1136" s="20"/>
      <c r="F1136" s="20"/>
      <c r="G1136" s="20"/>
      <c r="H1136" s="20"/>
      <c r="K1136" s="1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2"/>
      <c r="Z1136" s="22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S1136" s="11"/>
      <c r="AT1136" s="12"/>
    </row>
    <row r="1137" ht="14.25" customHeight="1">
      <c r="A1137" s="20"/>
      <c r="B1137" s="20"/>
      <c r="C1137" s="20"/>
      <c r="D1137" s="21"/>
      <c r="E1137" s="20"/>
      <c r="F1137" s="20"/>
      <c r="G1137" s="20"/>
      <c r="H1137" s="20"/>
      <c r="K1137" s="1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2"/>
      <c r="Z1137" s="22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S1137" s="11"/>
      <c r="AT1137" s="12"/>
    </row>
    <row r="1138" ht="14.25" customHeight="1">
      <c r="A1138" s="20"/>
      <c r="B1138" s="20"/>
      <c r="C1138" s="20"/>
      <c r="D1138" s="21"/>
      <c r="E1138" s="20"/>
      <c r="F1138" s="20"/>
      <c r="G1138" s="20"/>
      <c r="H1138" s="20"/>
      <c r="K1138" s="1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2"/>
      <c r="Z1138" s="22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S1138" s="11"/>
      <c r="AT1138" s="12"/>
    </row>
    <row r="1139" ht="14.25" customHeight="1">
      <c r="A1139" s="20"/>
      <c r="B1139" s="20"/>
      <c r="C1139" s="20"/>
      <c r="D1139" s="21"/>
      <c r="E1139" s="20"/>
      <c r="F1139" s="20"/>
      <c r="G1139" s="20"/>
      <c r="H1139" s="20"/>
      <c r="K1139" s="1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2"/>
      <c r="Z1139" s="22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S1139" s="11"/>
      <c r="AT1139" s="12"/>
    </row>
    <row r="1140" ht="14.25" customHeight="1">
      <c r="A1140" s="20"/>
      <c r="B1140" s="20"/>
      <c r="C1140" s="20"/>
      <c r="D1140" s="21"/>
      <c r="E1140" s="20"/>
      <c r="F1140" s="20"/>
      <c r="G1140" s="20"/>
      <c r="H1140" s="20"/>
      <c r="K1140" s="1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2"/>
      <c r="Z1140" s="22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S1140" s="11"/>
      <c r="AT1140" s="12"/>
    </row>
    <row r="1141" ht="14.25" customHeight="1">
      <c r="A1141" s="20"/>
      <c r="B1141" s="20"/>
      <c r="C1141" s="20"/>
      <c r="D1141" s="21"/>
      <c r="E1141" s="20"/>
      <c r="F1141" s="20"/>
      <c r="G1141" s="20"/>
      <c r="H1141" s="20"/>
      <c r="K1141" s="1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2"/>
      <c r="Z1141" s="22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S1141" s="11"/>
      <c r="AT1141" s="12"/>
    </row>
    <row r="1142" ht="14.25" customHeight="1">
      <c r="A1142" s="20"/>
      <c r="B1142" s="20"/>
      <c r="C1142" s="20"/>
      <c r="D1142" s="21"/>
      <c r="E1142" s="20"/>
      <c r="F1142" s="20"/>
      <c r="G1142" s="20"/>
      <c r="H1142" s="20"/>
      <c r="K1142" s="1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2"/>
      <c r="Z1142" s="22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S1142" s="11"/>
      <c r="AT1142" s="12"/>
    </row>
    <row r="1143" ht="14.25" customHeight="1">
      <c r="A1143" s="20"/>
      <c r="B1143" s="20"/>
      <c r="C1143" s="20"/>
      <c r="D1143" s="21"/>
      <c r="E1143" s="20"/>
      <c r="F1143" s="20"/>
      <c r="G1143" s="20"/>
      <c r="H1143" s="20"/>
      <c r="K1143" s="1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2"/>
      <c r="Z1143" s="22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S1143" s="11"/>
      <c r="AT1143" s="12"/>
    </row>
    <row r="1144" ht="14.25" customHeight="1">
      <c r="A1144" s="20"/>
      <c r="B1144" s="20"/>
      <c r="C1144" s="20"/>
      <c r="D1144" s="21"/>
      <c r="E1144" s="20"/>
      <c r="F1144" s="20"/>
      <c r="G1144" s="20"/>
      <c r="H1144" s="20"/>
      <c r="K1144" s="1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2"/>
      <c r="Z1144" s="22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S1144" s="11"/>
      <c r="AT1144" s="12"/>
    </row>
    <row r="1145" ht="14.25" customHeight="1">
      <c r="A1145" s="20"/>
      <c r="B1145" s="20"/>
      <c r="C1145" s="20"/>
      <c r="D1145" s="21"/>
      <c r="E1145" s="20"/>
      <c r="F1145" s="20"/>
      <c r="G1145" s="20"/>
      <c r="H1145" s="20"/>
      <c r="K1145" s="1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2"/>
      <c r="Z1145" s="22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S1145" s="11"/>
      <c r="AT1145" s="12"/>
    </row>
    <row r="1146" ht="14.25" customHeight="1">
      <c r="A1146" s="20"/>
      <c r="B1146" s="20"/>
      <c r="C1146" s="20"/>
      <c r="D1146" s="21"/>
      <c r="E1146" s="20"/>
      <c r="F1146" s="20"/>
      <c r="G1146" s="20"/>
      <c r="H1146" s="20"/>
      <c r="K1146" s="1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2"/>
      <c r="Z1146" s="22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S1146" s="11"/>
      <c r="AT1146" s="12"/>
    </row>
    <row r="1147" ht="14.25" customHeight="1">
      <c r="A1147" s="20"/>
      <c r="B1147" s="20"/>
      <c r="C1147" s="20"/>
      <c r="D1147" s="21"/>
      <c r="E1147" s="20"/>
      <c r="F1147" s="20"/>
      <c r="G1147" s="20"/>
      <c r="H1147" s="20"/>
      <c r="K1147" s="1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2"/>
      <c r="Z1147" s="22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S1147" s="11"/>
      <c r="AT1147" s="12"/>
    </row>
    <row r="1148" ht="14.25" customHeight="1">
      <c r="A1148" s="20"/>
      <c r="B1148" s="20"/>
      <c r="C1148" s="20"/>
      <c r="D1148" s="21"/>
      <c r="E1148" s="20"/>
      <c r="F1148" s="20"/>
      <c r="G1148" s="20"/>
      <c r="H1148" s="20"/>
      <c r="K1148" s="1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2"/>
      <c r="Z1148" s="22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S1148" s="11"/>
      <c r="AT1148" s="12"/>
    </row>
    <row r="1149" ht="14.25" customHeight="1">
      <c r="A1149" s="20"/>
      <c r="B1149" s="20"/>
      <c r="C1149" s="20"/>
      <c r="D1149" s="21"/>
      <c r="E1149" s="20"/>
      <c r="F1149" s="20"/>
      <c r="G1149" s="20"/>
      <c r="H1149" s="20"/>
      <c r="K1149" s="1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2"/>
      <c r="Z1149" s="22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S1149" s="11"/>
      <c r="AT1149" s="12"/>
    </row>
    <row r="1150" ht="14.25" customHeight="1">
      <c r="A1150" s="20"/>
      <c r="B1150" s="20"/>
      <c r="C1150" s="20"/>
      <c r="D1150" s="21"/>
      <c r="E1150" s="20"/>
      <c r="F1150" s="20"/>
      <c r="G1150" s="20"/>
      <c r="H1150" s="20"/>
      <c r="K1150" s="1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2"/>
      <c r="Z1150" s="22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S1150" s="11"/>
      <c r="AT1150" s="12"/>
    </row>
    <row r="1151" ht="14.25" customHeight="1">
      <c r="A1151" s="20"/>
      <c r="B1151" s="20"/>
      <c r="C1151" s="20"/>
      <c r="D1151" s="21"/>
      <c r="E1151" s="20"/>
      <c r="F1151" s="20"/>
      <c r="G1151" s="20"/>
      <c r="H1151" s="20"/>
      <c r="K1151" s="1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2"/>
      <c r="Z1151" s="22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S1151" s="11"/>
      <c r="AT1151" s="12"/>
    </row>
    <row r="1152" ht="14.25" customHeight="1">
      <c r="A1152" s="20"/>
      <c r="B1152" s="20"/>
      <c r="C1152" s="20"/>
      <c r="D1152" s="21"/>
      <c r="E1152" s="20"/>
      <c r="F1152" s="20"/>
      <c r="G1152" s="20"/>
      <c r="H1152" s="20"/>
      <c r="K1152" s="1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2"/>
      <c r="Z1152" s="22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S1152" s="11"/>
      <c r="AT1152" s="12"/>
    </row>
    <row r="1153" ht="14.25" customHeight="1">
      <c r="A1153" s="20"/>
      <c r="B1153" s="20"/>
      <c r="C1153" s="20"/>
      <c r="D1153" s="21"/>
      <c r="E1153" s="20"/>
      <c r="F1153" s="20"/>
      <c r="G1153" s="20"/>
      <c r="H1153" s="20"/>
      <c r="K1153" s="1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2"/>
      <c r="Z1153" s="22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S1153" s="11"/>
      <c r="AT1153" s="12"/>
    </row>
    <row r="1154" ht="14.25" customHeight="1">
      <c r="A1154" s="20"/>
      <c r="B1154" s="20"/>
      <c r="C1154" s="20"/>
      <c r="D1154" s="21"/>
      <c r="E1154" s="20"/>
      <c r="F1154" s="20"/>
      <c r="G1154" s="20"/>
      <c r="H1154" s="20"/>
      <c r="K1154" s="1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2"/>
      <c r="Z1154" s="22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S1154" s="11"/>
      <c r="AT1154" s="12"/>
    </row>
    <row r="1155" ht="14.25" customHeight="1">
      <c r="A1155" s="20"/>
      <c r="B1155" s="20"/>
      <c r="C1155" s="20"/>
      <c r="D1155" s="21"/>
      <c r="E1155" s="20"/>
      <c r="F1155" s="20"/>
      <c r="G1155" s="20"/>
      <c r="H1155" s="20"/>
      <c r="K1155" s="1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2"/>
      <c r="Z1155" s="22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S1155" s="11"/>
      <c r="AT1155" s="12"/>
    </row>
    <row r="1156" ht="14.25" customHeight="1">
      <c r="A1156" s="20"/>
      <c r="B1156" s="20"/>
      <c r="C1156" s="20"/>
      <c r="D1156" s="21"/>
      <c r="E1156" s="20"/>
      <c r="F1156" s="20"/>
      <c r="G1156" s="20"/>
      <c r="H1156" s="20"/>
      <c r="K1156" s="1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2"/>
      <c r="Z1156" s="22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S1156" s="11"/>
      <c r="AT1156" s="12"/>
    </row>
    <row r="1157" ht="14.25" customHeight="1">
      <c r="A1157" s="20"/>
      <c r="B1157" s="20"/>
      <c r="C1157" s="20"/>
      <c r="D1157" s="21"/>
      <c r="E1157" s="20"/>
      <c r="F1157" s="20"/>
      <c r="G1157" s="20"/>
      <c r="H1157" s="20"/>
      <c r="K1157" s="1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2"/>
      <c r="Z1157" s="22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S1157" s="11"/>
      <c r="AT1157" s="12"/>
    </row>
    <row r="1158" ht="14.25" customHeight="1">
      <c r="A1158" s="20"/>
      <c r="B1158" s="20"/>
      <c r="C1158" s="20"/>
      <c r="D1158" s="21"/>
      <c r="E1158" s="20"/>
      <c r="F1158" s="20"/>
      <c r="G1158" s="20"/>
      <c r="H1158" s="20"/>
      <c r="K1158" s="1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2"/>
      <c r="Z1158" s="22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S1158" s="11"/>
      <c r="AT1158" s="12"/>
    </row>
    <row r="1159" ht="14.25" customHeight="1">
      <c r="A1159" s="20"/>
      <c r="B1159" s="20"/>
      <c r="C1159" s="20"/>
      <c r="D1159" s="21"/>
      <c r="E1159" s="20"/>
      <c r="F1159" s="20"/>
      <c r="G1159" s="20"/>
      <c r="H1159" s="20"/>
      <c r="K1159" s="1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2"/>
      <c r="Z1159" s="22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S1159" s="11"/>
      <c r="AT1159" s="12"/>
    </row>
    <row r="1160" ht="14.25" customHeight="1">
      <c r="A1160" s="20"/>
      <c r="B1160" s="20"/>
      <c r="C1160" s="20"/>
      <c r="D1160" s="21"/>
      <c r="E1160" s="20"/>
      <c r="F1160" s="20"/>
      <c r="G1160" s="20"/>
      <c r="H1160" s="20"/>
      <c r="K1160" s="1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2"/>
      <c r="Z1160" s="22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S1160" s="11"/>
      <c r="AT1160" s="12"/>
    </row>
    <row r="1161" ht="14.25" customHeight="1">
      <c r="A1161" s="20"/>
      <c r="B1161" s="20"/>
      <c r="C1161" s="20"/>
      <c r="D1161" s="21"/>
      <c r="E1161" s="20"/>
      <c r="F1161" s="20"/>
      <c r="G1161" s="20"/>
      <c r="H1161" s="20"/>
      <c r="K1161" s="1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2"/>
      <c r="Z1161" s="22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S1161" s="11"/>
      <c r="AT1161" s="12"/>
    </row>
    <row r="1162" ht="14.25" customHeight="1">
      <c r="A1162" s="20"/>
      <c r="B1162" s="20"/>
      <c r="C1162" s="20"/>
      <c r="D1162" s="21"/>
      <c r="E1162" s="20"/>
      <c r="F1162" s="20"/>
      <c r="G1162" s="20"/>
      <c r="H1162" s="20"/>
      <c r="K1162" s="1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2"/>
      <c r="Z1162" s="22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S1162" s="11"/>
      <c r="AT1162" s="12"/>
    </row>
    <row r="1163" ht="14.25" customHeight="1">
      <c r="A1163" s="20"/>
      <c r="B1163" s="20"/>
      <c r="C1163" s="20"/>
      <c r="D1163" s="21"/>
      <c r="E1163" s="20"/>
      <c r="F1163" s="20"/>
      <c r="G1163" s="20"/>
      <c r="H1163" s="20"/>
      <c r="K1163" s="1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2"/>
      <c r="Z1163" s="22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S1163" s="11"/>
      <c r="AT1163" s="12"/>
    </row>
    <row r="1164" ht="14.25" customHeight="1">
      <c r="A1164" s="20"/>
      <c r="B1164" s="20"/>
      <c r="C1164" s="20"/>
      <c r="D1164" s="21"/>
      <c r="E1164" s="20"/>
      <c r="F1164" s="20"/>
      <c r="G1164" s="20"/>
      <c r="H1164" s="20"/>
      <c r="K1164" s="1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2"/>
      <c r="Z1164" s="22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S1164" s="11"/>
      <c r="AT1164" s="12"/>
    </row>
    <row r="1165" ht="14.25" customHeight="1">
      <c r="A1165" s="20"/>
      <c r="B1165" s="20"/>
      <c r="C1165" s="20"/>
      <c r="D1165" s="21"/>
      <c r="E1165" s="20"/>
      <c r="F1165" s="20"/>
      <c r="G1165" s="20"/>
      <c r="H1165" s="20"/>
      <c r="K1165" s="1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2"/>
      <c r="Z1165" s="22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S1165" s="11"/>
      <c r="AT1165" s="12"/>
    </row>
    <row r="1166" ht="14.25" customHeight="1">
      <c r="A1166" s="20"/>
      <c r="B1166" s="20"/>
      <c r="C1166" s="20"/>
      <c r="D1166" s="21"/>
      <c r="E1166" s="20"/>
      <c r="F1166" s="20"/>
      <c r="G1166" s="20"/>
      <c r="H1166" s="20"/>
      <c r="K1166" s="1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2"/>
      <c r="Z1166" s="22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S1166" s="11"/>
      <c r="AT1166" s="12"/>
    </row>
    <row r="1167" ht="14.25" customHeight="1">
      <c r="A1167" s="20"/>
      <c r="B1167" s="20"/>
      <c r="C1167" s="20"/>
      <c r="D1167" s="21"/>
      <c r="E1167" s="20"/>
      <c r="F1167" s="20"/>
      <c r="G1167" s="20"/>
      <c r="H1167" s="20"/>
      <c r="K1167" s="1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2"/>
      <c r="Z1167" s="22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S1167" s="11"/>
      <c r="AT1167" s="12"/>
    </row>
    <row r="1168" ht="14.25" customHeight="1">
      <c r="A1168" s="20"/>
      <c r="B1168" s="20"/>
      <c r="C1168" s="20"/>
      <c r="D1168" s="21"/>
      <c r="E1168" s="20"/>
      <c r="F1168" s="20"/>
      <c r="G1168" s="20"/>
      <c r="H1168" s="20"/>
      <c r="K1168" s="1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2"/>
      <c r="Z1168" s="22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S1168" s="11"/>
      <c r="AT1168" s="12"/>
    </row>
    <row r="1169" ht="14.25" customHeight="1">
      <c r="A1169" s="20"/>
      <c r="B1169" s="20"/>
      <c r="C1169" s="20"/>
      <c r="D1169" s="21"/>
      <c r="E1169" s="20"/>
      <c r="F1169" s="20"/>
      <c r="G1169" s="20"/>
      <c r="H1169" s="20"/>
      <c r="K1169" s="1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2"/>
      <c r="Z1169" s="22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S1169" s="11"/>
      <c r="AT1169" s="12"/>
    </row>
    <row r="1170" ht="14.25" customHeight="1">
      <c r="A1170" s="20"/>
      <c r="B1170" s="20"/>
      <c r="C1170" s="20"/>
      <c r="D1170" s="21"/>
      <c r="E1170" s="20"/>
      <c r="F1170" s="20"/>
      <c r="G1170" s="20"/>
      <c r="H1170" s="20"/>
      <c r="K1170" s="1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2"/>
      <c r="Z1170" s="22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S1170" s="11"/>
      <c r="AT1170" s="12"/>
    </row>
    <row r="1171" ht="14.25" customHeight="1">
      <c r="A1171" s="20"/>
      <c r="B1171" s="20"/>
      <c r="C1171" s="20"/>
      <c r="D1171" s="21"/>
      <c r="E1171" s="20"/>
      <c r="F1171" s="20"/>
      <c r="G1171" s="20"/>
      <c r="H1171" s="20"/>
      <c r="K1171" s="1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2"/>
      <c r="Z1171" s="22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S1171" s="11"/>
      <c r="AT1171" s="12"/>
    </row>
    <row r="1172" ht="14.25" customHeight="1">
      <c r="A1172" s="20"/>
      <c r="B1172" s="20"/>
      <c r="C1172" s="20"/>
      <c r="D1172" s="21"/>
      <c r="E1172" s="20"/>
      <c r="F1172" s="20"/>
      <c r="G1172" s="20"/>
      <c r="H1172" s="20"/>
      <c r="K1172" s="1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2"/>
      <c r="Z1172" s="22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S1172" s="11"/>
      <c r="AT1172" s="12"/>
    </row>
    <row r="1173" ht="14.25" customHeight="1">
      <c r="A1173" s="20"/>
      <c r="B1173" s="20"/>
      <c r="C1173" s="20"/>
      <c r="D1173" s="21"/>
      <c r="E1173" s="20"/>
      <c r="F1173" s="20"/>
      <c r="G1173" s="20"/>
      <c r="H1173" s="20"/>
      <c r="K1173" s="1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2"/>
      <c r="Z1173" s="22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S1173" s="11"/>
      <c r="AT1173" s="12"/>
    </row>
    <row r="1174" ht="14.25" customHeight="1">
      <c r="A1174" s="20"/>
      <c r="B1174" s="20"/>
      <c r="C1174" s="20"/>
      <c r="D1174" s="21"/>
      <c r="E1174" s="20"/>
      <c r="F1174" s="20"/>
      <c r="G1174" s="20"/>
      <c r="H1174" s="20"/>
      <c r="K1174" s="1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2"/>
      <c r="Z1174" s="22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S1174" s="11"/>
      <c r="AT1174" s="12"/>
    </row>
    <row r="1175" ht="14.25" customHeight="1">
      <c r="A1175" s="20"/>
      <c r="B1175" s="20"/>
      <c r="C1175" s="20"/>
      <c r="D1175" s="21"/>
      <c r="E1175" s="20"/>
      <c r="F1175" s="20"/>
      <c r="G1175" s="20"/>
      <c r="H1175" s="20"/>
      <c r="K1175" s="1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2"/>
      <c r="Z1175" s="22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S1175" s="11"/>
      <c r="AT1175" s="12"/>
    </row>
    <row r="1176" ht="14.25" customHeight="1">
      <c r="A1176" s="20"/>
      <c r="B1176" s="20"/>
      <c r="C1176" s="20"/>
      <c r="D1176" s="21"/>
      <c r="E1176" s="20"/>
      <c r="F1176" s="20"/>
      <c r="G1176" s="20"/>
      <c r="H1176" s="20"/>
      <c r="K1176" s="1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2"/>
      <c r="Z1176" s="22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S1176" s="11"/>
      <c r="AT1176" s="12"/>
    </row>
    <row r="1177" ht="14.25" customHeight="1">
      <c r="A1177" s="20"/>
      <c r="B1177" s="20"/>
      <c r="C1177" s="20"/>
      <c r="D1177" s="21"/>
      <c r="E1177" s="20"/>
      <c r="F1177" s="20"/>
      <c r="G1177" s="20"/>
      <c r="H1177" s="20"/>
      <c r="K1177" s="1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2"/>
      <c r="Z1177" s="22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S1177" s="11"/>
      <c r="AT1177" s="12"/>
    </row>
    <row r="1178" ht="14.25" customHeight="1">
      <c r="A1178" s="20"/>
      <c r="B1178" s="20"/>
      <c r="C1178" s="20"/>
      <c r="D1178" s="21"/>
      <c r="E1178" s="20"/>
      <c r="F1178" s="20"/>
      <c r="G1178" s="20"/>
      <c r="H1178" s="20"/>
      <c r="K1178" s="1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2"/>
      <c r="Z1178" s="22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S1178" s="11"/>
      <c r="AT1178" s="12"/>
    </row>
    <row r="1179" ht="14.25" customHeight="1">
      <c r="A1179" s="20"/>
      <c r="B1179" s="20"/>
      <c r="C1179" s="20"/>
      <c r="D1179" s="21"/>
      <c r="E1179" s="20"/>
      <c r="F1179" s="20"/>
      <c r="G1179" s="20"/>
      <c r="H1179" s="20"/>
      <c r="K1179" s="1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2"/>
      <c r="Z1179" s="22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S1179" s="11"/>
      <c r="AT1179" s="12"/>
    </row>
    <row r="1180" ht="14.25" customHeight="1">
      <c r="A1180" s="20"/>
      <c r="B1180" s="20"/>
      <c r="C1180" s="20"/>
      <c r="D1180" s="21"/>
      <c r="E1180" s="20"/>
      <c r="F1180" s="20"/>
      <c r="G1180" s="20"/>
      <c r="H1180" s="20"/>
      <c r="K1180" s="1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2"/>
      <c r="Z1180" s="22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S1180" s="11"/>
      <c r="AT1180" s="12"/>
    </row>
    <row r="1181" ht="14.25" customHeight="1">
      <c r="A1181" s="20"/>
      <c r="B1181" s="20"/>
      <c r="C1181" s="20"/>
      <c r="D1181" s="21"/>
      <c r="E1181" s="20"/>
      <c r="F1181" s="20"/>
      <c r="G1181" s="20"/>
      <c r="H1181" s="20"/>
      <c r="K1181" s="1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2"/>
      <c r="Z1181" s="22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S1181" s="11"/>
      <c r="AT1181" s="12"/>
    </row>
    <row r="1182" ht="14.25" customHeight="1">
      <c r="A1182" s="20"/>
      <c r="B1182" s="20"/>
      <c r="C1182" s="20"/>
      <c r="D1182" s="21"/>
      <c r="E1182" s="20"/>
      <c r="F1182" s="20"/>
      <c r="G1182" s="20"/>
      <c r="H1182" s="20"/>
      <c r="K1182" s="1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2"/>
      <c r="Z1182" s="22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S1182" s="11"/>
      <c r="AT1182" s="12"/>
    </row>
    <row r="1183" ht="14.25" customHeight="1">
      <c r="A1183" s="20"/>
      <c r="B1183" s="20"/>
      <c r="C1183" s="20"/>
      <c r="D1183" s="21"/>
      <c r="E1183" s="20"/>
      <c r="F1183" s="20"/>
      <c r="G1183" s="20"/>
      <c r="H1183" s="20"/>
      <c r="K1183" s="1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2"/>
      <c r="Z1183" s="22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S1183" s="11"/>
      <c r="AT1183" s="12"/>
    </row>
    <row r="1184" ht="14.25" customHeight="1">
      <c r="A1184" s="20"/>
      <c r="B1184" s="20"/>
      <c r="C1184" s="20"/>
      <c r="D1184" s="21"/>
      <c r="E1184" s="20"/>
      <c r="F1184" s="20"/>
      <c r="G1184" s="20"/>
      <c r="H1184" s="20"/>
      <c r="K1184" s="1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2"/>
      <c r="Z1184" s="22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S1184" s="11"/>
      <c r="AT1184" s="12"/>
    </row>
    <row r="1185" ht="14.25" customHeight="1">
      <c r="A1185" s="20"/>
      <c r="B1185" s="20"/>
      <c r="C1185" s="20"/>
      <c r="D1185" s="21"/>
      <c r="E1185" s="20"/>
      <c r="F1185" s="20"/>
      <c r="G1185" s="20"/>
      <c r="H1185" s="20"/>
      <c r="K1185" s="1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2"/>
      <c r="Z1185" s="22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S1185" s="11"/>
      <c r="AT1185" s="12"/>
    </row>
    <row r="1186" ht="14.25" customHeight="1">
      <c r="A1186" s="20"/>
      <c r="B1186" s="20"/>
      <c r="C1186" s="20"/>
      <c r="D1186" s="21"/>
      <c r="E1186" s="20"/>
      <c r="F1186" s="20"/>
      <c r="G1186" s="20"/>
      <c r="H1186" s="20"/>
      <c r="K1186" s="1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2"/>
      <c r="Z1186" s="22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S1186" s="11"/>
      <c r="AT1186" s="12"/>
    </row>
    <row r="1187" ht="14.25" customHeight="1">
      <c r="A1187" s="20"/>
      <c r="B1187" s="20"/>
      <c r="C1187" s="20"/>
      <c r="D1187" s="21"/>
      <c r="E1187" s="20"/>
      <c r="F1187" s="20"/>
      <c r="G1187" s="20"/>
      <c r="H1187" s="20"/>
      <c r="K1187" s="1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2"/>
      <c r="Z1187" s="22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S1187" s="11"/>
      <c r="AT1187" s="12"/>
    </row>
    <row r="1188" ht="14.25" customHeight="1">
      <c r="A1188" s="20"/>
      <c r="B1188" s="20"/>
      <c r="C1188" s="20"/>
      <c r="D1188" s="21"/>
      <c r="E1188" s="20"/>
      <c r="F1188" s="20"/>
      <c r="G1188" s="20"/>
      <c r="H1188" s="20"/>
      <c r="K1188" s="1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2"/>
      <c r="Z1188" s="22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S1188" s="11"/>
      <c r="AT1188" s="12"/>
    </row>
    <row r="1189" ht="14.25" customHeight="1">
      <c r="A1189" s="20"/>
      <c r="B1189" s="20"/>
      <c r="C1189" s="20"/>
      <c r="D1189" s="21"/>
      <c r="E1189" s="20"/>
      <c r="F1189" s="20"/>
      <c r="G1189" s="20"/>
      <c r="H1189" s="20"/>
      <c r="K1189" s="1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2"/>
      <c r="Z1189" s="22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S1189" s="11"/>
      <c r="AT1189" s="12"/>
    </row>
    <row r="1190" ht="14.25" customHeight="1">
      <c r="A1190" s="20"/>
      <c r="B1190" s="20"/>
      <c r="C1190" s="20"/>
      <c r="D1190" s="21"/>
      <c r="E1190" s="20"/>
      <c r="F1190" s="20"/>
      <c r="G1190" s="20"/>
      <c r="H1190" s="20"/>
      <c r="K1190" s="1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2"/>
      <c r="Z1190" s="22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S1190" s="11"/>
      <c r="AT1190" s="12"/>
    </row>
    <row r="1191" ht="14.25" customHeight="1">
      <c r="A1191" s="20"/>
      <c r="B1191" s="20"/>
      <c r="C1191" s="20"/>
      <c r="D1191" s="21"/>
      <c r="E1191" s="20"/>
      <c r="F1191" s="20"/>
      <c r="G1191" s="20"/>
      <c r="H1191" s="20"/>
      <c r="K1191" s="1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2"/>
      <c r="Z1191" s="22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S1191" s="11"/>
      <c r="AT1191" s="12"/>
    </row>
    <row r="1192" ht="14.25" customHeight="1">
      <c r="A1192" s="20"/>
      <c r="B1192" s="20"/>
      <c r="C1192" s="20"/>
      <c r="D1192" s="21"/>
      <c r="E1192" s="20"/>
      <c r="F1192" s="20"/>
      <c r="G1192" s="20"/>
      <c r="H1192" s="20"/>
      <c r="K1192" s="1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2"/>
      <c r="Z1192" s="22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S1192" s="11"/>
      <c r="AT1192" s="12"/>
    </row>
    <row r="1193" ht="14.25" customHeight="1">
      <c r="A1193" s="20"/>
      <c r="B1193" s="20"/>
      <c r="C1193" s="20"/>
      <c r="D1193" s="21"/>
      <c r="E1193" s="20"/>
      <c r="F1193" s="20"/>
      <c r="G1193" s="20"/>
      <c r="H1193" s="20"/>
      <c r="K1193" s="1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2"/>
      <c r="Z1193" s="22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S1193" s="11"/>
      <c r="AT1193" s="12"/>
    </row>
    <row r="1194" ht="14.25" customHeight="1">
      <c r="A1194" s="20"/>
      <c r="B1194" s="20"/>
      <c r="C1194" s="20"/>
      <c r="D1194" s="21"/>
      <c r="E1194" s="20"/>
      <c r="F1194" s="20"/>
      <c r="G1194" s="20"/>
      <c r="H1194" s="20"/>
      <c r="K1194" s="1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2"/>
      <c r="Z1194" s="22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S1194" s="11"/>
      <c r="AT1194" s="12"/>
    </row>
    <row r="1195" ht="14.25" customHeight="1">
      <c r="A1195" s="20"/>
      <c r="B1195" s="20"/>
      <c r="C1195" s="20"/>
      <c r="D1195" s="21"/>
      <c r="E1195" s="20"/>
      <c r="F1195" s="20"/>
      <c r="G1195" s="20"/>
      <c r="H1195" s="20"/>
      <c r="K1195" s="1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2"/>
      <c r="Z1195" s="22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S1195" s="11"/>
      <c r="AT1195" s="12"/>
    </row>
    <row r="1196" ht="14.25" customHeight="1">
      <c r="A1196" s="20"/>
      <c r="B1196" s="20"/>
      <c r="C1196" s="20"/>
      <c r="D1196" s="21"/>
      <c r="E1196" s="20"/>
      <c r="F1196" s="20"/>
      <c r="G1196" s="20"/>
      <c r="H1196" s="20"/>
      <c r="K1196" s="1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2"/>
      <c r="Z1196" s="22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S1196" s="11"/>
      <c r="AT1196" s="12"/>
    </row>
    <row r="1197" ht="14.25" customHeight="1">
      <c r="A1197" s="20"/>
      <c r="B1197" s="20"/>
      <c r="C1197" s="20"/>
      <c r="D1197" s="21"/>
      <c r="E1197" s="20"/>
      <c r="F1197" s="20"/>
      <c r="G1197" s="20"/>
      <c r="H1197" s="20"/>
      <c r="K1197" s="1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2"/>
      <c r="Z1197" s="22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S1197" s="11"/>
      <c r="AT1197" s="12"/>
    </row>
    <row r="1198" ht="14.25" customHeight="1">
      <c r="A1198" s="20"/>
      <c r="B1198" s="20"/>
      <c r="C1198" s="20"/>
      <c r="D1198" s="21"/>
      <c r="E1198" s="20"/>
      <c r="F1198" s="20"/>
      <c r="G1198" s="20"/>
      <c r="H1198" s="20"/>
      <c r="K1198" s="1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2"/>
      <c r="Z1198" s="22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S1198" s="11"/>
      <c r="AT1198" s="12"/>
    </row>
    <row r="1199" ht="14.25" customHeight="1">
      <c r="A1199" s="20"/>
      <c r="B1199" s="20"/>
      <c r="C1199" s="20"/>
      <c r="D1199" s="21"/>
      <c r="E1199" s="20"/>
      <c r="F1199" s="20"/>
      <c r="G1199" s="20"/>
      <c r="H1199" s="20"/>
      <c r="K1199" s="1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2"/>
      <c r="Z1199" s="22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S1199" s="11"/>
      <c r="AT1199" s="12"/>
    </row>
    <row r="1200" ht="14.25" customHeight="1">
      <c r="A1200" s="20"/>
      <c r="B1200" s="20"/>
      <c r="C1200" s="20"/>
      <c r="D1200" s="21"/>
      <c r="E1200" s="20"/>
      <c r="F1200" s="20"/>
      <c r="G1200" s="20"/>
      <c r="H1200" s="20"/>
      <c r="K1200" s="1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2"/>
      <c r="Z1200" s="22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S1200" s="11"/>
      <c r="AT1200" s="12"/>
    </row>
    <row r="1201" ht="14.25" customHeight="1">
      <c r="A1201" s="20"/>
      <c r="B1201" s="20"/>
      <c r="C1201" s="20"/>
      <c r="D1201" s="21"/>
      <c r="E1201" s="20"/>
      <c r="F1201" s="20"/>
      <c r="G1201" s="20"/>
      <c r="H1201" s="20"/>
      <c r="K1201" s="1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2"/>
      <c r="Z1201" s="22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S1201" s="11"/>
      <c r="AT1201" s="12"/>
    </row>
    <row r="1202" ht="14.25" customHeight="1">
      <c r="A1202" s="20"/>
      <c r="B1202" s="20"/>
      <c r="C1202" s="20"/>
      <c r="D1202" s="21"/>
      <c r="E1202" s="20"/>
      <c r="F1202" s="20"/>
      <c r="G1202" s="20"/>
      <c r="H1202" s="20"/>
      <c r="K1202" s="1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2"/>
      <c r="Z1202" s="22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S1202" s="11"/>
      <c r="AT1202" s="12"/>
    </row>
    <row r="1203" ht="14.25" customHeight="1">
      <c r="A1203" s="20"/>
      <c r="B1203" s="20"/>
      <c r="C1203" s="20"/>
      <c r="D1203" s="21"/>
      <c r="E1203" s="20"/>
      <c r="F1203" s="20"/>
      <c r="G1203" s="20"/>
      <c r="H1203" s="20"/>
      <c r="K1203" s="1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2"/>
      <c r="Z1203" s="22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S1203" s="11"/>
      <c r="AT1203" s="12"/>
    </row>
    <row r="1204" ht="14.25" customHeight="1">
      <c r="A1204" s="20"/>
      <c r="B1204" s="20"/>
      <c r="C1204" s="20"/>
      <c r="D1204" s="21"/>
      <c r="E1204" s="20"/>
      <c r="F1204" s="20"/>
      <c r="G1204" s="20"/>
      <c r="H1204" s="20"/>
      <c r="K1204" s="1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2"/>
      <c r="Z1204" s="22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  <c r="AN1204" s="20"/>
      <c r="AS1204" s="11"/>
      <c r="AT1204" s="12"/>
    </row>
    <row r="1205" ht="14.25" customHeight="1">
      <c r="A1205" s="20"/>
      <c r="B1205" s="20"/>
      <c r="C1205" s="20"/>
      <c r="D1205" s="21"/>
      <c r="E1205" s="20"/>
      <c r="F1205" s="20"/>
      <c r="G1205" s="20"/>
      <c r="H1205" s="20"/>
      <c r="K1205" s="1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2"/>
      <c r="Z1205" s="22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  <c r="AN1205" s="20"/>
      <c r="AS1205" s="11"/>
      <c r="AT1205" s="12"/>
    </row>
    <row r="1206" ht="14.25" customHeight="1">
      <c r="A1206" s="20"/>
      <c r="B1206" s="20"/>
      <c r="C1206" s="20"/>
      <c r="D1206" s="21"/>
      <c r="E1206" s="20"/>
      <c r="F1206" s="20"/>
      <c r="G1206" s="20"/>
      <c r="H1206" s="20"/>
      <c r="K1206" s="1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2"/>
      <c r="Z1206" s="22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  <c r="AN1206" s="20"/>
      <c r="AS1206" s="11"/>
      <c r="AT1206" s="12"/>
    </row>
    <row r="1207" ht="14.25" customHeight="1">
      <c r="A1207" s="20"/>
      <c r="B1207" s="20"/>
      <c r="C1207" s="20"/>
      <c r="D1207" s="21"/>
      <c r="E1207" s="20"/>
      <c r="F1207" s="20"/>
      <c r="G1207" s="20"/>
      <c r="H1207" s="20"/>
      <c r="K1207" s="1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2"/>
      <c r="Z1207" s="22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  <c r="AN1207" s="20"/>
      <c r="AS1207" s="11"/>
      <c r="AT1207" s="12"/>
    </row>
    <row r="1208" ht="14.25" customHeight="1">
      <c r="A1208" s="20"/>
      <c r="B1208" s="20"/>
      <c r="C1208" s="20"/>
      <c r="D1208" s="21"/>
      <c r="E1208" s="20"/>
      <c r="F1208" s="20"/>
      <c r="G1208" s="20"/>
      <c r="H1208" s="20"/>
      <c r="K1208" s="1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2"/>
      <c r="Z1208" s="22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  <c r="AN1208" s="20"/>
      <c r="AS1208" s="11"/>
      <c r="AT1208" s="12"/>
    </row>
    <row r="1209" ht="14.25" customHeight="1">
      <c r="A1209" s="20"/>
      <c r="B1209" s="20"/>
      <c r="C1209" s="20"/>
      <c r="D1209" s="21"/>
      <c r="E1209" s="20"/>
      <c r="F1209" s="20"/>
      <c r="G1209" s="20"/>
      <c r="H1209" s="20"/>
      <c r="K1209" s="1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2"/>
      <c r="Z1209" s="22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  <c r="AN1209" s="20"/>
      <c r="AS1209" s="11"/>
      <c r="AT1209" s="12"/>
    </row>
    <row r="1210" ht="14.25" customHeight="1">
      <c r="A1210" s="20"/>
      <c r="B1210" s="20"/>
      <c r="C1210" s="20"/>
      <c r="D1210" s="21"/>
      <c r="E1210" s="20"/>
      <c r="F1210" s="20"/>
      <c r="G1210" s="20"/>
      <c r="H1210" s="20"/>
      <c r="K1210" s="1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2"/>
      <c r="Z1210" s="22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  <c r="AN1210" s="20"/>
      <c r="AS1210" s="11"/>
      <c r="AT1210" s="12"/>
    </row>
    <row r="1211" ht="14.25" customHeight="1">
      <c r="A1211" s="20"/>
      <c r="B1211" s="20"/>
      <c r="C1211" s="20"/>
      <c r="D1211" s="21"/>
      <c r="E1211" s="20"/>
      <c r="F1211" s="20"/>
      <c r="G1211" s="20"/>
      <c r="H1211" s="20"/>
      <c r="K1211" s="1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2"/>
      <c r="Z1211" s="22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  <c r="AN1211" s="20"/>
      <c r="AS1211" s="11"/>
      <c r="AT1211" s="12"/>
    </row>
    <row r="1212" ht="14.25" customHeight="1">
      <c r="A1212" s="20"/>
      <c r="B1212" s="20"/>
      <c r="C1212" s="20"/>
      <c r="D1212" s="21"/>
      <c r="E1212" s="20"/>
      <c r="F1212" s="20"/>
      <c r="G1212" s="20"/>
      <c r="H1212" s="20"/>
      <c r="K1212" s="1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2"/>
      <c r="Z1212" s="22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  <c r="AN1212" s="20"/>
      <c r="AS1212" s="11"/>
      <c r="AT1212" s="12"/>
    </row>
    <row r="1213" ht="14.25" customHeight="1">
      <c r="A1213" s="20"/>
      <c r="B1213" s="20"/>
      <c r="C1213" s="20"/>
      <c r="D1213" s="21"/>
      <c r="E1213" s="20"/>
      <c r="F1213" s="20"/>
      <c r="G1213" s="20"/>
      <c r="H1213" s="20"/>
      <c r="K1213" s="1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2"/>
      <c r="Z1213" s="22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  <c r="AN1213" s="20"/>
      <c r="AS1213" s="11"/>
      <c r="AT1213" s="12"/>
    </row>
    <row r="1214" ht="14.25" customHeight="1">
      <c r="A1214" s="20"/>
      <c r="B1214" s="20"/>
      <c r="C1214" s="20"/>
      <c r="D1214" s="21"/>
      <c r="E1214" s="20"/>
      <c r="F1214" s="20"/>
      <c r="G1214" s="20"/>
      <c r="H1214" s="20"/>
      <c r="K1214" s="1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2"/>
      <c r="Z1214" s="22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  <c r="AN1214" s="20"/>
      <c r="AS1214" s="11"/>
      <c r="AT1214" s="12"/>
    </row>
    <row r="1215" ht="14.25" customHeight="1">
      <c r="A1215" s="20"/>
      <c r="B1215" s="20"/>
      <c r="C1215" s="20"/>
      <c r="D1215" s="21"/>
      <c r="E1215" s="20"/>
      <c r="F1215" s="20"/>
      <c r="G1215" s="20"/>
      <c r="H1215" s="20"/>
      <c r="K1215" s="1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2"/>
      <c r="Z1215" s="22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  <c r="AN1215" s="20"/>
      <c r="AS1215" s="11"/>
      <c r="AT1215" s="12"/>
    </row>
    <row r="1216" ht="14.25" customHeight="1">
      <c r="A1216" s="20"/>
      <c r="B1216" s="20"/>
      <c r="C1216" s="20"/>
      <c r="D1216" s="21"/>
      <c r="E1216" s="20"/>
      <c r="F1216" s="20"/>
      <c r="G1216" s="20"/>
      <c r="H1216" s="20"/>
      <c r="K1216" s="1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2"/>
      <c r="Z1216" s="22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  <c r="AN1216" s="20"/>
      <c r="AS1216" s="11"/>
      <c r="AT1216" s="12"/>
    </row>
    <row r="1217" ht="14.25" customHeight="1">
      <c r="A1217" s="20"/>
      <c r="B1217" s="20"/>
      <c r="C1217" s="20"/>
      <c r="D1217" s="21"/>
      <c r="E1217" s="20"/>
      <c r="F1217" s="20"/>
      <c r="G1217" s="20"/>
      <c r="H1217" s="20"/>
      <c r="K1217" s="1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2"/>
      <c r="Z1217" s="22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  <c r="AL1217" s="20"/>
      <c r="AM1217" s="20"/>
      <c r="AN1217" s="20"/>
      <c r="AS1217" s="11"/>
      <c r="AT1217" s="12"/>
    </row>
    <row r="1218" ht="14.25" customHeight="1">
      <c r="A1218" s="20"/>
      <c r="B1218" s="20"/>
      <c r="C1218" s="20"/>
      <c r="D1218" s="21"/>
      <c r="E1218" s="20"/>
      <c r="F1218" s="20"/>
      <c r="G1218" s="20"/>
      <c r="H1218" s="20"/>
      <c r="K1218" s="1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2"/>
      <c r="Z1218" s="22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  <c r="AL1218" s="20"/>
      <c r="AM1218" s="20"/>
      <c r="AN1218" s="20"/>
      <c r="AS1218" s="11"/>
      <c r="AT1218" s="12"/>
    </row>
    <row r="1219" ht="14.25" customHeight="1">
      <c r="A1219" s="20"/>
      <c r="B1219" s="20"/>
      <c r="C1219" s="20"/>
      <c r="D1219" s="21"/>
      <c r="E1219" s="20"/>
      <c r="F1219" s="20"/>
      <c r="G1219" s="20"/>
      <c r="H1219" s="20"/>
      <c r="K1219" s="1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2"/>
      <c r="Z1219" s="22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0"/>
      <c r="AK1219" s="20"/>
      <c r="AL1219" s="20"/>
      <c r="AM1219" s="20"/>
      <c r="AN1219" s="20"/>
      <c r="AS1219" s="11"/>
      <c r="AT1219" s="12"/>
    </row>
    <row r="1220" ht="14.25" customHeight="1">
      <c r="A1220" s="20"/>
      <c r="B1220" s="20"/>
      <c r="C1220" s="20"/>
      <c r="D1220" s="21"/>
      <c r="E1220" s="20"/>
      <c r="F1220" s="20"/>
      <c r="G1220" s="20"/>
      <c r="H1220" s="20"/>
      <c r="K1220" s="1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2"/>
      <c r="Z1220" s="22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0"/>
      <c r="AK1220" s="20"/>
      <c r="AL1220" s="20"/>
      <c r="AM1220" s="20"/>
      <c r="AN1220" s="20"/>
      <c r="AS1220" s="11"/>
      <c r="AT1220" s="12"/>
    </row>
    <row r="1221" ht="14.25" customHeight="1">
      <c r="A1221" s="20"/>
      <c r="B1221" s="20"/>
      <c r="C1221" s="20"/>
      <c r="D1221" s="21"/>
      <c r="E1221" s="20"/>
      <c r="F1221" s="20"/>
      <c r="G1221" s="20"/>
      <c r="H1221" s="20"/>
      <c r="K1221" s="1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2"/>
      <c r="Z1221" s="22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20"/>
      <c r="AM1221" s="20"/>
      <c r="AN1221" s="20"/>
      <c r="AS1221" s="11"/>
      <c r="AT1221" s="12"/>
    </row>
    <row r="1222" ht="14.25" customHeight="1">
      <c r="A1222" s="20"/>
      <c r="B1222" s="20"/>
      <c r="C1222" s="20"/>
      <c r="D1222" s="21"/>
      <c r="E1222" s="20"/>
      <c r="F1222" s="20"/>
      <c r="G1222" s="20"/>
      <c r="H1222" s="20"/>
      <c r="K1222" s="1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2"/>
      <c r="Z1222" s="22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20"/>
      <c r="AM1222" s="20"/>
      <c r="AN1222" s="20"/>
      <c r="AS1222" s="11"/>
      <c r="AT1222" s="12"/>
    </row>
    <row r="1223" ht="14.25" customHeight="1">
      <c r="A1223" s="20"/>
      <c r="B1223" s="20"/>
      <c r="C1223" s="20"/>
      <c r="D1223" s="21"/>
      <c r="E1223" s="20"/>
      <c r="F1223" s="20"/>
      <c r="G1223" s="20"/>
      <c r="H1223" s="20"/>
      <c r="K1223" s="1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2"/>
      <c r="Z1223" s="22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20"/>
      <c r="AM1223" s="20"/>
      <c r="AN1223" s="20"/>
      <c r="AS1223" s="11"/>
      <c r="AT1223" s="12"/>
    </row>
    <row r="1224" ht="14.25" customHeight="1">
      <c r="A1224" s="20"/>
      <c r="B1224" s="20"/>
      <c r="C1224" s="20"/>
      <c r="D1224" s="21"/>
      <c r="E1224" s="20"/>
      <c r="F1224" s="20"/>
      <c r="G1224" s="20"/>
      <c r="H1224" s="20"/>
      <c r="K1224" s="1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2"/>
      <c r="Z1224" s="22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20"/>
      <c r="AM1224" s="20"/>
      <c r="AN1224" s="20"/>
      <c r="AS1224" s="11"/>
      <c r="AT1224" s="12"/>
    </row>
    <row r="1225" ht="14.25" customHeight="1">
      <c r="A1225" s="20"/>
      <c r="B1225" s="20"/>
      <c r="C1225" s="20"/>
      <c r="D1225" s="21"/>
      <c r="E1225" s="20"/>
      <c r="F1225" s="20"/>
      <c r="G1225" s="20"/>
      <c r="H1225" s="20"/>
      <c r="K1225" s="1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2"/>
      <c r="Z1225" s="22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20"/>
      <c r="AM1225" s="20"/>
      <c r="AN1225" s="20"/>
      <c r="AS1225" s="11"/>
      <c r="AT1225" s="12"/>
    </row>
    <row r="1226" ht="14.25" customHeight="1">
      <c r="A1226" s="20"/>
      <c r="B1226" s="20"/>
      <c r="C1226" s="20"/>
      <c r="D1226" s="21"/>
      <c r="E1226" s="20"/>
      <c r="F1226" s="20"/>
      <c r="G1226" s="20"/>
      <c r="H1226" s="20"/>
      <c r="K1226" s="1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2"/>
      <c r="Z1226" s="22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  <c r="AL1226" s="20"/>
      <c r="AM1226" s="20"/>
      <c r="AN1226" s="20"/>
      <c r="AS1226" s="11"/>
      <c r="AT1226" s="12"/>
    </row>
    <row r="1227" ht="14.25" customHeight="1">
      <c r="A1227" s="20"/>
      <c r="B1227" s="20"/>
      <c r="C1227" s="20"/>
      <c r="D1227" s="21"/>
      <c r="E1227" s="20"/>
      <c r="F1227" s="20"/>
      <c r="G1227" s="20"/>
      <c r="H1227" s="20"/>
      <c r="K1227" s="1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2"/>
      <c r="Z1227" s="22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20"/>
      <c r="AM1227" s="20"/>
      <c r="AN1227" s="20"/>
      <c r="AS1227" s="11"/>
      <c r="AT1227" s="12"/>
    </row>
    <row r="1228" ht="14.25" customHeight="1">
      <c r="A1228" s="20"/>
      <c r="B1228" s="20"/>
      <c r="C1228" s="20"/>
      <c r="D1228" s="21"/>
      <c r="E1228" s="20"/>
      <c r="F1228" s="20"/>
      <c r="G1228" s="20"/>
      <c r="H1228" s="20"/>
      <c r="K1228" s="1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2"/>
      <c r="Z1228" s="22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  <c r="AL1228" s="20"/>
      <c r="AM1228" s="20"/>
      <c r="AN1228" s="20"/>
      <c r="AS1228" s="11"/>
      <c r="AT1228" s="12"/>
    </row>
    <row r="1229" ht="14.25" customHeight="1">
      <c r="A1229" s="20"/>
      <c r="B1229" s="20"/>
      <c r="C1229" s="20"/>
      <c r="D1229" s="21"/>
      <c r="E1229" s="20"/>
      <c r="F1229" s="20"/>
      <c r="G1229" s="20"/>
      <c r="H1229" s="20"/>
      <c r="K1229" s="1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2"/>
      <c r="Z1229" s="22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  <c r="AL1229" s="20"/>
      <c r="AM1229" s="20"/>
      <c r="AN1229" s="20"/>
      <c r="AS1229" s="11"/>
      <c r="AT1229" s="12"/>
    </row>
    <row r="1230" ht="14.25" customHeight="1">
      <c r="A1230" s="20"/>
      <c r="B1230" s="20"/>
      <c r="C1230" s="20"/>
      <c r="D1230" s="21"/>
      <c r="E1230" s="20"/>
      <c r="F1230" s="20"/>
      <c r="G1230" s="20"/>
      <c r="H1230" s="20"/>
      <c r="K1230" s="1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2"/>
      <c r="Z1230" s="22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  <c r="AL1230" s="20"/>
      <c r="AM1230" s="20"/>
      <c r="AN1230" s="20"/>
      <c r="AS1230" s="11"/>
      <c r="AT1230" s="12"/>
    </row>
    <row r="1231" ht="14.25" customHeight="1">
      <c r="A1231" s="20"/>
      <c r="B1231" s="20"/>
      <c r="C1231" s="20"/>
      <c r="D1231" s="21"/>
      <c r="E1231" s="20"/>
      <c r="F1231" s="20"/>
      <c r="G1231" s="20"/>
      <c r="H1231" s="20"/>
      <c r="K1231" s="1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2"/>
      <c r="Z1231" s="22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  <c r="AL1231" s="20"/>
      <c r="AM1231" s="20"/>
      <c r="AN1231" s="20"/>
      <c r="AS1231" s="11"/>
      <c r="AT1231" s="12"/>
    </row>
    <row r="1232" ht="14.25" customHeight="1">
      <c r="A1232" s="20"/>
      <c r="B1232" s="20"/>
      <c r="C1232" s="20"/>
      <c r="D1232" s="21"/>
      <c r="E1232" s="20"/>
      <c r="F1232" s="20"/>
      <c r="G1232" s="20"/>
      <c r="H1232" s="20"/>
      <c r="K1232" s="10"/>
      <c r="M1232" s="20"/>
      <c r="N1232" s="20"/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2"/>
      <c r="Z1232" s="22"/>
      <c r="AA1232" s="20"/>
      <c r="AB1232" s="20"/>
      <c r="AC1232" s="20"/>
      <c r="AD1232" s="20"/>
      <c r="AE1232" s="20"/>
      <c r="AF1232" s="20"/>
      <c r="AG1232" s="20"/>
      <c r="AH1232" s="20"/>
      <c r="AI1232" s="20"/>
      <c r="AJ1232" s="20"/>
      <c r="AK1232" s="20"/>
      <c r="AL1232" s="20"/>
      <c r="AM1232" s="20"/>
      <c r="AN1232" s="20"/>
      <c r="AS1232" s="11"/>
      <c r="AT1232" s="12"/>
    </row>
    <row r="1233" ht="14.25" customHeight="1">
      <c r="A1233" s="20"/>
      <c r="B1233" s="20"/>
      <c r="C1233" s="20"/>
      <c r="D1233" s="21"/>
      <c r="E1233" s="20"/>
      <c r="F1233" s="20"/>
      <c r="G1233" s="20"/>
      <c r="H1233" s="20"/>
      <c r="K1233" s="10"/>
      <c r="M1233" s="20"/>
      <c r="N1233" s="20"/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2"/>
      <c r="Z1233" s="22"/>
      <c r="AA1233" s="20"/>
      <c r="AB1233" s="20"/>
      <c r="AC1233" s="20"/>
      <c r="AD1233" s="20"/>
      <c r="AE1233" s="20"/>
      <c r="AF1233" s="20"/>
      <c r="AG1233" s="20"/>
      <c r="AH1233" s="20"/>
      <c r="AI1233" s="20"/>
      <c r="AJ1233" s="20"/>
      <c r="AK1233" s="20"/>
      <c r="AL1233" s="20"/>
      <c r="AM1233" s="20"/>
      <c r="AN1233" s="20"/>
      <c r="AS1233" s="11"/>
      <c r="AT1233" s="12"/>
    </row>
    <row r="1234" ht="14.25" customHeight="1">
      <c r="A1234" s="20"/>
      <c r="B1234" s="20"/>
      <c r="C1234" s="20"/>
      <c r="D1234" s="21"/>
      <c r="E1234" s="20"/>
      <c r="F1234" s="20"/>
      <c r="G1234" s="20"/>
      <c r="H1234" s="20"/>
      <c r="K1234" s="1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2"/>
      <c r="Z1234" s="22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0"/>
      <c r="AK1234" s="20"/>
      <c r="AL1234" s="20"/>
      <c r="AM1234" s="20"/>
      <c r="AN1234" s="20"/>
      <c r="AS1234" s="11"/>
      <c r="AT1234" s="12"/>
    </row>
    <row r="1235" ht="14.25" customHeight="1">
      <c r="A1235" s="20"/>
      <c r="B1235" s="20"/>
      <c r="C1235" s="20"/>
      <c r="D1235" s="21"/>
      <c r="E1235" s="20"/>
      <c r="F1235" s="20"/>
      <c r="G1235" s="20"/>
      <c r="H1235" s="20"/>
      <c r="K1235" s="1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2"/>
      <c r="Z1235" s="22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0"/>
      <c r="AK1235" s="20"/>
      <c r="AL1235" s="20"/>
      <c r="AM1235" s="20"/>
      <c r="AN1235" s="20"/>
      <c r="AS1235" s="11"/>
      <c r="AT1235" s="12"/>
    </row>
    <row r="1236" ht="14.25" customHeight="1">
      <c r="A1236" s="20"/>
      <c r="B1236" s="20"/>
      <c r="C1236" s="20"/>
      <c r="D1236" s="21"/>
      <c r="E1236" s="20"/>
      <c r="F1236" s="20"/>
      <c r="G1236" s="20"/>
      <c r="H1236" s="20"/>
      <c r="K1236" s="10"/>
      <c r="M1236" s="20"/>
      <c r="N1236" s="20"/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2"/>
      <c r="Z1236" s="22"/>
      <c r="AA1236" s="20"/>
      <c r="AB1236" s="20"/>
      <c r="AC1236" s="20"/>
      <c r="AD1236" s="20"/>
      <c r="AE1236" s="20"/>
      <c r="AF1236" s="20"/>
      <c r="AG1236" s="20"/>
      <c r="AH1236" s="20"/>
      <c r="AI1236" s="20"/>
      <c r="AJ1236" s="20"/>
      <c r="AK1236" s="20"/>
      <c r="AL1236" s="20"/>
      <c r="AM1236" s="20"/>
      <c r="AN1236" s="20"/>
      <c r="AS1236" s="11"/>
      <c r="AT1236" s="12"/>
    </row>
    <row r="1237" ht="14.25" customHeight="1">
      <c r="A1237" s="20"/>
      <c r="B1237" s="20"/>
      <c r="C1237" s="20"/>
      <c r="D1237" s="21"/>
      <c r="E1237" s="20"/>
      <c r="F1237" s="20"/>
      <c r="G1237" s="20"/>
      <c r="H1237" s="20"/>
      <c r="K1237" s="1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2"/>
      <c r="Z1237" s="22"/>
      <c r="AA1237" s="20"/>
      <c r="AB1237" s="20"/>
      <c r="AC1237" s="20"/>
      <c r="AD1237" s="20"/>
      <c r="AE1237" s="20"/>
      <c r="AF1237" s="20"/>
      <c r="AG1237" s="20"/>
      <c r="AH1237" s="20"/>
      <c r="AI1237" s="20"/>
      <c r="AJ1237" s="20"/>
      <c r="AK1237" s="20"/>
      <c r="AL1237" s="20"/>
      <c r="AM1237" s="20"/>
      <c r="AN1237" s="20"/>
      <c r="AS1237" s="11"/>
      <c r="AT1237" s="12"/>
    </row>
    <row r="1238" ht="14.25" customHeight="1">
      <c r="A1238" s="20"/>
      <c r="B1238" s="20"/>
      <c r="C1238" s="20"/>
      <c r="D1238" s="21"/>
      <c r="E1238" s="20"/>
      <c r="F1238" s="20"/>
      <c r="G1238" s="20"/>
      <c r="H1238" s="20"/>
      <c r="K1238" s="1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2"/>
      <c r="Z1238" s="22"/>
      <c r="AA1238" s="20"/>
      <c r="AB1238" s="20"/>
      <c r="AC1238" s="20"/>
      <c r="AD1238" s="20"/>
      <c r="AE1238" s="20"/>
      <c r="AF1238" s="20"/>
      <c r="AG1238" s="20"/>
      <c r="AH1238" s="20"/>
      <c r="AI1238" s="20"/>
      <c r="AJ1238" s="20"/>
      <c r="AK1238" s="20"/>
      <c r="AL1238" s="20"/>
      <c r="AM1238" s="20"/>
      <c r="AN1238" s="20"/>
      <c r="AS1238" s="11"/>
      <c r="AT1238" s="12"/>
    </row>
    <row r="1239" ht="14.25" customHeight="1">
      <c r="A1239" s="20"/>
      <c r="B1239" s="20"/>
      <c r="C1239" s="20"/>
      <c r="D1239" s="21"/>
      <c r="E1239" s="20"/>
      <c r="F1239" s="20"/>
      <c r="G1239" s="20"/>
      <c r="H1239" s="20"/>
      <c r="K1239" s="1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2"/>
      <c r="Z1239" s="22"/>
      <c r="AA1239" s="20"/>
      <c r="AB1239" s="20"/>
      <c r="AC1239" s="20"/>
      <c r="AD1239" s="20"/>
      <c r="AE1239" s="20"/>
      <c r="AF1239" s="20"/>
      <c r="AG1239" s="20"/>
      <c r="AH1239" s="20"/>
      <c r="AI1239" s="20"/>
      <c r="AJ1239" s="20"/>
      <c r="AK1239" s="20"/>
      <c r="AL1239" s="20"/>
      <c r="AM1239" s="20"/>
      <c r="AN1239" s="20"/>
      <c r="AS1239" s="11"/>
      <c r="AT1239" s="12"/>
    </row>
    <row r="1240" ht="14.25" customHeight="1">
      <c r="A1240" s="20"/>
      <c r="B1240" s="20"/>
      <c r="C1240" s="20"/>
      <c r="D1240" s="21"/>
      <c r="E1240" s="20"/>
      <c r="F1240" s="20"/>
      <c r="G1240" s="20"/>
      <c r="H1240" s="20"/>
      <c r="K1240" s="10"/>
      <c r="M1240" s="20"/>
      <c r="N1240" s="20"/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2"/>
      <c r="Z1240" s="22"/>
      <c r="AA1240" s="20"/>
      <c r="AB1240" s="20"/>
      <c r="AC1240" s="20"/>
      <c r="AD1240" s="20"/>
      <c r="AE1240" s="20"/>
      <c r="AF1240" s="20"/>
      <c r="AG1240" s="20"/>
      <c r="AH1240" s="20"/>
      <c r="AI1240" s="20"/>
      <c r="AJ1240" s="20"/>
      <c r="AK1240" s="20"/>
      <c r="AL1240" s="20"/>
      <c r="AM1240" s="20"/>
      <c r="AN1240" s="20"/>
      <c r="AS1240" s="11"/>
      <c r="AT1240" s="12"/>
    </row>
    <row r="1241" ht="14.25" customHeight="1">
      <c r="A1241" s="20"/>
      <c r="B1241" s="20"/>
      <c r="C1241" s="20"/>
      <c r="D1241" s="21"/>
      <c r="E1241" s="20"/>
      <c r="F1241" s="20"/>
      <c r="G1241" s="20"/>
      <c r="H1241" s="20"/>
      <c r="K1241" s="1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2"/>
      <c r="Z1241" s="22"/>
      <c r="AA1241" s="20"/>
      <c r="AB1241" s="20"/>
      <c r="AC1241" s="20"/>
      <c r="AD1241" s="20"/>
      <c r="AE1241" s="20"/>
      <c r="AF1241" s="20"/>
      <c r="AG1241" s="20"/>
      <c r="AH1241" s="20"/>
      <c r="AI1241" s="20"/>
      <c r="AJ1241" s="20"/>
      <c r="AK1241" s="20"/>
      <c r="AL1241" s="20"/>
      <c r="AM1241" s="20"/>
      <c r="AN1241" s="20"/>
      <c r="AS1241" s="11"/>
      <c r="AT1241" s="12"/>
    </row>
    <row r="1242" ht="14.25" customHeight="1">
      <c r="A1242" s="20"/>
      <c r="B1242" s="20"/>
      <c r="C1242" s="20"/>
      <c r="D1242" s="21"/>
      <c r="E1242" s="20"/>
      <c r="F1242" s="20"/>
      <c r="G1242" s="20"/>
      <c r="H1242" s="20"/>
      <c r="K1242" s="1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2"/>
      <c r="Z1242" s="22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0"/>
      <c r="AK1242" s="20"/>
      <c r="AL1242" s="20"/>
      <c r="AM1242" s="20"/>
      <c r="AN1242" s="20"/>
      <c r="AS1242" s="11"/>
      <c r="AT1242" s="12"/>
    </row>
    <row r="1243" ht="14.25" customHeight="1">
      <c r="A1243" s="20"/>
      <c r="B1243" s="20"/>
      <c r="C1243" s="20"/>
      <c r="D1243" s="21"/>
      <c r="E1243" s="20"/>
      <c r="F1243" s="20"/>
      <c r="G1243" s="20"/>
      <c r="H1243" s="20"/>
      <c r="K1243" s="1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2"/>
      <c r="Z1243" s="22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0"/>
      <c r="AK1243" s="20"/>
      <c r="AL1243" s="20"/>
      <c r="AM1243" s="20"/>
      <c r="AN1243" s="20"/>
      <c r="AS1243" s="11"/>
      <c r="AT1243" s="12"/>
    </row>
    <row r="1244" ht="14.25" customHeight="1">
      <c r="A1244" s="20"/>
      <c r="B1244" s="20"/>
      <c r="C1244" s="20"/>
      <c r="D1244" s="21"/>
      <c r="E1244" s="20"/>
      <c r="F1244" s="20"/>
      <c r="G1244" s="20"/>
      <c r="H1244" s="20"/>
      <c r="K1244" s="1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2"/>
      <c r="Z1244" s="22"/>
      <c r="AA1244" s="20"/>
      <c r="AB1244" s="20"/>
      <c r="AC1244" s="20"/>
      <c r="AD1244" s="20"/>
      <c r="AE1244" s="20"/>
      <c r="AF1244" s="20"/>
      <c r="AG1244" s="20"/>
      <c r="AH1244" s="20"/>
      <c r="AI1244" s="20"/>
      <c r="AJ1244" s="20"/>
      <c r="AK1244" s="20"/>
      <c r="AL1244" s="20"/>
      <c r="AM1244" s="20"/>
      <c r="AN1244" s="20"/>
      <c r="AS1244" s="11"/>
      <c r="AT1244" s="12"/>
    </row>
    <row r="1245" ht="14.25" customHeight="1">
      <c r="A1245" s="20"/>
      <c r="B1245" s="20"/>
      <c r="C1245" s="20"/>
      <c r="D1245" s="21"/>
      <c r="E1245" s="20"/>
      <c r="F1245" s="20"/>
      <c r="G1245" s="20"/>
      <c r="H1245" s="20"/>
      <c r="K1245" s="1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2"/>
      <c r="Z1245" s="22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0"/>
      <c r="AK1245" s="20"/>
      <c r="AL1245" s="20"/>
      <c r="AM1245" s="20"/>
      <c r="AN1245" s="20"/>
      <c r="AS1245" s="11"/>
      <c r="AT1245" s="12"/>
    </row>
    <row r="1246" ht="14.25" customHeight="1">
      <c r="A1246" s="20"/>
      <c r="B1246" s="20"/>
      <c r="C1246" s="20"/>
      <c r="D1246" s="21"/>
      <c r="E1246" s="20"/>
      <c r="F1246" s="20"/>
      <c r="G1246" s="20"/>
      <c r="H1246" s="20"/>
      <c r="K1246" s="1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2"/>
      <c r="Z1246" s="22"/>
      <c r="AA1246" s="20"/>
      <c r="AB1246" s="20"/>
      <c r="AC1246" s="20"/>
      <c r="AD1246" s="20"/>
      <c r="AE1246" s="20"/>
      <c r="AF1246" s="20"/>
      <c r="AG1246" s="20"/>
      <c r="AH1246" s="20"/>
      <c r="AI1246" s="20"/>
      <c r="AJ1246" s="20"/>
      <c r="AK1246" s="20"/>
      <c r="AL1246" s="20"/>
      <c r="AM1246" s="20"/>
      <c r="AN1246" s="20"/>
      <c r="AS1246" s="11"/>
      <c r="AT1246" s="12"/>
    </row>
    <row r="1247" ht="14.25" customHeight="1">
      <c r="A1247" s="20"/>
      <c r="B1247" s="20"/>
      <c r="C1247" s="20"/>
      <c r="D1247" s="21"/>
      <c r="E1247" s="20"/>
      <c r="F1247" s="20"/>
      <c r="G1247" s="20"/>
      <c r="H1247" s="20"/>
      <c r="K1247" s="1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2"/>
      <c r="Z1247" s="22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0"/>
      <c r="AK1247" s="20"/>
      <c r="AL1247" s="20"/>
      <c r="AM1247" s="20"/>
      <c r="AN1247" s="20"/>
      <c r="AS1247" s="11"/>
      <c r="AT1247" s="12"/>
    </row>
    <row r="1248" ht="14.25" customHeight="1">
      <c r="A1248" s="20"/>
      <c r="B1248" s="20"/>
      <c r="C1248" s="20"/>
      <c r="D1248" s="21"/>
      <c r="E1248" s="20"/>
      <c r="F1248" s="20"/>
      <c r="G1248" s="20"/>
      <c r="H1248" s="20"/>
      <c r="K1248" s="1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2"/>
      <c r="Z1248" s="22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0"/>
      <c r="AK1248" s="20"/>
      <c r="AL1248" s="20"/>
      <c r="AM1248" s="20"/>
      <c r="AN1248" s="20"/>
      <c r="AS1248" s="11"/>
      <c r="AT1248" s="12"/>
    </row>
    <row r="1249" ht="14.25" customHeight="1">
      <c r="A1249" s="20"/>
      <c r="B1249" s="20"/>
      <c r="C1249" s="20"/>
      <c r="D1249" s="21"/>
      <c r="E1249" s="20"/>
      <c r="F1249" s="20"/>
      <c r="G1249" s="20"/>
      <c r="H1249" s="20"/>
      <c r="K1249" s="1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2"/>
      <c r="Z1249" s="22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20"/>
      <c r="AN1249" s="20"/>
      <c r="AS1249" s="11"/>
      <c r="AT1249" s="12"/>
    </row>
    <row r="1250" ht="14.25" customHeight="1">
      <c r="A1250" s="20"/>
      <c r="B1250" s="20"/>
      <c r="C1250" s="20"/>
      <c r="D1250" s="21"/>
      <c r="E1250" s="20"/>
      <c r="F1250" s="20"/>
      <c r="G1250" s="20"/>
      <c r="H1250" s="20"/>
      <c r="K1250" s="1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2"/>
      <c r="Z1250" s="22"/>
      <c r="AA1250" s="20"/>
      <c r="AB1250" s="20"/>
      <c r="AC1250" s="20"/>
      <c r="AD1250" s="20"/>
      <c r="AE1250" s="20"/>
      <c r="AF1250" s="20"/>
      <c r="AG1250" s="20"/>
      <c r="AH1250" s="20"/>
      <c r="AI1250" s="20"/>
      <c r="AJ1250" s="20"/>
      <c r="AK1250" s="20"/>
      <c r="AL1250" s="20"/>
      <c r="AM1250" s="20"/>
      <c r="AN1250" s="20"/>
      <c r="AS1250" s="11"/>
      <c r="AT1250" s="12"/>
    </row>
    <row r="1251" ht="14.25" customHeight="1">
      <c r="A1251" s="20"/>
      <c r="B1251" s="20"/>
      <c r="C1251" s="20"/>
      <c r="D1251" s="21"/>
      <c r="E1251" s="20"/>
      <c r="F1251" s="20"/>
      <c r="G1251" s="20"/>
      <c r="H1251" s="20"/>
      <c r="K1251" s="1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2"/>
      <c r="Z1251" s="22"/>
      <c r="AA1251" s="20"/>
      <c r="AB1251" s="20"/>
      <c r="AC1251" s="20"/>
      <c r="AD1251" s="20"/>
      <c r="AE1251" s="20"/>
      <c r="AF1251" s="20"/>
      <c r="AG1251" s="20"/>
      <c r="AH1251" s="20"/>
      <c r="AI1251" s="20"/>
      <c r="AJ1251" s="20"/>
      <c r="AK1251" s="20"/>
      <c r="AL1251" s="20"/>
      <c r="AM1251" s="20"/>
      <c r="AN1251" s="20"/>
      <c r="AS1251" s="11"/>
      <c r="AT1251" s="12"/>
    </row>
    <row r="1252" ht="14.25" customHeight="1">
      <c r="A1252" s="20"/>
      <c r="B1252" s="20"/>
      <c r="C1252" s="20"/>
      <c r="D1252" s="21"/>
      <c r="E1252" s="20"/>
      <c r="F1252" s="20"/>
      <c r="G1252" s="20"/>
      <c r="H1252" s="20"/>
      <c r="K1252" s="1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2"/>
      <c r="Z1252" s="22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20"/>
      <c r="AN1252" s="20"/>
      <c r="AS1252" s="11"/>
      <c r="AT1252" s="12"/>
    </row>
    <row r="1253" ht="14.25" customHeight="1">
      <c r="A1253" s="20"/>
      <c r="B1253" s="20"/>
      <c r="C1253" s="20"/>
      <c r="D1253" s="21"/>
      <c r="E1253" s="20"/>
      <c r="F1253" s="20"/>
      <c r="G1253" s="20"/>
      <c r="H1253" s="20"/>
      <c r="K1253" s="1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2"/>
      <c r="Z1253" s="22"/>
      <c r="AA1253" s="20"/>
      <c r="AB1253" s="20"/>
      <c r="AC1253" s="20"/>
      <c r="AD1253" s="20"/>
      <c r="AE1253" s="20"/>
      <c r="AF1253" s="20"/>
      <c r="AG1253" s="20"/>
      <c r="AH1253" s="20"/>
      <c r="AI1253" s="20"/>
      <c r="AJ1253" s="20"/>
      <c r="AK1253" s="20"/>
      <c r="AL1253" s="20"/>
      <c r="AM1253" s="20"/>
      <c r="AN1253" s="20"/>
      <c r="AS1253" s="11"/>
      <c r="AT1253" s="12"/>
    </row>
    <row r="1254" ht="14.25" customHeight="1">
      <c r="A1254" s="20"/>
      <c r="B1254" s="20"/>
      <c r="C1254" s="20"/>
      <c r="D1254" s="21"/>
      <c r="E1254" s="20"/>
      <c r="F1254" s="20"/>
      <c r="G1254" s="20"/>
      <c r="H1254" s="20"/>
      <c r="K1254" s="1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2"/>
      <c r="Z1254" s="22"/>
      <c r="AA1254" s="20"/>
      <c r="AB1254" s="20"/>
      <c r="AC1254" s="20"/>
      <c r="AD1254" s="20"/>
      <c r="AE1254" s="20"/>
      <c r="AF1254" s="20"/>
      <c r="AG1254" s="20"/>
      <c r="AH1254" s="20"/>
      <c r="AI1254" s="20"/>
      <c r="AJ1254" s="20"/>
      <c r="AK1254" s="20"/>
      <c r="AL1254" s="20"/>
      <c r="AM1254" s="20"/>
      <c r="AN1254" s="20"/>
      <c r="AS1254" s="11"/>
      <c r="AT1254" s="12"/>
    </row>
    <row r="1255" ht="14.25" customHeight="1">
      <c r="A1255" s="20"/>
      <c r="B1255" s="20"/>
      <c r="C1255" s="20"/>
      <c r="D1255" s="21"/>
      <c r="E1255" s="20"/>
      <c r="F1255" s="20"/>
      <c r="G1255" s="20"/>
      <c r="H1255" s="20"/>
      <c r="K1255" s="1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2"/>
      <c r="Z1255" s="22"/>
      <c r="AA1255" s="20"/>
      <c r="AB1255" s="20"/>
      <c r="AC1255" s="20"/>
      <c r="AD1255" s="20"/>
      <c r="AE1255" s="20"/>
      <c r="AF1255" s="20"/>
      <c r="AG1255" s="20"/>
      <c r="AH1255" s="20"/>
      <c r="AI1255" s="20"/>
      <c r="AJ1255" s="20"/>
      <c r="AK1255" s="20"/>
      <c r="AL1255" s="20"/>
      <c r="AM1255" s="20"/>
      <c r="AN1255" s="20"/>
      <c r="AS1255" s="11"/>
      <c r="AT1255" s="12"/>
    </row>
    <row r="1256" ht="14.25" customHeight="1">
      <c r="A1256" s="20"/>
      <c r="B1256" s="20"/>
      <c r="C1256" s="20"/>
      <c r="D1256" s="21"/>
      <c r="E1256" s="20"/>
      <c r="F1256" s="20"/>
      <c r="G1256" s="20"/>
      <c r="H1256" s="20"/>
      <c r="K1256" s="1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2"/>
      <c r="Z1256" s="22"/>
      <c r="AA1256" s="20"/>
      <c r="AB1256" s="20"/>
      <c r="AC1256" s="20"/>
      <c r="AD1256" s="20"/>
      <c r="AE1256" s="20"/>
      <c r="AF1256" s="20"/>
      <c r="AG1256" s="20"/>
      <c r="AH1256" s="20"/>
      <c r="AI1256" s="20"/>
      <c r="AJ1256" s="20"/>
      <c r="AK1256" s="20"/>
      <c r="AL1256" s="20"/>
      <c r="AM1256" s="20"/>
      <c r="AN1256" s="20"/>
      <c r="AS1256" s="11"/>
      <c r="AT1256" s="12"/>
    </row>
    <row r="1257" ht="14.25" customHeight="1">
      <c r="A1257" s="20"/>
      <c r="B1257" s="20"/>
      <c r="C1257" s="20"/>
      <c r="D1257" s="21"/>
      <c r="E1257" s="20"/>
      <c r="F1257" s="20"/>
      <c r="G1257" s="20"/>
      <c r="H1257" s="20"/>
      <c r="K1257" s="1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2"/>
      <c r="Z1257" s="22"/>
      <c r="AA1257" s="20"/>
      <c r="AB1257" s="20"/>
      <c r="AC1257" s="20"/>
      <c r="AD1257" s="20"/>
      <c r="AE1257" s="20"/>
      <c r="AF1257" s="20"/>
      <c r="AG1257" s="20"/>
      <c r="AH1257" s="20"/>
      <c r="AI1257" s="20"/>
      <c r="AJ1257" s="20"/>
      <c r="AK1257" s="20"/>
      <c r="AL1257" s="20"/>
      <c r="AM1257" s="20"/>
      <c r="AN1257" s="20"/>
      <c r="AS1257" s="11"/>
      <c r="AT1257" s="12"/>
    </row>
    <row r="1258" ht="14.25" customHeight="1">
      <c r="A1258" s="20"/>
      <c r="B1258" s="20"/>
      <c r="C1258" s="20"/>
      <c r="D1258" s="21"/>
      <c r="E1258" s="20"/>
      <c r="F1258" s="20"/>
      <c r="G1258" s="20"/>
      <c r="H1258" s="20"/>
      <c r="K1258" s="10"/>
      <c r="M1258" s="20"/>
      <c r="N1258" s="20"/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2"/>
      <c r="Z1258" s="22"/>
      <c r="AA1258" s="20"/>
      <c r="AB1258" s="20"/>
      <c r="AC1258" s="20"/>
      <c r="AD1258" s="20"/>
      <c r="AE1258" s="20"/>
      <c r="AF1258" s="20"/>
      <c r="AG1258" s="20"/>
      <c r="AH1258" s="20"/>
      <c r="AI1258" s="20"/>
      <c r="AJ1258" s="20"/>
      <c r="AK1258" s="20"/>
      <c r="AL1258" s="20"/>
      <c r="AM1258" s="20"/>
      <c r="AN1258" s="20"/>
      <c r="AS1258" s="11"/>
      <c r="AT1258" s="12"/>
    </row>
    <row r="1259" ht="14.25" customHeight="1">
      <c r="A1259" s="20"/>
      <c r="B1259" s="20"/>
      <c r="C1259" s="20"/>
      <c r="D1259" s="21"/>
      <c r="E1259" s="20"/>
      <c r="F1259" s="20"/>
      <c r="G1259" s="20"/>
      <c r="H1259" s="20"/>
      <c r="K1259" s="10"/>
      <c r="M1259" s="20"/>
      <c r="N1259" s="20"/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2"/>
      <c r="Z1259" s="22"/>
      <c r="AA1259" s="20"/>
      <c r="AB1259" s="20"/>
      <c r="AC1259" s="20"/>
      <c r="AD1259" s="20"/>
      <c r="AE1259" s="20"/>
      <c r="AF1259" s="20"/>
      <c r="AG1259" s="20"/>
      <c r="AH1259" s="20"/>
      <c r="AI1259" s="20"/>
      <c r="AJ1259" s="20"/>
      <c r="AK1259" s="20"/>
      <c r="AL1259" s="20"/>
      <c r="AM1259" s="20"/>
      <c r="AN1259" s="20"/>
      <c r="AS1259" s="11"/>
      <c r="AT1259" s="12"/>
    </row>
    <row r="1260" ht="14.25" customHeight="1">
      <c r="A1260" s="20"/>
      <c r="B1260" s="20"/>
      <c r="C1260" s="20"/>
      <c r="D1260" s="21"/>
      <c r="E1260" s="20"/>
      <c r="F1260" s="20"/>
      <c r="G1260" s="20"/>
      <c r="H1260" s="20"/>
      <c r="K1260" s="1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2"/>
      <c r="Z1260" s="22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0"/>
      <c r="AK1260" s="20"/>
      <c r="AL1260" s="20"/>
      <c r="AM1260" s="20"/>
      <c r="AN1260" s="20"/>
      <c r="AS1260" s="11"/>
      <c r="AT1260" s="12"/>
    </row>
    <row r="1261" ht="14.25" customHeight="1">
      <c r="A1261" s="20"/>
      <c r="B1261" s="20"/>
      <c r="C1261" s="20"/>
      <c r="D1261" s="21"/>
      <c r="E1261" s="20"/>
      <c r="F1261" s="20"/>
      <c r="G1261" s="20"/>
      <c r="H1261" s="20"/>
      <c r="K1261" s="1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2"/>
      <c r="Z1261" s="22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0"/>
      <c r="AK1261" s="20"/>
      <c r="AL1261" s="20"/>
      <c r="AM1261" s="20"/>
      <c r="AN1261" s="20"/>
      <c r="AS1261" s="11"/>
      <c r="AT1261" s="12"/>
    </row>
    <row r="1262" ht="14.25" customHeight="1">
      <c r="A1262" s="20"/>
      <c r="B1262" s="20"/>
      <c r="C1262" s="20"/>
      <c r="D1262" s="21"/>
      <c r="E1262" s="20"/>
      <c r="F1262" s="20"/>
      <c r="G1262" s="20"/>
      <c r="H1262" s="20"/>
      <c r="K1262" s="1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2"/>
      <c r="Z1262" s="22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20"/>
      <c r="AM1262" s="20"/>
      <c r="AN1262" s="20"/>
      <c r="AS1262" s="11"/>
      <c r="AT1262" s="12"/>
    </row>
    <row r="1263" ht="14.25" customHeight="1">
      <c r="A1263" s="20"/>
      <c r="B1263" s="20"/>
      <c r="C1263" s="20"/>
      <c r="D1263" s="21"/>
      <c r="E1263" s="20"/>
      <c r="F1263" s="20"/>
      <c r="G1263" s="20"/>
      <c r="H1263" s="20"/>
      <c r="K1263" s="1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2"/>
      <c r="Z1263" s="22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20"/>
      <c r="AM1263" s="20"/>
      <c r="AN1263" s="20"/>
      <c r="AS1263" s="11"/>
      <c r="AT1263" s="12"/>
    </row>
    <row r="1264" ht="14.25" customHeight="1">
      <c r="A1264" s="20"/>
      <c r="B1264" s="20"/>
      <c r="C1264" s="20"/>
      <c r="D1264" s="21"/>
      <c r="E1264" s="20"/>
      <c r="F1264" s="20"/>
      <c r="G1264" s="20"/>
      <c r="H1264" s="20"/>
      <c r="K1264" s="1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2"/>
      <c r="Z1264" s="22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20"/>
      <c r="AM1264" s="20"/>
      <c r="AN1264" s="20"/>
      <c r="AS1264" s="11"/>
      <c r="AT1264" s="12"/>
    </row>
    <row r="1265" ht="14.25" customHeight="1">
      <c r="A1265" s="20"/>
      <c r="B1265" s="20"/>
      <c r="C1265" s="20"/>
      <c r="D1265" s="21"/>
      <c r="E1265" s="20"/>
      <c r="F1265" s="20"/>
      <c r="G1265" s="20"/>
      <c r="H1265" s="20"/>
      <c r="K1265" s="1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2"/>
      <c r="Z1265" s="22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20"/>
      <c r="AM1265" s="20"/>
      <c r="AN1265" s="20"/>
      <c r="AS1265" s="11"/>
      <c r="AT1265" s="12"/>
    </row>
    <row r="1266" ht="14.25" customHeight="1">
      <c r="A1266" s="20"/>
      <c r="B1266" s="20"/>
      <c r="C1266" s="20"/>
      <c r="D1266" s="21"/>
      <c r="E1266" s="20"/>
      <c r="F1266" s="20"/>
      <c r="G1266" s="20"/>
      <c r="H1266" s="20"/>
      <c r="K1266" s="1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2"/>
      <c r="Z1266" s="22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20"/>
      <c r="AM1266" s="20"/>
      <c r="AN1266" s="20"/>
      <c r="AS1266" s="11"/>
      <c r="AT1266" s="12"/>
    </row>
    <row r="1267" ht="14.25" customHeight="1">
      <c r="A1267" s="20"/>
      <c r="B1267" s="20"/>
      <c r="C1267" s="20"/>
      <c r="D1267" s="21"/>
      <c r="E1267" s="20"/>
      <c r="F1267" s="20"/>
      <c r="G1267" s="20"/>
      <c r="H1267" s="20"/>
      <c r="K1267" s="1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2"/>
      <c r="Z1267" s="22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20"/>
      <c r="AM1267" s="20"/>
      <c r="AN1267" s="20"/>
      <c r="AS1267" s="11"/>
      <c r="AT1267" s="12"/>
    </row>
    <row r="1268" ht="14.25" customHeight="1">
      <c r="A1268" s="20"/>
      <c r="B1268" s="20"/>
      <c r="C1268" s="20"/>
      <c r="D1268" s="21"/>
      <c r="E1268" s="20"/>
      <c r="F1268" s="20"/>
      <c r="G1268" s="20"/>
      <c r="H1268" s="20"/>
      <c r="K1268" s="1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/>
      <c r="W1268" s="20"/>
      <c r="X1268" s="20"/>
      <c r="Y1268" s="22"/>
      <c r="Z1268" s="22"/>
      <c r="AA1268" s="20"/>
      <c r="AB1268" s="20"/>
      <c r="AC1268" s="20"/>
      <c r="AD1268" s="20"/>
      <c r="AE1268" s="20"/>
      <c r="AF1268" s="20"/>
      <c r="AG1268" s="20"/>
      <c r="AH1268" s="20"/>
      <c r="AI1268" s="20"/>
      <c r="AJ1268" s="20"/>
      <c r="AK1268" s="20"/>
      <c r="AL1268" s="20"/>
      <c r="AM1268" s="20"/>
      <c r="AN1268" s="20"/>
      <c r="AS1268" s="11"/>
      <c r="AT1268" s="12"/>
    </row>
    <row r="1269" ht="14.25" customHeight="1">
      <c r="A1269" s="20"/>
      <c r="B1269" s="20"/>
      <c r="C1269" s="20"/>
      <c r="D1269" s="21"/>
      <c r="E1269" s="20"/>
      <c r="F1269" s="20"/>
      <c r="G1269" s="20"/>
      <c r="H1269" s="20"/>
      <c r="K1269" s="1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2"/>
      <c r="Z1269" s="22"/>
      <c r="AA1269" s="20"/>
      <c r="AB1269" s="20"/>
      <c r="AC1269" s="20"/>
      <c r="AD1269" s="20"/>
      <c r="AE1269" s="20"/>
      <c r="AF1269" s="20"/>
      <c r="AG1269" s="20"/>
      <c r="AH1269" s="20"/>
      <c r="AI1269" s="20"/>
      <c r="AJ1269" s="20"/>
      <c r="AK1269" s="20"/>
      <c r="AL1269" s="20"/>
      <c r="AM1269" s="20"/>
      <c r="AN1269" s="20"/>
      <c r="AS1269" s="11"/>
      <c r="AT1269" s="12"/>
    </row>
    <row r="1270" ht="14.25" customHeight="1">
      <c r="A1270" s="20"/>
      <c r="B1270" s="20"/>
      <c r="C1270" s="20"/>
      <c r="D1270" s="21"/>
      <c r="E1270" s="20"/>
      <c r="F1270" s="20"/>
      <c r="G1270" s="20"/>
      <c r="H1270" s="20"/>
      <c r="K1270" s="1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2"/>
      <c r="Z1270" s="22"/>
      <c r="AA1270" s="20"/>
      <c r="AB1270" s="20"/>
      <c r="AC1270" s="20"/>
      <c r="AD1270" s="20"/>
      <c r="AE1270" s="20"/>
      <c r="AF1270" s="20"/>
      <c r="AG1270" s="20"/>
      <c r="AH1270" s="20"/>
      <c r="AI1270" s="20"/>
      <c r="AJ1270" s="20"/>
      <c r="AK1270" s="20"/>
      <c r="AL1270" s="20"/>
      <c r="AM1270" s="20"/>
      <c r="AN1270" s="20"/>
      <c r="AS1270" s="11"/>
      <c r="AT1270" s="12"/>
    </row>
    <row r="1271" ht="14.25" customHeight="1">
      <c r="A1271" s="20"/>
      <c r="B1271" s="20"/>
      <c r="C1271" s="20"/>
      <c r="D1271" s="21"/>
      <c r="E1271" s="20"/>
      <c r="F1271" s="20"/>
      <c r="G1271" s="20"/>
      <c r="H1271" s="20"/>
      <c r="K1271" s="1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2"/>
      <c r="Z1271" s="22"/>
      <c r="AA1271" s="20"/>
      <c r="AB1271" s="20"/>
      <c r="AC1271" s="20"/>
      <c r="AD1271" s="20"/>
      <c r="AE1271" s="20"/>
      <c r="AF1271" s="20"/>
      <c r="AG1271" s="20"/>
      <c r="AH1271" s="20"/>
      <c r="AI1271" s="20"/>
      <c r="AJ1271" s="20"/>
      <c r="AK1271" s="20"/>
      <c r="AL1271" s="20"/>
      <c r="AM1271" s="20"/>
      <c r="AN1271" s="20"/>
      <c r="AS1271" s="11"/>
      <c r="AT1271" s="12"/>
    </row>
    <row r="1272" ht="14.25" customHeight="1">
      <c r="A1272" s="20"/>
      <c r="B1272" s="20"/>
      <c r="C1272" s="20"/>
      <c r="D1272" s="21"/>
      <c r="E1272" s="20"/>
      <c r="F1272" s="20"/>
      <c r="G1272" s="20"/>
      <c r="H1272" s="20"/>
      <c r="K1272" s="1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2"/>
      <c r="Z1272" s="22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0"/>
      <c r="AK1272" s="20"/>
      <c r="AL1272" s="20"/>
      <c r="AM1272" s="20"/>
      <c r="AN1272" s="20"/>
      <c r="AS1272" s="11"/>
      <c r="AT1272" s="12"/>
    </row>
    <row r="1273" ht="14.25" customHeight="1">
      <c r="A1273" s="20"/>
      <c r="B1273" s="20"/>
      <c r="C1273" s="20"/>
      <c r="D1273" s="21"/>
      <c r="E1273" s="20"/>
      <c r="F1273" s="20"/>
      <c r="G1273" s="20"/>
      <c r="H1273" s="20"/>
      <c r="K1273" s="1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2"/>
      <c r="Z1273" s="22"/>
      <c r="AA1273" s="20"/>
      <c r="AB1273" s="20"/>
      <c r="AC1273" s="20"/>
      <c r="AD1273" s="20"/>
      <c r="AE1273" s="20"/>
      <c r="AF1273" s="20"/>
      <c r="AG1273" s="20"/>
      <c r="AH1273" s="20"/>
      <c r="AI1273" s="20"/>
      <c r="AJ1273" s="20"/>
      <c r="AK1273" s="20"/>
      <c r="AL1273" s="20"/>
      <c r="AM1273" s="20"/>
      <c r="AN1273" s="20"/>
      <c r="AS1273" s="11"/>
      <c r="AT1273" s="12"/>
    </row>
    <row r="1274" ht="14.25" customHeight="1">
      <c r="A1274" s="20"/>
      <c r="B1274" s="20"/>
      <c r="C1274" s="20"/>
      <c r="D1274" s="21"/>
      <c r="E1274" s="20"/>
      <c r="F1274" s="20"/>
      <c r="G1274" s="20"/>
      <c r="H1274" s="20"/>
      <c r="K1274" s="1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2"/>
      <c r="Z1274" s="22"/>
      <c r="AA1274" s="20"/>
      <c r="AB1274" s="20"/>
      <c r="AC1274" s="20"/>
      <c r="AD1274" s="20"/>
      <c r="AE1274" s="20"/>
      <c r="AF1274" s="20"/>
      <c r="AG1274" s="20"/>
      <c r="AH1274" s="20"/>
      <c r="AI1274" s="20"/>
      <c r="AJ1274" s="20"/>
      <c r="AK1274" s="20"/>
      <c r="AL1274" s="20"/>
      <c r="AM1274" s="20"/>
      <c r="AN1274" s="20"/>
      <c r="AS1274" s="11"/>
      <c r="AT1274" s="12"/>
    </row>
    <row r="1275" ht="14.25" customHeight="1">
      <c r="A1275" s="20"/>
      <c r="B1275" s="20"/>
      <c r="C1275" s="20"/>
      <c r="D1275" s="21"/>
      <c r="E1275" s="20"/>
      <c r="F1275" s="20"/>
      <c r="G1275" s="20"/>
      <c r="H1275" s="20"/>
      <c r="K1275" s="1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2"/>
      <c r="Z1275" s="22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0"/>
      <c r="AK1275" s="20"/>
      <c r="AL1275" s="20"/>
      <c r="AM1275" s="20"/>
      <c r="AN1275" s="20"/>
      <c r="AS1275" s="11"/>
      <c r="AT1275" s="12"/>
    </row>
    <row r="1276" ht="14.25" customHeight="1">
      <c r="A1276" s="20"/>
      <c r="B1276" s="20"/>
      <c r="C1276" s="20"/>
      <c r="D1276" s="21"/>
      <c r="E1276" s="20"/>
      <c r="F1276" s="20"/>
      <c r="G1276" s="20"/>
      <c r="H1276" s="20"/>
      <c r="K1276" s="1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2"/>
      <c r="Z1276" s="22"/>
      <c r="AA1276" s="20"/>
      <c r="AB1276" s="20"/>
      <c r="AC1276" s="20"/>
      <c r="AD1276" s="20"/>
      <c r="AE1276" s="20"/>
      <c r="AF1276" s="20"/>
      <c r="AG1276" s="20"/>
      <c r="AH1276" s="20"/>
      <c r="AI1276" s="20"/>
      <c r="AJ1276" s="20"/>
      <c r="AK1276" s="20"/>
      <c r="AL1276" s="20"/>
      <c r="AM1276" s="20"/>
      <c r="AN1276" s="20"/>
      <c r="AS1276" s="11"/>
      <c r="AT1276" s="12"/>
    </row>
    <row r="1277" ht="14.25" customHeight="1">
      <c r="A1277" s="20"/>
      <c r="B1277" s="20"/>
      <c r="C1277" s="20"/>
      <c r="D1277" s="21"/>
      <c r="E1277" s="20"/>
      <c r="F1277" s="20"/>
      <c r="G1277" s="20"/>
      <c r="H1277" s="20"/>
      <c r="K1277" s="1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2"/>
      <c r="Z1277" s="22"/>
      <c r="AA1277" s="20"/>
      <c r="AB1277" s="20"/>
      <c r="AC1277" s="20"/>
      <c r="AD1277" s="20"/>
      <c r="AE1277" s="20"/>
      <c r="AF1277" s="20"/>
      <c r="AG1277" s="20"/>
      <c r="AH1277" s="20"/>
      <c r="AI1277" s="20"/>
      <c r="AJ1277" s="20"/>
      <c r="AK1277" s="20"/>
      <c r="AL1277" s="20"/>
      <c r="AM1277" s="20"/>
      <c r="AN1277" s="20"/>
      <c r="AS1277" s="11"/>
      <c r="AT1277" s="12"/>
    </row>
    <row r="1278" ht="14.25" customHeight="1">
      <c r="A1278" s="20"/>
      <c r="B1278" s="20"/>
      <c r="C1278" s="20"/>
      <c r="D1278" s="21"/>
      <c r="E1278" s="20"/>
      <c r="F1278" s="20"/>
      <c r="G1278" s="20"/>
      <c r="H1278" s="20"/>
      <c r="K1278" s="1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2"/>
      <c r="Z1278" s="22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  <c r="AL1278" s="20"/>
      <c r="AM1278" s="20"/>
      <c r="AN1278" s="20"/>
      <c r="AS1278" s="11"/>
      <c r="AT1278" s="12"/>
    </row>
    <row r="1279" ht="14.25" customHeight="1">
      <c r="A1279" s="20"/>
      <c r="B1279" s="20"/>
      <c r="C1279" s="20"/>
      <c r="D1279" s="21"/>
      <c r="E1279" s="20"/>
      <c r="F1279" s="20"/>
      <c r="G1279" s="20"/>
      <c r="H1279" s="20"/>
      <c r="K1279" s="1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2"/>
      <c r="Z1279" s="22"/>
      <c r="AA1279" s="20"/>
      <c r="AB1279" s="20"/>
      <c r="AC1279" s="20"/>
      <c r="AD1279" s="20"/>
      <c r="AE1279" s="20"/>
      <c r="AF1279" s="20"/>
      <c r="AG1279" s="20"/>
      <c r="AH1279" s="20"/>
      <c r="AI1279" s="20"/>
      <c r="AJ1279" s="20"/>
      <c r="AK1279" s="20"/>
      <c r="AL1279" s="20"/>
      <c r="AM1279" s="20"/>
      <c r="AN1279" s="20"/>
      <c r="AS1279" s="11"/>
      <c r="AT1279" s="12"/>
    </row>
    <row r="1280" ht="14.25" customHeight="1">
      <c r="A1280" s="20"/>
      <c r="B1280" s="20"/>
      <c r="C1280" s="20"/>
      <c r="D1280" s="21"/>
      <c r="E1280" s="20"/>
      <c r="F1280" s="20"/>
      <c r="G1280" s="20"/>
      <c r="H1280" s="20"/>
      <c r="K1280" s="1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2"/>
      <c r="Z1280" s="22"/>
      <c r="AA1280" s="20"/>
      <c r="AB1280" s="20"/>
      <c r="AC1280" s="20"/>
      <c r="AD1280" s="20"/>
      <c r="AE1280" s="20"/>
      <c r="AF1280" s="20"/>
      <c r="AG1280" s="20"/>
      <c r="AH1280" s="20"/>
      <c r="AI1280" s="20"/>
      <c r="AJ1280" s="20"/>
      <c r="AK1280" s="20"/>
      <c r="AL1280" s="20"/>
      <c r="AM1280" s="20"/>
      <c r="AN1280" s="20"/>
      <c r="AS1280" s="11"/>
      <c r="AT1280" s="12"/>
    </row>
    <row r="1281" ht="14.25" customHeight="1">
      <c r="A1281" s="20"/>
      <c r="B1281" s="20"/>
      <c r="C1281" s="20"/>
      <c r="D1281" s="21"/>
      <c r="E1281" s="20"/>
      <c r="F1281" s="20"/>
      <c r="G1281" s="20"/>
      <c r="H1281" s="20"/>
      <c r="K1281" s="1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2"/>
      <c r="Z1281" s="22"/>
      <c r="AA1281" s="20"/>
      <c r="AB1281" s="20"/>
      <c r="AC1281" s="20"/>
      <c r="AD1281" s="20"/>
      <c r="AE1281" s="20"/>
      <c r="AF1281" s="20"/>
      <c r="AG1281" s="20"/>
      <c r="AH1281" s="20"/>
      <c r="AI1281" s="20"/>
      <c r="AJ1281" s="20"/>
      <c r="AK1281" s="20"/>
      <c r="AL1281" s="20"/>
      <c r="AM1281" s="20"/>
      <c r="AN1281" s="20"/>
      <c r="AS1281" s="11"/>
      <c r="AT1281" s="12"/>
    </row>
    <row r="1282" ht="14.25" customHeight="1">
      <c r="A1282" s="20"/>
      <c r="B1282" s="20"/>
      <c r="C1282" s="20"/>
      <c r="D1282" s="21"/>
      <c r="E1282" s="20"/>
      <c r="F1282" s="20"/>
      <c r="G1282" s="20"/>
      <c r="H1282" s="20"/>
      <c r="K1282" s="1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2"/>
      <c r="Z1282" s="22"/>
      <c r="AA1282" s="20"/>
      <c r="AB1282" s="20"/>
      <c r="AC1282" s="20"/>
      <c r="AD1282" s="20"/>
      <c r="AE1282" s="20"/>
      <c r="AF1282" s="20"/>
      <c r="AG1282" s="20"/>
      <c r="AH1282" s="20"/>
      <c r="AI1282" s="20"/>
      <c r="AJ1282" s="20"/>
      <c r="AK1282" s="20"/>
      <c r="AL1282" s="20"/>
      <c r="AM1282" s="20"/>
      <c r="AN1282" s="20"/>
      <c r="AS1282" s="11"/>
      <c r="AT1282" s="12"/>
    </row>
    <row r="1283" ht="14.25" customHeight="1">
      <c r="A1283" s="20"/>
      <c r="B1283" s="20"/>
      <c r="C1283" s="20"/>
      <c r="D1283" s="21"/>
      <c r="E1283" s="20"/>
      <c r="F1283" s="20"/>
      <c r="G1283" s="20"/>
      <c r="H1283" s="20"/>
      <c r="K1283" s="1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2"/>
      <c r="Z1283" s="22"/>
      <c r="AA1283" s="20"/>
      <c r="AB1283" s="20"/>
      <c r="AC1283" s="20"/>
      <c r="AD1283" s="20"/>
      <c r="AE1283" s="20"/>
      <c r="AF1283" s="20"/>
      <c r="AG1283" s="20"/>
      <c r="AH1283" s="20"/>
      <c r="AI1283" s="20"/>
      <c r="AJ1283" s="20"/>
      <c r="AK1283" s="20"/>
      <c r="AL1283" s="20"/>
      <c r="AM1283" s="20"/>
      <c r="AN1283" s="20"/>
      <c r="AS1283" s="11"/>
      <c r="AT1283" s="12"/>
    </row>
    <row r="1284" ht="14.25" customHeight="1">
      <c r="A1284" s="20"/>
      <c r="B1284" s="20"/>
      <c r="C1284" s="20"/>
      <c r="D1284" s="21"/>
      <c r="E1284" s="20"/>
      <c r="F1284" s="20"/>
      <c r="G1284" s="20"/>
      <c r="H1284" s="20"/>
      <c r="K1284" s="1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2"/>
      <c r="Z1284" s="22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0"/>
      <c r="AK1284" s="20"/>
      <c r="AL1284" s="20"/>
      <c r="AM1284" s="20"/>
      <c r="AN1284" s="20"/>
      <c r="AS1284" s="11"/>
      <c r="AT1284" s="12"/>
    </row>
    <row r="1285" ht="14.25" customHeight="1">
      <c r="A1285" s="20"/>
      <c r="B1285" s="20"/>
      <c r="C1285" s="20"/>
      <c r="D1285" s="21"/>
      <c r="E1285" s="20"/>
      <c r="F1285" s="20"/>
      <c r="G1285" s="20"/>
      <c r="H1285" s="20"/>
      <c r="K1285" s="1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2"/>
      <c r="Z1285" s="22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0"/>
      <c r="AK1285" s="20"/>
      <c r="AL1285" s="20"/>
      <c r="AM1285" s="20"/>
      <c r="AN1285" s="20"/>
      <c r="AS1285" s="11"/>
      <c r="AT1285" s="12"/>
    </row>
    <row r="1286" ht="14.25" customHeight="1">
      <c r="A1286" s="20"/>
      <c r="B1286" s="20"/>
      <c r="C1286" s="20"/>
      <c r="D1286" s="21"/>
      <c r="E1286" s="20"/>
      <c r="F1286" s="20"/>
      <c r="G1286" s="20"/>
      <c r="H1286" s="20"/>
      <c r="K1286" s="1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2"/>
      <c r="Z1286" s="22"/>
      <c r="AA1286" s="20"/>
      <c r="AB1286" s="20"/>
      <c r="AC1286" s="20"/>
      <c r="AD1286" s="20"/>
      <c r="AE1286" s="20"/>
      <c r="AF1286" s="20"/>
      <c r="AG1286" s="20"/>
      <c r="AH1286" s="20"/>
      <c r="AI1286" s="20"/>
      <c r="AJ1286" s="20"/>
      <c r="AK1286" s="20"/>
      <c r="AL1286" s="20"/>
      <c r="AM1286" s="20"/>
      <c r="AN1286" s="20"/>
      <c r="AS1286" s="11"/>
      <c r="AT1286" s="12"/>
    </row>
    <row r="1287" ht="14.25" customHeight="1">
      <c r="A1287" s="20"/>
      <c r="B1287" s="20"/>
      <c r="C1287" s="20"/>
      <c r="D1287" s="21"/>
      <c r="E1287" s="20"/>
      <c r="F1287" s="20"/>
      <c r="G1287" s="20"/>
      <c r="H1287" s="20"/>
      <c r="K1287" s="1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2"/>
      <c r="Z1287" s="22"/>
      <c r="AA1287" s="20"/>
      <c r="AB1287" s="20"/>
      <c r="AC1287" s="20"/>
      <c r="AD1287" s="20"/>
      <c r="AE1287" s="20"/>
      <c r="AF1287" s="20"/>
      <c r="AG1287" s="20"/>
      <c r="AH1287" s="20"/>
      <c r="AI1287" s="20"/>
      <c r="AJ1287" s="20"/>
      <c r="AK1287" s="20"/>
      <c r="AL1287" s="20"/>
      <c r="AM1287" s="20"/>
      <c r="AN1287" s="20"/>
      <c r="AS1287" s="11"/>
      <c r="AT1287" s="12"/>
    </row>
    <row r="1288" ht="14.25" customHeight="1">
      <c r="A1288" s="20"/>
      <c r="B1288" s="20"/>
      <c r="C1288" s="20"/>
      <c r="D1288" s="21"/>
      <c r="E1288" s="20"/>
      <c r="F1288" s="20"/>
      <c r="G1288" s="20"/>
      <c r="H1288" s="20"/>
      <c r="K1288" s="1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2"/>
      <c r="Z1288" s="22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  <c r="AL1288" s="20"/>
      <c r="AM1288" s="20"/>
      <c r="AN1288" s="20"/>
      <c r="AS1288" s="11"/>
      <c r="AT1288" s="12"/>
    </row>
    <row r="1289" ht="14.25" customHeight="1">
      <c r="A1289" s="20"/>
      <c r="B1289" s="20"/>
      <c r="C1289" s="20"/>
      <c r="D1289" s="21"/>
      <c r="E1289" s="20"/>
      <c r="F1289" s="20"/>
      <c r="G1289" s="20"/>
      <c r="H1289" s="20"/>
      <c r="K1289" s="1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2"/>
      <c r="Z1289" s="22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/>
      <c r="AK1289" s="20"/>
      <c r="AL1289" s="20"/>
      <c r="AM1289" s="20"/>
      <c r="AN1289" s="20"/>
      <c r="AS1289" s="11"/>
      <c r="AT1289" s="12"/>
    </row>
    <row r="1290" ht="14.25" customHeight="1">
      <c r="A1290" s="20"/>
      <c r="B1290" s="20"/>
      <c r="C1290" s="20"/>
      <c r="D1290" s="21"/>
      <c r="E1290" s="20"/>
      <c r="F1290" s="20"/>
      <c r="G1290" s="20"/>
      <c r="H1290" s="20"/>
      <c r="K1290" s="1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2"/>
      <c r="Z1290" s="22"/>
      <c r="AA1290" s="20"/>
      <c r="AB1290" s="20"/>
      <c r="AC1290" s="20"/>
      <c r="AD1290" s="20"/>
      <c r="AE1290" s="20"/>
      <c r="AF1290" s="20"/>
      <c r="AG1290" s="20"/>
      <c r="AH1290" s="20"/>
      <c r="AI1290" s="20"/>
      <c r="AJ1290" s="20"/>
      <c r="AK1290" s="20"/>
      <c r="AL1290" s="20"/>
      <c r="AM1290" s="20"/>
      <c r="AN1290" s="20"/>
      <c r="AS1290" s="11"/>
      <c r="AT1290" s="12"/>
    </row>
    <row r="1291" ht="14.25" customHeight="1">
      <c r="A1291" s="20"/>
      <c r="B1291" s="20"/>
      <c r="C1291" s="20"/>
      <c r="D1291" s="21"/>
      <c r="E1291" s="20"/>
      <c r="F1291" s="20"/>
      <c r="G1291" s="20"/>
      <c r="H1291" s="20"/>
      <c r="K1291" s="1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2"/>
      <c r="Z1291" s="22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20"/>
      <c r="AM1291" s="20"/>
      <c r="AN1291" s="20"/>
      <c r="AS1291" s="11"/>
      <c r="AT1291" s="12"/>
    </row>
    <row r="1292" ht="14.25" customHeight="1">
      <c r="A1292" s="20"/>
      <c r="B1292" s="20"/>
      <c r="C1292" s="20"/>
      <c r="D1292" s="21"/>
      <c r="E1292" s="20"/>
      <c r="F1292" s="20"/>
      <c r="G1292" s="20"/>
      <c r="H1292" s="20"/>
      <c r="K1292" s="1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2"/>
      <c r="Z1292" s="22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  <c r="AL1292" s="20"/>
      <c r="AM1292" s="20"/>
      <c r="AN1292" s="20"/>
      <c r="AS1292" s="11"/>
      <c r="AT1292" s="12"/>
    </row>
    <row r="1293" ht="14.25" customHeight="1">
      <c r="A1293" s="20"/>
      <c r="B1293" s="20"/>
      <c r="C1293" s="20"/>
      <c r="D1293" s="21"/>
      <c r="E1293" s="20"/>
      <c r="F1293" s="20"/>
      <c r="G1293" s="20"/>
      <c r="H1293" s="20"/>
      <c r="K1293" s="1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2"/>
      <c r="Z1293" s="22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  <c r="AL1293" s="20"/>
      <c r="AM1293" s="20"/>
      <c r="AN1293" s="20"/>
      <c r="AS1293" s="11"/>
      <c r="AT1293" s="12"/>
    </row>
    <row r="1294" ht="14.25" customHeight="1">
      <c r="A1294" s="20"/>
      <c r="B1294" s="20"/>
      <c r="C1294" s="20"/>
      <c r="D1294" s="21"/>
      <c r="E1294" s="20"/>
      <c r="F1294" s="20"/>
      <c r="G1294" s="20"/>
      <c r="H1294" s="20"/>
      <c r="K1294" s="1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2"/>
      <c r="Z1294" s="22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20"/>
      <c r="AM1294" s="20"/>
      <c r="AN1294" s="20"/>
      <c r="AS1294" s="11"/>
      <c r="AT1294" s="12"/>
    </row>
    <row r="1295" ht="14.25" customHeight="1">
      <c r="A1295" s="20"/>
      <c r="B1295" s="20"/>
      <c r="C1295" s="20"/>
      <c r="D1295" s="21"/>
      <c r="E1295" s="20"/>
      <c r="F1295" s="20"/>
      <c r="G1295" s="20"/>
      <c r="H1295" s="20"/>
      <c r="K1295" s="1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  <c r="X1295" s="20"/>
      <c r="Y1295" s="22"/>
      <c r="Z1295" s="22"/>
      <c r="AA1295" s="20"/>
      <c r="AB1295" s="20"/>
      <c r="AC1295" s="20"/>
      <c r="AD1295" s="20"/>
      <c r="AE1295" s="20"/>
      <c r="AF1295" s="20"/>
      <c r="AG1295" s="20"/>
      <c r="AH1295" s="20"/>
      <c r="AI1295" s="20"/>
      <c r="AJ1295" s="20"/>
      <c r="AK1295" s="20"/>
      <c r="AL1295" s="20"/>
      <c r="AM1295" s="20"/>
      <c r="AN1295" s="20"/>
      <c r="AS1295" s="11"/>
      <c r="AT1295" s="12"/>
    </row>
    <row r="1296" ht="14.25" customHeight="1">
      <c r="A1296" s="20"/>
      <c r="B1296" s="20"/>
      <c r="C1296" s="20"/>
      <c r="D1296" s="21"/>
      <c r="E1296" s="20"/>
      <c r="F1296" s="20"/>
      <c r="G1296" s="20"/>
      <c r="H1296" s="20"/>
      <c r="K1296" s="10"/>
      <c r="M1296" s="20"/>
      <c r="N1296" s="20"/>
      <c r="O1296" s="20"/>
      <c r="P1296" s="20"/>
      <c r="Q1296" s="20"/>
      <c r="R1296" s="20"/>
      <c r="S1296" s="20"/>
      <c r="T1296" s="20"/>
      <c r="U1296" s="20"/>
      <c r="V1296" s="20"/>
      <c r="W1296" s="20"/>
      <c r="X1296" s="20"/>
      <c r="Y1296" s="22"/>
      <c r="Z1296" s="22"/>
      <c r="AA1296" s="20"/>
      <c r="AB1296" s="20"/>
      <c r="AC1296" s="20"/>
      <c r="AD1296" s="20"/>
      <c r="AE1296" s="20"/>
      <c r="AF1296" s="20"/>
      <c r="AG1296" s="20"/>
      <c r="AH1296" s="20"/>
      <c r="AI1296" s="20"/>
      <c r="AJ1296" s="20"/>
      <c r="AK1296" s="20"/>
      <c r="AL1296" s="20"/>
      <c r="AM1296" s="20"/>
      <c r="AN1296" s="20"/>
      <c r="AS1296" s="11"/>
      <c r="AT1296" s="12"/>
    </row>
    <row r="1297" ht="14.25" customHeight="1">
      <c r="A1297" s="20"/>
      <c r="B1297" s="20"/>
      <c r="C1297" s="20"/>
      <c r="D1297" s="21"/>
      <c r="E1297" s="20"/>
      <c r="F1297" s="20"/>
      <c r="G1297" s="20"/>
      <c r="H1297" s="20"/>
      <c r="K1297" s="1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2"/>
      <c r="Z1297" s="22"/>
      <c r="AA1297" s="20"/>
      <c r="AB1297" s="20"/>
      <c r="AC1297" s="20"/>
      <c r="AD1297" s="20"/>
      <c r="AE1297" s="20"/>
      <c r="AF1297" s="20"/>
      <c r="AG1297" s="20"/>
      <c r="AH1297" s="20"/>
      <c r="AI1297" s="20"/>
      <c r="AJ1297" s="20"/>
      <c r="AK1297" s="20"/>
      <c r="AL1297" s="20"/>
      <c r="AM1297" s="20"/>
      <c r="AN1297" s="20"/>
      <c r="AS1297" s="11"/>
      <c r="AT1297" s="12"/>
    </row>
    <row r="1298" ht="14.25" customHeight="1">
      <c r="A1298" s="20"/>
      <c r="B1298" s="20"/>
      <c r="C1298" s="20"/>
      <c r="D1298" s="21"/>
      <c r="E1298" s="20"/>
      <c r="F1298" s="20"/>
      <c r="G1298" s="20"/>
      <c r="H1298" s="20"/>
      <c r="K1298" s="1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2"/>
      <c r="Z1298" s="22"/>
      <c r="AA1298" s="20"/>
      <c r="AB1298" s="20"/>
      <c r="AC1298" s="20"/>
      <c r="AD1298" s="20"/>
      <c r="AE1298" s="20"/>
      <c r="AF1298" s="20"/>
      <c r="AG1298" s="20"/>
      <c r="AH1298" s="20"/>
      <c r="AI1298" s="20"/>
      <c r="AJ1298" s="20"/>
      <c r="AK1298" s="20"/>
      <c r="AL1298" s="20"/>
      <c r="AM1298" s="20"/>
      <c r="AN1298" s="20"/>
      <c r="AS1298" s="11"/>
      <c r="AT1298" s="12"/>
    </row>
    <row r="1299" ht="14.25" customHeight="1">
      <c r="A1299" s="20"/>
      <c r="B1299" s="20"/>
      <c r="C1299" s="20"/>
      <c r="D1299" s="21"/>
      <c r="E1299" s="20"/>
      <c r="F1299" s="20"/>
      <c r="G1299" s="20"/>
      <c r="H1299" s="20"/>
      <c r="K1299" s="1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2"/>
      <c r="Z1299" s="22"/>
      <c r="AA1299" s="20"/>
      <c r="AB1299" s="20"/>
      <c r="AC1299" s="20"/>
      <c r="AD1299" s="20"/>
      <c r="AE1299" s="20"/>
      <c r="AF1299" s="20"/>
      <c r="AG1299" s="20"/>
      <c r="AH1299" s="20"/>
      <c r="AI1299" s="20"/>
      <c r="AJ1299" s="20"/>
      <c r="AK1299" s="20"/>
      <c r="AL1299" s="20"/>
      <c r="AM1299" s="20"/>
      <c r="AN1299" s="20"/>
      <c r="AS1299" s="11"/>
      <c r="AT1299" s="12"/>
    </row>
    <row r="1300" ht="14.25" customHeight="1">
      <c r="A1300" s="20"/>
      <c r="B1300" s="20"/>
      <c r="C1300" s="20"/>
      <c r="D1300" s="21"/>
      <c r="E1300" s="20"/>
      <c r="F1300" s="20"/>
      <c r="G1300" s="20"/>
      <c r="H1300" s="20"/>
      <c r="K1300" s="10"/>
      <c r="M1300" s="20"/>
      <c r="N1300" s="20"/>
      <c r="O1300" s="20"/>
      <c r="P1300" s="20"/>
      <c r="Q1300" s="20"/>
      <c r="R1300" s="20"/>
      <c r="S1300" s="20"/>
      <c r="T1300" s="20"/>
      <c r="U1300" s="20"/>
      <c r="V1300" s="20"/>
      <c r="W1300" s="20"/>
      <c r="X1300" s="20"/>
      <c r="Y1300" s="22"/>
      <c r="Z1300" s="22"/>
      <c r="AA1300" s="20"/>
      <c r="AB1300" s="20"/>
      <c r="AC1300" s="20"/>
      <c r="AD1300" s="20"/>
      <c r="AE1300" s="20"/>
      <c r="AF1300" s="20"/>
      <c r="AG1300" s="20"/>
      <c r="AH1300" s="20"/>
      <c r="AI1300" s="20"/>
      <c r="AJ1300" s="20"/>
      <c r="AK1300" s="20"/>
      <c r="AL1300" s="20"/>
      <c r="AM1300" s="20"/>
      <c r="AN1300" s="20"/>
      <c r="AS1300" s="11"/>
      <c r="AT1300" s="12"/>
    </row>
    <row r="1301" ht="14.25" customHeight="1">
      <c r="A1301" s="20"/>
      <c r="B1301" s="20"/>
      <c r="C1301" s="20"/>
      <c r="D1301" s="21"/>
      <c r="E1301" s="20"/>
      <c r="F1301" s="20"/>
      <c r="G1301" s="20"/>
      <c r="H1301" s="20"/>
      <c r="K1301" s="1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2"/>
      <c r="Z1301" s="22"/>
      <c r="AA1301" s="20"/>
      <c r="AB1301" s="20"/>
      <c r="AC1301" s="20"/>
      <c r="AD1301" s="20"/>
      <c r="AE1301" s="20"/>
      <c r="AF1301" s="20"/>
      <c r="AG1301" s="20"/>
      <c r="AH1301" s="20"/>
      <c r="AI1301" s="20"/>
      <c r="AJ1301" s="20"/>
      <c r="AK1301" s="20"/>
      <c r="AL1301" s="20"/>
      <c r="AM1301" s="20"/>
      <c r="AN1301" s="20"/>
      <c r="AS1301" s="11"/>
      <c r="AT1301" s="12"/>
    </row>
    <row r="1302" ht="14.25" customHeight="1">
      <c r="A1302" s="20"/>
      <c r="B1302" s="20"/>
      <c r="C1302" s="20"/>
      <c r="D1302" s="21"/>
      <c r="E1302" s="20"/>
      <c r="F1302" s="20"/>
      <c r="G1302" s="20"/>
      <c r="H1302" s="20"/>
      <c r="K1302" s="1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2"/>
      <c r="Z1302" s="22"/>
      <c r="AA1302" s="20"/>
      <c r="AB1302" s="20"/>
      <c r="AC1302" s="20"/>
      <c r="AD1302" s="20"/>
      <c r="AE1302" s="20"/>
      <c r="AF1302" s="20"/>
      <c r="AG1302" s="20"/>
      <c r="AH1302" s="20"/>
      <c r="AI1302" s="20"/>
      <c r="AJ1302" s="20"/>
      <c r="AK1302" s="20"/>
      <c r="AL1302" s="20"/>
      <c r="AM1302" s="20"/>
      <c r="AN1302" s="20"/>
      <c r="AS1302" s="11"/>
      <c r="AT1302" s="12"/>
    </row>
    <row r="1303" ht="14.25" customHeight="1">
      <c r="A1303" s="20"/>
      <c r="B1303" s="20"/>
      <c r="C1303" s="20"/>
      <c r="D1303" s="21"/>
      <c r="E1303" s="20"/>
      <c r="F1303" s="20"/>
      <c r="G1303" s="20"/>
      <c r="H1303" s="20"/>
      <c r="K1303" s="1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/>
      <c r="W1303" s="20"/>
      <c r="X1303" s="20"/>
      <c r="Y1303" s="22"/>
      <c r="Z1303" s="22"/>
      <c r="AA1303" s="20"/>
      <c r="AB1303" s="20"/>
      <c r="AC1303" s="20"/>
      <c r="AD1303" s="20"/>
      <c r="AE1303" s="20"/>
      <c r="AF1303" s="20"/>
      <c r="AG1303" s="20"/>
      <c r="AH1303" s="20"/>
      <c r="AI1303" s="20"/>
      <c r="AJ1303" s="20"/>
      <c r="AK1303" s="20"/>
      <c r="AL1303" s="20"/>
      <c r="AM1303" s="20"/>
      <c r="AN1303" s="20"/>
      <c r="AS1303" s="11"/>
      <c r="AT1303" s="12"/>
    </row>
    <row r="1304" ht="14.25" customHeight="1">
      <c r="A1304" s="20"/>
      <c r="B1304" s="20"/>
      <c r="C1304" s="20"/>
      <c r="D1304" s="21"/>
      <c r="E1304" s="20"/>
      <c r="F1304" s="20"/>
      <c r="G1304" s="20"/>
      <c r="H1304" s="20"/>
      <c r="K1304" s="1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2"/>
      <c r="Z1304" s="22"/>
      <c r="AA1304" s="20"/>
      <c r="AB1304" s="20"/>
      <c r="AC1304" s="20"/>
      <c r="AD1304" s="20"/>
      <c r="AE1304" s="20"/>
      <c r="AF1304" s="20"/>
      <c r="AG1304" s="20"/>
      <c r="AH1304" s="20"/>
      <c r="AI1304" s="20"/>
      <c r="AJ1304" s="20"/>
      <c r="AK1304" s="20"/>
      <c r="AL1304" s="20"/>
      <c r="AM1304" s="20"/>
      <c r="AN1304" s="20"/>
      <c r="AS1304" s="11"/>
      <c r="AT1304" s="12"/>
    </row>
    <row r="1305" ht="14.25" customHeight="1">
      <c r="A1305" s="20"/>
      <c r="B1305" s="20"/>
      <c r="C1305" s="20"/>
      <c r="D1305" s="21"/>
      <c r="E1305" s="20"/>
      <c r="F1305" s="20"/>
      <c r="G1305" s="20"/>
      <c r="H1305" s="20"/>
      <c r="K1305" s="1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/>
      <c r="W1305" s="20"/>
      <c r="X1305" s="20"/>
      <c r="Y1305" s="22"/>
      <c r="Z1305" s="22"/>
      <c r="AA1305" s="20"/>
      <c r="AB1305" s="20"/>
      <c r="AC1305" s="20"/>
      <c r="AD1305" s="20"/>
      <c r="AE1305" s="20"/>
      <c r="AF1305" s="20"/>
      <c r="AG1305" s="20"/>
      <c r="AH1305" s="20"/>
      <c r="AI1305" s="20"/>
      <c r="AJ1305" s="20"/>
      <c r="AK1305" s="20"/>
      <c r="AL1305" s="20"/>
      <c r="AM1305" s="20"/>
      <c r="AN1305" s="20"/>
      <c r="AS1305" s="11"/>
      <c r="AT1305" s="12"/>
    </row>
    <row r="1306" ht="14.25" customHeight="1">
      <c r="A1306" s="20"/>
      <c r="B1306" s="20"/>
      <c r="C1306" s="20"/>
      <c r="D1306" s="21"/>
      <c r="E1306" s="20"/>
      <c r="F1306" s="20"/>
      <c r="G1306" s="20"/>
      <c r="H1306" s="20"/>
      <c r="K1306" s="1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2"/>
      <c r="Z1306" s="22"/>
      <c r="AA1306" s="20"/>
      <c r="AB1306" s="20"/>
      <c r="AC1306" s="20"/>
      <c r="AD1306" s="20"/>
      <c r="AE1306" s="20"/>
      <c r="AF1306" s="20"/>
      <c r="AG1306" s="20"/>
      <c r="AH1306" s="20"/>
      <c r="AI1306" s="20"/>
      <c r="AJ1306" s="20"/>
      <c r="AK1306" s="20"/>
      <c r="AL1306" s="20"/>
      <c r="AM1306" s="20"/>
      <c r="AN1306" s="20"/>
      <c r="AS1306" s="11"/>
      <c r="AT1306" s="12"/>
    </row>
    <row r="1307" ht="14.25" customHeight="1">
      <c r="A1307" s="20"/>
      <c r="B1307" s="20"/>
      <c r="C1307" s="20"/>
      <c r="D1307" s="21"/>
      <c r="E1307" s="20"/>
      <c r="F1307" s="20"/>
      <c r="G1307" s="20"/>
      <c r="H1307" s="20"/>
      <c r="K1307" s="1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/>
      <c r="W1307" s="20"/>
      <c r="X1307" s="20"/>
      <c r="Y1307" s="22"/>
      <c r="Z1307" s="22"/>
      <c r="AA1307" s="20"/>
      <c r="AB1307" s="20"/>
      <c r="AC1307" s="20"/>
      <c r="AD1307" s="20"/>
      <c r="AE1307" s="20"/>
      <c r="AF1307" s="20"/>
      <c r="AG1307" s="20"/>
      <c r="AH1307" s="20"/>
      <c r="AI1307" s="20"/>
      <c r="AJ1307" s="20"/>
      <c r="AK1307" s="20"/>
      <c r="AL1307" s="20"/>
      <c r="AM1307" s="20"/>
      <c r="AN1307" s="20"/>
      <c r="AS1307" s="11"/>
      <c r="AT1307" s="12"/>
    </row>
    <row r="1308" ht="14.25" customHeight="1">
      <c r="A1308" s="20"/>
      <c r="B1308" s="20"/>
      <c r="C1308" s="20"/>
      <c r="D1308" s="21"/>
      <c r="E1308" s="20"/>
      <c r="F1308" s="20"/>
      <c r="G1308" s="20"/>
      <c r="H1308" s="20"/>
      <c r="K1308" s="1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2"/>
      <c r="Z1308" s="22"/>
      <c r="AA1308" s="20"/>
      <c r="AB1308" s="20"/>
      <c r="AC1308" s="20"/>
      <c r="AD1308" s="20"/>
      <c r="AE1308" s="20"/>
      <c r="AF1308" s="20"/>
      <c r="AG1308" s="20"/>
      <c r="AH1308" s="20"/>
      <c r="AI1308" s="20"/>
      <c r="AJ1308" s="20"/>
      <c r="AK1308" s="20"/>
      <c r="AL1308" s="20"/>
      <c r="AM1308" s="20"/>
      <c r="AN1308" s="20"/>
      <c r="AS1308" s="11"/>
      <c r="AT1308" s="12"/>
    </row>
    <row r="1309" ht="14.25" customHeight="1">
      <c r="A1309" s="20"/>
      <c r="B1309" s="20"/>
      <c r="C1309" s="20"/>
      <c r="D1309" s="21"/>
      <c r="E1309" s="20"/>
      <c r="F1309" s="20"/>
      <c r="G1309" s="20"/>
      <c r="H1309" s="20"/>
      <c r="K1309" s="1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/>
      <c r="W1309" s="20"/>
      <c r="X1309" s="20"/>
      <c r="Y1309" s="22"/>
      <c r="Z1309" s="22"/>
      <c r="AA1309" s="20"/>
      <c r="AB1309" s="20"/>
      <c r="AC1309" s="20"/>
      <c r="AD1309" s="20"/>
      <c r="AE1309" s="20"/>
      <c r="AF1309" s="20"/>
      <c r="AG1309" s="20"/>
      <c r="AH1309" s="20"/>
      <c r="AI1309" s="20"/>
      <c r="AJ1309" s="20"/>
      <c r="AK1309" s="20"/>
      <c r="AL1309" s="20"/>
      <c r="AM1309" s="20"/>
      <c r="AN1309" s="20"/>
      <c r="AS1309" s="11"/>
      <c r="AT1309" s="12"/>
    </row>
    <row r="1310" ht="14.25" customHeight="1">
      <c r="A1310" s="20"/>
      <c r="B1310" s="20"/>
      <c r="C1310" s="20"/>
      <c r="D1310" s="21"/>
      <c r="E1310" s="20"/>
      <c r="F1310" s="20"/>
      <c r="G1310" s="20"/>
      <c r="H1310" s="20"/>
      <c r="K1310" s="10"/>
      <c r="M1310" s="20"/>
      <c r="N1310" s="20"/>
      <c r="O1310" s="20"/>
      <c r="P1310" s="20"/>
      <c r="Q1310" s="20"/>
      <c r="R1310" s="20"/>
      <c r="S1310" s="20"/>
      <c r="T1310" s="20"/>
      <c r="U1310" s="20"/>
      <c r="V1310" s="20"/>
      <c r="W1310" s="20"/>
      <c r="X1310" s="20"/>
      <c r="Y1310" s="22"/>
      <c r="Z1310" s="22"/>
      <c r="AA1310" s="20"/>
      <c r="AB1310" s="20"/>
      <c r="AC1310" s="20"/>
      <c r="AD1310" s="20"/>
      <c r="AE1310" s="20"/>
      <c r="AF1310" s="20"/>
      <c r="AG1310" s="20"/>
      <c r="AH1310" s="20"/>
      <c r="AI1310" s="20"/>
      <c r="AJ1310" s="20"/>
      <c r="AK1310" s="20"/>
      <c r="AL1310" s="20"/>
      <c r="AM1310" s="20"/>
      <c r="AN1310" s="20"/>
      <c r="AS1310" s="11"/>
      <c r="AT1310" s="12"/>
    </row>
    <row r="1311" ht="14.25" customHeight="1">
      <c r="A1311" s="20"/>
      <c r="B1311" s="20"/>
      <c r="C1311" s="20"/>
      <c r="D1311" s="21"/>
      <c r="E1311" s="20"/>
      <c r="F1311" s="20"/>
      <c r="G1311" s="20"/>
      <c r="H1311" s="20"/>
      <c r="K1311" s="1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2"/>
      <c r="Z1311" s="22"/>
      <c r="AA1311" s="20"/>
      <c r="AB1311" s="20"/>
      <c r="AC1311" s="20"/>
      <c r="AD1311" s="20"/>
      <c r="AE1311" s="20"/>
      <c r="AF1311" s="20"/>
      <c r="AG1311" s="20"/>
      <c r="AH1311" s="20"/>
      <c r="AI1311" s="20"/>
      <c r="AJ1311" s="20"/>
      <c r="AK1311" s="20"/>
      <c r="AL1311" s="20"/>
      <c r="AM1311" s="20"/>
      <c r="AN1311" s="20"/>
      <c r="AS1311" s="11"/>
      <c r="AT1311" s="12"/>
    </row>
    <row r="1312" ht="14.25" customHeight="1">
      <c r="A1312" s="20"/>
      <c r="B1312" s="20"/>
      <c r="C1312" s="20"/>
      <c r="D1312" s="21"/>
      <c r="E1312" s="20"/>
      <c r="F1312" s="20"/>
      <c r="G1312" s="20"/>
      <c r="H1312" s="20"/>
      <c r="K1312" s="1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/>
      <c r="W1312" s="20"/>
      <c r="X1312" s="20"/>
      <c r="Y1312" s="22"/>
      <c r="Z1312" s="22"/>
      <c r="AA1312" s="20"/>
      <c r="AB1312" s="20"/>
      <c r="AC1312" s="20"/>
      <c r="AD1312" s="20"/>
      <c r="AE1312" s="20"/>
      <c r="AF1312" s="20"/>
      <c r="AG1312" s="20"/>
      <c r="AH1312" s="20"/>
      <c r="AI1312" s="20"/>
      <c r="AJ1312" s="20"/>
      <c r="AK1312" s="20"/>
      <c r="AL1312" s="20"/>
      <c r="AM1312" s="20"/>
      <c r="AN1312" s="20"/>
      <c r="AS1312" s="11"/>
      <c r="AT1312" s="12"/>
    </row>
    <row r="1313" ht="14.25" customHeight="1">
      <c r="A1313" s="20"/>
      <c r="B1313" s="20"/>
      <c r="C1313" s="20"/>
      <c r="D1313" s="21"/>
      <c r="E1313" s="20"/>
      <c r="F1313" s="20"/>
      <c r="G1313" s="20"/>
      <c r="H1313" s="20"/>
      <c r="K1313" s="1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/>
      <c r="W1313" s="20"/>
      <c r="X1313" s="20"/>
      <c r="Y1313" s="22"/>
      <c r="Z1313" s="22"/>
      <c r="AA1313" s="20"/>
      <c r="AB1313" s="20"/>
      <c r="AC1313" s="20"/>
      <c r="AD1313" s="20"/>
      <c r="AE1313" s="20"/>
      <c r="AF1313" s="20"/>
      <c r="AG1313" s="20"/>
      <c r="AH1313" s="20"/>
      <c r="AI1313" s="20"/>
      <c r="AJ1313" s="20"/>
      <c r="AK1313" s="20"/>
      <c r="AL1313" s="20"/>
      <c r="AM1313" s="20"/>
      <c r="AN1313" s="20"/>
      <c r="AS1313" s="11"/>
      <c r="AT1313" s="12"/>
    </row>
    <row r="1314" ht="14.25" customHeight="1">
      <c r="A1314" s="20"/>
      <c r="B1314" s="20"/>
      <c r="C1314" s="20"/>
      <c r="D1314" s="21"/>
      <c r="E1314" s="20"/>
      <c r="F1314" s="20"/>
      <c r="G1314" s="20"/>
      <c r="H1314" s="20"/>
      <c r="K1314" s="1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0"/>
      <c r="W1314" s="20"/>
      <c r="X1314" s="20"/>
      <c r="Y1314" s="22"/>
      <c r="Z1314" s="22"/>
      <c r="AA1314" s="20"/>
      <c r="AB1314" s="20"/>
      <c r="AC1314" s="20"/>
      <c r="AD1314" s="20"/>
      <c r="AE1314" s="20"/>
      <c r="AF1314" s="20"/>
      <c r="AG1314" s="20"/>
      <c r="AH1314" s="20"/>
      <c r="AI1314" s="20"/>
      <c r="AJ1314" s="20"/>
      <c r="AK1314" s="20"/>
      <c r="AL1314" s="20"/>
      <c r="AM1314" s="20"/>
      <c r="AN1314" s="20"/>
      <c r="AS1314" s="11"/>
      <c r="AT1314" s="12"/>
    </row>
    <row r="1315" ht="14.25" customHeight="1">
      <c r="A1315" s="20"/>
      <c r="B1315" s="20"/>
      <c r="C1315" s="20"/>
      <c r="D1315" s="21"/>
      <c r="E1315" s="20"/>
      <c r="F1315" s="20"/>
      <c r="G1315" s="20"/>
      <c r="H1315" s="20"/>
      <c r="K1315" s="1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2"/>
      <c r="Z1315" s="22"/>
      <c r="AA1315" s="20"/>
      <c r="AB1315" s="20"/>
      <c r="AC1315" s="20"/>
      <c r="AD1315" s="20"/>
      <c r="AE1315" s="20"/>
      <c r="AF1315" s="20"/>
      <c r="AG1315" s="20"/>
      <c r="AH1315" s="20"/>
      <c r="AI1315" s="20"/>
      <c r="AJ1315" s="20"/>
      <c r="AK1315" s="20"/>
      <c r="AL1315" s="20"/>
      <c r="AM1315" s="20"/>
      <c r="AN1315" s="20"/>
      <c r="AS1315" s="11"/>
      <c r="AT1315" s="12"/>
    </row>
    <row r="1316" ht="14.25" customHeight="1">
      <c r="A1316" s="20"/>
      <c r="B1316" s="20"/>
      <c r="C1316" s="20"/>
      <c r="D1316" s="21"/>
      <c r="E1316" s="20"/>
      <c r="F1316" s="20"/>
      <c r="G1316" s="20"/>
      <c r="H1316" s="20"/>
      <c r="K1316" s="1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0"/>
      <c r="W1316" s="20"/>
      <c r="X1316" s="20"/>
      <c r="Y1316" s="22"/>
      <c r="Z1316" s="22"/>
      <c r="AA1316" s="20"/>
      <c r="AB1316" s="20"/>
      <c r="AC1316" s="20"/>
      <c r="AD1316" s="20"/>
      <c r="AE1316" s="20"/>
      <c r="AF1316" s="20"/>
      <c r="AG1316" s="20"/>
      <c r="AH1316" s="20"/>
      <c r="AI1316" s="20"/>
      <c r="AJ1316" s="20"/>
      <c r="AK1316" s="20"/>
      <c r="AL1316" s="20"/>
      <c r="AM1316" s="20"/>
      <c r="AN1316" s="20"/>
      <c r="AS1316" s="11"/>
      <c r="AT1316" s="12"/>
    </row>
    <row r="1317" ht="14.25" customHeight="1">
      <c r="A1317" s="20"/>
      <c r="B1317" s="20"/>
      <c r="C1317" s="20"/>
      <c r="D1317" s="21"/>
      <c r="E1317" s="20"/>
      <c r="F1317" s="20"/>
      <c r="G1317" s="20"/>
      <c r="H1317" s="20"/>
      <c r="K1317" s="1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0"/>
      <c r="W1317" s="20"/>
      <c r="X1317" s="20"/>
      <c r="Y1317" s="22"/>
      <c r="Z1317" s="22"/>
      <c r="AA1317" s="20"/>
      <c r="AB1317" s="20"/>
      <c r="AC1317" s="20"/>
      <c r="AD1317" s="20"/>
      <c r="AE1317" s="20"/>
      <c r="AF1317" s="20"/>
      <c r="AG1317" s="20"/>
      <c r="AH1317" s="20"/>
      <c r="AI1317" s="20"/>
      <c r="AJ1317" s="20"/>
      <c r="AK1317" s="20"/>
      <c r="AL1317" s="20"/>
      <c r="AM1317" s="20"/>
      <c r="AN1317" s="20"/>
      <c r="AS1317" s="11"/>
      <c r="AT1317" s="12"/>
    </row>
    <row r="1318" ht="14.25" customHeight="1">
      <c r="A1318" s="20"/>
      <c r="B1318" s="20"/>
      <c r="C1318" s="20"/>
      <c r="D1318" s="21"/>
      <c r="E1318" s="20"/>
      <c r="F1318" s="20"/>
      <c r="G1318" s="20"/>
      <c r="H1318" s="20"/>
      <c r="K1318" s="1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0"/>
      <c r="W1318" s="20"/>
      <c r="X1318" s="20"/>
      <c r="Y1318" s="22"/>
      <c r="Z1318" s="22"/>
      <c r="AA1318" s="20"/>
      <c r="AB1318" s="20"/>
      <c r="AC1318" s="20"/>
      <c r="AD1318" s="20"/>
      <c r="AE1318" s="20"/>
      <c r="AF1318" s="20"/>
      <c r="AG1318" s="20"/>
      <c r="AH1318" s="20"/>
      <c r="AI1318" s="20"/>
      <c r="AJ1318" s="20"/>
      <c r="AK1318" s="20"/>
      <c r="AL1318" s="20"/>
      <c r="AM1318" s="20"/>
      <c r="AN1318" s="20"/>
      <c r="AS1318" s="11"/>
      <c r="AT1318" s="12"/>
    </row>
    <row r="1319" ht="14.25" customHeight="1">
      <c r="A1319" s="20"/>
      <c r="B1319" s="20"/>
      <c r="C1319" s="20"/>
      <c r="D1319" s="21"/>
      <c r="E1319" s="20"/>
      <c r="F1319" s="20"/>
      <c r="G1319" s="20"/>
      <c r="H1319" s="20"/>
      <c r="K1319" s="1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0"/>
      <c r="W1319" s="20"/>
      <c r="X1319" s="20"/>
      <c r="Y1319" s="22"/>
      <c r="Z1319" s="22"/>
      <c r="AA1319" s="20"/>
      <c r="AB1319" s="20"/>
      <c r="AC1319" s="20"/>
      <c r="AD1319" s="20"/>
      <c r="AE1319" s="20"/>
      <c r="AF1319" s="20"/>
      <c r="AG1319" s="20"/>
      <c r="AH1319" s="20"/>
      <c r="AI1319" s="20"/>
      <c r="AJ1319" s="20"/>
      <c r="AK1319" s="20"/>
      <c r="AL1319" s="20"/>
      <c r="AM1319" s="20"/>
      <c r="AN1319" s="20"/>
      <c r="AS1319" s="11"/>
      <c r="AT1319" s="12"/>
    </row>
    <row r="1320" ht="14.25" customHeight="1">
      <c r="A1320" s="20"/>
      <c r="B1320" s="20"/>
      <c r="C1320" s="20"/>
      <c r="D1320" s="21"/>
      <c r="E1320" s="20"/>
      <c r="F1320" s="20"/>
      <c r="G1320" s="20"/>
      <c r="H1320" s="20"/>
      <c r="K1320" s="1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2"/>
      <c r="Z1320" s="22"/>
      <c r="AA1320" s="20"/>
      <c r="AB1320" s="20"/>
      <c r="AC1320" s="20"/>
      <c r="AD1320" s="20"/>
      <c r="AE1320" s="20"/>
      <c r="AF1320" s="20"/>
      <c r="AG1320" s="20"/>
      <c r="AH1320" s="20"/>
      <c r="AI1320" s="20"/>
      <c r="AJ1320" s="20"/>
      <c r="AK1320" s="20"/>
      <c r="AL1320" s="20"/>
      <c r="AM1320" s="20"/>
      <c r="AN1320" s="20"/>
      <c r="AS1320" s="11"/>
      <c r="AT1320" s="12"/>
    </row>
    <row r="1321" ht="14.25" customHeight="1">
      <c r="A1321" s="20"/>
      <c r="B1321" s="20"/>
      <c r="C1321" s="20"/>
      <c r="D1321" s="21"/>
      <c r="E1321" s="20"/>
      <c r="F1321" s="20"/>
      <c r="G1321" s="20"/>
      <c r="H1321" s="20"/>
      <c r="K1321" s="1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0"/>
      <c r="W1321" s="20"/>
      <c r="X1321" s="20"/>
      <c r="Y1321" s="22"/>
      <c r="Z1321" s="22"/>
      <c r="AA1321" s="20"/>
      <c r="AB1321" s="20"/>
      <c r="AC1321" s="20"/>
      <c r="AD1321" s="20"/>
      <c r="AE1321" s="20"/>
      <c r="AF1321" s="20"/>
      <c r="AG1321" s="20"/>
      <c r="AH1321" s="20"/>
      <c r="AI1321" s="20"/>
      <c r="AJ1321" s="20"/>
      <c r="AK1321" s="20"/>
      <c r="AL1321" s="20"/>
      <c r="AM1321" s="20"/>
      <c r="AN1321" s="20"/>
      <c r="AS1321" s="11"/>
      <c r="AT1321" s="12"/>
    </row>
    <row r="1322" ht="14.25" customHeight="1">
      <c r="A1322" s="20"/>
      <c r="B1322" s="20"/>
      <c r="C1322" s="20"/>
      <c r="D1322" s="21"/>
      <c r="E1322" s="20"/>
      <c r="F1322" s="20"/>
      <c r="G1322" s="20"/>
      <c r="H1322" s="20"/>
      <c r="K1322" s="1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2"/>
      <c r="Z1322" s="22"/>
      <c r="AA1322" s="20"/>
      <c r="AB1322" s="20"/>
      <c r="AC1322" s="20"/>
      <c r="AD1322" s="20"/>
      <c r="AE1322" s="20"/>
      <c r="AF1322" s="20"/>
      <c r="AG1322" s="20"/>
      <c r="AH1322" s="20"/>
      <c r="AI1322" s="20"/>
      <c r="AJ1322" s="20"/>
      <c r="AK1322" s="20"/>
      <c r="AL1322" s="20"/>
      <c r="AM1322" s="20"/>
      <c r="AN1322" s="20"/>
      <c r="AS1322" s="11"/>
      <c r="AT1322" s="12"/>
    </row>
    <row r="1323" ht="14.25" customHeight="1">
      <c r="A1323" s="20"/>
      <c r="B1323" s="20"/>
      <c r="C1323" s="20"/>
      <c r="D1323" s="21"/>
      <c r="E1323" s="20"/>
      <c r="F1323" s="20"/>
      <c r="G1323" s="20"/>
      <c r="H1323" s="20"/>
      <c r="K1323" s="1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2"/>
      <c r="Z1323" s="22"/>
      <c r="AA1323" s="20"/>
      <c r="AB1323" s="20"/>
      <c r="AC1323" s="20"/>
      <c r="AD1323" s="20"/>
      <c r="AE1323" s="20"/>
      <c r="AF1323" s="20"/>
      <c r="AG1323" s="20"/>
      <c r="AH1323" s="20"/>
      <c r="AI1323" s="20"/>
      <c r="AJ1323" s="20"/>
      <c r="AK1323" s="20"/>
      <c r="AL1323" s="20"/>
      <c r="AM1323" s="20"/>
      <c r="AN1323" s="20"/>
      <c r="AS1323" s="11"/>
      <c r="AT1323" s="12"/>
    </row>
    <row r="1324" ht="14.25" customHeight="1">
      <c r="A1324" s="20"/>
      <c r="B1324" s="20"/>
      <c r="C1324" s="20"/>
      <c r="D1324" s="21"/>
      <c r="E1324" s="20"/>
      <c r="F1324" s="20"/>
      <c r="G1324" s="20"/>
      <c r="H1324" s="20"/>
      <c r="K1324" s="1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2"/>
      <c r="Z1324" s="22"/>
      <c r="AA1324" s="20"/>
      <c r="AB1324" s="20"/>
      <c r="AC1324" s="20"/>
      <c r="AD1324" s="20"/>
      <c r="AE1324" s="20"/>
      <c r="AF1324" s="20"/>
      <c r="AG1324" s="20"/>
      <c r="AH1324" s="20"/>
      <c r="AI1324" s="20"/>
      <c r="AJ1324" s="20"/>
      <c r="AK1324" s="20"/>
      <c r="AL1324" s="20"/>
      <c r="AM1324" s="20"/>
      <c r="AN1324" s="20"/>
      <c r="AS1324" s="11"/>
      <c r="AT1324" s="12"/>
    </row>
    <row r="1325" ht="14.25" customHeight="1">
      <c r="A1325" s="20"/>
      <c r="B1325" s="20"/>
      <c r="C1325" s="20"/>
      <c r="D1325" s="21"/>
      <c r="E1325" s="20"/>
      <c r="F1325" s="20"/>
      <c r="G1325" s="20"/>
      <c r="H1325" s="20"/>
      <c r="K1325" s="1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2"/>
      <c r="Z1325" s="22"/>
      <c r="AA1325" s="20"/>
      <c r="AB1325" s="20"/>
      <c r="AC1325" s="20"/>
      <c r="AD1325" s="20"/>
      <c r="AE1325" s="20"/>
      <c r="AF1325" s="20"/>
      <c r="AG1325" s="20"/>
      <c r="AH1325" s="20"/>
      <c r="AI1325" s="20"/>
      <c r="AJ1325" s="20"/>
      <c r="AK1325" s="20"/>
      <c r="AL1325" s="20"/>
      <c r="AM1325" s="20"/>
      <c r="AN1325" s="20"/>
      <c r="AS1325" s="11"/>
      <c r="AT1325" s="12"/>
    </row>
    <row r="1326" ht="14.25" customHeight="1">
      <c r="A1326" s="20"/>
      <c r="B1326" s="20"/>
      <c r="C1326" s="20"/>
      <c r="D1326" s="21"/>
      <c r="E1326" s="20"/>
      <c r="F1326" s="20"/>
      <c r="G1326" s="20"/>
      <c r="H1326" s="20"/>
      <c r="K1326" s="1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2"/>
      <c r="Z1326" s="22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/>
      <c r="AK1326" s="20"/>
      <c r="AL1326" s="20"/>
      <c r="AM1326" s="20"/>
      <c r="AN1326" s="20"/>
      <c r="AS1326" s="11"/>
      <c r="AT1326" s="12"/>
    </row>
    <row r="1327" ht="14.25" customHeight="1">
      <c r="A1327" s="20"/>
      <c r="B1327" s="20"/>
      <c r="C1327" s="20"/>
      <c r="D1327" s="21"/>
      <c r="E1327" s="20"/>
      <c r="F1327" s="20"/>
      <c r="G1327" s="20"/>
      <c r="H1327" s="20"/>
      <c r="K1327" s="1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2"/>
      <c r="Z1327" s="22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0"/>
      <c r="AK1327" s="20"/>
      <c r="AL1327" s="20"/>
      <c r="AM1327" s="20"/>
      <c r="AN1327" s="20"/>
      <c r="AS1327" s="11"/>
      <c r="AT1327" s="12"/>
    </row>
    <row r="1328" ht="14.25" customHeight="1">
      <c r="A1328" s="20"/>
      <c r="B1328" s="20"/>
      <c r="C1328" s="20"/>
      <c r="D1328" s="21"/>
      <c r="E1328" s="20"/>
      <c r="F1328" s="20"/>
      <c r="G1328" s="20"/>
      <c r="H1328" s="20"/>
      <c r="K1328" s="1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0"/>
      <c r="W1328" s="20"/>
      <c r="X1328" s="20"/>
      <c r="Y1328" s="22"/>
      <c r="Z1328" s="22"/>
      <c r="AA1328" s="20"/>
      <c r="AB1328" s="20"/>
      <c r="AC1328" s="20"/>
      <c r="AD1328" s="20"/>
      <c r="AE1328" s="20"/>
      <c r="AF1328" s="20"/>
      <c r="AG1328" s="20"/>
      <c r="AH1328" s="20"/>
      <c r="AI1328" s="20"/>
      <c r="AJ1328" s="20"/>
      <c r="AK1328" s="20"/>
      <c r="AL1328" s="20"/>
      <c r="AM1328" s="20"/>
      <c r="AN1328" s="20"/>
      <c r="AS1328" s="11"/>
      <c r="AT1328" s="12"/>
    </row>
    <row r="1329" ht="14.25" customHeight="1">
      <c r="A1329" s="20"/>
      <c r="B1329" s="20"/>
      <c r="C1329" s="20"/>
      <c r="D1329" s="21"/>
      <c r="E1329" s="20"/>
      <c r="F1329" s="20"/>
      <c r="G1329" s="20"/>
      <c r="H1329" s="20"/>
      <c r="K1329" s="1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2"/>
      <c r="Z1329" s="22"/>
      <c r="AA1329" s="20"/>
      <c r="AB1329" s="20"/>
      <c r="AC1329" s="20"/>
      <c r="AD1329" s="20"/>
      <c r="AE1329" s="20"/>
      <c r="AF1329" s="20"/>
      <c r="AG1329" s="20"/>
      <c r="AH1329" s="20"/>
      <c r="AI1329" s="20"/>
      <c r="AJ1329" s="20"/>
      <c r="AK1329" s="20"/>
      <c r="AL1329" s="20"/>
      <c r="AM1329" s="20"/>
      <c r="AN1329" s="20"/>
      <c r="AS1329" s="11"/>
      <c r="AT1329" s="12"/>
    </row>
    <row r="1330" ht="14.25" customHeight="1">
      <c r="A1330" s="20"/>
      <c r="B1330" s="20"/>
      <c r="C1330" s="20"/>
      <c r="D1330" s="21"/>
      <c r="E1330" s="20"/>
      <c r="F1330" s="20"/>
      <c r="G1330" s="20"/>
      <c r="H1330" s="20"/>
      <c r="K1330" s="1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2"/>
      <c r="Z1330" s="22"/>
      <c r="AA1330" s="20"/>
      <c r="AB1330" s="20"/>
      <c r="AC1330" s="20"/>
      <c r="AD1330" s="20"/>
      <c r="AE1330" s="20"/>
      <c r="AF1330" s="20"/>
      <c r="AG1330" s="20"/>
      <c r="AH1330" s="20"/>
      <c r="AI1330" s="20"/>
      <c r="AJ1330" s="20"/>
      <c r="AK1330" s="20"/>
      <c r="AL1330" s="20"/>
      <c r="AM1330" s="20"/>
      <c r="AN1330" s="20"/>
      <c r="AS1330" s="11"/>
      <c r="AT1330" s="12"/>
    </row>
    <row r="1331" ht="14.25" customHeight="1">
      <c r="A1331" s="20"/>
      <c r="B1331" s="20"/>
      <c r="C1331" s="20"/>
      <c r="D1331" s="21"/>
      <c r="E1331" s="20"/>
      <c r="F1331" s="20"/>
      <c r="G1331" s="20"/>
      <c r="H1331" s="20"/>
      <c r="K1331" s="1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2"/>
      <c r="Z1331" s="22"/>
      <c r="AA1331" s="20"/>
      <c r="AB1331" s="20"/>
      <c r="AC1331" s="20"/>
      <c r="AD1331" s="20"/>
      <c r="AE1331" s="20"/>
      <c r="AF1331" s="20"/>
      <c r="AG1331" s="20"/>
      <c r="AH1331" s="20"/>
      <c r="AI1331" s="20"/>
      <c r="AJ1331" s="20"/>
      <c r="AK1331" s="20"/>
      <c r="AL1331" s="20"/>
      <c r="AM1331" s="20"/>
      <c r="AN1331" s="20"/>
      <c r="AS1331" s="11"/>
      <c r="AT1331" s="12"/>
    </row>
    <row r="1332" ht="14.25" customHeight="1">
      <c r="A1332" s="20"/>
      <c r="B1332" s="20"/>
      <c r="C1332" s="20"/>
      <c r="D1332" s="21"/>
      <c r="E1332" s="20"/>
      <c r="F1332" s="20"/>
      <c r="G1332" s="20"/>
      <c r="H1332" s="20"/>
      <c r="K1332" s="1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2"/>
      <c r="Z1332" s="22"/>
      <c r="AA1332" s="20"/>
      <c r="AB1332" s="20"/>
      <c r="AC1332" s="20"/>
      <c r="AD1332" s="20"/>
      <c r="AE1332" s="20"/>
      <c r="AF1332" s="20"/>
      <c r="AG1332" s="20"/>
      <c r="AH1332" s="20"/>
      <c r="AI1332" s="20"/>
      <c r="AJ1332" s="20"/>
      <c r="AK1332" s="20"/>
      <c r="AL1332" s="20"/>
      <c r="AM1332" s="20"/>
      <c r="AN1332" s="20"/>
      <c r="AS1332" s="11"/>
      <c r="AT1332" s="12"/>
    </row>
    <row r="1333" ht="14.25" customHeight="1">
      <c r="A1333" s="20"/>
      <c r="B1333" s="20"/>
      <c r="C1333" s="20"/>
      <c r="D1333" s="21"/>
      <c r="E1333" s="20"/>
      <c r="F1333" s="20"/>
      <c r="G1333" s="20"/>
      <c r="H1333" s="20"/>
      <c r="K1333" s="1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2"/>
      <c r="Z1333" s="22"/>
      <c r="AA1333" s="20"/>
      <c r="AB1333" s="20"/>
      <c r="AC1333" s="20"/>
      <c r="AD1333" s="20"/>
      <c r="AE1333" s="20"/>
      <c r="AF1333" s="20"/>
      <c r="AG1333" s="20"/>
      <c r="AH1333" s="20"/>
      <c r="AI1333" s="20"/>
      <c r="AJ1333" s="20"/>
      <c r="AK1333" s="20"/>
      <c r="AL1333" s="20"/>
      <c r="AM1333" s="20"/>
      <c r="AN1333" s="20"/>
      <c r="AS1333" s="11"/>
      <c r="AT1333" s="12"/>
    </row>
    <row r="1334" ht="14.25" customHeight="1">
      <c r="A1334" s="20"/>
      <c r="B1334" s="20"/>
      <c r="C1334" s="20"/>
      <c r="D1334" s="21"/>
      <c r="E1334" s="20"/>
      <c r="F1334" s="20"/>
      <c r="G1334" s="20"/>
      <c r="H1334" s="20"/>
      <c r="K1334" s="1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  <c r="Y1334" s="22"/>
      <c r="Z1334" s="22"/>
      <c r="AA1334" s="20"/>
      <c r="AB1334" s="20"/>
      <c r="AC1334" s="20"/>
      <c r="AD1334" s="20"/>
      <c r="AE1334" s="20"/>
      <c r="AF1334" s="20"/>
      <c r="AG1334" s="20"/>
      <c r="AH1334" s="20"/>
      <c r="AI1334" s="20"/>
      <c r="AJ1334" s="20"/>
      <c r="AK1334" s="20"/>
      <c r="AL1334" s="20"/>
      <c r="AM1334" s="20"/>
      <c r="AN1334" s="20"/>
      <c r="AS1334" s="11"/>
      <c r="AT1334" s="12"/>
    </row>
    <row r="1335" ht="14.25" customHeight="1">
      <c r="A1335" s="20"/>
      <c r="B1335" s="20"/>
      <c r="C1335" s="20"/>
      <c r="D1335" s="21"/>
      <c r="E1335" s="20"/>
      <c r="F1335" s="20"/>
      <c r="G1335" s="20"/>
      <c r="H1335" s="20"/>
      <c r="K1335" s="1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2"/>
      <c r="Z1335" s="22"/>
      <c r="AA1335" s="20"/>
      <c r="AB1335" s="20"/>
      <c r="AC1335" s="20"/>
      <c r="AD1335" s="20"/>
      <c r="AE1335" s="20"/>
      <c r="AF1335" s="20"/>
      <c r="AG1335" s="20"/>
      <c r="AH1335" s="20"/>
      <c r="AI1335" s="20"/>
      <c r="AJ1335" s="20"/>
      <c r="AK1335" s="20"/>
      <c r="AL1335" s="20"/>
      <c r="AM1335" s="20"/>
      <c r="AN1335" s="20"/>
      <c r="AS1335" s="11"/>
      <c r="AT1335" s="12"/>
    </row>
    <row r="1336" ht="14.25" customHeight="1">
      <c r="A1336" s="20"/>
      <c r="B1336" s="20"/>
      <c r="C1336" s="20"/>
      <c r="D1336" s="21"/>
      <c r="E1336" s="20"/>
      <c r="F1336" s="20"/>
      <c r="G1336" s="20"/>
      <c r="H1336" s="20"/>
      <c r="K1336" s="1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2"/>
      <c r="Z1336" s="22"/>
      <c r="AA1336" s="20"/>
      <c r="AB1336" s="20"/>
      <c r="AC1336" s="20"/>
      <c r="AD1336" s="20"/>
      <c r="AE1336" s="20"/>
      <c r="AF1336" s="20"/>
      <c r="AG1336" s="20"/>
      <c r="AH1336" s="20"/>
      <c r="AI1336" s="20"/>
      <c r="AJ1336" s="20"/>
      <c r="AK1336" s="20"/>
      <c r="AL1336" s="20"/>
      <c r="AM1336" s="20"/>
      <c r="AN1336" s="20"/>
      <c r="AS1336" s="11"/>
      <c r="AT1336" s="12"/>
    </row>
    <row r="1337" ht="14.25" customHeight="1">
      <c r="A1337" s="20"/>
      <c r="B1337" s="20"/>
      <c r="C1337" s="20"/>
      <c r="D1337" s="21"/>
      <c r="E1337" s="20"/>
      <c r="F1337" s="20"/>
      <c r="G1337" s="20"/>
      <c r="H1337" s="20"/>
      <c r="K1337" s="1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0"/>
      <c r="W1337" s="20"/>
      <c r="X1337" s="20"/>
      <c r="Y1337" s="22"/>
      <c r="Z1337" s="22"/>
      <c r="AA1337" s="20"/>
      <c r="AB1337" s="20"/>
      <c r="AC1337" s="20"/>
      <c r="AD1337" s="20"/>
      <c r="AE1337" s="20"/>
      <c r="AF1337" s="20"/>
      <c r="AG1337" s="20"/>
      <c r="AH1337" s="20"/>
      <c r="AI1337" s="20"/>
      <c r="AJ1337" s="20"/>
      <c r="AK1337" s="20"/>
      <c r="AL1337" s="20"/>
      <c r="AM1337" s="20"/>
      <c r="AN1337" s="20"/>
      <c r="AS1337" s="11"/>
      <c r="AT1337" s="12"/>
    </row>
    <row r="1338" ht="14.25" customHeight="1">
      <c r="A1338" s="20"/>
      <c r="B1338" s="20"/>
      <c r="C1338" s="20"/>
      <c r="D1338" s="21"/>
      <c r="E1338" s="20"/>
      <c r="F1338" s="20"/>
      <c r="G1338" s="20"/>
      <c r="H1338" s="20"/>
      <c r="K1338" s="1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2"/>
      <c r="Z1338" s="22"/>
      <c r="AA1338" s="20"/>
      <c r="AB1338" s="20"/>
      <c r="AC1338" s="20"/>
      <c r="AD1338" s="20"/>
      <c r="AE1338" s="20"/>
      <c r="AF1338" s="20"/>
      <c r="AG1338" s="20"/>
      <c r="AH1338" s="20"/>
      <c r="AI1338" s="20"/>
      <c r="AJ1338" s="20"/>
      <c r="AK1338" s="20"/>
      <c r="AL1338" s="20"/>
      <c r="AM1338" s="20"/>
      <c r="AN1338" s="20"/>
      <c r="AS1338" s="11"/>
      <c r="AT1338" s="12"/>
    </row>
    <row r="1339" ht="14.25" customHeight="1">
      <c r="A1339" s="20"/>
      <c r="B1339" s="20"/>
      <c r="C1339" s="20"/>
      <c r="D1339" s="21"/>
      <c r="E1339" s="20"/>
      <c r="F1339" s="20"/>
      <c r="G1339" s="20"/>
      <c r="H1339" s="20"/>
      <c r="K1339" s="1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2"/>
      <c r="Z1339" s="22"/>
      <c r="AA1339" s="20"/>
      <c r="AB1339" s="20"/>
      <c r="AC1339" s="20"/>
      <c r="AD1339" s="20"/>
      <c r="AE1339" s="20"/>
      <c r="AF1339" s="20"/>
      <c r="AG1339" s="20"/>
      <c r="AH1339" s="20"/>
      <c r="AI1339" s="20"/>
      <c r="AJ1339" s="20"/>
      <c r="AK1339" s="20"/>
      <c r="AL1339" s="20"/>
      <c r="AM1339" s="20"/>
      <c r="AN1339" s="20"/>
      <c r="AS1339" s="11"/>
      <c r="AT1339" s="12"/>
    </row>
    <row r="1340" ht="14.25" customHeight="1">
      <c r="A1340" s="20"/>
      <c r="B1340" s="20"/>
      <c r="C1340" s="20"/>
      <c r="D1340" s="21"/>
      <c r="E1340" s="20"/>
      <c r="F1340" s="20"/>
      <c r="G1340" s="20"/>
      <c r="H1340" s="20"/>
      <c r="K1340" s="1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2"/>
      <c r="Z1340" s="22"/>
      <c r="AA1340" s="20"/>
      <c r="AB1340" s="20"/>
      <c r="AC1340" s="20"/>
      <c r="AD1340" s="20"/>
      <c r="AE1340" s="20"/>
      <c r="AF1340" s="20"/>
      <c r="AG1340" s="20"/>
      <c r="AH1340" s="20"/>
      <c r="AI1340" s="20"/>
      <c r="AJ1340" s="20"/>
      <c r="AK1340" s="20"/>
      <c r="AL1340" s="20"/>
      <c r="AM1340" s="20"/>
      <c r="AN1340" s="20"/>
      <c r="AS1340" s="11"/>
      <c r="AT1340" s="12"/>
    </row>
    <row r="1341" ht="14.25" customHeight="1">
      <c r="A1341" s="20"/>
      <c r="B1341" s="20"/>
      <c r="C1341" s="20"/>
      <c r="D1341" s="21"/>
      <c r="E1341" s="20"/>
      <c r="F1341" s="20"/>
      <c r="G1341" s="20"/>
      <c r="H1341" s="20"/>
      <c r="K1341" s="1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2"/>
      <c r="Z1341" s="22"/>
      <c r="AA1341" s="20"/>
      <c r="AB1341" s="20"/>
      <c r="AC1341" s="20"/>
      <c r="AD1341" s="20"/>
      <c r="AE1341" s="20"/>
      <c r="AF1341" s="20"/>
      <c r="AG1341" s="20"/>
      <c r="AH1341" s="20"/>
      <c r="AI1341" s="20"/>
      <c r="AJ1341" s="20"/>
      <c r="AK1341" s="20"/>
      <c r="AL1341" s="20"/>
      <c r="AM1341" s="20"/>
      <c r="AN1341" s="20"/>
      <c r="AS1341" s="11"/>
      <c r="AT1341" s="12"/>
    </row>
    <row r="1342" ht="14.25" customHeight="1">
      <c r="A1342" s="20"/>
      <c r="B1342" s="20"/>
      <c r="C1342" s="20"/>
      <c r="D1342" s="21"/>
      <c r="E1342" s="20"/>
      <c r="F1342" s="20"/>
      <c r="G1342" s="20"/>
      <c r="H1342" s="20"/>
      <c r="K1342" s="1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2"/>
      <c r="Z1342" s="22"/>
      <c r="AA1342" s="20"/>
      <c r="AB1342" s="20"/>
      <c r="AC1342" s="20"/>
      <c r="AD1342" s="20"/>
      <c r="AE1342" s="20"/>
      <c r="AF1342" s="20"/>
      <c r="AG1342" s="20"/>
      <c r="AH1342" s="20"/>
      <c r="AI1342" s="20"/>
      <c r="AJ1342" s="20"/>
      <c r="AK1342" s="20"/>
      <c r="AL1342" s="20"/>
      <c r="AM1342" s="20"/>
      <c r="AN1342" s="20"/>
      <c r="AS1342" s="11"/>
      <c r="AT1342" s="12"/>
    </row>
    <row r="1343" ht="14.25" customHeight="1">
      <c r="A1343" s="20"/>
      <c r="B1343" s="20"/>
      <c r="C1343" s="20"/>
      <c r="D1343" s="21"/>
      <c r="E1343" s="20"/>
      <c r="F1343" s="20"/>
      <c r="G1343" s="20"/>
      <c r="H1343" s="20"/>
      <c r="K1343" s="1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2"/>
      <c r="Z1343" s="22"/>
      <c r="AA1343" s="20"/>
      <c r="AB1343" s="20"/>
      <c r="AC1343" s="20"/>
      <c r="AD1343" s="20"/>
      <c r="AE1343" s="20"/>
      <c r="AF1343" s="20"/>
      <c r="AG1343" s="20"/>
      <c r="AH1343" s="20"/>
      <c r="AI1343" s="20"/>
      <c r="AJ1343" s="20"/>
      <c r="AK1343" s="20"/>
      <c r="AL1343" s="20"/>
      <c r="AM1343" s="20"/>
      <c r="AN1343" s="20"/>
      <c r="AS1343" s="11"/>
      <c r="AT1343" s="12"/>
    </row>
    <row r="1344" ht="14.25" customHeight="1">
      <c r="A1344" s="20"/>
      <c r="B1344" s="20"/>
      <c r="C1344" s="20"/>
      <c r="D1344" s="21"/>
      <c r="E1344" s="20"/>
      <c r="F1344" s="20"/>
      <c r="G1344" s="20"/>
      <c r="H1344" s="20"/>
      <c r="K1344" s="1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2"/>
      <c r="Z1344" s="22"/>
      <c r="AA1344" s="20"/>
      <c r="AB1344" s="20"/>
      <c r="AC1344" s="20"/>
      <c r="AD1344" s="20"/>
      <c r="AE1344" s="20"/>
      <c r="AF1344" s="20"/>
      <c r="AG1344" s="20"/>
      <c r="AH1344" s="20"/>
      <c r="AI1344" s="20"/>
      <c r="AJ1344" s="20"/>
      <c r="AK1344" s="20"/>
      <c r="AL1344" s="20"/>
      <c r="AM1344" s="20"/>
      <c r="AN1344" s="20"/>
      <c r="AS1344" s="11"/>
      <c r="AT1344" s="12"/>
    </row>
    <row r="1345" ht="14.25" customHeight="1">
      <c r="A1345" s="20"/>
      <c r="B1345" s="20"/>
      <c r="C1345" s="20"/>
      <c r="D1345" s="21"/>
      <c r="E1345" s="20"/>
      <c r="F1345" s="20"/>
      <c r="G1345" s="20"/>
      <c r="H1345" s="20"/>
      <c r="K1345" s="1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2"/>
      <c r="Z1345" s="22"/>
      <c r="AA1345" s="20"/>
      <c r="AB1345" s="20"/>
      <c r="AC1345" s="20"/>
      <c r="AD1345" s="20"/>
      <c r="AE1345" s="20"/>
      <c r="AF1345" s="20"/>
      <c r="AG1345" s="20"/>
      <c r="AH1345" s="20"/>
      <c r="AI1345" s="20"/>
      <c r="AJ1345" s="20"/>
      <c r="AK1345" s="20"/>
      <c r="AL1345" s="20"/>
      <c r="AM1345" s="20"/>
      <c r="AN1345" s="20"/>
      <c r="AS1345" s="11"/>
      <c r="AT1345" s="12"/>
    </row>
    <row r="1346" ht="14.25" customHeight="1">
      <c r="A1346" s="20"/>
      <c r="B1346" s="20"/>
      <c r="C1346" s="20"/>
      <c r="D1346" s="21"/>
      <c r="E1346" s="20"/>
      <c r="F1346" s="20"/>
      <c r="G1346" s="20"/>
      <c r="H1346" s="20"/>
      <c r="K1346" s="1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2"/>
      <c r="Z1346" s="22"/>
      <c r="AA1346" s="20"/>
      <c r="AB1346" s="20"/>
      <c r="AC1346" s="20"/>
      <c r="AD1346" s="20"/>
      <c r="AE1346" s="20"/>
      <c r="AF1346" s="20"/>
      <c r="AG1346" s="20"/>
      <c r="AH1346" s="20"/>
      <c r="AI1346" s="20"/>
      <c r="AJ1346" s="20"/>
      <c r="AK1346" s="20"/>
      <c r="AL1346" s="20"/>
      <c r="AM1346" s="20"/>
      <c r="AN1346" s="20"/>
      <c r="AS1346" s="11"/>
      <c r="AT1346" s="12"/>
    </row>
    <row r="1347" ht="14.25" customHeight="1">
      <c r="A1347" s="20"/>
      <c r="B1347" s="20"/>
      <c r="C1347" s="20"/>
      <c r="D1347" s="21"/>
      <c r="E1347" s="20"/>
      <c r="F1347" s="20"/>
      <c r="G1347" s="20"/>
      <c r="H1347" s="20"/>
      <c r="K1347" s="1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2"/>
      <c r="Z1347" s="22"/>
      <c r="AA1347" s="20"/>
      <c r="AB1347" s="20"/>
      <c r="AC1347" s="20"/>
      <c r="AD1347" s="20"/>
      <c r="AE1347" s="20"/>
      <c r="AF1347" s="20"/>
      <c r="AG1347" s="20"/>
      <c r="AH1347" s="20"/>
      <c r="AI1347" s="20"/>
      <c r="AJ1347" s="20"/>
      <c r="AK1347" s="20"/>
      <c r="AL1347" s="20"/>
      <c r="AM1347" s="20"/>
      <c r="AN1347" s="20"/>
      <c r="AS1347" s="11"/>
      <c r="AT1347" s="12"/>
    </row>
    <row r="1348" ht="14.25" customHeight="1">
      <c r="A1348" s="20"/>
      <c r="B1348" s="20"/>
      <c r="C1348" s="20"/>
      <c r="D1348" s="21"/>
      <c r="E1348" s="20"/>
      <c r="F1348" s="20"/>
      <c r="G1348" s="20"/>
      <c r="H1348" s="20"/>
      <c r="K1348" s="1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0"/>
      <c r="W1348" s="20"/>
      <c r="X1348" s="20"/>
      <c r="Y1348" s="22"/>
      <c r="Z1348" s="22"/>
      <c r="AA1348" s="20"/>
      <c r="AB1348" s="20"/>
      <c r="AC1348" s="20"/>
      <c r="AD1348" s="20"/>
      <c r="AE1348" s="20"/>
      <c r="AF1348" s="20"/>
      <c r="AG1348" s="20"/>
      <c r="AH1348" s="20"/>
      <c r="AI1348" s="20"/>
      <c r="AJ1348" s="20"/>
      <c r="AK1348" s="20"/>
      <c r="AL1348" s="20"/>
      <c r="AM1348" s="20"/>
      <c r="AN1348" s="20"/>
      <c r="AS1348" s="11"/>
      <c r="AT1348" s="12"/>
    </row>
    <row r="1349" ht="14.25" customHeight="1">
      <c r="A1349" s="20"/>
      <c r="B1349" s="20"/>
      <c r="C1349" s="20"/>
      <c r="D1349" s="21"/>
      <c r="E1349" s="20"/>
      <c r="F1349" s="20"/>
      <c r="G1349" s="20"/>
      <c r="H1349" s="20"/>
      <c r="K1349" s="1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2"/>
      <c r="Z1349" s="22"/>
      <c r="AA1349" s="20"/>
      <c r="AB1349" s="20"/>
      <c r="AC1349" s="20"/>
      <c r="AD1349" s="20"/>
      <c r="AE1349" s="20"/>
      <c r="AF1349" s="20"/>
      <c r="AG1349" s="20"/>
      <c r="AH1349" s="20"/>
      <c r="AI1349" s="20"/>
      <c r="AJ1349" s="20"/>
      <c r="AK1349" s="20"/>
      <c r="AL1349" s="20"/>
      <c r="AM1349" s="20"/>
      <c r="AN1349" s="20"/>
      <c r="AS1349" s="11"/>
      <c r="AT1349" s="12"/>
    </row>
    <row r="1350" ht="14.25" customHeight="1">
      <c r="A1350" s="20"/>
      <c r="B1350" s="20"/>
      <c r="C1350" s="20"/>
      <c r="D1350" s="21"/>
      <c r="E1350" s="20"/>
      <c r="F1350" s="20"/>
      <c r="G1350" s="20"/>
      <c r="H1350" s="20"/>
      <c r="K1350" s="1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22"/>
      <c r="Z1350" s="22"/>
      <c r="AA1350" s="20"/>
      <c r="AB1350" s="20"/>
      <c r="AC1350" s="20"/>
      <c r="AD1350" s="20"/>
      <c r="AE1350" s="20"/>
      <c r="AF1350" s="20"/>
      <c r="AG1350" s="20"/>
      <c r="AH1350" s="20"/>
      <c r="AI1350" s="20"/>
      <c r="AJ1350" s="20"/>
      <c r="AK1350" s="20"/>
      <c r="AL1350" s="20"/>
      <c r="AM1350" s="20"/>
      <c r="AN1350" s="20"/>
      <c r="AS1350" s="11"/>
      <c r="AT1350" s="12"/>
    </row>
    <row r="1351" ht="14.25" customHeight="1">
      <c r="A1351" s="20"/>
      <c r="B1351" s="20"/>
      <c r="C1351" s="20"/>
      <c r="D1351" s="21"/>
      <c r="E1351" s="20"/>
      <c r="F1351" s="20"/>
      <c r="G1351" s="20"/>
      <c r="H1351" s="20"/>
      <c r="K1351" s="1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2"/>
      <c r="Z1351" s="22"/>
      <c r="AA1351" s="20"/>
      <c r="AB1351" s="20"/>
      <c r="AC1351" s="20"/>
      <c r="AD1351" s="20"/>
      <c r="AE1351" s="20"/>
      <c r="AF1351" s="20"/>
      <c r="AG1351" s="20"/>
      <c r="AH1351" s="20"/>
      <c r="AI1351" s="20"/>
      <c r="AJ1351" s="20"/>
      <c r="AK1351" s="20"/>
      <c r="AL1351" s="20"/>
      <c r="AM1351" s="20"/>
      <c r="AN1351" s="20"/>
      <c r="AS1351" s="11"/>
      <c r="AT1351" s="12"/>
    </row>
    <row r="1352" ht="14.25" customHeight="1">
      <c r="A1352" s="20"/>
      <c r="B1352" s="20"/>
      <c r="C1352" s="20"/>
      <c r="D1352" s="21"/>
      <c r="E1352" s="20"/>
      <c r="F1352" s="20"/>
      <c r="G1352" s="20"/>
      <c r="H1352" s="20"/>
      <c r="K1352" s="1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0"/>
      <c r="W1352" s="20"/>
      <c r="X1352" s="20"/>
      <c r="Y1352" s="22"/>
      <c r="Z1352" s="22"/>
      <c r="AA1352" s="20"/>
      <c r="AB1352" s="20"/>
      <c r="AC1352" s="20"/>
      <c r="AD1352" s="20"/>
      <c r="AE1352" s="20"/>
      <c r="AF1352" s="20"/>
      <c r="AG1352" s="20"/>
      <c r="AH1352" s="20"/>
      <c r="AI1352" s="20"/>
      <c r="AJ1352" s="20"/>
      <c r="AK1352" s="20"/>
      <c r="AL1352" s="20"/>
      <c r="AM1352" s="20"/>
      <c r="AN1352" s="20"/>
      <c r="AS1352" s="11"/>
      <c r="AT1352" s="12"/>
    </row>
    <row r="1353" ht="14.25" customHeight="1">
      <c r="A1353" s="20"/>
      <c r="B1353" s="20"/>
      <c r="C1353" s="20"/>
      <c r="D1353" s="21"/>
      <c r="E1353" s="20"/>
      <c r="F1353" s="20"/>
      <c r="G1353" s="20"/>
      <c r="H1353" s="20"/>
      <c r="K1353" s="1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/>
      <c r="W1353" s="20"/>
      <c r="X1353" s="20"/>
      <c r="Y1353" s="22"/>
      <c r="Z1353" s="22"/>
      <c r="AA1353" s="20"/>
      <c r="AB1353" s="20"/>
      <c r="AC1353" s="20"/>
      <c r="AD1353" s="20"/>
      <c r="AE1353" s="20"/>
      <c r="AF1353" s="20"/>
      <c r="AG1353" s="20"/>
      <c r="AH1353" s="20"/>
      <c r="AI1353" s="20"/>
      <c r="AJ1353" s="20"/>
      <c r="AK1353" s="20"/>
      <c r="AL1353" s="20"/>
      <c r="AM1353" s="20"/>
      <c r="AN1353" s="20"/>
      <c r="AS1353" s="11"/>
      <c r="AT1353" s="12"/>
    </row>
    <row r="1354" ht="14.25" customHeight="1">
      <c r="A1354" s="20"/>
      <c r="B1354" s="20"/>
      <c r="C1354" s="20"/>
      <c r="D1354" s="21"/>
      <c r="E1354" s="20"/>
      <c r="F1354" s="20"/>
      <c r="G1354" s="20"/>
      <c r="H1354" s="20"/>
      <c r="K1354" s="1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2"/>
      <c r="Z1354" s="22"/>
      <c r="AA1354" s="20"/>
      <c r="AB1354" s="20"/>
      <c r="AC1354" s="20"/>
      <c r="AD1354" s="20"/>
      <c r="AE1354" s="20"/>
      <c r="AF1354" s="20"/>
      <c r="AG1354" s="20"/>
      <c r="AH1354" s="20"/>
      <c r="AI1354" s="20"/>
      <c r="AJ1354" s="20"/>
      <c r="AK1354" s="20"/>
      <c r="AL1354" s="20"/>
      <c r="AM1354" s="20"/>
      <c r="AN1354" s="20"/>
      <c r="AS1354" s="11"/>
      <c r="AT1354" s="12"/>
    </row>
    <row r="1355" ht="14.25" customHeight="1">
      <c r="A1355" s="20"/>
      <c r="B1355" s="20"/>
      <c r="C1355" s="20"/>
      <c r="D1355" s="21"/>
      <c r="E1355" s="20"/>
      <c r="F1355" s="20"/>
      <c r="G1355" s="20"/>
      <c r="H1355" s="20"/>
      <c r="K1355" s="1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2"/>
      <c r="Z1355" s="22"/>
      <c r="AA1355" s="20"/>
      <c r="AB1355" s="20"/>
      <c r="AC1355" s="20"/>
      <c r="AD1355" s="20"/>
      <c r="AE1355" s="20"/>
      <c r="AF1355" s="20"/>
      <c r="AG1355" s="20"/>
      <c r="AH1355" s="20"/>
      <c r="AI1355" s="20"/>
      <c r="AJ1355" s="20"/>
      <c r="AK1355" s="20"/>
      <c r="AL1355" s="20"/>
      <c r="AM1355" s="20"/>
      <c r="AN1355" s="20"/>
      <c r="AS1355" s="11"/>
      <c r="AT1355" s="12"/>
    </row>
    <row r="1356" ht="14.25" customHeight="1">
      <c r="A1356" s="20"/>
      <c r="B1356" s="20"/>
      <c r="C1356" s="20"/>
      <c r="D1356" s="21"/>
      <c r="E1356" s="20"/>
      <c r="F1356" s="20"/>
      <c r="G1356" s="20"/>
      <c r="H1356" s="20"/>
      <c r="K1356" s="1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2"/>
      <c r="Z1356" s="22"/>
      <c r="AA1356" s="20"/>
      <c r="AB1356" s="20"/>
      <c r="AC1356" s="20"/>
      <c r="AD1356" s="20"/>
      <c r="AE1356" s="20"/>
      <c r="AF1356" s="20"/>
      <c r="AG1356" s="20"/>
      <c r="AH1356" s="20"/>
      <c r="AI1356" s="20"/>
      <c r="AJ1356" s="20"/>
      <c r="AK1356" s="20"/>
      <c r="AL1356" s="20"/>
      <c r="AM1356" s="20"/>
      <c r="AN1356" s="20"/>
      <c r="AS1356" s="11"/>
      <c r="AT1356" s="12"/>
    </row>
    <row r="1357" ht="14.25" customHeight="1">
      <c r="A1357" s="20"/>
      <c r="B1357" s="20"/>
      <c r="C1357" s="20"/>
      <c r="D1357" s="21"/>
      <c r="E1357" s="20"/>
      <c r="F1357" s="20"/>
      <c r="G1357" s="20"/>
      <c r="H1357" s="20"/>
      <c r="K1357" s="1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2"/>
      <c r="Z1357" s="22"/>
      <c r="AA1357" s="20"/>
      <c r="AB1357" s="20"/>
      <c r="AC1357" s="20"/>
      <c r="AD1357" s="20"/>
      <c r="AE1357" s="20"/>
      <c r="AF1357" s="20"/>
      <c r="AG1357" s="20"/>
      <c r="AH1357" s="20"/>
      <c r="AI1357" s="20"/>
      <c r="AJ1357" s="20"/>
      <c r="AK1357" s="20"/>
      <c r="AL1357" s="20"/>
      <c r="AM1357" s="20"/>
      <c r="AN1357" s="20"/>
      <c r="AS1357" s="11"/>
      <c r="AT1357" s="12"/>
    </row>
    <row r="1358" ht="14.25" customHeight="1">
      <c r="A1358" s="20"/>
      <c r="B1358" s="20"/>
      <c r="C1358" s="20"/>
      <c r="D1358" s="21"/>
      <c r="E1358" s="20"/>
      <c r="F1358" s="20"/>
      <c r="G1358" s="20"/>
      <c r="H1358" s="20"/>
      <c r="K1358" s="1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2"/>
      <c r="Z1358" s="22"/>
      <c r="AA1358" s="20"/>
      <c r="AB1358" s="20"/>
      <c r="AC1358" s="20"/>
      <c r="AD1358" s="20"/>
      <c r="AE1358" s="20"/>
      <c r="AF1358" s="20"/>
      <c r="AG1358" s="20"/>
      <c r="AH1358" s="20"/>
      <c r="AI1358" s="20"/>
      <c r="AJ1358" s="20"/>
      <c r="AK1358" s="20"/>
      <c r="AL1358" s="20"/>
      <c r="AM1358" s="20"/>
      <c r="AN1358" s="20"/>
      <c r="AS1358" s="11"/>
      <c r="AT1358" s="12"/>
    </row>
    <row r="1359" ht="14.25" customHeight="1">
      <c r="A1359" s="20"/>
      <c r="B1359" s="20"/>
      <c r="C1359" s="20"/>
      <c r="D1359" s="21"/>
      <c r="E1359" s="20"/>
      <c r="F1359" s="20"/>
      <c r="G1359" s="20"/>
      <c r="H1359" s="20"/>
      <c r="K1359" s="1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2"/>
      <c r="Z1359" s="22"/>
      <c r="AA1359" s="20"/>
      <c r="AB1359" s="20"/>
      <c r="AC1359" s="20"/>
      <c r="AD1359" s="20"/>
      <c r="AE1359" s="20"/>
      <c r="AF1359" s="20"/>
      <c r="AG1359" s="20"/>
      <c r="AH1359" s="20"/>
      <c r="AI1359" s="20"/>
      <c r="AJ1359" s="20"/>
      <c r="AK1359" s="20"/>
      <c r="AL1359" s="20"/>
      <c r="AM1359" s="20"/>
      <c r="AN1359" s="20"/>
      <c r="AS1359" s="11"/>
      <c r="AT1359" s="12"/>
    </row>
    <row r="1360" ht="14.25" customHeight="1">
      <c r="A1360" s="20"/>
      <c r="B1360" s="20"/>
      <c r="C1360" s="20"/>
      <c r="D1360" s="21"/>
      <c r="E1360" s="20"/>
      <c r="F1360" s="20"/>
      <c r="G1360" s="20"/>
      <c r="H1360" s="20"/>
      <c r="K1360" s="1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2"/>
      <c r="Z1360" s="22"/>
      <c r="AA1360" s="20"/>
      <c r="AB1360" s="20"/>
      <c r="AC1360" s="20"/>
      <c r="AD1360" s="20"/>
      <c r="AE1360" s="20"/>
      <c r="AF1360" s="20"/>
      <c r="AG1360" s="20"/>
      <c r="AH1360" s="20"/>
      <c r="AI1360" s="20"/>
      <c r="AJ1360" s="20"/>
      <c r="AK1360" s="20"/>
      <c r="AL1360" s="20"/>
      <c r="AM1360" s="20"/>
      <c r="AN1360" s="20"/>
      <c r="AS1360" s="11"/>
      <c r="AT1360" s="12"/>
    </row>
    <row r="1361" ht="14.25" customHeight="1">
      <c r="A1361" s="20"/>
      <c r="B1361" s="20"/>
      <c r="C1361" s="20"/>
      <c r="D1361" s="21"/>
      <c r="E1361" s="20"/>
      <c r="F1361" s="20"/>
      <c r="G1361" s="20"/>
      <c r="H1361" s="20"/>
      <c r="K1361" s="1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2"/>
      <c r="Z1361" s="22"/>
      <c r="AA1361" s="20"/>
      <c r="AB1361" s="20"/>
      <c r="AC1361" s="20"/>
      <c r="AD1361" s="20"/>
      <c r="AE1361" s="20"/>
      <c r="AF1361" s="20"/>
      <c r="AG1361" s="20"/>
      <c r="AH1361" s="20"/>
      <c r="AI1361" s="20"/>
      <c r="AJ1361" s="20"/>
      <c r="AK1361" s="20"/>
      <c r="AL1361" s="20"/>
      <c r="AM1361" s="20"/>
      <c r="AN1361" s="20"/>
      <c r="AS1361" s="11"/>
      <c r="AT1361" s="12"/>
    </row>
    <row r="1362" ht="14.25" customHeight="1">
      <c r="A1362" s="20"/>
      <c r="B1362" s="20"/>
      <c r="C1362" s="20"/>
      <c r="D1362" s="21"/>
      <c r="E1362" s="20"/>
      <c r="F1362" s="20"/>
      <c r="G1362" s="20"/>
      <c r="H1362" s="20"/>
      <c r="K1362" s="1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/>
      <c r="W1362" s="20"/>
      <c r="X1362" s="20"/>
      <c r="Y1362" s="22"/>
      <c r="Z1362" s="22"/>
      <c r="AA1362" s="20"/>
      <c r="AB1362" s="20"/>
      <c r="AC1362" s="20"/>
      <c r="AD1362" s="20"/>
      <c r="AE1362" s="20"/>
      <c r="AF1362" s="20"/>
      <c r="AG1362" s="20"/>
      <c r="AH1362" s="20"/>
      <c r="AI1362" s="20"/>
      <c r="AJ1362" s="20"/>
      <c r="AK1362" s="20"/>
      <c r="AL1362" s="20"/>
      <c r="AM1362" s="20"/>
      <c r="AN1362" s="20"/>
      <c r="AS1362" s="11"/>
      <c r="AT1362" s="12"/>
    </row>
    <row r="1363" ht="14.25" customHeight="1">
      <c r="A1363" s="20"/>
      <c r="B1363" s="20"/>
      <c r="C1363" s="20"/>
      <c r="D1363" s="21"/>
      <c r="E1363" s="20"/>
      <c r="F1363" s="20"/>
      <c r="G1363" s="20"/>
      <c r="H1363" s="20"/>
      <c r="K1363" s="1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2"/>
      <c r="Z1363" s="22"/>
      <c r="AA1363" s="20"/>
      <c r="AB1363" s="20"/>
      <c r="AC1363" s="20"/>
      <c r="AD1363" s="20"/>
      <c r="AE1363" s="20"/>
      <c r="AF1363" s="20"/>
      <c r="AG1363" s="20"/>
      <c r="AH1363" s="20"/>
      <c r="AI1363" s="20"/>
      <c r="AJ1363" s="20"/>
      <c r="AK1363" s="20"/>
      <c r="AL1363" s="20"/>
      <c r="AM1363" s="20"/>
      <c r="AN1363" s="20"/>
      <c r="AS1363" s="11"/>
      <c r="AT1363" s="12"/>
    </row>
    <row r="1364" ht="14.25" customHeight="1">
      <c r="A1364" s="20"/>
      <c r="B1364" s="20"/>
      <c r="C1364" s="20"/>
      <c r="D1364" s="21"/>
      <c r="E1364" s="20"/>
      <c r="F1364" s="20"/>
      <c r="G1364" s="20"/>
      <c r="H1364" s="20"/>
      <c r="K1364" s="1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0"/>
      <c r="W1364" s="20"/>
      <c r="X1364" s="20"/>
      <c r="Y1364" s="22"/>
      <c r="Z1364" s="22"/>
      <c r="AA1364" s="20"/>
      <c r="AB1364" s="20"/>
      <c r="AC1364" s="20"/>
      <c r="AD1364" s="20"/>
      <c r="AE1364" s="20"/>
      <c r="AF1364" s="20"/>
      <c r="AG1364" s="20"/>
      <c r="AH1364" s="20"/>
      <c r="AI1364" s="20"/>
      <c r="AJ1364" s="20"/>
      <c r="AK1364" s="20"/>
      <c r="AL1364" s="20"/>
      <c r="AM1364" s="20"/>
      <c r="AN1364" s="20"/>
      <c r="AS1364" s="11"/>
      <c r="AT1364" s="12"/>
    </row>
    <row r="1365" ht="14.25" customHeight="1">
      <c r="A1365" s="20"/>
      <c r="B1365" s="20"/>
      <c r="C1365" s="20"/>
      <c r="D1365" s="21"/>
      <c r="E1365" s="20"/>
      <c r="F1365" s="20"/>
      <c r="G1365" s="20"/>
      <c r="H1365" s="20"/>
      <c r="K1365" s="1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/>
      <c r="W1365" s="20"/>
      <c r="X1365" s="20"/>
      <c r="Y1365" s="22"/>
      <c r="Z1365" s="22"/>
      <c r="AA1365" s="20"/>
      <c r="AB1365" s="20"/>
      <c r="AC1365" s="20"/>
      <c r="AD1365" s="20"/>
      <c r="AE1365" s="20"/>
      <c r="AF1365" s="20"/>
      <c r="AG1365" s="20"/>
      <c r="AH1365" s="20"/>
      <c r="AI1365" s="20"/>
      <c r="AJ1365" s="20"/>
      <c r="AK1365" s="20"/>
      <c r="AL1365" s="20"/>
      <c r="AM1365" s="20"/>
      <c r="AN1365" s="20"/>
      <c r="AS1365" s="11"/>
      <c r="AT1365" s="12"/>
    </row>
    <row r="1366" ht="14.25" customHeight="1">
      <c r="A1366" s="20"/>
      <c r="B1366" s="20"/>
      <c r="C1366" s="20"/>
      <c r="D1366" s="21"/>
      <c r="E1366" s="20"/>
      <c r="F1366" s="20"/>
      <c r="G1366" s="20"/>
      <c r="H1366" s="20"/>
      <c r="K1366" s="1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/>
      <c r="W1366" s="20"/>
      <c r="X1366" s="20"/>
      <c r="Y1366" s="22"/>
      <c r="Z1366" s="22"/>
      <c r="AA1366" s="20"/>
      <c r="AB1366" s="20"/>
      <c r="AC1366" s="20"/>
      <c r="AD1366" s="20"/>
      <c r="AE1366" s="20"/>
      <c r="AF1366" s="20"/>
      <c r="AG1366" s="20"/>
      <c r="AH1366" s="20"/>
      <c r="AI1366" s="20"/>
      <c r="AJ1366" s="20"/>
      <c r="AK1366" s="20"/>
      <c r="AL1366" s="20"/>
      <c r="AM1366" s="20"/>
      <c r="AN1366" s="20"/>
      <c r="AS1366" s="11"/>
      <c r="AT1366" s="12"/>
    </row>
    <row r="1367" ht="14.25" customHeight="1">
      <c r="A1367" s="20"/>
      <c r="B1367" s="20"/>
      <c r="C1367" s="20"/>
      <c r="D1367" s="21"/>
      <c r="E1367" s="20"/>
      <c r="F1367" s="20"/>
      <c r="G1367" s="20"/>
      <c r="H1367" s="20"/>
      <c r="K1367" s="1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/>
      <c r="W1367" s="20"/>
      <c r="X1367" s="20"/>
      <c r="Y1367" s="22"/>
      <c r="Z1367" s="22"/>
      <c r="AA1367" s="20"/>
      <c r="AB1367" s="20"/>
      <c r="AC1367" s="20"/>
      <c r="AD1367" s="20"/>
      <c r="AE1367" s="20"/>
      <c r="AF1367" s="20"/>
      <c r="AG1367" s="20"/>
      <c r="AH1367" s="20"/>
      <c r="AI1367" s="20"/>
      <c r="AJ1367" s="20"/>
      <c r="AK1367" s="20"/>
      <c r="AL1367" s="20"/>
      <c r="AM1367" s="20"/>
      <c r="AN1367" s="20"/>
      <c r="AS1367" s="11"/>
      <c r="AT1367" s="12"/>
    </row>
    <row r="1368" ht="14.25" customHeight="1">
      <c r="A1368" s="20"/>
      <c r="B1368" s="20"/>
      <c r="C1368" s="20"/>
      <c r="D1368" s="21"/>
      <c r="E1368" s="20"/>
      <c r="F1368" s="20"/>
      <c r="G1368" s="20"/>
      <c r="H1368" s="20"/>
      <c r="K1368" s="1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2"/>
      <c r="Z1368" s="22"/>
      <c r="AA1368" s="20"/>
      <c r="AB1368" s="20"/>
      <c r="AC1368" s="20"/>
      <c r="AD1368" s="20"/>
      <c r="AE1368" s="20"/>
      <c r="AF1368" s="20"/>
      <c r="AG1368" s="20"/>
      <c r="AH1368" s="20"/>
      <c r="AI1368" s="20"/>
      <c r="AJ1368" s="20"/>
      <c r="AK1368" s="20"/>
      <c r="AL1368" s="20"/>
      <c r="AM1368" s="20"/>
      <c r="AN1368" s="20"/>
      <c r="AS1368" s="11"/>
      <c r="AT1368" s="12"/>
    </row>
    <row r="1369" ht="14.25" customHeight="1">
      <c r="A1369" s="20"/>
      <c r="B1369" s="20"/>
      <c r="C1369" s="20"/>
      <c r="D1369" s="21"/>
      <c r="E1369" s="20"/>
      <c r="F1369" s="20"/>
      <c r="G1369" s="20"/>
      <c r="H1369" s="20"/>
      <c r="K1369" s="1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0"/>
      <c r="W1369" s="20"/>
      <c r="X1369" s="20"/>
      <c r="Y1369" s="22"/>
      <c r="Z1369" s="22"/>
      <c r="AA1369" s="20"/>
      <c r="AB1369" s="20"/>
      <c r="AC1369" s="20"/>
      <c r="AD1369" s="20"/>
      <c r="AE1369" s="20"/>
      <c r="AF1369" s="20"/>
      <c r="AG1369" s="20"/>
      <c r="AH1369" s="20"/>
      <c r="AI1369" s="20"/>
      <c r="AJ1369" s="20"/>
      <c r="AK1369" s="20"/>
      <c r="AL1369" s="20"/>
      <c r="AM1369" s="20"/>
      <c r="AN1369" s="20"/>
      <c r="AS1369" s="11"/>
      <c r="AT1369" s="12"/>
    </row>
    <row r="1370" ht="14.25" customHeight="1">
      <c r="A1370" s="20"/>
      <c r="B1370" s="20"/>
      <c r="C1370" s="20"/>
      <c r="D1370" s="21"/>
      <c r="E1370" s="20"/>
      <c r="F1370" s="20"/>
      <c r="G1370" s="20"/>
      <c r="H1370" s="20"/>
      <c r="K1370" s="1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0"/>
      <c r="W1370" s="20"/>
      <c r="X1370" s="20"/>
      <c r="Y1370" s="22"/>
      <c r="Z1370" s="22"/>
      <c r="AA1370" s="20"/>
      <c r="AB1370" s="20"/>
      <c r="AC1370" s="20"/>
      <c r="AD1370" s="20"/>
      <c r="AE1370" s="20"/>
      <c r="AF1370" s="20"/>
      <c r="AG1370" s="20"/>
      <c r="AH1370" s="20"/>
      <c r="AI1370" s="20"/>
      <c r="AJ1370" s="20"/>
      <c r="AK1370" s="20"/>
      <c r="AL1370" s="20"/>
      <c r="AM1370" s="20"/>
      <c r="AN1370" s="20"/>
      <c r="AS1370" s="11"/>
      <c r="AT1370" s="12"/>
    </row>
    <row r="1371" ht="14.25" customHeight="1">
      <c r="A1371" s="20"/>
      <c r="B1371" s="20"/>
      <c r="C1371" s="20"/>
      <c r="D1371" s="21"/>
      <c r="E1371" s="20"/>
      <c r="F1371" s="20"/>
      <c r="G1371" s="20"/>
      <c r="H1371" s="20"/>
      <c r="K1371" s="1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0"/>
      <c r="W1371" s="20"/>
      <c r="X1371" s="20"/>
      <c r="Y1371" s="22"/>
      <c r="Z1371" s="22"/>
      <c r="AA1371" s="20"/>
      <c r="AB1371" s="20"/>
      <c r="AC1371" s="20"/>
      <c r="AD1371" s="20"/>
      <c r="AE1371" s="20"/>
      <c r="AF1371" s="20"/>
      <c r="AG1371" s="20"/>
      <c r="AH1371" s="20"/>
      <c r="AI1371" s="20"/>
      <c r="AJ1371" s="20"/>
      <c r="AK1371" s="20"/>
      <c r="AL1371" s="20"/>
      <c r="AM1371" s="20"/>
      <c r="AN1371" s="20"/>
      <c r="AS1371" s="11"/>
      <c r="AT1371" s="12"/>
    </row>
    <row r="1372" ht="14.25" customHeight="1">
      <c r="A1372" s="20"/>
      <c r="B1372" s="20"/>
      <c r="C1372" s="20"/>
      <c r="D1372" s="21"/>
      <c r="E1372" s="20"/>
      <c r="F1372" s="20"/>
      <c r="G1372" s="20"/>
      <c r="H1372" s="20"/>
      <c r="K1372" s="1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0"/>
      <c r="W1372" s="20"/>
      <c r="X1372" s="20"/>
      <c r="Y1372" s="22"/>
      <c r="Z1372" s="22"/>
      <c r="AA1372" s="20"/>
      <c r="AB1372" s="20"/>
      <c r="AC1372" s="20"/>
      <c r="AD1372" s="20"/>
      <c r="AE1372" s="20"/>
      <c r="AF1372" s="20"/>
      <c r="AG1372" s="20"/>
      <c r="AH1372" s="20"/>
      <c r="AI1372" s="20"/>
      <c r="AJ1372" s="20"/>
      <c r="AK1372" s="20"/>
      <c r="AL1372" s="20"/>
      <c r="AM1372" s="20"/>
      <c r="AN1372" s="20"/>
      <c r="AS1372" s="11"/>
      <c r="AT1372" s="12"/>
    </row>
    <row r="1373" ht="14.25" customHeight="1">
      <c r="A1373" s="20"/>
      <c r="B1373" s="20"/>
      <c r="C1373" s="20"/>
      <c r="D1373" s="21"/>
      <c r="E1373" s="20"/>
      <c r="F1373" s="20"/>
      <c r="G1373" s="20"/>
      <c r="H1373" s="20"/>
      <c r="K1373" s="1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0"/>
      <c r="W1373" s="20"/>
      <c r="X1373" s="20"/>
      <c r="Y1373" s="22"/>
      <c r="Z1373" s="22"/>
      <c r="AA1373" s="20"/>
      <c r="AB1373" s="20"/>
      <c r="AC1373" s="20"/>
      <c r="AD1373" s="20"/>
      <c r="AE1373" s="20"/>
      <c r="AF1373" s="20"/>
      <c r="AG1373" s="20"/>
      <c r="AH1373" s="20"/>
      <c r="AI1373" s="20"/>
      <c r="AJ1373" s="20"/>
      <c r="AK1373" s="20"/>
      <c r="AL1373" s="20"/>
      <c r="AM1373" s="20"/>
      <c r="AN1373" s="20"/>
      <c r="AS1373" s="11"/>
      <c r="AT1373" s="12"/>
    </row>
    <row r="1374" ht="14.25" customHeight="1">
      <c r="A1374" s="20"/>
      <c r="B1374" s="20"/>
      <c r="C1374" s="20"/>
      <c r="D1374" s="21"/>
      <c r="E1374" s="20"/>
      <c r="F1374" s="20"/>
      <c r="G1374" s="20"/>
      <c r="H1374" s="20"/>
      <c r="K1374" s="1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2"/>
      <c r="Z1374" s="22"/>
      <c r="AA1374" s="20"/>
      <c r="AB1374" s="20"/>
      <c r="AC1374" s="20"/>
      <c r="AD1374" s="20"/>
      <c r="AE1374" s="20"/>
      <c r="AF1374" s="20"/>
      <c r="AG1374" s="20"/>
      <c r="AH1374" s="20"/>
      <c r="AI1374" s="20"/>
      <c r="AJ1374" s="20"/>
      <c r="AK1374" s="20"/>
      <c r="AL1374" s="20"/>
      <c r="AM1374" s="20"/>
      <c r="AN1374" s="20"/>
      <c r="AS1374" s="11"/>
      <c r="AT1374" s="12"/>
    </row>
    <row r="1375" ht="14.25" customHeight="1">
      <c r="A1375" s="20"/>
      <c r="B1375" s="20"/>
      <c r="C1375" s="20"/>
      <c r="D1375" s="21"/>
      <c r="E1375" s="20"/>
      <c r="F1375" s="20"/>
      <c r="G1375" s="20"/>
      <c r="H1375" s="20"/>
      <c r="K1375" s="1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2"/>
      <c r="Z1375" s="22"/>
      <c r="AA1375" s="20"/>
      <c r="AB1375" s="20"/>
      <c r="AC1375" s="20"/>
      <c r="AD1375" s="20"/>
      <c r="AE1375" s="20"/>
      <c r="AF1375" s="20"/>
      <c r="AG1375" s="20"/>
      <c r="AH1375" s="20"/>
      <c r="AI1375" s="20"/>
      <c r="AJ1375" s="20"/>
      <c r="AK1375" s="20"/>
      <c r="AL1375" s="20"/>
      <c r="AM1375" s="20"/>
      <c r="AN1375" s="20"/>
      <c r="AS1375" s="11"/>
      <c r="AT1375" s="12"/>
    </row>
    <row r="1376" ht="14.25" customHeight="1">
      <c r="A1376" s="20"/>
      <c r="B1376" s="20"/>
      <c r="C1376" s="20"/>
      <c r="D1376" s="21"/>
      <c r="E1376" s="20"/>
      <c r="F1376" s="20"/>
      <c r="G1376" s="20"/>
      <c r="H1376" s="20"/>
      <c r="K1376" s="1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2"/>
      <c r="Z1376" s="22"/>
      <c r="AA1376" s="20"/>
      <c r="AB1376" s="20"/>
      <c r="AC1376" s="20"/>
      <c r="AD1376" s="20"/>
      <c r="AE1376" s="20"/>
      <c r="AF1376" s="20"/>
      <c r="AG1376" s="20"/>
      <c r="AH1376" s="20"/>
      <c r="AI1376" s="20"/>
      <c r="AJ1376" s="20"/>
      <c r="AK1376" s="20"/>
      <c r="AL1376" s="20"/>
      <c r="AM1376" s="20"/>
      <c r="AN1376" s="20"/>
      <c r="AS1376" s="11"/>
      <c r="AT1376" s="12"/>
    </row>
    <row r="1377" ht="14.25" customHeight="1">
      <c r="A1377" s="20"/>
      <c r="B1377" s="20"/>
      <c r="C1377" s="20"/>
      <c r="D1377" s="21"/>
      <c r="E1377" s="20"/>
      <c r="F1377" s="20"/>
      <c r="G1377" s="20"/>
      <c r="H1377" s="20"/>
      <c r="K1377" s="1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0"/>
      <c r="W1377" s="20"/>
      <c r="X1377" s="20"/>
      <c r="Y1377" s="22"/>
      <c r="Z1377" s="22"/>
      <c r="AA1377" s="20"/>
      <c r="AB1377" s="20"/>
      <c r="AC1377" s="20"/>
      <c r="AD1377" s="20"/>
      <c r="AE1377" s="20"/>
      <c r="AF1377" s="20"/>
      <c r="AG1377" s="20"/>
      <c r="AH1377" s="20"/>
      <c r="AI1377" s="20"/>
      <c r="AJ1377" s="20"/>
      <c r="AK1377" s="20"/>
      <c r="AL1377" s="20"/>
      <c r="AM1377" s="20"/>
      <c r="AN1377" s="20"/>
      <c r="AS1377" s="11"/>
      <c r="AT1377" s="12"/>
    </row>
    <row r="1378" ht="14.25" customHeight="1">
      <c r="A1378" s="20"/>
      <c r="B1378" s="20"/>
      <c r="C1378" s="20"/>
      <c r="D1378" s="21"/>
      <c r="E1378" s="20"/>
      <c r="F1378" s="20"/>
      <c r="G1378" s="20"/>
      <c r="H1378" s="20"/>
      <c r="K1378" s="1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2"/>
      <c r="Z1378" s="22"/>
      <c r="AA1378" s="20"/>
      <c r="AB1378" s="20"/>
      <c r="AC1378" s="20"/>
      <c r="AD1378" s="20"/>
      <c r="AE1378" s="20"/>
      <c r="AF1378" s="20"/>
      <c r="AG1378" s="20"/>
      <c r="AH1378" s="20"/>
      <c r="AI1378" s="20"/>
      <c r="AJ1378" s="20"/>
      <c r="AK1378" s="20"/>
      <c r="AL1378" s="20"/>
      <c r="AM1378" s="20"/>
      <c r="AN1378" s="20"/>
      <c r="AS1378" s="11"/>
      <c r="AT1378" s="12"/>
    </row>
    <row r="1379" ht="14.25" customHeight="1">
      <c r="A1379" s="20"/>
      <c r="B1379" s="20"/>
      <c r="C1379" s="20"/>
      <c r="D1379" s="21"/>
      <c r="E1379" s="20"/>
      <c r="F1379" s="20"/>
      <c r="G1379" s="20"/>
      <c r="H1379" s="20"/>
      <c r="K1379" s="1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0"/>
      <c r="W1379" s="20"/>
      <c r="X1379" s="20"/>
      <c r="Y1379" s="22"/>
      <c r="Z1379" s="22"/>
      <c r="AA1379" s="20"/>
      <c r="AB1379" s="20"/>
      <c r="AC1379" s="20"/>
      <c r="AD1379" s="20"/>
      <c r="AE1379" s="20"/>
      <c r="AF1379" s="20"/>
      <c r="AG1379" s="20"/>
      <c r="AH1379" s="20"/>
      <c r="AI1379" s="20"/>
      <c r="AJ1379" s="20"/>
      <c r="AK1379" s="20"/>
      <c r="AL1379" s="20"/>
      <c r="AM1379" s="20"/>
      <c r="AN1379" s="20"/>
      <c r="AS1379" s="11"/>
      <c r="AT1379" s="12"/>
    </row>
    <row r="1380" ht="14.25" customHeight="1">
      <c r="A1380" s="20"/>
      <c r="B1380" s="20"/>
      <c r="C1380" s="20"/>
      <c r="D1380" s="21"/>
      <c r="E1380" s="20"/>
      <c r="F1380" s="20"/>
      <c r="G1380" s="20"/>
      <c r="H1380" s="20"/>
      <c r="K1380" s="1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0"/>
      <c r="W1380" s="20"/>
      <c r="X1380" s="20"/>
      <c r="Y1380" s="22"/>
      <c r="Z1380" s="22"/>
      <c r="AA1380" s="20"/>
      <c r="AB1380" s="20"/>
      <c r="AC1380" s="20"/>
      <c r="AD1380" s="20"/>
      <c r="AE1380" s="20"/>
      <c r="AF1380" s="20"/>
      <c r="AG1380" s="20"/>
      <c r="AH1380" s="20"/>
      <c r="AI1380" s="20"/>
      <c r="AJ1380" s="20"/>
      <c r="AK1380" s="20"/>
      <c r="AL1380" s="20"/>
      <c r="AM1380" s="20"/>
      <c r="AN1380" s="20"/>
      <c r="AS1380" s="11"/>
      <c r="AT1380" s="12"/>
    </row>
    <row r="1381" ht="14.25" customHeight="1">
      <c r="A1381" s="20"/>
      <c r="B1381" s="20"/>
      <c r="C1381" s="20"/>
      <c r="D1381" s="21"/>
      <c r="E1381" s="20"/>
      <c r="F1381" s="20"/>
      <c r="G1381" s="20"/>
      <c r="H1381" s="20"/>
      <c r="K1381" s="1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2"/>
      <c r="Z1381" s="22"/>
      <c r="AA1381" s="20"/>
      <c r="AB1381" s="20"/>
      <c r="AC1381" s="20"/>
      <c r="AD1381" s="20"/>
      <c r="AE1381" s="20"/>
      <c r="AF1381" s="20"/>
      <c r="AG1381" s="20"/>
      <c r="AH1381" s="20"/>
      <c r="AI1381" s="20"/>
      <c r="AJ1381" s="20"/>
      <c r="AK1381" s="20"/>
      <c r="AL1381" s="20"/>
      <c r="AM1381" s="20"/>
      <c r="AN1381" s="20"/>
      <c r="AS1381" s="11"/>
      <c r="AT1381" s="12"/>
    </row>
    <row r="1382" ht="14.25" customHeight="1">
      <c r="A1382" s="20"/>
      <c r="B1382" s="20"/>
      <c r="C1382" s="20"/>
      <c r="D1382" s="21"/>
      <c r="E1382" s="20"/>
      <c r="F1382" s="20"/>
      <c r="G1382" s="20"/>
      <c r="H1382" s="20"/>
      <c r="K1382" s="1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0"/>
      <c r="W1382" s="20"/>
      <c r="X1382" s="20"/>
      <c r="Y1382" s="22"/>
      <c r="Z1382" s="22"/>
      <c r="AA1382" s="20"/>
      <c r="AB1382" s="20"/>
      <c r="AC1382" s="20"/>
      <c r="AD1382" s="20"/>
      <c r="AE1382" s="20"/>
      <c r="AF1382" s="20"/>
      <c r="AG1382" s="20"/>
      <c r="AH1382" s="20"/>
      <c r="AI1382" s="20"/>
      <c r="AJ1382" s="20"/>
      <c r="AK1382" s="20"/>
      <c r="AL1382" s="20"/>
      <c r="AM1382" s="20"/>
      <c r="AN1382" s="20"/>
      <c r="AS1382" s="11"/>
      <c r="AT1382" s="12"/>
    </row>
    <row r="1383" ht="14.25" customHeight="1">
      <c r="A1383" s="20"/>
      <c r="B1383" s="20"/>
      <c r="C1383" s="20"/>
      <c r="D1383" s="21"/>
      <c r="E1383" s="20"/>
      <c r="F1383" s="20"/>
      <c r="G1383" s="20"/>
      <c r="H1383" s="20"/>
      <c r="K1383" s="1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0"/>
      <c r="W1383" s="20"/>
      <c r="X1383" s="20"/>
      <c r="Y1383" s="22"/>
      <c r="Z1383" s="22"/>
      <c r="AA1383" s="20"/>
      <c r="AB1383" s="20"/>
      <c r="AC1383" s="20"/>
      <c r="AD1383" s="20"/>
      <c r="AE1383" s="20"/>
      <c r="AF1383" s="20"/>
      <c r="AG1383" s="20"/>
      <c r="AH1383" s="20"/>
      <c r="AI1383" s="20"/>
      <c r="AJ1383" s="20"/>
      <c r="AK1383" s="20"/>
      <c r="AL1383" s="20"/>
      <c r="AM1383" s="20"/>
      <c r="AN1383" s="20"/>
      <c r="AS1383" s="11"/>
      <c r="AT1383" s="12"/>
    </row>
    <row r="1384" ht="14.25" customHeight="1">
      <c r="A1384" s="20"/>
      <c r="B1384" s="20"/>
      <c r="C1384" s="20"/>
      <c r="D1384" s="21"/>
      <c r="E1384" s="20"/>
      <c r="F1384" s="20"/>
      <c r="G1384" s="20"/>
      <c r="H1384" s="20"/>
      <c r="K1384" s="1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/>
      <c r="W1384" s="20"/>
      <c r="X1384" s="20"/>
      <c r="Y1384" s="22"/>
      <c r="Z1384" s="22"/>
      <c r="AA1384" s="20"/>
      <c r="AB1384" s="20"/>
      <c r="AC1384" s="20"/>
      <c r="AD1384" s="20"/>
      <c r="AE1384" s="20"/>
      <c r="AF1384" s="20"/>
      <c r="AG1384" s="20"/>
      <c r="AH1384" s="20"/>
      <c r="AI1384" s="20"/>
      <c r="AJ1384" s="20"/>
      <c r="AK1384" s="20"/>
      <c r="AL1384" s="20"/>
      <c r="AM1384" s="20"/>
      <c r="AN1384" s="20"/>
      <c r="AS1384" s="11"/>
      <c r="AT1384" s="12"/>
    </row>
    <row r="1385" ht="14.25" customHeight="1">
      <c r="A1385" s="20"/>
      <c r="B1385" s="20"/>
      <c r="C1385" s="20"/>
      <c r="D1385" s="21"/>
      <c r="E1385" s="20"/>
      <c r="F1385" s="20"/>
      <c r="G1385" s="20"/>
      <c r="H1385" s="20"/>
      <c r="K1385" s="10"/>
      <c r="M1385" s="20"/>
      <c r="N1385" s="20"/>
      <c r="O1385" s="20"/>
      <c r="P1385" s="20"/>
      <c r="Q1385" s="20"/>
      <c r="R1385" s="20"/>
      <c r="S1385" s="20"/>
      <c r="T1385" s="20"/>
      <c r="U1385" s="20"/>
      <c r="V1385" s="20"/>
      <c r="W1385" s="20"/>
      <c r="X1385" s="20"/>
      <c r="Y1385" s="22"/>
      <c r="Z1385" s="22"/>
      <c r="AA1385" s="20"/>
      <c r="AB1385" s="20"/>
      <c r="AC1385" s="20"/>
      <c r="AD1385" s="20"/>
      <c r="AE1385" s="20"/>
      <c r="AF1385" s="20"/>
      <c r="AG1385" s="20"/>
      <c r="AH1385" s="20"/>
      <c r="AI1385" s="20"/>
      <c r="AJ1385" s="20"/>
      <c r="AK1385" s="20"/>
      <c r="AL1385" s="20"/>
      <c r="AM1385" s="20"/>
      <c r="AN1385" s="20"/>
      <c r="AS1385" s="11"/>
      <c r="AT1385" s="12"/>
    </row>
    <row r="1386" ht="14.25" customHeight="1">
      <c r="A1386" s="20"/>
      <c r="B1386" s="20"/>
      <c r="C1386" s="20"/>
      <c r="D1386" s="21"/>
      <c r="E1386" s="20"/>
      <c r="F1386" s="20"/>
      <c r="G1386" s="20"/>
      <c r="H1386" s="20"/>
      <c r="K1386" s="1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0"/>
      <c r="W1386" s="20"/>
      <c r="X1386" s="20"/>
      <c r="Y1386" s="22"/>
      <c r="Z1386" s="22"/>
      <c r="AA1386" s="20"/>
      <c r="AB1386" s="20"/>
      <c r="AC1386" s="20"/>
      <c r="AD1386" s="20"/>
      <c r="AE1386" s="20"/>
      <c r="AF1386" s="20"/>
      <c r="AG1386" s="20"/>
      <c r="AH1386" s="20"/>
      <c r="AI1386" s="20"/>
      <c r="AJ1386" s="20"/>
      <c r="AK1386" s="20"/>
      <c r="AL1386" s="20"/>
      <c r="AM1386" s="20"/>
      <c r="AN1386" s="20"/>
      <c r="AS1386" s="11"/>
      <c r="AT1386" s="12"/>
    </row>
    <row r="1387" ht="14.25" customHeight="1">
      <c r="A1387" s="20"/>
      <c r="B1387" s="20"/>
      <c r="C1387" s="20"/>
      <c r="D1387" s="21"/>
      <c r="E1387" s="20"/>
      <c r="F1387" s="20"/>
      <c r="G1387" s="20"/>
      <c r="H1387" s="20"/>
      <c r="K1387" s="1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0"/>
      <c r="W1387" s="20"/>
      <c r="X1387" s="20"/>
      <c r="Y1387" s="22"/>
      <c r="Z1387" s="22"/>
      <c r="AA1387" s="20"/>
      <c r="AB1387" s="20"/>
      <c r="AC1387" s="20"/>
      <c r="AD1387" s="20"/>
      <c r="AE1387" s="20"/>
      <c r="AF1387" s="20"/>
      <c r="AG1387" s="20"/>
      <c r="AH1387" s="20"/>
      <c r="AI1387" s="20"/>
      <c r="AJ1387" s="20"/>
      <c r="AK1387" s="20"/>
      <c r="AL1387" s="20"/>
      <c r="AM1387" s="20"/>
      <c r="AN1387" s="20"/>
      <c r="AS1387" s="11"/>
      <c r="AT1387" s="12"/>
    </row>
    <row r="1388" ht="14.25" customHeight="1">
      <c r="A1388" s="20"/>
      <c r="B1388" s="20"/>
      <c r="C1388" s="20"/>
      <c r="D1388" s="21"/>
      <c r="E1388" s="20"/>
      <c r="F1388" s="20"/>
      <c r="G1388" s="20"/>
      <c r="H1388" s="20"/>
      <c r="K1388" s="1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/>
      <c r="W1388" s="20"/>
      <c r="X1388" s="20"/>
      <c r="Y1388" s="22"/>
      <c r="Z1388" s="22"/>
      <c r="AA1388" s="20"/>
      <c r="AB1388" s="20"/>
      <c r="AC1388" s="20"/>
      <c r="AD1388" s="20"/>
      <c r="AE1388" s="20"/>
      <c r="AF1388" s="20"/>
      <c r="AG1388" s="20"/>
      <c r="AH1388" s="20"/>
      <c r="AI1388" s="20"/>
      <c r="AJ1388" s="20"/>
      <c r="AK1388" s="20"/>
      <c r="AL1388" s="20"/>
      <c r="AM1388" s="20"/>
      <c r="AN1388" s="20"/>
      <c r="AS1388" s="11"/>
      <c r="AT1388" s="12"/>
    </row>
    <row r="1389" ht="14.25" customHeight="1">
      <c r="A1389" s="20"/>
      <c r="B1389" s="20"/>
      <c r="C1389" s="20"/>
      <c r="D1389" s="21"/>
      <c r="E1389" s="20"/>
      <c r="F1389" s="20"/>
      <c r="G1389" s="20"/>
      <c r="H1389" s="20"/>
      <c r="K1389" s="1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2"/>
      <c r="Z1389" s="22"/>
      <c r="AA1389" s="20"/>
      <c r="AB1389" s="20"/>
      <c r="AC1389" s="20"/>
      <c r="AD1389" s="20"/>
      <c r="AE1389" s="20"/>
      <c r="AF1389" s="20"/>
      <c r="AG1389" s="20"/>
      <c r="AH1389" s="20"/>
      <c r="AI1389" s="20"/>
      <c r="AJ1389" s="20"/>
      <c r="AK1389" s="20"/>
      <c r="AL1389" s="20"/>
      <c r="AM1389" s="20"/>
      <c r="AN1389" s="20"/>
      <c r="AS1389" s="11"/>
      <c r="AT1389" s="12"/>
    </row>
    <row r="1390" ht="14.25" customHeight="1">
      <c r="A1390" s="20"/>
      <c r="B1390" s="20"/>
      <c r="C1390" s="20"/>
      <c r="D1390" s="21"/>
      <c r="E1390" s="20"/>
      <c r="F1390" s="20"/>
      <c r="G1390" s="20"/>
      <c r="H1390" s="20"/>
      <c r="K1390" s="1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/>
      <c r="W1390" s="20"/>
      <c r="X1390" s="20"/>
      <c r="Y1390" s="22"/>
      <c r="Z1390" s="22"/>
      <c r="AA1390" s="20"/>
      <c r="AB1390" s="20"/>
      <c r="AC1390" s="20"/>
      <c r="AD1390" s="20"/>
      <c r="AE1390" s="20"/>
      <c r="AF1390" s="20"/>
      <c r="AG1390" s="20"/>
      <c r="AH1390" s="20"/>
      <c r="AI1390" s="20"/>
      <c r="AJ1390" s="20"/>
      <c r="AK1390" s="20"/>
      <c r="AL1390" s="20"/>
      <c r="AM1390" s="20"/>
      <c r="AN1390" s="20"/>
      <c r="AS1390" s="11"/>
      <c r="AT1390" s="12"/>
    </row>
    <row r="1391" ht="14.25" customHeight="1">
      <c r="A1391" s="20"/>
      <c r="B1391" s="20"/>
      <c r="C1391" s="20"/>
      <c r="D1391" s="21"/>
      <c r="E1391" s="20"/>
      <c r="F1391" s="20"/>
      <c r="G1391" s="20"/>
      <c r="H1391" s="20"/>
      <c r="K1391" s="1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/>
      <c r="W1391" s="20"/>
      <c r="X1391" s="20"/>
      <c r="Y1391" s="22"/>
      <c r="Z1391" s="22"/>
      <c r="AA1391" s="20"/>
      <c r="AB1391" s="20"/>
      <c r="AC1391" s="20"/>
      <c r="AD1391" s="20"/>
      <c r="AE1391" s="20"/>
      <c r="AF1391" s="20"/>
      <c r="AG1391" s="20"/>
      <c r="AH1391" s="20"/>
      <c r="AI1391" s="20"/>
      <c r="AJ1391" s="20"/>
      <c r="AK1391" s="20"/>
      <c r="AL1391" s="20"/>
      <c r="AM1391" s="20"/>
      <c r="AN1391" s="20"/>
      <c r="AS1391" s="11"/>
      <c r="AT1391" s="12"/>
    </row>
    <row r="1392" ht="14.25" customHeight="1">
      <c r="A1392" s="20"/>
      <c r="B1392" s="20"/>
      <c r="C1392" s="20"/>
      <c r="D1392" s="21"/>
      <c r="E1392" s="20"/>
      <c r="F1392" s="20"/>
      <c r="G1392" s="20"/>
      <c r="H1392" s="20"/>
      <c r="K1392" s="1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2"/>
      <c r="Z1392" s="22"/>
      <c r="AA1392" s="20"/>
      <c r="AB1392" s="20"/>
      <c r="AC1392" s="20"/>
      <c r="AD1392" s="20"/>
      <c r="AE1392" s="20"/>
      <c r="AF1392" s="20"/>
      <c r="AG1392" s="20"/>
      <c r="AH1392" s="20"/>
      <c r="AI1392" s="20"/>
      <c r="AJ1392" s="20"/>
      <c r="AK1392" s="20"/>
      <c r="AL1392" s="20"/>
      <c r="AM1392" s="20"/>
      <c r="AN1392" s="20"/>
      <c r="AS1392" s="11"/>
      <c r="AT1392" s="12"/>
    </row>
    <row r="1393" ht="14.25" customHeight="1">
      <c r="A1393" s="20"/>
      <c r="B1393" s="20"/>
      <c r="C1393" s="20"/>
      <c r="D1393" s="21"/>
      <c r="E1393" s="20"/>
      <c r="F1393" s="20"/>
      <c r="G1393" s="20"/>
      <c r="H1393" s="20"/>
      <c r="K1393" s="1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/>
      <c r="W1393" s="20"/>
      <c r="X1393" s="20"/>
      <c r="Y1393" s="22"/>
      <c r="Z1393" s="22"/>
      <c r="AA1393" s="20"/>
      <c r="AB1393" s="20"/>
      <c r="AC1393" s="20"/>
      <c r="AD1393" s="20"/>
      <c r="AE1393" s="20"/>
      <c r="AF1393" s="20"/>
      <c r="AG1393" s="20"/>
      <c r="AH1393" s="20"/>
      <c r="AI1393" s="20"/>
      <c r="AJ1393" s="20"/>
      <c r="AK1393" s="20"/>
      <c r="AL1393" s="20"/>
      <c r="AM1393" s="20"/>
      <c r="AN1393" s="20"/>
      <c r="AS1393" s="11"/>
      <c r="AT1393" s="12"/>
    </row>
    <row r="1394" ht="14.25" customHeight="1">
      <c r="A1394" s="20"/>
      <c r="B1394" s="20"/>
      <c r="C1394" s="20"/>
      <c r="D1394" s="21"/>
      <c r="E1394" s="20"/>
      <c r="F1394" s="20"/>
      <c r="G1394" s="20"/>
      <c r="H1394" s="20"/>
      <c r="K1394" s="1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/>
      <c r="W1394" s="20"/>
      <c r="X1394" s="20"/>
      <c r="Y1394" s="22"/>
      <c r="Z1394" s="22"/>
      <c r="AA1394" s="20"/>
      <c r="AB1394" s="20"/>
      <c r="AC1394" s="20"/>
      <c r="AD1394" s="20"/>
      <c r="AE1394" s="20"/>
      <c r="AF1394" s="20"/>
      <c r="AG1394" s="20"/>
      <c r="AH1394" s="20"/>
      <c r="AI1394" s="20"/>
      <c r="AJ1394" s="20"/>
      <c r="AK1394" s="20"/>
      <c r="AL1394" s="20"/>
      <c r="AM1394" s="20"/>
      <c r="AN1394" s="20"/>
      <c r="AS1394" s="11"/>
      <c r="AT1394" s="12"/>
    </row>
    <row r="1395" ht="14.25" customHeight="1">
      <c r="A1395" s="20"/>
      <c r="B1395" s="20"/>
      <c r="C1395" s="20"/>
      <c r="D1395" s="21"/>
      <c r="E1395" s="20"/>
      <c r="F1395" s="20"/>
      <c r="G1395" s="20"/>
      <c r="H1395" s="20"/>
      <c r="K1395" s="1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/>
      <c r="W1395" s="20"/>
      <c r="X1395" s="20"/>
      <c r="Y1395" s="22"/>
      <c r="Z1395" s="22"/>
      <c r="AA1395" s="20"/>
      <c r="AB1395" s="20"/>
      <c r="AC1395" s="20"/>
      <c r="AD1395" s="20"/>
      <c r="AE1395" s="20"/>
      <c r="AF1395" s="20"/>
      <c r="AG1395" s="20"/>
      <c r="AH1395" s="20"/>
      <c r="AI1395" s="20"/>
      <c r="AJ1395" s="20"/>
      <c r="AK1395" s="20"/>
      <c r="AL1395" s="20"/>
      <c r="AM1395" s="20"/>
      <c r="AN1395" s="20"/>
      <c r="AS1395" s="11"/>
      <c r="AT1395" s="12"/>
    </row>
    <row r="1396" ht="14.25" customHeight="1">
      <c r="A1396" s="20"/>
      <c r="B1396" s="20"/>
      <c r="C1396" s="20"/>
      <c r="D1396" s="21"/>
      <c r="E1396" s="20"/>
      <c r="F1396" s="20"/>
      <c r="G1396" s="20"/>
      <c r="H1396" s="20"/>
      <c r="K1396" s="1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2"/>
      <c r="Z1396" s="22"/>
      <c r="AA1396" s="20"/>
      <c r="AB1396" s="20"/>
      <c r="AC1396" s="20"/>
      <c r="AD1396" s="20"/>
      <c r="AE1396" s="20"/>
      <c r="AF1396" s="20"/>
      <c r="AG1396" s="20"/>
      <c r="AH1396" s="20"/>
      <c r="AI1396" s="20"/>
      <c r="AJ1396" s="20"/>
      <c r="AK1396" s="20"/>
      <c r="AL1396" s="20"/>
      <c r="AM1396" s="20"/>
      <c r="AN1396" s="20"/>
      <c r="AS1396" s="11"/>
      <c r="AT1396" s="12"/>
    </row>
    <row r="1397" ht="14.25" customHeight="1">
      <c r="A1397" s="20"/>
      <c r="B1397" s="20"/>
      <c r="C1397" s="20"/>
      <c r="D1397" s="21"/>
      <c r="E1397" s="20"/>
      <c r="F1397" s="20"/>
      <c r="G1397" s="20"/>
      <c r="H1397" s="20"/>
      <c r="K1397" s="1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0"/>
      <c r="W1397" s="20"/>
      <c r="X1397" s="20"/>
      <c r="Y1397" s="22"/>
      <c r="Z1397" s="22"/>
      <c r="AA1397" s="20"/>
      <c r="AB1397" s="20"/>
      <c r="AC1397" s="20"/>
      <c r="AD1397" s="20"/>
      <c r="AE1397" s="20"/>
      <c r="AF1397" s="20"/>
      <c r="AG1397" s="20"/>
      <c r="AH1397" s="20"/>
      <c r="AI1397" s="20"/>
      <c r="AJ1397" s="20"/>
      <c r="AK1397" s="20"/>
      <c r="AL1397" s="20"/>
      <c r="AM1397" s="20"/>
      <c r="AN1397" s="20"/>
      <c r="AS1397" s="11"/>
      <c r="AT1397" s="12"/>
    </row>
    <row r="1398" ht="14.25" customHeight="1">
      <c r="A1398" s="20"/>
      <c r="B1398" s="20"/>
      <c r="C1398" s="20"/>
      <c r="D1398" s="21"/>
      <c r="E1398" s="20"/>
      <c r="F1398" s="20"/>
      <c r="G1398" s="20"/>
      <c r="H1398" s="20"/>
      <c r="K1398" s="1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2"/>
      <c r="Z1398" s="22"/>
      <c r="AA1398" s="20"/>
      <c r="AB1398" s="20"/>
      <c r="AC1398" s="20"/>
      <c r="AD1398" s="20"/>
      <c r="AE1398" s="20"/>
      <c r="AF1398" s="20"/>
      <c r="AG1398" s="20"/>
      <c r="AH1398" s="20"/>
      <c r="AI1398" s="20"/>
      <c r="AJ1398" s="20"/>
      <c r="AK1398" s="20"/>
      <c r="AL1398" s="20"/>
      <c r="AM1398" s="20"/>
      <c r="AN1398" s="20"/>
      <c r="AS1398" s="11"/>
      <c r="AT1398" s="12"/>
    </row>
    <row r="1399" ht="14.25" customHeight="1">
      <c r="A1399" s="20"/>
      <c r="B1399" s="20"/>
      <c r="C1399" s="20"/>
      <c r="D1399" s="21"/>
      <c r="E1399" s="20"/>
      <c r="F1399" s="20"/>
      <c r="G1399" s="20"/>
      <c r="H1399" s="20"/>
      <c r="K1399" s="1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0"/>
      <c r="W1399" s="20"/>
      <c r="X1399" s="20"/>
      <c r="Y1399" s="22"/>
      <c r="Z1399" s="22"/>
      <c r="AA1399" s="20"/>
      <c r="AB1399" s="20"/>
      <c r="AC1399" s="20"/>
      <c r="AD1399" s="20"/>
      <c r="AE1399" s="20"/>
      <c r="AF1399" s="20"/>
      <c r="AG1399" s="20"/>
      <c r="AH1399" s="20"/>
      <c r="AI1399" s="20"/>
      <c r="AJ1399" s="20"/>
      <c r="AK1399" s="20"/>
      <c r="AL1399" s="20"/>
      <c r="AM1399" s="20"/>
      <c r="AN1399" s="20"/>
      <c r="AS1399" s="11"/>
      <c r="AT1399" s="12"/>
    </row>
    <row r="1400" ht="14.25" customHeight="1">
      <c r="A1400" s="20"/>
      <c r="B1400" s="20"/>
      <c r="C1400" s="20"/>
      <c r="D1400" s="21"/>
      <c r="E1400" s="20"/>
      <c r="F1400" s="20"/>
      <c r="G1400" s="20"/>
      <c r="H1400" s="20"/>
      <c r="K1400" s="1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/>
      <c r="W1400" s="20"/>
      <c r="X1400" s="20"/>
      <c r="Y1400" s="22"/>
      <c r="Z1400" s="22"/>
      <c r="AA1400" s="20"/>
      <c r="AB1400" s="20"/>
      <c r="AC1400" s="20"/>
      <c r="AD1400" s="20"/>
      <c r="AE1400" s="20"/>
      <c r="AF1400" s="20"/>
      <c r="AG1400" s="20"/>
      <c r="AH1400" s="20"/>
      <c r="AI1400" s="20"/>
      <c r="AJ1400" s="20"/>
      <c r="AK1400" s="20"/>
      <c r="AL1400" s="20"/>
      <c r="AM1400" s="20"/>
      <c r="AN1400" s="20"/>
      <c r="AS1400" s="11"/>
      <c r="AT1400" s="12"/>
    </row>
    <row r="1401" ht="14.25" customHeight="1">
      <c r="A1401" s="20"/>
      <c r="B1401" s="20"/>
      <c r="C1401" s="20"/>
      <c r="D1401" s="21"/>
      <c r="E1401" s="20"/>
      <c r="F1401" s="20"/>
      <c r="G1401" s="20"/>
      <c r="H1401" s="20"/>
      <c r="K1401" s="1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2"/>
      <c r="Z1401" s="22"/>
      <c r="AA1401" s="20"/>
      <c r="AB1401" s="20"/>
      <c r="AC1401" s="20"/>
      <c r="AD1401" s="20"/>
      <c r="AE1401" s="20"/>
      <c r="AF1401" s="20"/>
      <c r="AG1401" s="20"/>
      <c r="AH1401" s="20"/>
      <c r="AI1401" s="20"/>
      <c r="AJ1401" s="20"/>
      <c r="AK1401" s="20"/>
      <c r="AL1401" s="20"/>
      <c r="AM1401" s="20"/>
      <c r="AN1401" s="20"/>
      <c r="AS1401" s="11"/>
      <c r="AT1401" s="12"/>
    </row>
    <row r="1402" ht="14.25" customHeight="1">
      <c r="A1402" s="20"/>
      <c r="B1402" s="20"/>
      <c r="C1402" s="20"/>
      <c r="D1402" s="21"/>
      <c r="E1402" s="20"/>
      <c r="F1402" s="20"/>
      <c r="G1402" s="20"/>
      <c r="H1402" s="20"/>
      <c r="K1402" s="1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  <c r="W1402" s="20"/>
      <c r="X1402" s="20"/>
      <c r="Y1402" s="22"/>
      <c r="Z1402" s="22"/>
      <c r="AA1402" s="20"/>
      <c r="AB1402" s="20"/>
      <c r="AC1402" s="20"/>
      <c r="AD1402" s="20"/>
      <c r="AE1402" s="20"/>
      <c r="AF1402" s="20"/>
      <c r="AG1402" s="20"/>
      <c r="AH1402" s="20"/>
      <c r="AI1402" s="20"/>
      <c r="AJ1402" s="20"/>
      <c r="AK1402" s="20"/>
      <c r="AL1402" s="20"/>
      <c r="AM1402" s="20"/>
      <c r="AN1402" s="20"/>
      <c r="AS1402" s="11"/>
      <c r="AT1402" s="12"/>
    </row>
    <row r="1403" ht="14.25" customHeight="1">
      <c r="A1403" s="20"/>
      <c r="B1403" s="20"/>
      <c r="C1403" s="20"/>
      <c r="D1403" s="21"/>
      <c r="E1403" s="20"/>
      <c r="F1403" s="20"/>
      <c r="G1403" s="20"/>
      <c r="H1403" s="20"/>
      <c r="K1403" s="1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  <c r="X1403" s="20"/>
      <c r="Y1403" s="22"/>
      <c r="Z1403" s="22"/>
      <c r="AA1403" s="20"/>
      <c r="AB1403" s="20"/>
      <c r="AC1403" s="20"/>
      <c r="AD1403" s="20"/>
      <c r="AE1403" s="20"/>
      <c r="AF1403" s="20"/>
      <c r="AG1403" s="20"/>
      <c r="AH1403" s="20"/>
      <c r="AI1403" s="20"/>
      <c r="AJ1403" s="20"/>
      <c r="AK1403" s="20"/>
      <c r="AL1403" s="20"/>
      <c r="AM1403" s="20"/>
      <c r="AN1403" s="20"/>
      <c r="AS1403" s="11"/>
      <c r="AT1403" s="12"/>
    </row>
    <row r="1404" ht="14.25" customHeight="1">
      <c r="A1404" s="20"/>
      <c r="B1404" s="20"/>
      <c r="C1404" s="20"/>
      <c r="D1404" s="21"/>
      <c r="E1404" s="20"/>
      <c r="F1404" s="20"/>
      <c r="G1404" s="20"/>
      <c r="H1404" s="20"/>
      <c r="K1404" s="1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/>
      <c r="W1404" s="20"/>
      <c r="X1404" s="20"/>
      <c r="Y1404" s="22"/>
      <c r="Z1404" s="22"/>
      <c r="AA1404" s="20"/>
      <c r="AB1404" s="20"/>
      <c r="AC1404" s="20"/>
      <c r="AD1404" s="20"/>
      <c r="AE1404" s="20"/>
      <c r="AF1404" s="20"/>
      <c r="AG1404" s="20"/>
      <c r="AH1404" s="20"/>
      <c r="AI1404" s="20"/>
      <c r="AJ1404" s="20"/>
      <c r="AK1404" s="20"/>
      <c r="AL1404" s="20"/>
      <c r="AM1404" s="20"/>
      <c r="AN1404" s="20"/>
      <c r="AS1404" s="11"/>
      <c r="AT1404" s="12"/>
    </row>
    <row r="1405" ht="14.25" customHeight="1">
      <c r="A1405" s="20"/>
      <c r="B1405" s="20"/>
      <c r="C1405" s="20"/>
      <c r="D1405" s="21"/>
      <c r="E1405" s="20"/>
      <c r="F1405" s="20"/>
      <c r="G1405" s="20"/>
      <c r="H1405" s="20"/>
      <c r="K1405" s="1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2"/>
      <c r="Z1405" s="22"/>
      <c r="AA1405" s="20"/>
      <c r="AB1405" s="20"/>
      <c r="AC1405" s="20"/>
      <c r="AD1405" s="20"/>
      <c r="AE1405" s="20"/>
      <c r="AF1405" s="20"/>
      <c r="AG1405" s="20"/>
      <c r="AH1405" s="20"/>
      <c r="AI1405" s="20"/>
      <c r="AJ1405" s="20"/>
      <c r="AK1405" s="20"/>
      <c r="AL1405" s="20"/>
      <c r="AM1405" s="20"/>
      <c r="AN1405" s="20"/>
      <c r="AS1405" s="11"/>
      <c r="AT1405" s="12"/>
    </row>
    <row r="1406" ht="14.25" customHeight="1">
      <c r="A1406" s="20"/>
      <c r="B1406" s="20"/>
      <c r="C1406" s="20"/>
      <c r="D1406" s="21"/>
      <c r="E1406" s="20"/>
      <c r="F1406" s="20"/>
      <c r="G1406" s="20"/>
      <c r="H1406" s="20"/>
      <c r="K1406" s="1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2"/>
      <c r="Z1406" s="22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20"/>
      <c r="AL1406" s="20"/>
      <c r="AM1406" s="20"/>
      <c r="AN1406" s="20"/>
      <c r="AS1406" s="11"/>
      <c r="AT1406" s="12"/>
    </row>
    <row r="1407" ht="14.25" customHeight="1">
      <c r="A1407" s="20"/>
      <c r="B1407" s="20"/>
      <c r="C1407" s="20"/>
      <c r="D1407" s="21"/>
      <c r="E1407" s="20"/>
      <c r="F1407" s="20"/>
      <c r="G1407" s="20"/>
      <c r="H1407" s="20"/>
      <c r="K1407" s="1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2"/>
      <c r="Z1407" s="22"/>
      <c r="AA1407" s="20"/>
      <c r="AB1407" s="20"/>
      <c r="AC1407" s="20"/>
      <c r="AD1407" s="20"/>
      <c r="AE1407" s="20"/>
      <c r="AF1407" s="20"/>
      <c r="AG1407" s="20"/>
      <c r="AH1407" s="20"/>
      <c r="AI1407" s="20"/>
      <c r="AJ1407" s="20"/>
      <c r="AK1407" s="20"/>
      <c r="AL1407" s="20"/>
      <c r="AM1407" s="20"/>
      <c r="AN1407" s="20"/>
      <c r="AS1407" s="11"/>
      <c r="AT1407" s="12"/>
    </row>
    <row r="1408" ht="14.25" customHeight="1">
      <c r="A1408" s="20"/>
      <c r="B1408" s="20"/>
      <c r="C1408" s="20"/>
      <c r="D1408" s="21"/>
      <c r="E1408" s="20"/>
      <c r="F1408" s="20"/>
      <c r="G1408" s="20"/>
      <c r="H1408" s="20"/>
      <c r="K1408" s="1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2"/>
      <c r="Z1408" s="22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20"/>
      <c r="AL1408" s="20"/>
      <c r="AM1408" s="20"/>
      <c r="AN1408" s="20"/>
      <c r="AS1408" s="11"/>
      <c r="AT1408" s="12"/>
    </row>
    <row r="1409" ht="14.25" customHeight="1">
      <c r="A1409" s="20"/>
      <c r="B1409" s="20"/>
      <c r="C1409" s="20"/>
      <c r="D1409" s="21"/>
      <c r="E1409" s="20"/>
      <c r="F1409" s="20"/>
      <c r="G1409" s="20"/>
      <c r="H1409" s="20"/>
      <c r="K1409" s="1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/>
      <c r="W1409" s="20"/>
      <c r="X1409" s="20"/>
      <c r="Y1409" s="22"/>
      <c r="Z1409" s="22"/>
      <c r="AA1409" s="20"/>
      <c r="AB1409" s="20"/>
      <c r="AC1409" s="20"/>
      <c r="AD1409" s="20"/>
      <c r="AE1409" s="20"/>
      <c r="AF1409" s="20"/>
      <c r="AG1409" s="20"/>
      <c r="AH1409" s="20"/>
      <c r="AI1409" s="20"/>
      <c r="AJ1409" s="20"/>
      <c r="AK1409" s="20"/>
      <c r="AL1409" s="20"/>
      <c r="AM1409" s="20"/>
      <c r="AN1409" s="20"/>
      <c r="AS1409" s="11"/>
      <c r="AT1409" s="12"/>
    </row>
    <row r="1410" ht="14.25" customHeight="1">
      <c r="A1410" s="20"/>
      <c r="B1410" s="20"/>
      <c r="C1410" s="20"/>
      <c r="D1410" s="21"/>
      <c r="E1410" s="20"/>
      <c r="F1410" s="20"/>
      <c r="G1410" s="20"/>
      <c r="H1410" s="20"/>
      <c r="K1410" s="1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0"/>
      <c r="W1410" s="20"/>
      <c r="X1410" s="20"/>
      <c r="Y1410" s="22"/>
      <c r="Z1410" s="22"/>
      <c r="AA1410" s="20"/>
      <c r="AB1410" s="20"/>
      <c r="AC1410" s="20"/>
      <c r="AD1410" s="20"/>
      <c r="AE1410" s="20"/>
      <c r="AF1410" s="20"/>
      <c r="AG1410" s="20"/>
      <c r="AH1410" s="20"/>
      <c r="AI1410" s="20"/>
      <c r="AJ1410" s="20"/>
      <c r="AK1410" s="20"/>
      <c r="AL1410" s="20"/>
      <c r="AM1410" s="20"/>
      <c r="AN1410" s="20"/>
      <c r="AS1410" s="11"/>
      <c r="AT1410" s="12"/>
    </row>
    <row r="1411" ht="14.25" customHeight="1">
      <c r="A1411" s="20"/>
      <c r="B1411" s="20"/>
      <c r="C1411" s="20"/>
      <c r="D1411" s="21"/>
      <c r="E1411" s="20"/>
      <c r="F1411" s="20"/>
      <c r="G1411" s="20"/>
      <c r="H1411" s="20"/>
      <c r="K1411" s="1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2"/>
      <c r="Z1411" s="22"/>
      <c r="AA1411" s="20"/>
      <c r="AB1411" s="20"/>
      <c r="AC1411" s="20"/>
      <c r="AD1411" s="20"/>
      <c r="AE1411" s="20"/>
      <c r="AF1411" s="20"/>
      <c r="AG1411" s="20"/>
      <c r="AH1411" s="20"/>
      <c r="AI1411" s="20"/>
      <c r="AJ1411" s="20"/>
      <c r="AK1411" s="20"/>
      <c r="AL1411" s="20"/>
      <c r="AM1411" s="20"/>
      <c r="AN1411" s="20"/>
      <c r="AS1411" s="11"/>
      <c r="AT1411" s="12"/>
    </row>
    <row r="1412" ht="14.25" customHeight="1">
      <c r="A1412" s="20"/>
      <c r="B1412" s="20"/>
      <c r="C1412" s="20"/>
      <c r="D1412" s="21"/>
      <c r="E1412" s="20"/>
      <c r="F1412" s="20"/>
      <c r="G1412" s="20"/>
      <c r="H1412" s="20"/>
      <c r="K1412" s="1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0"/>
      <c r="W1412" s="20"/>
      <c r="X1412" s="20"/>
      <c r="Y1412" s="22"/>
      <c r="Z1412" s="22"/>
      <c r="AA1412" s="20"/>
      <c r="AB1412" s="20"/>
      <c r="AC1412" s="20"/>
      <c r="AD1412" s="20"/>
      <c r="AE1412" s="20"/>
      <c r="AF1412" s="20"/>
      <c r="AG1412" s="20"/>
      <c r="AH1412" s="20"/>
      <c r="AI1412" s="20"/>
      <c r="AJ1412" s="20"/>
      <c r="AK1412" s="20"/>
      <c r="AL1412" s="20"/>
      <c r="AM1412" s="20"/>
      <c r="AN1412" s="20"/>
      <c r="AS1412" s="11"/>
      <c r="AT1412" s="12"/>
    </row>
    <row r="1413" ht="14.25" customHeight="1">
      <c r="A1413" s="20"/>
      <c r="B1413" s="20"/>
      <c r="C1413" s="20"/>
      <c r="D1413" s="21"/>
      <c r="E1413" s="20"/>
      <c r="F1413" s="20"/>
      <c r="G1413" s="20"/>
      <c r="H1413" s="20"/>
      <c r="K1413" s="1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/>
      <c r="W1413" s="20"/>
      <c r="X1413" s="20"/>
      <c r="Y1413" s="22"/>
      <c r="Z1413" s="22"/>
      <c r="AA1413" s="20"/>
      <c r="AB1413" s="20"/>
      <c r="AC1413" s="20"/>
      <c r="AD1413" s="20"/>
      <c r="AE1413" s="20"/>
      <c r="AF1413" s="20"/>
      <c r="AG1413" s="20"/>
      <c r="AH1413" s="20"/>
      <c r="AI1413" s="20"/>
      <c r="AJ1413" s="20"/>
      <c r="AK1413" s="20"/>
      <c r="AL1413" s="20"/>
      <c r="AM1413" s="20"/>
      <c r="AN1413" s="20"/>
      <c r="AS1413" s="11"/>
      <c r="AT1413" s="12"/>
    </row>
    <row r="1414" ht="14.25" customHeight="1">
      <c r="A1414" s="20"/>
      <c r="B1414" s="20"/>
      <c r="C1414" s="20"/>
      <c r="D1414" s="21"/>
      <c r="E1414" s="20"/>
      <c r="F1414" s="20"/>
      <c r="G1414" s="20"/>
      <c r="H1414" s="20"/>
      <c r="K1414" s="1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0"/>
      <c r="W1414" s="20"/>
      <c r="X1414" s="20"/>
      <c r="Y1414" s="22"/>
      <c r="Z1414" s="22"/>
      <c r="AA1414" s="20"/>
      <c r="AB1414" s="20"/>
      <c r="AC1414" s="20"/>
      <c r="AD1414" s="20"/>
      <c r="AE1414" s="20"/>
      <c r="AF1414" s="20"/>
      <c r="AG1414" s="20"/>
      <c r="AH1414" s="20"/>
      <c r="AI1414" s="20"/>
      <c r="AJ1414" s="20"/>
      <c r="AK1414" s="20"/>
      <c r="AL1414" s="20"/>
      <c r="AM1414" s="20"/>
      <c r="AN1414" s="20"/>
      <c r="AS1414" s="11"/>
      <c r="AT1414" s="12"/>
    </row>
    <row r="1415" ht="14.25" customHeight="1">
      <c r="A1415" s="20"/>
      <c r="B1415" s="20"/>
      <c r="C1415" s="20"/>
      <c r="D1415" s="21"/>
      <c r="E1415" s="20"/>
      <c r="F1415" s="20"/>
      <c r="G1415" s="20"/>
      <c r="H1415" s="20"/>
      <c r="K1415" s="1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  <c r="W1415" s="20"/>
      <c r="X1415" s="20"/>
      <c r="Y1415" s="22"/>
      <c r="Z1415" s="22"/>
      <c r="AA1415" s="20"/>
      <c r="AB1415" s="20"/>
      <c r="AC1415" s="20"/>
      <c r="AD1415" s="20"/>
      <c r="AE1415" s="20"/>
      <c r="AF1415" s="20"/>
      <c r="AG1415" s="20"/>
      <c r="AH1415" s="20"/>
      <c r="AI1415" s="20"/>
      <c r="AJ1415" s="20"/>
      <c r="AK1415" s="20"/>
      <c r="AL1415" s="20"/>
      <c r="AM1415" s="20"/>
      <c r="AN1415" s="20"/>
      <c r="AS1415" s="11"/>
      <c r="AT1415" s="12"/>
    </row>
    <row r="1416" ht="14.25" customHeight="1">
      <c r="A1416" s="20"/>
      <c r="B1416" s="20"/>
      <c r="C1416" s="20"/>
      <c r="D1416" s="21"/>
      <c r="E1416" s="20"/>
      <c r="F1416" s="20"/>
      <c r="G1416" s="20"/>
      <c r="H1416" s="20"/>
      <c r="K1416" s="10"/>
      <c r="M1416" s="20"/>
      <c r="N1416" s="20"/>
      <c r="O1416" s="20"/>
      <c r="P1416" s="20"/>
      <c r="Q1416" s="20"/>
      <c r="R1416" s="20"/>
      <c r="S1416" s="20"/>
      <c r="T1416" s="20"/>
      <c r="U1416" s="20"/>
      <c r="V1416" s="20"/>
      <c r="W1416" s="20"/>
      <c r="X1416" s="20"/>
      <c r="Y1416" s="22"/>
      <c r="Z1416" s="22"/>
      <c r="AA1416" s="20"/>
      <c r="AB1416" s="20"/>
      <c r="AC1416" s="20"/>
      <c r="AD1416" s="20"/>
      <c r="AE1416" s="20"/>
      <c r="AF1416" s="20"/>
      <c r="AG1416" s="20"/>
      <c r="AH1416" s="20"/>
      <c r="AI1416" s="20"/>
      <c r="AJ1416" s="20"/>
      <c r="AK1416" s="20"/>
      <c r="AL1416" s="20"/>
      <c r="AM1416" s="20"/>
      <c r="AN1416" s="20"/>
      <c r="AS1416" s="11"/>
      <c r="AT1416" s="12"/>
    </row>
    <row r="1417" ht="14.25" customHeight="1">
      <c r="A1417" s="20"/>
      <c r="B1417" s="20"/>
      <c r="C1417" s="20"/>
      <c r="D1417" s="21"/>
      <c r="E1417" s="20"/>
      <c r="F1417" s="20"/>
      <c r="G1417" s="20"/>
      <c r="H1417" s="20"/>
      <c r="K1417" s="1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0"/>
      <c r="W1417" s="20"/>
      <c r="X1417" s="20"/>
      <c r="Y1417" s="22"/>
      <c r="Z1417" s="22"/>
      <c r="AA1417" s="20"/>
      <c r="AB1417" s="20"/>
      <c r="AC1417" s="20"/>
      <c r="AD1417" s="20"/>
      <c r="AE1417" s="20"/>
      <c r="AF1417" s="20"/>
      <c r="AG1417" s="20"/>
      <c r="AH1417" s="20"/>
      <c r="AI1417" s="20"/>
      <c r="AJ1417" s="20"/>
      <c r="AK1417" s="20"/>
      <c r="AL1417" s="20"/>
      <c r="AM1417" s="20"/>
      <c r="AN1417" s="20"/>
      <c r="AS1417" s="11"/>
      <c r="AT1417" s="12"/>
    </row>
    <row r="1418" ht="14.25" customHeight="1">
      <c r="A1418" s="20"/>
      <c r="B1418" s="20"/>
      <c r="C1418" s="20"/>
      <c r="D1418" s="21"/>
      <c r="E1418" s="20"/>
      <c r="F1418" s="20"/>
      <c r="G1418" s="20"/>
      <c r="H1418" s="20"/>
      <c r="K1418" s="1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0"/>
      <c r="W1418" s="20"/>
      <c r="X1418" s="20"/>
      <c r="Y1418" s="22"/>
      <c r="Z1418" s="22"/>
      <c r="AA1418" s="20"/>
      <c r="AB1418" s="20"/>
      <c r="AC1418" s="20"/>
      <c r="AD1418" s="20"/>
      <c r="AE1418" s="20"/>
      <c r="AF1418" s="20"/>
      <c r="AG1418" s="20"/>
      <c r="AH1418" s="20"/>
      <c r="AI1418" s="20"/>
      <c r="AJ1418" s="20"/>
      <c r="AK1418" s="20"/>
      <c r="AL1418" s="20"/>
      <c r="AM1418" s="20"/>
      <c r="AN1418" s="20"/>
      <c r="AS1418" s="11"/>
      <c r="AT1418" s="12"/>
    </row>
    <row r="1419" ht="14.25" customHeight="1">
      <c r="A1419" s="20"/>
      <c r="B1419" s="20"/>
      <c r="C1419" s="20"/>
      <c r="D1419" s="21"/>
      <c r="E1419" s="20"/>
      <c r="F1419" s="20"/>
      <c r="G1419" s="20"/>
      <c r="H1419" s="20"/>
      <c r="K1419" s="1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2"/>
      <c r="Z1419" s="22"/>
      <c r="AA1419" s="20"/>
      <c r="AB1419" s="20"/>
      <c r="AC1419" s="20"/>
      <c r="AD1419" s="20"/>
      <c r="AE1419" s="20"/>
      <c r="AF1419" s="20"/>
      <c r="AG1419" s="20"/>
      <c r="AH1419" s="20"/>
      <c r="AI1419" s="20"/>
      <c r="AJ1419" s="20"/>
      <c r="AK1419" s="20"/>
      <c r="AL1419" s="20"/>
      <c r="AM1419" s="20"/>
      <c r="AN1419" s="20"/>
      <c r="AS1419" s="11"/>
      <c r="AT1419" s="12"/>
    </row>
    <row r="1420" ht="14.25" customHeight="1">
      <c r="A1420" s="20"/>
      <c r="B1420" s="20"/>
      <c r="C1420" s="20"/>
      <c r="D1420" s="21"/>
      <c r="E1420" s="20"/>
      <c r="F1420" s="20"/>
      <c r="G1420" s="20"/>
      <c r="H1420" s="20"/>
      <c r="K1420" s="1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0"/>
      <c r="W1420" s="20"/>
      <c r="X1420" s="20"/>
      <c r="Y1420" s="22"/>
      <c r="Z1420" s="22"/>
      <c r="AA1420" s="20"/>
      <c r="AB1420" s="20"/>
      <c r="AC1420" s="20"/>
      <c r="AD1420" s="20"/>
      <c r="AE1420" s="20"/>
      <c r="AF1420" s="20"/>
      <c r="AG1420" s="20"/>
      <c r="AH1420" s="20"/>
      <c r="AI1420" s="20"/>
      <c r="AJ1420" s="20"/>
      <c r="AK1420" s="20"/>
      <c r="AL1420" s="20"/>
      <c r="AM1420" s="20"/>
      <c r="AN1420" s="20"/>
      <c r="AS1420" s="11"/>
      <c r="AT1420" s="12"/>
    </row>
    <row r="1421" ht="14.25" customHeight="1">
      <c r="A1421" s="20"/>
      <c r="B1421" s="20"/>
      <c r="C1421" s="20"/>
      <c r="D1421" s="21"/>
      <c r="E1421" s="20"/>
      <c r="F1421" s="20"/>
      <c r="G1421" s="20"/>
      <c r="H1421" s="20"/>
      <c r="K1421" s="1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2"/>
      <c r="Z1421" s="22"/>
      <c r="AA1421" s="20"/>
      <c r="AB1421" s="20"/>
      <c r="AC1421" s="20"/>
      <c r="AD1421" s="20"/>
      <c r="AE1421" s="20"/>
      <c r="AF1421" s="20"/>
      <c r="AG1421" s="20"/>
      <c r="AH1421" s="20"/>
      <c r="AI1421" s="20"/>
      <c r="AJ1421" s="20"/>
      <c r="AK1421" s="20"/>
      <c r="AL1421" s="20"/>
      <c r="AM1421" s="20"/>
      <c r="AN1421" s="20"/>
      <c r="AS1421" s="11"/>
      <c r="AT1421" s="12"/>
    </row>
    <row r="1422" ht="14.25" customHeight="1">
      <c r="A1422" s="20"/>
      <c r="B1422" s="20"/>
      <c r="C1422" s="20"/>
      <c r="D1422" s="21"/>
      <c r="E1422" s="20"/>
      <c r="F1422" s="20"/>
      <c r="G1422" s="20"/>
      <c r="H1422" s="20"/>
      <c r="K1422" s="1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2"/>
      <c r="Z1422" s="22"/>
      <c r="AA1422" s="20"/>
      <c r="AB1422" s="20"/>
      <c r="AC1422" s="20"/>
      <c r="AD1422" s="20"/>
      <c r="AE1422" s="20"/>
      <c r="AF1422" s="20"/>
      <c r="AG1422" s="20"/>
      <c r="AH1422" s="20"/>
      <c r="AI1422" s="20"/>
      <c r="AJ1422" s="20"/>
      <c r="AK1422" s="20"/>
      <c r="AL1422" s="20"/>
      <c r="AM1422" s="20"/>
      <c r="AN1422" s="20"/>
      <c r="AS1422" s="11"/>
      <c r="AT1422" s="12"/>
    </row>
    <row r="1423" ht="14.25" customHeight="1">
      <c r="A1423" s="20"/>
      <c r="B1423" s="20"/>
      <c r="C1423" s="20"/>
      <c r="D1423" s="21"/>
      <c r="E1423" s="20"/>
      <c r="F1423" s="20"/>
      <c r="G1423" s="20"/>
      <c r="H1423" s="20"/>
      <c r="K1423" s="1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22"/>
      <c r="Z1423" s="22"/>
      <c r="AA1423" s="20"/>
      <c r="AB1423" s="20"/>
      <c r="AC1423" s="20"/>
      <c r="AD1423" s="20"/>
      <c r="AE1423" s="20"/>
      <c r="AF1423" s="20"/>
      <c r="AG1423" s="20"/>
      <c r="AH1423" s="20"/>
      <c r="AI1423" s="20"/>
      <c r="AJ1423" s="20"/>
      <c r="AK1423" s="20"/>
      <c r="AL1423" s="20"/>
      <c r="AM1423" s="20"/>
      <c r="AN1423" s="20"/>
      <c r="AS1423" s="11"/>
      <c r="AT1423" s="12"/>
    </row>
    <row r="1424" ht="14.25" customHeight="1">
      <c r="A1424" s="20"/>
      <c r="B1424" s="20"/>
      <c r="C1424" s="20"/>
      <c r="D1424" s="21"/>
      <c r="E1424" s="20"/>
      <c r="F1424" s="20"/>
      <c r="G1424" s="20"/>
      <c r="H1424" s="20"/>
      <c r="K1424" s="1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0"/>
      <c r="W1424" s="20"/>
      <c r="X1424" s="20"/>
      <c r="Y1424" s="22"/>
      <c r="Z1424" s="22"/>
      <c r="AA1424" s="20"/>
      <c r="AB1424" s="20"/>
      <c r="AC1424" s="20"/>
      <c r="AD1424" s="20"/>
      <c r="AE1424" s="20"/>
      <c r="AF1424" s="20"/>
      <c r="AG1424" s="20"/>
      <c r="AH1424" s="20"/>
      <c r="AI1424" s="20"/>
      <c r="AJ1424" s="20"/>
      <c r="AK1424" s="20"/>
      <c r="AL1424" s="20"/>
      <c r="AM1424" s="20"/>
      <c r="AN1424" s="20"/>
      <c r="AS1424" s="11"/>
      <c r="AT1424" s="12"/>
    </row>
    <row r="1425" ht="14.25" customHeight="1">
      <c r="A1425" s="20"/>
      <c r="B1425" s="20"/>
      <c r="C1425" s="20"/>
      <c r="D1425" s="21"/>
      <c r="E1425" s="20"/>
      <c r="F1425" s="20"/>
      <c r="G1425" s="20"/>
      <c r="H1425" s="20"/>
      <c r="K1425" s="1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22"/>
      <c r="Z1425" s="22"/>
      <c r="AA1425" s="20"/>
      <c r="AB1425" s="20"/>
      <c r="AC1425" s="20"/>
      <c r="AD1425" s="20"/>
      <c r="AE1425" s="20"/>
      <c r="AF1425" s="20"/>
      <c r="AG1425" s="20"/>
      <c r="AH1425" s="20"/>
      <c r="AI1425" s="20"/>
      <c r="AJ1425" s="20"/>
      <c r="AK1425" s="20"/>
      <c r="AL1425" s="20"/>
      <c r="AM1425" s="20"/>
      <c r="AN1425" s="20"/>
      <c r="AS1425" s="11"/>
      <c r="AT1425" s="12"/>
    </row>
    <row r="1426" ht="14.25" customHeight="1">
      <c r="A1426" s="20"/>
      <c r="B1426" s="20"/>
      <c r="C1426" s="20"/>
      <c r="D1426" s="21"/>
      <c r="E1426" s="20"/>
      <c r="F1426" s="20"/>
      <c r="G1426" s="20"/>
      <c r="H1426" s="20"/>
      <c r="K1426" s="1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0"/>
      <c r="W1426" s="20"/>
      <c r="X1426" s="20"/>
      <c r="Y1426" s="22"/>
      <c r="Z1426" s="22"/>
      <c r="AA1426" s="20"/>
      <c r="AB1426" s="20"/>
      <c r="AC1426" s="20"/>
      <c r="AD1426" s="20"/>
      <c r="AE1426" s="20"/>
      <c r="AF1426" s="20"/>
      <c r="AG1426" s="20"/>
      <c r="AH1426" s="20"/>
      <c r="AI1426" s="20"/>
      <c r="AJ1426" s="20"/>
      <c r="AK1426" s="20"/>
      <c r="AL1426" s="20"/>
      <c r="AM1426" s="20"/>
      <c r="AN1426" s="20"/>
      <c r="AS1426" s="11"/>
      <c r="AT1426" s="12"/>
    </row>
    <row r="1427" ht="14.25" customHeight="1">
      <c r="A1427" s="20"/>
      <c r="B1427" s="20"/>
      <c r="C1427" s="20"/>
      <c r="D1427" s="21"/>
      <c r="E1427" s="20"/>
      <c r="F1427" s="20"/>
      <c r="G1427" s="20"/>
      <c r="H1427" s="20"/>
      <c r="K1427" s="10"/>
      <c r="M1427" s="20"/>
      <c r="N1427" s="20"/>
      <c r="O1427" s="20"/>
      <c r="P1427" s="20"/>
      <c r="Q1427" s="20"/>
      <c r="R1427" s="20"/>
      <c r="S1427" s="20"/>
      <c r="T1427" s="20"/>
      <c r="U1427" s="20"/>
      <c r="V1427" s="20"/>
      <c r="W1427" s="20"/>
      <c r="X1427" s="20"/>
      <c r="Y1427" s="22"/>
      <c r="Z1427" s="22"/>
      <c r="AA1427" s="20"/>
      <c r="AB1427" s="20"/>
      <c r="AC1427" s="20"/>
      <c r="AD1427" s="20"/>
      <c r="AE1427" s="20"/>
      <c r="AF1427" s="20"/>
      <c r="AG1427" s="20"/>
      <c r="AH1427" s="20"/>
      <c r="AI1427" s="20"/>
      <c r="AJ1427" s="20"/>
      <c r="AK1427" s="20"/>
      <c r="AL1427" s="20"/>
      <c r="AM1427" s="20"/>
      <c r="AN1427" s="20"/>
      <c r="AS1427" s="11"/>
      <c r="AT1427" s="12"/>
    </row>
    <row r="1428" ht="14.25" customHeight="1">
      <c r="A1428" s="20"/>
      <c r="B1428" s="20"/>
      <c r="C1428" s="20"/>
      <c r="D1428" s="21"/>
      <c r="E1428" s="20"/>
      <c r="F1428" s="20"/>
      <c r="G1428" s="20"/>
      <c r="H1428" s="20"/>
      <c r="K1428" s="1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0"/>
      <c r="W1428" s="20"/>
      <c r="X1428" s="20"/>
      <c r="Y1428" s="22"/>
      <c r="Z1428" s="22"/>
      <c r="AA1428" s="20"/>
      <c r="AB1428" s="20"/>
      <c r="AC1428" s="20"/>
      <c r="AD1428" s="20"/>
      <c r="AE1428" s="20"/>
      <c r="AF1428" s="20"/>
      <c r="AG1428" s="20"/>
      <c r="AH1428" s="20"/>
      <c r="AI1428" s="20"/>
      <c r="AJ1428" s="20"/>
      <c r="AK1428" s="20"/>
      <c r="AL1428" s="20"/>
      <c r="AM1428" s="20"/>
      <c r="AN1428" s="20"/>
      <c r="AS1428" s="11"/>
      <c r="AT1428" s="12"/>
    </row>
    <row r="1429" ht="14.25" customHeight="1">
      <c r="A1429" s="20"/>
      <c r="B1429" s="20"/>
      <c r="C1429" s="20"/>
      <c r="D1429" s="21"/>
      <c r="E1429" s="20"/>
      <c r="F1429" s="20"/>
      <c r="G1429" s="20"/>
      <c r="H1429" s="20"/>
      <c r="K1429" s="1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0"/>
      <c r="W1429" s="20"/>
      <c r="X1429" s="20"/>
      <c r="Y1429" s="22"/>
      <c r="Z1429" s="22"/>
      <c r="AA1429" s="20"/>
      <c r="AB1429" s="20"/>
      <c r="AC1429" s="20"/>
      <c r="AD1429" s="20"/>
      <c r="AE1429" s="20"/>
      <c r="AF1429" s="20"/>
      <c r="AG1429" s="20"/>
      <c r="AH1429" s="20"/>
      <c r="AI1429" s="20"/>
      <c r="AJ1429" s="20"/>
      <c r="AK1429" s="20"/>
      <c r="AL1429" s="20"/>
      <c r="AM1429" s="20"/>
      <c r="AN1429" s="20"/>
      <c r="AS1429" s="11"/>
      <c r="AT1429" s="12"/>
    </row>
    <row r="1430" ht="14.25" customHeight="1">
      <c r="A1430" s="20"/>
      <c r="B1430" s="20"/>
      <c r="C1430" s="20"/>
      <c r="D1430" s="21"/>
      <c r="E1430" s="20"/>
      <c r="F1430" s="20"/>
      <c r="G1430" s="20"/>
      <c r="H1430" s="20"/>
      <c r="K1430" s="1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0"/>
      <c r="W1430" s="20"/>
      <c r="X1430" s="20"/>
      <c r="Y1430" s="22"/>
      <c r="Z1430" s="22"/>
      <c r="AA1430" s="20"/>
      <c r="AB1430" s="20"/>
      <c r="AC1430" s="20"/>
      <c r="AD1430" s="20"/>
      <c r="AE1430" s="20"/>
      <c r="AF1430" s="20"/>
      <c r="AG1430" s="20"/>
      <c r="AH1430" s="20"/>
      <c r="AI1430" s="20"/>
      <c r="AJ1430" s="20"/>
      <c r="AK1430" s="20"/>
      <c r="AL1430" s="20"/>
      <c r="AM1430" s="20"/>
      <c r="AN1430" s="20"/>
      <c r="AS1430" s="11"/>
      <c r="AT1430" s="12"/>
    </row>
    <row r="1431" ht="14.25" customHeight="1">
      <c r="A1431" s="20"/>
      <c r="B1431" s="20"/>
      <c r="C1431" s="20"/>
      <c r="D1431" s="21"/>
      <c r="E1431" s="20"/>
      <c r="F1431" s="20"/>
      <c r="G1431" s="20"/>
      <c r="H1431" s="20"/>
      <c r="K1431" s="1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0"/>
      <c r="W1431" s="20"/>
      <c r="X1431" s="20"/>
      <c r="Y1431" s="22"/>
      <c r="Z1431" s="22"/>
      <c r="AA1431" s="20"/>
      <c r="AB1431" s="20"/>
      <c r="AC1431" s="20"/>
      <c r="AD1431" s="20"/>
      <c r="AE1431" s="20"/>
      <c r="AF1431" s="20"/>
      <c r="AG1431" s="20"/>
      <c r="AH1431" s="20"/>
      <c r="AI1431" s="20"/>
      <c r="AJ1431" s="20"/>
      <c r="AK1431" s="20"/>
      <c r="AL1431" s="20"/>
      <c r="AM1431" s="20"/>
      <c r="AN1431" s="20"/>
      <c r="AS1431" s="11"/>
      <c r="AT1431" s="12"/>
    </row>
    <row r="1432" ht="14.25" customHeight="1">
      <c r="A1432" s="20"/>
      <c r="B1432" s="20"/>
      <c r="C1432" s="20"/>
      <c r="D1432" s="21"/>
      <c r="E1432" s="20"/>
      <c r="F1432" s="20"/>
      <c r="G1432" s="20"/>
      <c r="H1432" s="20"/>
      <c r="K1432" s="10"/>
      <c r="M1432" s="20"/>
      <c r="N1432" s="20"/>
      <c r="O1432" s="20"/>
      <c r="P1432" s="20"/>
      <c r="Q1432" s="20"/>
      <c r="R1432" s="20"/>
      <c r="S1432" s="20"/>
      <c r="T1432" s="20"/>
      <c r="U1432" s="20"/>
      <c r="V1432" s="20"/>
      <c r="W1432" s="20"/>
      <c r="X1432" s="20"/>
      <c r="Y1432" s="22"/>
      <c r="Z1432" s="22"/>
      <c r="AA1432" s="20"/>
      <c r="AB1432" s="20"/>
      <c r="AC1432" s="20"/>
      <c r="AD1432" s="20"/>
      <c r="AE1432" s="20"/>
      <c r="AF1432" s="20"/>
      <c r="AG1432" s="20"/>
      <c r="AH1432" s="20"/>
      <c r="AI1432" s="20"/>
      <c r="AJ1432" s="20"/>
      <c r="AK1432" s="20"/>
      <c r="AL1432" s="20"/>
      <c r="AM1432" s="20"/>
      <c r="AN1432" s="20"/>
      <c r="AS1432" s="11"/>
      <c r="AT1432" s="12"/>
    </row>
    <row r="1433" ht="14.25" customHeight="1">
      <c r="A1433" s="20"/>
      <c r="B1433" s="20"/>
      <c r="C1433" s="20"/>
      <c r="D1433" s="21"/>
      <c r="E1433" s="20"/>
      <c r="F1433" s="20"/>
      <c r="G1433" s="20"/>
      <c r="H1433" s="20"/>
      <c r="K1433" s="10"/>
      <c r="M1433" s="20"/>
      <c r="N1433" s="20"/>
      <c r="O1433" s="20"/>
      <c r="P1433" s="20"/>
      <c r="Q1433" s="20"/>
      <c r="R1433" s="20"/>
      <c r="S1433" s="20"/>
      <c r="T1433" s="20"/>
      <c r="U1433" s="20"/>
      <c r="V1433" s="20"/>
      <c r="W1433" s="20"/>
      <c r="X1433" s="20"/>
      <c r="Y1433" s="22"/>
      <c r="Z1433" s="22"/>
      <c r="AA1433" s="20"/>
      <c r="AB1433" s="20"/>
      <c r="AC1433" s="20"/>
      <c r="AD1433" s="20"/>
      <c r="AE1433" s="20"/>
      <c r="AF1433" s="20"/>
      <c r="AG1433" s="20"/>
      <c r="AH1433" s="20"/>
      <c r="AI1433" s="20"/>
      <c r="AJ1433" s="20"/>
      <c r="AK1433" s="20"/>
      <c r="AL1433" s="20"/>
      <c r="AM1433" s="20"/>
      <c r="AN1433" s="20"/>
      <c r="AS1433" s="11"/>
      <c r="AT1433" s="12"/>
    </row>
    <row r="1434" ht="14.25" customHeight="1">
      <c r="A1434" s="20"/>
      <c r="B1434" s="20"/>
      <c r="C1434" s="20"/>
      <c r="D1434" s="21"/>
      <c r="E1434" s="20"/>
      <c r="F1434" s="20"/>
      <c r="G1434" s="20"/>
      <c r="H1434" s="20"/>
      <c r="K1434" s="1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2"/>
      <c r="Z1434" s="22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20"/>
      <c r="AM1434" s="20"/>
      <c r="AN1434" s="20"/>
      <c r="AS1434" s="11"/>
      <c r="AT1434" s="12"/>
    </row>
    <row r="1435" ht="14.25" customHeight="1">
      <c r="A1435" s="20"/>
      <c r="B1435" s="20"/>
      <c r="C1435" s="20"/>
      <c r="D1435" s="21"/>
      <c r="E1435" s="20"/>
      <c r="F1435" s="20"/>
      <c r="G1435" s="20"/>
      <c r="H1435" s="20"/>
      <c r="K1435" s="10"/>
      <c r="M1435" s="20"/>
      <c r="N1435" s="20"/>
      <c r="O1435" s="20"/>
      <c r="P1435" s="20"/>
      <c r="Q1435" s="20"/>
      <c r="R1435" s="20"/>
      <c r="S1435" s="20"/>
      <c r="T1435" s="20"/>
      <c r="U1435" s="20"/>
      <c r="V1435" s="20"/>
      <c r="W1435" s="20"/>
      <c r="X1435" s="20"/>
      <c r="Y1435" s="22"/>
      <c r="Z1435" s="22"/>
      <c r="AA1435" s="20"/>
      <c r="AB1435" s="20"/>
      <c r="AC1435" s="20"/>
      <c r="AD1435" s="20"/>
      <c r="AE1435" s="20"/>
      <c r="AF1435" s="20"/>
      <c r="AG1435" s="20"/>
      <c r="AH1435" s="20"/>
      <c r="AI1435" s="20"/>
      <c r="AJ1435" s="20"/>
      <c r="AK1435" s="20"/>
      <c r="AL1435" s="20"/>
      <c r="AM1435" s="20"/>
      <c r="AN1435" s="20"/>
      <c r="AS1435" s="11"/>
      <c r="AT1435" s="12"/>
    </row>
    <row r="1436" ht="14.25" customHeight="1">
      <c r="A1436" s="20"/>
      <c r="B1436" s="20"/>
      <c r="C1436" s="20"/>
      <c r="D1436" s="21"/>
      <c r="E1436" s="20"/>
      <c r="F1436" s="20"/>
      <c r="G1436" s="20"/>
      <c r="H1436" s="20"/>
      <c r="K1436" s="1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2"/>
      <c r="Z1436" s="22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20"/>
      <c r="AM1436" s="20"/>
      <c r="AN1436" s="20"/>
      <c r="AS1436" s="11"/>
      <c r="AT1436" s="12"/>
    </row>
    <row r="1437" ht="14.25" customHeight="1">
      <c r="A1437" s="20"/>
      <c r="B1437" s="20"/>
      <c r="C1437" s="20"/>
      <c r="D1437" s="21"/>
      <c r="E1437" s="20"/>
      <c r="F1437" s="20"/>
      <c r="G1437" s="20"/>
      <c r="H1437" s="20"/>
      <c r="K1437" s="10"/>
      <c r="M1437" s="20"/>
      <c r="N1437" s="20"/>
      <c r="O1437" s="20"/>
      <c r="P1437" s="20"/>
      <c r="Q1437" s="20"/>
      <c r="R1437" s="20"/>
      <c r="S1437" s="20"/>
      <c r="T1437" s="20"/>
      <c r="U1437" s="20"/>
      <c r="V1437" s="20"/>
      <c r="W1437" s="20"/>
      <c r="X1437" s="20"/>
      <c r="Y1437" s="22"/>
      <c r="Z1437" s="22"/>
      <c r="AA1437" s="20"/>
      <c r="AB1437" s="20"/>
      <c r="AC1437" s="20"/>
      <c r="AD1437" s="20"/>
      <c r="AE1437" s="20"/>
      <c r="AF1437" s="20"/>
      <c r="AG1437" s="20"/>
      <c r="AH1437" s="20"/>
      <c r="AI1437" s="20"/>
      <c r="AJ1437" s="20"/>
      <c r="AK1437" s="20"/>
      <c r="AL1437" s="20"/>
      <c r="AM1437" s="20"/>
      <c r="AN1437" s="20"/>
      <c r="AS1437" s="11"/>
      <c r="AT1437" s="12"/>
    </row>
    <row r="1438" ht="14.25" customHeight="1">
      <c r="A1438" s="20"/>
      <c r="B1438" s="20"/>
      <c r="C1438" s="20"/>
      <c r="D1438" s="21"/>
      <c r="E1438" s="20"/>
      <c r="F1438" s="20"/>
      <c r="G1438" s="20"/>
      <c r="H1438" s="20"/>
      <c r="K1438" s="10"/>
      <c r="M1438" s="20"/>
      <c r="N1438" s="20"/>
      <c r="O1438" s="20"/>
      <c r="P1438" s="20"/>
      <c r="Q1438" s="20"/>
      <c r="R1438" s="20"/>
      <c r="S1438" s="20"/>
      <c r="T1438" s="20"/>
      <c r="U1438" s="20"/>
      <c r="V1438" s="20"/>
      <c r="W1438" s="20"/>
      <c r="X1438" s="20"/>
      <c r="Y1438" s="22"/>
      <c r="Z1438" s="22"/>
      <c r="AA1438" s="20"/>
      <c r="AB1438" s="20"/>
      <c r="AC1438" s="20"/>
      <c r="AD1438" s="20"/>
      <c r="AE1438" s="20"/>
      <c r="AF1438" s="20"/>
      <c r="AG1438" s="20"/>
      <c r="AH1438" s="20"/>
      <c r="AI1438" s="20"/>
      <c r="AJ1438" s="20"/>
      <c r="AK1438" s="20"/>
      <c r="AL1438" s="20"/>
      <c r="AM1438" s="20"/>
      <c r="AN1438" s="20"/>
      <c r="AS1438" s="11"/>
      <c r="AT1438" s="12"/>
    </row>
    <row r="1439" ht="14.25" customHeight="1">
      <c r="A1439" s="20"/>
      <c r="B1439" s="20"/>
      <c r="C1439" s="20"/>
      <c r="D1439" s="21"/>
      <c r="E1439" s="20"/>
      <c r="F1439" s="20"/>
      <c r="G1439" s="20"/>
      <c r="H1439" s="20"/>
      <c r="K1439" s="1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2"/>
      <c r="Z1439" s="22"/>
      <c r="AA1439" s="20"/>
      <c r="AB1439" s="20"/>
      <c r="AC1439" s="20"/>
      <c r="AD1439" s="20"/>
      <c r="AE1439" s="20"/>
      <c r="AF1439" s="20"/>
      <c r="AG1439" s="20"/>
      <c r="AH1439" s="20"/>
      <c r="AI1439" s="20"/>
      <c r="AJ1439" s="20"/>
      <c r="AK1439" s="20"/>
      <c r="AL1439" s="20"/>
      <c r="AM1439" s="20"/>
      <c r="AN1439" s="20"/>
      <c r="AS1439" s="11"/>
      <c r="AT1439" s="12"/>
    </row>
    <row r="1440" ht="14.25" customHeight="1">
      <c r="A1440" s="20"/>
      <c r="B1440" s="20"/>
      <c r="C1440" s="20"/>
      <c r="D1440" s="21"/>
      <c r="E1440" s="20"/>
      <c r="F1440" s="20"/>
      <c r="G1440" s="20"/>
      <c r="H1440" s="20"/>
      <c r="K1440" s="10"/>
      <c r="M1440" s="20"/>
      <c r="N1440" s="20"/>
      <c r="O1440" s="20"/>
      <c r="P1440" s="20"/>
      <c r="Q1440" s="20"/>
      <c r="R1440" s="20"/>
      <c r="S1440" s="20"/>
      <c r="T1440" s="20"/>
      <c r="U1440" s="20"/>
      <c r="V1440" s="20"/>
      <c r="W1440" s="20"/>
      <c r="X1440" s="20"/>
      <c r="Y1440" s="22"/>
      <c r="Z1440" s="22"/>
      <c r="AA1440" s="20"/>
      <c r="AB1440" s="20"/>
      <c r="AC1440" s="20"/>
      <c r="AD1440" s="20"/>
      <c r="AE1440" s="20"/>
      <c r="AF1440" s="20"/>
      <c r="AG1440" s="20"/>
      <c r="AH1440" s="20"/>
      <c r="AI1440" s="20"/>
      <c r="AJ1440" s="20"/>
      <c r="AK1440" s="20"/>
      <c r="AL1440" s="20"/>
      <c r="AM1440" s="20"/>
      <c r="AN1440" s="20"/>
      <c r="AS1440" s="11"/>
      <c r="AT1440" s="12"/>
    </row>
    <row r="1441" ht="14.25" customHeight="1">
      <c r="A1441" s="20"/>
      <c r="B1441" s="20"/>
      <c r="C1441" s="20"/>
      <c r="D1441" s="21"/>
      <c r="E1441" s="20"/>
      <c r="F1441" s="20"/>
      <c r="G1441" s="20"/>
      <c r="H1441" s="20"/>
      <c r="K1441" s="1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2"/>
      <c r="Z1441" s="22"/>
      <c r="AA1441" s="20"/>
      <c r="AB1441" s="20"/>
      <c r="AC1441" s="20"/>
      <c r="AD1441" s="20"/>
      <c r="AE1441" s="20"/>
      <c r="AF1441" s="20"/>
      <c r="AG1441" s="20"/>
      <c r="AH1441" s="20"/>
      <c r="AI1441" s="20"/>
      <c r="AJ1441" s="20"/>
      <c r="AK1441" s="20"/>
      <c r="AL1441" s="20"/>
      <c r="AM1441" s="20"/>
      <c r="AN1441" s="20"/>
      <c r="AS1441" s="11"/>
      <c r="AT1441" s="12"/>
    </row>
    <row r="1442" ht="14.25" customHeight="1">
      <c r="A1442" s="20"/>
      <c r="B1442" s="20"/>
      <c r="C1442" s="20"/>
      <c r="D1442" s="21"/>
      <c r="E1442" s="20"/>
      <c r="F1442" s="20"/>
      <c r="G1442" s="20"/>
      <c r="H1442" s="20"/>
      <c r="K1442" s="10"/>
      <c r="M1442" s="20"/>
      <c r="N1442" s="20"/>
      <c r="O1442" s="20"/>
      <c r="P1442" s="20"/>
      <c r="Q1442" s="20"/>
      <c r="R1442" s="20"/>
      <c r="S1442" s="20"/>
      <c r="T1442" s="20"/>
      <c r="U1442" s="20"/>
      <c r="V1442" s="20"/>
      <c r="W1442" s="20"/>
      <c r="X1442" s="20"/>
      <c r="Y1442" s="22"/>
      <c r="Z1442" s="22"/>
      <c r="AA1442" s="20"/>
      <c r="AB1442" s="20"/>
      <c r="AC1442" s="20"/>
      <c r="AD1442" s="20"/>
      <c r="AE1442" s="20"/>
      <c r="AF1442" s="20"/>
      <c r="AG1442" s="20"/>
      <c r="AH1442" s="20"/>
      <c r="AI1442" s="20"/>
      <c r="AJ1442" s="20"/>
      <c r="AK1442" s="20"/>
      <c r="AL1442" s="20"/>
      <c r="AM1442" s="20"/>
      <c r="AN1442" s="20"/>
      <c r="AS1442" s="11"/>
      <c r="AT1442" s="12"/>
    </row>
    <row r="1443" ht="14.25" customHeight="1">
      <c r="A1443" s="20"/>
      <c r="B1443" s="20"/>
      <c r="C1443" s="20"/>
      <c r="D1443" s="21"/>
      <c r="E1443" s="20"/>
      <c r="F1443" s="20"/>
      <c r="G1443" s="20"/>
      <c r="H1443" s="20"/>
      <c r="K1443" s="10"/>
      <c r="M1443" s="20"/>
      <c r="N1443" s="20"/>
      <c r="O1443" s="20"/>
      <c r="P1443" s="20"/>
      <c r="Q1443" s="20"/>
      <c r="R1443" s="20"/>
      <c r="S1443" s="20"/>
      <c r="T1443" s="20"/>
      <c r="U1443" s="20"/>
      <c r="V1443" s="20"/>
      <c r="W1443" s="20"/>
      <c r="X1443" s="20"/>
      <c r="Y1443" s="22"/>
      <c r="Z1443" s="22"/>
      <c r="AA1443" s="20"/>
      <c r="AB1443" s="20"/>
      <c r="AC1443" s="20"/>
      <c r="AD1443" s="20"/>
      <c r="AE1443" s="20"/>
      <c r="AF1443" s="20"/>
      <c r="AG1443" s="20"/>
      <c r="AH1443" s="20"/>
      <c r="AI1443" s="20"/>
      <c r="AJ1443" s="20"/>
      <c r="AK1443" s="20"/>
      <c r="AL1443" s="20"/>
      <c r="AM1443" s="20"/>
      <c r="AN1443" s="20"/>
      <c r="AS1443" s="11"/>
      <c r="AT1443" s="12"/>
    </row>
    <row r="1444" ht="14.25" customHeight="1">
      <c r="A1444" s="20"/>
      <c r="B1444" s="20"/>
      <c r="C1444" s="20"/>
      <c r="D1444" s="21"/>
      <c r="E1444" s="20"/>
      <c r="F1444" s="20"/>
      <c r="G1444" s="20"/>
      <c r="H1444" s="20"/>
      <c r="K1444" s="1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2"/>
      <c r="Z1444" s="22"/>
      <c r="AA1444" s="20"/>
      <c r="AB1444" s="20"/>
      <c r="AC1444" s="20"/>
      <c r="AD1444" s="20"/>
      <c r="AE1444" s="20"/>
      <c r="AF1444" s="20"/>
      <c r="AG1444" s="20"/>
      <c r="AH1444" s="20"/>
      <c r="AI1444" s="20"/>
      <c r="AJ1444" s="20"/>
      <c r="AK1444" s="20"/>
      <c r="AL1444" s="20"/>
      <c r="AM1444" s="20"/>
      <c r="AN1444" s="20"/>
      <c r="AS1444" s="11"/>
      <c r="AT1444" s="12"/>
    </row>
    <row r="1445" ht="14.25" customHeight="1">
      <c r="A1445" s="20"/>
      <c r="B1445" s="20"/>
      <c r="C1445" s="20"/>
      <c r="D1445" s="21"/>
      <c r="E1445" s="20"/>
      <c r="F1445" s="20"/>
      <c r="G1445" s="20"/>
      <c r="H1445" s="20"/>
      <c r="K1445" s="1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22"/>
      <c r="Z1445" s="22"/>
      <c r="AA1445" s="20"/>
      <c r="AB1445" s="20"/>
      <c r="AC1445" s="20"/>
      <c r="AD1445" s="20"/>
      <c r="AE1445" s="20"/>
      <c r="AF1445" s="20"/>
      <c r="AG1445" s="20"/>
      <c r="AH1445" s="20"/>
      <c r="AI1445" s="20"/>
      <c r="AJ1445" s="20"/>
      <c r="AK1445" s="20"/>
      <c r="AL1445" s="20"/>
      <c r="AM1445" s="20"/>
      <c r="AN1445" s="20"/>
      <c r="AS1445" s="11"/>
      <c r="AT1445" s="12"/>
    </row>
    <row r="1446" ht="14.25" customHeight="1">
      <c r="A1446" s="20"/>
      <c r="B1446" s="20"/>
      <c r="C1446" s="20"/>
      <c r="D1446" s="21"/>
      <c r="E1446" s="20"/>
      <c r="F1446" s="20"/>
      <c r="G1446" s="20"/>
      <c r="H1446" s="20"/>
      <c r="K1446" s="10"/>
      <c r="M1446" s="20"/>
      <c r="N1446" s="20"/>
      <c r="O1446" s="20"/>
      <c r="P1446" s="20"/>
      <c r="Q1446" s="20"/>
      <c r="R1446" s="20"/>
      <c r="S1446" s="20"/>
      <c r="T1446" s="20"/>
      <c r="U1446" s="20"/>
      <c r="V1446" s="20"/>
      <c r="W1446" s="20"/>
      <c r="X1446" s="20"/>
      <c r="Y1446" s="22"/>
      <c r="Z1446" s="22"/>
      <c r="AA1446" s="20"/>
      <c r="AB1446" s="20"/>
      <c r="AC1446" s="20"/>
      <c r="AD1446" s="20"/>
      <c r="AE1446" s="20"/>
      <c r="AF1446" s="20"/>
      <c r="AG1446" s="20"/>
      <c r="AH1446" s="20"/>
      <c r="AI1446" s="20"/>
      <c r="AJ1446" s="20"/>
      <c r="AK1446" s="20"/>
      <c r="AL1446" s="20"/>
      <c r="AM1446" s="20"/>
      <c r="AN1446" s="20"/>
      <c r="AS1446" s="11"/>
      <c r="AT1446" s="12"/>
    </row>
    <row r="1447" ht="14.25" customHeight="1">
      <c r="A1447" s="20"/>
      <c r="B1447" s="20"/>
      <c r="C1447" s="20"/>
      <c r="D1447" s="21"/>
      <c r="E1447" s="20"/>
      <c r="F1447" s="20"/>
      <c r="G1447" s="20"/>
      <c r="H1447" s="20"/>
      <c r="K1447" s="10"/>
      <c r="M1447" s="20"/>
      <c r="N1447" s="20"/>
      <c r="O1447" s="20"/>
      <c r="P1447" s="20"/>
      <c r="Q1447" s="20"/>
      <c r="R1447" s="20"/>
      <c r="S1447" s="20"/>
      <c r="T1447" s="20"/>
      <c r="U1447" s="20"/>
      <c r="V1447" s="20"/>
      <c r="W1447" s="20"/>
      <c r="X1447" s="20"/>
      <c r="Y1447" s="22"/>
      <c r="Z1447" s="22"/>
      <c r="AA1447" s="20"/>
      <c r="AB1447" s="20"/>
      <c r="AC1447" s="20"/>
      <c r="AD1447" s="20"/>
      <c r="AE1447" s="20"/>
      <c r="AF1447" s="20"/>
      <c r="AG1447" s="20"/>
      <c r="AH1447" s="20"/>
      <c r="AI1447" s="20"/>
      <c r="AJ1447" s="20"/>
      <c r="AK1447" s="20"/>
      <c r="AL1447" s="20"/>
      <c r="AM1447" s="20"/>
      <c r="AN1447" s="20"/>
      <c r="AS1447" s="11"/>
      <c r="AT1447" s="12"/>
    </row>
    <row r="1448" ht="14.25" customHeight="1">
      <c r="A1448" s="20"/>
      <c r="B1448" s="20"/>
      <c r="C1448" s="20"/>
      <c r="D1448" s="21"/>
      <c r="E1448" s="20"/>
      <c r="F1448" s="20"/>
      <c r="G1448" s="20"/>
      <c r="H1448" s="20"/>
      <c r="K1448" s="1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2"/>
      <c r="Z1448" s="22"/>
      <c r="AA1448" s="20"/>
      <c r="AB1448" s="20"/>
      <c r="AC1448" s="20"/>
      <c r="AD1448" s="20"/>
      <c r="AE1448" s="20"/>
      <c r="AF1448" s="20"/>
      <c r="AG1448" s="20"/>
      <c r="AH1448" s="20"/>
      <c r="AI1448" s="20"/>
      <c r="AJ1448" s="20"/>
      <c r="AK1448" s="20"/>
      <c r="AL1448" s="20"/>
      <c r="AM1448" s="20"/>
      <c r="AN1448" s="20"/>
      <c r="AS1448" s="11"/>
      <c r="AT1448" s="12"/>
    </row>
    <row r="1449" ht="14.25" customHeight="1">
      <c r="A1449" s="20"/>
      <c r="B1449" s="20"/>
      <c r="C1449" s="20"/>
      <c r="D1449" s="21"/>
      <c r="E1449" s="20"/>
      <c r="F1449" s="20"/>
      <c r="G1449" s="20"/>
      <c r="H1449" s="20"/>
      <c r="K1449" s="1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0"/>
      <c r="W1449" s="20"/>
      <c r="X1449" s="20"/>
      <c r="Y1449" s="22"/>
      <c r="Z1449" s="22"/>
      <c r="AA1449" s="20"/>
      <c r="AB1449" s="20"/>
      <c r="AC1449" s="20"/>
      <c r="AD1449" s="20"/>
      <c r="AE1449" s="20"/>
      <c r="AF1449" s="20"/>
      <c r="AG1449" s="20"/>
      <c r="AH1449" s="20"/>
      <c r="AI1449" s="20"/>
      <c r="AJ1449" s="20"/>
      <c r="AK1449" s="20"/>
      <c r="AL1449" s="20"/>
      <c r="AM1449" s="20"/>
      <c r="AN1449" s="20"/>
      <c r="AS1449" s="11"/>
      <c r="AT1449" s="12"/>
    </row>
    <row r="1450" ht="14.25" customHeight="1">
      <c r="A1450" s="20"/>
      <c r="B1450" s="20"/>
      <c r="C1450" s="20"/>
      <c r="D1450" s="21"/>
      <c r="E1450" s="20"/>
      <c r="F1450" s="20"/>
      <c r="G1450" s="20"/>
      <c r="H1450" s="20"/>
      <c r="K1450" s="1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2"/>
      <c r="Z1450" s="22"/>
      <c r="AA1450" s="20"/>
      <c r="AB1450" s="20"/>
      <c r="AC1450" s="20"/>
      <c r="AD1450" s="20"/>
      <c r="AE1450" s="20"/>
      <c r="AF1450" s="20"/>
      <c r="AG1450" s="20"/>
      <c r="AH1450" s="20"/>
      <c r="AI1450" s="20"/>
      <c r="AJ1450" s="20"/>
      <c r="AK1450" s="20"/>
      <c r="AL1450" s="20"/>
      <c r="AM1450" s="20"/>
      <c r="AN1450" s="20"/>
      <c r="AS1450" s="11"/>
      <c r="AT1450" s="12"/>
    </row>
    <row r="1451" ht="14.25" customHeight="1">
      <c r="A1451" s="20"/>
      <c r="B1451" s="20"/>
      <c r="C1451" s="20"/>
      <c r="D1451" s="21"/>
      <c r="E1451" s="20"/>
      <c r="F1451" s="20"/>
      <c r="G1451" s="20"/>
      <c r="H1451" s="20"/>
      <c r="K1451" s="1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0"/>
      <c r="W1451" s="20"/>
      <c r="X1451" s="20"/>
      <c r="Y1451" s="22"/>
      <c r="Z1451" s="22"/>
      <c r="AA1451" s="20"/>
      <c r="AB1451" s="20"/>
      <c r="AC1451" s="20"/>
      <c r="AD1451" s="20"/>
      <c r="AE1451" s="20"/>
      <c r="AF1451" s="20"/>
      <c r="AG1451" s="20"/>
      <c r="AH1451" s="20"/>
      <c r="AI1451" s="20"/>
      <c r="AJ1451" s="20"/>
      <c r="AK1451" s="20"/>
      <c r="AL1451" s="20"/>
      <c r="AM1451" s="20"/>
      <c r="AN1451" s="20"/>
      <c r="AS1451" s="11"/>
      <c r="AT1451" s="12"/>
    </row>
    <row r="1452" ht="14.25" customHeight="1">
      <c r="A1452" s="20"/>
      <c r="B1452" s="20"/>
      <c r="C1452" s="20"/>
      <c r="D1452" s="21"/>
      <c r="E1452" s="20"/>
      <c r="F1452" s="20"/>
      <c r="G1452" s="20"/>
      <c r="H1452" s="20"/>
      <c r="K1452" s="10"/>
      <c r="M1452" s="20"/>
      <c r="N1452" s="20"/>
      <c r="O1452" s="20"/>
      <c r="P1452" s="20"/>
      <c r="Q1452" s="20"/>
      <c r="R1452" s="20"/>
      <c r="S1452" s="20"/>
      <c r="T1452" s="20"/>
      <c r="U1452" s="20"/>
      <c r="V1452" s="20"/>
      <c r="W1452" s="20"/>
      <c r="X1452" s="20"/>
      <c r="Y1452" s="22"/>
      <c r="Z1452" s="22"/>
      <c r="AA1452" s="20"/>
      <c r="AB1452" s="20"/>
      <c r="AC1452" s="20"/>
      <c r="AD1452" s="20"/>
      <c r="AE1452" s="20"/>
      <c r="AF1452" s="20"/>
      <c r="AG1452" s="20"/>
      <c r="AH1452" s="20"/>
      <c r="AI1452" s="20"/>
      <c r="AJ1452" s="20"/>
      <c r="AK1452" s="20"/>
      <c r="AL1452" s="20"/>
      <c r="AM1452" s="20"/>
      <c r="AN1452" s="20"/>
      <c r="AS1452" s="11"/>
      <c r="AT1452" s="12"/>
    </row>
    <row r="1453" ht="14.25" customHeight="1">
      <c r="A1453" s="20"/>
      <c r="B1453" s="20"/>
      <c r="C1453" s="20"/>
      <c r="D1453" s="21"/>
      <c r="E1453" s="20"/>
      <c r="F1453" s="20"/>
      <c r="G1453" s="20"/>
      <c r="H1453" s="20"/>
      <c r="K1453" s="10"/>
      <c r="M1453" s="20"/>
      <c r="N1453" s="20"/>
      <c r="O1453" s="20"/>
      <c r="P1453" s="20"/>
      <c r="Q1453" s="20"/>
      <c r="R1453" s="20"/>
      <c r="S1453" s="20"/>
      <c r="T1453" s="20"/>
      <c r="U1453" s="20"/>
      <c r="V1453" s="20"/>
      <c r="W1453" s="20"/>
      <c r="X1453" s="20"/>
      <c r="Y1453" s="22"/>
      <c r="Z1453" s="22"/>
      <c r="AA1453" s="20"/>
      <c r="AB1453" s="20"/>
      <c r="AC1453" s="20"/>
      <c r="AD1453" s="20"/>
      <c r="AE1453" s="20"/>
      <c r="AF1453" s="20"/>
      <c r="AG1453" s="20"/>
      <c r="AH1453" s="20"/>
      <c r="AI1453" s="20"/>
      <c r="AJ1453" s="20"/>
      <c r="AK1453" s="20"/>
      <c r="AL1453" s="20"/>
      <c r="AM1453" s="20"/>
      <c r="AN1453" s="20"/>
      <c r="AS1453" s="11"/>
      <c r="AT1453" s="12"/>
    </row>
    <row r="1454" ht="14.25" customHeight="1">
      <c r="A1454" s="20"/>
      <c r="B1454" s="20"/>
      <c r="C1454" s="20"/>
      <c r="D1454" s="21"/>
      <c r="E1454" s="20"/>
      <c r="F1454" s="20"/>
      <c r="G1454" s="20"/>
      <c r="H1454" s="20"/>
      <c r="K1454" s="10"/>
      <c r="M1454" s="20"/>
      <c r="N1454" s="20"/>
      <c r="O1454" s="20"/>
      <c r="P1454" s="20"/>
      <c r="Q1454" s="20"/>
      <c r="R1454" s="20"/>
      <c r="S1454" s="20"/>
      <c r="T1454" s="20"/>
      <c r="U1454" s="20"/>
      <c r="V1454" s="20"/>
      <c r="W1454" s="20"/>
      <c r="X1454" s="20"/>
      <c r="Y1454" s="22"/>
      <c r="Z1454" s="22"/>
      <c r="AA1454" s="20"/>
      <c r="AB1454" s="20"/>
      <c r="AC1454" s="20"/>
      <c r="AD1454" s="20"/>
      <c r="AE1454" s="20"/>
      <c r="AF1454" s="20"/>
      <c r="AG1454" s="20"/>
      <c r="AH1454" s="20"/>
      <c r="AI1454" s="20"/>
      <c r="AJ1454" s="20"/>
      <c r="AK1454" s="20"/>
      <c r="AL1454" s="20"/>
      <c r="AM1454" s="20"/>
      <c r="AN1454" s="20"/>
      <c r="AS1454" s="11"/>
      <c r="AT1454" s="12"/>
    </row>
    <row r="1455" ht="14.25" customHeight="1">
      <c r="A1455" s="20"/>
      <c r="B1455" s="20"/>
      <c r="C1455" s="20"/>
      <c r="D1455" s="21"/>
      <c r="E1455" s="20"/>
      <c r="F1455" s="20"/>
      <c r="G1455" s="20"/>
      <c r="H1455" s="20"/>
      <c r="K1455" s="10"/>
      <c r="M1455" s="20"/>
      <c r="N1455" s="20"/>
      <c r="O1455" s="20"/>
      <c r="P1455" s="20"/>
      <c r="Q1455" s="20"/>
      <c r="R1455" s="20"/>
      <c r="S1455" s="20"/>
      <c r="T1455" s="20"/>
      <c r="U1455" s="20"/>
      <c r="V1455" s="20"/>
      <c r="W1455" s="20"/>
      <c r="X1455" s="20"/>
      <c r="Y1455" s="22"/>
      <c r="Z1455" s="22"/>
      <c r="AA1455" s="20"/>
      <c r="AB1455" s="20"/>
      <c r="AC1455" s="20"/>
      <c r="AD1455" s="20"/>
      <c r="AE1455" s="20"/>
      <c r="AF1455" s="20"/>
      <c r="AG1455" s="20"/>
      <c r="AH1455" s="20"/>
      <c r="AI1455" s="20"/>
      <c r="AJ1455" s="20"/>
      <c r="AK1455" s="20"/>
      <c r="AL1455" s="20"/>
      <c r="AM1455" s="20"/>
      <c r="AN1455" s="20"/>
      <c r="AS1455" s="11"/>
      <c r="AT1455" s="12"/>
    </row>
    <row r="1456" ht="14.25" customHeight="1">
      <c r="A1456" s="20"/>
      <c r="B1456" s="20"/>
      <c r="C1456" s="20"/>
      <c r="D1456" s="21"/>
      <c r="E1456" s="20"/>
      <c r="F1456" s="20"/>
      <c r="G1456" s="20"/>
      <c r="H1456" s="20"/>
      <c r="K1456" s="10"/>
      <c r="M1456" s="20"/>
      <c r="N1456" s="20"/>
      <c r="O1456" s="20"/>
      <c r="P1456" s="20"/>
      <c r="Q1456" s="20"/>
      <c r="R1456" s="20"/>
      <c r="S1456" s="20"/>
      <c r="T1456" s="20"/>
      <c r="U1456" s="20"/>
      <c r="V1456" s="20"/>
      <c r="W1456" s="20"/>
      <c r="X1456" s="20"/>
      <c r="Y1456" s="22"/>
      <c r="Z1456" s="22"/>
      <c r="AA1456" s="20"/>
      <c r="AB1456" s="20"/>
      <c r="AC1456" s="20"/>
      <c r="AD1456" s="20"/>
      <c r="AE1456" s="20"/>
      <c r="AF1456" s="20"/>
      <c r="AG1456" s="20"/>
      <c r="AH1456" s="20"/>
      <c r="AI1456" s="20"/>
      <c r="AJ1456" s="20"/>
      <c r="AK1456" s="20"/>
      <c r="AL1456" s="20"/>
      <c r="AM1456" s="20"/>
      <c r="AN1456" s="20"/>
      <c r="AS1456" s="11"/>
      <c r="AT1456" s="12"/>
    </row>
    <row r="1457" ht="14.25" customHeight="1">
      <c r="A1457" s="20"/>
      <c r="B1457" s="20"/>
      <c r="C1457" s="20"/>
      <c r="D1457" s="21"/>
      <c r="E1457" s="20"/>
      <c r="F1457" s="20"/>
      <c r="G1457" s="20"/>
      <c r="H1457" s="20"/>
      <c r="K1457" s="1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2"/>
      <c r="Z1457" s="22"/>
      <c r="AA1457" s="20"/>
      <c r="AB1457" s="20"/>
      <c r="AC1457" s="20"/>
      <c r="AD1457" s="20"/>
      <c r="AE1457" s="20"/>
      <c r="AF1457" s="20"/>
      <c r="AG1457" s="20"/>
      <c r="AH1457" s="20"/>
      <c r="AI1457" s="20"/>
      <c r="AJ1457" s="20"/>
      <c r="AK1457" s="20"/>
      <c r="AL1457" s="20"/>
      <c r="AM1457" s="20"/>
      <c r="AN1457" s="20"/>
      <c r="AS1457" s="11"/>
      <c r="AT1457" s="12"/>
    </row>
    <row r="1458" ht="14.25" customHeight="1">
      <c r="A1458" s="20"/>
      <c r="B1458" s="20"/>
      <c r="C1458" s="20"/>
      <c r="D1458" s="21"/>
      <c r="E1458" s="20"/>
      <c r="F1458" s="20"/>
      <c r="G1458" s="20"/>
      <c r="H1458" s="20"/>
      <c r="K1458" s="10"/>
      <c r="M1458" s="20"/>
      <c r="N1458" s="20"/>
      <c r="O1458" s="20"/>
      <c r="P1458" s="20"/>
      <c r="Q1458" s="20"/>
      <c r="R1458" s="20"/>
      <c r="S1458" s="20"/>
      <c r="T1458" s="20"/>
      <c r="U1458" s="20"/>
      <c r="V1458" s="20"/>
      <c r="W1458" s="20"/>
      <c r="X1458" s="20"/>
      <c r="Y1458" s="22"/>
      <c r="Z1458" s="22"/>
      <c r="AA1458" s="20"/>
      <c r="AB1458" s="20"/>
      <c r="AC1458" s="20"/>
      <c r="AD1458" s="20"/>
      <c r="AE1458" s="20"/>
      <c r="AF1458" s="20"/>
      <c r="AG1458" s="20"/>
      <c r="AH1458" s="20"/>
      <c r="AI1458" s="20"/>
      <c r="AJ1458" s="20"/>
      <c r="AK1458" s="20"/>
      <c r="AL1458" s="20"/>
      <c r="AM1458" s="20"/>
      <c r="AN1458" s="20"/>
      <c r="AS1458" s="11"/>
      <c r="AT1458" s="12"/>
    </row>
    <row r="1459" ht="14.25" customHeight="1">
      <c r="A1459" s="20"/>
      <c r="B1459" s="20"/>
      <c r="C1459" s="20"/>
      <c r="D1459" s="21"/>
      <c r="E1459" s="20"/>
      <c r="F1459" s="20"/>
      <c r="G1459" s="20"/>
      <c r="H1459" s="20"/>
      <c r="K1459" s="1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  <c r="X1459" s="20"/>
      <c r="Y1459" s="22"/>
      <c r="Z1459" s="22"/>
      <c r="AA1459" s="20"/>
      <c r="AB1459" s="20"/>
      <c r="AC1459" s="20"/>
      <c r="AD1459" s="20"/>
      <c r="AE1459" s="20"/>
      <c r="AF1459" s="20"/>
      <c r="AG1459" s="20"/>
      <c r="AH1459" s="20"/>
      <c r="AI1459" s="20"/>
      <c r="AJ1459" s="20"/>
      <c r="AK1459" s="20"/>
      <c r="AL1459" s="20"/>
      <c r="AM1459" s="20"/>
      <c r="AN1459" s="20"/>
      <c r="AS1459" s="11"/>
      <c r="AT1459" s="12"/>
    </row>
    <row r="1460" ht="14.25" customHeight="1">
      <c r="A1460" s="20"/>
      <c r="B1460" s="20"/>
      <c r="C1460" s="20"/>
      <c r="D1460" s="21"/>
      <c r="E1460" s="20"/>
      <c r="F1460" s="20"/>
      <c r="G1460" s="20"/>
      <c r="H1460" s="20"/>
      <c r="K1460" s="1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2"/>
      <c r="Z1460" s="22"/>
      <c r="AA1460" s="20"/>
      <c r="AB1460" s="20"/>
      <c r="AC1460" s="20"/>
      <c r="AD1460" s="20"/>
      <c r="AE1460" s="20"/>
      <c r="AF1460" s="20"/>
      <c r="AG1460" s="20"/>
      <c r="AH1460" s="20"/>
      <c r="AI1460" s="20"/>
      <c r="AJ1460" s="20"/>
      <c r="AK1460" s="20"/>
      <c r="AL1460" s="20"/>
      <c r="AM1460" s="20"/>
      <c r="AN1460" s="20"/>
      <c r="AS1460" s="11"/>
      <c r="AT1460" s="12"/>
    </row>
    <row r="1461" ht="14.25" customHeight="1">
      <c r="A1461" s="20"/>
      <c r="B1461" s="20"/>
      <c r="C1461" s="20"/>
      <c r="D1461" s="21"/>
      <c r="E1461" s="20"/>
      <c r="F1461" s="20"/>
      <c r="G1461" s="20"/>
      <c r="H1461" s="20"/>
      <c r="K1461" s="10"/>
      <c r="M1461" s="20"/>
      <c r="N1461" s="20"/>
      <c r="O1461" s="20"/>
      <c r="P1461" s="20"/>
      <c r="Q1461" s="20"/>
      <c r="R1461" s="20"/>
      <c r="S1461" s="20"/>
      <c r="T1461" s="20"/>
      <c r="U1461" s="20"/>
      <c r="V1461" s="20"/>
      <c r="W1461" s="20"/>
      <c r="X1461" s="20"/>
      <c r="Y1461" s="22"/>
      <c r="Z1461" s="22"/>
      <c r="AA1461" s="20"/>
      <c r="AB1461" s="20"/>
      <c r="AC1461" s="20"/>
      <c r="AD1461" s="20"/>
      <c r="AE1461" s="20"/>
      <c r="AF1461" s="20"/>
      <c r="AG1461" s="20"/>
      <c r="AH1461" s="20"/>
      <c r="AI1461" s="20"/>
      <c r="AJ1461" s="20"/>
      <c r="AK1461" s="20"/>
      <c r="AL1461" s="20"/>
      <c r="AM1461" s="20"/>
      <c r="AN1461" s="20"/>
      <c r="AS1461" s="11"/>
      <c r="AT1461" s="12"/>
    </row>
    <row r="1462" ht="14.25" customHeight="1">
      <c r="A1462" s="20"/>
      <c r="B1462" s="20"/>
      <c r="C1462" s="20"/>
      <c r="D1462" s="21"/>
      <c r="E1462" s="20"/>
      <c r="F1462" s="20"/>
      <c r="G1462" s="20"/>
      <c r="H1462" s="20"/>
      <c r="K1462" s="1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  <c r="W1462" s="20"/>
      <c r="X1462" s="20"/>
      <c r="Y1462" s="22"/>
      <c r="Z1462" s="22"/>
      <c r="AA1462" s="20"/>
      <c r="AB1462" s="20"/>
      <c r="AC1462" s="20"/>
      <c r="AD1462" s="20"/>
      <c r="AE1462" s="20"/>
      <c r="AF1462" s="20"/>
      <c r="AG1462" s="20"/>
      <c r="AH1462" s="20"/>
      <c r="AI1462" s="20"/>
      <c r="AJ1462" s="20"/>
      <c r="AK1462" s="20"/>
      <c r="AL1462" s="20"/>
      <c r="AM1462" s="20"/>
      <c r="AN1462" s="20"/>
      <c r="AS1462" s="11"/>
      <c r="AT1462" s="12"/>
    </row>
    <row r="1463" ht="14.25" customHeight="1">
      <c r="A1463" s="20"/>
      <c r="B1463" s="20"/>
      <c r="C1463" s="20"/>
      <c r="D1463" s="21"/>
      <c r="E1463" s="20"/>
      <c r="F1463" s="20"/>
      <c r="G1463" s="20"/>
      <c r="H1463" s="20"/>
      <c r="K1463" s="1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2"/>
      <c r="Z1463" s="22"/>
      <c r="AA1463" s="20"/>
      <c r="AB1463" s="20"/>
      <c r="AC1463" s="20"/>
      <c r="AD1463" s="20"/>
      <c r="AE1463" s="20"/>
      <c r="AF1463" s="20"/>
      <c r="AG1463" s="20"/>
      <c r="AH1463" s="20"/>
      <c r="AI1463" s="20"/>
      <c r="AJ1463" s="20"/>
      <c r="AK1463" s="20"/>
      <c r="AL1463" s="20"/>
      <c r="AM1463" s="20"/>
      <c r="AN1463" s="20"/>
      <c r="AS1463" s="11"/>
      <c r="AT1463" s="12"/>
    </row>
    <row r="1464" ht="14.25" customHeight="1">
      <c r="A1464" s="20"/>
      <c r="B1464" s="20"/>
      <c r="C1464" s="20"/>
      <c r="D1464" s="21"/>
      <c r="E1464" s="20"/>
      <c r="F1464" s="20"/>
      <c r="G1464" s="20"/>
      <c r="H1464" s="20"/>
      <c r="K1464" s="10"/>
      <c r="M1464" s="20"/>
      <c r="N1464" s="20"/>
      <c r="O1464" s="20"/>
      <c r="P1464" s="20"/>
      <c r="Q1464" s="20"/>
      <c r="R1464" s="20"/>
      <c r="S1464" s="20"/>
      <c r="T1464" s="20"/>
      <c r="U1464" s="20"/>
      <c r="V1464" s="20"/>
      <c r="W1464" s="20"/>
      <c r="X1464" s="20"/>
      <c r="Y1464" s="22"/>
      <c r="Z1464" s="22"/>
      <c r="AA1464" s="20"/>
      <c r="AB1464" s="20"/>
      <c r="AC1464" s="20"/>
      <c r="AD1464" s="20"/>
      <c r="AE1464" s="20"/>
      <c r="AF1464" s="20"/>
      <c r="AG1464" s="20"/>
      <c r="AH1464" s="20"/>
      <c r="AI1464" s="20"/>
      <c r="AJ1464" s="20"/>
      <c r="AK1464" s="20"/>
      <c r="AL1464" s="20"/>
      <c r="AM1464" s="20"/>
      <c r="AN1464" s="20"/>
      <c r="AS1464" s="11"/>
      <c r="AT1464" s="12"/>
    </row>
    <row r="1465" ht="14.25" customHeight="1">
      <c r="A1465" s="20"/>
      <c r="B1465" s="20"/>
      <c r="C1465" s="20"/>
      <c r="D1465" s="21"/>
      <c r="E1465" s="20"/>
      <c r="F1465" s="20"/>
      <c r="G1465" s="20"/>
      <c r="H1465" s="20"/>
      <c r="K1465" s="10"/>
      <c r="M1465" s="20"/>
      <c r="N1465" s="20"/>
      <c r="O1465" s="20"/>
      <c r="P1465" s="20"/>
      <c r="Q1465" s="20"/>
      <c r="R1465" s="20"/>
      <c r="S1465" s="20"/>
      <c r="T1465" s="20"/>
      <c r="U1465" s="20"/>
      <c r="V1465" s="20"/>
      <c r="W1465" s="20"/>
      <c r="X1465" s="20"/>
      <c r="Y1465" s="22"/>
      <c r="Z1465" s="22"/>
      <c r="AA1465" s="20"/>
      <c r="AB1465" s="20"/>
      <c r="AC1465" s="20"/>
      <c r="AD1465" s="20"/>
      <c r="AE1465" s="20"/>
      <c r="AF1465" s="20"/>
      <c r="AG1465" s="20"/>
      <c r="AH1465" s="20"/>
      <c r="AI1465" s="20"/>
      <c r="AJ1465" s="20"/>
      <c r="AK1465" s="20"/>
      <c r="AL1465" s="20"/>
      <c r="AM1465" s="20"/>
      <c r="AN1465" s="20"/>
      <c r="AS1465" s="11"/>
      <c r="AT1465" s="12"/>
    </row>
    <row r="1466" ht="14.25" customHeight="1">
      <c r="A1466" s="20"/>
      <c r="B1466" s="20"/>
      <c r="C1466" s="20"/>
      <c r="D1466" s="21"/>
      <c r="E1466" s="20"/>
      <c r="F1466" s="20"/>
      <c r="G1466" s="20"/>
      <c r="H1466" s="20"/>
      <c r="K1466" s="1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2"/>
      <c r="Z1466" s="22"/>
      <c r="AA1466" s="20"/>
      <c r="AB1466" s="20"/>
      <c r="AC1466" s="20"/>
      <c r="AD1466" s="20"/>
      <c r="AE1466" s="20"/>
      <c r="AF1466" s="20"/>
      <c r="AG1466" s="20"/>
      <c r="AH1466" s="20"/>
      <c r="AI1466" s="20"/>
      <c r="AJ1466" s="20"/>
      <c r="AK1466" s="20"/>
      <c r="AL1466" s="20"/>
      <c r="AM1466" s="20"/>
      <c r="AN1466" s="20"/>
      <c r="AS1466" s="11"/>
      <c r="AT1466" s="12"/>
    </row>
    <row r="1467" ht="14.25" customHeight="1">
      <c r="A1467" s="20"/>
      <c r="B1467" s="20"/>
      <c r="C1467" s="20"/>
      <c r="D1467" s="21"/>
      <c r="E1467" s="20"/>
      <c r="F1467" s="20"/>
      <c r="G1467" s="20"/>
      <c r="H1467" s="20"/>
      <c r="K1467" s="10"/>
      <c r="M1467" s="20"/>
      <c r="N1467" s="20"/>
      <c r="O1467" s="20"/>
      <c r="P1467" s="20"/>
      <c r="Q1467" s="20"/>
      <c r="R1467" s="20"/>
      <c r="S1467" s="20"/>
      <c r="T1467" s="20"/>
      <c r="U1467" s="20"/>
      <c r="V1467" s="20"/>
      <c r="W1467" s="20"/>
      <c r="X1467" s="20"/>
      <c r="Y1467" s="22"/>
      <c r="Z1467" s="22"/>
      <c r="AA1467" s="20"/>
      <c r="AB1467" s="20"/>
      <c r="AC1467" s="20"/>
      <c r="AD1467" s="20"/>
      <c r="AE1467" s="20"/>
      <c r="AF1467" s="20"/>
      <c r="AG1467" s="20"/>
      <c r="AH1467" s="20"/>
      <c r="AI1467" s="20"/>
      <c r="AJ1467" s="20"/>
      <c r="AK1467" s="20"/>
      <c r="AL1467" s="20"/>
      <c r="AM1467" s="20"/>
      <c r="AN1467" s="20"/>
      <c r="AS1467" s="11"/>
      <c r="AT1467" s="12"/>
    </row>
    <row r="1468" ht="14.25" customHeight="1">
      <c r="A1468" s="20"/>
      <c r="B1468" s="20"/>
      <c r="C1468" s="20"/>
      <c r="D1468" s="21"/>
      <c r="E1468" s="20"/>
      <c r="F1468" s="20"/>
      <c r="G1468" s="20"/>
      <c r="H1468" s="20"/>
      <c r="K1468" s="1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  <c r="X1468" s="20"/>
      <c r="Y1468" s="22"/>
      <c r="Z1468" s="22"/>
      <c r="AA1468" s="20"/>
      <c r="AB1468" s="20"/>
      <c r="AC1468" s="20"/>
      <c r="AD1468" s="20"/>
      <c r="AE1468" s="20"/>
      <c r="AF1468" s="20"/>
      <c r="AG1468" s="20"/>
      <c r="AH1468" s="20"/>
      <c r="AI1468" s="20"/>
      <c r="AJ1468" s="20"/>
      <c r="AK1468" s="20"/>
      <c r="AL1468" s="20"/>
      <c r="AM1468" s="20"/>
      <c r="AN1468" s="20"/>
      <c r="AS1468" s="11"/>
      <c r="AT1468" s="12"/>
    </row>
    <row r="1469" ht="14.25" customHeight="1">
      <c r="A1469" s="20"/>
      <c r="B1469" s="20"/>
      <c r="C1469" s="20"/>
      <c r="D1469" s="21"/>
      <c r="E1469" s="20"/>
      <c r="F1469" s="20"/>
      <c r="G1469" s="20"/>
      <c r="H1469" s="20"/>
      <c r="K1469" s="10"/>
      <c r="M1469" s="20"/>
      <c r="N1469" s="20"/>
      <c r="O1469" s="20"/>
      <c r="P1469" s="20"/>
      <c r="Q1469" s="20"/>
      <c r="R1469" s="20"/>
      <c r="S1469" s="20"/>
      <c r="T1469" s="20"/>
      <c r="U1469" s="20"/>
      <c r="V1469" s="20"/>
      <c r="W1469" s="20"/>
      <c r="X1469" s="20"/>
      <c r="Y1469" s="22"/>
      <c r="Z1469" s="22"/>
      <c r="AA1469" s="20"/>
      <c r="AB1469" s="20"/>
      <c r="AC1469" s="20"/>
      <c r="AD1469" s="20"/>
      <c r="AE1469" s="20"/>
      <c r="AF1469" s="20"/>
      <c r="AG1469" s="20"/>
      <c r="AH1469" s="20"/>
      <c r="AI1469" s="20"/>
      <c r="AJ1469" s="20"/>
      <c r="AK1469" s="20"/>
      <c r="AL1469" s="20"/>
      <c r="AM1469" s="20"/>
      <c r="AN1469" s="20"/>
      <c r="AS1469" s="11"/>
      <c r="AT1469" s="12"/>
    </row>
    <row r="1470" ht="14.25" customHeight="1">
      <c r="A1470" s="20"/>
      <c r="B1470" s="20"/>
      <c r="C1470" s="20"/>
      <c r="D1470" s="21"/>
      <c r="E1470" s="20"/>
      <c r="F1470" s="20"/>
      <c r="G1470" s="20"/>
      <c r="H1470" s="20"/>
      <c r="K1470" s="1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  <c r="X1470" s="20"/>
      <c r="Y1470" s="22"/>
      <c r="Z1470" s="22"/>
      <c r="AA1470" s="20"/>
      <c r="AB1470" s="20"/>
      <c r="AC1470" s="20"/>
      <c r="AD1470" s="20"/>
      <c r="AE1470" s="20"/>
      <c r="AF1470" s="20"/>
      <c r="AG1470" s="20"/>
      <c r="AH1470" s="20"/>
      <c r="AI1470" s="20"/>
      <c r="AJ1470" s="20"/>
      <c r="AK1470" s="20"/>
      <c r="AL1470" s="20"/>
      <c r="AM1470" s="20"/>
      <c r="AN1470" s="20"/>
      <c r="AS1470" s="11"/>
      <c r="AT1470" s="12"/>
    </row>
    <row r="1471" ht="14.25" customHeight="1">
      <c r="A1471" s="20"/>
      <c r="B1471" s="20"/>
      <c r="C1471" s="20"/>
      <c r="D1471" s="21"/>
      <c r="E1471" s="20"/>
      <c r="F1471" s="20"/>
      <c r="G1471" s="20"/>
      <c r="H1471" s="20"/>
      <c r="K1471" s="10"/>
      <c r="M1471" s="20"/>
      <c r="N1471" s="20"/>
      <c r="O1471" s="20"/>
      <c r="P1471" s="20"/>
      <c r="Q1471" s="20"/>
      <c r="R1471" s="20"/>
      <c r="S1471" s="20"/>
      <c r="T1471" s="20"/>
      <c r="U1471" s="20"/>
      <c r="V1471" s="20"/>
      <c r="W1471" s="20"/>
      <c r="X1471" s="20"/>
      <c r="Y1471" s="22"/>
      <c r="Z1471" s="22"/>
      <c r="AA1471" s="20"/>
      <c r="AB1471" s="20"/>
      <c r="AC1471" s="20"/>
      <c r="AD1471" s="20"/>
      <c r="AE1471" s="20"/>
      <c r="AF1471" s="20"/>
      <c r="AG1471" s="20"/>
      <c r="AH1471" s="20"/>
      <c r="AI1471" s="20"/>
      <c r="AJ1471" s="20"/>
      <c r="AK1471" s="20"/>
      <c r="AL1471" s="20"/>
      <c r="AM1471" s="20"/>
      <c r="AN1471" s="20"/>
      <c r="AS1471" s="11"/>
      <c r="AT1471" s="12"/>
    </row>
    <row r="1472" ht="14.25" customHeight="1">
      <c r="A1472" s="20"/>
      <c r="B1472" s="20"/>
      <c r="C1472" s="20"/>
      <c r="D1472" s="21"/>
      <c r="E1472" s="20"/>
      <c r="F1472" s="20"/>
      <c r="G1472" s="20"/>
      <c r="H1472" s="20"/>
      <c r="K1472" s="10"/>
      <c r="M1472" s="20"/>
      <c r="N1472" s="20"/>
      <c r="O1472" s="20"/>
      <c r="P1472" s="20"/>
      <c r="Q1472" s="20"/>
      <c r="R1472" s="20"/>
      <c r="S1472" s="20"/>
      <c r="T1472" s="20"/>
      <c r="U1472" s="20"/>
      <c r="V1472" s="20"/>
      <c r="W1472" s="20"/>
      <c r="X1472" s="20"/>
      <c r="Y1472" s="22"/>
      <c r="Z1472" s="22"/>
      <c r="AA1472" s="20"/>
      <c r="AB1472" s="20"/>
      <c r="AC1472" s="20"/>
      <c r="AD1472" s="20"/>
      <c r="AE1472" s="20"/>
      <c r="AF1472" s="20"/>
      <c r="AG1472" s="20"/>
      <c r="AH1472" s="20"/>
      <c r="AI1472" s="20"/>
      <c r="AJ1472" s="20"/>
      <c r="AK1472" s="20"/>
      <c r="AL1472" s="20"/>
      <c r="AM1472" s="20"/>
      <c r="AN1472" s="20"/>
      <c r="AS1472" s="11"/>
      <c r="AT1472" s="12"/>
    </row>
    <row r="1473" ht="14.25" customHeight="1">
      <c r="A1473" s="20"/>
      <c r="B1473" s="20"/>
      <c r="C1473" s="20"/>
      <c r="D1473" s="21"/>
      <c r="E1473" s="20"/>
      <c r="F1473" s="20"/>
      <c r="G1473" s="20"/>
      <c r="H1473" s="20"/>
      <c r="K1473" s="10"/>
      <c r="M1473" s="20"/>
      <c r="N1473" s="20"/>
      <c r="O1473" s="20"/>
      <c r="P1473" s="20"/>
      <c r="Q1473" s="20"/>
      <c r="R1473" s="20"/>
      <c r="S1473" s="20"/>
      <c r="T1473" s="20"/>
      <c r="U1473" s="20"/>
      <c r="V1473" s="20"/>
      <c r="W1473" s="20"/>
      <c r="X1473" s="20"/>
      <c r="Y1473" s="22"/>
      <c r="Z1473" s="22"/>
      <c r="AA1473" s="20"/>
      <c r="AB1473" s="20"/>
      <c r="AC1473" s="20"/>
      <c r="AD1473" s="20"/>
      <c r="AE1473" s="20"/>
      <c r="AF1473" s="20"/>
      <c r="AG1473" s="20"/>
      <c r="AH1473" s="20"/>
      <c r="AI1473" s="20"/>
      <c r="AJ1473" s="20"/>
      <c r="AK1473" s="20"/>
      <c r="AL1473" s="20"/>
      <c r="AM1473" s="20"/>
      <c r="AN1473" s="20"/>
      <c r="AS1473" s="11"/>
      <c r="AT1473" s="12"/>
    </row>
    <row r="1474" ht="14.25" customHeight="1">
      <c r="A1474" s="20"/>
      <c r="B1474" s="20"/>
      <c r="C1474" s="20"/>
      <c r="D1474" s="21"/>
      <c r="E1474" s="20"/>
      <c r="F1474" s="20"/>
      <c r="G1474" s="20"/>
      <c r="H1474" s="20"/>
      <c r="K1474" s="10"/>
      <c r="M1474" s="20"/>
      <c r="N1474" s="20"/>
      <c r="O1474" s="20"/>
      <c r="P1474" s="20"/>
      <c r="Q1474" s="20"/>
      <c r="R1474" s="20"/>
      <c r="S1474" s="20"/>
      <c r="T1474" s="20"/>
      <c r="U1474" s="20"/>
      <c r="V1474" s="20"/>
      <c r="W1474" s="20"/>
      <c r="X1474" s="20"/>
      <c r="Y1474" s="22"/>
      <c r="Z1474" s="22"/>
      <c r="AA1474" s="20"/>
      <c r="AB1474" s="20"/>
      <c r="AC1474" s="20"/>
      <c r="AD1474" s="20"/>
      <c r="AE1474" s="20"/>
      <c r="AF1474" s="20"/>
      <c r="AG1474" s="20"/>
      <c r="AH1474" s="20"/>
      <c r="AI1474" s="20"/>
      <c r="AJ1474" s="20"/>
      <c r="AK1474" s="20"/>
      <c r="AL1474" s="20"/>
      <c r="AM1474" s="20"/>
      <c r="AN1474" s="20"/>
      <c r="AS1474" s="11"/>
      <c r="AT1474" s="12"/>
    </row>
    <row r="1475" ht="14.25" customHeight="1">
      <c r="A1475" s="20"/>
      <c r="B1475" s="20"/>
      <c r="C1475" s="20"/>
      <c r="D1475" s="21"/>
      <c r="E1475" s="20"/>
      <c r="F1475" s="20"/>
      <c r="G1475" s="20"/>
      <c r="H1475" s="20"/>
      <c r="K1475" s="1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2"/>
      <c r="Z1475" s="22"/>
      <c r="AA1475" s="20"/>
      <c r="AB1475" s="20"/>
      <c r="AC1475" s="20"/>
      <c r="AD1475" s="20"/>
      <c r="AE1475" s="20"/>
      <c r="AF1475" s="20"/>
      <c r="AG1475" s="20"/>
      <c r="AH1475" s="20"/>
      <c r="AI1475" s="20"/>
      <c r="AJ1475" s="20"/>
      <c r="AK1475" s="20"/>
      <c r="AL1475" s="20"/>
      <c r="AM1475" s="20"/>
      <c r="AN1475" s="20"/>
      <c r="AS1475" s="11"/>
      <c r="AT1475" s="12"/>
    </row>
    <row r="1476" ht="14.25" customHeight="1">
      <c r="A1476" s="20"/>
      <c r="B1476" s="20"/>
      <c r="C1476" s="20"/>
      <c r="D1476" s="21"/>
      <c r="E1476" s="20"/>
      <c r="F1476" s="20"/>
      <c r="G1476" s="20"/>
      <c r="H1476" s="20"/>
      <c r="K1476" s="10"/>
      <c r="M1476" s="20"/>
      <c r="N1476" s="20"/>
      <c r="O1476" s="20"/>
      <c r="P1476" s="20"/>
      <c r="Q1476" s="20"/>
      <c r="R1476" s="20"/>
      <c r="S1476" s="20"/>
      <c r="T1476" s="20"/>
      <c r="U1476" s="20"/>
      <c r="V1476" s="20"/>
      <c r="W1476" s="20"/>
      <c r="X1476" s="20"/>
      <c r="Y1476" s="22"/>
      <c r="Z1476" s="22"/>
      <c r="AA1476" s="20"/>
      <c r="AB1476" s="20"/>
      <c r="AC1476" s="20"/>
      <c r="AD1476" s="20"/>
      <c r="AE1476" s="20"/>
      <c r="AF1476" s="20"/>
      <c r="AG1476" s="20"/>
      <c r="AH1476" s="20"/>
      <c r="AI1476" s="20"/>
      <c r="AJ1476" s="20"/>
      <c r="AK1476" s="20"/>
      <c r="AL1476" s="20"/>
      <c r="AM1476" s="20"/>
      <c r="AN1476" s="20"/>
      <c r="AS1476" s="11"/>
      <c r="AT1476" s="12"/>
    </row>
    <row r="1477" ht="14.25" customHeight="1">
      <c r="A1477" s="20"/>
      <c r="B1477" s="20"/>
      <c r="C1477" s="20"/>
      <c r="D1477" s="21"/>
      <c r="E1477" s="20"/>
      <c r="F1477" s="20"/>
      <c r="G1477" s="20"/>
      <c r="H1477" s="20"/>
      <c r="K1477" s="10"/>
      <c r="M1477" s="20"/>
      <c r="N1477" s="20"/>
      <c r="O1477" s="20"/>
      <c r="P1477" s="20"/>
      <c r="Q1477" s="20"/>
      <c r="R1477" s="20"/>
      <c r="S1477" s="20"/>
      <c r="T1477" s="20"/>
      <c r="U1477" s="20"/>
      <c r="V1477" s="20"/>
      <c r="W1477" s="20"/>
      <c r="X1477" s="20"/>
      <c r="Y1477" s="22"/>
      <c r="Z1477" s="22"/>
      <c r="AA1477" s="20"/>
      <c r="AB1477" s="20"/>
      <c r="AC1477" s="20"/>
      <c r="AD1477" s="20"/>
      <c r="AE1477" s="20"/>
      <c r="AF1477" s="20"/>
      <c r="AG1477" s="20"/>
      <c r="AH1477" s="20"/>
      <c r="AI1477" s="20"/>
      <c r="AJ1477" s="20"/>
      <c r="AK1477" s="20"/>
      <c r="AL1477" s="20"/>
      <c r="AM1477" s="20"/>
      <c r="AN1477" s="20"/>
      <c r="AS1477" s="11"/>
      <c r="AT1477" s="12"/>
    </row>
    <row r="1478" ht="14.25" customHeight="1">
      <c r="A1478" s="20"/>
      <c r="B1478" s="20"/>
      <c r="C1478" s="20"/>
      <c r="D1478" s="21"/>
      <c r="E1478" s="20"/>
      <c r="F1478" s="20"/>
      <c r="G1478" s="20"/>
      <c r="H1478" s="20"/>
      <c r="K1478" s="10"/>
      <c r="M1478" s="20"/>
      <c r="N1478" s="20"/>
      <c r="O1478" s="20"/>
      <c r="P1478" s="20"/>
      <c r="Q1478" s="20"/>
      <c r="R1478" s="20"/>
      <c r="S1478" s="20"/>
      <c r="T1478" s="20"/>
      <c r="U1478" s="20"/>
      <c r="V1478" s="20"/>
      <c r="W1478" s="20"/>
      <c r="X1478" s="20"/>
      <c r="Y1478" s="22"/>
      <c r="Z1478" s="22"/>
      <c r="AA1478" s="20"/>
      <c r="AB1478" s="20"/>
      <c r="AC1478" s="20"/>
      <c r="AD1478" s="20"/>
      <c r="AE1478" s="20"/>
      <c r="AF1478" s="20"/>
      <c r="AG1478" s="20"/>
      <c r="AH1478" s="20"/>
      <c r="AI1478" s="20"/>
      <c r="AJ1478" s="20"/>
      <c r="AK1478" s="20"/>
      <c r="AL1478" s="20"/>
      <c r="AM1478" s="20"/>
      <c r="AN1478" s="20"/>
      <c r="AS1478" s="11"/>
      <c r="AT1478" s="12"/>
    </row>
    <row r="1479" ht="14.25" customHeight="1">
      <c r="A1479" s="20"/>
      <c r="B1479" s="20"/>
      <c r="C1479" s="20"/>
      <c r="D1479" s="21"/>
      <c r="E1479" s="20"/>
      <c r="F1479" s="20"/>
      <c r="G1479" s="20"/>
      <c r="H1479" s="20"/>
      <c r="K1479" s="10"/>
      <c r="M1479" s="20"/>
      <c r="N1479" s="20"/>
      <c r="O1479" s="20"/>
      <c r="P1479" s="20"/>
      <c r="Q1479" s="20"/>
      <c r="R1479" s="20"/>
      <c r="S1479" s="20"/>
      <c r="T1479" s="20"/>
      <c r="U1479" s="20"/>
      <c r="V1479" s="20"/>
      <c r="W1479" s="20"/>
      <c r="X1479" s="20"/>
      <c r="Y1479" s="22"/>
      <c r="Z1479" s="22"/>
      <c r="AA1479" s="20"/>
      <c r="AB1479" s="20"/>
      <c r="AC1479" s="20"/>
      <c r="AD1479" s="20"/>
      <c r="AE1479" s="20"/>
      <c r="AF1479" s="20"/>
      <c r="AG1479" s="20"/>
      <c r="AH1479" s="20"/>
      <c r="AI1479" s="20"/>
      <c r="AJ1479" s="20"/>
      <c r="AK1479" s="20"/>
      <c r="AL1479" s="20"/>
      <c r="AM1479" s="20"/>
      <c r="AN1479" s="20"/>
      <c r="AS1479" s="11"/>
      <c r="AT1479" s="12"/>
    </row>
    <row r="1480" ht="14.25" customHeight="1">
      <c r="A1480" s="20"/>
      <c r="B1480" s="20"/>
      <c r="C1480" s="20"/>
      <c r="D1480" s="21"/>
      <c r="E1480" s="20"/>
      <c r="F1480" s="20"/>
      <c r="G1480" s="20"/>
      <c r="H1480" s="20"/>
      <c r="K1480" s="10"/>
      <c r="M1480" s="20"/>
      <c r="N1480" s="20"/>
      <c r="O1480" s="20"/>
      <c r="P1480" s="20"/>
      <c r="Q1480" s="20"/>
      <c r="R1480" s="20"/>
      <c r="S1480" s="20"/>
      <c r="T1480" s="20"/>
      <c r="U1480" s="20"/>
      <c r="V1480" s="20"/>
      <c r="W1480" s="20"/>
      <c r="X1480" s="20"/>
      <c r="Y1480" s="22"/>
      <c r="Z1480" s="22"/>
      <c r="AA1480" s="20"/>
      <c r="AB1480" s="20"/>
      <c r="AC1480" s="20"/>
      <c r="AD1480" s="20"/>
      <c r="AE1480" s="20"/>
      <c r="AF1480" s="20"/>
      <c r="AG1480" s="20"/>
      <c r="AH1480" s="20"/>
      <c r="AI1480" s="20"/>
      <c r="AJ1480" s="20"/>
      <c r="AK1480" s="20"/>
      <c r="AL1480" s="20"/>
      <c r="AM1480" s="20"/>
      <c r="AN1480" s="20"/>
      <c r="AS1480" s="11"/>
      <c r="AT1480" s="12"/>
    </row>
    <row r="1481" ht="14.25" customHeight="1">
      <c r="A1481" s="20"/>
      <c r="B1481" s="20"/>
      <c r="C1481" s="20"/>
      <c r="D1481" s="21"/>
      <c r="E1481" s="20"/>
      <c r="F1481" s="20"/>
      <c r="G1481" s="20"/>
      <c r="H1481" s="20"/>
      <c r="K1481" s="10"/>
      <c r="M1481" s="20"/>
      <c r="N1481" s="20"/>
      <c r="O1481" s="20"/>
      <c r="P1481" s="20"/>
      <c r="Q1481" s="20"/>
      <c r="R1481" s="20"/>
      <c r="S1481" s="20"/>
      <c r="T1481" s="20"/>
      <c r="U1481" s="20"/>
      <c r="V1481" s="20"/>
      <c r="W1481" s="20"/>
      <c r="X1481" s="20"/>
      <c r="Y1481" s="22"/>
      <c r="Z1481" s="22"/>
      <c r="AA1481" s="20"/>
      <c r="AB1481" s="20"/>
      <c r="AC1481" s="20"/>
      <c r="AD1481" s="20"/>
      <c r="AE1481" s="20"/>
      <c r="AF1481" s="20"/>
      <c r="AG1481" s="20"/>
      <c r="AH1481" s="20"/>
      <c r="AI1481" s="20"/>
      <c r="AJ1481" s="20"/>
      <c r="AK1481" s="20"/>
      <c r="AL1481" s="20"/>
      <c r="AM1481" s="20"/>
      <c r="AN1481" s="20"/>
      <c r="AS1481" s="11"/>
      <c r="AT1481" s="12"/>
    </row>
    <row r="1482" ht="14.25" customHeight="1">
      <c r="A1482" s="20"/>
      <c r="B1482" s="20"/>
      <c r="C1482" s="20"/>
      <c r="D1482" s="21"/>
      <c r="E1482" s="20"/>
      <c r="F1482" s="20"/>
      <c r="G1482" s="20"/>
      <c r="H1482" s="20"/>
      <c r="K1482" s="10"/>
      <c r="M1482" s="20"/>
      <c r="N1482" s="20"/>
      <c r="O1482" s="20"/>
      <c r="P1482" s="20"/>
      <c r="Q1482" s="20"/>
      <c r="R1482" s="20"/>
      <c r="S1482" s="20"/>
      <c r="T1482" s="20"/>
      <c r="U1482" s="20"/>
      <c r="V1482" s="20"/>
      <c r="W1482" s="20"/>
      <c r="X1482" s="20"/>
      <c r="Y1482" s="22"/>
      <c r="Z1482" s="22"/>
      <c r="AA1482" s="20"/>
      <c r="AB1482" s="20"/>
      <c r="AC1482" s="20"/>
      <c r="AD1482" s="20"/>
      <c r="AE1482" s="20"/>
      <c r="AF1482" s="20"/>
      <c r="AG1482" s="20"/>
      <c r="AH1482" s="20"/>
      <c r="AI1482" s="20"/>
      <c r="AJ1482" s="20"/>
      <c r="AK1482" s="20"/>
      <c r="AL1482" s="20"/>
      <c r="AM1482" s="20"/>
      <c r="AN1482" s="20"/>
      <c r="AS1482" s="11"/>
      <c r="AT1482" s="12"/>
    </row>
    <row r="1483" ht="14.25" customHeight="1">
      <c r="A1483" s="20"/>
      <c r="B1483" s="20"/>
      <c r="C1483" s="20"/>
      <c r="D1483" s="21"/>
      <c r="E1483" s="20"/>
      <c r="F1483" s="20"/>
      <c r="G1483" s="20"/>
      <c r="H1483" s="20"/>
      <c r="K1483" s="10"/>
      <c r="M1483" s="20"/>
      <c r="N1483" s="20"/>
      <c r="O1483" s="20"/>
      <c r="P1483" s="20"/>
      <c r="Q1483" s="20"/>
      <c r="R1483" s="20"/>
      <c r="S1483" s="20"/>
      <c r="T1483" s="20"/>
      <c r="U1483" s="20"/>
      <c r="V1483" s="20"/>
      <c r="W1483" s="20"/>
      <c r="X1483" s="20"/>
      <c r="Y1483" s="22"/>
      <c r="Z1483" s="22"/>
      <c r="AA1483" s="20"/>
      <c r="AB1483" s="20"/>
      <c r="AC1483" s="20"/>
      <c r="AD1483" s="20"/>
      <c r="AE1483" s="20"/>
      <c r="AF1483" s="20"/>
      <c r="AG1483" s="20"/>
      <c r="AH1483" s="20"/>
      <c r="AI1483" s="20"/>
      <c r="AJ1483" s="20"/>
      <c r="AK1483" s="20"/>
      <c r="AL1483" s="20"/>
      <c r="AM1483" s="20"/>
      <c r="AN1483" s="20"/>
      <c r="AS1483" s="11"/>
      <c r="AT1483" s="12"/>
    </row>
    <row r="1484" ht="14.25" customHeight="1">
      <c r="A1484" s="20"/>
      <c r="B1484" s="20"/>
      <c r="C1484" s="20"/>
      <c r="D1484" s="21"/>
      <c r="E1484" s="20"/>
      <c r="F1484" s="20"/>
      <c r="G1484" s="20"/>
      <c r="H1484" s="20"/>
      <c r="K1484" s="1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2"/>
      <c r="Z1484" s="22"/>
      <c r="AA1484" s="20"/>
      <c r="AB1484" s="20"/>
      <c r="AC1484" s="20"/>
      <c r="AD1484" s="20"/>
      <c r="AE1484" s="20"/>
      <c r="AF1484" s="20"/>
      <c r="AG1484" s="20"/>
      <c r="AH1484" s="20"/>
      <c r="AI1484" s="20"/>
      <c r="AJ1484" s="20"/>
      <c r="AK1484" s="20"/>
      <c r="AL1484" s="20"/>
      <c r="AM1484" s="20"/>
      <c r="AN1484" s="20"/>
      <c r="AS1484" s="11"/>
      <c r="AT1484" s="12"/>
    </row>
    <row r="1485" ht="14.25" customHeight="1">
      <c r="A1485" s="20"/>
      <c r="B1485" s="20"/>
      <c r="C1485" s="20"/>
      <c r="D1485" s="21"/>
      <c r="E1485" s="20"/>
      <c r="F1485" s="20"/>
      <c r="G1485" s="20"/>
      <c r="H1485" s="20"/>
      <c r="K1485" s="10"/>
      <c r="M1485" s="20"/>
      <c r="N1485" s="20"/>
      <c r="O1485" s="20"/>
      <c r="P1485" s="20"/>
      <c r="Q1485" s="20"/>
      <c r="R1485" s="20"/>
      <c r="S1485" s="20"/>
      <c r="T1485" s="20"/>
      <c r="U1485" s="20"/>
      <c r="V1485" s="20"/>
      <c r="W1485" s="20"/>
      <c r="X1485" s="20"/>
      <c r="Y1485" s="22"/>
      <c r="Z1485" s="22"/>
      <c r="AA1485" s="20"/>
      <c r="AB1485" s="20"/>
      <c r="AC1485" s="20"/>
      <c r="AD1485" s="20"/>
      <c r="AE1485" s="20"/>
      <c r="AF1485" s="20"/>
      <c r="AG1485" s="20"/>
      <c r="AH1485" s="20"/>
      <c r="AI1485" s="20"/>
      <c r="AJ1485" s="20"/>
      <c r="AK1485" s="20"/>
      <c r="AL1485" s="20"/>
      <c r="AM1485" s="20"/>
      <c r="AN1485" s="20"/>
      <c r="AS1485" s="11"/>
      <c r="AT1485" s="12"/>
    </row>
    <row r="1486" ht="14.25" customHeight="1">
      <c r="A1486" s="20"/>
      <c r="B1486" s="20"/>
      <c r="C1486" s="20"/>
      <c r="D1486" s="21"/>
      <c r="E1486" s="20"/>
      <c r="F1486" s="20"/>
      <c r="G1486" s="20"/>
      <c r="H1486" s="20"/>
      <c r="K1486" s="10"/>
      <c r="M1486" s="20"/>
      <c r="N1486" s="20"/>
      <c r="O1486" s="20"/>
      <c r="P1486" s="20"/>
      <c r="Q1486" s="20"/>
      <c r="R1486" s="20"/>
      <c r="S1486" s="20"/>
      <c r="T1486" s="20"/>
      <c r="U1486" s="20"/>
      <c r="V1486" s="20"/>
      <c r="W1486" s="20"/>
      <c r="X1486" s="20"/>
      <c r="Y1486" s="22"/>
      <c r="Z1486" s="22"/>
      <c r="AA1486" s="20"/>
      <c r="AB1486" s="20"/>
      <c r="AC1486" s="20"/>
      <c r="AD1486" s="20"/>
      <c r="AE1486" s="20"/>
      <c r="AF1486" s="20"/>
      <c r="AG1486" s="20"/>
      <c r="AH1486" s="20"/>
      <c r="AI1486" s="20"/>
      <c r="AJ1486" s="20"/>
      <c r="AK1486" s="20"/>
      <c r="AL1486" s="20"/>
      <c r="AM1486" s="20"/>
      <c r="AN1486" s="20"/>
      <c r="AS1486" s="11"/>
      <c r="AT1486" s="12"/>
    </row>
    <row r="1487" ht="14.25" customHeight="1">
      <c r="A1487" s="20"/>
      <c r="B1487" s="20"/>
      <c r="C1487" s="20"/>
      <c r="D1487" s="21"/>
      <c r="E1487" s="20"/>
      <c r="F1487" s="20"/>
      <c r="G1487" s="20"/>
      <c r="H1487" s="20"/>
      <c r="K1487" s="10"/>
      <c r="M1487" s="20"/>
      <c r="N1487" s="20"/>
      <c r="O1487" s="20"/>
      <c r="P1487" s="20"/>
      <c r="Q1487" s="20"/>
      <c r="R1487" s="20"/>
      <c r="S1487" s="20"/>
      <c r="T1487" s="20"/>
      <c r="U1487" s="20"/>
      <c r="V1487" s="20"/>
      <c r="W1487" s="20"/>
      <c r="X1487" s="20"/>
      <c r="Y1487" s="22"/>
      <c r="Z1487" s="22"/>
      <c r="AA1487" s="20"/>
      <c r="AB1487" s="20"/>
      <c r="AC1487" s="20"/>
      <c r="AD1487" s="20"/>
      <c r="AE1487" s="20"/>
      <c r="AF1487" s="20"/>
      <c r="AG1487" s="20"/>
      <c r="AH1487" s="20"/>
      <c r="AI1487" s="20"/>
      <c r="AJ1487" s="20"/>
      <c r="AK1487" s="20"/>
      <c r="AL1487" s="20"/>
      <c r="AM1487" s="20"/>
      <c r="AN1487" s="20"/>
      <c r="AS1487" s="11"/>
      <c r="AT1487" s="12"/>
    </row>
    <row r="1488" ht="14.25" customHeight="1">
      <c r="A1488" s="20"/>
      <c r="B1488" s="20"/>
      <c r="C1488" s="20"/>
      <c r="D1488" s="21"/>
      <c r="E1488" s="20"/>
      <c r="F1488" s="20"/>
      <c r="G1488" s="20"/>
      <c r="H1488" s="20"/>
      <c r="K1488" s="10"/>
      <c r="M1488" s="20"/>
      <c r="N1488" s="20"/>
      <c r="O1488" s="20"/>
      <c r="P1488" s="20"/>
      <c r="Q1488" s="20"/>
      <c r="R1488" s="20"/>
      <c r="S1488" s="20"/>
      <c r="T1488" s="20"/>
      <c r="U1488" s="20"/>
      <c r="V1488" s="20"/>
      <c r="W1488" s="20"/>
      <c r="X1488" s="20"/>
      <c r="Y1488" s="22"/>
      <c r="Z1488" s="22"/>
      <c r="AA1488" s="20"/>
      <c r="AB1488" s="20"/>
      <c r="AC1488" s="20"/>
      <c r="AD1488" s="20"/>
      <c r="AE1488" s="20"/>
      <c r="AF1488" s="20"/>
      <c r="AG1488" s="20"/>
      <c r="AH1488" s="20"/>
      <c r="AI1488" s="20"/>
      <c r="AJ1488" s="20"/>
      <c r="AK1488" s="20"/>
      <c r="AL1488" s="20"/>
      <c r="AM1488" s="20"/>
      <c r="AN1488" s="20"/>
      <c r="AS1488" s="11"/>
      <c r="AT1488" s="12"/>
    </row>
    <row r="1489" ht="14.25" customHeight="1">
      <c r="A1489" s="20"/>
      <c r="B1489" s="20"/>
      <c r="C1489" s="20"/>
      <c r="D1489" s="21"/>
      <c r="E1489" s="20"/>
      <c r="F1489" s="20"/>
      <c r="G1489" s="20"/>
      <c r="H1489" s="20"/>
      <c r="K1489" s="10"/>
      <c r="M1489" s="20"/>
      <c r="N1489" s="20"/>
      <c r="O1489" s="20"/>
      <c r="P1489" s="20"/>
      <c r="Q1489" s="20"/>
      <c r="R1489" s="20"/>
      <c r="S1489" s="20"/>
      <c r="T1489" s="20"/>
      <c r="U1489" s="20"/>
      <c r="V1489" s="20"/>
      <c r="W1489" s="20"/>
      <c r="X1489" s="20"/>
      <c r="Y1489" s="22"/>
      <c r="Z1489" s="22"/>
      <c r="AA1489" s="20"/>
      <c r="AB1489" s="20"/>
      <c r="AC1489" s="20"/>
      <c r="AD1489" s="20"/>
      <c r="AE1489" s="20"/>
      <c r="AF1489" s="20"/>
      <c r="AG1489" s="20"/>
      <c r="AH1489" s="20"/>
      <c r="AI1489" s="20"/>
      <c r="AJ1489" s="20"/>
      <c r="AK1489" s="20"/>
      <c r="AL1489" s="20"/>
      <c r="AM1489" s="20"/>
      <c r="AN1489" s="20"/>
      <c r="AS1489" s="11"/>
      <c r="AT1489" s="12"/>
    </row>
    <row r="1490" ht="14.25" customHeight="1">
      <c r="A1490" s="20"/>
      <c r="B1490" s="20"/>
      <c r="C1490" s="20"/>
      <c r="D1490" s="21"/>
      <c r="E1490" s="20"/>
      <c r="F1490" s="20"/>
      <c r="G1490" s="20"/>
      <c r="H1490" s="20"/>
      <c r="K1490" s="10"/>
      <c r="M1490" s="20"/>
      <c r="N1490" s="20"/>
      <c r="O1490" s="20"/>
      <c r="P1490" s="20"/>
      <c r="Q1490" s="20"/>
      <c r="R1490" s="20"/>
      <c r="S1490" s="20"/>
      <c r="T1490" s="20"/>
      <c r="U1490" s="20"/>
      <c r="V1490" s="20"/>
      <c r="W1490" s="20"/>
      <c r="X1490" s="20"/>
      <c r="Y1490" s="22"/>
      <c r="Z1490" s="22"/>
      <c r="AA1490" s="20"/>
      <c r="AB1490" s="20"/>
      <c r="AC1490" s="20"/>
      <c r="AD1490" s="20"/>
      <c r="AE1490" s="20"/>
      <c r="AF1490" s="20"/>
      <c r="AG1490" s="20"/>
      <c r="AH1490" s="20"/>
      <c r="AI1490" s="20"/>
      <c r="AJ1490" s="20"/>
      <c r="AK1490" s="20"/>
      <c r="AL1490" s="20"/>
      <c r="AM1490" s="20"/>
      <c r="AN1490" s="20"/>
      <c r="AS1490" s="11"/>
      <c r="AT1490" s="12"/>
    </row>
    <row r="1491" ht="14.25" customHeight="1">
      <c r="A1491" s="20"/>
      <c r="B1491" s="20"/>
      <c r="C1491" s="20"/>
      <c r="D1491" s="21"/>
      <c r="E1491" s="20"/>
      <c r="F1491" s="20"/>
      <c r="G1491" s="20"/>
      <c r="H1491" s="20"/>
      <c r="K1491" s="1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0"/>
      <c r="W1491" s="20"/>
      <c r="X1491" s="20"/>
      <c r="Y1491" s="22"/>
      <c r="Z1491" s="22"/>
      <c r="AA1491" s="20"/>
      <c r="AB1491" s="20"/>
      <c r="AC1491" s="20"/>
      <c r="AD1491" s="20"/>
      <c r="AE1491" s="20"/>
      <c r="AF1491" s="20"/>
      <c r="AG1491" s="20"/>
      <c r="AH1491" s="20"/>
      <c r="AI1491" s="20"/>
      <c r="AJ1491" s="20"/>
      <c r="AK1491" s="20"/>
      <c r="AL1491" s="20"/>
      <c r="AM1491" s="20"/>
      <c r="AN1491" s="20"/>
      <c r="AS1491" s="11"/>
      <c r="AT1491" s="12"/>
    </row>
    <row r="1492" ht="14.25" customHeight="1">
      <c r="A1492" s="20"/>
      <c r="B1492" s="20"/>
      <c r="C1492" s="20"/>
      <c r="D1492" s="21"/>
      <c r="E1492" s="20"/>
      <c r="F1492" s="20"/>
      <c r="G1492" s="20"/>
      <c r="H1492" s="20"/>
      <c r="K1492" s="10"/>
      <c r="M1492" s="20"/>
      <c r="N1492" s="20"/>
      <c r="O1492" s="20"/>
      <c r="P1492" s="20"/>
      <c r="Q1492" s="20"/>
      <c r="R1492" s="20"/>
      <c r="S1492" s="20"/>
      <c r="T1492" s="20"/>
      <c r="U1492" s="20"/>
      <c r="V1492" s="20"/>
      <c r="W1492" s="20"/>
      <c r="X1492" s="20"/>
      <c r="Y1492" s="22"/>
      <c r="Z1492" s="22"/>
      <c r="AA1492" s="20"/>
      <c r="AB1492" s="20"/>
      <c r="AC1492" s="20"/>
      <c r="AD1492" s="20"/>
      <c r="AE1492" s="20"/>
      <c r="AF1492" s="20"/>
      <c r="AG1492" s="20"/>
      <c r="AH1492" s="20"/>
      <c r="AI1492" s="20"/>
      <c r="AJ1492" s="20"/>
      <c r="AK1492" s="20"/>
      <c r="AL1492" s="20"/>
      <c r="AM1492" s="20"/>
      <c r="AN1492" s="20"/>
      <c r="AS1492" s="11"/>
      <c r="AT1492" s="12"/>
    </row>
    <row r="1493" ht="14.25" customHeight="1">
      <c r="A1493" s="20"/>
      <c r="B1493" s="20"/>
      <c r="C1493" s="20"/>
      <c r="D1493" s="21"/>
      <c r="E1493" s="20"/>
      <c r="F1493" s="20"/>
      <c r="G1493" s="20"/>
      <c r="H1493" s="20"/>
      <c r="K1493" s="1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0"/>
      <c r="W1493" s="20"/>
      <c r="X1493" s="20"/>
      <c r="Y1493" s="22"/>
      <c r="Z1493" s="22"/>
      <c r="AA1493" s="20"/>
      <c r="AB1493" s="20"/>
      <c r="AC1493" s="20"/>
      <c r="AD1493" s="20"/>
      <c r="AE1493" s="20"/>
      <c r="AF1493" s="20"/>
      <c r="AG1493" s="20"/>
      <c r="AH1493" s="20"/>
      <c r="AI1493" s="20"/>
      <c r="AJ1493" s="20"/>
      <c r="AK1493" s="20"/>
      <c r="AL1493" s="20"/>
      <c r="AM1493" s="20"/>
      <c r="AN1493" s="20"/>
      <c r="AS1493" s="11"/>
      <c r="AT1493" s="12"/>
    </row>
    <row r="1494" ht="14.25" customHeight="1">
      <c r="A1494" s="20"/>
      <c r="B1494" s="20"/>
      <c r="C1494" s="20"/>
      <c r="D1494" s="21"/>
      <c r="E1494" s="20"/>
      <c r="F1494" s="20"/>
      <c r="G1494" s="20"/>
      <c r="H1494" s="20"/>
      <c r="K1494" s="10"/>
      <c r="M1494" s="20"/>
      <c r="N1494" s="20"/>
      <c r="O1494" s="20"/>
      <c r="P1494" s="20"/>
      <c r="Q1494" s="20"/>
      <c r="R1494" s="20"/>
      <c r="S1494" s="20"/>
      <c r="T1494" s="20"/>
      <c r="U1494" s="20"/>
      <c r="V1494" s="20"/>
      <c r="W1494" s="20"/>
      <c r="X1494" s="20"/>
      <c r="Y1494" s="22"/>
      <c r="Z1494" s="22"/>
      <c r="AA1494" s="20"/>
      <c r="AB1494" s="20"/>
      <c r="AC1494" s="20"/>
      <c r="AD1494" s="20"/>
      <c r="AE1494" s="20"/>
      <c r="AF1494" s="20"/>
      <c r="AG1494" s="20"/>
      <c r="AH1494" s="20"/>
      <c r="AI1494" s="20"/>
      <c r="AJ1494" s="20"/>
      <c r="AK1494" s="20"/>
      <c r="AL1494" s="20"/>
      <c r="AM1494" s="20"/>
      <c r="AN1494" s="20"/>
      <c r="AS1494" s="11"/>
      <c r="AT1494" s="12"/>
    </row>
    <row r="1495" ht="14.25" customHeight="1">
      <c r="A1495" s="20"/>
      <c r="B1495" s="20"/>
      <c r="C1495" s="20"/>
      <c r="D1495" s="21"/>
      <c r="E1495" s="20"/>
      <c r="F1495" s="20"/>
      <c r="G1495" s="20"/>
      <c r="H1495" s="20"/>
      <c r="K1495" s="10"/>
      <c r="M1495" s="20"/>
      <c r="N1495" s="20"/>
      <c r="O1495" s="20"/>
      <c r="P1495" s="20"/>
      <c r="Q1495" s="20"/>
      <c r="R1495" s="20"/>
      <c r="S1495" s="20"/>
      <c r="T1495" s="20"/>
      <c r="U1495" s="20"/>
      <c r="V1495" s="20"/>
      <c r="W1495" s="20"/>
      <c r="X1495" s="20"/>
      <c r="Y1495" s="22"/>
      <c r="Z1495" s="22"/>
      <c r="AA1495" s="20"/>
      <c r="AB1495" s="20"/>
      <c r="AC1495" s="20"/>
      <c r="AD1495" s="20"/>
      <c r="AE1495" s="20"/>
      <c r="AF1495" s="20"/>
      <c r="AG1495" s="20"/>
      <c r="AH1495" s="20"/>
      <c r="AI1495" s="20"/>
      <c r="AJ1495" s="20"/>
      <c r="AK1495" s="20"/>
      <c r="AL1495" s="20"/>
      <c r="AM1495" s="20"/>
      <c r="AN1495" s="20"/>
      <c r="AS1495" s="11"/>
      <c r="AT1495" s="12"/>
    </row>
    <row r="1496" ht="14.25" customHeight="1">
      <c r="A1496" s="20"/>
      <c r="B1496" s="20"/>
      <c r="C1496" s="20"/>
      <c r="D1496" s="21"/>
      <c r="E1496" s="20"/>
      <c r="F1496" s="20"/>
      <c r="G1496" s="20"/>
      <c r="H1496" s="20"/>
      <c r="K1496" s="1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  <c r="X1496" s="20"/>
      <c r="Y1496" s="22"/>
      <c r="Z1496" s="22"/>
      <c r="AA1496" s="20"/>
      <c r="AB1496" s="20"/>
      <c r="AC1496" s="20"/>
      <c r="AD1496" s="20"/>
      <c r="AE1496" s="20"/>
      <c r="AF1496" s="20"/>
      <c r="AG1496" s="20"/>
      <c r="AH1496" s="20"/>
      <c r="AI1496" s="20"/>
      <c r="AJ1496" s="20"/>
      <c r="AK1496" s="20"/>
      <c r="AL1496" s="20"/>
      <c r="AM1496" s="20"/>
      <c r="AN1496" s="20"/>
      <c r="AS1496" s="11"/>
      <c r="AT1496" s="12"/>
    </row>
    <row r="1497" ht="14.25" customHeight="1">
      <c r="A1497" s="20"/>
      <c r="B1497" s="20"/>
      <c r="C1497" s="20"/>
      <c r="D1497" s="21"/>
      <c r="E1497" s="20"/>
      <c r="F1497" s="20"/>
      <c r="G1497" s="20"/>
      <c r="H1497" s="20"/>
      <c r="K1497" s="10"/>
      <c r="M1497" s="20"/>
      <c r="N1497" s="20"/>
      <c r="O1497" s="20"/>
      <c r="P1497" s="20"/>
      <c r="Q1497" s="20"/>
      <c r="R1497" s="20"/>
      <c r="S1497" s="20"/>
      <c r="T1497" s="20"/>
      <c r="U1497" s="20"/>
      <c r="V1497" s="20"/>
      <c r="W1497" s="20"/>
      <c r="X1497" s="20"/>
      <c r="Y1497" s="22"/>
      <c r="Z1497" s="22"/>
      <c r="AA1497" s="20"/>
      <c r="AB1497" s="20"/>
      <c r="AC1497" s="20"/>
      <c r="AD1497" s="20"/>
      <c r="AE1497" s="20"/>
      <c r="AF1497" s="20"/>
      <c r="AG1497" s="20"/>
      <c r="AH1497" s="20"/>
      <c r="AI1497" s="20"/>
      <c r="AJ1497" s="20"/>
      <c r="AK1497" s="20"/>
      <c r="AL1497" s="20"/>
      <c r="AM1497" s="20"/>
      <c r="AN1497" s="20"/>
      <c r="AS1497" s="11"/>
      <c r="AT1497" s="12"/>
    </row>
    <row r="1498" ht="14.25" customHeight="1">
      <c r="A1498" s="20"/>
      <c r="B1498" s="20"/>
      <c r="C1498" s="20"/>
      <c r="D1498" s="21"/>
      <c r="E1498" s="20"/>
      <c r="F1498" s="20"/>
      <c r="G1498" s="20"/>
      <c r="H1498" s="20"/>
      <c r="K1498" s="10"/>
      <c r="M1498" s="20"/>
      <c r="N1498" s="20"/>
      <c r="O1498" s="20"/>
      <c r="P1498" s="20"/>
      <c r="Q1498" s="20"/>
      <c r="R1498" s="20"/>
      <c r="S1498" s="20"/>
      <c r="T1498" s="20"/>
      <c r="U1498" s="20"/>
      <c r="V1498" s="20"/>
      <c r="W1498" s="20"/>
      <c r="X1498" s="20"/>
      <c r="Y1498" s="22"/>
      <c r="Z1498" s="22"/>
      <c r="AA1498" s="20"/>
      <c r="AB1498" s="20"/>
      <c r="AC1498" s="20"/>
      <c r="AD1498" s="20"/>
      <c r="AE1498" s="20"/>
      <c r="AF1498" s="20"/>
      <c r="AG1498" s="20"/>
      <c r="AH1498" s="20"/>
      <c r="AI1498" s="20"/>
      <c r="AJ1498" s="20"/>
      <c r="AK1498" s="20"/>
      <c r="AL1498" s="20"/>
      <c r="AM1498" s="20"/>
      <c r="AN1498" s="20"/>
      <c r="AS1498" s="11"/>
      <c r="AT1498" s="12"/>
    </row>
    <row r="1499" ht="14.25" customHeight="1">
      <c r="A1499" s="20"/>
      <c r="B1499" s="20"/>
      <c r="C1499" s="20"/>
      <c r="D1499" s="21"/>
      <c r="E1499" s="20"/>
      <c r="F1499" s="20"/>
      <c r="G1499" s="20"/>
      <c r="H1499" s="20"/>
      <c r="K1499" s="10"/>
      <c r="M1499" s="20"/>
      <c r="N1499" s="20"/>
      <c r="O1499" s="20"/>
      <c r="P1499" s="20"/>
      <c r="Q1499" s="20"/>
      <c r="R1499" s="20"/>
      <c r="S1499" s="20"/>
      <c r="T1499" s="20"/>
      <c r="U1499" s="20"/>
      <c r="V1499" s="20"/>
      <c r="W1499" s="20"/>
      <c r="X1499" s="20"/>
      <c r="Y1499" s="22"/>
      <c r="Z1499" s="22"/>
      <c r="AA1499" s="20"/>
      <c r="AB1499" s="20"/>
      <c r="AC1499" s="20"/>
      <c r="AD1499" s="20"/>
      <c r="AE1499" s="20"/>
      <c r="AF1499" s="20"/>
      <c r="AG1499" s="20"/>
      <c r="AH1499" s="20"/>
      <c r="AI1499" s="20"/>
      <c r="AJ1499" s="20"/>
      <c r="AK1499" s="20"/>
      <c r="AL1499" s="20"/>
      <c r="AM1499" s="20"/>
      <c r="AN1499" s="20"/>
      <c r="AS1499" s="11"/>
      <c r="AT1499" s="12"/>
    </row>
    <row r="1500" ht="14.25" customHeight="1">
      <c r="A1500" s="20"/>
      <c r="B1500" s="20"/>
      <c r="C1500" s="20"/>
      <c r="D1500" s="21"/>
      <c r="E1500" s="20"/>
      <c r="F1500" s="20"/>
      <c r="G1500" s="20"/>
      <c r="H1500" s="20"/>
      <c r="K1500" s="10"/>
      <c r="M1500" s="20"/>
      <c r="N1500" s="20"/>
      <c r="O1500" s="20"/>
      <c r="P1500" s="20"/>
      <c r="Q1500" s="20"/>
      <c r="R1500" s="20"/>
      <c r="S1500" s="20"/>
      <c r="T1500" s="20"/>
      <c r="U1500" s="20"/>
      <c r="V1500" s="20"/>
      <c r="W1500" s="20"/>
      <c r="X1500" s="20"/>
      <c r="Y1500" s="22"/>
      <c r="Z1500" s="22"/>
      <c r="AA1500" s="20"/>
      <c r="AB1500" s="20"/>
      <c r="AC1500" s="20"/>
      <c r="AD1500" s="20"/>
      <c r="AE1500" s="20"/>
      <c r="AF1500" s="20"/>
      <c r="AG1500" s="20"/>
      <c r="AH1500" s="20"/>
      <c r="AI1500" s="20"/>
      <c r="AJ1500" s="20"/>
      <c r="AK1500" s="20"/>
      <c r="AL1500" s="20"/>
      <c r="AM1500" s="20"/>
      <c r="AN1500" s="20"/>
      <c r="AS1500" s="11"/>
      <c r="AT1500" s="12"/>
    </row>
    <row r="1501" ht="14.25" customHeight="1">
      <c r="A1501" s="20"/>
      <c r="B1501" s="20"/>
      <c r="C1501" s="20"/>
      <c r="D1501" s="21"/>
      <c r="E1501" s="20"/>
      <c r="F1501" s="20"/>
      <c r="G1501" s="20"/>
      <c r="H1501" s="20"/>
      <c r="K1501" s="10"/>
      <c r="M1501" s="20"/>
      <c r="N1501" s="20"/>
      <c r="O1501" s="20"/>
      <c r="P1501" s="20"/>
      <c r="Q1501" s="20"/>
      <c r="R1501" s="20"/>
      <c r="S1501" s="20"/>
      <c r="T1501" s="20"/>
      <c r="U1501" s="20"/>
      <c r="V1501" s="20"/>
      <c r="W1501" s="20"/>
      <c r="X1501" s="20"/>
      <c r="Y1501" s="22"/>
      <c r="Z1501" s="22"/>
      <c r="AA1501" s="20"/>
      <c r="AB1501" s="20"/>
      <c r="AC1501" s="20"/>
      <c r="AD1501" s="20"/>
      <c r="AE1501" s="20"/>
      <c r="AF1501" s="20"/>
      <c r="AG1501" s="20"/>
      <c r="AH1501" s="20"/>
      <c r="AI1501" s="20"/>
      <c r="AJ1501" s="20"/>
      <c r="AK1501" s="20"/>
      <c r="AL1501" s="20"/>
      <c r="AM1501" s="20"/>
      <c r="AN1501" s="20"/>
      <c r="AS1501" s="11"/>
      <c r="AT1501" s="12"/>
    </row>
    <row r="1502" ht="14.25" customHeight="1">
      <c r="A1502" s="20"/>
      <c r="B1502" s="20"/>
      <c r="C1502" s="20"/>
      <c r="D1502" s="21"/>
      <c r="E1502" s="20"/>
      <c r="F1502" s="20"/>
      <c r="G1502" s="20"/>
      <c r="H1502" s="20"/>
      <c r="K1502" s="1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0"/>
      <c r="W1502" s="20"/>
      <c r="X1502" s="20"/>
      <c r="Y1502" s="22"/>
      <c r="Z1502" s="22"/>
      <c r="AA1502" s="20"/>
      <c r="AB1502" s="20"/>
      <c r="AC1502" s="20"/>
      <c r="AD1502" s="20"/>
      <c r="AE1502" s="20"/>
      <c r="AF1502" s="20"/>
      <c r="AG1502" s="20"/>
      <c r="AH1502" s="20"/>
      <c r="AI1502" s="20"/>
      <c r="AJ1502" s="20"/>
      <c r="AK1502" s="20"/>
      <c r="AL1502" s="20"/>
      <c r="AM1502" s="20"/>
      <c r="AN1502" s="20"/>
      <c r="AS1502" s="11"/>
      <c r="AT1502" s="12"/>
    </row>
    <row r="1503" ht="14.25" customHeight="1">
      <c r="A1503" s="20"/>
      <c r="B1503" s="20"/>
      <c r="C1503" s="20"/>
      <c r="D1503" s="21"/>
      <c r="E1503" s="20"/>
      <c r="F1503" s="20"/>
      <c r="G1503" s="20"/>
      <c r="H1503" s="20"/>
      <c r="K1503" s="10"/>
      <c r="M1503" s="20"/>
      <c r="N1503" s="20"/>
      <c r="O1503" s="20"/>
      <c r="P1503" s="20"/>
      <c r="Q1503" s="20"/>
      <c r="R1503" s="20"/>
      <c r="S1503" s="20"/>
      <c r="T1503" s="20"/>
      <c r="U1503" s="20"/>
      <c r="V1503" s="20"/>
      <c r="W1503" s="20"/>
      <c r="X1503" s="20"/>
      <c r="Y1503" s="22"/>
      <c r="Z1503" s="22"/>
      <c r="AA1503" s="20"/>
      <c r="AB1503" s="20"/>
      <c r="AC1503" s="20"/>
      <c r="AD1503" s="20"/>
      <c r="AE1503" s="20"/>
      <c r="AF1503" s="20"/>
      <c r="AG1503" s="20"/>
      <c r="AH1503" s="20"/>
      <c r="AI1503" s="20"/>
      <c r="AJ1503" s="20"/>
      <c r="AK1503" s="20"/>
      <c r="AL1503" s="20"/>
      <c r="AM1503" s="20"/>
      <c r="AN1503" s="20"/>
      <c r="AS1503" s="11"/>
      <c r="AT1503" s="12"/>
    </row>
    <row r="1504" ht="14.25" customHeight="1">
      <c r="A1504" s="20"/>
      <c r="B1504" s="20"/>
      <c r="C1504" s="20"/>
      <c r="D1504" s="21"/>
      <c r="E1504" s="20"/>
      <c r="F1504" s="20"/>
      <c r="G1504" s="20"/>
      <c r="H1504" s="20"/>
      <c r="K1504" s="10"/>
      <c r="M1504" s="20"/>
      <c r="N1504" s="20"/>
      <c r="O1504" s="20"/>
      <c r="P1504" s="20"/>
      <c r="Q1504" s="20"/>
      <c r="R1504" s="20"/>
      <c r="S1504" s="20"/>
      <c r="T1504" s="20"/>
      <c r="U1504" s="20"/>
      <c r="V1504" s="20"/>
      <c r="W1504" s="20"/>
      <c r="X1504" s="20"/>
      <c r="Y1504" s="22"/>
      <c r="Z1504" s="22"/>
      <c r="AA1504" s="20"/>
      <c r="AB1504" s="20"/>
      <c r="AC1504" s="20"/>
      <c r="AD1504" s="20"/>
      <c r="AE1504" s="20"/>
      <c r="AF1504" s="20"/>
      <c r="AG1504" s="20"/>
      <c r="AH1504" s="20"/>
      <c r="AI1504" s="20"/>
      <c r="AJ1504" s="20"/>
      <c r="AK1504" s="20"/>
      <c r="AL1504" s="20"/>
      <c r="AM1504" s="20"/>
      <c r="AN1504" s="20"/>
      <c r="AS1504" s="11"/>
      <c r="AT1504" s="12"/>
    </row>
    <row r="1505" ht="14.25" customHeight="1">
      <c r="A1505" s="20"/>
      <c r="B1505" s="20"/>
      <c r="C1505" s="20"/>
      <c r="D1505" s="21"/>
      <c r="E1505" s="20"/>
      <c r="F1505" s="20"/>
      <c r="G1505" s="20"/>
      <c r="H1505" s="20"/>
      <c r="K1505" s="10"/>
      <c r="M1505" s="20"/>
      <c r="N1505" s="20"/>
      <c r="O1505" s="20"/>
      <c r="P1505" s="20"/>
      <c r="Q1505" s="20"/>
      <c r="R1505" s="20"/>
      <c r="S1505" s="20"/>
      <c r="T1505" s="20"/>
      <c r="U1505" s="20"/>
      <c r="V1505" s="20"/>
      <c r="W1505" s="20"/>
      <c r="X1505" s="20"/>
      <c r="Y1505" s="22"/>
      <c r="Z1505" s="22"/>
      <c r="AA1505" s="20"/>
      <c r="AB1505" s="20"/>
      <c r="AC1505" s="20"/>
      <c r="AD1505" s="20"/>
      <c r="AE1505" s="20"/>
      <c r="AF1505" s="20"/>
      <c r="AG1505" s="20"/>
      <c r="AH1505" s="20"/>
      <c r="AI1505" s="20"/>
      <c r="AJ1505" s="20"/>
      <c r="AK1505" s="20"/>
      <c r="AL1505" s="20"/>
      <c r="AM1505" s="20"/>
      <c r="AN1505" s="20"/>
      <c r="AS1505" s="11"/>
      <c r="AT1505" s="12"/>
    </row>
    <row r="1506" ht="14.25" customHeight="1">
      <c r="A1506" s="20"/>
      <c r="B1506" s="20"/>
      <c r="C1506" s="20"/>
      <c r="D1506" s="21"/>
      <c r="E1506" s="20"/>
      <c r="F1506" s="20"/>
      <c r="G1506" s="20"/>
      <c r="H1506" s="20"/>
      <c r="K1506" s="1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0"/>
      <c r="W1506" s="20"/>
      <c r="X1506" s="20"/>
      <c r="Y1506" s="22"/>
      <c r="Z1506" s="22"/>
      <c r="AA1506" s="20"/>
      <c r="AB1506" s="20"/>
      <c r="AC1506" s="20"/>
      <c r="AD1506" s="20"/>
      <c r="AE1506" s="20"/>
      <c r="AF1506" s="20"/>
      <c r="AG1506" s="20"/>
      <c r="AH1506" s="20"/>
      <c r="AI1506" s="20"/>
      <c r="AJ1506" s="20"/>
      <c r="AK1506" s="20"/>
      <c r="AL1506" s="20"/>
      <c r="AM1506" s="20"/>
      <c r="AN1506" s="20"/>
      <c r="AS1506" s="11"/>
      <c r="AT1506" s="12"/>
    </row>
    <row r="1507" ht="14.25" customHeight="1">
      <c r="A1507" s="20"/>
      <c r="B1507" s="20"/>
      <c r="C1507" s="20"/>
      <c r="D1507" s="21"/>
      <c r="E1507" s="20"/>
      <c r="F1507" s="20"/>
      <c r="G1507" s="20"/>
      <c r="H1507" s="20"/>
      <c r="K1507" s="1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2"/>
      <c r="Z1507" s="22"/>
      <c r="AA1507" s="20"/>
      <c r="AB1507" s="20"/>
      <c r="AC1507" s="20"/>
      <c r="AD1507" s="20"/>
      <c r="AE1507" s="20"/>
      <c r="AF1507" s="20"/>
      <c r="AG1507" s="20"/>
      <c r="AH1507" s="20"/>
      <c r="AI1507" s="20"/>
      <c r="AJ1507" s="20"/>
      <c r="AK1507" s="20"/>
      <c r="AL1507" s="20"/>
      <c r="AM1507" s="20"/>
      <c r="AN1507" s="20"/>
      <c r="AS1507" s="11"/>
      <c r="AT1507" s="12"/>
    </row>
    <row r="1508" ht="14.25" customHeight="1">
      <c r="A1508" s="20"/>
      <c r="B1508" s="20"/>
      <c r="C1508" s="20"/>
      <c r="D1508" s="21"/>
      <c r="E1508" s="20"/>
      <c r="F1508" s="20"/>
      <c r="G1508" s="20"/>
      <c r="H1508" s="20"/>
      <c r="K1508" s="10"/>
      <c r="M1508" s="20"/>
      <c r="N1508" s="20"/>
      <c r="O1508" s="20"/>
      <c r="P1508" s="20"/>
      <c r="Q1508" s="20"/>
      <c r="R1508" s="20"/>
      <c r="S1508" s="20"/>
      <c r="T1508" s="20"/>
      <c r="U1508" s="20"/>
      <c r="V1508" s="20"/>
      <c r="W1508" s="20"/>
      <c r="X1508" s="20"/>
      <c r="Y1508" s="22"/>
      <c r="Z1508" s="22"/>
      <c r="AA1508" s="20"/>
      <c r="AB1508" s="20"/>
      <c r="AC1508" s="20"/>
      <c r="AD1508" s="20"/>
      <c r="AE1508" s="20"/>
      <c r="AF1508" s="20"/>
      <c r="AG1508" s="20"/>
      <c r="AH1508" s="20"/>
      <c r="AI1508" s="20"/>
      <c r="AJ1508" s="20"/>
      <c r="AK1508" s="20"/>
      <c r="AL1508" s="20"/>
      <c r="AM1508" s="20"/>
      <c r="AN1508" s="20"/>
      <c r="AS1508" s="11"/>
      <c r="AT1508" s="12"/>
    </row>
    <row r="1509" ht="14.25" customHeight="1">
      <c r="A1509" s="20"/>
      <c r="B1509" s="20"/>
      <c r="C1509" s="20"/>
      <c r="D1509" s="21"/>
      <c r="E1509" s="20"/>
      <c r="F1509" s="20"/>
      <c r="G1509" s="20"/>
      <c r="H1509" s="20"/>
      <c r="K1509" s="10"/>
      <c r="M1509" s="20"/>
      <c r="N1509" s="20"/>
      <c r="O1509" s="20"/>
      <c r="P1509" s="20"/>
      <c r="Q1509" s="20"/>
      <c r="R1509" s="20"/>
      <c r="S1509" s="20"/>
      <c r="T1509" s="20"/>
      <c r="U1509" s="20"/>
      <c r="V1509" s="20"/>
      <c r="W1509" s="20"/>
      <c r="X1509" s="20"/>
      <c r="Y1509" s="22"/>
      <c r="Z1509" s="22"/>
      <c r="AA1509" s="20"/>
      <c r="AB1509" s="20"/>
      <c r="AC1509" s="20"/>
      <c r="AD1509" s="20"/>
      <c r="AE1509" s="20"/>
      <c r="AF1509" s="20"/>
      <c r="AG1509" s="20"/>
      <c r="AH1509" s="20"/>
      <c r="AI1509" s="20"/>
      <c r="AJ1509" s="20"/>
      <c r="AK1509" s="20"/>
      <c r="AL1509" s="20"/>
      <c r="AM1509" s="20"/>
      <c r="AN1509" s="20"/>
      <c r="AS1509" s="11"/>
      <c r="AT1509" s="12"/>
    </row>
    <row r="1510" ht="14.25" customHeight="1">
      <c r="A1510" s="20"/>
      <c r="B1510" s="20"/>
      <c r="C1510" s="20"/>
      <c r="D1510" s="21"/>
      <c r="E1510" s="20"/>
      <c r="F1510" s="20"/>
      <c r="G1510" s="20"/>
      <c r="H1510" s="20"/>
      <c r="K1510" s="1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2"/>
      <c r="Z1510" s="22"/>
      <c r="AA1510" s="20"/>
      <c r="AB1510" s="20"/>
      <c r="AC1510" s="20"/>
      <c r="AD1510" s="20"/>
      <c r="AE1510" s="20"/>
      <c r="AF1510" s="20"/>
      <c r="AG1510" s="20"/>
      <c r="AH1510" s="20"/>
      <c r="AI1510" s="20"/>
      <c r="AJ1510" s="20"/>
      <c r="AK1510" s="20"/>
      <c r="AL1510" s="20"/>
      <c r="AM1510" s="20"/>
      <c r="AN1510" s="20"/>
      <c r="AS1510" s="11"/>
      <c r="AT1510" s="12"/>
    </row>
    <row r="1511" ht="14.25" customHeight="1">
      <c r="A1511" s="20"/>
      <c r="B1511" s="20"/>
      <c r="C1511" s="20"/>
      <c r="D1511" s="21"/>
      <c r="E1511" s="20"/>
      <c r="F1511" s="20"/>
      <c r="G1511" s="20"/>
      <c r="H1511" s="20"/>
      <c r="K1511" s="1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0"/>
      <c r="W1511" s="20"/>
      <c r="X1511" s="20"/>
      <c r="Y1511" s="22"/>
      <c r="Z1511" s="22"/>
      <c r="AA1511" s="20"/>
      <c r="AB1511" s="20"/>
      <c r="AC1511" s="20"/>
      <c r="AD1511" s="20"/>
      <c r="AE1511" s="20"/>
      <c r="AF1511" s="20"/>
      <c r="AG1511" s="20"/>
      <c r="AH1511" s="20"/>
      <c r="AI1511" s="20"/>
      <c r="AJ1511" s="20"/>
      <c r="AK1511" s="20"/>
      <c r="AL1511" s="20"/>
      <c r="AM1511" s="20"/>
      <c r="AN1511" s="20"/>
      <c r="AS1511" s="11"/>
      <c r="AT1511" s="12"/>
    </row>
    <row r="1512" ht="14.25" customHeight="1">
      <c r="A1512" s="20"/>
      <c r="B1512" s="20"/>
      <c r="C1512" s="20"/>
      <c r="D1512" s="21"/>
      <c r="E1512" s="20"/>
      <c r="F1512" s="20"/>
      <c r="G1512" s="20"/>
      <c r="H1512" s="20"/>
      <c r="K1512" s="10"/>
      <c r="M1512" s="20"/>
      <c r="N1512" s="20"/>
      <c r="O1512" s="20"/>
      <c r="P1512" s="20"/>
      <c r="Q1512" s="20"/>
      <c r="R1512" s="20"/>
      <c r="S1512" s="20"/>
      <c r="T1512" s="20"/>
      <c r="U1512" s="20"/>
      <c r="V1512" s="20"/>
      <c r="W1512" s="20"/>
      <c r="X1512" s="20"/>
      <c r="Y1512" s="22"/>
      <c r="Z1512" s="22"/>
      <c r="AA1512" s="20"/>
      <c r="AB1512" s="20"/>
      <c r="AC1512" s="20"/>
      <c r="AD1512" s="20"/>
      <c r="AE1512" s="20"/>
      <c r="AF1512" s="20"/>
      <c r="AG1512" s="20"/>
      <c r="AH1512" s="20"/>
      <c r="AI1512" s="20"/>
      <c r="AJ1512" s="20"/>
      <c r="AK1512" s="20"/>
      <c r="AL1512" s="20"/>
      <c r="AM1512" s="20"/>
      <c r="AN1512" s="20"/>
      <c r="AS1512" s="11"/>
      <c r="AT1512" s="12"/>
    </row>
    <row r="1513" ht="14.25" customHeight="1">
      <c r="A1513" s="20"/>
      <c r="B1513" s="20"/>
      <c r="C1513" s="20"/>
      <c r="D1513" s="21"/>
      <c r="E1513" s="20"/>
      <c r="F1513" s="20"/>
      <c r="G1513" s="20"/>
      <c r="H1513" s="20"/>
      <c r="K1513" s="10"/>
      <c r="M1513" s="20"/>
      <c r="N1513" s="20"/>
      <c r="O1513" s="20"/>
      <c r="P1513" s="20"/>
      <c r="Q1513" s="20"/>
      <c r="R1513" s="20"/>
      <c r="S1513" s="20"/>
      <c r="T1513" s="20"/>
      <c r="U1513" s="20"/>
      <c r="V1513" s="20"/>
      <c r="W1513" s="20"/>
      <c r="X1513" s="20"/>
      <c r="Y1513" s="22"/>
      <c r="Z1513" s="22"/>
      <c r="AA1513" s="20"/>
      <c r="AB1513" s="20"/>
      <c r="AC1513" s="20"/>
      <c r="AD1513" s="20"/>
      <c r="AE1513" s="20"/>
      <c r="AF1513" s="20"/>
      <c r="AG1513" s="20"/>
      <c r="AH1513" s="20"/>
      <c r="AI1513" s="20"/>
      <c r="AJ1513" s="20"/>
      <c r="AK1513" s="20"/>
      <c r="AL1513" s="20"/>
      <c r="AM1513" s="20"/>
      <c r="AN1513" s="20"/>
      <c r="AS1513" s="11"/>
      <c r="AT1513" s="12"/>
    </row>
    <row r="1514" ht="14.25" customHeight="1">
      <c r="A1514" s="20"/>
      <c r="B1514" s="20"/>
      <c r="C1514" s="20"/>
      <c r="D1514" s="21"/>
      <c r="E1514" s="20"/>
      <c r="F1514" s="20"/>
      <c r="G1514" s="20"/>
      <c r="H1514" s="20"/>
      <c r="K1514" s="10"/>
      <c r="M1514" s="20"/>
      <c r="N1514" s="20"/>
      <c r="O1514" s="20"/>
      <c r="P1514" s="20"/>
      <c r="Q1514" s="20"/>
      <c r="R1514" s="20"/>
      <c r="S1514" s="20"/>
      <c r="T1514" s="20"/>
      <c r="U1514" s="20"/>
      <c r="V1514" s="20"/>
      <c r="W1514" s="20"/>
      <c r="X1514" s="20"/>
      <c r="Y1514" s="22"/>
      <c r="Z1514" s="22"/>
      <c r="AA1514" s="20"/>
      <c r="AB1514" s="20"/>
      <c r="AC1514" s="20"/>
      <c r="AD1514" s="20"/>
      <c r="AE1514" s="20"/>
      <c r="AF1514" s="20"/>
      <c r="AG1514" s="20"/>
      <c r="AH1514" s="20"/>
      <c r="AI1514" s="20"/>
      <c r="AJ1514" s="20"/>
      <c r="AK1514" s="20"/>
      <c r="AL1514" s="20"/>
      <c r="AM1514" s="20"/>
      <c r="AN1514" s="20"/>
      <c r="AS1514" s="11"/>
      <c r="AT1514" s="12"/>
    </row>
    <row r="1515" ht="14.25" customHeight="1">
      <c r="A1515" s="20"/>
      <c r="B1515" s="20"/>
      <c r="C1515" s="20"/>
      <c r="D1515" s="21"/>
      <c r="E1515" s="20"/>
      <c r="F1515" s="20"/>
      <c r="G1515" s="20"/>
      <c r="H1515" s="20"/>
      <c r="K1515" s="10"/>
      <c r="M1515" s="20"/>
      <c r="N1515" s="20"/>
      <c r="O1515" s="20"/>
      <c r="P1515" s="20"/>
      <c r="Q1515" s="20"/>
      <c r="R1515" s="20"/>
      <c r="S1515" s="20"/>
      <c r="T1515" s="20"/>
      <c r="U1515" s="20"/>
      <c r="V1515" s="20"/>
      <c r="W1515" s="20"/>
      <c r="X1515" s="20"/>
      <c r="Y1515" s="22"/>
      <c r="Z1515" s="22"/>
      <c r="AA1515" s="20"/>
      <c r="AB1515" s="20"/>
      <c r="AC1515" s="20"/>
      <c r="AD1515" s="20"/>
      <c r="AE1515" s="20"/>
      <c r="AF1515" s="20"/>
      <c r="AG1515" s="20"/>
      <c r="AH1515" s="20"/>
      <c r="AI1515" s="20"/>
      <c r="AJ1515" s="20"/>
      <c r="AK1515" s="20"/>
      <c r="AL1515" s="20"/>
      <c r="AM1515" s="20"/>
      <c r="AN1515" s="20"/>
      <c r="AS1515" s="11"/>
      <c r="AT1515" s="12"/>
    </row>
    <row r="1516" ht="14.25" customHeight="1">
      <c r="A1516" s="20"/>
      <c r="B1516" s="20"/>
      <c r="C1516" s="20"/>
      <c r="D1516" s="21"/>
      <c r="E1516" s="20"/>
      <c r="F1516" s="20"/>
      <c r="G1516" s="20"/>
      <c r="H1516" s="20"/>
      <c r="K1516" s="10"/>
      <c r="M1516" s="20"/>
      <c r="N1516" s="20"/>
      <c r="O1516" s="20"/>
      <c r="P1516" s="20"/>
      <c r="Q1516" s="20"/>
      <c r="R1516" s="20"/>
      <c r="S1516" s="20"/>
      <c r="T1516" s="20"/>
      <c r="U1516" s="20"/>
      <c r="V1516" s="20"/>
      <c r="W1516" s="20"/>
      <c r="X1516" s="20"/>
      <c r="Y1516" s="22"/>
      <c r="Z1516" s="22"/>
      <c r="AA1516" s="20"/>
      <c r="AB1516" s="20"/>
      <c r="AC1516" s="20"/>
      <c r="AD1516" s="20"/>
      <c r="AE1516" s="20"/>
      <c r="AF1516" s="20"/>
      <c r="AG1516" s="20"/>
      <c r="AH1516" s="20"/>
      <c r="AI1516" s="20"/>
      <c r="AJ1516" s="20"/>
      <c r="AK1516" s="20"/>
      <c r="AL1516" s="20"/>
      <c r="AM1516" s="20"/>
      <c r="AN1516" s="20"/>
      <c r="AS1516" s="11"/>
      <c r="AT1516" s="12"/>
    </row>
    <row r="1517" ht="14.25" customHeight="1">
      <c r="A1517" s="20"/>
      <c r="B1517" s="20"/>
      <c r="C1517" s="20"/>
      <c r="D1517" s="21"/>
      <c r="E1517" s="20"/>
      <c r="F1517" s="20"/>
      <c r="G1517" s="20"/>
      <c r="H1517" s="20"/>
      <c r="K1517" s="10"/>
      <c r="M1517" s="20"/>
      <c r="N1517" s="20"/>
      <c r="O1517" s="20"/>
      <c r="P1517" s="20"/>
      <c r="Q1517" s="20"/>
      <c r="R1517" s="20"/>
      <c r="S1517" s="20"/>
      <c r="T1517" s="20"/>
      <c r="U1517" s="20"/>
      <c r="V1517" s="20"/>
      <c r="W1517" s="20"/>
      <c r="X1517" s="20"/>
      <c r="Y1517" s="22"/>
      <c r="Z1517" s="22"/>
      <c r="AA1517" s="20"/>
      <c r="AB1517" s="20"/>
      <c r="AC1517" s="20"/>
      <c r="AD1517" s="20"/>
      <c r="AE1517" s="20"/>
      <c r="AF1517" s="20"/>
      <c r="AG1517" s="20"/>
      <c r="AH1517" s="20"/>
      <c r="AI1517" s="20"/>
      <c r="AJ1517" s="20"/>
      <c r="AK1517" s="20"/>
      <c r="AL1517" s="20"/>
      <c r="AM1517" s="20"/>
      <c r="AN1517" s="20"/>
      <c r="AS1517" s="11"/>
      <c r="AT1517" s="12"/>
    </row>
    <row r="1518" ht="14.25" customHeight="1">
      <c r="A1518" s="20"/>
      <c r="B1518" s="20"/>
      <c r="C1518" s="20"/>
      <c r="D1518" s="21"/>
      <c r="E1518" s="20"/>
      <c r="F1518" s="20"/>
      <c r="G1518" s="20"/>
      <c r="H1518" s="20"/>
      <c r="K1518" s="1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2"/>
      <c r="Z1518" s="22"/>
      <c r="AA1518" s="20"/>
      <c r="AB1518" s="20"/>
      <c r="AC1518" s="20"/>
      <c r="AD1518" s="20"/>
      <c r="AE1518" s="20"/>
      <c r="AF1518" s="20"/>
      <c r="AG1518" s="20"/>
      <c r="AH1518" s="20"/>
      <c r="AI1518" s="20"/>
      <c r="AJ1518" s="20"/>
      <c r="AK1518" s="20"/>
      <c r="AL1518" s="20"/>
      <c r="AM1518" s="20"/>
      <c r="AN1518" s="20"/>
      <c r="AS1518" s="11"/>
      <c r="AT1518" s="12"/>
    </row>
    <row r="1519" ht="14.25" customHeight="1">
      <c r="A1519" s="20"/>
      <c r="B1519" s="20"/>
      <c r="C1519" s="20"/>
      <c r="D1519" s="21"/>
      <c r="E1519" s="20"/>
      <c r="F1519" s="20"/>
      <c r="G1519" s="20"/>
      <c r="H1519" s="20"/>
      <c r="K1519" s="10"/>
      <c r="M1519" s="20"/>
      <c r="N1519" s="20"/>
      <c r="O1519" s="20"/>
      <c r="P1519" s="20"/>
      <c r="Q1519" s="20"/>
      <c r="R1519" s="20"/>
      <c r="S1519" s="20"/>
      <c r="T1519" s="20"/>
      <c r="U1519" s="20"/>
      <c r="V1519" s="20"/>
      <c r="W1519" s="20"/>
      <c r="X1519" s="20"/>
      <c r="Y1519" s="22"/>
      <c r="Z1519" s="22"/>
      <c r="AA1519" s="20"/>
      <c r="AB1519" s="20"/>
      <c r="AC1519" s="20"/>
      <c r="AD1519" s="20"/>
      <c r="AE1519" s="20"/>
      <c r="AF1519" s="20"/>
      <c r="AG1519" s="20"/>
      <c r="AH1519" s="20"/>
      <c r="AI1519" s="20"/>
      <c r="AJ1519" s="20"/>
      <c r="AK1519" s="20"/>
      <c r="AL1519" s="20"/>
      <c r="AM1519" s="20"/>
      <c r="AN1519" s="20"/>
      <c r="AS1519" s="11"/>
      <c r="AT1519" s="12"/>
    </row>
    <row r="1520" ht="14.25" customHeight="1">
      <c r="A1520" s="20"/>
      <c r="B1520" s="20"/>
      <c r="C1520" s="20"/>
      <c r="D1520" s="21"/>
      <c r="E1520" s="20"/>
      <c r="F1520" s="20"/>
      <c r="G1520" s="20"/>
      <c r="H1520" s="20"/>
      <c r="K1520" s="1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  <c r="X1520" s="20"/>
      <c r="Y1520" s="22"/>
      <c r="Z1520" s="22"/>
      <c r="AA1520" s="20"/>
      <c r="AB1520" s="20"/>
      <c r="AC1520" s="20"/>
      <c r="AD1520" s="20"/>
      <c r="AE1520" s="20"/>
      <c r="AF1520" s="20"/>
      <c r="AG1520" s="20"/>
      <c r="AH1520" s="20"/>
      <c r="AI1520" s="20"/>
      <c r="AJ1520" s="20"/>
      <c r="AK1520" s="20"/>
      <c r="AL1520" s="20"/>
      <c r="AM1520" s="20"/>
      <c r="AN1520" s="20"/>
      <c r="AS1520" s="11"/>
      <c r="AT1520" s="12"/>
    </row>
    <row r="1521" ht="14.25" customHeight="1">
      <c r="A1521" s="20"/>
      <c r="B1521" s="20"/>
      <c r="C1521" s="20"/>
      <c r="D1521" s="21"/>
      <c r="E1521" s="20"/>
      <c r="F1521" s="20"/>
      <c r="G1521" s="20"/>
      <c r="H1521" s="20"/>
      <c r="K1521" s="10"/>
      <c r="M1521" s="20"/>
      <c r="N1521" s="20"/>
      <c r="O1521" s="20"/>
      <c r="P1521" s="20"/>
      <c r="Q1521" s="20"/>
      <c r="R1521" s="20"/>
      <c r="S1521" s="20"/>
      <c r="T1521" s="20"/>
      <c r="U1521" s="20"/>
      <c r="V1521" s="20"/>
      <c r="W1521" s="20"/>
      <c r="X1521" s="20"/>
      <c r="Y1521" s="22"/>
      <c r="Z1521" s="22"/>
      <c r="AA1521" s="20"/>
      <c r="AB1521" s="20"/>
      <c r="AC1521" s="20"/>
      <c r="AD1521" s="20"/>
      <c r="AE1521" s="20"/>
      <c r="AF1521" s="20"/>
      <c r="AG1521" s="20"/>
      <c r="AH1521" s="20"/>
      <c r="AI1521" s="20"/>
      <c r="AJ1521" s="20"/>
      <c r="AK1521" s="20"/>
      <c r="AL1521" s="20"/>
      <c r="AM1521" s="20"/>
      <c r="AN1521" s="20"/>
      <c r="AS1521" s="11"/>
      <c r="AT1521" s="12"/>
    </row>
    <row r="1522" ht="14.25" customHeight="1">
      <c r="A1522" s="20"/>
      <c r="B1522" s="20"/>
      <c r="C1522" s="20"/>
      <c r="D1522" s="21"/>
      <c r="E1522" s="20"/>
      <c r="F1522" s="20"/>
      <c r="G1522" s="20"/>
      <c r="H1522" s="20"/>
      <c r="K1522" s="10"/>
      <c r="M1522" s="20"/>
      <c r="N1522" s="20"/>
      <c r="O1522" s="20"/>
      <c r="P1522" s="20"/>
      <c r="Q1522" s="20"/>
      <c r="R1522" s="20"/>
      <c r="S1522" s="20"/>
      <c r="T1522" s="20"/>
      <c r="U1522" s="20"/>
      <c r="V1522" s="20"/>
      <c r="W1522" s="20"/>
      <c r="X1522" s="20"/>
      <c r="Y1522" s="22"/>
      <c r="Z1522" s="22"/>
      <c r="AA1522" s="20"/>
      <c r="AB1522" s="20"/>
      <c r="AC1522" s="20"/>
      <c r="AD1522" s="20"/>
      <c r="AE1522" s="20"/>
      <c r="AF1522" s="20"/>
      <c r="AG1522" s="20"/>
      <c r="AH1522" s="20"/>
      <c r="AI1522" s="20"/>
      <c r="AJ1522" s="20"/>
      <c r="AK1522" s="20"/>
      <c r="AL1522" s="20"/>
      <c r="AM1522" s="20"/>
      <c r="AN1522" s="20"/>
      <c r="AS1522" s="11"/>
      <c r="AT1522" s="12"/>
    </row>
    <row r="1523" ht="14.25" customHeight="1">
      <c r="A1523" s="20"/>
      <c r="B1523" s="20"/>
      <c r="C1523" s="20"/>
      <c r="D1523" s="21"/>
      <c r="E1523" s="20"/>
      <c r="F1523" s="20"/>
      <c r="G1523" s="20"/>
      <c r="H1523" s="20"/>
      <c r="K1523" s="10"/>
      <c r="M1523" s="20"/>
      <c r="N1523" s="20"/>
      <c r="O1523" s="20"/>
      <c r="P1523" s="20"/>
      <c r="Q1523" s="20"/>
      <c r="R1523" s="20"/>
      <c r="S1523" s="20"/>
      <c r="T1523" s="20"/>
      <c r="U1523" s="20"/>
      <c r="V1523" s="20"/>
      <c r="W1523" s="20"/>
      <c r="X1523" s="20"/>
      <c r="Y1523" s="22"/>
      <c r="Z1523" s="22"/>
      <c r="AA1523" s="20"/>
      <c r="AB1523" s="20"/>
      <c r="AC1523" s="20"/>
      <c r="AD1523" s="20"/>
      <c r="AE1523" s="20"/>
      <c r="AF1523" s="20"/>
      <c r="AG1523" s="20"/>
      <c r="AH1523" s="20"/>
      <c r="AI1523" s="20"/>
      <c r="AJ1523" s="20"/>
      <c r="AK1523" s="20"/>
      <c r="AL1523" s="20"/>
      <c r="AM1523" s="20"/>
      <c r="AN1523" s="20"/>
      <c r="AS1523" s="11"/>
      <c r="AT1523" s="12"/>
    </row>
    <row r="1524" ht="14.25" customHeight="1">
      <c r="A1524" s="20"/>
      <c r="B1524" s="20"/>
      <c r="C1524" s="20"/>
      <c r="D1524" s="21"/>
      <c r="E1524" s="20"/>
      <c r="F1524" s="20"/>
      <c r="G1524" s="20"/>
      <c r="H1524" s="20"/>
      <c r="K1524" s="10"/>
      <c r="M1524" s="20"/>
      <c r="N1524" s="20"/>
      <c r="O1524" s="20"/>
      <c r="P1524" s="20"/>
      <c r="Q1524" s="20"/>
      <c r="R1524" s="20"/>
      <c r="S1524" s="20"/>
      <c r="T1524" s="20"/>
      <c r="U1524" s="20"/>
      <c r="V1524" s="20"/>
      <c r="W1524" s="20"/>
      <c r="X1524" s="20"/>
      <c r="Y1524" s="22"/>
      <c r="Z1524" s="22"/>
      <c r="AA1524" s="20"/>
      <c r="AB1524" s="20"/>
      <c r="AC1524" s="20"/>
      <c r="AD1524" s="20"/>
      <c r="AE1524" s="20"/>
      <c r="AF1524" s="20"/>
      <c r="AG1524" s="20"/>
      <c r="AH1524" s="20"/>
      <c r="AI1524" s="20"/>
      <c r="AJ1524" s="20"/>
      <c r="AK1524" s="20"/>
      <c r="AL1524" s="20"/>
      <c r="AM1524" s="20"/>
      <c r="AN1524" s="20"/>
      <c r="AS1524" s="11"/>
      <c r="AT1524" s="12"/>
    </row>
    <row r="1525" ht="14.25" customHeight="1">
      <c r="A1525" s="20"/>
      <c r="B1525" s="20"/>
      <c r="C1525" s="20"/>
      <c r="D1525" s="21"/>
      <c r="E1525" s="20"/>
      <c r="F1525" s="20"/>
      <c r="G1525" s="20"/>
      <c r="H1525" s="20"/>
      <c r="K1525" s="10"/>
      <c r="M1525" s="20"/>
      <c r="N1525" s="20"/>
      <c r="O1525" s="20"/>
      <c r="P1525" s="20"/>
      <c r="Q1525" s="20"/>
      <c r="R1525" s="20"/>
      <c r="S1525" s="20"/>
      <c r="T1525" s="20"/>
      <c r="U1525" s="20"/>
      <c r="V1525" s="20"/>
      <c r="W1525" s="20"/>
      <c r="X1525" s="20"/>
      <c r="Y1525" s="22"/>
      <c r="Z1525" s="22"/>
      <c r="AA1525" s="20"/>
      <c r="AB1525" s="20"/>
      <c r="AC1525" s="20"/>
      <c r="AD1525" s="20"/>
      <c r="AE1525" s="20"/>
      <c r="AF1525" s="20"/>
      <c r="AG1525" s="20"/>
      <c r="AH1525" s="20"/>
      <c r="AI1525" s="20"/>
      <c r="AJ1525" s="20"/>
      <c r="AK1525" s="20"/>
      <c r="AL1525" s="20"/>
      <c r="AM1525" s="20"/>
      <c r="AN1525" s="20"/>
      <c r="AS1525" s="11"/>
      <c r="AT1525" s="12"/>
    </row>
    <row r="1526" ht="14.25" customHeight="1">
      <c r="A1526" s="20"/>
      <c r="B1526" s="20"/>
      <c r="C1526" s="20"/>
      <c r="D1526" s="21"/>
      <c r="E1526" s="20"/>
      <c r="F1526" s="20"/>
      <c r="G1526" s="20"/>
      <c r="H1526" s="20"/>
      <c r="K1526" s="10"/>
      <c r="M1526" s="20"/>
      <c r="N1526" s="20"/>
      <c r="O1526" s="20"/>
      <c r="P1526" s="20"/>
      <c r="Q1526" s="20"/>
      <c r="R1526" s="20"/>
      <c r="S1526" s="20"/>
      <c r="T1526" s="20"/>
      <c r="U1526" s="20"/>
      <c r="V1526" s="20"/>
      <c r="W1526" s="20"/>
      <c r="X1526" s="20"/>
      <c r="Y1526" s="22"/>
      <c r="Z1526" s="22"/>
      <c r="AA1526" s="20"/>
      <c r="AB1526" s="20"/>
      <c r="AC1526" s="20"/>
      <c r="AD1526" s="20"/>
      <c r="AE1526" s="20"/>
      <c r="AF1526" s="20"/>
      <c r="AG1526" s="20"/>
      <c r="AH1526" s="20"/>
      <c r="AI1526" s="20"/>
      <c r="AJ1526" s="20"/>
      <c r="AK1526" s="20"/>
      <c r="AL1526" s="20"/>
      <c r="AM1526" s="20"/>
      <c r="AN1526" s="20"/>
      <c r="AS1526" s="11"/>
      <c r="AT1526" s="12"/>
    </row>
    <row r="1527" ht="14.25" customHeight="1">
      <c r="A1527" s="20"/>
      <c r="B1527" s="20"/>
      <c r="C1527" s="20"/>
      <c r="D1527" s="21"/>
      <c r="E1527" s="20"/>
      <c r="F1527" s="20"/>
      <c r="G1527" s="20"/>
      <c r="H1527" s="20"/>
      <c r="K1527" s="1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  <c r="X1527" s="20"/>
      <c r="Y1527" s="22"/>
      <c r="Z1527" s="22"/>
      <c r="AA1527" s="20"/>
      <c r="AB1527" s="20"/>
      <c r="AC1527" s="20"/>
      <c r="AD1527" s="20"/>
      <c r="AE1527" s="20"/>
      <c r="AF1527" s="20"/>
      <c r="AG1527" s="20"/>
      <c r="AH1527" s="20"/>
      <c r="AI1527" s="20"/>
      <c r="AJ1527" s="20"/>
      <c r="AK1527" s="20"/>
      <c r="AL1527" s="20"/>
      <c r="AM1527" s="20"/>
      <c r="AN1527" s="20"/>
      <c r="AS1527" s="11"/>
      <c r="AT1527" s="12"/>
    </row>
    <row r="1528" ht="14.25" customHeight="1">
      <c r="A1528" s="20"/>
      <c r="B1528" s="20"/>
      <c r="C1528" s="20"/>
      <c r="D1528" s="21"/>
      <c r="E1528" s="20"/>
      <c r="F1528" s="20"/>
      <c r="G1528" s="20"/>
      <c r="H1528" s="20"/>
      <c r="K1528" s="1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0"/>
      <c r="W1528" s="20"/>
      <c r="X1528" s="20"/>
      <c r="Y1528" s="22"/>
      <c r="Z1528" s="22"/>
      <c r="AA1528" s="20"/>
      <c r="AB1528" s="20"/>
      <c r="AC1528" s="20"/>
      <c r="AD1528" s="20"/>
      <c r="AE1528" s="20"/>
      <c r="AF1528" s="20"/>
      <c r="AG1528" s="20"/>
      <c r="AH1528" s="20"/>
      <c r="AI1528" s="20"/>
      <c r="AJ1528" s="20"/>
      <c r="AK1528" s="20"/>
      <c r="AL1528" s="20"/>
      <c r="AM1528" s="20"/>
      <c r="AN1528" s="20"/>
      <c r="AS1528" s="11"/>
      <c r="AT1528" s="12"/>
    </row>
    <row r="1529" ht="14.25" customHeight="1">
      <c r="A1529" s="20"/>
      <c r="B1529" s="20"/>
      <c r="C1529" s="20"/>
      <c r="D1529" s="21"/>
      <c r="E1529" s="20"/>
      <c r="F1529" s="20"/>
      <c r="G1529" s="20"/>
      <c r="H1529" s="20"/>
      <c r="K1529" s="10"/>
      <c r="M1529" s="20"/>
      <c r="N1529" s="20"/>
      <c r="O1529" s="20"/>
      <c r="P1529" s="20"/>
      <c r="Q1529" s="20"/>
      <c r="R1529" s="20"/>
      <c r="S1529" s="20"/>
      <c r="T1529" s="20"/>
      <c r="U1529" s="20"/>
      <c r="V1529" s="20"/>
      <c r="W1529" s="20"/>
      <c r="X1529" s="20"/>
      <c r="Y1529" s="22"/>
      <c r="Z1529" s="22"/>
      <c r="AA1529" s="20"/>
      <c r="AB1529" s="20"/>
      <c r="AC1529" s="20"/>
      <c r="AD1529" s="20"/>
      <c r="AE1529" s="20"/>
      <c r="AF1529" s="20"/>
      <c r="AG1529" s="20"/>
      <c r="AH1529" s="20"/>
      <c r="AI1529" s="20"/>
      <c r="AJ1529" s="20"/>
      <c r="AK1529" s="20"/>
      <c r="AL1529" s="20"/>
      <c r="AM1529" s="20"/>
      <c r="AN1529" s="20"/>
      <c r="AS1529" s="11"/>
      <c r="AT1529" s="12"/>
    </row>
    <row r="1530" ht="14.25" customHeight="1">
      <c r="A1530" s="20"/>
      <c r="B1530" s="20"/>
      <c r="C1530" s="20"/>
      <c r="D1530" s="21"/>
      <c r="E1530" s="20"/>
      <c r="F1530" s="20"/>
      <c r="G1530" s="20"/>
      <c r="H1530" s="20"/>
      <c r="K1530" s="10"/>
      <c r="M1530" s="20"/>
      <c r="N1530" s="20"/>
      <c r="O1530" s="20"/>
      <c r="P1530" s="20"/>
      <c r="Q1530" s="20"/>
      <c r="R1530" s="20"/>
      <c r="S1530" s="20"/>
      <c r="T1530" s="20"/>
      <c r="U1530" s="20"/>
      <c r="V1530" s="20"/>
      <c r="W1530" s="20"/>
      <c r="X1530" s="20"/>
      <c r="Y1530" s="22"/>
      <c r="Z1530" s="22"/>
      <c r="AA1530" s="20"/>
      <c r="AB1530" s="20"/>
      <c r="AC1530" s="20"/>
      <c r="AD1530" s="20"/>
      <c r="AE1530" s="20"/>
      <c r="AF1530" s="20"/>
      <c r="AG1530" s="20"/>
      <c r="AH1530" s="20"/>
      <c r="AI1530" s="20"/>
      <c r="AJ1530" s="20"/>
      <c r="AK1530" s="20"/>
      <c r="AL1530" s="20"/>
      <c r="AM1530" s="20"/>
      <c r="AN1530" s="20"/>
      <c r="AS1530" s="11"/>
      <c r="AT1530" s="12"/>
    </row>
    <row r="1531" ht="14.25" customHeight="1">
      <c r="A1531" s="20"/>
      <c r="B1531" s="20"/>
      <c r="C1531" s="20"/>
      <c r="D1531" s="21"/>
      <c r="E1531" s="20"/>
      <c r="F1531" s="20"/>
      <c r="G1531" s="20"/>
      <c r="H1531" s="20"/>
      <c r="K1531" s="10"/>
      <c r="M1531" s="20"/>
      <c r="N1531" s="20"/>
      <c r="O1531" s="20"/>
      <c r="P1531" s="20"/>
      <c r="Q1531" s="20"/>
      <c r="R1531" s="20"/>
      <c r="S1531" s="20"/>
      <c r="T1531" s="20"/>
      <c r="U1531" s="20"/>
      <c r="V1531" s="20"/>
      <c r="W1531" s="20"/>
      <c r="X1531" s="20"/>
      <c r="Y1531" s="22"/>
      <c r="Z1531" s="22"/>
      <c r="AA1531" s="20"/>
      <c r="AB1531" s="20"/>
      <c r="AC1531" s="20"/>
      <c r="AD1531" s="20"/>
      <c r="AE1531" s="20"/>
      <c r="AF1531" s="20"/>
      <c r="AG1531" s="20"/>
      <c r="AH1531" s="20"/>
      <c r="AI1531" s="20"/>
      <c r="AJ1531" s="20"/>
      <c r="AK1531" s="20"/>
      <c r="AL1531" s="20"/>
      <c r="AM1531" s="20"/>
      <c r="AN1531" s="20"/>
      <c r="AS1531" s="11"/>
      <c r="AT1531" s="12"/>
    </row>
    <row r="1532" ht="14.25" customHeight="1">
      <c r="A1532" s="20"/>
      <c r="B1532" s="20"/>
      <c r="C1532" s="20"/>
      <c r="D1532" s="21"/>
      <c r="E1532" s="20"/>
      <c r="F1532" s="20"/>
      <c r="G1532" s="20"/>
      <c r="H1532" s="20"/>
      <c r="K1532" s="10"/>
      <c r="M1532" s="20"/>
      <c r="N1532" s="20"/>
      <c r="O1532" s="20"/>
      <c r="P1532" s="20"/>
      <c r="Q1532" s="20"/>
      <c r="R1532" s="20"/>
      <c r="S1532" s="20"/>
      <c r="T1532" s="20"/>
      <c r="U1532" s="20"/>
      <c r="V1532" s="20"/>
      <c r="W1532" s="20"/>
      <c r="X1532" s="20"/>
      <c r="Y1532" s="22"/>
      <c r="Z1532" s="22"/>
      <c r="AA1532" s="20"/>
      <c r="AB1532" s="20"/>
      <c r="AC1532" s="20"/>
      <c r="AD1532" s="20"/>
      <c r="AE1532" s="20"/>
      <c r="AF1532" s="20"/>
      <c r="AG1532" s="20"/>
      <c r="AH1532" s="20"/>
      <c r="AI1532" s="20"/>
      <c r="AJ1532" s="20"/>
      <c r="AK1532" s="20"/>
      <c r="AL1532" s="20"/>
      <c r="AM1532" s="20"/>
      <c r="AN1532" s="20"/>
      <c r="AS1532" s="11"/>
      <c r="AT1532" s="12"/>
    </row>
    <row r="1533" ht="14.25" customHeight="1">
      <c r="A1533" s="20"/>
      <c r="B1533" s="20"/>
      <c r="C1533" s="20"/>
      <c r="D1533" s="21"/>
      <c r="E1533" s="20"/>
      <c r="F1533" s="20"/>
      <c r="G1533" s="20"/>
      <c r="H1533" s="20"/>
      <c r="K1533" s="10"/>
      <c r="M1533" s="20"/>
      <c r="N1533" s="20"/>
      <c r="O1533" s="20"/>
      <c r="P1533" s="20"/>
      <c r="Q1533" s="20"/>
      <c r="R1533" s="20"/>
      <c r="S1533" s="20"/>
      <c r="T1533" s="20"/>
      <c r="U1533" s="20"/>
      <c r="V1533" s="20"/>
      <c r="W1533" s="20"/>
      <c r="X1533" s="20"/>
      <c r="Y1533" s="22"/>
      <c r="Z1533" s="22"/>
      <c r="AA1533" s="20"/>
      <c r="AB1533" s="20"/>
      <c r="AC1533" s="20"/>
      <c r="AD1533" s="20"/>
      <c r="AE1533" s="20"/>
      <c r="AF1533" s="20"/>
      <c r="AG1533" s="20"/>
      <c r="AH1533" s="20"/>
      <c r="AI1533" s="20"/>
      <c r="AJ1533" s="20"/>
      <c r="AK1533" s="20"/>
      <c r="AL1533" s="20"/>
      <c r="AM1533" s="20"/>
      <c r="AN1533" s="20"/>
      <c r="AS1533" s="11"/>
      <c r="AT1533" s="12"/>
    </row>
    <row r="1534" ht="14.25" customHeight="1">
      <c r="A1534" s="20"/>
      <c r="B1534" s="20"/>
      <c r="C1534" s="20"/>
      <c r="D1534" s="21"/>
      <c r="E1534" s="20"/>
      <c r="F1534" s="20"/>
      <c r="G1534" s="20"/>
      <c r="H1534" s="20"/>
      <c r="K1534" s="10"/>
      <c r="M1534" s="20"/>
      <c r="N1534" s="20"/>
      <c r="O1534" s="20"/>
      <c r="P1534" s="20"/>
      <c r="Q1534" s="20"/>
      <c r="R1534" s="20"/>
      <c r="S1534" s="20"/>
      <c r="T1534" s="20"/>
      <c r="U1534" s="20"/>
      <c r="V1534" s="20"/>
      <c r="W1534" s="20"/>
      <c r="X1534" s="20"/>
      <c r="Y1534" s="22"/>
      <c r="Z1534" s="22"/>
      <c r="AA1534" s="20"/>
      <c r="AB1534" s="20"/>
      <c r="AC1534" s="20"/>
      <c r="AD1534" s="20"/>
      <c r="AE1534" s="20"/>
      <c r="AF1534" s="20"/>
      <c r="AG1534" s="20"/>
      <c r="AH1534" s="20"/>
      <c r="AI1534" s="20"/>
      <c r="AJ1534" s="20"/>
      <c r="AK1534" s="20"/>
      <c r="AL1534" s="20"/>
      <c r="AM1534" s="20"/>
      <c r="AN1534" s="20"/>
      <c r="AS1534" s="11"/>
      <c r="AT1534" s="12"/>
    </row>
    <row r="1535" ht="14.25" customHeight="1">
      <c r="A1535" s="20"/>
      <c r="B1535" s="20"/>
      <c r="C1535" s="20"/>
      <c r="D1535" s="21"/>
      <c r="E1535" s="20"/>
      <c r="F1535" s="20"/>
      <c r="G1535" s="20"/>
      <c r="H1535" s="20"/>
      <c r="K1535" s="10"/>
      <c r="M1535" s="20"/>
      <c r="N1535" s="20"/>
      <c r="O1535" s="20"/>
      <c r="P1535" s="20"/>
      <c r="Q1535" s="20"/>
      <c r="R1535" s="20"/>
      <c r="S1535" s="20"/>
      <c r="T1535" s="20"/>
      <c r="U1535" s="20"/>
      <c r="V1535" s="20"/>
      <c r="W1535" s="20"/>
      <c r="X1535" s="20"/>
      <c r="Y1535" s="22"/>
      <c r="Z1535" s="22"/>
      <c r="AA1535" s="20"/>
      <c r="AB1535" s="20"/>
      <c r="AC1535" s="20"/>
      <c r="AD1535" s="20"/>
      <c r="AE1535" s="20"/>
      <c r="AF1535" s="20"/>
      <c r="AG1535" s="20"/>
      <c r="AH1535" s="20"/>
      <c r="AI1535" s="20"/>
      <c r="AJ1535" s="20"/>
      <c r="AK1535" s="20"/>
      <c r="AL1535" s="20"/>
      <c r="AM1535" s="20"/>
      <c r="AN1535" s="20"/>
      <c r="AS1535" s="11"/>
      <c r="AT1535" s="12"/>
    </row>
    <row r="1536" ht="14.25" customHeight="1">
      <c r="A1536" s="20"/>
      <c r="B1536" s="20"/>
      <c r="C1536" s="20"/>
      <c r="D1536" s="21"/>
      <c r="E1536" s="20"/>
      <c r="F1536" s="20"/>
      <c r="G1536" s="20"/>
      <c r="H1536" s="20"/>
      <c r="K1536" s="10"/>
      <c r="M1536" s="20"/>
      <c r="N1536" s="20"/>
      <c r="O1536" s="20"/>
      <c r="P1536" s="20"/>
      <c r="Q1536" s="20"/>
      <c r="R1536" s="20"/>
      <c r="S1536" s="20"/>
      <c r="T1536" s="20"/>
      <c r="U1536" s="20"/>
      <c r="V1536" s="20"/>
      <c r="W1536" s="20"/>
      <c r="X1536" s="20"/>
      <c r="Y1536" s="22"/>
      <c r="Z1536" s="22"/>
      <c r="AA1536" s="20"/>
      <c r="AB1536" s="20"/>
      <c r="AC1536" s="20"/>
      <c r="AD1536" s="20"/>
      <c r="AE1536" s="20"/>
      <c r="AF1536" s="20"/>
      <c r="AG1536" s="20"/>
      <c r="AH1536" s="20"/>
      <c r="AI1536" s="20"/>
      <c r="AJ1536" s="20"/>
      <c r="AK1536" s="20"/>
      <c r="AL1536" s="20"/>
      <c r="AM1536" s="20"/>
      <c r="AN1536" s="20"/>
      <c r="AS1536" s="11"/>
      <c r="AT1536" s="12"/>
    </row>
    <row r="1537" ht="14.25" customHeight="1">
      <c r="A1537" s="20"/>
      <c r="B1537" s="20"/>
      <c r="C1537" s="20"/>
      <c r="D1537" s="21"/>
      <c r="E1537" s="20"/>
      <c r="F1537" s="20"/>
      <c r="G1537" s="20"/>
      <c r="H1537" s="20"/>
      <c r="K1537" s="10"/>
      <c r="M1537" s="20"/>
      <c r="N1537" s="20"/>
      <c r="O1537" s="20"/>
      <c r="P1537" s="20"/>
      <c r="Q1537" s="20"/>
      <c r="R1537" s="20"/>
      <c r="S1537" s="20"/>
      <c r="T1537" s="20"/>
      <c r="U1537" s="20"/>
      <c r="V1537" s="20"/>
      <c r="W1537" s="20"/>
      <c r="X1537" s="20"/>
      <c r="Y1537" s="22"/>
      <c r="Z1537" s="22"/>
      <c r="AA1537" s="20"/>
      <c r="AB1537" s="20"/>
      <c r="AC1537" s="20"/>
      <c r="AD1537" s="20"/>
      <c r="AE1537" s="20"/>
      <c r="AF1537" s="20"/>
      <c r="AG1537" s="20"/>
      <c r="AH1537" s="20"/>
      <c r="AI1537" s="20"/>
      <c r="AJ1537" s="20"/>
      <c r="AK1537" s="20"/>
      <c r="AL1537" s="20"/>
      <c r="AM1537" s="20"/>
      <c r="AN1537" s="20"/>
      <c r="AS1537" s="11"/>
      <c r="AT1537" s="12"/>
    </row>
    <row r="1538" ht="14.25" customHeight="1">
      <c r="A1538" s="20"/>
      <c r="B1538" s="20"/>
      <c r="C1538" s="20"/>
      <c r="D1538" s="21"/>
      <c r="E1538" s="20"/>
      <c r="F1538" s="20"/>
      <c r="G1538" s="20"/>
      <c r="H1538" s="20"/>
      <c r="K1538" s="10"/>
      <c r="M1538" s="20"/>
      <c r="N1538" s="20"/>
      <c r="O1538" s="20"/>
      <c r="P1538" s="20"/>
      <c r="Q1538" s="20"/>
      <c r="R1538" s="20"/>
      <c r="S1538" s="20"/>
      <c r="T1538" s="20"/>
      <c r="U1538" s="20"/>
      <c r="V1538" s="20"/>
      <c r="W1538" s="20"/>
      <c r="X1538" s="20"/>
      <c r="Y1538" s="22"/>
      <c r="Z1538" s="22"/>
      <c r="AA1538" s="20"/>
      <c r="AB1538" s="20"/>
      <c r="AC1538" s="20"/>
      <c r="AD1538" s="20"/>
      <c r="AE1538" s="20"/>
      <c r="AF1538" s="20"/>
      <c r="AG1538" s="20"/>
      <c r="AH1538" s="20"/>
      <c r="AI1538" s="20"/>
      <c r="AJ1538" s="20"/>
      <c r="AK1538" s="20"/>
      <c r="AL1538" s="20"/>
      <c r="AM1538" s="20"/>
      <c r="AN1538" s="20"/>
      <c r="AS1538" s="11"/>
      <c r="AT1538" s="12"/>
    </row>
    <row r="1539" ht="14.25" customHeight="1">
      <c r="A1539" s="20"/>
      <c r="B1539" s="20"/>
      <c r="C1539" s="20"/>
      <c r="D1539" s="21"/>
      <c r="E1539" s="20"/>
      <c r="F1539" s="20"/>
      <c r="G1539" s="20"/>
      <c r="H1539" s="20"/>
      <c r="K1539" s="10"/>
      <c r="M1539" s="20"/>
      <c r="N1539" s="20"/>
      <c r="O1539" s="20"/>
      <c r="P1539" s="20"/>
      <c r="Q1539" s="20"/>
      <c r="R1539" s="20"/>
      <c r="S1539" s="20"/>
      <c r="T1539" s="20"/>
      <c r="U1539" s="20"/>
      <c r="V1539" s="20"/>
      <c r="W1539" s="20"/>
      <c r="X1539" s="20"/>
      <c r="Y1539" s="22"/>
      <c r="Z1539" s="22"/>
      <c r="AA1539" s="20"/>
      <c r="AB1539" s="20"/>
      <c r="AC1539" s="20"/>
      <c r="AD1539" s="20"/>
      <c r="AE1539" s="20"/>
      <c r="AF1539" s="20"/>
      <c r="AG1539" s="20"/>
      <c r="AH1539" s="20"/>
      <c r="AI1539" s="20"/>
      <c r="AJ1539" s="20"/>
      <c r="AK1539" s="20"/>
      <c r="AL1539" s="20"/>
      <c r="AM1539" s="20"/>
      <c r="AN1539" s="20"/>
      <c r="AS1539" s="11"/>
      <c r="AT1539" s="12"/>
    </row>
    <row r="1540" ht="14.25" customHeight="1">
      <c r="A1540" s="20"/>
      <c r="B1540" s="20"/>
      <c r="C1540" s="20"/>
      <c r="D1540" s="21"/>
      <c r="E1540" s="20"/>
      <c r="F1540" s="20"/>
      <c r="G1540" s="20"/>
      <c r="H1540" s="20"/>
      <c r="K1540" s="10"/>
      <c r="M1540" s="20"/>
      <c r="N1540" s="20"/>
      <c r="O1540" s="20"/>
      <c r="P1540" s="20"/>
      <c r="Q1540" s="20"/>
      <c r="R1540" s="20"/>
      <c r="S1540" s="20"/>
      <c r="T1540" s="20"/>
      <c r="U1540" s="20"/>
      <c r="V1540" s="20"/>
      <c r="W1540" s="20"/>
      <c r="X1540" s="20"/>
      <c r="Y1540" s="22"/>
      <c r="Z1540" s="22"/>
      <c r="AA1540" s="20"/>
      <c r="AB1540" s="20"/>
      <c r="AC1540" s="20"/>
      <c r="AD1540" s="20"/>
      <c r="AE1540" s="20"/>
      <c r="AF1540" s="20"/>
      <c r="AG1540" s="20"/>
      <c r="AH1540" s="20"/>
      <c r="AI1540" s="20"/>
      <c r="AJ1540" s="20"/>
      <c r="AK1540" s="20"/>
      <c r="AL1540" s="20"/>
      <c r="AM1540" s="20"/>
      <c r="AN1540" s="20"/>
      <c r="AS1540" s="11"/>
      <c r="AT1540" s="12"/>
    </row>
    <row r="1541" ht="14.25" customHeight="1">
      <c r="A1541" s="20"/>
      <c r="B1541" s="20"/>
      <c r="C1541" s="20"/>
      <c r="D1541" s="21"/>
      <c r="E1541" s="20"/>
      <c r="F1541" s="20"/>
      <c r="G1541" s="20"/>
      <c r="H1541" s="20"/>
      <c r="K1541" s="10"/>
      <c r="M1541" s="20"/>
      <c r="N1541" s="20"/>
      <c r="O1541" s="20"/>
      <c r="P1541" s="20"/>
      <c r="Q1541" s="20"/>
      <c r="R1541" s="20"/>
      <c r="S1541" s="20"/>
      <c r="T1541" s="20"/>
      <c r="U1541" s="20"/>
      <c r="V1541" s="20"/>
      <c r="W1541" s="20"/>
      <c r="X1541" s="20"/>
      <c r="Y1541" s="22"/>
      <c r="Z1541" s="22"/>
      <c r="AA1541" s="20"/>
      <c r="AB1541" s="20"/>
      <c r="AC1541" s="20"/>
      <c r="AD1541" s="20"/>
      <c r="AE1541" s="20"/>
      <c r="AF1541" s="20"/>
      <c r="AG1541" s="20"/>
      <c r="AH1541" s="20"/>
      <c r="AI1541" s="20"/>
      <c r="AJ1541" s="20"/>
      <c r="AK1541" s="20"/>
      <c r="AL1541" s="20"/>
      <c r="AM1541" s="20"/>
      <c r="AN1541" s="20"/>
      <c r="AS1541" s="11"/>
      <c r="AT1541" s="12"/>
    </row>
    <row r="1542" ht="14.25" customHeight="1">
      <c r="A1542" s="20"/>
      <c r="B1542" s="20"/>
      <c r="C1542" s="20"/>
      <c r="D1542" s="21"/>
      <c r="E1542" s="20"/>
      <c r="F1542" s="20"/>
      <c r="G1542" s="20"/>
      <c r="H1542" s="20"/>
      <c r="K1542" s="10"/>
      <c r="M1542" s="20"/>
      <c r="N1542" s="20"/>
      <c r="O1542" s="20"/>
      <c r="P1542" s="20"/>
      <c r="Q1542" s="20"/>
      <c r="R1542" s="20"/>
      <c r="S1542" s="20"/>
      <c r="T1542" s="20"/>
      <c r="U1542" s="20"/>
      <c r="V1542" s="20"/>
      <c r="W1542" s="20"/>
      <c r="X1542" s="20"/>
      <c r="Y1542" s="22"/>
      <c r="Z1542" s="22"/>
      <c r="AA1542" s="20"/>
      <c r="AB1542" s="20"/>
      <c r="AC1542" s="20"/>
      <c r="AD1542" s="20"/>
      <c r="AE1542" s="20"/>
      <c r="AF1542" s="20"/>
      <c r="AG1542" s="20"/>
      <c r="AH1542" s="20"/>
      <c r="AI1542" s="20"/>
      <c r="AJ1542" s="20"/>
      <c r="AK1542" s="20"/>
      <c r="AL1542" s="20"/>
      <c r="AM1542" s="20"/>
      <c r="AN1542" s="20"/>
      <c r="AS1542" s="11"/>
      <c r="AT1542" s="12"/>
    </row>
    <row r="1543" ht="14.25" customHeight="1">
      <c r="A1543" s="20"/>
      <c r="B1543" s="20"/>
      <c r="C1543" s="20"/>
      <c r="D1543" s="21"/>
      <c r="E1543" s="20"/>
      <c r="F1543" s="20"/>
      <c r="G1543" s="20"/>
      <c r="H1543" s="20"/>
      <c r="K1543" s="10"/>
      <c r="M1543" s="20"/>
      <c r="N1543" s="20"/>
      <c r="O1543" s="20"/>
      <c r="P1543" s="20"/>
      <c r="Q1543" s="20"/>
      <c r="R1543" s="20"/>
      <c r="S1543" s="20"/>
      <c r="T1543" s="20"/>
      <c r="U1543" s="20"/>
      <c r="V1543" s="20"/>
      <c r="W1543" s="20"/>
      <c r="X1543" s="20"/>
      <c r="Y1543" s="22"/>
      <c r="Z1543" s="22"/>
      <c r="AA1543" s="20"/>
      <c r="AB1543" s="20"/>
      <c r="AC1543" s="20"/>
      <c r="AD1543" s="20"/>
      <c r="AE1543" s="20"/>
      <c r="AF1543" s="20"/>
      <c r="AG1543" s="20"/>
      <c r="AH1543" s="20"/>
      <c r="AI1543" s="20"/>
      <c r="AJ1543" s="20"/>
      <c r="AK1543" s="20"/>
      <c r="AL1543" s="20"/>
      <c r="AM1543" s="20"/>
      <c r="AN1543" s="20"/>
      <c r="AS1543" s="11"/>
      <c r="AT1543" s="12"/>
    </row>
    <row r="1544" ht="14.25" customHeight="1">
      <c r="A1544" s="20"/>
      <c r="B1544" s="20"/>
      <c r="C1544" s="20"/>
      <c r="D1544" s="21"/>
      <c r="E1544" s="20"/>
      <c r="F1544" s="20"/>
      <c r="G1544" s="20"/>
      <c r="H1544" s="20"/>
      <c r="K1544" s="10"/>
      <c r="M1544" s="20"/>
      <c r="N1544" s="20"/>
      <c r="O1544" s="20"/>
      <c r="P1544" s="20"/>
      <c r="Q1544" s="20"/>
      <c r="R1544" s="20"/>
      <c r="S1544" s="20"/>
      <c r="T1544" s="20"/>
      <c r="U1544" s="20"/>
      <c r="V1544" s="20"/>
      <c r="W1544" s="20"/>
      <c r="X1544" s="20"/>
      <c r="Y1544" s="22"/>
      <c r="Z1544" s="22"/>
      <c r="AA1544" s="20"/>
      <c r="AB1544" s="20"/>
      <c r="AC1544" s="20"/>
      <c r="AD1544" s="20"/>
      <c r="AE1544" s="20"/>
      <c r="AF1544" s="20"/>
      <c r="AG1544" s="20"/>
      <c r="AH1544" s="20"/>
      <c r="AI1544" s="20"/>
      <c r="AJ1544" s="20"/>
      <c r="AK1544" s="20"/>
      <c r="AL1544" s="20"/>
      <c r="AM1544" s="20"/>
      <c r="AN1544" s="20"/>
      <c r="AS1544" s="11"/>
      <c r="AT1544" s="12"/>
    </row>
    <row r="1545" ht="14.25" customHeight="1">
      <c r="A1545" s="20"/>
      <c r="B1545" s="20"/>
      <c r="C1545" s="20"/>
      <c r="D1545" s="21"/>
      <c r="E1545" s="20"/>
      <c r="F1545" s="20"/>
      <c r="G1545" s="20"/>
      <c r="H1545" s="20"/>
      <c r="K1545" s="10"/>
      <c r="M1545" s="20"/>
      <c r="N1545" s="20"/>
      <c r="O1545" s="20"/>
      <c r="P1545" s="20"/>
      <c r="Q1545" s="20"/>
      <c r="R1545" s="20"/>
      <c r="S1545" s="20"/>
      <c r="T1545" s="20"/>
      <c r="U1545" s="20"/>
      <c r="V1545" s="20"/>
      <c r="W1545" s="20"/>
      <c r="X1545" s="20"/>
      <c r="Y1545" s="22"/>
      <c r="Z1545" s="22"/>
      <c r="AA1545" s="20"/>
      <c r="AB1545" s="20"/>
      <c r="AC1545" s="20"/>
      <c r="AD1545" s="20"/>
      <c r="AE1545" s="20"/>
      <c r="AF1545" s="20"/>
      <c r="AG1545" s="20"/>
      <c r="AH1545" s="20"/>
      <c r="AI1545" s="20"/>
      <c r="AJ1545" s="20"/>
      <c r="AK1545" s="20"/>
      <c r="AL1545" s="20"/>
      <c r="AM1545" s="20"/>
      <c r="AN1545" s="20"/>
      <c r="AS1545" s="11"/>
      <c r="AT1545" s="12"/>
    </row>
    <row r="1546" ht="14.25" customHeight="1">
      <c r="A1546" s="20"/>
      <c r="B1546" s="20"/>
      <c r="C1546" s="20"/>
      <c r="D1546" s="21"/>
      <c r="E1546" s="20"/>
      <c r="F1546" s="20"/>
      <c r="G1546" s="20"/>
      <c r="H1546" s="20"/>
      <c r="K1546" s="10"/>
      <c r="M1546" s="20"/>
      <c r="N1546" s="20"/>
      <c r="O1546" s="20"/>
      <c r="P1546" s="20"/>
      <c r="Q1546" s="20"/>
      <c r="R1546" s="20"/>
      <c r="S1546" s="20"/>
      <c r="T1546" s="20"/>
      <c r="U1546" s="20"/>
      <c r="V1546" s="20"/>
      <c r="W1546" s="20"/>
      <c r="X1546" s="20"/>
      <c r="Y1546" s="22"/>
      <c r="Z1546" s="22"/>
      <c r="AA1546" s="20"/>
      <c r="AB1546" s="20"/>
      <c r="AC1546" s="20"/>
      <c r="AD1546" s="20"/>
      <c r="AE1546" s="20"/>
      <c r="AF1546" s="20"/>
      <c r="AG1546" s="20"/>
      <c r="AH1546" s="20"/>
      <c r="AI1546" s="20"/>
      <c r="AJ1546" s="20"/>
      <c r="AK1546" s="20"/>
      <c r="AL1546" s="20"/>
      <c r="AM1546" s="20"/>
      <c r="AN1546" s="20"/>
      <c r="AS1546" s="11"/>
      <c r="AT1546" s="12"/>
    </row>
    <row r="1547" ht="14.25" customHeight="1">
      <c r="A1547" s="20"/>
      <c r="B1547" s="20"/>
      <c r="C1547" s="20"/>
      <c r="D1547" s="21"/>
      <c r="E1547" s="20"/>
      <c r="F1547" s="20"/>
      <c r="G1547" s="20"/>
      <c r="H1547" s="20"/>
      <c r="K1547" s="10"/>
      <c r="M1547" s="20"/>
      <c r="N1547" s="20"/>
      <c r="O1547" s="20"/>
      <c r="P1547" s="20"/>
      <c r="Q1547" s="20"/>
      <c r="R1547" s="20"/>
      <c r="S1547" s="20"/>
      <c r="T1547" s="20"/>
      <c r="U1547" s="20"/>
      <c r="V1547" s="20"/>
      <c r="W1547" s="20"/>
      <c r="X1547" s="20"/>
      <c r="Y1547" s="22"/>
      <c r="Z1547" s="22"/>
      <c r="AA1547" s="20"/>
      <c r="AB1547" s="20"/>
      <c r="AC1547" s="20"/>
      <c r="AD1547" s="20"/>
      <c r="AE1547" s="20"/>
      <c r="AF1547" s="20"/>
      <c r="AG1547" s="20"/>
      <c r="AH1547" s="20"/>
      <c r="AI1547" s="20"/>
      <c r="AJ1547" s="20"/>
      <c r="AK1547" s="20"/>
      <c r="AL1547" s="20"/>
      <c r="AM1547" s="20"/>
      <c r="AN1547" s="20"/>
      <c r="AS1547" s="11"/>
      <c r="AT1547" s="12"/>
    </row>
    <row r="1548" ht="14.25" customHeight="1">
      <c r="A1548" s="20"/>
      <c r="B1548" s="20"/>
      <c r="C1548" s="20"/>
      <c r="D1548" s="21"/>
      <c r="E1548" s="20"/>
      <c r="F1548" s="20"/>
      <c r="G1548" s="20"/>
      <c r="H1548" s="20"/>
      <c r="K1548" s="10"/>
      <c r="M1548" s="20"/>
      <c r="N1548" s="20"/>
      <c r="O1548" s="20"/>
      <c r="P1548" s="20"/>
      <c r="Q1548" s="20"/>
      <c r="R1548" s="20"/>
      <c r="S1548" s="20"/>
      <c r="T1548" s="20"/>
      <c r="U1548" s="20"/>
      <c r="V1548" s="20"/>
      <c r="W1548" s="20"/>
      <c r="X1548" s="20"/>
      <c r="Y1548" s="22"/>
      <c r="Z1548" s="22"/>
      <c r="AA1548" s="20"/>
      <c r="AB1548" s="20"/>
      <c r="AC1548" s="20"/>
      <c r="AD1548" s="20"/>
      <c r="AE1548" s="20"/>
      <c r="AF1548" s="20"/>
      <c r="AG1548" s="20"/>
      <c r="AH1548" s="20"/>
      <c r="AI1548" s="20"/>
      <c r="AJ1548" s="20"/>
      <c r="AK1548" s="20"/>
      <c r="AL1548" s="20"/>
      <c r="AM1548" s="20"/>
      <c r="AN1548" s="20"/>
      <c r="AS1548" s="11"/>
      <c r="AT1548" s="12"/>
    </row>
    <row r="1549" ht="14.25" customHeight="1">
      <c r="A1549" s="20"/>
      <c r="B1549" s="20"/>
      <c r="C1549" s="20"/>
      <c r="D1549" s="21"/>
      <c r="E1549" s="20"/>
      <c r="F1549" s="20"/>
      <c r="G1549" s="20"/>
      <c r="H1549" s="20"/>
      <c r="K1549" s="10"/>
      <c r="M1549" s="20"/>
      <c r="N1549" s="20"/>
      <c r="O1549" s="20"/>
      <c r="P1549" s="20"/>
      <c r="Q1549" s="20"/>
      <c r="R1549" s="20"/>
      <c r="S1549" s="20"/>
      <c r="T1549" s="20"/>
      <c r="U1549" s="20"/>
      <c r="V1549" s="20"/>
      <c r="W1549" s="20"/>
      <c r="X1549" s="20"/>
      <c r="Y1549" s="22"/>
      <c r="Z1549" s="22"/>
      <c r="AA1549" s="20"/>
      <c r="AB1549" s="20"/>
      <c r="AC1549" s="20"/>
      <c r="AD1549" s="20"/>
      <c r="AE1549" s="20"/>
      <c r="AF1549" s="20"/>
      <c r="AG1549" s="20"/>
      <c r="AH1549" s="20"/>
      <c r="AI1549" s="20"/>
      <c r="AJ1549" s="20"/>
      <c r="AK1549" s="20"/>
      <c r="AL1549" s="20"/>
      <c r="AM1549" s="20"/>
      <c r="AN1549" s="20"/>
      <c r="AS1549" s="11"/>
      <c r="AT1549" s="12"/>
    </row>
    <row r="1550" ht="14.25" customHeight="1">
      <c r="A1550" s="20"/>
      <c r="B1550" s="20"/>
      <c r="C1550" s="20"/>
      <c r="D1550" s="21"/>
      <c r="E1550" s="20"/>
      <c r="F1550" s="20"/>
      <c r="G1550" s="20"/>
      <c r="H1550" s="20"/>
      <c r="K1550" s="10"/>
      <c r="M1550" s="20"/>
      <c r="N1550" s="20"/>
      <c r="O1550" s="20"/>
      <c r="P1550" s="20"/>
      <c r="Q1550" s="20"/>
      <c r="R1550" s="20"/>
      <c r="S1550" s="20"/>
      <c r="T1550" s="20"/>
      <c r="U1550" s="20"/>
      <c r="V1550" s="20"/>
      <c r="W1550" s="20"/>
      <c r="X1550" s="20"/>
      <c r="Y1550" s="22"/>
      <c r="Z1550" s="22"/>
      <c r="AA1550" s="20"/>
      <c r="AB1550" s="20"/>
      <c r="AC1550" s="20"/>
      <c r="AD1550" s="20"/>
      <c r="AE1550" s="20"/>
      <c r="AF1550" s="20"/>
      <c r="AG1550" s="20"/>
      <c r="AH1550" s="20"/>
      <c r="AI1550" s="20"/>
      <c r="AJ1550" s="20"/>
      <c r="AK1550" s="20"/>
      <c r="AL1550" s="20"/>
      <c r="AM1550" s="20"/>
      <c r="AN1550" s="20"/>
      <c r="AS1550" s="11"/>
      <c r="AT1550" s="12"/>
    </row>
    <row r="1551" ht="14.25" customHeight="1">
      <c r="A1551" s="20"/>
      <c r="B1551" s="20"/>
      <c r="C1551" s="20"/>
      <c r="D1551" s="21"/>
      <c r="E1551" s="20"/>
      <c r="F1551" s="20"/>
      <c r="G1551" s="20"/>
      <c r="H1551" s="20"/>
      <c r="K1551" s="10"/>
      <c r="M1551" s="20"/>
      <c r="N1551" s="20"/>
      <c r="O1551" s="20"/>
      <c r="P1551" s="20"/>
      <c r="Q1551" s="20"/>
      <c r="R1551" s="20"/>
      <c r="S1551" s="20"/>
      <c r="T1551" s="20"/>
      <c r="U1551" s="20"/>
      <c r="V1551" s="20"/>
      <c r="W1551" s="20"/>
      <c r="X1551" s="20"/>
      <c r="Y1551" s="22"/>
      <c r="Z1551" s="22"/>
      <c r="AA1551" s="20"/>
      <c r="AB1551" s="20"/>
      <c r="AC1551" s="20"/>
      <c r="AD1551" s="20"/>
      <c r="AE1551" s="20"/>
      <c r="AF1551" s="20"/>
      <c r="AG1551" s="20"/>
      <c r="AH1551" s="20"/>
      <c r="AI1551" s="20"/>
      <c r="AJ1551" s="20"/>
      <c r="AK1551" s="20"/>
      <c r="AL1551" s="20"/>
      <c r="AM1551" s="20"/>
      <c r="AN1551" s="20"/>
      <c r="AS1551" s="11"/>
      <c r="AT1551" s="12"/>
    </row>
    <row r="1552" ht="14.25" customHeight="1">
      <c r="A1552" s="20"/>
      <c r="B1552" s="20"/>
      <c r="C1552" s="20"/>
      <c r="D1552" s="21"/>
      <c r="E1552" s="20"/>
      <c r="F1552" s="20"/>
      <c r="G1552" s="20"/>
      <c r="H1552" s="20"/>
      <c r="K1552" s="10"/>
      <c r="M1552" s="20"/>
      <c r="N1552" s="20"/>
      <c r="O1552" s="20"/>
      <c r="P1552" s="20"/>
      <c r="Q1552" s="20"/>
      <c r="R1552" s="20"/>
      <c r="S1552" s="20"/>
      <c r="T1552" s="20"/>
      <c r="U1552" s="20"/>
      <c r="V1552" s="20"/>
      <c r="W1552" s="20"/>
      <c r="X1552" s="20"/>
      <c r="Y1552" s="22"/>
      <c r="Z1552" s="22"/>
      <c r="AA1552" s="20"/>
      <c r="AB1552" s="20"/>
      <c r="AC1552" s="20"/>
      <c r="AD1552" s="20"/>
      <c r="AE1552" s="20"/>
      <c r="AF1552" s="20"/>
      <c r="AG1552" s="20"/>
      <c r="AH1552" s="20"/>
      <c r="AI1552" s="20"/>
      <c r="AJ1552" s="20"/>
      <c r="AK1552" s="20"/>
      <c r="AL1552" s="20"/>
      <c r="AM1552" s="20"/>
      <c r="AN1552" s="20"/>
      <c r="AS1552" s="11"/>
      <c r="AT1552" s="12"/>
    </row>
    <row r="1553" ht="14.25" customHeight="1">
      <c r="A1553" s="20"/>
      <c r="B1553" s="20"/>
      <c r="C1553" s="20"/>
      <c r="D1553" s="21"/>
      <c r="E1553" s="20"/>
      <c r="F1553" s="20"/>
      <c r="G1553" s="20"/>
      <c r="H1553" s="20"/>
      <c r="K1553" s="10"/>
      <c r="M1553" s="20"/>
      <c r="N1553" s="20"/>
      <c r="O1553" s="20"/>
      <c r="P1553" s="20"/>
      <c r="Q1553" s="20"/>
      <c r="R1553" s="20"/>
      <c r="S1553" s="20"/>
      <c r="T1553" s="20"/>
      <c r="U1553" s="20"/>
      <c r="V1553" s="20"/>
      <c r="W1553" s="20"/>
      <c r="X1553" s="20"/>
      <c r="Y1553" s="22"/>
      <c r="Z1553" s="22"/>
      <c r="AA1553" s="20"/>
      <c r="AB1553" s="20"/>
      <c r="AC1553" s="20"/>
      <c r="AD1553" s="20"/>
      <c r="AE1553" s="20"/>
      <c r="AF1553" s="20"/>
      <c r="AG1553" s="20"/>
      <c r="AH1553" s="20"/>
      <c r="AI1553" s="20"/>
      <c r="AJ1553" s="20"/>
      <c r="AK1553" s="20"/>
      <c r="AL1553" s="20"/>
      <c r="AM1553" s="20"/>
      <c r="AN1553" s="20"/>
      <c r="AS1553" s="11"/>
      <c r="AT1553" s="12"/>
    </row>
    <row r="1554" ht="14.25" customHeight="1">
      <c r="A1554" s="20"/>
      <c r="B1554" s="20"/>
      <c r="C1554" s="20"/>
      <c r="D1554" s="21"/>
      <c r="E1554" s="20"/>
      <c r="F1554" s="20"/>
      <c r="G1554" s="20"/>
      <c r="H1554" s="20"/>
      <c r="K1554" s="10"/>
      <c r="M1554" s="20"/>
      <c r="N1554" s="20"/>
      <c r="O1554" s="20"/>
      <c r="P1554" s="20"/>
      <c r="Q1554" s="20"/>
      <c r="R1554" s="20"/>
      <c r="S1554" s="20"/>
      <c r="T1554" s="20"/>
      <c r="U1554" s="20"/>
      <c r="V1554" s="20"/>
      <c r="W1554" s="20"/>
      <c r="X1554" s="20"/>
      <c r="Y1554" s="22"/>
      <c r="Z1554" s="22"/>
      <c r="AA1554" s="20"/>
      <c r="AB1554" s="20"/>
      <c r="AC1554" s="20"/>
      <c r="AD1554" s="20"/>
      <c r="AE1554" s="20"/>
      <c r="AF1554" s="20"/>
      <c r="AG1554" s="20"/>
      <c r="AH1554" s="20"/>
      <c r="AI1554" s="20"/>
      <c r="AJ1554" s="20"/>
      <c r="AK1554" s="20"/>
      <c r="AL1554" s="20"/>
      <c r="AM1554" s="20"/>
      <c r="AN1554" s="20"/>
      <c r="AS1554" s="11"/>
      <c r="AT1554" s="12"/>
    </row>
    <row r="1555" ht="14.25" customHeight="1">
      <c r="A1555" s="20"/>
      <c r="B1555" s="20"/>
      <c r="C1555" s="20"/>
      <c r="D1555" s="21"/>
      <c r="E1555" s="20"/>
      <c r="F1555" s="20"/>
      <c r="G1555" s="20"/>
      <c r="H1555" s="20"/>
      <c r="K1555" s="10"/>
      <c r="M1555" s="20"/>
      <c r="N1555" s="20"/>
      <c r="O1555" s="20"/>
      <c r="P1555" s="20"/>
      <c r="Q1555" s="20"/>
      <c r="R1555" s="20"/>
      <c r="S1555" s="20"/>
      <c r="T1555" s="20"/>
      <c r="U1555" s="20"/>
      <c r="V1555" s="20"/>
      <c r="W1555" s="20"/>
      <c r="X1555" s="20"/>
      <c r="Y1555" s="22"/>
      <c r="Z1555" s="22"/>
      <c r="AA1555" s="20"/>
      <c r="AB1555" s="20"/>
      <c r="AC1555" s="20"/>
      <c r="AD1555" s="20"/>
      <c r="AE1555" s="20"/>
      <c r="AF1555" s="20"/>
      <c r="AG1555" s="20"/>
      <c r="AH1555" s="20"/>
      <c r="AI1555" s="20"/>
      <c r="AJ1555" s="20"/>
      <c r="AK1555" s="20"/>
      <c r="AL1555" s="20"/>
      <c r="AM1555" s="20"/>
      <c r="AN1555" s="20"/>
      <c r="AS1555" s="11"/>
      <c r="AT1555" s="12"/>
    </row>
    <row r="1556" ht="14.25" customHeight="1">
      <c r="A1556" s="20"/>
      <c r="B1556" s="20"/>
      <c r="C1556" s="20"/>
      <c r="D1556" s="21"/>
      <c r="E1556" s="20"/>
      <c r="F1556" s="20"/>
      <c r="G1556" s="20"/>
      <c r="H1556" s="20"/>
      <c r="K1556" s="10"/>
      <c r="M1556" s="20"/>
      <c r="N1556" s="20"/>
      <c r="O1556" s="20"/>
      <c r="P1556" s="20"/>
      <c r="Q1556" s="20"/>
      <c r="R1556" s="20"/>
      <c r="S1556" s="20"/>
      <c r="T1556" s="20"/>
      <c r="U1556" s="20"/>
      <c r="V1556" s="20"/>
      <c r="W1556" s="20"/>
      <c r="X1556" s="20"/>
      <c r="Y1556" s="22"/>
      <c r="Z1556" s="22"/>
      <c r="AA1556" s="20"/>
      <c r="AB1556" s="20"/>
      <c r="AC1556" s="20"/>
      <c r="AD1556" s="20"/>
      <c r="AE1556" s="20"/>
      <c r="AF1556" s="20"/>
      <c r="AG1556" s="20"/>
      <c r="AH1556" s="20"/>
      <c r="AI1556" s="20"/>
      <c r="AJ1556" s="20"/>
      <c r="AK1556" s="20"/>
      <c r="AL1556" s="20"/>
      <c r="AM1556" s="20"/>
      <c r="AN1556" s="20"/>
      <c r="AS1556" s="11"/>
      <c r="AT1556" s="12"/>
    </row>
    <row r="1557" ht="14.25" customHeight="1">
      <c r="A1557" s="20"/>
      <c r="B1557" s="20"/>
      <c r="C1557" s="20"/>
      <c r="D1557" s="21"/>
      <c r="E1557" s="20"/>
      <c r="F1557" s="20"/>
      <c r="G1557" s="20"/>
      <c r="H1557" s="20"/>
      <c r="K1557" s="10"/>
      <c r="M1557" s="20"/>
      <c r="N1557" s="20"/>
      <c r="O1557" s="20"/>
      <c r="P1557" s="20"/>
      <c r="Q1557" s="20"/>
      <c r="R1557" s="20"/>
      <c r="S1557" s="20"/>
      <c r="T1557" s="20"/>
      <c r="U1557" s="20"/>
      <c r="V1557" s="20"/>
      <c r="W1557" s="20"/>
      <c r="X1557" s="20"/>
      <c r="Y1557" s="22"/>
      <c r="Z1557" s="22"/>
      <c r="AA1557" s="20"/>
      <c r="AB1557" s="20"/>
      <c r="AC1557" s="20"/>
      <c r="AD1557" s="20"/>
      <c r="AE1557" s="20"/>
      <c r="AF1557" s="20"/>
      <c r="AG1557" s="20"/>
      <c r="AH1557" s="20"/>
      <c r="AI1557" s="20"/>
      <c r="AJ1557" s="20"/>
      <c r="AK1557" s="20"/>
      <c r="AL1557" s="20"/>
      <c r="AM1557" s="20"/>
      <c r="AN1557" s="20"/>
      <c r="AS1557" s="11"/>
      <c r="AT1557" s="12"/>
    </row>
    <row r="1558" ht="14.25" customHeight="1">
      <c r="A1558" s="20"/>
      <c r="B1558" s="20"/>
      <c r="C1558" s="20"/>
      <c r="D1558" s="21"/>
      <c r="E1558" s="20"/>
      <c r="F1558" s="20"/>
      <c r="G1558" s="20"/>
      <c r="H1558" s="20"/>
      <c r="K1558" s="10"/>
      <c r="M1558" s="20"/>
      <c r="N1558" s="20"/>
      <c r="O1558" s="20"/>
      <c r="P1558" s="20"/>
      <c r="Q1558" s="20"/>
      <c r="R1558" s="20"/>
      <c r="S1558" s="20"/>
      <c r="T1558" s="20"/>
      <c r="U1558" s="20"/>
      <c r="V1558" s="20"/>
      <c r="W1558" s="20"/>
      <c r="X1558" s="20"/>
      <c r="Y1558" s="22"/>
      <c r="Z1558" s="22"/>
      <c r="AA1558" s="20"/>
      <c r="AB1558" s="20"/>
      <c r="AC1558" s="20"/>
      <c r="AD1558" s="20"/>
      <c r="AE1558" s="20"/>
      <c r="AF1558" s="20"/>
      <c r="AG1558" s="20"/>
      <c r="AH1558" s="20"/>
      <c r="AI1558" s="20"/>
      <c r="AJ1558" s="20"/>
      <c r="AK1558" s="20"/>
      <c r="AL1558" s="20"/>
      <c r="AM1558" s="20"/>
      <c r="AN1558" s="20"/>
      <c r="AS1558" s="11"/>
      <c r="AT1558" s="12"/>
    </row>
    <row r="1559" ht="14.25" customHeight="1">
      <c r="A1559" s="20"/>
      <c r="B1559" s="20"/>
      <c r="C1559" s="20"/>
      <c r="D1559" s="21"/>
      <c r="E1559" s="20"/>
      <c r="F1559" s="20"/>
      <c r="G1559" s="20"/>
      <c r="H1559" s="20"/>
      <c r="K1559" s="10"/>
      <c r="M1559" s="20"/>
      <c r="N1559" s="20"/>
      <c r="O1559" s="20"/>
      <c r="P1559" s="20"/>
      <c r="Q1559" s="20"/>
      <c r="R1559" s="20"/>
      <c r="S1559" s="20"/>
      <c r="T1559" s="20"/>
      <c r="U1559" s="20"/>
      <c r="V1559" s="20"/>
      <c r="W1559" s="20"/>
      <c r="X1559" s="20"/>
      <c r="Y1559" s="22"/>
      <c r="Z1559" s="22"/>
      <c r="AA1559" s="20"/>
      <c r="AB1559" s="20"/>
      <c r="AC1559" s="20"/>
      <c r="AD1559" s="20"/>
      <c r="AE1559" s="20"/>
      <c r="AF1559" s="20"/>
      <c r="AG1559" s="20"/>
      <c r="AH1559" s="20"/>
      <c r="AI1559" s="20"/>
      <c r="AJ1559" s="20"/>
      <c r="AK1559" s="20"/>
      <c r="AL1559" s="20"/>
      <c r="AM1559" s="20"/>
      <c r="AN1559" s="20"/>
      <c r="AS1559" s="11"/>
      <c r="AT1559" s="12"/>
    </row>
    <row r="1560" ht="14.25" customHeight="1">
      <c r="A1560" s="20"/>
      <c r="B1560" s="20"/>
      <c r="C1560" s="20"/>
      <c r="D1560" s="21"/>
      <c r="E1560" s="20"/>
      <c r="F1560" s="20"/>
      <c r="G1560" s="20"/>
      <c r="H1560" s="20"/>
      <c r="K1560" s="10"/>
      <c r="M1560" s="20"/>
      <c r="N1560" s="20"/>
      <c r="O1560" s="20"/>
      <c r="P1560" s="20"/>
      <c r="Q1560" s="20"/>
      <c r="R1560" s="20"/>
      <c r="S1560" s="20"/>
      <c r="T1560" s="20"/>
      <c r="U1560" s="20"/>
      <c r="V1560" s="20"/>
      <c r="W1560" s="20"/>
      <c r="X1560" s="20"/>
      <c r="Y1560" s="22"/>
      <c r="Z1560" s="22"/>
      <c r="AA1560" s="20"/>
      <c r="AB1560" s="20"/>
      <c r="AC1560" s="20"/>
      <c r="AD1560" s="20"/>
      <c r="AE1560" s="20"/>
      <c r="AF1560" s="20"/>
      <c r="AG1560" s="20"/>
      <c r="AH1560" s="20"/>
      <c r="AI1560" s="20"/>
      <c r="AJ1560" s="20"/>
      <c r="AK1560" s="20"/>
      <c r="AL1560" s="20"/>
      <c r="AM1560" s="20"/>
      <c r="AN1560" s="20"/>
      <c r="AS1560" s="11"/>
      <c r="AT1560" s="12"/>
    </row>
    <row r="1561" ht="14.25" customHeight="1">
      <c r="A1561" s="20"/>
      <c r="B1561" s="20"/>
      <c r="C1561" s="20"/>
      <c r="D1561" s="21"/>
      <c r="E1561" s="20"/>
      <c r="F1561" s="20"/>
      <c r="G1561" s="20"/>
      <c r="H1561" s="20"/>
      <c r="K1561" s="10"/>
      <c r="M1561" s="20"/>
      <c r="N1561" s="20"/>
      <c r="O1561" s="20"/>
      <c r="P1561" s="20"/>
      <c r="Q1561" s="20"/>
      <c r="R1561" s="20"/>
      <c r="S1561" s="20"/>
      <c r="T1561" s="20"/>
      <c r="U1561" s="20"/>
      <c r="V1561" s="20"/>
      <c r="W1561" s="20"/>
      <c r="X1561" s="20"/>
      <c r="Y1561" s="22"/>
      <c r="Z1561" s="22"/>
      <c r="AA1561" s="20"/>
      <c r="AB1561" s="20"/>
      <c r="AC1561" s="20"/>
      <c r="AD1561" s="20"/>
      <c r="AE1561" s="20"/>
      <c r="AF1561" s="20"/>
      <c r="AG1561" s="20"/>
      <c r="AH1561" s="20"/>
      <c r="AI1561" s="20"/>
      <c r="AJ1561" s="20"/>
      <c r="AK1561" s="20"/>
      <c r="AL1561" s="20"/>
      <c r="AM1561" s="20"/>
      <c r="AN1561" s="20"/>
      <c r="AS1561" s="11"/>
      <c r="AT1561" s="12"/>
    </row>
    <row r="1562" ht="14.25" customHeight="1">
      <c r="A1562" s="20"/>
      <c r="B1562" s="20"/>
      <c r="C1562" s="20"/>
      <c r="D1562" s="21"/>
      <c r="E1562" s="20"/>
      <c r="F1562" s="20"/>
      <c r="G1562" s="20"/>
      <c r="H1562" s="20"/>
      <c r="K1562" s="10"/>
      <c r="M1562" s="20"/>
      <c r="N1562" s="20"/>
      <c r="O1562" s="20"/>
      <c r="P1562" s="20"/>
      <c r="Q1562" s="20"/>
      <c r="R1562" s="20"/>
      <c r="S1562" s="20"/>
      <c r="T1562" s="20"/>
      <c r="U1562" s="20"/>
      <c r="V1562" s="20"/>
      <c r="W1562" s="20"/>
      <c r="X1562" s="20"/>
      <c r="Y1562" s="22"/>
      <c r="Z1562" s="22"/>
      <c r="AA1562" s="20"/>
      <c r="AB1562" s="20"/>
      <c r="AC1562" s="20"/>
      <c r="AD1562" s="20"/>
      <c r="AE1562" s="20"/>
      <c r="AF1562" s="20"/>
      <c r="AG1562" s="20"/>
      <c r="AH1562" s="20"/>
      <c r="AI1562" s="20"/>
      <c r="AJ1562" s="20"/>
      <c r="AK1562" s="20"/>
      <c r="AL1562" s="20"/>
      <c r="AM1562" s="20"/>
      <c r="AN1562" s="20"/>
      <c r="AS1562" s="11"/>
      <c r="AT1562" s="12"/>
    </row>
    <row r="1563" ht="14.25" customHeight="1">
      <c r="A1563" s="20"/>
      <c r="B1563" s="20"/>
      <c r="C1563" s="20"/>
      <c r="D1563" s="21"/>
      <c r="E1563" s="20"/>
      <c r="F1563" s="20"/>
      <c r="G1563" s="20"/>
      <c r="H1563" s="20"/>
      <c r="K1563" s="10"/>
      <c r="M1563" s="20"/>
      <c r="N1563" s="20"/>
      <c r="O1563" s="20"/>
      <c r="P1563" s="20"/>
      <c r="Q1563" s="20"/>
      <c r="R1563" s="20"/>
      <c r="S1563" s="20"/>
      <c r="T1563" s="20"/>
      <c r="U1563" s="20"/>
      <c r="V1563" s="20"/>
      <c r="W1563" s="20"/>
      <c r="X1563" s="20"/>
      <c r="Y1563" s="22"/>
      <c r="Z1563" s="22"/>
      <c r="AA1563" s="20"/>
      <c r="AB1563" s="20"/>
      <c r="AC1563" s="20"/>
      <c r="AD1563" s="20"/>
      <c r="AE1563" s="20"/>
      <c r="AF1563" s="20"/>
      <c r="AG1563" s="20"/>
      <c r="AH1563" s="20"/>
      <c r="AI1563" s="20"/>
      <c r="AJ1563" s="20"/>
      <c r="AK1563" s="20"/>
      <c r="AL1563" s="20"/>
      <c r="AM1563" s="20"/>
      <c r="AN1563" s="20"/>
      <c r="AS1563" s="11"/>
      <c r="AT1563" s="12"/>
    </row>
    <row r="1564" ht="14.25" customHeight="1">
      <c r="A1564" s="20"/>
      <c r="B1564" s="20"/>
      <c r="C1564" s="20"/>
      <c r="D1564" s="21"/>
      <c r="E1564" s="20"/>
      <c r="F1564" s="20"/>
      <c r="G1564" s="20"/>
      <c r="H1564" s="20"/>
      <c r="K1564" s="10"/>
      <c r="M1564" s="20"/>
      <c r="N1564" s="20"/>
      <c r="O1564" s="20"/>
      <c r="P1564" s="20"/>
      <c r="Q1564" s="20"/>
      <c r="R1564" s="20"/>
      <c r="S1564" s="20"/>
      <c r="T1564" s="20"/>
      <c r="U1564" s="20"/>
      <c r="V1564" s="20"/>
      <c r="W1564" s="20"/>
      <c r="X1564" s="20"/>
      <c r="Y1564" s="22"/>
      <c r="Z1564" s="22"/>
      <c r="AA1564" s="20"/>
      <c r="AB1564" s="20"/>
      <c r="AC1564" s="20"/>
      <c r="AD1564" s="20"/>
      <c r="AE1564" s="20"/>
      <c r="AF1564" s="20"/>
      <c r="AG1564" s="20"/>
      <c r="AH1564" s="20"/>
      <c r="AI1564" s="20"/>
      <c r="AJ1564" s="20"/>
      <c r="AK1564" s="20"/>
      <c r="AL1564" s="20"/>
      <c r="AM1564" s="20"/>
      <c r="AN1564" s="20"/>
      <c r="AS1564" s="11"/>
      <c r="AT1564" s="12"/>
    </row>
    <row r="1565" ht="14.25" customHeight="1">
      <c r="A1565" s="20"/>
      <c r="B1565" s="20"/>
      <c r="C1565" s="20"/>
      <c r="D1565" s="21"/>
      <c r="E1565" s="20"/>
      <c r="F1565" s="20"/>
      <c r="G1565" s="20"/>
      <c r="H1565" s="20"/>
      <c r="K1565" s="10"/>
      <c r="M1565" s="20"/>
      <c r="N1565" s="20"/>
      <c r="O1565" s="20"/>
      <c r="P1565" s="20"/>
      <c r="Q1565" s="20"/>
      <c r="R1565" s="20"/>
      <c r="S1565" s="20"/>
      <c r="T1565" s="20"/>
      <c r="U1565" s="20"/>
      <c r="V1565" s="20"/>
      <c r="W1565" s="20"/>
      <c r="X1565" s="20"/>
      <c r="Y1565" s="22"/>
      <c r="Z1565" s="22"/>
      <c r="AA1565" s="20"/>
      <c r="AB1565" s="20"/>
      <c r="AC1565" s="20"/>
      <c r="AD1565" s="20"/>
      <c r="AE1565" s="20"/>
      <c r="AF1565" s="20"/>
      <c r="AG1565" s="20"/>
      <c r="AH1565" s="20"/>
      <c r="AI1565" s="20"/>
      <c r="AJ1565" s="20"/>
      <c r="AK1565" s="20"/>
      <c r="AL1565" s="20"/>
      <c r="AM1565" s="20"/>
      <c r="AN1565" s="20"/>
      <c r="AS1565" s="11"/>
      <c r="AT1565" s="12"/>
    </row>
    <row r="1566" ht="14.25" customHeight="1">
      <c r="A1566" s="20"/>
      <c r="B1566" s="20"/>
      <c r="C1566" s="20"/>
      <c r="D1566" s="21"/>
      <c r="E1566" s="20"/>
      <c r="F1566" s="20"/>
      <c r="G1566" s="20"/>
      <c r="H1566" s="20"/>
      <c r="K1566" s="10"/>
      <c r="M1566" s="20"/>
      <c r="N1566" s="20"/>
      <c r="O1566" s="20"/>
      <c r="P1566" s="20"/>
      <c r="Q1566" s="20"/>
      <c r="R1566" s="20"/>
      <c r="S1566" s="20"/>
      <c r="T1566" s="20"/>
      <c r="U1566" s="20"/>
      <c r="V1566" s="20"/>
      <c r="W1566" s="20"/>
      <c r="X1566" s="20"/>
      <c r="Y1566" s="22"/>
      <c r="Z1566" s="22"/>
      <c r="AA1566" s="20"/>
      <c r="AB1566" s="20"/>
      <c r="AC1566" s="20"/>
      <c r="AD1566" s="20"/>
      <c r="AE1566" s="20"/>
      <c r="AF1566" s="20"/>
      <c r="AG1566" s="20"/>
      <c r="AH1566" s="20"/>
      <c r="AI1566" s="20"/>
      <c r="AJ1566" s="20"/>
      <c r="AK1566" s="20"/>
      <c r="AL1566" s="20"/>
      <c r="AM1566" s="20"/>
      <c r="AN1566" s="20"/>
      <c r="AS1566" s="11"/>
      <c r="AT1566" s="12"/>
    </row>
    <row r="1567" ht="14.25" customHeight="1">
      <c r="A1567" s="20"/>
      <c r="B1567" s="20"/>
      <c r="C1567" s="20"/>
      <c r="D1567" s="21"/>
      <c r="E1567" s="20"/>
      <c r="F1567" s="20"/>
      <c r="G1567" s="20"/>
      <c r="H1567" s="20"/>
      <c r="K1567" s="10"/>
      <c r="M1567" s="20"/>
      <c r="N1567" s="20"/>
      <c r="O1567" s="20"/>
      <c r="P1567" s="20"/>
      <c r="Q1567" s="20"/>
      <c r="R1567" s="20"/>
      <c r="S1567" s="20"/>
      <c r="T1567" s="20"/>
      <c r="U1567" s="20"/>
      <c r="V1567" s="20"/>
      <c r="W1567" s="20"/>
      <c r="X1567" s="20"/>
      <c r="Y1567" s="22"/>
      <c r="Z1567" s="22"/>
      <c r="AA1567" s="20"/>
      <c r="AB1567" s="20"/>
      <c r="AC1567" s="20"/>
      <c r="AD1567" s="20"/>
      <c r="AE1567" s="20"/>
      <c r="AF1567" s="20"/>
      <c r="AG1567" s="20"/>
      <c r="AH1567" s="20"/>
      <c r="AI1567" s="20"/>
      <c r="AJ1567" s="20"/>
      <c r="AK1567" s="20"/>
      <c r="AL1567" s="20"/>
      <c r="AM1567" s="20"/>
      <c r="AN1567" s="20"/>
      <c r="AS1567" s="11"/>
      <c r="AT1567" s="12"/>
    </row>
    <row r="1568" ht="14.25" customHeight="1">
      <c r="A1568" s="20"/>
      <c r="B1568" s="20"/>
      <c r="C1568" s="20"/>
      <c r="D1568" s="21"/>
      <c r="E1568" s="20"/>
      <c r="F1568" s="20"/>
      <c r="G1568" s="20"/>
      <c r="H1568" s="20"/>
      <c r="K1568" s="10"/>
      <c r="M1568" s="20"/>
      <c r="N1568" s="20"/>
      <c r="O1568" s="20"/>
      <c r="P1568" s="20"/>
      <c r="Q1568" s="20"/>
      <c r="R1568" s="20"/>
      <c r="S1568" s="20"/>
      <c r="T1568" s="20"/>
      <c r="U1568" s="20"/>
      <c r="V1568" s="20"/>
      <c r="W1568" s="20"/>
      <c r="X1568" s="20"/>
      <c r="Y1568" s="22"/>
      <c r="Z1568" s="22"/>
      <c r="AA1568" s="20"/>
      <c r="AB1568" s="20"/>
      <c r="AC1568" s="20"/>
      <c r="AD1568" s="20"/>
      <c r="AE1568" s="20"/>
      <c r="AF1568" s="20"/>
      <c r="AG1568" s="20"/>
      <c r="AH1568" s="20"/>
      <c r="AI1568" s="20"/>
      <c r="AJ1568" s="20"/>
      <c r="AK1568" s="20"/>
      <c r="AL1568" s="20"/>
      <c r="AM1568" s="20"/>
      <c r="AN1568" s="20"/>
      <c r="AS1568" s="11"/>
      <c r="AT1568" s="12"/>
    </row>
    <row r="1569" ht="14.25" customHeight="1">
      <c r="A1569" s="20"/>
      <c r="B1569" s="20"/>
      <c r="C1569" s="20"/>
      <c r="D1569" s="21"/>
      <c r="E1569" s="20"/>
      <c r="F1569" s="20"/>
      <c r="G1569" s="20"/>
      <c r="H1569" s="20"/>
      <c r="K1569" s="10"/>
      <c r="M1569" s="20"/>
      <c r="N1569" s="20"/>
      <c r="O1569" s="20"/>
      <c r="P1569" s="20"/>
      <c r="Q1569" s="20"/>
      <c r="R1569" s="20"/>
      <c r="S1569" s="20"/>
      <c r="T1569" s="20"/>
      <c r="U1569" s="20"/>
      <c r="V1569" s="20"/>
      <c r="W1569" s="20"/>
      <c r="X1569" s="20"/>
      <c r="Y1569" s="22"/>
      <c r="Z1569" s="22"/>
      <c r="AA1569" s="20"/>
      <c r="AB1569" s="20"/>
      <c r="AC1569" s="20"/>
      <c r="AD1569" s="20"/>
      <c r="AE1569" s="20"/>
      <c r="AF1569" s="20"/>
      <c r="AG1569" s="20"/>
      <c r="AH1569" s="20"/>
      <c r="AI1569" s="20"/>
      <c r="AJ1569" s="20"/>
      <c r="AK1569" s="20"/>
      <c r="AL1569" s="20"/>
      <c r="AM1569" s="20"/>
      <c r="AN1569" s="20"/>
      <c r="AS1569" s="11"/>
      <c r="AT1569" s="12"/>
    </row>
    <row r="1570" ht="14.25" customHeight="1">
      <c r="A1570" s="20"/>
      <c r="B1570" s="20"/>
      <c r="C1570" s="20"/>
      <c r="D1570" s="21"/>
      <c r="E1570" s="20"/>
      <c r="F1570" s="20"/>
      <c r="G1570" s="20"/>
      <c r="H1570" s="20"/>
      <c r="K1570" s="10"/>
      <c r="M1570" s="20"/>
      <c r="N1570" s="20"/>
      <c r="O1570" s="20"/>
      <c r="P1570" s="20"/>
      <c r="Q1570" s="20"/>
      <c r="R1570" s="20"/>
      <c r="S1570" s="20"/>
      <c r="T1570" s="20"/>
      <c r="U1570" s="20"/>
      <c r="V1570" s="20"/>
      <c r="W1570" s="20"/>
      <c r="X1570" s="20"/>
      <c r="Y1570" s="22"/>
      <c r="Z1570" s="22"/>
      <c r="AA1570" s="20"/>
      <c r="AB1570" s="20"/>
      <c r="AC1570" s="20"/>
      <c r="AD1570" s="20"/>
      <c r="AE1570" s="20"/>
      <c r="AF1570" s="20"/>
      <c r="AG1570" s="20"/>
      <c r="AH1570" s="20"/>
      <c r="AI1570" s="20"/>
      <c r="AJ1570" s="20"/>
      <c r="AK1570" s="20"/>
      <c r="AL1570" s="20"/>
      <c r="AM1570" s="20"/>
      <c r="AN1570" s="20"/>
      <c r="AS1570" s="11"/>
      <c r="AT1570" s="12"/>
    </row>
    <row r="1571" ht="14.25" customHeight="1">
      <c r="A1571" s="20"/>
      <c r="B1571" s="20"/>
      <c r="C1571" s="20"/>
      <c r="D1571" s="21"/>
      <c r="E1571" s="20"/>
      <c r="F1571" s="20"/>
      <c r="G1571" s="20"/>
      <c r="H1571" s="20"/>
      <c r="K1571" s="10"/>
      <c r="M1571" s="20"/>
      <c r="N1571" s="20"/>
      <c r="O1571" s="20"/>
      <c r="P1571" s="20"/>
      <c r="Q1571" s="20"/>
      <c r="R1571" s="20"/>
      <c r="S1571" s="20"/>
      <c r="T1571" s="20"/>
      <c r="U1571" s="20"/>
      <c r="V1571" s="20"/>
      <c r="W1571" s="20"/>
      <c r="X1571" s="20"/>
      <c r="Y1571" s="22"/>
      <c r="Z1571" s="22"/>
      <c r="AA1571" s="20"/>
      <c r="AB1571" s="20"/>
      <c r="AC1571" s="20"/>
      <c r="AD1571" s="20"/>
      <c r="AE1571" s="20"/>
      <c r="AF1571" s="20"/>
      <c r="AG1571" s="20"/>
      <c r="AH1571" s="20"/>
      <c r="AI1571" s="20"/>
      <c r="AJ1571" s="20"/>
      <c r="AK1571" s="20"/>
      <c r="AL1571" s="20"/>
      <c r="AM1571" s="20"/>
      <c r="AN1571" s="20"/>
      <c r="AS1571" s="11"/>
      <c r="AT1571" s="12"/>
    </row>
    <row r="1572" ht="14.25" customHeight="1">
      <c r="A1572" s="20"/>
      <c r="B1572" s="20"/>
      <c r="C1572" s="20"/>
      <c r="D1572" s="21"/>
      <c r="E1572" s="20"/>
      <c r="F1572" s="20"/>
      <c r="G1572" s="20"/>
      <c r="H1572" s="20"/>
      <c r="K1572" s="10"/>
      <c r="M1572" s="20"/>
      <c r="N1572" s="20"/>
      <c r="O1572" s="20"/>
      <c r="P1572" s="20"/>
      <c r="Q1572" s="20"/>
      <c r="R1572" s="20"/>
      <c r="S1572" s="20"/>
      <c r="T1572" s="20"/>
      <c r="U1572" s="20"/>
      <c r="V1572" s="20"/>
      <c r="W1572" s="20"/>
      <c r="X1572" s="20"/>
      <c r="Y1572" s="22"/>
      <c r="Z1572" s="22"/>
      <c r="AA1572" s="20"/>
      <c r="AB1572" s="20"/>
      <c r="AC1572" s="20"/>
      <c r="AD1572" s="20"/>
      <c r="AE1572" s="20"/>
      <c r="AF1572" s="20"/>
      <c r="AG1572" s="20"/>
      <c r="AH1572" s="20"/>
      <c r="AI1572" s="20"/>
      <c r="AJ1572" s="20"/>
      <c r="AK1572" s="20"/>
      <c r="AL1572" s="20"/>
      <c r="AM1572" s="20"/>
      <c r="AN1572" s="20"/>
      <c r="AS1572" s="11"/>
      <c r="AT1572" s="12"/>
    </row>
    <row r="1573" ht="14.25" customHeight="1">
      <c r="A1573" s="20"/>
      <c r="B1573" s="20"/>
      <c r="C1573" s="20"/>
      <c r="D1573" s="21"/>
      <c r="E1573" s="20"/>
      <c r="F1573" s="20"/>
      <c r="G1573" s="20"/>
      <c r="H1573" s="20"/>
      <c r="K1573" s="10"/>
      <c r="M1573" s="20"/>
      <c r="N1573" s="20"/>
      <c r="O1573" s="20"/>
      <c r="P1573" s="20"/>
      <c r="Q1573" s="20"/>
      <c r="R1573" s="20"/>
      <c r="S1573" s="20"/>
      <c r="T1573" s="20"/>
      <c r="U1573" s="20"/>
      <c r="V1573" s="20"/>
      <c r="W1573" s="20"/>
      <c r="X1573" s="20"/>
      <c r="Y1573" s="22"/>
      <c r="Z1573" s="22"/>
      <c r="AA1573" s="20"/>
      <c r="AB1573" s="20"/>
      <c r="AC1573" s="20"/>
      <c r="AD1573" s="20"/>
      <c r="AE1573" s="20"/>
      <c r="AF1573" s="20"/>
      <c r="AG1573" s="20"/>
      <c r="AH1573" s="20"/>
      <c r="AI1573" s="20"/>
      <c r="AJ1573" s="20"/>
      <c r="AK1573" s="20"/>
      <c r="AL1573" s="20"/>
      <c r="AM1573" s="20"/>
      <c r="AN1573" s="20"/>
      <c r="AS1573" s="11"/>
      <c r="AT1573" s="12"/>
    </row>
    <row r="1574" ht="14.25" customHeight="1">
      <c r="A1574" s="20"/>
      <c r="B1574" s="20"/>
      <c r="C1574" s="20"/>
      <c r="D1574" s="21"/>
      <c r="E1574" s="20"/>
      <c r="F1574" s="20"/>
      <c r="G1574" s="20"/>
      <c r="H1574" s="20"/>
      <c r="K1574" s="10"/>
      <c r="M1574" s="20"/>
      <c r="N1574" s="20"/>
      <c r="O1574" s="20"/>
      <c r="P1574" s="20"/>
      <c r="Q1574" s="20"/>
      <c r="R1574" s="20"/>
      <c r="S1574" s="20"/>
      <c r="T1574" s="20"/>
      <c r="U1574" s="20"/>
      <c r="V1574" s="20"/>
      <c r="W1574" s="20"/>
      <c r="X1574" s="20"/>
      <c r="Y1574" s="22"/>
      <c r="Z1574" s="22"/>
      <c r="AA1574" s="20"/>
      <c r="AB1574" s="20"/>
      <c r="AC1574" s="20"/>
      <c r="AD1574" s="20"/>
      <c r="AE1574" s="20"/>
      <c r="AF1574" s="20"/>
      <c r="AG1574" s="20"/>
      <c r="AH1574" s="20"/>
      <c r="AI1574" s="20"/>
      <c r="AJ1574" s="20"/>
      <c r="AK1574" s="20"/>
      <c r="AL1574" s="20"/>
      <c r="AM1574" s="20"/>
      <c r="AN1574" s="20"/>
      <c r="AS1574" s="11"/>
      <c r="AT1574" s="12"/>
    </row>
    <row r="1575" ht="14.25" customHeight="1">
      <c r="A1575" s="20"/>
      <c r="B1575" s="20"/>
      <c r="C1575" s="20"/>
      <c r="D1575" s="21"/>
      <c r="E1575" s="20"/>
      <c r="F1575" s="20"/>
      <c r="G1575" s="20"/>
      <c r="H1575" s="20"/>
      <c r="K1575" s="10"/>
      <c r="M1575" s="20"/>
      <c r="N1575" s="20"/>
      <c r="O1575" s="20"/>
      <c r="P1575" s="20"/>
      <c r="Q1575" s="20"/>
      <c r="R1575" s="20"/>
      <c r="S1575" s="20"/>
      <c r="T1575" s="20"/>
      <c r="U1575" s="20"/>
      <c r="V1575" s="20"/>
      <c r="W1575" s="20"/>
      <c r="X1575" s="20"/>
      <c r="Y1575" s="22"/>
      <c r="Z1575" s="22"/>
      <c r="AA1575" s="20"/>
      <c r="AB1575" s="20"/>
      <c r="AC1575" s="20"/>
      <c r="AD1575" s="20"/>
      <c r="AE1575" s="20"/>
      <c r="AF1575" s="20"/>
      <c r="AG1575" s="20"/>
      <c r="AH1575" s="20"/>
      <c r="AI1575" s="20"/>
      <c r="AJ1575" s="20"/>
      <c r="AK1575" s="20"/>
      <c r="AL1575" s="20"/>
      <c r="AM1575" s="20"/>
      <c r="AN1575" s="20"/>
      <c r="AS1575" s="11"/>
      <c r="AT1575" s="12"/>
    </row>
    <row r="1576" ht="14.25" customHeight="1">
      <c r="A1576" s="20"/>
      <c r="B1576" s="20"/>
      <c r="C1576" s="20"/>
      <c r="D1576" s="21"/>
      <c r="E1576" s="20"/>
      <c r="F1576" s="20"/>
      <c r="G1576" s="20"/>
      <c r="H1576" s="20"/>
      <c r="K1576" s="10"/>
      <c r="M1576" s="20"/>
      <c r="N1576" s="20"/>
      <c r="O1576" s="20"/>
      <c r="P1576" s="20"/>
      <c r="Q1576" s="20"/>
      <c r="R1576" s="20"/>
      <c r="S1576" s="20"/>
      <c r="T1576" s="20"/>
      <c r="U1576" s="20"/>
      <c r="V1576" s="20"/>
      <c r="W1576" s="20"/>
      <c r="X1576" s="20"/>
      <c r="Y1576" s="22"/>
      <c r="Z1576" s="22"/>
      <c r="AA1576" s="20"/>
      <c r="AB1576" s="20"/>
      <c r="AC1576" s="20"/>
      <c r="AD1576" s="20"/>
      <c r="AE1576" s="20"/>
      <c r="AF1576" s="20"/>
      <c r="AG1576" s="20"/>
      <c r="AH1576" s="20"/>
      <c r="AI1576" s="20"/>
      <c r="AJ1576" s="20"/>
      <c r="AK1576" s="20"/>
      <c r="AL1576" s="20"/>
      <c r="AM1576" s="20"/>
      <c r="AN1576" s="20"/>
      <c r="AS1576" s="11"/>
      <c r="AT1576" s="12"/>
    </row>
    <row r="1577" ht="14.25" customHeight="1">
      <c r="A1577" s="20"/>
      <c r="B1577" s="20"/>
      <c r="C1577" s="20"/>
      <c r="D1577" s="21"/>
      <c r="E1577" s="20"/>
      <c r="F1577" s="20"/>
      <c r="G1577" s="20"/>
      <c r="H1577" s="20"/>
      <c r="K1577" s="10"/>
      <c r="M1577" s="20"/>
      <c r="N1577" s="20"/>
      <c r="O1577" s="20"/>
      <c r="P1577" s="20"/>
      <c r="Q1577" s="20"/>
      <c r="R1577" s="20"/>
      <c r="S1577" s="20"/>
      <c r="T1577" s="20"/>
      <c r="U1577" s="20"/>
      <c r="V1577" s="20"/>
      <c r="W1577" s="20"/>
      <c r="X1577" s="20"/>
      <c r="Y1577" s="22"/>
      <c r="Z1577" s="22"/>
      <c r="AA1577" s="20"/>
      <c r="AB1577" s="20"/>
      <c r="AC1577" s="20"/>
      <c r="AD1577" s="20"/>
      <c r="AE1577" s="20"/>
      <c r="AF1577" s="20"/>
      <c r="AG1577" s="20"/>
      <c r="AH1577" s="20"/>
      <c r="AI1577" s="20"/>
      <c r="AJ1577" s="20"/>
      <c r="AK1577" s="20"/>
      <c r="AL1577" s="20"/>
      <c r="AM1577" s="20"/>
      <c r="AN1577" s="20"/>
      <c r="AS1577" s="11"/>
      <c r="AT1577" s="12"/>
    </row>
    <row r="1578" ht="14.25" customHeight="1">
      <c r="A1578" s="20"/>
      <c r="B1578" s="20"/>
      <c r="C1578" s="20"/>
      <c r="D1578" s="21"/>
      <c r="E1578" s="20"/>
      <c r="F1578" s="20"/>
      <c r="G1578" s="20"/>
      <c r="H1578" s="20"/>
      <c r="K1578" s="10"/>
      <c r="M1578" s="20"/>
      <c r="N1578" s="20"/>
      <c r="O1578" s="20"/>
      <c r="P1578" s="20"/>
      <c r="Q1578" s="20"/>
      <c r="R1578" s="20"/>
      <c r="S1578" s="20"/>
      <c r="T1578" s="20"/>
      <c r="U1578" s="20"/>
      <c r="V1578" s="20"/>
      <c r="W1578" s="20"/>
      <c r="X1578" s="20"/>
      <c r="Y1578" s="22"/>
      <c r="Z1578" s="22"/>
      <c r="AA1578" s="20"/>
      <c r="AB1578" s="20"/>
      <c r="AC1578" s="20"/>
      <c r="AD1578" s="20"/>
      <c r="AE1578" s="20"/>
      <c r="AF1578" s="20"/>
      <c r="AG1578" s="20"/>
      <c r="AH1578" s="20"/>
      <c r="AI1578" s="20"/>
      <c r="AJ1578" s="20"/>
      <c r="AK1578" s="20"/>
      <c r="AL1578" s="20"/>
      <c r="AM1578" s="20"/>
      <c r="AN1578" s="20"/>
      <c r="AS1578" s="11"/>
      <c r="AT1578" s="12"/>
    </row>
    <row r="1579" ht="14.25" customHeight="1">
      <c r="A1579" s="20"/>
      <c r="B1579" s="20"/>
      <c r="C1579" s="20"/>
      <c r="D1579" s="21"/>
      <c r="E1579" s="20"/>
      <c r="F1579" s="20"/>
      <c r="G1579" s="20"/>
      <c r="H1579" s="20"/>
      <c r="K1579" s="10"/>
      <c r="M1579" s="20"/>
      <c r="N1579" s="20"/>
      <c r="O1579" s="20"/>
      <c r="P1579" s="20"/>
      <c r="Q1579" s="20"/>
      <c r="R1579" s="20"/>
      <c r="S1579" s="20"/>
      <c r="T1579" s="20"/>
      <c r="U1579" s="20"/>
      <c r="V1579" s="20"/>
      <c r="W1579" s="20"/>
      <c r="X1579" s="20"/>
      <c r="Y1579" s="22"/>
      <c r="Z1579" s="22"/>
      <c r="AA1579" s="20"/>
      <c r="AB1579" s="20"/>
      <c r="AC1579" s="20"/>
      <c r="AD1579" s="20"/>
      <c r="AE1579" s="20"/>
      <c r="AF1579" s="20"/>
      <c r="AG1579" s="20"/>
      <c r="AH1579" s="20"/>
      <c r="AI1579" s="20"/>
      <c r="AJ1579" s="20"/>
      <c r="AK1579" s="20"/>
      <c r="AL1579" s="20"/>
      <c r="AM1579" s="20"/>
      <c r="AN1579" s="20"/>
      <c r="AS1579" s="11"/>
      <c r="AT1579" s="12"/>
    </row>
    <row r="1580" ht="14.25" customHeight="1">
      <c r="A1580" s="20"/>
      <c r="B1580" s="20"/>
      <c r="C1580" s="20"/>
      <c r="D1580" s="21"/>
      <c r="E1580" s="20"/>
      <c r="F1580" s="20"/>
      <c r="G1580" s="20"/>
      <c r="H1580" s="20"/>
      <c r="K1580" s="10"/>
      <c r="M1580" s="20"/>
      <c r="N1580" s="20"/>
      <c r="O1580" s="20"/>
      <c r="P1580" s="20"/>
      <c r="Q1580" s="20"/>
      <c r="R1580" s="20"/>
      <c r="S1580" s="20"/>
      <c r="T1580" s="20"/>
      <c r="U1580" s="20"/>
      <c r="V1580" s="20"/>
      <c r="W1580" s="20"/>
      <c r="X1580" s="20"/>
      <c r="Y1580" s="22"/>
      <c r="Z1580" s="22"/>
      <c r="AA1580" s="20"/>
      <c r="AB1580" s="20"/>
      <c r="AC1580" s="20"/>
      <c r="AD1580" s="20"/>
      <c r="AE1580" s="20"/>
      <c r="AF1580" s="20"/>
      <c r="AG1580" s="20"/>
      <c r="AH1580" s="20"/>
      <c r="AI1580" s="20"/>
      <c r="AJ1580" s="20"/>
      <c r="AK1580" s="20"/>
      <c r="AL1580" s="20"/>
      <c r="AM1580" s="20"/>
      <c r="AN1580" s="20"/>
      <c r="AS1580" s="11"/>
      <c r="AT1580" s="12"/>
    </row>
    <row r="1581" ht="14.25" customHeight="1">
      <c r="A1581" s="20"/>
      <c r="B1581" s="20"/>
      <c r="C1581" s="20"/>
      <c r="D1581" s="21"/>
      <c r="E1581" s="20"/>
      <c r="F1581" s="20"/>
      <c r="G1581" s="20"/>
      <c r="H1581" s="20"/>
      <c r="K1581" s="10"/>
      <c r="M1581" s="20"/>
      <c r="N1581" s="20"/>
      <c r="O1581" s="20"/>
      <c r="P1581" s="20"/>
      <c r="Q1581" s="20"/>
      <c r="R1581" s="20"/>
      <c r="S1581" s="20"/>
      <c r="T1581" s="20"/>
      <c r="U1581" s="20"/>
      <c r="V1581" s="20"/>
      <c r="W1581" s="20"/>
      <c r="X1581" s="20"/>
      <c r="Y1581" s="22"/>
      <c r="Z1581" s="22"/>
      <c r="AA1581" s="20"/>
      <c r="AB1581" s="20"/>
      <c r="AC1581" s="20"/>
      <c r="AD1581" s="20"/>
      <c r="AE1581" s="20"/>
      <c r="AF1581" s="20"/>
      <c r="AG1581" s="20"/>
      <c r="AH1581" s="20"/>
      <c r="AI1581" s="20"/>
      <c r="AJ1581" s="20"/>
      <c r="AK1581" s="20"/>
      <c r="AL1581" s="20"/>
      <c r="AM1581" s="20"/>
      <c r="AN1581" s="20"/>
      <c r="AS1581" s="11"/>
      <c r="AT1581" s="12"/>
    </row>
    <row r="1582" ht="14.25" customHeight="1">
      <c r="A1582" s="20"/>
      <c r="B1582" s="20"/>
      <c r="C1582" s="20"/>
      <c r="D1582" s="21"/>
      <c r="E1582" s="20"/>
      <c r="F1582" s="20"/>
      <c r="G1582" s="20"/>
      <c r="H1582" s="20"/>
      <c r="K1582" s="10"/>
      <c r="M1582" s="20"/>
      <c r="N1582" s="20"/>
      <c r="O1582" s="20"/>
      <c r="P1582" s="20"/>
      <c r="Q1582" s="20"/>
      <c r="R1582" s="20"/>
      <c r="S1582" s="20"/>
      <c r="T1582" s="20"/>
      <c r="U1582" s="20"/>
      <c r="V1582" s="20"/>
      <c r="W1582" s="20"/>
      <c r="X1582" s="20"/>
      <c r="Y1582" s="22"/>
      <c r="Z1582" s="22"/>
      <c r="AA1582" s="20"/>
      <c r="AB1582" s="20"/>
      <c r="AC1582" s="20"/>
      <c r="AD1582" s="20"/>
      <c r="AE1582" s="20"/>
      <c r="AF1582" s="20"/>
      <c r="AG1582" s="20"/>
      <c r="AH1582" s="20"/>
      <c r="AI1582" s="20"/>
      <c r="AJ1582" s="20"/>
      <c r="AK1582" s="20"/>
      <c r="AL1582" s="20"/>
      <c r="AM1582" s="20"/>
      <c r="AN1582" s="20"/>
      <c r="AS1582" s="11"/>
      <c r="AT1582" s="12"/>
    </row>
    <row r="1583" ht="14.25" customHeight="1">
      <c r="A1583" s="20"/>
      <c r="B1583" s="20"/>
      <c r="C1583" s="20"/>
      <c r="D1583" s="21"/>
      <c r="E1583" s="20"/>
      <c r="F1583" s="20"/>
      <c r="G1583" s="20"/>
      <c r="H1583" s="20"/>
      <c r="K1583" s="1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22"/>
      <c r="Z1583" s="22"/>
      <c r="AA1583" s="20"/>
      <c r="AB1583" s="20"/>
      <c r="AC1583" s="20"/>
      <c r="AD1583" s="20"/>
      <c r="AE1583" s="20"/>
      <c r="AF1583" s="20"/>
      <c r="AG1583" s="20"/>
      <c r="AH1583" s="20"/>
      <c r="AI1583" s="20"/>
      <c r="AJ1583" s="20"/>
      <c r="AK1583" s="20"/>
      <c r="AL1583" s="20"/>
      <c r="AM1583" s="20"/>
      <c r="AN1583" s="20"/>
      <c r="AS1583" s="11"/>
      <c r="AT1583" s="12"/>
    </row>
    <row r="1584" ht="14.25" customHeight="1">
      <c r="A1584" s="20"/>
      <c r="B1584" s="20"/>
      <c r="C1584" s="20"/>
      <c r="D1584" s="21"/>
      <c r="E1584" s="20"/>
      <c r="F1584" s="20"/>
      <c r="G1584" s="20"/>
      <c r="H1584" s="20"/>
      <c r="K1584" s="10"/>
      <c r="M1584" s="20"/>
      <c r="N1584" s="20"/>
      <c r="O1584" s="20"/>
      <c r="P1584" s="20"/>
      <c r="Q1584" s="20"/>
      <c r="R1584" s="20"/>
      <c r="S1584" s="20"/>
      <c r="T1584" s="20"/>
      <c r="U1584" s="20"/>
      <c r="V1584" s="20"/>
      <c r="W1584" s="20"/>
      <c r="X1584" s="20"/>
      <c r="Y1584" s="22"/>
      <c r="Z1584" s="22"/>
      <c r="AA1584" s="20"/>
      <c r="AB1584" s="20"/>
      <c r="AC1584" s="20"/>
      <c r="AD1584" s="20"/>
      <c r="AE1584" s="20"/>
      <c r="AF1584" s="20"/>
      <c r="AG1584" s="20"/>
      <c r="AH1584" s="20"/>
      <c r="AI1584" s="20"/>
      <c r="AJ1584" s="20"/>
      <c r="AK1584" s="20"/>
      <c r="AL1584" s="20"/>
      <c r="AM1584" s="20"/>
      <c r="AN1584" s="20"/>
      <c r="AS1584" s="11"/>
      <c r="AT1584" s="12"/>
    </row>
    <row r="1585" ht="14.25" customHeight="1">
      <c r="A1585" s="20"/>
      <c r="B1585" s="20"/>
      <c r="C1585" s="20"/>
      <c r="D1585" s="21"/>
      <c r="E1585" s="20"/>
      <c r="F1585" s="20"/>
      <c r="G1585" s="20"/>
      <c r="H1585" s="20"/>
      <c r="K1585" s="1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2"/>
      <c r="Z1585" s="22"/>
      <c r="AA1585" s="20"/>
      <c r="AB1585" s="20"/>
      <c r="AC1585" s="20"/>
      <c r="AD1585" s="20"/>
      <c r="AE1585" s="20"/>
      <c r="AF1585" s="20"/>
      <c r="AG1585" s="20"/>
      <c r="AH1585" s="20"/>
      <c r="AI1585" s="20"/>
      <c r="AJ1585" s="20"/>
      <c r="AK1585" s="20"/>
      <c r="AL1585" s="20"/>
      <c r="AM1585" s="20"/>
      <c r="AN1585" s="20"/>
      <c r="AS1585" s="11"/>
      <c r="AT1585" s="12"/>
    </row>
    <row r="1586" ht="14.25" customHeight="1">
      <c r="A1586" s="20"/>
      <c r="B1586" s="20"/>
      <c r="C1586" s="20"/>
      <c r="D1586" s="21"/>
      <c r="E1586" s="20"/>
      <c r="F1586" s="20"/>
      <c r="G1586" s="20"/>
      <c r="H1586" s="20"/>
      <c r="K1586" s="10"/>
      <c r="M1586" s="20"/>
      <c r="N1586" s="20"/>
      <c r="O1586" s="20"/>
      <c r="P1586" s="20"/>
      <c r="Q1586" s="20"/>
      <c r="R1586" s="20"/>
      <c r="S1586" s="20"/>
      <c r="T1586" s="20"/>
      <c r="U1586" s="20"/>
      <c r="V1586" s="20"/>
      <c r="W1586" s="20"/>
      <c r="X1586" s="20"/>
      <c r="Y1586" s="22"/>
      <c r="Z1586" s="22"/>
      <c r="AA1586" s="20"/>
      <c r="AB1586" s="20"/>
      <c r="AC1586" s="20"/>
      <c r="AD1586" s="20"/>
      <c r="AE1586" s="20"/>
      <c r="AF1586" s="20"/>
      <c r="AG1586" s="20"/>
      <c r="AH1586" s="20"/>
      <c r="AI1586" s="20"/>
      <c r="AJ1586" s="20"/>
      <c r="AK1586" s="20"/>
      <c r="AL1586" s="20"/>
      <c r="AM1586" s="20"/>
      <c r="AN1586" s="20"/>
      <c r="AS1586" s="11"/>
      <c r="AT1586" s="12"/>
    </row>
    <row r="1587" ht="14.25" customHeight="1">
      <c r="A1587" s="20"/>
      <c r="B1587" s="20"/>
      <c r="C1587" s="20"/>
      <c r="D1587" s="21"/>
      <c r="E1587" s="20"/>
      <c r="F1587" s="20"/>
      <c r="G1587" s="20"/>
      <c r="H1587" s="20"/>
      <c r="K1587" s="1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2"/>
      <c r="Z1587" s="22"/>
      <c r="AA1587" s="20"/>
      <c r="AB1587" s="20"/>
      <c r="AC1587" s="20"/>
      <c r="AD1587" s="20"/>
      <c r="AE1587" s="20"/>
      <c r="AF1587" s="20"/>
      <c r="AG1587" s="20"/>
      <c r="AH1587" s="20"/>
      <c r="AI1587" s="20"/>
      <c r="AJ1587" s="20"/>
      <c r="AK1587" s="20"/>
      <c r="AL1587" s="20"/>
      <c r="AM1587" s="20"/>
      <c r="AN1587" s="20"/>
      <c r="AS1587" s="11"/>
      <c r="AT1587" s="12"/>
    </row>
    <row r="1588" ht="14.25" customHeight="1">
      <c r="A1588" s="20"/>
      <c r="B1588" s="20"/>
      <c r="C1588" s="20"/>
      <c r="D1588" s="21"/>
      <c r="E1588" s="20"/>
      <c r="F1588" s="20"/>
      <c r="G1588" s="20"/>
      <c r="H1588" s="20"/>
      <c r="K1588" s="10"/>
      <c r="M1588" s="20"/>
      <c r="N1588" s="20"/>
      <c r="O1588" s="20"/>
      <c r="P1588" s="20"/>
      <c r="Q1588" s="20"/>
      <c r="R1588" s="20"/>
      <c r="S1588" s="20"/>
      <c r="T1588" s="20"/>
      <c r="U1588" s="20"/>
      <c r="V1588" s="20"/>
      <c r="W1588" s="20"/>
      <c r="X1588" s="20"/>
      <c r="Y1588" s="22"/>
      <c r="Z1588" s="22"/>
      <c r="AA1588" s="20"/>
      <c r="AB1588" s="20"/>
      <c r="AC1588" s="20"/>
      <c r="AD1588" s="20"/>
      <c r="AE1588" s="20"/>
      <c r="AF1588" s="20"/>
      <c r="AG1588" s="20"/>
      <c r="AH1588" s="20"/>
      <c r="AI1588" s="20"/>
      <c r="AJ1588" s="20"/>
      <c r="AK1588" s="20"/>
      <c r="AL1588" s="20"/>
      <c r="AM1588" s="20"/>
      <c r="AN1588" s="20"/>
      <c r="AS1588" s="11"/>
      <c r="AT1588" s="12"/>
    </row>
    <row r="1589" ht="14.25" customHeight="1">
      <c r="A1589" s="20"/>
      <c r="B1589" s="20"/>
      <c r="C1589" s="20"/>
      <c r="D1589" s="21"/>
      <c r="E1589" s="20"/>
      <c r="F1589" s="20"/>
      <c r="G1589" s="20"/>
      <c r="H1589" s="20"/>
      <c r="K1589" s="10"/>
      <c r="M1589" s="20"/>
      <c r="N1589" s="20"/>
      <c r="O1589" s="20"/>
      <c r="P1589" s="20"/>
      <c r="Q1589" s="20"/>
      <c r="R1589" s="20"/>
      <c r="S1589" s="20"/>
      <c r="T1589" s="20"/>
      <c r="U1589" s="20"/>
      <c r="V1589" s="20"/>
      <c r="W1589" s="20"/>
      <c r="X1589" s="20"/>
      <c r="Y1589" s="22"/>
      <c r="Z1589" s="22"/>
      <c r="AA1589" s="20"/>
      <c r="AB1589" s="20"/>
      <c r="AC1589" s="20"/>
      <c r="AD1589" s="20"/>
      <c r="AE1589" s="20"/>
      <c r="AF1589" s="20"/>
      <c r="AG1589" s="20"/>
      <c r="AH1589" s="20"/>
      <c r="AI1589" s="20"/>
      <c r="AJ1589" s="20"/>
      <c r="AK1589" s="20"/>
      <c r="AL1589" s="20"/>
      <c r="AM1589" s="20"/>
      <c r="AN1589" s="20"/>
      <c r="AS1589" s="11"/>
      <c r="AT1589" s="12"/>
    </row>
    <row r="1590" ht="14.25" customHeight="1">
      <c r="A1590" s="20"/>
      <c r="B1590" s="20"/>
      <c r="C1590" s="20"/>
      <c r="D1590" s="21"/>
      <c r="E1590" s="20"/>
      <c r="F1590" s="20"/>
      <c r="G1590" s="20"/>
      <c r="H1590" s="20"/>
      <c r="K1590" s="10"/>
      <c r="M1590" s="20"/>
      <c r="N1590" s="20"/>
      <c r="O1590" s="20"/>
      <c r="P1590" s="20"/>
      <c r="Q1590" s="20"/>
      <c r="R1590" s="20"/>
      <c r="S1590" s="20"/>
      <c r="T1590" s="20"/>
      <c r="U1590" s="20"/>
      <c r="V1590" s="20"/>
      <c r="W1590" s="20"/>
      <c r="X1590" s="20"/>
      <c r="Y1590" s="22"/>
      <c r="Z1590" s="22"/>
      <c r="AA1590" s="20"/>
      <c r="AB1590" s="20"/>
      <c r="AC1590" s="20"/>
      <c r="AD1590" s="20"/>
      <c r="AE1590" s="20"/>
      <c r="AF1590" s="20"/>
      <c r="AG1590" s="20"/>
      <c r="AH1590" s="20"/>
      <c r="AI1590" s="20"/>
      <c r="AJ1590" s="20"/>
      <c r="AK1590" s="20"/>
      <c r="AL1590" s="20"/>
      <c r="AM1590" s="20"/>
      <c r="AN1590" s="20"/>
      <c r="AS1590" s="11"/>
      <c r="AT1590" s="12"/>
    </row>
    <row r="1591" ht="14.25" customHeight="1">
      <c r="A1591" s="20"/>
      <c r="B1591" s="20"/>
      <c r="C1591" s="20"/>
      <c r="D1591" s="21"/>
      <c r="E1591" s="20"/>
      <c r="F1591" s="20"/>
      <c r="G1591" s="20"/>
      <c r="H1591" s="20"/>
      <c r="K1591" s="10"/>
      <c r="M1591" s="20"/>
      <c r="N1591" s="20"/>
      <c r="O1591" s="20"/>
      <c r="P1591" s="20"/>
      <c r="Q1591" s="20"/>
      <c r="R1591" s="20"/>
      <c r="S1591" s="20"/>
      <c r="T1591" s="20"/>
      <c r="U1591" s="20"/>
      <c r="V1591" s="20"/>
      <c r="W1591" s="20"/>
      <c r="X1591" s="20"/>
      <c r="Y1591" s="22"/>
      <c r="Z1591" s="22"/>
      <c r="AA1591" s="20"/>
      <c r="AB1591" s="20"/>
      <c r="AC1591" s="20"/>
      <c r="AD1591" s="20"/>
      <c r="AE1591" s="20"/>
      <c r="AF1591" s="20"/>
      <c r="AG1591" s="20"/>
      <c r="AH1591" s="20"/>
      <c r="AI1591" s="20"/>
      <c r="AJ1591" s="20"/>
      <c r="AK1591" s="20"/>
      <c r="AL1591" s="20"/>
      <c r="AM1591" s="20"/>
      <c r="AN1591" s="20"/>
      <c r="AS1591" s="11"/>
      <c r="AT1591" s="12"/>
    </row>
    <row r="1592" ht="14.25" customHeight="1">
      <c r="A1592" s="20"/>
      <c r="B1592" s="20"/>
      <c r="C1592" s="20"/>
      <c r="D1592" s="21"/>
      <c r="E1592" s="20"/>
      <c r="F1592" s="20"/>
      <c r="G1592" s="20"/>
      <c r="H1592" s="20"/>
      <c r="K1592" s="10"/>
      <c r="M1592" s="20"/>
      <c r="N1592" s="20"/>
      <c r="O1592" s="20"/>
      <c r="P1592" s="20"/>
      <c r="Q1592" s="20"/>
      <c r="R1592" s="20"/>
      <c r="S1592" s="20"/>
      <c r="T1592" s="20"/>
      <c r="U1592" s="20"/>
      <c r="V1592" s="20"/>
      <c r="W1592" s="20"/>
      <c r="X1592" s="20"/>
      <c r="Y1592" s="22"/>
      <c r="Z1592" s="22"/>
      <c r="AA1592" s="20"/>
      <c r="AB1592" s="20"/>
      <c r="AC1592" s="20"/>
      <c r="AD1592" s="20"/>
      <c r="AE1592" s="20"/>
      <c r="AF1592" s="20"/>
      <c r="AG1592" s="20"/>
      <c r="AH1592" s="20"/>
      <c r="AI1592" s="20"/>
      <c r="AJ1592" s="20"/>
      <c r="AK1592" s="20"/>
      <c r="AL1592" s="20"/>
      <c r="AM1592" s="20"/>
      <c r="AN1592" s="20"/>
      <c r="AS1592" s="11"/>
      <c r="AT1592" s="12"/>
    </row>
    <row r="1593" ht="14.25" customHeight="1">
      <c r="A1593" s="20"/>
      <c r="B1593" s="20"/>
      <c r="C1593" s="20"/>
      <c r="D1593" s="21"/>
      <c r="E1593" s="20"/>
      <c r="F1593" s="20"/>
      <c r="G1593" s="20"/>
      <c r="H1593" s="20"/>
      <c r="K1593" s="10"/>
      <c r="M1593" s="20"/>
      <c r="N1593" s="20"/>
      <c r="O1593" s="20"/>
      <c r="P1593" s="20"/>
      <c r="Q1593" s="20"/>
      <c r="R1593" s="20"/>
      <c r="S1593" s="20"/>
      <c r="T1593" s="20"/>
      <c r="U1593" s="20"/>
      <c r="V1593" s="20"/>
      <c r="W1593" s="20"/>
      <c r="X1593" s="20"/>
      <c r="Y1593" s="22"/>
      <c r="Z1593" s="22"/>
      <c r="AA1593" s="20"/>
      <c r="AB1593" s="20"/>
      <c r="AC1593" s="20"/>
      <c r="AD1593" s="20"/>
      <c r="AE1593" s="20"/>
      <c r="AF1593" s="20"/>
      <c r="AG1593" s="20"/>
      <c r="AH1593" s="20"/>
      <c r="AI1593" s="20"/>
      <c r="AJ1593" s="20"/>
      <c r="AK1593" s="20"/>
      <c r="AL1593" s="20"/>
      <c r="AM1593" s="20"/>
      <c r="AN1593" s="20"/>
      <c r="AS1593" s="11"/>
      <c r="AT1593" s="12"/>
    </row>
    <row r="1594" ht="14.25" customHeight="1">
      <c r="A1594" s="20"/>
      <c r="B1594" s="20"/>
      <c r="C1594" s="20"/>
      <c r="D1594" s="21"/>
      <c r="E1594" s="20"/>
      <c r="F1594" s="20"/>
      <c r="G1594" s="20"/>
      <c r="H1594" s="20"/>
      <c r="K1594" s="10"/>
      <c r="M1594" s="20"/>
      <c r="N1594" s="20"/>
      <c r="O1594" s="20"/>
      <c r="P1594" s="20"/>
      <c r="Q1594" s="20"/>
      <c r="R1594" s="20"/>
      <c r="S1594" s="20"/>
      <c r="T1594" s="20"/>
      <c r="U1594" s="20"/>
      <c r="V1594" s="20"/>
      <c r="W1594" s="20"/>
      <c r="X1594" s="20"/>
      <c r="Y1594" s="22"/>
      <c r="Z1594" s="22"/>
      <c r="AA1594" s="20"/>
      <c r="AB1594" s="20"/>
      <c r="AC1594" s="20"/>
      <c r="AD1594" s="20"/>
      <c r="AE1594" s="20"/>
      <c r="AF1594" s="20"/>
      <c r="AG1594" s="20"/>
      <c r="AH1594" s="20"/>
      <c r="AI1594" s="20"/>
      <c r="AJ1594" s="20"/>
      <c r="AK1594" s="20"/>
      <c r="AL1594" s="20"/>
      <c r="AM1594" s="20"/>
      <c r="AN1594" s="20"/>
      <c r="AS1594" s="11"/>
      <c r="AT1594" s="12"/>
    </row>
    <row r="1595" ht="14.25" customHeight="1">
      <c r="A1595" s="20"/>
      <c r="B1595" s="20"/>
      <c r="C1595" s="20"/>
      <c r="D1595" s="21"/>
      <c r="E1595" s="20"/>
      <c r="F1595" s="20"/>
      <c r="G1595" s="20"/>
      <c r="H1595" s="20"/>
      <c r="K1595" s="10"/>
      <c r="M1595" s="20"/>
      <c r="N1595" s="20"/>
      <c r="O1595" s="20"/>
      <c r="P1595" s="20"/>
      <c r="Q1595" s="20"/>
      <c r="R1595" s="20"/>
      <c r="S1595" s="20"/>
      <c r="T1595" s="20"/>
      <c r="U1595" s="20"/>
      <c r="V1595" s="20"/>
      <c r="W1595" s="20"/>
      <c r="X1595" s="20"/>
      <c r="Y1595" s="22"/>
      <c r="Z1595" s="22"/>
      <c r="AA1595" s="20"/>
      <c r="AB1595" s="20"/>
      <c r="AC1595" s="20"/>
      <c r="AD1595" s="20"/>
      <c r="AE1595" s="20"/>
      <c r="AF1595" s="20"/>
      <c r="AG1595" s="20"/>
      <c r="AH1595" s="20"/>
      <c r="AI1595" s="20"/>
      <c r="AJ1595" s="20"/>
      <c r="AK1595" s="20"/>
      <c r="AL1595" s="20"/>
      <c r="AM1595" s="20"/>
      <c r="AN1595" s="20"/>
      <c r="AS1595" s="11"/>
      <c r="AT1595" s="12"/>
    </row>
    <row r="1596" ht="14.25" customHeight="1">
      <c r="A1596" s="20"/>
      <c r="B1596" s="20"/>
      <c r="C1596" s="20"/>
      <c r="D1596" s="21"/>
      <c r="E1596" s="20"/>
      <c r="F1596" s="20"/>
      <c r="G1596" s="20"/>
      <c r="H1596" s="20"/>
      <c r="K1596" s="10"/>
      <c r="M1596" s="20"/>
      <c r="N1596" s="20"/>
      <c r="O1596" s="20"/>
      <c r="P1596" s="20"/>
      <c r="Q1596" s="20"/>
      <c r="R1596" s="20"/>
      <c r="S1596" s="20"/>
      <c r="T1596" s="20"/>
      <c r="U1596" s="20"/>
      <c r="V1596" s="20"/>
      <c r="W1596" s="20"/>
      <c r="X1596" s="20"/>
      <c r="Y1596" s="22"/>
      <c r="Z1596" s="22"/>
      <c r="AA1596" s="20"/>
      <c r="AB1596" s="20"/>
      <c r="AC1596" s="20"/>
      <c r="AD1596" s="20"/>
      <c r="AE1596" s="20"/>
      <c r="AF1596" s="20"/>
      <c r="AG1596" s="20"/>
      <c r="AH1596" s="20"/>
      <c r="AI1596" s="20"/>
      <c r="AJ1596" s="20"/>
      <c r="AK1596" s="20"/>
      <c r="AL1596" s="20"/>
      <c r="AM1596" s="20"/>
      <c r="AN1596" s="20"/>
      <c r="AS1596" s="11"/>
      <c r="AT1596" s="12"/>
    </row>
    <row r="1597" ht="14.25" customHeight="1">
      <c r="A1597" s="20"/>
      <c r="B1597" s="20"/>
      <c r="C1597" s="20"/>
      <c r="D1597" s="21"/>
      <c r="E1597" s="20"/>
      <c r="F1597" s="20"/>
      <c r="G1597" s="20"/>
      <c r="H1597" s="20"/>
      <c r="K1597" s="10"/>
      <c r="M1597" s="20"/>
      <c r="N1597" s="20"/>
      <c r="O1597" s="20"/>
      <c r="P1597" s="20"/>
      <c r="Q1597" s="20"/>
      <c r="R1597" s="20"/>
      <c r="S1597" s="20"/>
      <c r="T1597" s="20"/>
      <c r="U1597" s="20"/>
      <c r="V1597" s="20"/>
      <c r="W1597" s="20"/>
      <c r="X1597" s="20"/>
      <c r="Y1597" s="22"/>
      <c r="Z1597" s="22"/>
      <c r="AA1597" s="20"/>
      <c r="AB1597" s="20"/>
      <c r="AC1597" s="20"/>
      <c r="AD1597" s="20"/>
      <c r="AE1597" s="20"/>
      <c r="AF1597" s="20"/>
      <c r="AG1597" s="20"/>
      <c r="AH1597" s="20"/>
      <c r="AI1597" s="20"/>
      <c r="AJ1597" s="20"/>
      <c r="AK1597" s="20"/>
      <c r="AL1597" s="20"/>
      <c r="AM1597" s="20"/>
      <c r="AN1597" s="20"/>
      <c r="AS1597" s="11"/>
      <c r="AT1597" s="12"/>
    </row>
    <row r="1598" ht="14.25" customHeight="1">
      <c r="A1598" s="20"/>
      <c r="B1598" s="20"/>
      <c r="C1598" s="20"/>
      <c r="D1598" s="21"/>
      <c r="E1598" s="20"/>
      <c r="F1598" s="20"/>
      <c r="G1598" s="20"/>
      <c r="H1598" s="20"/>
      <c r="K1598" s="10"/>
      <c r="M1598" s="20"/>
      <c r="N1598" s="20"/>
      <c r="O1598" s="20"/>
      <c r="P1598" s="20"/>
      <c r="Q1598" s="20"/>
      <c r="R1598" s="20"/>
      <c r="S1598" s="20"/>
      <c r="T1598" s="20"/>
      <c r="U1598" s="20"/>
      <c r="V1598" s="20"/>
      <c r="W1598" s="20"/>
      <c r="X1598" s="20"/>
      <c r="Y1598" s="22"/>
      <c r="Z1598" s="22"/>
      <c r="AA1598" s="20"/>
      <c r="AB1598" s="20"/>
      <c r="AC1598" s="20"/>
      <c r="AD1598" s="20"/>
      <c r="AE1598" s="20"/>
      <c r="AF1598" s="20"/>
      <c r="AG1598" s="20"/>
      <c r="AH1598" s="20"/>
      <c r="AI1598" s="20"/>
      <c r="AJ1598" s="20"/>
      <c r="AK1598" s="20"/>
      <c r="AL1598" s="20"/>
      <c r="AM1598" s="20"/>
      <c r="AN1598" s="20"/>
      <c r="AS1598" s="11"/>
      <c r="AT1598" s="12"/>
    </row>
    <row r="1599" ht="14.25" customHeight="1">
      <c r="A1599" s="20"/>
      <c r="B1599" s="20"/>
      <c r="C1599" s="20"/>
      <c r="D1599" s="21"/>
      <c r="E1599" s="20"/>
      <c r="F1599" s="20"/>
      <c r="G1599" s="20"/>
      <c r="H1599" s="20"/>
      <c r="K1599" s="1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0"/>
      <c r="W1599" s="20"/>
      <c r="X1599" s="20"/>
      <c r="Y1599" s="22"/>
      <c r="Z1599" s="22"/>
      <c r="AA1599" s="20"/>
      <c r="AB1599" s="20"/>
      <c r="AC1599" s="20"/>
      <c r="AD1599" s="20"/>
      <c r="AE1599" s="20"/>
      <c r="AF1599" s="20"/>
      <c r="AG1599" s="20"/>
      <c r="AH1599" s="20"/>
      <c r="AI1599" s="20"/>
      <c r="AJ1599" s="20"/>
      <c r="AK1599" s="20"/>
      <c r="AL1599" s="20"/>
      <c r="AM1599" s="20"/>
      <c r="AN1599" s="20"/>
      <c r="AS1599" s="11"/>
      <c r="AT1599" s="12"/>
    </row>
    <row r="1600" ht="14.25" customHeight="1">
      <c r="A1600" s="20"/>
      <c r="B1600" s="20"/>
      <c r="C1600" s="20"/>
      <c r="D1600" s="21"/>
      <c r="E1600" s="20"/>
      <c r="F1600" s="20"/>
      <c r="G1600" s="20"/>
      <c r="H1600" s="20"/>
      <c r="K1600" s="10"/>
      <c r="M1600" s="20"/>
      <c r="N1600" s="20"/>
      <c r="O1600" s="20"/>
      <c r="P1600" s="20"/>
      <c r="Q1600" s="20"/>
      <c r="R1600" s="20"/>
      <c r="S1600" s="20"/>
      <c r="T1600" s="20"/>
      <c r="U1600" s="20"/>
      <c r="V1600" s="20"/>
      <c r="W1600" s="20"/>
      <c r="X1600" s="20"/>
      <c r="Y1600" s="22"/>
      <c r="Z1600" s="22"/>
      <c r="AA1600" s="20"/>
      <c r="AB1600" s="20"/>
      <c r="AC1600" s="20"/>
      <c r="AD1600" s="20"/>
      <c r="AE1600" s="20"/>
      <c r="AF1600" s="20"/>
      <c r="AG1600" s="20"/>
      <c r="AH1600" s="20"/>
      <c r="AI1600" s="20"/>
      <c r="AJ1600" s="20"/>
      <c r="AK1600" s="20"/>
      <c r="AL1600" s="20"/>
      <c r="AM1600" s="20"/>
      <c r="AN1600" s="20"/>
      <c r="AS1600" s="11"/>
      <c r="AT1600" s="12"/>
    </row>
    <row r="1601" ht="14.25" customHeight="1">
      <c r="A1601" s="20"/>
      <c r="B1601" s="20"/>
      <c r="C1601" s="20"/>
      <c r="D1601" s="21"/>
      <c r="E1601" s="20"/>
      <c r="F1601" s="20"/>
      <c r="G1601" s="20"/>
      <c r="H1601" s="20"/>
      <c r="K1601" s="10"/>
      <c r="M1601" s="20"/>
      <c r="N1601" s="20"/>
      <c r="O1601" s="20"/>
      <c r="P1601" s="20"/>
      <c r="Q1601" s="20"/>
      <c r="R1601" s="20"/>
      <c r="S1601" s="20"/>
      <c r="T1601" s="20"/>
      <c r="U1601" s="20"/>
      <c r="V1601" s="20"/>
      <c r="W1601" s="20"/>
      <c r="X1601" s="20"/>
      <c r="Y1601" s="22"/>
      <c r="Z1601" s="22"/>
      <c r="AA1601" s="20"/>
      <c r="AB1601" s="20"/>
      <c r="AC1601" s="20"/>
      <c r="AD1601" s="20"/>
      <c r="AE1601" s="20"/>
      <c r="AF1601" s="20"/>
      <c r="AG1601" s="20"/>
      <c r="AH1601" s="20"/>
      <c r="AI1601" s="20"/>
      <c r="AJ1601" s="20"/>
      <c r="AK1601" s="20"/>
      <c r="AL1601" s="20"/>
      <c r="AM1601" s="20"/>
      <c r="AN1601" s="20"/>
      <c r="AS1601" s="11"/>
      <c r="AT1601" s="12"/>
    </row>
    <row r="1602" ht="14.25" customHeight="1">
      <c r="A1602" s="20"/>
      <c r="B1602" s="20"/>
      <c r="C1602" s="20"/>
      <c r="D1602" s="21"/>
      <c r="E1602" s="20"/>
      <c r="F1602" s="20"/>
      <c r="G1602" s="20"/>
      <c r="H1602" s="20"/>
      <c r="K1602" s="10"/>
      <c r="M1602" s="20"/>
      <c r="N1602" s="20"/>
      <c r="O1602" s="20"/>
      <c r="P1602" s="20"/>
      <c r="Q1602" s="20"/>
      <c r="R1602" s="20"/>
      <c r="S1602" s="20"/>
      <c r="T1602" s="20"/>
      <c r="U1602" s="20"/>
      <c r="V1602" s="20"/>
      <c r="W1602" s="20"/>
      <c r="X1602" s="20"/>
      <c r="Y1602" s="22"/>
      <c r="Z1602" s="22"/>
      <c r="AA1602" s="20"/>
      <c r="AB1602" s="20"/>
      <c r="AC1602" s="20"/>
      <c r="AD1602" s="20"/>
      <c r="AE1602" s="20"/>
      <c r="AF1602" s="20"/>
      <c r="AG1602" s="20"/>
      <c r="AH1602" s="20"/>
      <c r="AI1602" s="20"/>
      <c r="AJ1602" s="20"/>
      <c r="AK1602" s="20"/>
      <c r="AL1602" s="20"/>
      <c r="AM1602" s="20"/>
      <c r="AN1602" s="20"/>
      <c r="AS1602" s="11"/>
      <c r="AT1602" s="12"/>
    </row>
    <row r="1603" ht="14.25" customHeight="1">
      <c r="A1603" s="20"/>
      <c r="B1603" s="20"/>
      <c r="C1603" s="20"/>
      <c r="D1603" s="21"/>
      <c r="E1603" s="20"/>
      <c r="F1603" s="20"/>
      <c r="G1603" s="20"/>
      <c r="H1603" s="20"/>
      <c r="K1603" s="10"/>
      <c r="M1603" s="20"/>
      <c r="N1603" s="20"/>
      <c r="O1603" s="20"/>
      <c r="P1603" s="20"/>
      <c r="Q1603" s="20"/>
      <c r="R1603" s="20"/>
      <c r="S1603" s="20"/>
      <c r="T1603" s="20"/>
      <c r="U1603" s="20"/>
      <c r="V1603" s="20"/>
      <c r="W1603" s="20"/>
      <c r="X1603" s="20"/>
      <c r="Y1603" s="22"/>
      <c r="Z1603" s="22"/>
      <c r="AA1603" s="20"/>
      <c r="AB1603" s="20"/>
      <c r="AC1603" s="20"/>
      <c r="AD1603" s="20"/>
      <c r="AE1603" s="20"/>
      <c r="AF1603" s="20"/>
      <c r="AG1603" s="20"/>
      <c r="AH1603" s="20"/>
      <c r="AI1603" s="20"/>
      <c r="AJ1603" s="20"/>
      <c r="AK1603" s="20"/>
      <c r="AL1603" s="20"/>
      <c r="AM1603" s="20"/>
      <c r="AN1603" s="20"/>
      <c r="AS1603" s="11"/>
      <c r="AT1603" s="12"/>
    </row>
    <row r="1604" ht="14.25" customHeight="1">
      <c r="A1604" s="20"/>
      <c r="B1604" s="20"/>
      <c r="C1604" s="20"/>
      <c r="D1604" s="21"/>
      <c r="E1604" s="20"/>
      <c r="F1604" s="20"/>
      <c r="G1604" s="20"/>
      <c r="H1604" s="20"/>
      <c r="K1604" s="10"/>
      <c r="M1604" s="20"/>
      <c r="N1604" s="20"/>
      <c r="O1604" s="20"/>
      <c r="P1604" s="20"/>
      <c r="Q1604" s="20"/>
      <c r="R1604" s="20"/>
      <c r="S1604" s="20"/>
      <c r="T1604" s="20"/>
      <c r="U1604" s="20"/>
      <c r="V1604" s="20"/>
      <c r="W1604" s="20"/>
      <c r="X1604" s="20"/>
      <c r="Y1604" s="22"/>
      <c r="Z1604" s="22"/>
      <c r="AA1604" s="20"/>
      <c r="AB1604" s="20"/>
      <c r="AC1604" s="20"/>
      <c r="AD1604" s="20"/>
      <c r="AE1604" s="20"/>
      <c r="AF1604" s="20"/>
      <c r="AG1604" s="20"/>
      <c r="AH1604" s="20"/>
      <c r="AI1604" s="20"/>
      <c r="AJ1604" s="20"/>
      <c r="AK1604" s="20"/>
      <c r="AL1604" s="20"/>
      <c r="AM1604" s="20"/>
      <c r="AN1604" s="20"/>
      <c r="AS1604" s="11"/>
      <c r="AT1604" s="12"/>
    </row>
    <row r="1605" ht="14.25" customHeight="1">
      <c r="A1605" s="20"/>
      <c r="B1605" s="20"/>
      <c r="C1605" s="20"/>
      <c r="D1605" s="21"/>
      <c r="E1605" s="20"/>
      <c r="F1605" s="20"/>
      <c r="G1605" s="20"/>
      <c r="H1605" s="20"/>
      <c r="K1605" s="10"/>
      <c r="M1605" s="20"/>
      <c r="N1605" s="20"/>
      <c r="O1605" s="20"/>
      <c r="P1605" s="20"/>
      <c r="Q1605" s="20"/>
      <c r="R1605" s="20"/>
      <c r="S1605" s="20"/>
      <c r="T1605" s="20"/>
      <c r="U1605" s="20"/>
      <c r="V1605" s="20"/>
      <c r="W1605" s="20"/>
      <c r="X1605" s="20"/>
      <c r="Y1605" s="22"/>
      <c r="Z1605" s="22"/>
      <c r="AA1605" s="20"/>
      <c r="AB1605" s="20"/>
      <c r="AC1605" s="20"/>
      <c r="AD1605" s="20"/>
      <c r="AE1605" s="20"/>
      <c r="AF1605" s="20"/>
      <c r="AG1605" s="20"/>
      <c r="AH1605" s="20"/>
      <c r="AI1605" s="20"/>
      <c r="AJ1605" s="20"/>
      <c r="AK1605" s="20"/>
      <c r="AL1605" s="20"/>
      <c r="AM1605" s="20"/>
      <c r="AN1605" s="20"/>
      <c r="AS1605" s="11"/>
      <c r="AT1605" s="12"/>
    </row>
    <row r="1606" ht="14.25" customHeight="1">
      <c r="A1606" s="20"/>
      <c r="B1606" s="20"/>
      <c r="C1606" s="20"/>
      <c r="D1606" s="21"/>
      <c r="E1606" s="20"/>
      <c r="F1606" s="20"/>
      <c r="G1606" s="20"/>
      <c r="H1606" s="20"/>
      <c r="K1606" s="10"/>
      <c r="M1606" s="20"/>
      <c r="N1606" s="20"/>
      <c r="O1606" s="20"/>
      <c r="P1606" s="20"/>
      <c r="Q1606" s="20"/>
      <c r="R1606" s="20"/>
      <c r="S1606" s="20"/>
      <c r="T1606" s="20"/>
      <c r="U1606" s="20"/>
      <c r="V1606" s="20"/>
      <c r="W1606" s="20"/>
      <c r="X1606" s="20"/>
      <c r="Y1606" s="22"/>
      <c r="Z1606" s="22"/>
      <c r="AA1606" s="20"/>
      <c r="AB1606" s="20"/>
      <c r="AC1606" s="20"/>
      <c r="AD1606" s="20"/>
      <c r="AE1606" s="20"/>
      <c r="AF1606" s="20"/>
      <c r="AG1606" s="20"/>
      <c r="AH1606" s="20"/>
      <c r="AI1606" s="20"/>
      <c r="AJ1606" s="20"/>
      <c r="AK1606" s="20"/>
      <c r="AL1606" s="20"/>
      <c r="AM1606" s="20"/>
      <c r="AN1606" s="20"/>
      <c r="AS1606" s="11"/>
      <c r="AT1606" s="12"/>
    </row>
    <row r="1607" ht="14.25" customHeight="1">
      <c r="A1607" s="20"/>
      <c r="B1607" s="20"/>
      <c r="C1607" s="20"/>
      <c r="D1607" s="21"/>
      <c r="E1607" s="20"/>
      <c r="F1607" s="20"/>
      <c r="G1607" s="20"/>
      <c r="H1607" s="20"/>
      <c r="K1607" s="10"/>
      <c r="M1607" s="20"/>
      <c r="N1607" s="20"/>
      <c r="O1607" s="20"/>
      <c r="P1607" s="20"/>
      <c r="Q1607" s="20"/>
      <c r="R1607" s="20"/>
      <c r="S1607" s="20"/>
      <c r="T1607" s="20"/>
      <c r="U1607" s="20"/>
      <c r="V1607" s="20"/>
      <c r="W1607" s="20"/>
      <c r="X1607" s="20"/>
      <c r="Y1607" s="22"/>
      <c r="Z1607" s="22"/>
      <c r="AA1607" s="20"/>
      <c r="AB1607" s="20"/>
      <c r="AC1607" s="20"/>
      <c r="AD1607" s="20"/>
      <c r="AE1607" s="20"/>
      <c r="AF1607" s="20"/>
      <c r="AG1607" s="20"/>
      <c r="AH1607" s="20"/>
      <c r="AI1607" s="20"/>
      <c r="AJ1607" s="20"/>
      <c r="AK1607" s="20"/>
      <c r="AL1607" s="20"/>
      <c r="AM1607" s="20"/>
      <c r="AN1607" s="20"/>
      <c r="AS1607" s="11"/>
      <c r="AT1607" s="12"/>
    </row>
    <row r="1608" ht="14.25" customHeight="1">
      <c r="A1608" s="20"/>
      <c r="B1608" s="20"/>
      <c r="C1608" s="20"/>
      <c r="D1608" s="21"/>
      <c r="E1608" s="20"/>
      <c r="F1608" s="20"/>
      <c r="G1608" s="20"/>
      <c r="H1608" s="20"/>
      <c r="K1608" s="1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2"/>
      <c r="Z1608" s="22"/>
      <c r="AA1608" s="20"/>
      <c r="AB1608" s="20"/>
      <c r="AC1608" s="20"/>
      <c r="AD1608" s="20"/>
      <c r="AE1608" s="20"/>
      <c r="AF1608" s="20"/>
      <c r="AG1608" s="20"/>
      <c r="AH1608" s="20"/>
      <c r="AI1608" s="20"/>
      <c r="AJ1608" s="20"/>
      <c r="AK1608" s="20"/>
      <c r="AL1608" s="20"/>
      <c r="AM1608" s="20"/>
      <c r="AN1608" s="20"/>
      <c r="AS1608" s="11"/>
      <c r="AT1608" s="12"/>
    </row>
    <row r="1609" ht="14.25" customHeight="1">
      <c r="A1609" s="20"/>
      <c r="B1609" s="20"/>
      <c r="C1609" s="20"/>
      <c r="D1609" s="21"/>
      <c r="E1609" s="20"/>
      <c r="F1609" s="20"/>
      <c r="G1609" s="20"/>
      <c r="H1609" s="20"/>
      <c r="K1609" s="10"/>
      <c r="M1609" s="20"/>
      <c r="N1609" s="20"/>
      <c r="O1609" s="20"/>
      <c r="P1609" s="20"/>
      <c r="Q1609" s="20"/>
      <c r="R1609" s="20"/>
      <c r="S1609" s="20"/>
      <c r="T1609" s="20"/>
      <c r="U1609" s="20"/>
      <c r="V1609" s="20"/>
      <c r="W1609" s="20"/>
      <c r="X1609" s="20"/>
      <c r="Y1609" s="22"/>
      <c r="Z1609" s="22"/>
      <c r="AA1609" s="20"/>
      <c r="AB1609" s="20"/>
      <c r="AC1609" s="20"/>
      <c r="AD1609" s="20"/>
      <c r="AE1609" s="20"/>
      <c r="AF1609" s="20"/>
      <c r="AG1609" s="20"/>
      <c r="AH1609" s="20"/>
      <c r="AI1609" s="20"/>
      <c r="AJ1609" s="20"/>
      <c r="AK1609" s="20"/>
      <c r="AL1609" s="20"/>
      <c r="AM1609" s="20"/>
      <c r="AN1609" s="20"/>
      <c r="AS1609" s="11"/>
      <c r="AT1609" s="12"/>
    </row>
    <row r="1610" ht="14.25" customHeight="1">
      <c r="A1610" s="20"/>
      <c r="B1610" s="20"/>
      <c r="C1610" s="20"/>
      <c r="D1610" s="21"/>
      <c r="E1610" s="20"/>
      <c r="F1610" s="20"/>
      <c r="G1610" s="20"/>
      <c r="H1610" s="20"/>
      <c r="K1610" s="10"/>
      <c r="M1610" s="20"/>
      <c r="N1610" s="20"/>
      <c r="O1610" s="20"/>
      <c r="P1610" s="20"/>
      <c r="Q1610" s="20"/>
      <c r="R1610" s="20"/>
      <c r="S1610" s="20"/>
      <c r="T1610" s="20"/>
      <c r="U1610" s="20"/>
      <c r="V1610" s="20"/>
      <c r="W1610" s="20"/>
      <c r="X1610" s="20"/>
      <c r="Y1610" s="22"/>
      <c r="Z1610" s="22"/>
      <c r="AA1610" s="20"/>
      <c r="AB1610" s="20"/>
      <c r="AC1610" s="20"/>
      <c r="AD1610" s="20"/>
      <c r="AE1610" s="20"/>
      <c r="AF1610" s="20"/>
      <c r="AG1610" s="20"/>
      <c r="AH1610" s="20"/>
      <c r="AI1610" s="20"/>
      <c r="AJ1610" s="20"/>
      <c r="AK1610" s="20"/>
      <c r="AL1610" s="20"/>
      <c r="AM1610" s="20"/>
      <c r="AN1610" s="20"/>
      <c r="AS1610" s="11"/>
      <c r="AT1610" s="12"/>
    </row>
    <row r="1611" ht="14.25" customHeight="1">
      <c r="A1611" s="20"/>
      <c r="B1611" s="20"/>
      <c r="C1611" s="20"/>
      <c r="D1611" s="21"/>
      <c r="E1611" s="20"/>
      <c r="F1611" s="20"/>
      <c r="G1611" s="20"/>
      <c r="H1611" s="20"/>
      <c r="K1611" s="1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0"/>
      <c r="W1611" s="20"/>
      <c r="X1611" s="20"/>
      <c r="Y1611" s="22"/>
      <c r="Z1611" s="22"/>
      <c r="AA1611" s="20"/>
      <c r="AB1611" s="20"/>
      <c r="AC1611" s="20"/>
      <c r="AD1611" s="20"/>
      <c r="AE1611" s="20"/>
      <c r="AF1611" s="20"/>
      <c r="AG1611" s="20"/>
      <c r="AH1611" s="20"/>
      <c r="AI1611" s="20"/>
      <c r="AJ1611" s="20"/>
      <c r="AK1611" s="20"/>
      <c r="AL1611" s="20"/>
      <c r="AM1611" s="20"/>
      <c r="AN1611" s="20"/>
      <c r="AS1611" s="11"/>
      <c r="AT1611" s="12"/>
    </row>
    <row r="1612" ht="14.25" customHeight="1">
      <c r="A1612" s="20"/>
      <c r="B1612" s="20"/>
      <c r="C1612" s="20"/>
      <c r="D1612" s="21"/>
      <c r="E1612" s="20"/>
      <c r="F1612" s="20"/>
      <c r="G1612" s="20"/>
      <c r="H1612" s="20"/>
      <c r="K1612" s="10"/>
      <c r="M1612" s="20"/>
      <c r="N1612" s="20"/>
      <c r="O1612" s="20"/>
      <c r="P1612" s="20"/>
      <c r="Q1612" s="20"/>
      <c r="R1612" s="20"/>
      <c r="S1612" s="20"/>
      <c r="T1612" s="20"/>
      <c r="U1612" s="20"/>
      <c r="V1612" s="20"/>
      <c r="W1612" s="20"/>
      <c r="X1612" s="20"/>
      <c r="Y1612" s="22"/>
      <c r="Z1612" s="22"/>
      <c r="AA1612" s="20"/>
      <c r="AB1612" s="20"/>
      <c r="AC1612" s="20"/>
      <c r="AD1612" s="20"/>
      <c r="AE1612" s="20"/>
      <c r="AF1612" s="20"/>
      <c r="AG1612" s="20"/>
      <c r="AH1612" s="20"/>
      <c r="AI1612" s="20"/>
      <c r="AJ1612" s="20"/>
      <c r="AK1612" s="20"/>
      <c r="AL1612" s="20"/>
      <c r="AM1612" s="20"/>
      <c r="AN1612" s="20"/>
      <c r="AS1612" s="11"/>
      <c r="AT1612" s="12"/>
    </row>
    <row r="1613" ht="14.25" customHeight="1">
      <c r="A1613" s="20"/>
      <c r="B1613" s="20"/>
      <c r="C1613" s="20"/>
      <c r="D1613" s="21"/>
      <c r="E1613" s="20"/>
      <c r="F1613" s="20"/>
      <c r="G1613" s="20"/>
      <c r="H1613" s="20"/>
      <c r="K1613" s="10"/>
      <c r="M1613" s="20"/>
      <c r="N1613" s="20"/>
      <c r="O1613" s="20"/>
      <c r="P1613" s="20"/>
      <c r="Q1613" s="20"/>
      <c r="R1613" s="20"/>
      <c r="S1613" s="20"/>
      <c r="T1613" s="20"/>
      <c r="U1613" s="20"/>
      <c r="V1613" s="20"/>
      <c r="W1613" s="20"/>
      <c r="X1613" s="20"/>
      <c r="Y1613" s="22"/>
      <c r="Z1613" s="22"/>
      <c r="AA1613" s="20"/>
      <c r="AB1613" s="20"/>
      <c r="AC1613" s="20"/>
      <c r="AD1613" s="20"/>
      <c r="AE1613" s="20"/>
      <c r="AF1613" s="20"/>
      <c r="AG1613" s="20"/>
      <c r="AH1613" s="20"/>
      <c r="AI1613" s="20"/>
      <c r="AJ1613" s="20"/>
      <c r="AK1613" s="20"/>
      <c r="AL1613" s="20"/>
      <c r="AM1613" s="20"/>
      <c r="AN1613" s="20"/>
      <c r="AS1613" s="11"/>
      <c r="AT1613" s="12"/>
    </row>
    <row r="1614" ht="14.25" customHeight="1">
      <c r="A1614" s="20"/>
      <c r="B1614" s="20"/>
      <c r="C1614" s="20"/>
      <c r="D1614" s="21"/>
      <c r="E1614" s="20"/>
      <c r="F1614" s="20"/>
      <c r="G1614" s="20"/>
      <c r="H1614" s="20"/>
      <c r="K1614" s="10"/>
      <c r="M1614" s="20"/>
      <c r="N1614" s="20"/>
      <c r="O1614" s="20"/>
      <c r="P1614" s="20"/>
      <c r="Q1614" s="20"/>
      <c r="R1614" s="20"/>
      <c r="S1614" s="20"/>
      <c r="T1614" s="20"/>
      <c r="U1614" s="20"/>
      <c r="V1614" s="20"/>
      <c r="W1614" s="20"/>
      <c r="X1614" s="20"/>
      <c r="Y1614" s="22"/>
      <c r="Z1614" s="22"/>
      <c r="AA1614" s="20"/>
      <c r="AB1614" s="20"/>
      <c r="AC1614" s="20"/>
      <c r="AD1614" s="20"/>
      <c r="AE1614" s="20"/>
      <c r="AF1614" s="20"/>
      <c r="AG1614" s="20"/>
      <c r="AH1614" s="20"/>
      <c r="AI1614" s="20"/>
      <c r="AJ1614" s="20"/>
      <c r="AK1614" s="20"/>
      <c r="AL1614" s="20"/>
      <c r="AM1614" s="20"/>
      <c r="AN1614" s="20"/>
      <c r="AS1614" s="11"/>
      <c r="AT1614" s="12"/>
    </row>
    <row r="1615" ht="14.25" customHeight="1">
      <c r="A1615" s="20"/>
      <c r="B1615" s="20"/>
      <c r="C1615" s="20"/>
      <c r="D1615" s="21"/>
      <c r="E1615" s="20"/>
      <c r="F1615" s="20"/>
      <c r="G1615" s="20"/>
      <c r="H1615" s="20"/>
      <c r="K1615" s="10"/>
      <c r="M1615" s="20"/>
      <c r="N1615" s="20"/>
      <c r="O1615" s="20"/>
      <c r="P1615" s="20"/>
      <c r="Q1615" s="20"/>
      <c r="R1615" s="20"/>
      <c r="S1615" s="20"/>
      <c r="T1615" s="20"/>
      <c r="U1615" s="20"/>
      <c r="V1615" s="20"/>
      <c r="W1615" s="20"/>
      <c r="X1615" s="20"/>
      <c r="Y1615" s="22"/>
      <c r="Z1615" s="22"/>
      <c r="AA1615" s="20"/>
      <c r="AB1615" s="20"/>
      <c r="AC1615" s="20"/>
      <c r="AD1615" s="20"/>
      <c r="AE1615" s="20"/>
      <c r="AF1615" s="20"/>
      <c r="AG1615" s="20"/>
      <c r="AH1615" s="20"/>
      <c r="AI1615" s="20"/>
      <c r="AJ1615" s="20"/>
      <c r="AK1615" s="20"/>
      <c r="AL1615" s="20"/>
      <c r="AM1615" s="20"/>
      <c r="AN1615" s="20"/>
      <c r="AS1615" s="11"/>
      <c r="AT1615" s="12"/>
    </row>
    <row r="1616" ht="14.25" customHeight="1">
      <c r="A1616" s="20"/>
      <c r="B1616" s="20"/>
      <c r="C1616" s="20"/>
      <c r="D1616" s="21"/>
      <c r="E1616" s="20"/>
      <c r="F1616" s="20"/>
      <c r="G1616" s="20"/>
      <c r="H1616" s="20"/>
      <c r="K1616" s="10"/>
      <c r="M1616" s="20"/>
      <c r="N1616" s="20"/>
      <c r="O1616" s="20"/>
      <c r="P1616" s="20"/>
      <c r="Q1616" s="20"/>
      <c r="R1616" s="20"/>
      <c r="S1616" s="20"/>
      <c r="T1616" s="20"/>
      <c r="U1616" s="20"/>
      <c r="V1616" s="20"/>
      <c r="W1616" s="20"/>
      <c r="X1616" s="20"/>
      <c r="Y1616" s="22"/>
      <c r="Z1616" s="22"/>
      <c r="AA1616" s="20"/>
      <c r="AB1616" s="20"/>
      <c r="AC1616" s="20"/>
      <c r="AD1616" s="20"/>
      <c r="AE1616" s="20"/>
      <c r="AF1616" s="20"/>
      <c r="AG1616" s="20"/>
      <c r="AH1616" s="20"/>
      <c r="AI1616" s="20"/>
      <c r="AJ1616" s="20"/>
      <c r="AK1616" s="20"/>
      <c r="AL1616" s="20"/>
      <c r="AM1616" s="20"/>
      <c r="AN1616" s="20"/>
      <c r="AS1616" s="11"/>
      <c r="AT1616" s="12"/>
    </row>
    <row r="1617" ht="14.25" customHeight="1">
      <c r="A1617" s="20"/>
      <c r="B1617" s="20"/>
      <c r="C1617" s="20"/>
      <c r="D1617" s="21"/>
      <c r="E1617" s="20"/>
      <c r="F1617" s="20"/>
      <c r="G1617" s="20"/>
      <c r="H1617" s="20"/>
      <c r="K1617" s="10"/>
      <c r="M1617" s="20"/>
      <c r="N1617" s="20"/>
      <c r="O1617" s="20"/>
      <c r="P1617" s="20"/>
      <c r="Q1617" s="20"/>
      <c r="R1617" s="20"/>
      <c r="S1617" s="20"/>
      <c r="T1617" s="20"/>
      <c r="U1617" s="20"/>
      <c r="V1617" s="20"/>
      <c r="W1617" s="20"/>
      <c r="X1617" s="20"/>
      <c r="Y1617" s="22"/>
      <c r="Z1617" s="22"/>
      <c r="AA1617" s="20"/>
      <c r="AB1617" s="20"/>
      <c r="AC1617" s="20"/>
      <c r="AD1617" s="20"/>
      <c r="AE1617" s="20"/>
      <c r="AF1617" s="20"/>
      <c r="AG1617" s="20"/>
      <c r="AH1617" s="20"/>
      <c r="AI1617" s="20"/>
      <c r="AJ1617" s="20"/>
      <c r="AK1617" s="20"/>
      <c r="AL1617" s="20"/>
      <c r="AM1617" s="20"/>
      <c r="AN1617" s="20"/>
      <c r="AS1617" s="11"/>
      <c r="AT1617" s="12"/>
    </row>
    <row r="1618" ht="14.25" customHeight="1">
      <c r="A1618" s="20"/>
      <c r="B1618" s="20"/>
      <c r="C1618" s="20"/>
      <c r="D1618" s="21"/>
      <c r="E1618" s="20"/>
      <c r="F1618" s="20"/>
      <c r="G1618" s="20"/>
      <c r="H1618" s="20"/>
      <c r="K1618" s="10"/>
      <c r="M1618" s="20"/>
      <c r="N1618" s="20"/>
      <c r="O1618" s="20"/>
      <c r="P1618" s="20"/>
      <c r="Q1618" s="20"/>
      <c r="R1618" s="20"/>
      <c r="S1618" s="20"/>
      <c r="T1618" s="20"/>
      <c r="U1618" s="20"/>
      <c r="V1618" s="20"/>
      <c r="W1618" s="20"/>
      <c r="X1618" s="20"/>
      <c r="Y1618" s="22"/>
      <c r="Z1618" s="22"/>
      <c r="AA1618" s="20"/>
      <c r="AB1618" s="20"/>
      <c r="AC1618" s="20"/>
      <c r="AD1618" s="20"/>
      <c r="AE1618" s="20"/>
      <c r="AF1618" s="20"/>
      <c r="AG1618" s="20"/>
      <c r="AH1618" s="20"/>
      <c r="AI1618" s="20"/>
      <c r="AJ1618" s="20"/>
      <c r="AK1618" s="20"/>
      <c r="AL1618" s="20"/>
      <c r="AM1618" s="20"/>
      <c r="AN1618" s="20"/>
      <c r="AS1618" s="11"/>
      <c r="AT1618" s="12"/>
    </row>
    <row r="1619" ht="14.25" customHeight="1">
      <c r="A1619" s="20"/>
      <c r="B1619" s="20"/>
      <c r="C1619" s="20"/>
      <c r="D1619" s="21"/>
      <c r="E1619" s="20"/>
      <c r="F1619" s="20"/>
      <c r="G1619" s="20"/>
      <c r="H1619" s="20"/>
      <c r="K1619" s="10"/>
      <c r="M1619" s="20"/>
      <c r="N1619" s="20"/>
      <c r="O1619" s="20"/>
      <c r="P1619" s="20"/>
      <c r="Q1619" s="20"/>
      <c r="R1619" s="20"/>
      <c r="S1619" s="20"/>
      <c r="T1619" s="20"/>
      <c r="U1619" s="20"/>
      <c r="V1619" s="20"/>
      <c r="W1619" s="20"/>
      <c r="X1619" s="20"/>
      <c r="Y1619" s="22"/>
      <c r="Z1619" s="22"/>
      <c r="AA1619" s="20"/>
      <c r="AB1619" s="20"/>
      <c r="AC1619" s="20"/>
      <c r="AD1619" s="20"/>
      <c r="AE1619" s="20"/>
      <c r="AF1619" s="20"/>
      <c r="AG1619" s="20"/>
      <c r="AH1619" s="20"/>
      <c r="AI1619" s="20"/>
      <c r="AJ1619" s="20"/>
      <c r="AK1619" s="20"/>
      <c r="AL1619" s="20"/>
      <c r="AM1619" s="20"/>
      <c r="AN1619" s="20"/>
      <c r="AS1619" s="11"/>
      <c r="AT1619" s="12"/>
    </row>
    <row r="1620" ht="14.25" customHeight="1">
      <c r="A1620" s="20"/>
      <c r="B1620" s="20"/>
      <c r="C1620" s="20"/>
      <c r="D1620" s="21"/>
      <c r="E1620" s="20"/>
      <c r="F1620" s="20"/>
      <c r="G1620" s="20"/>
      <c r="H1620" s="20"/>
      <c r="K1620" s="1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2"/>
      <c r="Z1620" s="22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20"/>
      <c r="AL1620" s="20"/>
      <c r="AM1620" s="20"/>
      <c r="AN1620" s="20"/>
      <c r="AS1620" s="11"/>
      <c r="AT1620" s="12"/>
    </row>
    <row r="1621" ht="14.25" customHeight="1">
      <c r="A1621" s="20"/>
      <c r="B1621" s="20"/>
      <c r="C1621" s="20"/>
      <c r="D1621" s="21"/>
      <c r="E1621" s="20"/>
      <c r="F1621" s="20"/>
      <c r="G1621" s="20"/>
      <c r="H1621" s="20"/>
      <c r="K1621" s="10"/>
      <c r="M1621" s="20"/>
      <c r="N1621" s="20"/>
      <c r="O1621" s="20"/>
      <c r="P1621" s="20"/>
      <c r="Q1621" s="20"/>
      <c r="R1621" s="20"/>
      <c r="S1621" s="20"/>
      <c r="T1621" s="20"/>
      <c r="U1621" s="20"/>
      <c r="V1621" s="20"/>
      <c r="W1621" s="20"/>
      <c r="X1621" s="20"/>
      <c r="Y1621" s="22"/>
      <c r="Z1621" s="22"/>
      <c r="AA1621" s="20"/>
      <c r="AB1621" s="20"/>
      <c r="AC1621" s="20"/>
      <c r="AD1621" s="20"/>
      <c r="AE1621" s="20"/>
      <c r="AF1621" s="20"/>
      <c r="AG1621" s="20"/>
      <c r="AH1621" s="20"/>
      <c r="AI1621" s="20"/>
      <c r="AJ1621" s="20"/>
      <c r="AK1621" s="20"/>
      <c r="AL1621" s="20"/>
      <c r="AM1621" s="20"/>
      <c r="AN1621" s="20"/>
      <c r="AS1621" s="11"/>
      <c r="AT1621" s="12"/>
    </row>
    <row r="1622" ht="14.25" customHeight="1">
      <c r="A1622" s="20"/>
      <c r="B1622" s="20"/>
      <c r="C1622" s="20"/>
      <c r="D1622" s="21"/>
      <c r="E1622" s="20"/>
      <c r="F1622" s="20"/>
      <c r="G1622" s="20"/>
      <c r="H1622" s="20"/>
      <c r="K1622" s="10"/>
      <c r="M1622" s="20"/>
      <c r="N1622" s="20"/>
      <c r="O1622" s="20"/>
      <c r="P1622" s="20"/>
      <c r="Q1622" s="20"/>
      <c r="R1622" s="20"/>
      <c r="S1622" s="20"/>
      <c r="T1622" s="20"/>
      <c r="U1622" s="20"/>
      <c r="V1622" s="20"/>
      <c r="W1622" s="20"/>
      <c r="X1622" s="20"/>
      <c r="Y1622" s="22"/>
      <c r="Z1622" s="22"/>
      <c r="AA1622" s="20"/>
      <c r="AB1622" s="20"/>
      <c r="AC1622" s="20"/>
      <c r="AD1622" s="20"/>
      <c r="AE1622" s="20"/>
      <c r="AF1622" s="20"/>
      <c r="AG1622" s="20"/>
      <c r="AH1622" s="20"/>
      <c r="AI1622" s="20"/>
      <c r="AJ1622" s="20"/>
      <c r="AK1622" s="20"/>
      <c r="AL1622" s="20"/>
      <c r="AM1622" s="20"/>
      <c r="AN1622" s="20"/>
      <c r="AS1622" s="11"/>
      <c r="AT1622" s="12"/>
    </row>
    <row r="1623" ht="14.25" customHeight="1">
      <c r="A1623" s="20"/>
      <c r="B1623" s="20"/>
      <c r="C1623" s="20"/>
      <c r="D1623" s="21"/>
      <c r="E1623" s="20"/>
      <c r="F1623" s="20"/>
      <c r="G1623" s="20"/>
      <c r="H1623" s="20"/>
      <c r="K1623" s="10"/>
      <c r="M1623" s="20"/>
      <c r="N1623" s="20"/>
      <c r="O1623" s="20"/>
      <c r="P1623" s="20"/>
      <c r="Q1623" s="20"/>
      <c r="R1623" s="20"/>
      <c r="S1623" s="20"/>
      <c r="T1623" s="20"/>
      <c r="U1623" s="20"/>
      <c r="V1623" s="20"/>
      <c r="W1623" s="20"/>
      <c r="X1623" s="20"/>
      <c r="Y1623" s="22"/>
      <c r="Z1623" s="22"/>
      <c r="AA1623" s="20"/>
      <c r="AB1623" s="20"/>
      <c r="AC1623" s="20"/>
      <c r="AD1623" s="20"/>
      <c r="AE1623" s="20"/>
      <c r="AF1623" s="20"/>
      <c r="AG1623" s="20"/>
      <c r="AH1623" s="20"/>
      <c r="AI1623" s="20"/>
      <c r="AJ1623" s="20"/>
      <c r="AK1623" s="20"/>
      <c r="AL1623" s="20"/>
      <c r="AM1623" s="20"/>
      <c r="AN1623" s="20"/>
      <c r="AS1623" s="11"/>
      <c r="AT1623" s="12"/>
    </row>
    <row r="1624" ht="14.25" customHeight="1">
      <c r="A1624" s="20"/>
      <c r="B1624" s="20"/>
      <c r="C1624" s="20"/>
      <c r="D1624" s="21"/>
      <c r="E1624" s="20"/>
      <c r="F1624" s="20"/>
      <c r="G1624" s="20"/>
      <c r="H1624" s="20"/>
      <c r="K1624" s="10"/>
      <c r="M1624" s="20"/>
      <c r="N1624" s="20"/>
      <c r="O1624" s="20"/>
      <c r="P1624" s="20"/>
      <c r="Q1624" s="20"/>
      <c r="R1624" s="20"/>
      <c r="S1624" s="20"/>
      <c r="T1624" s="20"/>
      <c r="U1624" s="20"/>
      <c r="V1624" s="20"/>
      <c r="W1624" s="20"/>
      <c r="X1624" s="20"/>
      <c r="Y1624" s="22"/>
      <c r="Z1624" s="22"/>
      <c r="AA1624" s="20"/>
      <c r="AB1624" s="20"/>
      <c r="AC1624" s="20"/>
      <c r="AD1624" s="20"/>
      <c r="AE1624" s="20"/>
      <c r="AF1624" s="20"/>
      <c r="AG1624" s="20"/>
      <c r="AH1624" s="20"/>
      <c r="AI1624" s="20"/>
      <c r="AJ1624" s="20"/>
      <c r="AK1624" s="20"/>
      <c r="AL1624" s="20"/>
      <c r="AM1624" s="20"/>
      <c r="AN1624" s="20"/>
      <c r="AS1624" s="11"/>
      <c r="AT1624" s="12"/>
    </row>
    <row r="1625" ht="14.25" customHeight="1">
      <c r="A1625" s="20"/>
      <c r="B1625" s="20"/>
      <c r="C1625" s="20"/>
      <c r="D1625" s="21"/>
      <c r="E1625" s="20"/>
      <c r="F1625" s="20"/>
      <c r="G1625" s="20"/>
      <c r="H1625" s="20"/>
      <c r="K1625" s="10"/>
      <c r="M1625" s="20"/>
      <c r="N1625" s="20"/>
      <c r="O1625" s="20"/>
      <c r="P1625" s="20"/>
      <c r="Q1625" s="20"/>
      <c r="R1625" s="20"/>
      <c r="S1625" s="20"/>
      <c r="T1625" s="20"/>
      <c r="U1625" s="20"/>
      <c r="V1625" s="20"/>
      <c r="W1625" s="20"/>
      <c r="X1625" s="20"/>
      <c r="Y1625" s="22"/>
      <c r="Z1625" s="22"/>
      <c r="AA1625" s="20"/>
      <c r="AB1625" s="20"/>
      <c r="AC1625" s="20"/>
      <c r="AD1625" s="20"/>
      <c r="AE1625" s="20"/>
      <c r="AF1625" s="20"/>
      <c r="AG1625" s="20"/>
      <c r="AH1625" s="20"/>
      <c r="AI1625" s="20"/>
      <c r="AJ1625" s="20"/>
      <c r="AK1625" s="20"/>
      <c r="AL1625" s="20"/>
      <c r="AM1625" s="20"/>
      <c r="AN1625" s="20"/>
      <c r="AS1625" s="11"/>
      <c r="AT1625" s="12"/>
    </row>
    <row r="1626" ht="14.25" customHeight="1">
      <c r="A1626" s="20"/>
      <c r="B1626" s="20"/>
      <c r="C1626" s="20"/>
      <c r="D1626" s="21"/>
      <c r="E1626" s="20"/>
      <c r="F1626" s="20"/>
      <c r="G1626" s="20"/>
      <c r="H1626" s="20"/>
      <c r="K1626" s="10"/>
      <c r="M1626" s="20"/>
      <c r="N1626" s="20"/>
      <c r="O1626" s="20"/>
      <c r="P1626" s="20"/>
      <c r="Q1626" s="20"/>
      <c r="R1626" s="20"/>
      <c r="S1626" s="20"/>
      <c r="T1626" s="20"/>
      <c r="U1626" s="20"/>
      <c r="V1626" s="20"/>
      <c r="W1626" s="20"/>
      <c r="X1626" s="20"/>
      <c r="Y1626" s="22"/>
      <c r="Z1626" s="22"/>
      <c r="AA1626" s="20"/>
      <c r="AB1626" s="20"/>
      <c r="AC1626" s="20"/>
      <c r="AD1626" s="20"/>
      <c r="AE1626" s="20"/>
      <c r="AF1626" s="20"/>
      <c r="AG1626" s="20"/>
      <c r="AH1626" s="20"/>
      <c r="AI1626" s="20"/>
      <c r="AJ1626" s="20"/>
      <c r="AK1626" s="20"/>
      <c r="AL1626" s="20"/>
      <c r="AM1626" s="20"/>
      <c r="AN1626" s="20"/>
      <c r="AS1626" s="11"/>
      <c r="AT1626" s="12"/>
    </row>
    <row r="1627" ht="14.25" customHeight="1">
      <c r="A1627" s="20"/>
      <c r="B1627" s="20"/>
      <c r="C1627" s="20"/>
      <c r="D1627" s="21"/>
      <c r="E1627" s="20"/>
      <c r="F1627" s="20"/>
      <c r="G1627" s="20"/>
      <c r="H1627" s="20"/>
      <c r="K1627" s="10"/>
      <c r="M1627" s="20"/>
      <c r="N1627" s="20"/>
      <c r="O1627" s="20"/>
      <c r="P1627" s="20"/>
      <c r="Q1627" s="20"/>
      <c r="R1627" s="20"/>
      <c r="S1627" s="20"/>
      <c r="T1627" s="20"/>
      <c r="U1627" s="20"/>
      <c r="V1627" s="20"/>
      <c r="W1627" s="20"/>
      <c r="X1627" s="20"/>
      <c r="Y1627" s="22"/>
      <c r="Z1627" s="22"/>
      <c r="AA1627" s="20"/>
      <c r="AB1627" s="20"/>
      <c r="AC1627" s="20"/>
      <c r="AD1627" s="20"/>
      <c r="AE1627" s="20"/>
      <c r="AF1627" s="20"/>
      <c r="AG1627" s="20"/>
      <c r="AH1627" s="20"/>
      <c r="AI1627" s="20"/>
      <c r="AJ1627" s="20"/>
      <c r="AK1627" s="20"/>
      <c r="AL1627" s="20"/>
      <c r="AM1627" s="20"/>
      <c r="AN1627" s="20"/>
      <c r="AS1627" s="11"/>
      <c r="AT1627" s="12"/>
    </row>
    <row r="1628" ht="14.25" customHeight="1">
      <c r="A1628" s="20"/>
      <c r="B1628" s="20"/>
      <c r="C1628" s="20"/>
      <c r="D1628" s="21"/>
      <c r="E1628" s="20"/>
      <c r="F1628" s="20"/>
      <c r="G1628" s="20"/>
      <c r="H1628" s="20"/>
      <c r="K1628" s="10"/>
      <c r="M1628" s="20"/>
      <c r="N1628" s="20"/>
      <c r="O1628" s="20"/>
      <c r="P1628" s="20"/>
      <c r="Q1628" s="20"/>
      <c r="R1628" s="20"/>
      <c r="S1628" s="20"/>
      <c r="T1628" s="20"/>
      <c r="U1628" s="20"/>
      <c r="V1628" s="20"/>
      <c r="W1628" s="20"/>
      <c r="X1628" s="20"/>
      <c r="Y1628" s="22"/>
      <c r="Z1628" s="22"/>
      <c r="AA1628" s="20"/>
      <c r="AB1628" s="20"/>
      <c r="AC1628" s="20"/>
      <c r="AD1628" s="20"/>
      <c r="AE1628" s="20"/>
      <c r="AF1628" s="20"/>
      <c r="AG1628" s="20"/>
      <c r="AH1628" s="20"/>
      <c r="AI1628" s="20"/>
      <c r="AJ1628" s="20"/>
      <c r="AK1628" s="20"/>
      <c r="AL1628" s="20"/>
      <c r="AM1628" s="20"/>
      <c r="AN1628" s="20"/>
      <c r="AS1628" s="11"/>
      <c r="AT1628" s="12"/>
    </row>
    <row r="1629" ht="14.25" customHeight="1">
      <c r="A1629" s="20"/>
      <c r="B1629" s="20"/>
      <c r="C1629" s="20"/>
      <c r="D1629" s="21"/>
      <c r="E1629" s="20"/>
      <c r="F1629" s="20"/>
      <c r="G1629" s="20"/>
      <c r="H1629" s="20"/>
      <c r="K1629" s="10"/>
      <c r="M1629" s="20"/>
      <c r="N1629" s="20"/>
      <c r="O1629" s="20"/>
      <c r="P1629" s="20"/>
      <c r="Q1629" s="20"/>
      <c r="R1629" s="20"/>
      <c r="S1629" s="20"/>
      <c r="T1629" s="20"/>
      <c r="U1629" s="20"/>
      <c r="V1629" s="20"/>
      <c r="W1629" s="20"/>
      <c r="X1629" s="20"/>
      <c r="Y1629" s="22"/>
      <c r="Z1629" s="22"/>
      <c r="AA1629" s="20"/>
      <c r="AB1629" s="20"/>
      <c r="AC1629" s="20"/>
      <c r="AD1629" s="20"/>
      <c r="AE1629" s="20"/>
      <c r="AF1629" s="20"/>
      <c r="AG1629" s="20"/>
      <c r="AH1629" s="20"/>
      <c r="AI1629" s="20"/>
      <c r="AJ1629" s="20"/>
      <c r="AK1629" s="20"/>
      <c r="AL1629" s="20"/>
      <c r="AM1629" s="20"/>
      <c r="AN1629" s="20"/>
      <c r="AS1629" s="11"/>
      <c r="AT1629" s="12"/>
    </row>
    <row r="1630" ht="14.25" customHeight="1">
      <c r="A1630" s="20"/>
      <c r="B1630" s="20"/>
      <c r="C1630" s="20"/>
      <c r="D1630" s="21"/>
      <c r="E1630" s="20"/>
      <c r="F1630" s="20"/>
      <c r="G1630" s="20"/>
      <c r="H1630" s="20"/>
      <c r="K1630" s="10"/>
      <c r="M1630" s="20"/>
      <c r="N1630" s="20"/>
      <c r="O1630" s="20"/>
      <c r="P1630" s="20"/>
      <c r="Q1630" s="20"/>
      <c r="R1630" s="20"/>
      <c r="S1630" s="20"/>
      <c r="T1630" s="20"/>
      <c r="U1630" s="20"/>
      <c r="V1630" s="20"/>
      <c r="W1630" s="20"/>
      <c r="X1630" s="20"/>
      <c r="Y1630" s="22"/>
      <c r="Z1630" s="22"/>
      <c r="AA1630" s="20"/>
      <c r="AB1630" s="20"/>
      <c r="AC1630" s="20"/>
      <c r="AD1630" s="20"/>
      <c r="AE1630" s="20"/>
      <c r="AF1630" s="20"/>
      <c r="AG1630" s="20"/>
      <c r="AH1630" s="20"/>
      <c r="AI1630" s="20"/>
      <c r="AJ1630" s="20"/>
      <c r="AK1630" s="20"/>
      <c r="AL1630" s="20"/>
      <c r="AM1630" s="20"/>
      <c r="AN1630" s="20"/>
      <c r="AS1630" s="11"/>
      <c r="AT1630" s="12"/>
    </row>
    <row r="1631" ht="14.25" customHeight="1">
      <c r="A1631" s="20"/>
      <c r="B1631" s="20"/>
      <c r="C1631" s="20"/>
      <c r="D1631" s="21"/>
      <c r="E1631" s="20"/>
      <c r="F1631" s="20"/>
      <c r="G1631" s="20"/>
      <c r="H1631" s="20"/>
      <c r="K1631" s="10"/>
      <c r="M1631" s="20"/>
      <c r="N1631" s="20"/>
      <c r="O1631" s="20"/>
      <c r="P1631" s="20"/>
      <c r="Q1631" s="20"/>
      <c r="R1631" s="20"/>
      <c r="S1631" s="20"/>
      <c r="T1631" s="20"/>
      <c r="U1631" s="20"/>
      <c r="V1631" s="20"/>
      <c r="W1631" s="20"/>
      <c r="X1631" s="20"/>
      <c r="Y1631" s="22"/>
      <c r="Z1631" s="22"/>
      <c r="AA1631" s="20"/>
      <c r="AB1631" s="20"/>
      <c r="AC1631" s="20"/>
      <c r="AD1631" s="20"/>
      <c r="AE1631" s="20"/>
      <c r="AF1631" s="20"/>
      <c r="AG1631" s="20"/>
      <c r="AH1631" s="20"/>
      <c r="AI1631" s="20"/>
      <c r="AJ1631" s="20"/>
      <c r="AK1631" s="20"/>
      <c r="AL1631" s="20"/>
      <c r="AM1631" s="20"/>
      <c r="AN1631" s="20"/>
      <c r="AS1631" s="11"/>
      <c r="AT1631" s="12"/>
    </row>
    <row r="1632" ht="14.25" customHeight="1">
      <c r="A1632" s="20"/>
      <c r="B1632" s="20"/>
      <c r="C1632" s="20"/>
      <c r="D1632" s="21"/>
      <c r="E1632" s="20"/>
      <c r="F1632" s="20"/>
      <c r="G1632" s="20"/>
      <c r="H1632" s="20"/>
      <c r="K1632" s="1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0"/>
      <c r="W1632" s="20"/>
      <c r="X1632" s="20"/>
      <c r="Y1632" s="22"/>
      <c r="Z1632" s="22"/>
      <c r="AA1632" s="20"/>
      <c r="AB1632" s="20"/>
      <c r="AC1632" s="20"/>
      <c r="AD1632" s="20"/>
      <c r="AE1632" s="20"/>
      <c r="AF1632" s="20"/>
      <c r="AG1632" s="20"/>
      <c r="AH1632" s="20"/>
      <c r="AI1632" s="20"/>
      <c r="AJ1632" s="20"/>
      <c r="AK1632" s="20"/>
      <c r="AL1632" s="20"/>
      <c r="AM1632" s="20"/>
      <c r="AN1632" s="20"/>
      <c r="AS1632" s="11"/>
      <c r="AT1632" s="12"/>
    </row>
    <row r="1633" ht="14.25" customHeight="1">
      <c r="A1633" s="20"/>
      <c r="B1633" s="20"/>
      <c r="C1633" s="20"/>
      <c r="D1633" s="21"/>
      <c r="E1633" s="20"/>
      <c r="F1633" s="20"/>
      <c r="G1633" s="20"/>
      <c r="H1633" s="20"/>
      <c r="K1633" s="10"/>
      <c r="M1633" s="20"/>
      <c r="N1633" s="20"/>
      <c r="O1633" s="20"/>
      <c r="P1633" s="20"/>
      <c r="Q1633" s="20"/>
      <c r="R1633" s="20"/>
      <c r="S1633" s="20"/>
      <c r="T1633" s="20"/>
      <c r="U1633" s="20"/>
      <c r="V1633" s="20"/>
      <c r="W1633" s="20"/>
      <c r="X1633" s="20"/>
      <c r="Y1633" s="22"/>
      <c r="Z1633" s="22"/>
      <c r="AA1633" s="20"/>
      <c r="AB1633" s="20"/>
      <c r="AC1633" s="20"/>
      <c r="AD1633" s="20"/>
      <c r="AE1633" s="20"/>
      <c r="AF1633" s="20"/>
      <c r="AG1633" s="20"/>
      <c r="AH1633" s="20"/>
      <c r="AI1633" s="20"/>
      <c r="AJ1633" s="20"/>
      <c r="AK1633" s="20"/>
      <c r="AL1633" s="20"/>
      <c r="AM1633" s="20"/>
      <c r="AN1633" s="20"/>
      <c r="AS1633" s="11"/>
      <c r="AT1633" s="12"/>
    </row>
    <row r="1634" ht="14.25" customHeight="1">
      <c r="A1634" s="20"/>
      <c r="B1634" s="20"/>
      <c r="C1634" s="20"/>
      <c r="D1634" s="21"/>
      <c r="E1634" s="20"/>
      <c r="F1634" s="20"/>
      <c r="G1634" s="20"/>
      <c r="H1634" s="20"/>
      <c r="K1634" s="10"/>
      <c r="M1634" s="20"/>
      <c r="N1634" s="20"/>
      <c r="O1634" s="20"/>
      <c r="P1634" s="20"/>
      <c r="Q1634" s="20"/>
      <c r="R1634" s="20"/>
      <c r="S1634" s="20"/>
      <c r="T1634" s="20"/>
      <c r="U1634" s="20"/>
      <c r="V1634" s="20"/>
      <c r="W1634" s="20"/>
      <c r="X1634" s="20"/>
      <c r="Y1634" s="22"/>
      <c r="Z1634" s="22"/>
      <c r="AA1634" s="20"/>
      <c r="AB1634" s="20"/>
      <c r="AC1634" s="20"/>
      <c r="AD1634" s="20"/>
      <c r="AE1634" s="20"/>
      <c r="AF1634" s="20"/>
      <c r="AG1634" s="20"/>
      <c r="AH1634" s="20"/>
      <c r="AI1634" s="20"/>
      <c r="AJ1634" s="20"/>
      <c r="AK1634" s="20"/>
      <c r="AL1634" s="20"/>
      <c r="AM1634" s="20"/>
      <c r="AN1634" s="20"/>
      <c r="AS1634" s="11"/>
      <c r="AT1634" s="12"/>
    </row>
    <row r="1635" ht="14.25" customHeight="1">
      <c r="A1635" s="20"/>
      <c r="B1635" s="20"/>
      <c r="C1635" s="20"/>
      <c r="D1635" s="21"/>
      <c r="E1635" s="20"/>
      <c r="F1635" s="20"/>
      <c r="G1635" s="20"/>
      <c r="H1635" s="20"/>
      <c r="K1635" s="10"/>
      <c r="M1635" s="20"/>
      <c r="N1635" s="20"/>
      <c r="O1635" s="20"/>
      <c r="P1635" s="20"/>
      <c r="Q1635" s="20"/>
      <c r="R1635" s="20"/>
      <c r="S1635" s="20"/>
      <c r="T1635" s="20"/>
      <c r="U1635" s="20"/>
      <c r="V1635" s="20"/>
      <c r="W1635" s="20"/>
      <c r="X1635" s="20"/>
      <c r="Y1635" s="22"/>
      <c r="Z1635" s="22"/>
      <c r="AA1635" s="20"/>
      <c r="AB1635" s="20"/>
      <c r="AC1635" s="20"/>
      <c r="AD1635" s="20"/>
      <c r="AE1635" s="20"/>
      <c r="AF1635" s="20"/>
      <c r="AG1635" s="20"/>
      <c r="AH1635" s="20"/>
      <c r="AI1635" s="20"/>
      <c r="AJ1635" s="20"/>
      <c r="AK1635" s="20"/>
      <c r="AL1635" s="20"/>
      <c r="AM1635" s="20"/>
      <c r="AN1635" s="20"/>
      <c r="AS1635" s="11"/>
      <c r="AT1635" s="12"/>
    </row>
    <row r="1636" ht="14.25" customHeight="1">
      <c r="A1636" s="20"/>
      <c r="B1636" s="20"/>
      <c r="C1636" s="20"/>
      <c r="D1636" s="21"/>
      <c r="E1636" s="20"/>
      <c r="F1636" s="20"/>
      <c r="G1636" s="20"/>
      <c r="H1636" s="20"/>
      <c r="K1636" s="10"/>
      <c r="M1636" s="20"/>
      <c r="N1636" s="20"/>
      <c r="O1636" s="20"/>
      <c r="P1636" s="20"/>
      <c r="Q1636" s="20"/>
      <c r="R1636" s="20"/>
      <c r="S1636" s="20"/>
      <c r="T1636" s="20"/>
      <c r="U1636" s="20"/>
      <c r="V1636" s="20"/>
      <c r="W1636" s="20"/>
      <c r="X1636" s="20"/>
      <c r="Y1636" s="22"/>
      <c r="Z1636" s="22"/>
      <c r="AA1636" s="20"/>
      <c r="AB1636" s="20"/>
      <c r="AC1636" s="20"/>
      <c r="AD1636" s="20"/>
      <c r="AE1636" s="20"/>
      <c r="AF1636" s="20"/>
      <c r="AG1636" s="20"/>
      <c r="AH1636" s="20"/>
      <c r="AI1636" s="20"/>
      <c r="AJ1636" s="20"/>
      <c r="AK1636" s="20"/>
      <c r="AL1636" s="20"/>
      <c r="AM1636" s="20"/>
      <c r="AN1636" s="20"/>
      <c r="AS1636" s="11"/>
      <c r="AT1636" s="12"/>
    </row>
    <row r="1637" ht="14.25" customHeight="1">
      <c r="A1637" s="20"/>
      <c r="B1637" s="20"/>
      <c r="C1637" s="20"/>
      <c r="D1637" s="21"/>
      <c r="E1637" s="20"/>
      <c r="F1637" s="20"/>
      <c r="G1637" s="20"/>
      <c r="H1637" s="20"/>
      <c r="K1637" s="10"/>
      <c r="M1637" s="20"/>
      <c r="N1637" s="20"/>
      <c r="O1637" s="20"/>
      <c r="P1637" s="20"/>
      <c r="Q1637" s="20"/>
      <c r="R1637" s="20"/>
      <c r="S1637" s="20"/>
      <c r="T1637" s="20"/>
      <c r="U1637" s="20"/>
      <c r="V1637" s="20"/>
      <c r="W1637" s="20"/>
      <c r="X1637" s="20"/>
      <c r="Y1637" s="22"/>
      <c r="Z1637" s="22"/>
      <c r="AA1637" s="20"/>
      <c r="AB1637" s="20"/>
      <c r="AC1637" s="20"/>
      <c r="AD1637" s="20"/>
      <c r="AE1637" s="20"/>
      <c r="AF1637" s="20"/>
      <c r="AG1637" s="20"/>
      <c r="AH1637" s="20"/>
      <c r="AI1637" s="20"/>
      <c r="AJ1637" s="20"/>
      <c r="AK1637" s="20"/>
      <c r="AL1637" s="20"/>
      <c r="AM1637" s="20"/>
      <c r="AN1637" s="20"/>
      <c r="AS1637" s="11"/>
      <c r="AT1637" s="12"/>
    </row>
    <row r="1638" ht="14.25" customHeight="1">
      <c r="A1638" s="20"/>
      <c r="B1638" s="20"/>
      <c r="C1638" s="20"/>
      <c r="D1638" s="21"/>
      <c r="E1638" s="20"/>
      <c r="F1638" s="20"/>
      <c r="G1638" s="20"/>
      <c r="H1638" s="20"/>
      <c r="K1638" s="10"/>
      <c r="M1638" s="20"/>
      <c r="N1638" s="20"/>
      <c r="O1638" s="20"/>
      <c r="P1638" s="20"/>
      <c r="Q1638" s="20"/>
      <c r="R1638" s="20"/>
      <c r="S1638" s="20"/>
      <c r="T1638" s="20"/>
      <c r="U1638" s="20"/>
      <c r="V1638" s="20"/>
      <c r="W1638" s="20"/>
      <c r="X1638" s="20"/>
      <c r="Y1638" s="22"/>
      <c r="Z1638" s="22"/>
      <c r="AA1638" s="20"/>
      <c r="AB1638" s="20"/>
      <c r="AC1638" s="20"/>
      <c r="AD1638" s="20"/>
      <c r="AE1638" s="20"/>
      <c r="AF1638" s="20"/>
      <c r="AG1638" s="20"/>
      <c r="AH1638" s="20"/>
      <c r="AI1638" s="20"/>
      <c r="AJ1638" s="20"/>
      <c r="AK1638" s="20"/>
      <c r="AL1638" s="20"/>
      <c r="AM1638" s="20"/>
      <c r="AN1638" s="20"/>
      <c r="AS1638" s="11"/>
      <c r="AT1638" s="12"/>
    </row>
    <row r="1639" ht="14.25" customHeight="1">
      <c r="A1639" s="20"/>
      <c r="B1639" s="20"/>
      <c r="C1639" s="20"/>
      <c r="D1639" s="21"/>
      <c r="E1639" s="20"/>
      <c r="F1639" s="20"/>
      <c r="G1639" s="20"/>
      <c r="H1639" s="20"/>
      <c r="K1639" s="10"/>
      <c r="M1639" s="20"/>
      <c r="N1639" s="20"/>
      <c r="O1639" s="20"/>
      <c r="P1639" s="20"/>
      <c r="Q1639" s="20"/>
      <c r="R1639" s="20"/>
      <c r="S1639" s="20"/>
      <c r="T1639" s="20"/>
      <c r="U1639" s="20"/>
      <c r="V1639" s="20"/>
      <c r="W1639" s="20"/>
      <c r="X1639" s="20"/>
      <c r="Y1639" s="22"/>
      <c r="Z1639" s="22"/>
      <c r="AA1639" s="20"/>
      <c r="AB1639" s="20"/>
      <c r="AC1639" s="20"/>
      <c r="AD1639" s="20"/>
      <c r="AE1639" s="20"/>
      <c r="AF1639" s="20"/>
      <c r="AG1639" s="20"/>
      <c r="AH1639" s="20"/>
      <c r="AI1639" s="20"/>
      <c r="AJ1639" s="20"/>
      <c r="AK1639" s="20"/>
      <c r="AL1639" s="20"/>
      <c r="AM1639" s="20"/>
      <c r="AN1639" s="20"/>
      <c r="AS1639" s="11"/>
      <c r="AT1639" s="12"/>
    </row>
    <row r="1640" ht="14.25" customHeight="1">
      <c r="A1640" s="20"/>
      <c r="B1640" s="20"/>
      <c r="C1640" s="20"/>
      <c r="D1640" s="21"/>
      <c r="E1640" s="20"/>
      <c r="F1640" s="20"/>
      <c r="G1640" s="20"/>
      <c r="H1640" s="20"/>
      <c r="K1640" s="10"/>
      <c r="M1640" s="20"/>
      <c r="N1640" s="20"/>
      <c r="O1640" s="20"/>
      <c r="P1640" s="20"/>
      <c r="Q1640" s="20"/>
      <c r="R1640" s="20"/>
      <c r="S1640" s="20"/>
      <c r="T1640" s="20"/>
      <c r="U1640" s="20"/>
      <c r="V1640" s="20"/>
      <c r="W1640" s="20"/>
      <c r="X1640" s="20"/>
      <c r="Y1640" s="22"/>
      <c r="Z1640" s="22"/>
      <c r="AA1640" s="20"/>
      <c r="AB1640" s="20"/>
      <c r="AC1640" s="20"/>
      <c r="AD1640" s="20"/>
      <c r="AE1640" s="20"/>
      <c r="AF1640" s="20"/>
      <c r="AG1640" s="20"/>
      <c r="AH1640" s="20"/>
      <c r="AI1640" s="20"/>
      <c r="AJ1640" s="20"/>
      <c r="AK1640" s="20"/>
      <c r="AL1640" s="20"/>
      <c r="AM1640" s="20"/>
      <c r="AN1640" s="20"/>
      <c r="AS1640" s="11"/>
      <c r="AT1640" s="12"/>
    </row>
    <row r="1641" ht="14.25" customHeight="1">
      <c r="A1641" s="20"/>
      <c r="B1641" s="20"/>
      <c r="C1641" s="20"/>
      <c r="D1641" s="21"/>
      <c r="E1641" s="20"/>
      <c r="F1641" s="20"/>
      <c r="G1641" s="20"/>
      <c r="H1641" s="20"/>
      <c r="K1641" s="10"/>
      <c r="M1641" s="20"/>
      <c r="N1641" s="20"/>
      <c r="O1641" s="20"/>
      <c r="P1641" s="20"/>
      <c r="Q1641" s="20"/>
      <c r="R1641" s="20"/>
      <c r="S1641" s="20"/>
      <c r="T1641" s="20"/>
      <c r="U1641" s="20"/>
      <c r="V1641" s="20"/>
      <c r="W1641" s="20"/>
      <c r="X1641" s="20"/>
      <c r="Y1641" s="22"/>
      <c r="Z1641" s="22"/>
      <c r="AA1641" s="20"/>
      <c r="AB1641" s="20"/>
      <c r="AC1641" s="20"/>
      <c r="AD1641" s="20"/>
      <c r="AE1641" s="20"/>
      <c r="AF1641" s="20"/>
      <c r="AG1641" s="20"/>
      <c r="AH1641" s="20"/>
      <c r="AI1641" s="20"/>
      <c r="AJ1641" s="20"/>
      <c r="AK1641" s="20"/>
      <c r="AL1641" s="20"/>
      <c r="AM1641" s="20"/>
      <c r="AN1641" s="20"/>
      <c r="AS1641" s="11"/>
      <c r="AT1641" s="12"/>
    </row>
    <row r="1642" ht="14.25" customHeight="1">
      <c r="A1642" s="20"/>
      <c r="B1642" s="20"/>
      <c r="C1642" s="20"/>
      <c r="D1642" s="21"/>
      <c r="E1642" s="20"/>
      <c r="F1642" s="20"/>
      <c r="G1642" s="20"/>
      <c r="H1642" s="20"/>
      <c r="K1642" s="10"/>
      <c r="M1642" s="20"/>
      <c r="N1642" s="20"/>
      <c r="O1642" s="20"/>
      <c r="P1642" s="20"/>
      <c r="Q1642" s="20"/>
      <c r="R1642" s="20"/>
      <c r="S1642" s="20"/>
      <c r="T1642" s="20"/>
      <c r="U1642" s="20"/>
      <c r="V1642" s="20"/>
      <c r="W1642" s="20"/>
      <c r="X1642" s="20"/>
      <c r="Y1642" s="22"/>
      <c r="Z1642" s="22"/>
      <c r="AA1642" s="20"/>
      <c r="AB1642" s="20"/>
      <c r="AC1642" s="20"/>
      <c r="AD1642" s="20"/>
      <c r="AE1642" s="20"/>
      <c r="AF1642" s="20"/>
      <c r="AG1642" s="20"/>
      <c r="AH1642" s="20"/>
      <c r="AI1642" s="20"/>
      <c r="AJ1642" s="20"/>
      <c r="AK1642" s="20"/>
      <c r="AL1642" s="20"/>
      <c r="AM1642" s="20"/>
      <c r="AN1642" s="20"/>
      <c r="AS1642" s="11"/>
      <c r="AT1642" s="12"/>
    </row>
    <row r="1643" ht="14.25" customHeight="1">
      <c r="A1643" s="20"/>
      <c r="B1643" s="20"/>
      <c r="C1643" s="20"/>
      <c r="D1643" s="21"/>
      <c r="E1643" s="20"/>
      <c r="F1643" s="20"/>
      <c r="G1643" s="20"/>
      <c r="H1643" s="20"/>
      <c r="K1643" s="10"/>
      <c r="M1643" s="20"/>
      <c r="N1643" s="20"/>
      <c r="O1643" s="20"/>
      <c r="P1643" s="20"/>
      <c r="Q1643" s="20"/>
      <c r="R1643" s="20"/>
      <c r="S1643" s="20"/>
      <c r="T1643" s="20"/>
      <c r="U1643" s="20"/>
      <c r="V1643" s="20"/>
      <c r="W1643" s="20"/>
      <c r="X1643" s="20"/>
      <c r="Y1643" s="22"/>
      <c r="Z1643" s="22"/>
      <c r="AA1643" s="20"/>
      <c r="AB1643" s="20"/>
      <c r="AC1643" s="20"/>
      <c r="AD1643" s="20"/>
      <c r="AE1643" s="20"/>
      <c r="AF1643" s="20"/>
      <c r="AG1643" s="20"/>
      <c r="AH1643" s="20"/>
      <c r="AI1643" s="20"/>
      <c r="AJ1643" s="20"/>
      <c r="AK1643" s="20"/>
      <c r="AL1643" s="20"/>
      <c r="AM1643" s="20"/>
      <c r="AN1643" s="20"/>
      <c r="AS1643" s="11"/>
      <c r="AT1643" s="12"/>
    </row>
    <row r="1644" ht="14.25" customHeight="1">
      <c r="A1644" s="20"/>
      <c r="B1644" s="20"/>
      <c r="C1644" s="20"/>
      <c r="D1644" s="21"/>
      <c r="E1644" s="20"/>
      <c r="F1644" s="20"/>
      <c r="G1644" s="20"/>
      <c r="H1644" s="20"/>
      <c r="K1644" s="10"/>
      <c r="M1644" s="20"/>
      <c r="N1644" s="20"/>
      <c r="O1644" s="20"/>
      <c r="P1644" s="20"/>
      <c r="Q1644" s="20"/>
      <c r="R1644" s="20"/>
      <c r="S1644" s="20"/>
      <c r="T1644" s="20"/>
      <c r="U1644" s="20"/>
      <c r="V1644" s="20"/>
      <c r="W1644" s="20"/>
      <c r="X1644" s="20"/>
      <c r="Y1644" s="22"/>
      <c r="Z1644" s="22"/>
      <c r="AA1644" s="20"/>
      <c r="AB1644" s="20"/>
      <c r="AC1644" s="20"/>
      <c r="AD1644" s="20"/>
      <c r="AE1644" s="20"/>
      <c r="AF1644" s="20"/>
      <c r="AG1644" s="20"/>
      <c r="AH1644" s="20"/>
      <c r="AI1644" s="20"/>
      <c r="AJ1644" s="20"/>
      <c r="AK1644" s="20"/>
      <c r="AL1644" s="20"/>
      <c r="AM1644" s="20"/>
      <c r="AN1644" s="20"/>
      <c r="AS1644" s="11"/>
      <c r="AT1644" s="12"/>
    </row>
    <row r="1645" ht="14.25" customHeight="1">
      <c r="A1645" s="20"/>
      <c r="B1645" s="20"/>
      <c r="C1645" s="20"/>
      <c r="D1645" s="21"/>
      <c r="E1645" s="20"/>
      <c r="F1645" s="20"/>
      <c r="G1645" s="20"/>
      <c r="H1645" s="20"/>
      <c r="K1645" s="10"/>
      <c r="M1645" s="20"/>
      <c r="N1645" s="20"/>
      <c r="O1645" s="20"/>
      <c r="P1645" s="20"/>
      <c r="Q1645" s="20"/>
      <c r="R1645" s="20"/>
      <c r="S1645" s="20"/>
      <c r="T1645" s="20"/>
      <c r="U1645" s="20"/>
      <c r="V1645" s="20"/>
      <c r="W1645" s="20"/>
      <c r="X1645" s="20"/>
      <c r="Y1645" s="22"/>
      <c r="Z1645" s="22"/>
      <c r="AA1645" s="20"/>
      <c r="AB1645" s="20"/>
      <c r="AC1645" s="20"/>
      <c r="AD1645" s="20"/>
      <c r="AE1645" s="20"/>
      <c r="AF1645" s="20"/>
      <c r="AG1645" s="20"/>
      <c r="AH1645" s="20"/>
      <c r="AI1645" s="20"/>
      <c r="AJ1645" s="20"/>
      <c r="AK1645" s="20"/>
      <c r="AL1645" s="20"/>
      <c r="AM1645" s="20"/>
      <c r="AN1645" s="20"/>
      <c r="AS1645" s="11"/>
      <c r="AT1645" s="12"/>
    </row>
    <row r="1646" ht="14.25" customHeight="1">
      <c r="A1646" s="20"/>
      <c r="B1646" s="20"/>
      <c r="C1646" s="20"/>
      <c r="D1646" s="21"/>
      <c r="E1646" s="20"/>
      <c r="F1646" s="20"/>
      <c r="G1646" s="20"/>
      <c r="H1646" s="20"/>
      <c r="K1646" s="10"/>
      <c r="M1646" s="20"/>
      <c r="N1646" s="20"/>
      <c r="O1646" s="20"/>
      <c r="P1646" s="20"/>
      <c r="Q1646" s="20"/>
      <c r="R1646" s="20"/>
      <c r="S1646" s="20"/>
      <c r="T1646" s="20"/>
      <c r="U1646" s="20"/>
      <c r="V1646" s="20"/>
      <c r="W1646" s="20"/>
      <c r="X1646" s="20"/>
      <c r="Y1646" s="22"/>
      <c r="Z1646" s="22"/>
      <c r="AA1646" s="20"/>
      <c r="AB1646" s="20"/>
      <c r="AC1646" s="20"/>
      <c r="AD1646" s="20"/>
      <c r="AE1646" s="20"/>
      <c r="AF1646" s="20"/>
      <c r="AG1646" s="20"/>
      <c r="AH1646" s="20"/>
      <c r="AI1646" s="20"/>
      <c r="AJ1646" s="20"/>
      <c r="AK1646" s="20"/>
      <c r="AL1646" s="20"/>
      <c r="AM1646" s="20"/>
      <c r="AN1646" s="20"/>
      <c r="AS1646" s="11"/>
      <c r="AT1646" s="12"/>
    </row>
    <row r="1647" ht="14.25" customHeight="1">
      <c r="A1647" s="20"/>
      <c r="B1647" s="20"/>
      <c r="C1647" s="20"/>
      <c r="D1647" s="21"/>
      <c r="E1647" s="20"/>
      <c r="F1647" s="20"/>
      <c r="G1647" s="20"/>
      <c r="H1647" s="20"/>
      <c r="K1647" s="10"/>
      <c r="M1647" s="20"/>
      <c r="N1647" s="20"/>
      <c r="O1647" s="20"/>
      <c r="P1647" s="20"/>
      <c r="Q1647" s="20"/>
      <c r="R1647" s="20"/>
      <c r="S1647" s="20"/>
      <c r="T1647" s="20"/>
      <c r="U1647" s="20"/>
      <c r="V1647" s="20"/>
      <c r="W1647" s="20"/>
      <c r="X1647" s="20"/>
      <c r="Y1647" s="22"/>
      <c r="Z1647" s="22"/>
      <c r="AA1647" s="20"/>
      <c r="AB1647" s="20"/>
      <c r="AC1647" s="20"/>
      <c r="AD1647" s="20"/>
      <c r="AE1647" s="20"/>
      <c r="AF1647" s="20"/>
      <c r="AG1647" s="20"/>
      <c r="AH1647" s="20"/>
      <c r="AI1647" s="20"/>
      <c r="AJ1647" s="20"/>
      <c r="AK1647" s="20"/>
      <c r="AL1647" s="20"/>
      <c r="AM1647" s="20"/>
      <c r="AN1647" s="20"/>
      <c r="AS1647" s="11"/>
      <c r="AT1647" s="12"/>
    </row>
    <row r="1648" ht="14.25" customHeight="1">
      <c r="A1648" s="20"/>
      <c r="B1648" s="20"/>
      <c r="C1648" s="20"/>
      <c r="D1648" s="21"/>
      <c r="E1648" s="20"/>
      <c r="F1648" s="20"/>
      <c r="G1648" s="20"/>
      <c r="H1648" s="20"/>
      <c r="K1648" s="10"/>
      <c r="M1648" s="20"/>
      <c r="N1648" s="20"/>
      <c r="O1648" s="20"/>
      <c r="P1648" s="20"/>
      <c r="Q1648" s="20"/>
      <c r="R1648" s="20"/>
      <c r="S1648" s="20"/>
      <c r="T1648" s="20"/>
      <c r="U1648" s="20"/>
      <c r="V1648" s="20"/>
      <c r="W1648" s="20"/>
      <c r="X1648" s="20"/>
      <c r="Y1648" s="22"/>
      <c r="Z1648" s="22"/>
      <c r="AA1648" s="20"/>
      <c r="AB1648" s="20"/>
      <c r="AC1648" s="20"/>
      <c r="AD1648" s="20"/>
      <c r="AE1648" s="20"/>
      <c r="AF1648" s="20"/>
      <c r="AG1648" s="20"/>
      <c r="AH1648" s="20"/>
      <c r="AI1648" s="20"/>
      <c r="AJ1648" s="20"/>
      <c r="AK1648" s="20"/>
      <c r="AL1648" s="20"/>
      <c r="AM1648" s="20"/>
      <c r="AN1648" s="20"/>
      <c r="AS1648" s="11"/>
      <c r="AT1648" s="12"/>
    </row>
    <row r="1649" ht="14.25" customHeight="1">
      <c r="A1649" s="20"/>
      <c r="B1649" s="20"/>
      <c r="C1649" s="20"/>
      <c r="D1649" s="21"/>
      <c r="E1649" s="20"/>
      <c r="F1649" s="20"/>
      <c r="G1649" s="20"/>
      <c r="H1649" s="20"/>
      <c r="K1649" s="10"/>
      <c r="M1649" s="20"/>
      <c r="N1649" s="20"/>
      <c r="O1649" s="20"/>
      <c r="P1649" s="20"/>
      <c r="Q1649" s="20"/>
      <c r="R1649" s="20"/>
      <c r="S1649" s="20"/>
      <c r="T1649" s="20"/>
      <c r="U1649" s="20"/>
      <c r="V1649" s="20"/>
      <c r="W1649" s="20"/>
      <c r="X1649" s="20"/>
      <c r="Y1649" s="22"/>
      <c r="Z1649" s="22"/>
      <c r="AA1649" s="20"/>
      <c r="AB1649" s="20"/>
      <c r="AC1649" s="20"/>
      <c r="AD1649" s="20"/>
      <c r="AE1649" s="20"/>
      <c r="AF1649" s="20"/>
      <c r="AG1649" s="20"/>
      <c r="AH1649" s="20"/>
      <c r="AI1649" s="20"/>
      <c r="AJ1649" s="20"/>
      <c r="AK1649" s="20"/>
      <c r="AL1649" s="20"/>
      <c r="AM1649" s="20"/>
      <c r="AN1649" s="20"/>
      <c r="AS1649" s="11"/>
      <c r="AT1649" s="12"/>
    </row>
    <row r="1650" ht="14.25" customHeight="1">
      <c r="A1650" s="20"/>
      <c r="B1650" s="20"/>
      <c r="C1650" s="20"/>
      <c r="D1650" s="21"/>
      <c r="E1650" s="20"/>
      <c r="F1650" s="20"/>
      <c r="G1650" s="20"/>
      <c r="H1650" s="20"/>
      <c r="K1650" s="10"/>
      <c r="M1650" s="20"/>
      <c r="N1650" s="20"/>
      <c r="O1650" s="20"/>
      <c r="P1650" s="20"/>
      <c r="Q1650" s="20"/>
      <c r="R1650" s="20"/>
      <c r="S1650" s="20"/>
      <c r="T1650" s="20"/>
      <c r="U1650" s="20"/>
      <c r="V1650" s="20"/>
      <c r="W1650" s="20"/>
      <c r="X1650" s="20"/>
      <c r="Y1650" s="22"/>
      <c r="Z1650" s="22"/>
      <c r="AA1650" s="20"/>
      <c r="AB1650" s="20"/>
      <c r="AC1650" s="20"/>
      <c r="AD1650" s="20"/>
      <c r="AE1650" s="20"/>
      <c r="AF1650" s="20"/>
      <c r="AG1650" s="20"/>
      <c r="AH1650" s="20"/>
      <c r="AI1650" s="20"/>
      <c r="AJ1650" s="20"/>
      <c r="AK1650" s="20"/>
      <c r="AL1650" s="20"/>
      <c r="AM1650" s="20"/>
      <c r="AN1650" s="20"/>
      <c r="AS1650" s="11"/>
      <c r="AT1650" s="12"/>
    </row>
    <row r="1651" ht="14.25" customHeight="1">
      <c r="A1651" s="20"/>
      <c r="B1651" s="20"/>
      <c r="C1651" s="20"/>
      <c r="D1651" s="21"/>
      <c r="E1651" s="20"/>
      <c r="F1651" s="20"/>
      <c r="G1651" s="20"/>
      <c r="H1651" s="20"/>
      <c r="K1651" s="10"/>
      <c r="M1651" s="20"/>
      <c r="N1651" s="20"/>
      <c r="O1651" s="20"/>
      <c r="P1651" s="20"/>
      <c r="Q1651" s="20"/>
      <c r="R1651" s="20"/>
      <c r="S1651" s="20"/>
      <c r="T1651" s="20"/>
      <c r="U1651" s="20"/>
      <c r="V1651" s="20"/>
      <c r="W1651" s="20"/>
      <c r="X1651" s="20"/>
      <c r="Y1651" s="22"/>
      <c r="Z1651" s="22"/>
      <c r="AA1651" s="20"/>
      <c r="AB1651" s="20"/>
      <c r="AC1651" s="20"/>
      <c r="AD1651" s="20"/>
      <c r="AE1651" s="20"/>
      <c r="AF1651" s="20"/>
      <c r="AG1651" s="20"/>
      <c r="AH1651" s="20"/>
      <c r="AI1651" s="20"/>
      <c r="AJ1651" s="20"/>
      <c r="AK1651" s="20"/>
      <c r="AL1651" s="20"/>
      <c r="AM1651" s="20"/>
      <c r="AN1651" s="20"/>
      <c r="AS1651" s="11"/>
      <c r="AT1651" s="12"/>
    </row>
    <row r="1652" ht="14.25" customHeight="1">
      <c r="A1652" s="20"/>
      <c r="B1652" s="20"/>
      <c r="C1652" s="20"/>
      <c r="D1652" s="21"/>
      <c r="E1652" s="20"/>
      <c r="F1652" s="20"/>
      <c r="G1652" s="20"/>
      <c r="H1652" s="20"/>
      <c r="K1652" s="10"/>
      <c r="M1652" s="20"/>
      <c r="N1652" s="20"/>
      <c r="O1652" s="20"/>
      <c r="P1652" s="20"/>
      <c r="Q1652" s="20"/>
      <c r="R1652" s="20"/>
      <c r="S1652" s="20"/>
      <c r="T1652" s="20"/>
      <c r="U1652" s="20"/>
      <c r="V1652" s="20"/>
      <c r="W1652" s="20"/>
      <c r="X1652" s="20"/>
      <c r="Y1652" s="22"/>
      <c r="Z1652" s="22"/>
      <c r="AA1652" s="20"/>
      <c r="AB1652" s="20"/>
      <c r="AC1652" s="20"/>
      <c r="AD1652" s="20"/>
      <c r="AE1652" s="20"/>
      <c r="AF1652" s="20"/>
      <c r="AG1652" s="20"/>
      <c r="AH1652" s="20"/>
      <c r="AI1652" s="20"/>
      <c r="AJ1652" s="20"/>
      <c r="AK1652" s="20"/>
      <c r="AL1652" s="20"/>
      <c r="AM1652" s="20"/>
      <c r="AN1652" s="20"/>
      <c r="AS1652" s="11"/>
      <c r="AT1652" s="12"/>
    </row>
    <row r="1653" ht="14.25" customHeight="1">
      <c r="A1653" s="20"/>
      <c r="B1653" s="20"/>
      <c r="C1653" s="20"/>
      <c r="D1653" s="21"/>
      <c r="E1653" s="20"/>
      <c r="F1653" s="20"/>
      <c r="G1653" s="20"/>
      <c r="H1653" s="20"/>
      <c r="K1653" s="10"/>
      <c r="M1653" s="20"/>
      <c r="N1653" s="20"/>
      <c r="O1653" s="20"/>
      <c r="P1653" s="20"/>
      <c r="Q1653" s="20"/>
      <c r="R1653" s="20"/>
      <c r="S1653" s="20"/>
      <c r="T1653" s="20"/>
      <c r="U1653" s="20"/>
      <c r="V1653" s="20"/>
      <c r="W1653" s="20"/>
      <c r="X1653" s="20"/>
      <c r="Y1653" s="22"/>
      <c r="Z1653" s="22"/>
      <c r="AA1653" s="20"/>
      <c r="AB1653" s="20"/>
      <c r="AC1653" s="20"/>
      <c r="AD1653" s="20"/>
      <c r="AE1653" s="20"/>
      <c r="AF1653" s="20"/>
      <c r="AG1653" s="20"/>
      <c r="AH1653" s="20"/>
      <c r="AI1653" s="20"/>
      <c r="AJ1653" s="20"/>
      <c r="AK1653" s="20"/>
      <c r="AL1653" s="20"/>
      <c r="AM1653" s="20"/>
      <c r="AN1653" s="20"/>
      <c r="AS1653" s="11"/>
      <c r="AT1653" s="12"/>
    </row>
    <row r="1654" ht="14.25" customHeight="1">
      <c r="A1654" s="20"/>
      <c r="B1654" s="20"/>
      <c r="C1654" s="20"/>
      <c r="D1654" s="21"/>
      <c r="E1654" s="20"/>
      <c r="F1654" s="20"/>
      <c r="G1654" s="20"/>
      <c r="H1654" s="20"/>
      <c r="K1654" s="10"/>
      <c r="M1654" s="20"/>
      <c r="N1654" s="20"/>
      <c r="O1654" s="20"/>
      <c r="P1654" s="20"/>
      <c r="Q1654" s="20"/>
      <c r="R1654" s="20"/>
      <c r="S1654" s="20"/>
      <c r="T1654" s="20"/>
      <c r="U1654" s="20"/>
      <c r="V1654" s="20"/>
      <c r="W1654" s="20"/>
      <c r="X1654" s="20"/>
      <c r="Y1654" s="22"/>
      <c r="Z1654" s="22"/>
      <c r="AA1654" s="20"/>
      <c r="AB1654" s="20"/>
      <c r="AC1654" s="20"/>
      <c r="AD1654" s="20"/>
      <c r="AE1654" s="20"/>
      <c r="AF1654" s="20"/>
      <c r="AG1654" s="20"/>
      <c r="AH1654" s="20"/>
      <c r="AI1654" s="20"/>
      <c r="AJ1654" s="20"/>
      <c r="AK1654" s="20"/>
      <c r="AL1654" s="20"/>
      <c r="AM1654" s="20"/>
      <c r="AN1654" s="20"/>
      <c r="AS1654" s="11"/>
      <c r="AT1654" s="12"/>
    </row>
    <row r="1655" ht="14.25" customHeight="1">
      <c r="A1655" s="20"/>
      <c r="B1655" s="20"/>
      <c r="C1655" s="20"/>
      <c r="D1655" s="21"/>
      <c r="E1655" s="20"/>
      <c r="F1655" s="20"/>
      <c r="G1655" s="20"/>
      <c r="H1655" s="20"/>
      <c r="K1655" s="10"/>
      <c r="M1655" s="20"/>
      <c r="N1655" s="20"/>
      <c r="O1655" s="20"/>
      <c r="P1655" s="20"/>
      <c r="Q1655" s="20"/>
      <c r="R1655" s="20"/>
      <c r="S1655" s="20"/>
      <c r="T1655" s="20"/>
      <c r="U1655" s="20"/>
      <c r="V1655" s="20"/>
      <c r="W1655" s="20"/>
      <c r="X1655" s="20"/>
      <c r="Y1655" s="22"/>
      <c r="Z1655" s="22"/>
      <c r="AA1655" s="20"/>
      <c r="AB1655" s="20"/>
      <c r="AC1655" s="20"/>
      <c r="AD1655" s="20"/>
      <c r="AE1655" s="20"/>
      <c r="AF1655" s="20"/>
      <c r="AG1655" s="20"/>
      <c r="AH1655" s="20"/>
      <c r="AI1655" s="20"/>
      <c r="AJ1655" s="20"/>
      <c r="AK1655" s="20"/>
      <c r="AL1655" s="20"/>
      <c r="AM1655" s="20"/>
      <c r="AN1655" s="20"/>
      <c r="AS1655" s="11"/>
      <c r="AT1655" s="12"/>
    </row>
    <row r="1656" ht="14.25" customHeight="1">
      <c r="A1656" s="20"/>
      <c r="B1656" s="20"/>
      <c r="C1656" s="20"/>
      <c r="D1656" s="21"/>
      <c r="E1656" s="20"/>
      <c r="F1656" s="20"/>
      <c r="G1656" s="20"/>
      <c r="H1656" s="20"/>
      <c r="K1656" s="10"/>
      <c r="M1656" s="20"/>
      <c r="N1656" s="20"/>
      <c r="O1656" s="20"/>
      <c r="P1656" s="20"/>
      <c r="Q1656" s="20"/>
      <c r="R1656" s="20"/>
      <c r="S1656" s="20"/>
      <c r="T1656" s="20"/>
      <c r="U1656" s="20"/>
      <c r="V1656" s="20"/>
      <c r="W1656" s="20"/>
      <c r="X1656" s="20"/>
      <c r="Y1656" s="22"/>
      <c r="Z1656" s="22"/>
      <c r="AA1656" s="20"/>
      <c r="AB1656" s="20"/>
      <c r="AC1656" s="20"/>
      <c r="AD1656" s="20"/>
      <c r="AE1656" s="20"/>
      <c r="AF1656" s="20"/>
      <c r="AG1656" s="20"/>
      <c r="AH1656" s="20"/>
      <c r="AI1656" s="20"/>
      <c r="AJ1656" s="20"/>
      <c r="AK1656" s="20"/>
      <c r="AL1656" s="20"/>
      <c r="AM1656" s="20"/>
      <c r="AN1656" s="20"/>
      <c r="AS1656" s="11"/>
      <c r="AT1656" s="12"/>
    </row>
    <row r="1657" ht="14.25" customHeight="1">
      <c r="A1657" s="20"/>
      <c r="B1657" s="20"/>
      <c r="C1657" s="20"/>
      <c r="D1657" s="21"/>
      <c r="E1657" s="20"/>
      <c r="F1657" s="20"/>
      <c r="G1657" s="20"/>
      <c r="H1657" s="20"/>
      <c r="K1657" s="10"/>
      <c r="M1657" s="20"/>
      <c r="N1657" s="20"/>
      <c r="O1657" s="20"/>
      <c r="P1657" s="20"/>
      <c r="Q1657" s="20"/>
      <c r="R1657" s="20"/>
      <c r="S1657" s="20"/>
      <c r="T1657" s="20"/>
      <c r="U1657" s="20"/>
      <c r="V1657" s="20"/>
      <c r="W1657" s="20"/>
      <c r="X1657" s="20"/>
      <c r="Y1657" s="22"/>
      <c r="Z1657" s="22"/>
      <c r="AA1657" s="20"/>
      <c r="AB1657" s="20"/>
      <c r="AC1657" s="20"/>
      <c r="AD1657" s="20"/>
      <c r="AE1657" s="20"/>
      <c r="AF1657" s="20"/>
      <c r="AG1657" s="20"/>
      <c r="AH1657" s="20"/>
      <c r="AI1657" s="20"/>
      <c r="AJ1657" s="20"/>
      <c r="AK1657" s="20"/>
      <c r="AL1657" s="20"/>
      <c r="AM1657" s="20"/>
      <c r="AN1657" s="20"/>
      <c r="AS1657" s="11"/>
      <c r="AT1657" s="12"/>
    </row>
    <row r="1658" ht="14.25" customHeight="1">
      <c r="A1658" s="20"/>
      <c r="B1658" s="20"/>
      <c r="C1658" s="20"/>
      <c r="D1658" s="21"/>
      <c r="E1658" s="20"/>
      <c r="F1658" s="20"/>
      <c r="G1658" s="20"/>
      <c r="H1658" s="20"/>
      <c r="K1658" s="10"/>
      <c r="M1658" s="20"/>
      <c r="N1658" s="20"/>
      <c r="O1658" s="20"/>
      <c r="P1658" s="20"/>
      <c r="Q1658" s="20"/>
      <c r="R1658" s="20"/>
      <c r="S1658" s="20"/>
      <c r="T1658" s="20"/>
      <c r="U1658" s="20"/>
      <c r="V1658" s="20"/>
      <c r="W1658" s="20"/>
      <c r="X1658" s="20"/>
      <c r="Y1658" s="22"/>
      <c r="Z1658" s="22"/>
      <c r="AA1658" s="20"/>
      <c r="AB1658" s="20"/>
      <c r="AC1658" s="20"/>
      <c r="AD1658" s="20"/>
      <c r="AE1658" s="20"/>
      <c r="AF1658" s="20"/>
      <c r="AG1658" s="20"/>
      <c r="AH1658" s="20"/>
      <c r="AI1658" s="20"/>
      <c r="AJ1658" s="20"/>
      <c r="AK1658" s="20"/>
      <c r="AL1658" s="20"/>
      <c r="AM1658" s="20"/>
      <c r="AN1658" s="20"/>
      <c r="AS1658" s="11"/>
      <c r="AT1658" s="12"/>
    </row>
    <row r="1659" ht="14.25" customHeight="1">
      <c r="A1659" s="20"/>
      <c r="B1659" s="20"/>
      <c r="C1659" s="20"/>
      <c r="D1659" s="21"/>
      <c r="E1659" s="20"/>
      <c r="F1659" s="20"/>
      <c r="G1659" s="20"/>
      <c r="H1659" s="20"/>
      <c r="K1659" s="10"/>
      <c r="M1659" s="20"/>
      <c r="N1659" s="20"/>
      <c r="O1659" s="20"/>
      <c r="P1659" s="20"/>
      <c r="Q1659" s="20"/>
      <c r="R1659" s="20"/>
      <c r="S1659" s="20"/>
      <c r="T1659" s="20"/>
      <c r="U1659" s="20"/>
      <c r="V1659" s="20"/>
      <c r="W1659" s="20"/>
      <c r="X1659" s="20"/>
      <c r="Y1659" s="22"/>
      <c r="Z1659" s="22"/>
      <c r="AA1659" s="20"/>
      <c r="AB1659" s="20"/>
      <c r="AC1659" s="20"/>
      <c r="AD1659" s="20"/>
      <c r="AE1659" s="20"/>
      <c r="AF1659" s="20"/>
      <c r="AG1659" s="20"/>
      <c r="AH1659" s="20"/>
      <c r="AI1659" s="20"/>
      <c r="AJ1659" s="20"/>
      <c r="AK1659" s="20"/>
      <c r="AL1659" s="20"/>
      <c r="AM1659" s="20"/>
      <c r="AN1659" s="20"/>
      <c r="AS1659" s="11"/>
      <c r="AT1659" s="12"/>
    </row>
    <row r="1660" ht="14.25" customHeight="1">
      <c r="A1660" s="20"/>
      <c r="B1660" s="20"/>
      <c r="C1660" s="20"/>
      <c r="D1660" s="21"/>
      <c r="E1660" s="20"/>
      <c r="F1660" s="20"/>
      <c r="G1660" s="20"/>
      <c r="H1660" s="20"/>
      <c r="K1660" s="10"/>
      <c r="M1660" s="20"/>
      <c r="N1660" s="20"/>
      <c r="O1660" s="20"/>
      <c r="P1660" s="20"/>
      <c r="Q1660" s="20"/>
      <c r="R1660" s="20"/>
      <c r="S1660" s="20"/>
      <c r="T1660" s="20"/>
      <c r="U1660" s="20"/>
      <c r="V1660" s="20"/>
      <c r="W1660" s="20"/>
      <c r="X1660" s="20"/>
      <c r="Y1660" s="22"/>
      <c r="Z1660" s="22"/>
      <c r="AA1660" s="20"/>
      <c r="AB1660" s="20"/>
      <c r="AC1660" s="20"/>
      <c r="AD1660" s="20"/>
      <c r="AE1660" s="20"/>
      <c r="AF1660" s="20"/>
      <c r="AG1660" s="20"/>
      <c r="AH1660" s="20"/>
      <c r="AI1660" s="20"/>
      <c r="AJ1660" s="20"/>
      <c r="AK1660" s="20"/>
      <c r="AL1660" s="20"/>
      <c r="AM1660" s="20"/>
      <c r="AN1660" s="20"/>
      <c r="AS1660" s="11"/>
      <c r="AT1660" s="12"/>
    </row>
    <row r="1661" ht="14.25" customHeight="1">
      <c r="A1661" s="20"/>
      <c r="B1661" s="20"/>
      <c r="C1661" s="20"/>
      <c r="D1661" s="21"/>
      <c r="E1661" s="20"/>
      <c r="F1661" s="20"/>
      <c r="G1661" s="20"/>
      <c r="H1661" s="20"/>
      <c r="K1661" s="10"/>
      <c r="M1661" s="20"/>
      <c r="N1661" s="20"/>
      <c r="O1661" s="20"/>
      <c r="P1661" s="20"/>
      <c r="Q1661" s="20"/>
      <c r="R1661" s="20"/>
      <c r="S1661" s="20"/>
      <c r="T1661" s="20"/>
      <c r="U1661" s="20"/>
      <c r="V1661" s="20"/>
      <c r="W1661" s="20"/>
      <c r="X1661" s="20"/>
      <c r="Y1661" s="22"/>
      <c r="Z1661" s="22"/>
      <c r="AA1661" s="20"/>
      <c r="AB1661" s="20"/>
      <c r="AC1661" s="20"/>
      <c r="AD1661" s="20"/>
      <c r="AE1661" s="20"/>
      <c r="AF1661" s="20"/>
      <c r="AG1661" s="20"/>
      <c r="AH1661" s="20"/>
      <c r="AI1661" s="20"/>
      <c r="AJ1661" s="20"/>
      <c r="AK1661" s="20"/>
      <c r="AL1661" s="20"/>
      <c r="AM1661" s="20"/>
      <c r="AN1661" s="20"/>
      <c r="AS1661" s="11"/>
      <c r="AT1661" s="12"/>
    </row>
    <row r="1662" ht="14.25" customHeight="1">
      <c r="A1662" s="20"/>
      <c r="B1662" s="20"/>
      <c r="C1662" s="20"/>
      <c r="D1662" s="21"/>
      <c r="E1662" s="20"/>
      <c r="F1662" s="20"/>
      <c r="G1662" s="20"/>
      <c r="H1662" s="20"/>
      <c r="K1662" s="10"/>
      <c r="M1662" s="20"/>
      <c r="N1662" s="20"/>
      <c r="O1662" s="20"/>
      <c r="P1662" s="20"/>
      <c r="Q1662" s="20"/>
      <c r="R1662" s="20"/>
      <c r="S1662" s="20"/>
      <c r="T1662" s="20"/>
      <c r="U1662" s="20"/>
      <c r="V1662" s="20"/>
      <c r="W1662" s="20"/>
      <c r="X1662" s="20"/>
      <c r="Y1662" s="22"/>
      <c r="Z1662" s="22"/>
      <c r="AA1662" s="20"/>
      <c r="AB1662" s="20"/>
      <c r="AC1662" s="20"/>
      <c r="AD1662" s="20"/>
      <c r="AE1662" s="20"/>
      <c r="AF1662" s="20"/>
      <c r="AG1662" s="20"/>
      <c r="AH1662" s="20"/>
      <c r="AI1662" s="20"/>
      <c r="AJ1662" s="20"/>
      <c r="AK1662" s="20"/>
      <c r="AL1662" s="20"/>
      <c r="AM1662" s="20"/>
      <c r="AN1662" s="20"/>
      <c r="AS1662" s="11"/>
      <c r="AT1662" s="12"/>
    </row>
    <row r="1663" ht="14.25" customHeight="1">
      <c r="A1663" s="20"/>
      <c r="B1663" s="20"/>
      <c r="C1663" s="20"/>
      <c r="D1663" s="21"/>
      <c r="E1663" s="20"/>
      <c r="F1663" s="20"/>
      <c r="G1663" s="20"/>
      <c r="H1663" s="20"/>
      <c r="K1663" s="10"/>
      <c r="M1663" s="20"/>
      <c r="N1663" s="20"/>
      <c r="O1663" s="20"/>
      <c r="P1663" s="20"/>
      <c r="Q1663" s="20"/>
      <c r="R1663" s="20"/>
      <c r="S1663" s="20"/>
      <c r="T1663" s="20"/>
      <c r="U1663" s="20"/>
      <c r="V1663" s="20"/>
      <c r="W1663" s="20"/>
      <c r="X1663" s="20"/>
      <c r="Y1663" s="22"/>
      <c r="Z1663" s="22"/>
      <c r="AA1663" s="20"/>
      <c r="AB1663" s="20"/>
      <c r="AC1663" s="20"/>
      <c r="AD1663" s="20"/>
      <c r="AE1663" s="20"/>
      <c r="AF1663" s="20"/>
      <c r="AG1663" s="20"/>
      <c r="AH1663" s="20"/>
      <c r="AI1663" s="20"/>
      <c r="AJ1663" s="20"/>
      <c r="AK1663" s="20"/>
      <c r="AL1663" s="20"/>
      <c r="AM1663" s="20"/>
      <c r="AN1663" s="20"/>
      <c r="AS1663" s="11"/>
      <c r="AT1663" s="12"/>
    </row>
    <row r="1664" ht="14.25" customHeight="1">
      <c r="A1664" s="20"/>
      <c r="B1664" s="20"/>
      <c r="C1664" s="20"/>
      <c r="D1664" s="21"/>
      <c r="E1664" s="20"/>
      <c r="F1664" s="20"/>
      <c r="G1664" s="20"/>
      <c r="H1664" s="20"/>
      <c r="K1664" s="10"/>
      <c r="M1664" s="20"/>
      <c r="N1664" s="20"/>
      <c r="O1664" s="20"/>
      <c r="P1664" s="20"/>
      <c r="Q1664" s="20"/>
      <c r="R1664" s="20"/>
      <c r="S1664" s="20"/>
      <c r="T1664" s="20"/>
      <c r="U1664" s="20"/>
      <c r="V1664" s="20"/>
      <c r="W1664" s="20"/>
      <c r="X1664" s="20"/>
      <c r="Y1664" s="22"/>
      <c r="Z1664" s="22"/>
      <c r="AA1664" s="20"/>
      <c r="AB1664" s="20"/>
      <c r="AC1664" s="20"/>
      <c r="AD1664" s="20"/>
      <c r="AE1664" s="20"/>
      <c r="AF1664" s="20"/>
      <c r="AG1664" s="20"/>
      <c r="AH1664" s="20"/>
      <c r="AI1664" s="20"/>
      <c r="AJ1664" s="20"/>
      <c r="AK1664" s="20"/>
      <c r="AL1664" s="20"/>
      <c r="AM1664" s="20"/>
      <c r="AN1664" s="20"/>
      <c r="AS1664" s="11"/>
      <c r="AT1664" s="12"/>
    </row>
    <row r="1665" ht="14.25" customHeight="1">
      <c r="A1665" s="20"/>
      <c r="B1665" s="20"/>
      <c r="C1665" s="20"/>
      <c r="D1665" s="21"/>
      <c r="E1665" s="20"/>
      <c r="F1665" s="20"/>
      <c r="G1665" s="20"/>
      <c r="H1665" s="20"/>
      <c r="K1665" s="10"/>
      <c r="M1665" s="20"/>
      <c r="N1665" s="20"/>
      <c r="O1665" s="20"/>
      <c r="P1665" s="20"/>
      <c r="Q1665" s="20"/>
      <c r="R1665" s="20"/>
      <c r="S1665" s="20"/>
      <c r="T1665" s="20"/>
      <c r="U1665" s="20"/>
      <c r="V1665" s="20"/>
      <c r="W1665" s="20"/>
      <c r="X1665" s="20"/>
      <c r="Y1665" s="22"/>
      <c r="Z1665" s="22"/>
      <c r="AA1665" s="20"/>
      <c r="AB1665" s="20"/>
      <c r="AC1665" s="20"/>
      <c r="AD1665" s="20"/>
      <c r="AE1665" s="20"/>
      <c r="AF1665" s="20"/>
      <c r="AG1665" s="20"/>
      <c r="AH1665" s="20"/>
      <c r="AI1665" s="20"/>
      <c r="AJ1665" s="20"/>
      <c r="AK1665" s="20"/>
      <c r="AL1665" s="20"/>
      <c r="AM1665" s="20"/>
      <c r="AN1665" s="20"/>
      <c r="AS1665" s="11"/>
      <c r="AT1665" s="12"/>
    </row>
    <row r="1666" ht="14.25" customHeight="1">
      <c r="A1666" s="20"/>
      <c r="B1666" s="20"/>
      <c r="C1666" s="20"/>
      <c r="D1666" s="21"/>
      <c r="E1666" s="20"/>
      <c r="F1666" s="20"/>
      <c r="G1666" s="20"/>
      <c r="H1666" s="20"/>
      <c r="K1666" s="10"/>
      <c r="M1666" s="20"/>
      <c r="N1666" s="20"/>
      <c r="O1666" s="20"/>
      <c r="P1666" s="20"/>
      <c r="Q1666" s="20"/>
      <c r="R1666" s="20"/>
      <c r="S1666" s="20"/>
      <c r="T1666" s="20"/>
      <c r="U1666" s="20"/>
      <c r="V1666" s="20"/>
      <c r="W1666" s="20"/>
      <c r="X1666" s="20"/>
      <c r="Y1666" s="22"/>
      <c r="Z1666" s="22"/>
      <c r="AA1666" s="20"/>
      <c r="AB1666" s="20"/>
      <c r="AC1666" s="20"/>
      <c r="AD1666" s="20"/>
      <c r="AE1666" s="20"/>
      <c r="AF1666" s="20"/>
      <c r="AG1666" s="20"/>
      <c r="AH1666" s="20"/>
      <c r="AI1666" s="20"/>
      <c r="AJ1666" s="20"/>
      <c r="AK1666" s="20"/>
      <c r="AL1666" s="20"/>
      <c r="AM1666" s="20"/>
      <c r="AN1666" s="20"/>
      <c r="AS1666" s="11"/>
      <c r="AT1666" s="12"/>
    </row>
    <row r="1667" ht="14.25" customHeight="1">
      <c r="A1667" s="20"/>
      <c r="B1667" s="20"/>
      <c r="C1667" s="20"/>
      <c r="D1667" s="21"/>
      <c r="E1667" s="20"/>
      <c r="F1667" s="20"/>
      <c r="G1667" s="20"/>
      <c r="H1667" s="20"/>
      <c r="K1667" s="10"/>
      <c r="M1667" s="20"/>
      <c r="N1667" s="20"/>
      <c r="O1667" s="20"/>
      <c r="P1667" s="20"/>
      <c r="Q1667" s="20"/>
      <c r="R1667" s="20"/>
      <c r="S1667" s="20"/>
      <c r="T1667" s="20"/>
      <c r="U1667" s="20"/>
      <c r="V1667" s="20"/>
      <c r="W1667" s="20"/>
      <c r="X1667" s="20"/>
      <c r="Y1667" s="22"/>
      <c r="Z1667" s="22"/>
      <c r="AA1667" s="20"/>
      <c r="AB1667" s="20"/>
      <c r="AC1667" s="20"/>
      <c r="AD1667" s="20"/>
      <c r="AE1667" s="20"/>
      <c r="AF1667" s="20"/>
      <c r="AG1667" s="20"/>
      <c r="AH1667" s="20"/>
      <c r="AI1667" s="20"/>
      <c r="AJ1667" s="20"/>
      <c r="AK1667" s="20"/>
      <c r="AL1667" s="20"/>
      <c r="AM1667" s="20"/>
      <c r="AN1667" s="20"/>
      <c r="AS1667" s="11"/>
      <c r="AT1667" s="12"/>
    </row>
    <row r="1668" ht="14.25" customHeight="1">
      <c r="A1668" s="20"/>
      <c r="B1668" s="20"/>
      <c r="C1668" s="20"/>
      <c r="D1668" s="21"/>
      <c r="E1668" s="20"/>
      <c r="F1668" s="20"/>
      <c r="G1668" s="20"/>
      <c r="H1668" s="20"/>
      <c r="K1668" s="10"/>
      <c r="M1668" s="20"/>
      <c r="N1668" s="20"/>
      <c r="O1668" s="20"/>
      <c r="P1668" s="20"/>
      <c r="Q1668" s="20"/>
      <c r="R1668" s="20"/>
      <c r="S1668" s="20"/>
      <c r="T1668" s="20"/>
      <c r="U1668" s="20"/>
      <c r="V1668" s="20"/>
      <c r="W1668" s="20"/>
      <c r="X1668" s="20"/>
      <c r="Y1668" s="22"/>
      <c r="Z1668" s="22"/>
      <c r="AA1668" s="20"/>
      <c r="AB1668" s="20"/>
      <c r="AC1668" s="20"/>
      <c r="AD1668" s="20"/>
      <c r="AE1668" s="20"/>
      <c r="AF1668" s="20"/>
      <c r="AG1668" s="20"/>
      <c r="AH1668" s="20"/>
      <c r="AI1668" s="20"/>
      <c r="AJ1668" s="20"/>
      <c r="AK1668" s="20"/>
      <c r="AL1668" s="20"/>
      <c r="AM1668" s="20"/>
      <c r="AN1668" s="20"/>
      <c r="AS1668" s="11"/>
      <c r="AT1668" s="12"/>
    </row>
    <row r="1669" ht="14.25" customHeight="1">
      <c r="A1669" s="20"/>
      <c r="B1669" s="20"/>
      <c r="C1669" s="20"/>
      <c r="D1669" s="21"/>
      <c r="E1669" s="20"/>
      <c r="F1669" s="20"/>
      <c r="G1669" s="20"/>
      <c r="H1669" s="20"/>
      <c r="K1669" s="10"/>
      <c r="M1669" s="20"/>
      <c r="N1669" s="20"/>
      <c r="O1669" s="20"/>
      <c r="P1669" s="20"/>
      <c r="Q1669" s="20"/>
      <c r="R1669" s="20"/>
      <c r="S1669" s="20"/>
      <c r="T1669" s="20"/>
      <c r="U1669" s="20"/>
      <c r="V1669" s="20"/>
      <c r="W1669" s="20"/>
      <c r="X1669" s="20"/>
      <c r="Y1669" s="22"/>
      <c r="Z1669" s="22"/>
      <c r="AA1669" s="20"/>
      <c r="AB1669" s="20"/>
      <c r="AC1669" s="20"/>
      <c r="AD1669" s="20"/>
      <c r="AE1669" s="20"/>
      <c r="AF1669" s="20"/>
      <c r="AG1669" s="20"/>
      <c r="AH1669" s="20"/>
      <c r="AI1669" s="20"/>
      <c r="AJ1669" s="20"/>
      <c r="AK1669" s="20"/>
      <c r="AL1669" s="20"/>
      <c r="AM1669" s="20"/>
      <c r="AN1669" s="20"/>
      <c r="AS1669" s="11"/>
      <c r="AT1669" s="12"/>
    </row>
    <row r="1670" ht="14.25" customHeight="1">
      <c r="A1670" s="20"/>
      <c r="B1670" s="20"/>
      <c r="C1670" s="20"/>
      <c r="D1670" s="21"/>
      <c r="E1670" s="20"/>
      <c r="F1670" s="20"/>
      <c r="G1670" s="20"/>
      <c r="H1670" s="20"/>
      <c r="K1670" s="10"/>
      <c r="M1670" s="20"/>
      <c r="N1670" s="20"/>
      <c r="O1670" s="20"/>
      <c r="P1670" s="20"/>
      <c r="Q1670" s="20"/>
      <c r="R1670" s="20"/>
      <c r="S1670" s="20"/>
      <c r="T1670" s="20"/>
      <c r="U1670" s="20"/>
      <c r="V1670" s="20"/>
      <c r="W1670" s="20"/>
      <c r="X1670" s="20"/>
      <c r="Y1670" s="22"/>
      <c r="Z1670" s="22"/>
      <c r="AA1670" s="20"/>
      <c r="AB1670" s="20"/>
      <c r="AC1670" s="20"/>
      <c r="AD1670" s="20"/>
      <c r="AE1670" s="20"/>
      <c r="AF1670" s="20"/>
      <c r="AG1670" s="20"/>
      <c r="AH1670" s="20"/>
      <c r="AI1670" s="20"/>
      <c r="AJ1670" s="20"/>
      <c r="AK1670" s="20"/>
      <c r="AL1670" s="20"/>
      <c r="AM1670" s="20"/>
      <c r="AN1670" s="20"/>
      <c r="AS1670" s="11"/>
      <c r="AT1670" s="12"/>
    </row>
    <row r="1671" ht="14.25" customHeight="1">
      <c r="A1671" s="20"/>
      <c r="B1671" s="20"/>
      <c r="C1671" s="20"/>
      <c r="D1671" s="21"/>
      <c r="E1671" s="20"/>
      <c r="F1671" s="20"/>
      <c r="G1671" s="20"/>
      <c r="H1671" s="20"/>
      <c r="K1671" s="10"/>
      <c r="M1671" s="20"/>
      <c r="N1671" s="20"/>
      <c r="O1671" s="20"/>
      <c r="P1671" s="20"/>
      <c r="Q1671" s="20"/>
      <c r="R1671" s="20"/>
      <c r="S1671" s="20"/>
      <c r="T1671" s="20"/>
      <c r="U1671" s="20"/>
      <c r="V1671" s="20"/>
      <c r="W1671" s="20"/>
      <c r="X1671" s="20"/>
      <c r="Y1671" s="22"/>
      <c r="Z1671" s="22"/>
      <c r="AA1671" s="20"/>
      <c r="AB1671" s="20"/>
      <c r="AC1671" s="20"/>
      <c r="AD1671" s="20"/>
      <c r="AE1671" s="20"/>
      <c r="AF1671" s="20"/>
      <c r="AG1671" s="20"/>
      <c r="AH1671" s="20"/>
      <c r="AI1671" s="20"/>
      <c r="AJ1671" s="20"/>
      <c r="AK1671" s="20"/>
      <c r="AL1671" s="20"/>
      <c r="AM1671" s="20"/>
      <c r="AN1671" s="20"/>
      <c r="AS1671" s="11"/>
      <c r="AT1671" s="12"/>
    </row>
    <row r="1672" ht="14.25" customHeight="1">
      <c r="A1672" s="20"/>
      <c r="B1672" s="20"/>
      <c r="C1672" s="20"/>
      <c r="D1672" s="21"/>
      <c r="E1672" s="20"/>
      <c r="F1672" s="20"/>
      <c r="G1672" s="20"/>
      <c r="H1672" s="20"/>
      <c r="K1672" s="10"/>
      <c r="M1672" s="20"/>
      <c r="N1672" s="20"/>
      <c r="O1672" s="20"/>
      <c r="P1672" s="20"/>
      <c r="Q1672" s="20"/>
      <c r="R1672" s="20"/>
      <c r="S1672" s="20"/>
      <c r="T1672" s="20"/>
      <c r="U1672" s="20"/>
      <c r="V1672" s="20"/>
      <c r="W1672" s="20"/>
      <c r="X1672" s="20"/>
      <c r="Y1672" s="22"/>
      <c r="Z1672" s="22"/>
      <c r="AA1672" s="20"/>
      <c r="AB1672" s="20"/>
      <c r="AC1672" s="20"/>
      <c r="AD1672" s="20"/>
      <c r="AE1672" s="20"/>
      <c r="AF1672" s="20"/>
      <c r="AG1672" s="20"/>
      <c r="AH1672" s="20"/>
      <c r="AI1672" s="20"/>
      <c r="AJ1672" s="20"/>
      <c r="AK1672" s="20"/>
      <c r="AL1672" s="20"/>
      <c r="AM1672" s="20"/>
      <c r="AN1672" s="20"/>
      <c r="AS1672" s="11"/>
      <c r="AT1672" s="12"/>
    </row>
    <row r="1673" ht="14.25" customHeight="1">
      <c r="A1673" s="20"/>
      <c r="B1673" s="20"/>
      <c r="C1673" s="20"/>
      <c r="D1673" s="21"/>
      <c r="E1673" s="20"/>
      <c r="F1673" s="20"/>
      <c r="G1673" s="20"/>
      <c r="H1673" s="20"/>
      <c r="K1673" s="10"/>
      <c r="M1673" s="20"/>
      <c r="N1673" s="20"/>
      <c r="O1673" s="20"/>
      <c r="P1673" s="20"/>
      <c r="Q1673" s="20"/>
      <c r="R1673" s="20"/>
      <c r="S1673" s="20"/>
      <c r="T1673" s="20"/>
      <c r="U1673" s="20"/>
      <c r="V1673" s="20"/>
      <c r="W1673" s="20"/>
      <c r="X1673" s="20"/>
      <c r="Y1673" s="22"/>
      <c r="Z1673" s="22"/>
      <c r="AA1673" s="20"/>
      <c r="AB1673" s="20"/>
      <c r="AC1673" s="20"/>
      <c r="AD1673" s="20"/>
      <c r="AE1673" s="20"/>
      <c r="AF1673" s="20"/>
      <c r="AG1673" s="20"/>
      <c r="AH1673" s="20"/>
      <c r="AI1673" s="20"/>
      <c r="AJ1673" s="20"/>
      <c r="AK1673" s="20"/>
      <c r="AL1673" s="20"/>
      <c r="AM1673" s="20"/>
      <c r="AN1673" s="20"/>
      <c r="AS1673" s="11"/>
      <c r="AT1673" s="12"/>
    </row>
    <row r="1674" ht="14.25" customHeight="1">
      <c r="A1674" s="20"/>
      <c r="B1674" s="20"/>
      <c r="C1674" s="20"/>
      <c r="D1674" s="21"/>
      <c r="E1674" s="20"/>
      <c r="F1674" s="20"/>
      <c r="G1674" s="20"/>
      <c r="H1674" s="20"/>
      <c r="K1674" s="10"/>
      <c r="M1674" s="20"/>
      <c r="N1674" s="20"/>
      <c r="O1674" s="20"/>
      <c r="P1674" s="20"/>
      <c r="Q1674" s="20"/>
      <c r="R1674" s="20"/>
      <c r="S1674" s="20"/>
      <c r="T1674" s="20"/>
      <c r="U1674" s="20"/>
      <c r="V1674" s="20"/>
      <c r="W1674" s="20"/>
      <c r="X1674" s="20"/>
      <c r="Y1674" s="22"/>
      <c r="Z1674" s="22"/>
      <c r="AA1674" s="20"/>
      <c r="AB1674" s="20"/>
      <c r="AC1674" s="20"/>
      <c r="AD1674" s="20"/>
      <c r="AE1674" s="20"/>
      <c r="AF1674" s="20"/>
      <c r="AG1674" s="20"/>
      <c r="AH1674" s="20"/>
      <c r="AI1674" s="20"/>
      <c r="AJ1674" s="20"/>
      <c r="AK1674" s="20"/>
      <c r="AL1674" s="20"/>
      <c r="AM1674" s="20"/>
      <c r="AN1674" s="20"/>
      <c r="AS1674" s="11"/>
      <c r="AT1674" s="12"/>
    </row>
    <row r="1675" ht="14.25" customHeight="1">
      <c r="A1675" s="20"/>
      <c r="B1675" s="20"/>
      <c r="C1675" s="20"/>
      <c r="D1675" s="21"/>
      <c r="E1675" s="20"/>
      <c r="F1675" s="20"/>
      <c r="G1675" s="20"/>
      <c r="H1675" s="20"/>
      <c r="K1675" s="10"/>
      <c r="M1675" s="20"/>
      <c r="N1675" s="20"/>
      <c r="O1675" s="20"/>
      <c r="P1675" s="20"/>
      <c r="Q1675" s="20"/>
      <c r="R1675" s="20"/>
      <c r="S1675" s="20"/>
      <c r="T1675" s="20"/>
      <c r="U1675" s="20"/>
      <c r="V1675" s="20"/>
      <c r="W1675" s="20"/>
      <c r="X1675" s="20"/>
      <c r="Y1675" s="22"/>
      <c r="Z1675" s="22"/>
      <c r="AA1675" s="20"/>
      <c r="AB1675" s="20"/>
      <c r="AC1675" s="20"/>
      <c r="AD1675" s="20"/>
      <c r="AE1675" s="20"/>
      <c r="AF1675" s="20"/>
      <c r="AG1675" s="20"/>
      <c r="AH1675" s="20"/>
      <c r="AI1675" s="20"/>
      <c r="AJ1675" s="20"/>
      <c r="AK1675" s="20"/>
      <c r="AL1675" s="20"/>
      <c r="AM1675" s="20"/>
      <c r="AN1675" s="20"/>
      <c r="AS1675" s="11"/>
      <c r="AT1675" s="12"/>
    </row>
    <row r="1676" ht="14.25" customHeight="1">
      <c r="A1676" s="20"/>
      <c r="B1676" s="20"/>
      <c r="C1676" s="20"/>
      <c r="D1676" s="21"/>
      <c r="E1676" s="20"/>
      <c r="F1676" s="20"/>
      <c r="G1676" s="20"/>
      <c r="H1676" s="20"/>
      <c r="K1676" s="10"/>
      <c r="M1676" s="20"/>
      <c r="N1676" s="20"/>
      <c r="O1676" s="20"/>
      <c r="P1676" s="20"/>
      <c r="Q1676" s="20"/>
      <c r="R1676" s="20"/>
      <c r="S1676" s="20"/>
      <c r="T1676" s="20"/>
      <c r="U1676" s="20"/>
      <c r="V1676" s="20"/>
      <c r="W1676" s="20"/>
      <c r="X1676" s="20"/>
      <c r="Y1676" s="22"/>
      <c r="Z1676" s="22"/>
      <c r="AA1676" s="20"/>
      <c r="AB1676" s="20"/>
      <c r="AC1676" s="20"/>
      <c r="AD1676" s="20"/>
      <c r="AE1676" s="20"/>
      <c r="AF1676" s="20"/>
      <c r="AG1676" s="20"/>
      <c r="AH1676" s="20"/>
      <c r="AI1676" s="20"/>
      <c r="AJ1676" s="20"/>
      <c r="AK1676" s="20"/>
      <c r="AL1676" s="20"/>
      <c r="AM1676" s="20"/>
      <c r="AN1676" s="20"/>
      <c r="AS1676" s="11"/>
      <c r="AT1676" s="12"/>
    </row>
    <row r="1677" ht="14.25" customHeight="1">
      <c r="A1677" s="20"/>
      <c r="B1677" s="20"/>
      <c r="C1677" s="20"/>
      <c r="D1677" s="21"/>
      <c r="E1677" s="20"/>
      <c r="F1677" s="20"/>
      <c r="G1677" s="20"/>
      <c r="H1677" s="20"/>
      <c r="K1677" s="10"/>
      <c r="M1677" s="20"/>
      <c r="N1677" s="20"/>
      <c r="O1677" s="20"/>
      <c r="P1677" s="20"/>
      <c r="Q1677" s="20"/>
      <c r="R1677" s="20"/>
      <c r="S1677" s="20"/>
      <c r="T1677" s="20"/>
      <c r="U1677" s="20"/>
      <c r="V1677" s="20"/>
      <c r="W1677" s="20"/>
      <c r="X1677" s="20"/>
      <c r="Y1677" s="22"/>
      <c r="Z1677" s="22"/>
      <c r="AA1677" s="20"/>
      <c r="AB1677" s="20"/>
      <c r="AC1677" s="20"/>
      <c r="AD1677" s="20"/>
      <c r="AE1677" s="20"/>
      <c r="AF1677" s="20"/>
      <c r="AG1677" s="20"/>
      <c r="AH1677" s="20"/>
      <c r="AI1677" s="20"/>
      <c r="AJ1677" s="20"/>
      <c r="AK1677" s="20"/>
      <c r="AL1677" s="20"/>
      <c r="AM1677" s="20"/>
      <c r="AN1677" s="20"/>
      <c r="AS1677" s="11"/>
      <c r="AT1677" s="12"/>
    </row>
    <row r="1678" ht="14.25" customHeight="1">
      <c r="A1678" s="20"/>
      <c r="B1678" s="20"/>
      <c r="C1678" s="20"/>
      <c r="D1678" s="21"/>
      <c r="E1678" s="20"/>
      <c r="F1678" s="20"/>
      <c r="G1678" s="20"/>
      <c r="H1678" s="20"/>
      <c r="K1678" s="10"/>
      <c r="M1678" s="20"/>
      <c r="N1678" s="20"/>
      <c r="O1678" s="20"/>
      <c r="P1678" s="20"/>
      <c r="Q1678" s="20"/>
      <c r="R1678" s="20"/>
      <c r="S1678" s="20"/>
      <c r="T1678" s="20"/>
      <c r="U1678" s="20"/>
      <c r="V1678" s="20"/>
      <c r="W1678" s="20"/>
      <c r="X1678" s="20"/>
      <c r="Y1678" s="22"/>
      <c r="Z1678" s="22"/>
      <c r="AA1678" s="20"/>
      <c r="AB1678" s="20"/>
      <c r="AC1678" s="20"/>
      <c r="AD1678" s="20"/>
      <c r="AE1678" s="20"/>
      <c r="AF1678" s="20"/>
      <c r="AG1678" s="20"/>
      <c r="AH1678" s="20"/>
      <c r="AI1678" s="20"/>
      <c r="AJ1678" s="20"/>
      <c r="AK1678" s="20"/>
      <c r="AL1678" s="20"/>
      <c r="AM1678" s="20"/>
      <c r="AN1678" s="20"/>
      <c r="AS1678" s="11"/>
      <c r="AT1678" s="12"/>
    </row>
    <row r="1679" ht="14.25" customHeight="1">
      <c r="A1679" s="20"/>
      <c r="B1679" s="20"/>
      <c r="C1679" s="20"/>
      <c r="D1679" s="21"/>
      <c r="E1679" s="20"/>
      <c r="F1679" s="20"/>
      <c r="G1679" s="20"/>
      <c r="H1679" s="20"/>
      <c r="K1679" s="1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0"/>
      <c r="W1679" s="20"/>
      <c r="X1679" s="20"/>
      <c r="Y1679" s="22"/>
      <c r="Z1679" s="22"/>
      <c r="AA1679" s="20"/>
      <c r="AB1679" s="20"/>
      <c r="AC1679" s="20"/>
      <c r="AD1679" s="20"/>
      <c r="AE1679" s="20"/>
      <c r="AF1679" s="20"/>
      <c r="AG1679" s="20"/>
      <c r="AH1679" s="20"/>
      <c r="AI1679" s="20"/>
      <c r="AJ1679" s="20"/>
      <c r="AK1679" s="20"/>
      <c r="AL1679" s="20"/>
      <c r="AM1679" s="20"/>
      <c r="AN1679" s="20"/>
      <c r="AS1679" s="11"/>
      <c r="AT1679" s="12"/>
    </row>
    <row r="1680" ht="14.25" customHeight="1">
      <c r="A1680" s="20"/>
      <c r="B1680" s="20"/>
      <c r="C1680" s="20"/>
      <c r="D1680" s="21"/>
      <c r="E1680" s="20"/>
      <c r="F1680" s="20"/>
      <c r="G1680" s="20"/>
      <c r="H1680" s="20"/>
      <c r="K1680" s="10"/>
      <c r="M1680" s="20"/>
      <c r="N1680" s="20"/>
      <c r="O1680" s="20"/>
      <c r="P1680" s="20"/>
      <c r="Q1680" s="20"/>
      <c r="R1680" s="20"/>
      <c r="S1680" s="20"/>
      <c r="T1680" s="20"/>
      <c r="U1680" s="20"/>
      <c r="V1680" s="20"/>
      <c r="W1680" s="20"/>
      <c r="X1680" s="20"/>
      <c r="Y1680" s="22"/>
      <c r="Z1680" s="22"/>
      <c r="AA1680" s="20"/>
      <c r="AB1680" s="20"/>
      <c r="AC1680" s="20"/>
      <c r="AD1680" s="20"/>
      <c r="AE1680" s="20"/>
      <c r="AF1680" s="20"/>
      <c r="AG1680" s="20"/>
      <c r="AH1680" s="20"/>
      <c r="AI1680" s="20"/>
      <c r="AJ1680" s="20"/>
      <c r="AK1680" s="20"/>
      <c r="AL1680" s="20"/>
      <c r="AM1680" s="20"/>
      <c r="AN1680" s="20"/>
      <c r="AS1680" s="11"/>
      <c r="AT1680" s="12"/>
    </row>
    <row r="1681" ht="14.25" customHeight="1">
      <c r="A1681" s="20"/>
      <c r="B1681" s="20"/>
      <c r="C1681" s="20"/>
      <c r="D1681" s="21"/>
      <c r="E1681" s="20"/>
      <c r="F1681" s="20"/>
      <c r="G1681" s="20"/>
      <c r="H1681" s="20"/>
      <c r="K1681" s="1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0"/>
      <c r="W1681" s="20"/>
      <c r="X1681" s="20"/>
      <c r="Y1681" s="22"/>
      <c r="Z1681" s="22"/>
      <c r="AA1681" s="20"/>
      <c r="AB1681" s="20"/>
      <c r="AC1681" s="20"/>
      <c r="AD1681" s="20"/>
      <c r="AE1681" s="20"/>
      <c r="AF1681" s="20"/>
      <c r="AG1681" s="20"/>
      <c r="AH1681" s="20"/>
      <c r="AI1681" s="20"/>
      <c r="AJ1681" s="20"/>
      <c r="AK1681" s="20"/>
      <c r="AL1681" s="20"/>
      <c r="AM1681" s="20"/>
      <c r="AN1681" s="20"/>
      <c r="AS1681" s="11"/>
      <c r="AT1681" s="12"/>
    </row>
    <row r="1682" ht="14.25" customHeight="1">
      <c r="A1682" s="20"/>
      <c r="B1682" s="20"/>
      <c r="C1682" s="20"/>
      <c r="D1682" s="21"/>
      <c r="E1682" s="20"/>
      <c r="F1682" s="20"/>
      <c r="G1682" s="20"/>
      <c r="H1682" s="20"/>
      <c r="K1682" s="10"/>
      <c r="M1682" s="20"/>
      <c r="N1682" s="20"/>
      <c r="O1682" s="20"/>
      <c r="P1682" s="20"/>
      <c r="Q1682" s="20"/>
      <c r="R1682" s="20"/>
      <c r="S1682" s="20"/>
      <c r="T1682" s="20"/>
      <c r="U1682" s="20"/>
      <c r="V1682" s="20"/>
      <c r="W1682" s="20"/>
      <c r="X1682" s="20"/>
      <c r="Y1682" s="22"/>
      <c r="Z1682" s="22"/>
      <c r="AA1682" s="20"/>
      <c r="AB1682" s="20"/>
      <c r="AC1682" s="20"/>
      <c r="AD1682" s="20"/>
      <c r="AE1682" s="20"/>
      <c r="AF1682" s="20"/>
      <c r="AG1682" s="20"/>
      <c r="AH1682" s="20"/>
      <c r="AI1682" s="20"/>
      <c r="AJ1682" s="20"/>
      <c r="AK1682" s="20"/>
      <c r="AL1682" s="20"/>
      <c r="AM1682" s="20"/>
      <c r="AN1682" s="20"/>
      <c r="AS1682" s="11"/>
      <c r="AT1682" s="12"/>
    </row>
    <row r="1683" ht="14.25" customHeight="1">
      <c r="A1683" s="20"/>
      <c r="B1683" s="20"/>
      <c r="C1683" s="20"/>
      <c r="D1683" s="21"/>
      <c r="E1683" s="20"/>
      <c r="F1683" s="20"/>
      <c r="G1683" s="20"/>
      <c r="H1683" s="20"/>
      <c r="K1683" s="10"/>
      <c r="M1683" s="20"/>
      <c r="N1683" s="20"/>
      <c r="O1683" s="20"/>
      <c r="P1683" s="20"/>
      <c r="Q1683" s="20"/>
      <c r="R1683" s="20"/>
      <c r="S1683" s="20"/>
      <c r="T1683" s="20"/>
      <c r="U1683" s="20"/>
      <c r="V1683" s="20"/>
      <c r="W1683" s="20"/>
      <c r="X1683" s="20"/>
      <c r="Y1683" s="22"/>
      <c r="Z1683" s="22"/>
      <c r="AA1683" s="20"/>
      <c r="AB1683" s="20"/>
      <c r="AC1683" s="20"/>
      <c r="AD1683" s="20"/>
      <c r="AE1683" s="20"/>
      <c r="AF1683" s="20"/>
      <c r="AG1683" s="20"/>
      <c r="AH1683" s="20"/>
      <c r="AI1683" s="20"/>
      <c r="AJ1683" s="20"/>
      <c r="AK1683" s="20"/>
      <c r="AL1683" s="20"/>
      <c r="AM1683" s="20"/>
      <c r="AN1683" s="20"/>
      <c r="AS1683" s="11"/>
      <c r="AT1683" s="12"/>
    </row>
    <row r="1684" ht="14.25" customHeight="1">
      <c r="A1684" s="20"/>
      <c r="B1684" s="20"/>
      <c r="C1684" s="20"/>
      <c r="D1684" s="21"/>
      <c r="E1684" s="20"/>
      <c r="F1684" s="20"/>
      <c r="G1684" s="20"/>
      <c r="H1684" s="20"/>
      <c r="K1684" s="10"/>
      <c r="M1684" s="20"/>
      <c r="N1684" s="20"/>
      <c r="O1684" s="20"/>
      <c r="P1684" s="20"/>
      <c r="Q1684" s="20"/>
      <c r="R1684" s="20"/>
      <c r="S1684" s="20"/>
      <c r="T1684" s="20"/>
      <c r="U1684" s="20"/>
      <c r="V1684" s="20"/>
      <c r="W1684" s="20"/>
      <c r="X1684" s="20"/>
      <c r="Y1684" s="22"/>
      <c r="Z1684" s="22"/>
      <c r="AA1684" s="20"/>
      <c r="AB1684" s="20"/>
      <c r="AC1684" s="20"/>
      <c r="AD1684" s="20"/>
      <c r="AE1684" s="20"/>
      <c r="AF1684" s="20"/>
      <c r="AG1684" s="20"/>
      <c r="AH1684" s="20"/>
      <c r="AI1684" s="20"/>
      <c r="AJ1684" s="20"/>
      <c r="AK1684" s="20"/>
      <c r="AL1684" s="20"/>
      <c r="AM1684" s="20"/>
      <c r="AN1684" s="20"/>
      <c r="AS1684" s="11"/>
      <c r="AT1684" s="12"/>
    </row>
    <row r="1685" ht="14.25" customHeight="1">
      <c r="A1685" s="20"/>
      <c r="B1685" s="20"/>
      <c r="C1685" s="20"/>
      <c r="D1685" s="21"/>
      <c r="E1685" s="20"/>
      <c r="F1685" s="20"/>
      <c r="G1685" s="20"/>
      <c r="H1685" s="20"/>
      <c r="K1685" s="10"/>
      <c r="M1685" s="20"/>
      <c r="N1685" s="20"/>
      <c r="O1685" s="20"/>
      <c r="P1685" s="20"/>
      <c r="Q1685" s="20"/>
      <c r="R1685" s="20"/>
      <c r="S1685" s="20"/>
      <c r="T1685" s="20"/>
      <c r="U1685" s="20"/>
      <c r="V1685" s="20"/>
      <c r="W1685" s="20"/>
      <c r="X1685" s="20"/>
      <c r="Y1685" s="22"/>
      <c r="Z1685" s="22"/>
      <c r="AA1685" s="20"/>
      <c r="AB1685" s="20"/>
      <c r="AC1685" s="20"/>
      <c r="AD1685" s="20"/>
      <c r="AE1685" s="20"/>
      <c r="AF1685" s="20"/>
      <c r="AG1685" s="20"/>
      <c r="AH1685" s="20"/>
      <c r="AI1685" s="20"/>
      <c r="AJ1685" s="20"/>
      <c r="AK1685" s="20"/>
      <c r="AL1685" s="20"/>
      <c r="AM1685" s="20"/>
      <c r="AN1685" s="20"/>
      <c r="AS1685" s="11"/>
      <c r="AT1685" s="12"/>
    </row>
    <row r="1686" ht="14.25" customHeight="1">
      <c r="A1686" s="20"/>
      <c r="B1686" s="20"/>
      <c r="C1686" s="20"/>
      <c r="D1686" s="21"/>
      <c r="E1686" s="20"/>
      <c r="F1686" s="20"/>
      <c r="G1686" s="20"/>
      <c r="H1686" s="20"/>
      <c r="K1686" s="10"/>
      <c r="M1686" s="20"/>
      <c r="N1686" s="20"/>
      <c r="O1686" s="20"/>
      <c r="P1686" s="20"/>
      <c r="Q1686" s="20"/>
      <c r="R1686" s="20"/>
      <c r="S1686" s="20"/>
      <c r="T1686" s="20"/>
      <c r="U1686" s="20"/>
      <c r="V1686" s="20"/>
      <c r="W1686" s="20"/>
      <c r="X1686" s="20"/>
      <c r="Y1686" s="22"/>
      <c r="Z1686" s="22"/>
      <c r="AA1686" s="20"/>
      <c r="AB1686" s="20"/>
      <c r="AC1686" s="20"/>
      <c r="AD1686" s="20"/>
      <c r="AE1686" s="20"/>
      <c r="AF1686" s="20"/>
      <c r="AG1686" s="20"/>
      <c r="AH1686" s="20"/>
      <c r="AI1686" s="20"/>
      <c r="AJ1686" s="20"/>
      <c r="AK1686" s="20"/>
      <c r="AL1686" s="20"/>
      <c r="AM1686" s="20"/>
      <c r="AN1686" s="20"/>
      <c r="AS1686" s="11"/>
      <c r="AT1686" s="12"/>
    </row>
    <row r="1687" ht="14.25" customHeight="1">
      <c r="A1687" s="20"/>
      <c r="B1687" s="20"/>
      <c r="C1687" s="20"/>
      <c r="D1687" s="21"/>
      <c r="E1687" s="20"/>
      <c r="F1687" s="20"/>
      <c r="G1687" s="20"/>
      <c r="H1687" s="20"/>
      <c r="K1687" s="10"/>
      <c r="M1687" s="20"/>
      <c r="N1687" s="20"/>
      <c r="O1687" s="20"/>
      <c r="P1687" s="20"/>
      <c r="Q1687" s="20"/>
      <c r="R1687" s="20"/>
      <c r="S1687" s="20"/>
      <c r="T1687" s="20"/>
      <c r="U1687" s="20"/>
      <c r="V1687" s="20"/>
      <c r="W1687" s="20"/>
      <c r="X1687" s="20"/>
      <c r="Y1687" s="22"/>
      <c r="Z1687" s="22"/>
      <c r="AA1687" s="20"/>
      <c r="AB1687" s="20"/>
      <c r="AC1687" s="20"/>
      <c r="AD1687" s="20"/>
      <c r="AE1687" s="20"/>
      <c r="AF1687" s="20"/>
      <c r="AG1687" s="20"/>
      <c r="AH1687" s="20"/>
      <c r="AI1687" s="20"/>
      <c r="AJ1687" s="20"/>
      <c r="AK1687" s="20"/>
      <c r="AL1687" s="20"/>
      <c r="AM1687" s="20"/>
      <c r="AN1687" s="20"/>
      <c r="AS1687" s="11"/>
      <c r="AT1687" s="12"/>
    </row>
    <row r="1688" ht="14.25" customHeight="1">
      <c r="A1688" s="20"/>
      <c r="B1688" s="20"/>
      <c r="C1688" s="20"/>
      <c r="D1688" s="21"/>
      <c r="E1688" s="20"/>
      <c r="F1688" s="20"/>
      <c r="G1688" s="20"/>
      <c r="H1688" s="20"/>
      <c r="K1688" s="10"/>
      <c r="M1688" s="20"/>
      <c r="N1688" s="20"/>
      <c r="O1688" s="20"/>
      <c r="P1688" s="20"/>
      <c r="Q1688" s="20"/>
      <c r="R1688" s="20"/>
      <c r="S1688" s="20"/>
      <c r="T1688" s="20"/>
      <c r="U1688" s="20"/>
      <c r="V1688" s="20"/>
      <c r="W1688" s="20"/>
      <c r="X1688" s="20"/>
      <c r="Y1688" s="22"/>
      <c r="Z1688" s="22"/>
      <c r="AA1688" s="20"/>
      <c r="AB1688" s="20"/>
      <c r="AC1688" s="20"/>
      <c r="AD1688" s="20"/>
      <c r="AE1688" s="20"/>
      <c r="AF1688" s="20"/>
      <c r="AG1688" s="20"/>
      <c r="AH1688" s="20"/>
      <c r="AI1688" s="20"/>
      <c r="AJ1688" s="20"/>
      <c r="AK1688" s="20"/>
      <c r="AL1688" s="20"/>
      <c r="AM1688" s="20"/>
      <c r="AN1688" s="20"/>
      <c r="AS1688" s="11"/>
      <c r="AT1688" s="12"/>
    </row>
    <row r="1689" ht="14.25" customHeight="1">
      <c r="A1689" s="20"/>
      <c r="B1689" s="20"/>
      <c r="C1689" s="20"/>
      <c r="D1689" s="21"/>
      <c r="E1689" s="20"/>
      <c r="F1689" s="20"/>
      <c r="G1689" s="20"/>
      <c r="H1689" s="20"/>
      <c r="K1689" s="10"/>
      <c r="M1689" s="20"/>
      <c r="N1689" s="20"/>
      <c r="O1689" s="20"/>
      <c r="P1689" s="20"/>
      <c r="Q1689" s="20"/>
      <c r="R1689" s="20"/>
      <c r="S1689" s="20"/>
      <c r="T1689" s="20"/>
      <c r="U1689" s="20"/>
      <c r="V1689" s="20"/>
      <c r="W1689" s="20"/>
      <c r="X1689" s="20"/>
      <c r="Y1689" s="22"/>
      <c r="Z1689" s="22"/>
      <c r="AA1689" s="20"/>
      <c r="AB1689" s="20"/>
      <c r="AC1689" s="20"/>
      <c r="AD1689" s="20"/>
      <c r="AE1689" s="20"/>
      <c r="AF1689" s="20"/>
      <c r="AG1689" s="20"/>
      <c r="AH1689" s="20"/>
      <c r="AI1689" s="20"/>
      <c r="AJ1689" s="20"/>
      <c r="AK1689" s="20"/>
      <c r="AL1689" s="20"/>
      <c r="AM1689" s="20"/>
      <c r="AN1689" s="20"/>
      <c r="AS1689" s="11"/>
      <c r="AT1689" s="12"/>
    </row>
    <row r="1690" ht="14.25" customHeight="1">
      <c r="A1690" s="20"/>
      <c r="B1690" s="20"/>
      <c r="C1690" s="20"/>
      <c r="D1690" s="21"/>
      <c r="E1690" s="20"/>
      <c r="F1690" s="20"/>
      <c r="G1690" s="20"/>
      <c r="H1690" s="20"/>
      <c r="K1690" s="10"/>
      <c r="M1690" s="20"/>
      <c r="N1690" s="20"/>
      <c r="O1690" s="20"/>
      <c r="P1690" s="20"/>
      <c r="Q1690" s="20"/>
      <c r="R1690" s="20"/>
      <c r="S1690" s="20"/>
      <c r="T1690" s="20"/>
      <c r="U1690" s="20"/>
      <c r="V1690" s="20"/>
      <c r="W1690" s="20"/>
      <c r="X1690" s="20"/>
      <c r="Y1690" s="22"/>
      <c r="Z1690" s="22"/>
      <c r="AA1690" s="20"/>
      <c r="AB1690" s="20"/>
      <c r="AC1690" s="20"/>
      <c r="AD1690" s="20"/>
      <c r="AE1690" s="20"/>
      <c r="AF1690" s="20"/>
      <c r="AG1690" s="20"/>
      <c r="AH1690" s="20"/>
      <c r="AI1690" s="20"/>
      <c r="AJ1690" s="20"/>
      <c r="AK1690" s="20"/>
      <c r="AL1690" s="20"/>
      <c r="AM1690" s="20"/>
      <c r="AN1690" s="20"/>
      <c r="AS1690" s="11"/>
      <c r="AT1690" s="12"/>
    </row>
    <row r="1691" ht="14.25" customHeight="1">
      <c r="A1691" s="20"/>
      <c r="B1691" s="20"/>
      <c r="C1691" s="20"/>
      <c r="D1691" s="21"/>
      <c r="E1691" s="20"/>
      <c r="F1691" s="20"/>
      <c r="G1691" s="20"/>
      <c r="H1691" s="20"/>
      <c r="K1691" s="10"/>
      <c r="M1691" s="20"/>
      <c r="N1691" s="20"/>
      <c r="O1691" s="20"/>
      <c r="P1691" s="20"/>
      <c r="Q1691" s="20"/>
      <c r="R1691" s="20"/>
      <c r="S1691" s="20"/>
      <c r="T1691" s="20"/>
      <c r="U1691" s="20"/>
      <c r="V1691" s="20"/>
      <c r="W1691" s="20"/>
      <c r="X1691" s="20"/>
      <c r="Y1691" s="22"/>
      <c r="Z1691" s="22"/>
      <c r="AA1691" s="20"/>
      <c r="AB1691" s="20"/>
      <c r="AC1691" s="20"/>
      <c r="AD1691" s="20"/>
      <c r="AE1691" s="20"/>
      <c r="AF1691" s="20"/>
      <c r="AG1691" s="20"/>
      <c r="AH1691" s="20"/>
      <c r="AI1691" s="20"/>
      <c r="AJ1691" s="20"/>
      <c r="AK1691" s="20"/>
      <c r="AL1691" s="20"/>
      <c r="AM1691" s="20"/>
      <c r="AN1691" s="20"/>
      <c r="AS1691" s="11"/>
      <c r="AT1691" s="12"/>
    </row>
    <row r="1692" ht="14.25" customHeight="1">
      <c r="A1692" s="20"/>
      <c r="B1692" s="20"/>
      <c r="C1692" s="20"/>
      <c r="D1692" s="21"/>
      <c r="E1692" s="20"/>
      <c r="F1692" s="20"/>
      <c r="G1692" s="20"/>
      <c r="H1692" s="20"/>
      <c r="K1692" s="10"/>
      <c r="M1692" s="20"/>
      <c r="N1692" s="20"/>
      <c r="O1692" s="20"/>
      <c r="P1692" s="20"/>
      <c r="Q1692" s="20"/>
      <c r="R1692" s="20"/>
      <c r="S1692" s="20"/>
      <c r="T1692" s="20"/>
      <c r="U1692" s="20"/>
      <c r="V1692" s="20"/>
      <c r="W1692" s="20"/>
      <c r="X1692" s="20"/>
      <c r="Y1692" s="22"/>
      <c r="Z1692" s="22"/>
      <c r="AA1692" s="20"/>
      <c r="AB1692" s="20"/>
      <c r="AC1692" s="20"/>
      <c r="AD1692" s="20"/>
      <c r="AE1692" s="20"/>
      <c r="AF1692" s="20"/>
      <c r="AG1692" s="20"/>
      <c r="AH1692" s="20"/>
      <c r="AI1692" s="20"/>
      <c r="AJ1692" s="20"/>
      <c r="AK1692" s="20"/>
      <c r="AL1692" s="20"/>
      <c r="AM1692" s="20"/>
      <c r="AN1692" s="20"/>
      <c r="AS1692" s="11"/>
      <c r="AT1692" s="12"/>
    </row>
    <row r="1693" ht="14.25" customHeight="1">
      <c r="A1693" s="20"/>
      <c r="B1693" s="20"/>
      <c r="C1693" s="20"/>
      <c r="D1693" s="21"/>
      <c r="E1693" s="20"/>
      <c r="F1693" s="20"/>
      <c r="G1693" s="20"/>
      <c r="H1693" s="20"/>
      <c r="K1693" s="10"/>
      <c r="M1693" s="20"/>
      <c r="N1693" s="20"/>
      <c r="O1693" s="20"/>
      <c r="P1693" s="20"/>
      <c r="Q1693" s="20"/>
      <c r="R1693" s="20"/>
      <c r="S1693" s="20"/>
      <c r="T1693" s="20"/>
      <c r="U1693" s="20"/>
      <c r="V1693" s="20"/>
      <c r="W1693" s="20"/>
      <c r="X1693" s="20"/>
      <c r="Y1693" s="22"/>
      <c r="Z1693" s="22"/>
      <c r="AA1693" s="20"/>
      <c r="AB1693" s="20"/>
      <c r="AC1693" s="20"/>
      <c r="AD1693" s="20"/>
      <c r="AE1693" s="20"/>
      <c r="AF1693" s="20"/>
      <c r="AG1693" s="20"/>
      <c r="AH1693" s="20"/>
      <c r="AI1693" s="20"/>
      <c r="AJ1693" s="20"/>
      <c r="AK1693" s="20"/>
      <c r="AL1693" s="20"/>
      <c r="AM1693" s="20"/>
      <c r="AN1693" s="20"/>
      <c r="AS1693" s="11"/>
      <c r="AT1693" s="12"/>
    </row>
    <row r="1694" ht="14.25" customHeight="1">
      <c r="A1694" s="20"/>
      <c r="B1694" s="20"/>
      <c r="C1694" s="20"/>
      <c r="D1694" s="21"/>
      <c r="E1694" s="20"/>
      <c r="F1694" s="20"/>
      <c r="G1694" s="20"/>
      <c r="H1694" s="20"/>
      <c r="K1694" s="10"/>
      <c r="M1694" s="20"/>
      <c r="N1694" s="20"/>
      <c r="O1694" s="20"/>
      <c r="P1694" s="20"/>
      <c r="Q1694" s="20"/>
      <c r="R1694" s="20"/>
      <c r="S1694" s="20"/>
      <c r="T1694" s="20"/>
      <c r="U1694" s="20"/>
      <c r="V1694" s="20"/>
      <c r="W1694" s="20"/>
      <c r="X1694" s="20"/>
      <c r="Y1694" s="22"/>
      <c r="Z1694" s="22"/>
      <c r="AA1694" s="20"/>
      <c r="AB1694" s="20"/>
      <c r="AC1694" s="20"/>
      <c r="AD1694" s="20"/>
      <c r="AE1694" s="20"/>
      <c r="AF1694" s="20"/>
      <c r="AG1694" s="20"/>
      <c r="AH1694" s="20"/>
      <c r="AI1694" s="20"/>
      <c r="AJ1694" s="20"/>
      <c r="AK1694" s="20"/>
      <c r="AL1694" s="20"/>
      <c r="AM1694" s="20"/>
      <c r="AN1694" s="20"/>
      <c r="AS1694" s="11"/>
      <c r="AT1694" s="12"/>
    </row>
    <row r="1695" ht="14.25" customHeight="1">
      <c r="A1695" s="20"/>
      <c r="B1695" s="20"/>
      <c r="C1695" s="20"/>
      <c r="D1695" s="21"/>
      <c r="E1695" s="20"/>
      <c r="F1695" s="20"/>
      <c r="G1695" s="20"/>
      <c r="H1695" s="20"/>
      <c r="K1695" s="1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0"/>
      <c r="W1695" s="20"/>
      <c r="X1695" s="20"/>
      <c r="Y1695" s="22"/>
      <c r="Z1695" s="22"/>
      <c r="AA1695" s="20"/>
      <c r="AB1695" s="20"/>
      <c r="AC1695" s="20"/>
      <c r="AD1695" s="20"/>
      <c r="AE1695" s="20"/>
      <c r="AF1695" s="20"/>
      <c r="AG1695" s="20"/>
      <c r="AH1695" s="20"/>
      <c r="AI1695" s="20"/>
      <c r="AJ1695" s="20"/>
      <c r="AK1695" s="20"/>
      <c r="AL1695" s="20"/>
      <c r="AM1695" s="20"/>
      <c r="AN1695" s="20"/>
      <c r="AS1695" s="11"/>
      <c r="AT1695" s="12"/>
    </row>
    <row r="1696" ht="14.25" customHeight="1">
      <c r="A1696" s="20"/>
      <c r="B1696" s="20"/>
      <c r="C1696" s="20"/>
      <c r="D1696" s="21"/>
      <c r="E1696" s="20"/>
      <c r="F1696" s="20"/>
      <c r="G1696" s="20"/>
      <c r="H1696" s="20"/>
      <c r="K1696" s="10"/>
      <c r="M1696" s="20"/>
      <c r="N1696" s="20"/>
      <c r="O1696" s="20"/>
      <c r="P1696" s="20"/>
      <c r="Q1696" s="20"/>
      <c r="R1696" s="20"/>
      <c r="S1696" s="20"/>
      <c r="T1696" s="20"/>
      <c r="U1696" s="20"/>
      <c r="V1696" s="20"/>
      <c r="W1696" s="20"/>
      <c r="X1696" s="20"/>
      <c r="Y1696" s="22"/>
      <c r="Z1696" s="22"/>
      <c r="AA1696" s="20"/>
      <c r="AB1696" s="20"/>
      <c r="AC1696" s="20"/>
      <c r="AD1696" s="20"/>
      <c r="AE1696" s="20"/>
      <c r="AF1696" s="20"/>
      <c r="AG1696" s="20"/>
      <c r="AH1696" s="20"/>
      <c r="AI1696" s="20"/>
      <c r="AJ1696" s="20"/>
      <c r="AK1696" s="20"/>
      <c r="AL1696" s="20"/>
      <c r="AM1696" s="20"/>
      <c r="AN1696" s="20"/>
      <c r="AS1696" s="11"/>
      <c r="AT1696" s="12"/>
    </row>
    <row r="1697" ht="14.25" customHeight="1">
      <c r="A1697" s="20"/>
      <c r="B1697" s="20"/>
      <c r="C1697" s="20"/>
      <c r="D1697" s="21"/>
      <c r="E1697" s="20"/>
      <c r="F1697" s="20"/>
      <c r="G1697" s="20"/>
      <c r="H1697" s="20"/>
      <c r="K1697" s="10"/>
      <c r="M1697" s="20"/>
      <c r="N1697" s="20"/>
      <c r="O1697" s="20"/>
      <c r="P1697" s="20"/>
      <c r="Q1697" s="20"/>
      <c r="R1697" s="20"/>
      <c r="S1697" s="20"/>
      <c r="T1697" s="20"/>
      <c r="U1697" s="20"/>
      <c r="V1697" s="20"/>
      <c r="W1697" s="20"/>
      <c r="X1697" s="20"/>
      <c r="Y1697" s="22"/>
      <c r="Z1697" s="22"/>
      <c r="AA1697" s="20"/>
      <c r="AB1697" s="20"/>
      <c r="AC1697" s="20"/>
      <c r="AD1697" s="20"/>
      <c r="AE1697" s="20"/>
      <c r="AF1697" s="20"/>
      <c r="AG1697" s="20"/>
      <c r="AH1697" s="20"/>
      <c r="AI1697" s="20"/>
      <c r="AJ1697" s="20"/>
      <c r="AK1697" s="20"/>
      <c r="AL1697" s="20"/>
      <c r="AM1697" s="20"/>
      <c r="AN1697" s="20"/>
      <c r="AS1697" s="11"/>
      <c r="AT1697" s="12"/>
    </row>
    <row r="1698" ht="14.25" customHeight="1">
      <c r="A1698" s="20"/>
      <c r="B1698" s="20"/>
      <c r="C1698" s="20"/>
      <c r="D1698" s="21"/>
      <c r="E1698" s="20"/>
      <c r="F1698" s="20"/>
      <c r="G1698" s="20"/>
      <c r="H1698" s="20"/>
      <c r="K1698" s="10"/>
      <c r="M1698" s="20"/>
      <c r="N1698" s="20"/>
      <c r="O1698" s="20"/>
      <c r="P1698" s="20"/>
      <c r="Q1698" s="20"/>
      <c r="R1698" s="20"/>
      <c r="S1698" s="20"/>
      <c r="T1698" s="20"/>
      <c r="U1698" s="20"/>
      <c r="V1698" s="20"/>
      <c r="W1698" s="20"/>
      <c r="X1698" s="20"/>
      <c r="Y1698" s="22"/>
      <c r="Z1698" s="22"/>
      <c r="AA1698" s="20"/>
      <c r="AB1698" s="20"/>
      <c r="AC1698" s="20"/>
      <c r="AD1698" s="20"/>
      <c r="AE1698" s="20"/>
      <c r="AF1698" s="20"/>
      <c r="AG1698" s="20"/>
      <c r="AH1698" s="20"/>
      <c r="AI1698" s="20"/>
      <c r="AJ1698" s="20"/>
      <c r="AK1698" s="20"/>
      <c r="AL1698" s="20"/>
      <c r="AM1698" s="20"/>
      <c r="AN1698" s="20"/>
      <c r="AS1698" s="11"/>
      <c r="AT1698" s="12"/>
    </row>
    <row r="1699" ht="14.25" customHeight="1">
      <c r="A1699" s="20"/>
      <c r="B1699" s="20"/>
      <c r="C1699" s="20"/>
      <c r="D1699" s="21"/>
      <c r="E1699" s="20"/>
      <c r="F1699" s="20"/>
      <c r="G1699" s="20"/>
      <c r="H1699" s="20"/>
      <c r="K1699" s="10"/>
      <c r="M1699" s="20"/>
      <c r="N1699" s="20"/>
      <c r="O1699" s="20"/>
      <c r="P1699" s="20"/>
      <c r="Q1699" s="20"/>
      <c r="R1699" s="20"/>
      <c r="S1699" s="20"/>
      <c r="T1699" s="20"/>
      <c r="U1699" s="20"/>
      <c r="V1699" s="20"/>
      <c r="W1699" s="20"/>
      <c r="X1699" s="20"/>
      <c r="Y1699" s="22"/>
      <c r="Z1699" s="22"/>
      <c r="AA1699" s="20"/>
      <c r="AB1699" s="20"/>
      <c r="AC1699" s="20"/>
      <c r="AD1699" s="20"/>
      <c r="AE1699" s="20"/>
      <c r="AF1699" s="20"/>
      <c r="AG1699" s="20"/>
      <c r="AH1699" s="20"/>
      <c r="AI1699" s="20"/>
      <c r="AJ1699" s="20"/>
      <c r="AK1699" s="20"/>
      <c r="AL1699" s="20"/>
      <c r="AM1699" s="20"/>
      <c r="AN1699" s="20"/>
      <c r="AS1699" s="11"/>
      <c r="AT1699" s="12"/>
    </row>
    <row r="1700" ht="14.25" customHeight="1">
      <c r="A1700" s="20"/>
      <c r="B1700" s="20"/>
      <c r="C1700" s="20"/>
      <c r="D1700" s="21"/>
      <c r="E1700" s="20"/>
      <c r="F1700" s="20"/>
      <c r="G1700" s="20"/>
      <c r="H1700" s="20"/>
      <c r="K1700" s="10"/>
      <c r="M1700" s="20"/>
      <c r="N1700" s="20"/>
      <c r="O1700" s="20"/>
      <c r="P1700" s="20"/>
      <c r="Q1700" s="20"/>
      <c r="R1700" s="20"/>
      <c r="S1700" s="20"/>
      <c r="T1700" s="20"/>
      <c r="U1700" s="20"/>
      <c r="V1700" s="20"/>
      <c r="W1700" s="20"/>
      <c r="X1700" s="20"/>
      <c r="Y1700" s="22"/>
      <c r="Z1700" s="22"/>
      <c r="AA1700" s="20"/>
      <c r="AB1700" s="20"/>
      <c r="AC1700" s="20"/>
      <c r="AD1700" s="20"/>
      <c r="AE1700" s="20"/>
      <c r="AF1700" s="20"/>
      <c r="AG1700" s="20"/>
      <c r="AH1700" s="20"/>
      <c r="AI1700" s="20"/>
      <c r="AJ1700" s="20"/>
      <c r="AK1700" s="20"/>
      <c r="AL1700" s="20"/>
      <c r="AM1700" s="20"/>
      <c r="AN1700" s="20"/>
      <c r="AS1700" s="11"/>
      <c r="AT1700" s="12"/>
    </row>
    <row r="1701" ht="14.25" customHeight="1">
      <c r="A1701" s="20"/>
      <c r="B1701" s="20"/>
      <c r="C1701" s="20"/>
      <c r="D1701" s="21"/>
      <c r="E1701" s="20"/>
      <c r="F1701" s="20"/>
      <c r="G1701" s="20"/>
      <c r="H1701" s="20"/>
      <c r="K1701" s="10"/>
      <c r="M1701" s="20"/>
      <c r="N1701" s="20"/>
      <c r="O1701" s="20"/>
      <c r="P1701" s="20"/>
      <c r="Q1701" s="20"/>
      <c r="R1701" s="20"/>
      <c r="S1701" s="20"/>
      <c r="T1701" s="20"/>
      <c r="U1701" s="20"/>
      <c r="V1701" s="20"/>
      <c r="W1701" s="20"/>
      <c r="X1701" s="20"/>
      <c r="Y1701" s="22"/>
      <c r="Z1701" s="22"/>
      <c r="AA1701" s="20"/>
      <c r="AB1701" s="20"/>
      <c r="AC1701" s="20"/>
      <c r="AD1701" s="20"/>
      <c r="AE1701" s="20"/>
      <c r="AF1701" s="20"/>
      <c r="AG1701" s="20"/>
      <c r="AH1701" s="20"/>
      <c r="AI1701" s="20"/>
      <c r="AJ1701" s="20"/>
      <c r="AK1701" s="20"/>
      <c r="AL1701" s="20"/>
      <c r="AM1701" s="20"/>
      <c r="AN1701" s="20"/>
      <c r="AS1701" s="11"/>
      <c r="AT1701" s="12"/>
    </row>
    <row r="1702" ht="14.25" customHeight="1">
      <c r="A1702" s="20"/>
      <c r="B1702" s="20"/>
      <c r="C1702" s="20"/>
      <c r="D1702" s="21"/>
      <c r="E1702" s="20"/>
      <c r="F1702" s="20"/>
      <c r="G1702" s="20"/>
      <c r="H1702" s="20"/>
      <c r="K1702" s="1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2"/>
      <c r="Z1702" s="22"/>
      <c r="AA1702" s="20"/>
      <c r="AB1702" s="20"/>
      <c r="AC1702" s="20"/>
      <c r="AD1702" s="20"/>
      <c r="AE1702" s="20"/>
      <c r="AF1702" s="20"/>
      <c r="AG1702" s="20"/>
      <c r="AH1702" s="20"/>
      <c r="AI1702" s="20"/>
      <c r="AJ1702" s="20"/>
      <c r="AK1702" s="20"/>
      <c r="AL1702" s="20"/>
      <c r="AM1702" s="20"/>
      <c r="AN1702" s="20"/>
      <c r="AS1702" s="11"/>
      <c r="AT1702" s="12"/>
    </row>
    <row r="1703" ht="14.25" customHeight="1">
      <c r="A1703" s="20"/>
      <c r="B1703" s="20"/>
      <c r="C1703" s="20"/>
      <c r="D1703" s="21"/>
      <c r="E1703" s="20"/>
      <c r="F1703" s="20"/>
      <c r="G1703" s="20"/>
      <c r="H1703" s="20"/>
      <c r="K1703" s="10"/>
      <c r="M1703" s="20"/>
      <c r="N1703" s="20"/>
      <c r="O1703" s="20"/>
      <c r="P1703" s="20"/>
      <c r="Q1703" s="20"/>
      <c r="R1703" s="20"/>
      <c r="S1703" s="20"/>
      <c r="T1703" s="20"/>
      <c r="U1703" s="20"/>
      <c r="V1703" s="20"/>
      <c r="W1703" s="20"/>
      <c r="X1703" s="20"/>
      <c r="Y1703" s="22"/>
      <c r="Z1703" s="22"/>
      <c r="AA1703" s="20"/>
      <c r="AB1703" s="20"/>
      <c r="AC1703" s="20"/>
      <c r="AD1703" s="20"/>
      <c r="AE1703" s="20"/>
      <c r="AF1703" s="20"/>
      <c r="AG1703" s="20"/>
      <c r="AH1703" s="20"/>
      <c r="AI1703" s="20"/>
      <c r="AJ1703" s="20"/>
      <c r="AK1703" s="20"/>
      <c r="AL1703" s="20"/>
      <c r="AM1703" s="20"/>
      <c r="AN1703" s="20"/>
      <c r="AS1703" s="11"/>
      <c r="AT1703" s="12"/>
    </row>
    <row r="1704" ht="14.25" customHeight="1">
      <c r="A1704" s="20"/>
      <c r="B1704" s="20"/>
      <c r="C1704" s="20"/>
      <c r="D1704" s="21"/>
      <c r="E1704" s="20"/>
      <c r="F1704" s="20"/>
      <c r="G1704" s="20"/>
      <c r="H1704" s="20"/>
      <c r="K1704" s="1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2"/>
      <c r="Z1704" s="22"/>
      <c r="AA1704" s="20"/>
      <c r="AB1704" s="20"/>
      <c r="AC1704" s="20"/>
      <c r="AD1704" s="20"/>
      <c r="AE1704" s="20"/>
      <c r="AF1704" s="20"/>
      <c r="AG1704" s="20"/>
      <c r="AH1704" s="20"/>
      <c r="AI1704" s="20"/>
      <c r="AJ1704" s="20"/>
      <c r="AK1704" s="20"/>
      <c r="AL1704" s="20"/>
      <c r="AM1704" s="20"/>
      <c r="AN1704" s="20"/>
      <c r="AS1704" s="11"/>
      <c r="AT1704" s="12"/>
    </row>
    <row r="1705" ht="14.25" customHeight="1">
      <c r="A1705" s="20"/>
      <c r="B1705" s="20"/>
      <c r="C1705" s="20"/>
      <c r="D1705" s="21"/>
      <c r="E1705" s="20"/>
      <c r="F1705" s="20"/>
      <c r="G1705" s="20"/>
      <c r="H1705" s="20"/>
      <c r="K1705" s="10"/>
      <c r="M1705" s="20"/>
      <c r="N1705" s="20"/>
      <c r="O1705" s="20"/>
      <c r="P1705" s="20"/>
      <c r="Q1705" s="20"/>
      <c r="R1705" s="20"/>
      <c r="S1705" s="20"/>
      <c r="T1705" s="20"/>
      <c r="U1705" s="20"/>
      <c r="V1705" s="20"/>
      <c r="W1705" s="20"/>
      <c r="X1705" s="20"/>
      <c r="Y1705" s="22"/>
      <c r="Z1705" s="22"/>
      <c r="AA1705" s="20"/>
      <c r="AB1705" s="20"/>
      <c r="AC1705" s="20"/>
      <c r="AD1705" s="20"/>
      <c r="AE1705" s="20"/>
      <c r="AF1705" s="20"/>
      <c r="AG1705" s="20"/>
      <c r="AH1705" s="20"/>
      <c r="AI1705" s="20"/>
      <c r="AJ1705" s="20"/>
      <c r="AK1705" s="20"/>
      <c r="AL1705" s="20"/>
      <c r="AM1705" s="20"/>
      <c r="AN1705" s="20"/>
      <c r="AS1705" s="11"/>
      <c r="AT1705" s="12"/>
    </row>
    <row r="1706" ht="14.25" customHeight="1">
      <c r="A1706" s="20"/>
      <c r="B1706" s="20"/>
      <c r="C1706" s="20"/>
      <c r="D1706" s="21"/>
      <c r="E1706" s="20"/>
      <c r="F1706" s="20"/>
      <c r="G1706" s="20"/>
      <c r="H1706" s="20"/>
      <c r="K1706" s="10"/>
      <c r="M1706" s="20"/>
      <c r="N1706" s="20"/>
      <c r="O1706" s="20"/>
      <c r="P1706" s="20"/>
      <c r="Q1706" s="20"/>
      <c r="R1706" s="20"/>
      <c r="S1706" s="20"/>
      <c r="T1706" s="20"/>
      <c r="U1706" s="20"/>
      <c r="V1706" s="20"/>
      <c r="W1706" s="20"/>
      <c r="X1706" s="20"/>
      <c r="Y1706" s="22"/>
      <c r="Z1706" s="22"/>
      <c r="AA1706" s="20"/>
      <c r="AB1706" s="20"/>
      <c r="AC1706" s="20"/>
      <c r="AD1706" s="20"/>
      <c r="AE1706" s="20"/>
      <c r="AF1706" s="20"/>
      <c r="AG1706" s="20"/>
      <c r="AH1706" s="20"/>
      <c r="AI1706" s="20"/>
      <c r="AJ1706" s="20"/>
      <c r="AK1706" s="20"/>
      <c r="AL1706" s="20"/>
      <c r="AM1706" s="20"/>
      <c r="AN1706" s="20"/>
      <c r="AS1706" s="11"/>
      <c r="AT1706" s="12"/>
    </row>
    <row r="1707" ht="14.25" customHeight="1">
      <c r="A1707" s="20"/>
      <c r="B1707" s="20"/>
      <c r="C1707" s="20"/>
      <c r="D1707" s="21"/>
      <c r="E1707" s="20"/>
      <c r="F1707" s="20"/>
      <c r="G1707" s="20"/>
      <c r="H1707" s="20"/>
      <c r="K1707" s="10"/>
      <c r="M1707" s="20"/>
      <c r="N1707" s="20"/>
      <c r="O1707" s="20"/>
      <c r="P1707" s="20"/>
      <c r="Q1707" s="20"/>
      <c r="R1707" s="20"/>
      <c r="S1707" s="20"/>
      <c r="T1707" s="20"/>
      <c r="U1707" s="20"/>
      <c r="V1707" s="20"/>
      <c r="W1707" s="20"/>
      <c r="X1707" s="20"/>
      <c r="Y1707" s="22"/>
      <c r="Z1707" s="22"/>
      <c r="AA1707" s="20"/>
      <c r="AB1707" s="20"/>
      <c r="AC1707" s="20"/>
      <c r="AD1707" s="20"/>
      <c r="AE1707" s="20"/>
      <c r="AF1707" s="20"/>
      <c r="AG1707" s="20"/>
      <c r="AH1707" s="20"/>
      <c r="AI1707" s="20"/>
      <c r="AJ1707" s="20"/>
      <c r="AK1707" s="20"/>
      <c r="AL1707" s="20"/>
      <c r="AM1707" s="20"/>
      <c r="AN1707" s="20"/>
      <c r="AS1707" s="11"/>
      <c r="AT1707" s="12"/>
    </row>
    <row r="1708" ht="14.25" customHeight="1">
      <c r="A1708" s="20"/>
      <c r="B1708" s="20"/>
      <c r="C1708" s="20"/>
      <c r="D1708" s="21"/>
      <c r="E1708" s="20"/>
      <c r="F1708" s="20"/>
      <c r="G1708" s="20"/>
      <c r="H1708" s="20"/>
      <c r="K1708" s="10"/>
      <c r="M1708" s="20"/>
      <c r="N1708" s="20"/>
      <c r="O1708" s="20"/>
      <c r="P1708" s="20"/>
      <c r="Q1708" s="20"/>
      <c r="R1708" s="20"/>
      <c r="S1708" s="20"/>
      <c r="T1708" s="20"/>
      <c r="U1708" s="20"/>
      <c r="V1708" s="20"/>
      <c r="W1708" s="20"/>
      <c r="X1708" s="20"/>
      <c r="Y1708" s="22"/>
      <c r="Z1708" s="22"/>
      <c r="AA1708" s="20"/>
      <c r="AB1708" s="20"/>
      <c r="AC1708" s="20"/>
      <c r="AD1708" s="20"/>
      <c r="AE1708" s="20"/>
      <c r="AF1708" s="20"/>
      <c r="AG1708" s="20"/>
      <c r="AH1708" s="20"/>
      <c r="AI1708" s="20"/>
      <c r="AJ1708" s="20"/>
      <c r="AK1708" s="20"/>
      <c r="AL1708" s="20"/>
      <c r="AM1708" s="20"/>
      <c r="AN1708" s="20"/>
      <c r="AS1708" s="11"/>
      <c r="AT1708" s="12"/>
    </row>
    <row r="1709" ht="14.25" customHeight="1">
      <c r="A1709" s="20"/>
      <c r="B1709" s="20"/>
      <c r="C1709" s="20"/>
      <c r="D1709" s="21"/>
      <c r="E1709" s="20"/>
      <c r="F1709" s="20"/>
      <c r="G1709" s="20"/>
      <c r="H1709" s="20"/>
      <c r="K1709" s="10"/>
      <c r="M1709" s="20"/>
      <c r="N1709" s="20"/>
      <c r="O1709" s="20"/>
      <c r="P1709" s="20"/>
      <c r="Q1709" s="20"/>
      <c r="R1709" s="20"/>
      <c r="S1709" s="20"/>
      <c r="T1709" s="20"/>
      <c r="U1709" s="20"/>
      <c r="V1709" s="20"/>
      <c r="W1709" s="20"/>
      <c r="X1709" s="20"/>
      <c r="Y1709" s="22"/>
      <c r="Z1709" s="22"/>
      <c r="AA1709" s="20"/>
      <c r="AB1709" s="20"/>
      <c r="AC1709" s="20"/>
      <c r="AD1709" s="20"/>
      <c r="AE1709" s="20"/>
      <c r="AF1709" s="20"/>
      <c r="AG1709" s="20"/>
      <c r="AH1709" s="20"/>
      <c r="AI1709" s="20"/>
      <c r="AJ1709" s="20"/>
      <c r="AK1709" s="20"/>
      <c r="AL1709" s="20"/>
      <c r="AM1709" s="20"/>
      <c r="AN1709" s="20"/>
      <c r="AS1709" s="11"/>
      <c r="AT1709" s="12"/>
    </row>
    <row r="1710" ht="14.25" customHeight="1">
      <c r="A1710" s="20"/>
      <c r="B1710" s="20"/>
      <c r="C1710" s="20"/>
      <c r="D1710" s="21"/>
      <c r="E1710" s="20"/>
      <c r="F1710" s="20"/>
      <c r="G1710" s="20"/>
      <c r="H1710" s="20"/>
      <c r="K1710" s="10"/>
      <c r="M1710" s="20"/>
      <c r="N1710" s="20"/>
      <c r="O1710" s="20"/>
      <c r="P1710" s="20"/>
      <c r="Q1710" s="20"/>
      <c r="R1710" s="20"/>
      <c r="S1710" s="20"/>
      <c r="T1710" s="20"/>
      <c r="U1710" s="20"/>
      <c r="V1710" s="20"/>
      <c r="W1710" s="20"/>
      <c r="X1710" s="20"/>
      <c r="Y1710" s="22"/>
      <c r="Z1710" s="22"/>
      <c r="AA1710" s="20"/>
      <c r="AB1710" s="20"/>
      <c r="AC1710" s="20"/>
      <c r="AD1710" s="20"/>
      <c r="AE1710" s="20"/>
      <c r="AF1710" s="20"/>
      <c r="AG1710" s="20"/>
      <c r="AH1710" s="20"/>
      <c r="AI1710" s="20"/>
      <c r="AJ1710" s="20"/>
      <c r="AK1710" s="20"/>
      <c r="AL1710" s="20"/>
      <c r="AM1710" s="20"/>
      <c r="AN1710" s="20"/>
      <c r="AS1710" s="11"/>
      <c r="AT1710" s="12"/>
    </row>
    <row r="1711" ht="14.25" customHeight="1">
      <c r="A1711" s="20"/>
      <c r="B1711" s="20"/>
      <c r="C1711" s="20"/>
      <c r="D1711" s="21"/>
      <c r="E1711" s="20"/>
      <c r="F1711" s="20"/>
      <c r="G1711" s="20"/>
      <c r="H1711" s="20"/>
      <c r="K1711" s="10"/>
      <c r="M1711" s="20"/>
      <c r="N1711" s="20"/>
      <c r="O1711" s="20"/>
      <c r="P1711" s="20"/>
      <c r="Q1711" s="20"/>
      <c r="R1711" s="20"/>
      <c r="S1711" s="20"/>
      <c r="T1711" s="20"/>
      <c r="U1711" s="20"/>
      <c r="V1711" s="20"/>
      <c r="W1711" s="20"/>
      <c r="X1711" s="20"/>
      <c r="Y1711" s="22"/>
      <c r="Z1711" s="22"/>
      <c r="AA1711" s="20"/>
      <c r="AB1711" s="20"/>
      <c r="AC1711" s="20"/>
      <c r="AD1711" s="20"/>
      <c r="AE1711" s="20"/>
      <c r="AF1711" s="20"/>
      <c r="AG1711" s="20"/>
      <c r="AH1711" s="20"/>
      <c r="AI1711" s="20"/>
      <c r="AJ1711" s="20"/>
      <c r="AK1711" s="20"/>
      <c r="AL1711" s="20"/>
      <c r="AM1711" s="20"/>
      <c r="AN1711" s="20"/>
      <c r="AS1711" s="11"/>
      <c r="AT1711" s="12"/>
    </row>
    <row r="1712" ht="14.25" customHeight="1">
      <c r="A1712" s="20"/>
      <c r="B1712" s="20"/>
      <c r="C1712" s="20"/>
      <c r="D1712" s="21"/>
      <c r="E1712" s="20"/>
      <c r="F1712" s="20"/>
      <c r="G1712" s="20"/>
      <c r="H1712" s="20"/>
      <c r="K1712" s="10"/>
      <c r="M1712" s="20"/>
      <c r="N1712" s="20"/>
      <c r="O1712" s="20"/>
      <c r="P1712" s="20"/>
      <c r="Q1712" s="20"/>
      <c r="R1712" s="20"/>
      <c r="S1712" s="20"/>
      <c r="T1712" s="20"/>
      <c r="U1712" s="20"/>
      <c r="V1712" s="20"/>
      <c r="W1712" s="20"/>
      <c r="X1712" s="20"/>
      <c r="Y1712" s="22"/>
      <c r="Z1712" s="22"/>
      <c r="AA1712" s="20"/>
      <c r="AB1712" s="20"/>
      <c r="AC1712" s="20"/>
      <c r="AD1712" s="20"/>
      <c r="AE1712" s="20"/>
      <c r="AF1712" s="20"/>
      <c r="AG1712" s="20"/>
      <c r="AH1712" s="20"/>
      <c r="AI1712" s="20"/>
      <c r="AJ1712" s="20"/>
      <c r="AK1712" s="20"/>
      <c r="AL1712" s="20"/>
      <c r="AM1712" s="20"/>
      <c r="AN1712" s="20"/>
      <c r="AS1712" s="11"/>
      <c r="AT1712" s="12"/>
    </row>
    <row r="1713" ht="14.25" customHeight="1">
      <c r="A1713" s="20"/>
      <c r="B1713" s="20"/>
      <c r="C1713" s="20"/>
      <c r="D1713" s="21"/>
      <c r="E1713" s="20"/>
      <c r="F1713" s="20"/>
      <c r="G1713" s="20"/>
      <c r="H1713" s="20"/>
      <c r="K1713" s="10"/>
      <c r="M1713" s="20"/>
      <c r="N1713" s="20"/>
      <c r="O1713" s="20"/>
      <c r="P1713" s="20"/>
      <c r="Q1713" s="20"/>
      <c r="R1713" s="20"/>
      <c r="S1713" s="20"/>
      <c r="T1713" s="20"/>
      <c r="U1713" s="20"/>
      <c r="V1713" s="20"/>
      <c r="W1713" s="20"/>
      <c r="X1713" s="20"/>
      <c r="Y1713" s="22"/>
      <c r="Z1713" s="22"/>
      <c r="AA1713" s="20"/>
      <c r="AB1713" s="20"/>
      <c r="AC1713" s="20"/>
      <c r="AD1713" s="20"/>
      <c r="AE1713" s="20"/>
      <c r="AF1713" s="20"/>
      <c r="AG1713" s="20"/>
      <c r="AH1713" s="20"/>
      <c r="AI1713" s="20"/>
      <c r="AJ1713" s="20"/>
      <c r="AK1713" s="20"/>
      <c r="AL1713" s="20"/>
      <c r="AM1713" s="20"/>
      <c r="AN1713" s="20"/>
      <c r="AS1713" s="11"/>
      <c r="AT1713" s="12"/>
    </row>
    <row r="1714" ht="14.25" customHeight="1">
      <c r="A1714" s="20"/>
      <c r="B1714" s="20"/>
      <c r="C1714" s="20"/>
      <c r="D1714" s="21"/>
      <c r="E1714" s="20"/>
      <c r="F1714" s="20"/>
      <c r="G1714" s="20"/>
      <c r="H1714" s="20"/>
      <c r="K1714" s="10"/>
      <c r="M1714" s="20"/>
      <c r="N1714" s="20"/>
      <c r="O1714" s="20"/>
      <c r="P1714" s="20"/>
      <c r="Q1714" s="20"/>
      <c r="R1714" s="20"/>
      <c r="S1714" s="20"/>
      <c r="T1714" s="20"/>
      <c r="U1714" s="20"/>
      <c r="V1714" s="20"/>
      <c r="W1714" s="20"/>
      <c r="X1714" s="20"/>
      <c r="Y1714" s="22"/>
      <c r="Z1714" s="22"/>
      <c r="AA1714" s="20"/>
      <c r="AB1714" s="20"/>
      <c r="AC1714" s="20"/>
      <c r="AD1714" s="20"/>
      <c r="AE1714" s="20"/>
      <c r="AF1714" s="20"/>
      <c r="AG1714" s="20"/>
      <c r="AH1714" s="20"/>
      <c r="AI1714" s="20"/>
      <c r="AJ1714" s="20"/>
      <c r="AK1714" s="20"/>
      <c r="AL1714" s="20"/>
      <c r="AM1714" s="20"/>
      <c r="AN1714" s="20"/>
      <c r="AS1714" s="11"/>
      <c r="AT1714" s="12"/>
    </row>
    <row r="1715" ht="14.25" customHeight="1">
      <c r="A1715" s="20"/>
      <c r="B1715" s="20"/>
      <c r="C1715" s="20"/>
      <c r="D1715" s="21"/>
      <c r="E1715" s="20"/>
      <c r="F1715" s="20"/>
      <c r="G1715" s="20"/>
      <c r="H1715" s="20"/>
      <c r="K1715" s="10"/>
      <c r="M1715" s="20"/>
      <c r="N1715" s="20"/>
      <c r="O1715" s="20"/>
      <c r="P1715" s="20"/>
      <c r="Q1715" s="20"/>
      <c r="R1715" s="20"/>
      <c r="S1715" s="20"/>
      <c r="T1715" s="20"/>
      <c r="U1715" s="20"/>
      <c r="V1715" s="20"/>
      <c r="W1715" s="20"/>
      <c r="X1715" s="20"/>
      <c r="Y1715" s="22"/>
      <c r="Z1715" s="22"/>
      <c r="AA1715" s="20"/>
      <c r="AB1715" s="20"/>
      <c r="AC1715" s="20"/>
      <c r="AD1715" s="20"/>
      <c r="AE1715" s="20"/>
      <c r="AF1715" s="20"/>
      <c r="AG1715" s="20"/>
      <c r="AH1715" s="20"/>
      <c r="AI1715" s="20"/>
      <c r="AJ1715" s="20"/>
      <c r="AK1715" s="20"/>
      <c r="AL1715" s="20"/>
      <c r="AM1715" s="20"/>
      <c r="AN1715" s="20"/>
      <c r="AS1715" s="11"/>
      <c r="AT1715" s="12"/>
    </row>
    <row r="1716" ht="14.25" customHeight="1">
      <c r="A1716" s="20"/>
      <c r="B1716" s="20"/>
      <c r="C1716" s="20"/>
      <c r="D1716" s="21"/>
      <c r="E1716" s="20"/>
      <c r="F1716" s="20"/>
      <c r="G1716" s="20"/>
      <c r="H1716" s="20"/>
      <c r="K1716" s="10"/>
      <c r="M1716" s="20"/>
      <c r="N1716" s="20"/>
      <c r="O1716" s="20"/>
      <c r="P1716" s="20"/>
      <c r="Q1716" s="20"/>
      <c r="R1716" s="20"/>
      <c r="S1716" s="20"/>
      <c r="T1716" s="20"/>
      <c r="U1716" s="20"/>
      <c r="V1716" s="20"/>
      <c r="W1716" s="20"/>
      <c r="X1716" s="20"/>
      <c r="Y1716" s="22"/>
      <c r="Z1716" s="22"/>
      <c r="AA1716" s="20"/>
      <c r="AB1716" s="20"/>
      <c r="AC1716" s="20"/>
      <c r="AD1716" s="20"/>
      <c r="AE1716" s="20"/>
      <c r="AF1716" s="20"/>
      <c r="AG1716" s="20"/>
      <c r="AH1716" s="20"/>
      <c r="AI1716" s="20"/>
      <c r="AJ1716" s="20"/>
      <c r="AK1716" s="20"/>
      <c r="AL1716" s="20"/>
      <c r="AM1716" s="20"/>
      <c r="AN1716" s="20"/>
      <c r="AS1716" s="11"/>
      <c r="AT1716" s="12"/>
    </row>
    <row r="1717" ht="14.25" customHeight="1">
      <c r="A1717" s="20"/>
      <c r="B1717" s="20"/>
      <c r="C1717" s="20"/>
      <c r="D1717" s="21"/>
      <c r="E1717" s="20"/>
      <c r="F1717" s="20"/>
      <c r="G1717" s="20"/>
      <c r="H1717" s="20"/>
      <c r="K1717" s="10"/>
      <c r="M1717" s="20"/>
      <c r="N1717" s="20"/>
      <c r="O1717" s="20"/>
      <c r="P1717" s="20"/>
      <c r="Q1717" s="20"/>
      <c r="R1717" s="20"/>
      <c r="S1717" s="20"/>
      <c r="T1717" s="20"/>
      <c r="U1717" s="20"/>
      <c r="V1717" s="20"/>
      <c r="W1717" s="20"/>
      <c r="X1717" s="20"/>
      <c r="Y1717" s="22"/>
      <c r="Z1717" s="22"/>
      <c r="AA1717" s="20"/>
      <c r="AB1717" s="20"/>
      <c r="AC1717" s="20"/>
      <c r="AD1717" s="20"/>
      <c r="AE1717" s="20"/>
      <c r="AF1717" s="20"/>
      <c r="AG1717" s="20"/>
      <c r="AH1717" s="20"/>
      <c r="AI1717" s="20"/>
      <c r="AJ1717" s="20"/>
      <c r="AK1717" s="20"/>
      <c r="AL1717" s="20"/>
      <c r="AM1717" s="20"/>
      <c r="AN1717" s="20"/>
      <c r="AS1717" s="11"/>
      <c r="AT1717" s="12"/>
    </row>
    <row r="1718" ht="14.25" customHeight="1">
      <c r="A1718" s="20"/>
      <c r="B1718" s="20"/>
      <c r="C1718" s="20"/>
      <c r="D1718" s="21"/>
      <c r="E1718" s="20"/>
      <c r="F1718" s="20"/>
      <c r="G1718" s="20"/>
      <c r="H1718" s="20"/>
      <c r="K1718" s="10"/>
      <c r="M1718" s="20"/>
      <c r="N1718" s="20"/>
      <c r="O1718" s="20"/>
      <c r="P1718" s="20"/>
      <c r="Q1718" s="20"/>
      <c r="R1718" s="20"/>
      <c r="S1718" s="20"/>
      <c r="T1718" s="20"/>
      <c r="U1718" s="20"/>
      <c r="V1718" s="20"/>
      <c r="W1718" s="20"/>
      <c r="X1718" s="20"/>
      <c r="Y1718" s="22"/>
      <c r="Z1718" s="22"/>
      <c r="AA1718" s="20"/>
      <c r="AB1718" s="20"/>
      <c r="AC1718" s="20"/>
      <c r="AD1718" s="20"/>
      <c r="AE1718" s="20"/>
      <c r="AF1718" s="20"/>
      <c r="AG1718" s="20"/>
      <c r="AH1718" s="20"/>
      <c r="AI1718" s="20"/>
      <c r="AJ1718" s="20"/>
      <c r="AK1718" s="20"/>
      <c r="AL1718" s="20"/>
      <c r="AM1718" s="20"/>
      <c r="AN1718" s="20"/>
      <c r="AS1718" s="11"/>
      <c r="AT1718" s="12"/>
    </row>
    <row r="1719" ht="14.25" customHeight="1">
      <c r="A1719" s="20"/>
      <c r="B1719" s="20"/>
      <c r="C1719" s="20"/>
      <c r="D1719" s="21"/>
      <c r="E1719" s="20"/>
      <c r="F1719" s="20"/>
      <c r="G1719" s="20"/>
      <c r="H1719" s="20"/>
      <c r="K1719" s="10"/>
      <c r="M1719" s="20"/>
      <c r="N1719" s="20"/>
      <c r="O1719" s="20"/>
      <c r="P1719" s="20"/>
      <c r="Q1719" s="20"/>
      <c r="R1719" s="20"/>
      <c r="S1719" s="20"/>
      <c r="T1719" s="20"/>
      <c r="U1719" s="20"/>
      <c r="V1719" s="20"/>
      <c r="W1719" s="20"/>
      <c r="X1719" s="20"/>
      <c r="Y1719" s="22"/>
      <c r="Z1719" s="22"/>
      <c r="AA1719" s="20"/>
      <c r="AB1719" s="20"/>
      <c r="AC1719" s="20"/>
      <c r="AD1719" s="20"/>
      <c r="AE1719" s="20"/>
      <c r="AF1719" s="20"/>
      <c r="AG1719" s="20"/>
      <c r="AH1719" s="20"/>
      <c r="AI1719" s="20"/>
      <c r="AJ1719" s="20"/>
      <c r="AK1719" s="20"/>
      <c r="AL1719" s="20"/>
      <c r="AM1719" s="20"/>
      <c r="AN1719" s="20"/>
      <c r="AS1719" s="11"/>
      <c r="AT1719" s="12"/>
    </row>
    <row r="1720" ht="14.25" customHeight="1">
      <c r="A1720" s="20"/>
      <c r="B1720" s="20"/>
      <c r="C1720" s="20"/>
      <c r="D1720" s="21"/>
      <c r="E1720" s="20"/>
      <c r="F1720" s="20"/>
      <c r="G1720" s="20"/>
      <c r="H1720" s="20"/>
      <c r="K1720" s="10"/>
      <c r="M1720" s="20"/>
      <c r="N1720" s="20"/>
      <c r="O1720" s="20"/>
      <c r="P1720" s="20"/>
      <c r="Q1720" s="20"/>
      <c r="R1720" s="20"/>
      <c r="S1720" s="20"/>
      <c r="T1720" s="20"/>
      <c r="U1720" s="20"/>
      <c r="V1720" s="20"/>
      <c r="W1720" s="20"/>
      <c r="X1720" s="20"/>
      <c r="Y1720" s="22"/>
      <c r="Z1720" s="22"/>
      <c r="AA1720" s="20"/>
      <c r="AB1720" s="20"/>
      <c r="AC1720" s="20"/>
      <c r="AD1720" s="20"/>
      <c r="AE1720" s="20"/>
      <c r="AF1720" s="20"/>
      <c r="AG1720" s="20"/>
      <c r="AH1720" s="20"/>
      <c r="AI1720" s="20"/>
      <c r="AJ1720" s="20"/>
      <c r="AK1720" s="20"/>
      <c r="AL1720" s="20"/>
      <c r="AM1720" s="20"/>
      <c r="AN1720" s="20"/>
      <c r="AS1720" s="11"/>
      <c r="AT1720" s="12"/>
    </row>
    <row r="1721" ht="14.25" customHeight="1">
      <c r="A1721" s="20"/>
      <c r="B1721" s="20"/>
      <c r="C1721" s="20"/>
      <c r="D1721" s="21"/>
      <c r="E1721" s="20"/>
      <c r="F1721" s="20"/>
      <c r="G1721" s="20"/>
      <c r="H1721" s="20"/>
      <c r="K1721" s="10"/>
      <c r="M1721" s="20"/>
      <c r="N1721" s="20"/>
      <c r="O1721" s="20"/>
      <c r="P1721" s="20"/>
      <c r="Q1721" s="20"/>
      <c r="R1721" s="20"/>
      <c r="S1721" s="20"/>
      <c r="T1721" s="20"/>
      <c r="U1721" s="20"/>
      <c r="V1721" s="20"/>
      <c r="W1721" s="20"/>
      <c r="X1721" s="20"/>
      <c r="Y1721" s="22"/>
      <c r="Z1721" s="22"/>
      <c r="AA1721" s="20"/>
      <c r="AB1721" s="20"/>
      <c r="AC1721" s="20"/>
      <c r="AD1721" s="20"/>
      <c r="AE1721" s="20"/>
      <c r="AF1721" s="20"/>
      <c r="AG1721" s="20"/>
      <c r="AH1721" s="20"/>
      <c r="AI1721" s="20"/>
      <c r="AJ1721" s="20"/>
      <c r="AK1721" s="20"/>
      <c r="AL1721" s="20"/>
      <c r="AM1721" s="20"/>
      <c r="AN1721" s="20"/>
      <c r="AS1721" s="11"/>
      <c r="AT1721" s="12"/>
    </row>
    <row r="1722" ht="14.25" customHeight="1">
      <c r="A1722" s="20"/>
      <c r="B1722" s="20"/>
      <c r="C1722" s="20"/>
      <c r="D1722" s="21"/>
      <c r="E1722" s="20"/>
      <c r="F1722" s="20"/>
      <c r="G1722" s="20"/>
      <c r="H1722" s="20"/>
      <c r="K1722" s="10"/>
      <c r="M1722" s="20"/>
      <c r="N1722" s="20"/>
      <c r="O1722" s="20"/>
      <c r="P1722" s="20"/>
      <c r="Q1722" s="20"/>
      <c r="R1722" s="20"/>
      <c r="S1722" s="20"/>
      <c r="T1722" s="20"/>
      <c r="U1722" s="20"/>
      <c r="V1722" s="20"/>
      <c r="W1722" s="20"/>
      <c r="X1722" s="20"/>
      <c r="Y1722" s="22"/>
      <c r="Z1722" s="22"/>
      <c r="AA1722" s="20"/>
      <c r="AB1722" s="20"/>
      <c r="AC1722" s="20"/>
      <c r="AD1722" s="20"/>
      <c r="AE1722" s="20"/>
      <c r="AF1722" s="20"/>
      <c r="AG1722" s="20"/>
      <c r="AH1722" s="20"/>
      <c r="AI1722" s="20"/>
      <c r="AJ1722" s="20"/>
      <c r="AK1722" s="20"/>
      <c r="AL1722" s="20"/>
      <c r="AM1722" s="20"/>
      <c r="AN1722" s="20"/>
      <c r="AS1722" s="11"/>
      <c r="AT1722" s="12"/>
    </row>
    <row r="1723" ht="14.25" customHeight="1">
      <c r="A1723" s="20"/>
      <c r="B1723" s="20"/>
      <c r="C1723" s="20"/>
      <c r="D1723" s="21"/>
      <c r="E1723" s="20"/>
      <c r="F1723" s="20"/>
      <c r="G1723" s="20"/>
      <c r="H1723" s="20"/>
      <c r="K1723" s="10"/>
      <c r="M1723" s="20"/>
      <c r="N1723" s="20"/>
      <c r="O1723" s="20"/>
      <c r="P1723" s="20"/>
      <c r="Q1723" s="20"/>
      <c r="R1723" s="20"/>
      <c r="S1723" s="20"/>
      <c r="T1723" s="20"/>
      <c r="U1723" s="20"/>
      <c r="V1723" s="20"/>
      <c r="W1723" s="20"/>
      <c r="X1723" s="20"/>
      <c r="Y1723" s="22"/>
      <c r="Z1723" s="22"/>
      <c r="AA1723" s="20"/>
      <c r="AB1723" s="20"/>
      <c r="AC1723" s="20"/>
      <c r="AD1723" s="20"/>
      <c r="AE1723" s="20"/>
      <c r="AF1723" s="20"/>
      <c r="AG1723" s="20"/>
      <c r="AH1723" s="20"/>
      <c r="AI1723" s="20"/>
      <c r="AJ1723" s="20"/>
      <c r="AK1723" s="20"/>
      <c r="AL1723" s="20"/>
      <c r="AM1723" s="20"/>
      <c r="AN1723" s="20"/>
      <c r="AS1723" s="11"/>
      <c r="AT1723" s="12"/>
    </row>
    <row r="1724" ht="14.25" customHeight="1">
      <c r="A1724" s="20"/>
      <c r="B1724" s="20"/>
      <c r="C1724" s="20"/>
      <c r="D1724" s="21"/>
      <c r="E1724" s="20"/>
      <c r="F1724" s="20"/>
      <c r="G1724" s="20"/>
      <c r="H1724" s="20"/>
      <c r="K1724" s="10"/>
      <c r="M1724" s="20"/>
      <c r="N1724" s="20"/>
      <c r="O1724" s="20"/>
      <c r="P1724" s="20"/>
      <c r="Q1724" s="20"/>
      <c r="R1724" s="20"/>
      <c r="S1724" s="20"/>
      <c r="T1724" s="20"/>
      <c r="U1724" s="20"/>
      <c r="V1724" s="20"/>
      <c r="W1724" s="20"/>
      <c r="X1724" s="20"/>
      <c r="Y1724" s="22"/>
      <c r="Z1724" s="22"/>
      <c r="AA1724" s="20"/>
      <c r="AB1724" s="20"/>
      <c r="AC1724" s="20"/>
      <c r="AD1724" s="20"/>
      <c r="AE1724" s="20"/>
      <c r="AF1724" s="20"/>
      <c r="AG1724" s="20"/>
      <c r="AH1724" s="20"/>
      <c r="AI1724" s="20"/>
      <c r="AJ1724" s="20"/>
      <c r="AK1724" s="20"/>
      <c r="AL1724" s="20"/>
      <c r="AM1724" s="20"/>
      <c r="AN1724" s="20"/>
      <c r="AS1724" s="11"/>
      <c r="AT1724" s="12"/>
    </row>
    <row r="1725" ht="14.25" customHeight="1">
      <c r="A1725" s="20"/>
      <c r="B1725" s="20"/>
      <c r="C1725" s="20"/>
      <c r="D1725" s="21"/>
      <c r="E1725" s="20"/>
      <c r="F1725" s="20"/>
      <c r="G1725" s="20"/>
      <c r="H1725" s="20"/>
      <c r="K1725" s="10"/>
      <c r="M1725" s="20"/>
      <c r="N1725" s="20"/>
      <c r="O1725" s="20"/>
      <c r="P1725" s="20"/>
      <c r="Q1725" s="20"/>
      <c r="R1725" s="20"/>
      <c r="S1725" s="20"/>
      <c r="T1725" s="20"/>
      <c r="U1725" s="20"/>
      <c r="V1725" s="20"/>
      <c r="W1725" s="20"/>
      <c r="X1725" s="20"/>
      <c r="Y1725" s="22"/>
      <c r="Z1725" s="22"/>
      <c r="AA1725" s="20"/>
      <c r="AB1725" s="20"/>
      <c r="AC1725" s="20"/>
      <c r="AD1725" s="20"/>
      <c r="AE1725" s="20"/>
      <c r="AF1725" s="20"/>
      <c r="AG1725" s="20"/>
      <c r="AH1725" s="20"/>
      <c r="AI1725" s="20"/>
      <c r="AJ1725" s="20"/>
      <c r="AK1725" s="20"/>
      <c r="AL1725" s="20"/>
      <c r="AM1725" s="20"/>
      <c r="AN1725" s="20"/>
      <c r="AS1725" s="11"/>
      <c r="AT1725" s="12"/>
    </row>
    <row r="1726" ht="14.25" customHeight="1">
      <c r="A1726" s="20"/>
      <c r="B1726" s="20"/>
      <c r="C1726" s="20"/>
      <c r="D1726" s="21"/>
      <c r="E1726" s="20"/>
      <c r="F1726" s="20"/>
      <c r="G1726" s="20"/>
      <c r="H1726" s="20"/>
      <c r="K1726" s="10"/>
      <c r="M1726" s="20"/>
      <c r="N1726" s="20"/>
      <c r="O1726" s="20"/>
      <c r="P1726" s="20"/>
      <c r="Q1726" s="20"/>
      <c r="R1726" s="20"/>
      <c r="S1726" s="20"/>
      <c r="T1726" s="20"/>
      <c r="U1726" s="20"/>
      <c r="V1726" s="20"/>
      <c r="W1726" s="20"/>
      <c r="X1726" s="20"/>
      <c r="Y1726" s="22"/>
      <c r="Z1726" s="22"/>
      <c r="AA1726" s="20"/>
      <c r="AB1726" s="20"/>
      <c r="AC1726" s="20"/>
      <c r="AD1726" s="20"/>
      <c r="AE1726" s="20"/>
      <c r="AF1726" s="20"/>
      <c r="AG1726" s="20"/>
      <c r="AH1726" s="20"/>
      <c r="AI1726" s="20"/>
      <c r="AJ1726" s="20"/>
      <c r="AK1726" s="20"/>
      <c r="AL1726" s="20"/>
      <c r="AM1726" s="20"/>
      <c r="AN1726" s="20"/>
      <c r="AS1726" s="11"/>
      <c r="AT1726" s="12"/>
    </row>
    <row r="1727" ht="14.25" customHeight="1">
      <c r="A1727" s="20"/>
      <c r="B1727" s="20"/>
      <c r="C1727" s="20"/>
      <c r="D1727" s="21"/>
      <c r="E1727" s="20"/>
      <c r="F1727" s="20"/>
      <c r="G1727" s="20"/>
      <c r="H1727" s="20"/>
      <c r="K1727" s="10"/>
      <c r="M1727" s="20"/>
      <c r="N1727" s="20"/>
      <c r="O1727" s="20"/>
      <c r="P1727" s="20"/>
      <c r="Q1727" s="20"/>
      <c r="R1727" s="20"/>
      <c r="S1727" s="20"/>
      <c r="T1727" s="20"/>
      <c r="U1727" s="20"/>
      <c r="V1727" s="20"/>
      <c r="W1727" s="20"/>
      <c r="X1727" s="20"/>
      <c r="Y1727" s="22"/>
      <c r="Z1727" s="22"/>
      <c r="AA1727" s="20"/>
      <c r="AB1727" s="20"/>
      <c r="AC1727" s="20"/>
      <c r="AD1727" s="20"/>
      <c r="AE1727" s="20"/>
      <c r="AF1727" s="20"/>
      <c r="AG1727" s="20"/>
      <c r="AH1727" s="20"/>
      <c r="AI1727" s="20"/>
      <c r="AJ1727" s="20"/>
      <c r="AK1727" s="20"/>
      <c r="AL1727" s="20"/>
      <c r="AM1727" s="20"/>
      <c r="AN1727" s="20"/>
      <c r="AS1727" s="11"/>
      <c r="AT1727" s="12"/>
    </row>
    <row r="1728" ht="14.25" customHeight="1">
      <c r="A1728" s="20"/>
      <c r="B1728" s="20"/>
      <c r="C1728" s="20"/>
      <c r="D1728" s="21"/>
      <c r="E1728" s="20"/>
      <c r="F1728" s="20"/>
      <c r="G1728" s="20"/>
      <c r="H1728" s="20"/>
      <c r="K1728" s="10"/>
      <c r="M1728" s="20"/>
      <c r="N1728" s="20"/>
      <c r="O1728" s="20"/>
      <c r="P1728" s="20"/>
      <c r="Q1728" s="20"/>
      <c r="R1728" s="20"/>
      <c r="S1728" s="20"/>
      <c r="T1728" s="20"/>
      <c r="U1728" s="20"/>
      <c r="V1728" s="20"/>
      <c r="W1728" s="20"/>
      <c r="X1728" s="20"/>
      <c r="Y1728" s="22"/>
      <c r="Z1728" s="22"/>
      <c r="AA1728" s="20"/>
      <c r="AB1728" s="20"/>
      <c r="AC1728" s="20"/>
      <c r="AD1728" s="20"/>
      <c r="AE1728" s="20"/>
      <c r="AF1728" s="20"/>
      <c r="AG1728" s="20"/>
      <c r="AH1728" s="20"/>
      <c r="AI1728" s="20"/>
      <c r="AJ1728" s="20"/>
      <c r="AK1728" s="20"/>
      <c r="AL1728" s="20"/>
      <c r="AM1728" s="20"/>
      <c r="AN1728" s="20"/>
      <c r="AS1728" s="11"/>
      <c r="AT1728" s="12"/>
    </row>
    <row r="1729" ht="14.25" customHeight="1">
      <c r="A1729" s="20"/>
      <c r="B1729" s="20"/>
      <c r="C1729" s="20"/>
      <c r="D1729" s="21"/>
      <c r="E1729" s="20"/>
      <c r="F1729" s="20"/>
      <c r="G1729" s="20"/>
      <c r="H1729" s="20"/>
      <c r="K1729" s="10"/>
      <c r="M1729" s="20"/>
      <c r="N1729" s="20"/>
      <c r="O1729" s="20"/>
      <c r="P1729" s="20"/>
      <c r="Q1729" s="20"/>
      <c r="R1729" s="20"/>
      <c r="S1729" s="20"/>
      <c r="T1729" s="20"/>
      <c r="U1729" s="20"/>
      <c r="V1729" s="20"/>
      <c r="W1729" s="20"/>
      <c r="X1729" s="20"/>
      <c r="Y1729" s="22"/>
      <c r="Z1729" s="22"/>
      <c r="AA1729" s="20"/>
      <c r="AB1729" s="20"/>
      <c r="AC1729" s="20"/>
      <c r="AD1729" s="20"/>
      <c r="AE1729" s="20"/>
      <c r="AF1729" s="20"/>
      <c r="AG1729" s="20"/>
      <c r="AH1729" s="20"/>
      <c r="AI1729" s="20"/>
      <c r="AJ1729" s="20"/>
      <c r="AK1729" s="20"/>
      <c r="AL1729" s="20"/>
      <c r="AM1729" s="20"/>
      <c r="AN1729" s="20"/>
      <c r="AS1729" s="11"/>
      <c r="AT1729" s="12"/>
    </row>
    <row r="1730" ht="14.25" customHeight="1">
      <c r="A1730" s="20"/>
      <c r="B1730" s="20"/>
      <c r="C1730" s="20"/>
      <c r="D1730" s="21"/>
      <c r="E1730" s="20"/>
      <c r="F1730" s="20"/>
      <c r="G1730" s="20"/>
      <c r="H1730" s="20"/>
      <c r="K1730" s="10"/>
      <c r="M1730" s="20"/>
      <c r="N1730" s="20"/>
      <c r="O1730" s="20"/>
      <c r="P1730" s="20"/>
      <c r="Q1730" s="20"/>
      <c r="R1730" s="20"/>
      <c r="S1730" s="20"/>
      <c r="T1730" s="20"/>
      <c r="U1730" s="20"/>
      <c r="V1730" s="20"/>
      <c r="W1730" s="20"/>
      <c r="X1730" s="20"/>
      <c r="Y1730" s="22"/>
      <c r="Z1730" s="22"/>
      <c r="AA1730" s="20"/>
      <c r="AB1730" s="20"/>
      <c r="AC1730" s="20"/>
      <c r="AD1730" s="20"/>
      <c r="AE1730" s="20"/>
      <c r="AF1730" s="20"/>
      <c r="AG1730" s="20"/>
      <c r="AH1730" s="20"/>
      <c r="AI1730" s="20"/>
      <c r="AJ1730" s="20"/>
      <c r="AK1730" s="20"/>
      <c r="AL1730" s="20"/>
      <c r="AM1730" s="20"/>
      <c r="AN1730" s="20"/>
      <c r="AS1730" s="11"/>
      <c r="AT1730" s="12"/>
    </row>
    <row r="1731" ht="14.25" customHeight="1">
      <c r="A1731" s="20"/>
      <c r="B1731" s="20"/>
      <c r="C1731" s="20"/>
      <c r="D1731" s="21"/>
      <c r="E1731" s="20"/>
      <c r="F1731" s="20"/>
      <c r="G1731" s="20"/>
      <c r="H1731" s="20"/>
      <c r="K1731" s="10"/>
      <c r="M1731" s="20"/>
      <c r="N1731" s="20"/>
      <c r="O1731" s="20"/>
      <c r="P1731" s="20"/>
      <c r="Q1731" s="20"/>
      <c r="R1731" s="20"/>
      <c r="S1731" s="20"/>
      <c r="T1731" s="20"/>
      <c r="U1731" s="20"/>
      <c r="V1731" s="20"/>
      <c r="W1731" s="20"/>
      <c r="X1731" s="20"/>
      <c r="Y1731" s="22"/>
      <c r="Z1731" s="22"/>
      <c r="AA1731" s="20"/>
      <c r="AB1731" s="20"/>
      <c r="AC1731" s="20"/>
      <c r="AD1731" s="20"/>
      <c r="AE1731" s="20"/>
      <c r="AF1731" s="20"/>
      <c r="AG1731" s="20"/>
      <c r="AH1731" s="20"/>
      <c r="AI1731" s="20"/>
      <c r="AJ1731" s="20"/>
      <c r="AK1731" s="20"/>
      <c r="AL1731" s="20"/>
      <c r="AM1731" s="20"/>
      <c r="AN1731" s="20"/>
      <c r="AS1731" s="11"/>
      <c r="AT1731" s="12"/>
    </row>
    <row r="1732" ht="14.25" customHeight="1">
      <c r="A1732" s="20"/>
      <c r="B1732" s="20"/>
      <c r="C1732" s="20"/>
      <c r="D1732" s="21"/>
      <c r="E1732" s="20"/>
      <c r="F1732" s="20"/>
      <c r="G1732" s="20"/>
      <c r="H1732" s="20"/>
      <c r="K1732" s="10"/>
      <c r="M1732" s="20"/>
      <c r="N1732" s="20"/>
      <c r="O1732" s="20"/>
      <c r="P1732" s="20"/>
      <c r="Q1732" s="20"/>
      <c r="R1732" s="20"/>
      <c r="S1732" s="20"/>
      <c r="T1732" s="20"/>
      <c r="U1732" s="20"/>
      <c r="V1732" s="20"/>
      <c r="W1732" s="20"/>
      <c r="X1732" s="20"/>
      <c r="Y1732" s="22"/>
      <c r="Z1732" s="22"/>
      <c r="AA1732" s="20"/>
      <c r="AB1732" s="20"/>
      <c r="AC1732" s="20"/>
      <c r="AD1732" s="20"/>
      <c r="AE1732" s="20"/>
      <c r="AF1732" s="20"/>
      <c r="AG1732" s="20"/>
      <c r="AH1732" s="20"/>
      <c r="AI1732" s="20"/>
      <c r="AJ1732" s="20"/>
      <c r="AK1732" s="20"/>
      <c r="AL1732" s="20"/>
      <c r="AM1732" s="20"/>
      <c r="AN1732" s="20"/>
      <c r="AS1732" s="11"/>
      <c r="AT1732" s="12"/>
    </row>
    <row r="1733" ht="14.25" customHeight="1">
      <c r="A1733" s="20"/>
      <c r="B1733" s="20"/>
      <c r="C1733" s="20"/>
      <c r="D1733" s="21"/>
      <c r="E1733" s="20"/>
      <c r="F1733" s="20"/>
      <c r="G1733" s="20"/>
      <c r="H1733" s="20"/>
      <c r="K1733" s="10"/>
      <c r="M1733" s="20"/>
      <c r="N1733" s="20"/>
      <c r="O1733" s="20"/>
      <c r="P1733" s="20"/>
      <c r="Q1733" s="20"/>
      <c r="R1733" s="20"/>
      <c r="S1733" s="20"/>
      <c r="T1733" s="20"/>
      <c r="U1733" s="20"/>
      <c r="V1733" s="20"/>
      <c r="W1733" s="20"/>
      <c r="X1733" s="20"/>
      <c r="Y1733" s="22"/>
      <c r="Z1733" s="22"/>
      <c r="AA1733" s="20"/>
      <c r="AB1733" s="20"/>
      <c r="AC1733" s="20"/>
      <c r="AD1733" s="20"/>
      <c r="AE1733" s="20"/>
      <c r="AF1733" s="20"/>
      <c r="AG1733" s="20"/>
      <c r="AH1733" s="20"/>
      <c r="AI1733" s="20"/>
      <c r="AJ1733" s="20"/>
      <c r="AK1733" s="20"/>
      <c r="AL1733" s="20"/>
      <c r="AM1733" s="20"/>
      <c r="AN1733" s="20"/>
      <c r="AS1733" s="11"/>
      <c r="AT1733" s="12"/>
    </row>
    <row r="1734" ht="14.25" customHeight="1">
      <c r="A1734" s="20"/>
      <c r="B1734" s="20"/>
      <c r="C1734" s="20"/>
      <c r="D1734" s="21"/>
      <c r="E1734" s="20"/>
      <c r="F1734" s="20"/>
      <c r="G1734" s="20"/>
      <c r="H1734" s="20"/>
      <c r="K1734" s="10"/>
      <c r="M1734" s="20"/>
      <c r="N1734" s="20"/>
      <c r="O1734" s="20"/>
      <c r="P1734" s="20"/>
      <c r="Q1734" s="20"/>
      <c r="R1734" s="20"/>
      <c r="S1734" s="20"/>
      <c r="T1734" s="20"/>
      <c r="U1734" s="20"/>
      <c r="V1734" s="20"/>
      <c r="W1734" s="20"/>
      <c r="X1734" s="20"/>
      <c r="Y1734" s="22"/>
      <c r="Z1734" s="22"/>
      <c r="AA1734" s="20"/>
      <c r="AB1734" s="20"/>
      <c r="AC1734" s="20"/>
      <c r="AD1734" s="20"/>
      <c r="AE1734" s="20"/>
      <c r="AF1734" s="20"/>
      <c r="AG1734" s="20"/>
      <c r="AH1734" s="20"/>
      <c r="AI1734" s="20"/>
      <c r="AJ1734" s="20"/>
      <c r="AK1734" s="20"/>
      <c r="AL1734" s="20"/>
      <c r="AM1734" s="20"/>
      <c r="AN1734" s="20"/>
      <c r="AS1734" s="11"/>
      <c r="AT1734" s="12"/>
    </row>
    <row r="1735" ht="14.25" customHeight="1">
      <c r="A1735" s="20"/>
      <c r="B1735" s="20"/>
      <c r="C1735" s="20"/>
      <c r="D1735" s="21"/>
      <c r="E1735" s="20"/>
      <c r="F1735" s="20"/>
      <c r="G1735" s="20"/>
      <c r="H1735" s="20"/>
      <c r="K1735" s="10"/>
      <c r="M1735" s="20"/>
      <c r="N1735" s="20"/>
      <c r="O1735" s="20"/>
      <c r="P1735" s="20"/>
      <c r="Q1735" s="20"/>
      <c r="R1735" s="20"/>
      <c r="S1735" s="20"/>
      <c r="T1735" s="20"/>
      <c r="U1735" s="20"/>
      <c r="V1735" s="20"/>
      <c r="W1735" s="20"/>
      <c r="X1735" s="20"/>
      <c r="Y1735" s="22"/>
      <c r="Z1735" s="22"/>
      <c r="AA1735" s="20"/>
      <c r="AB1735" s="20"/>
      <c r="AC1735" s="20"/>
      <c r="AD1735" s="20"/>
      <c r="AE1735" s="20"/>
      <c r="AF1735" s="20"/>
      <c r="AG1735" s="20"/>
      <c r="AH1735" s="20"/>
      <c r="AI1735" s="20"/>
      <c r="AJ1735" s="20"/>
      <c r="AK1735" s="20"/>
      <c r="AL1735" s="20"/>
      <c r="AM1735" s="20"/>
      <c r="AN1735" s="20"/>
      <c r="AS1735" s="11"/>
      <c r="AT1735" s="12"/>
    </row>
    <row r="1736" ht="14.25" customHeight="1">
      <c r="A1736" s="20"/>
      <c r="B1736" s="20"/>
      <c r="C1736" s="20"/>
      <c r="D1736" s="21"/>
      <c r="E1736" s="20"/>
      <c r="F1736" s="20"/>
      <c r="G1736" s="20"/>
      <c r="H1736" s="20"/>
      <c r="K1736" s="10"/>
      <c r="M1736" s="20"/>
      <c r="N1736" s="20"/>
      <c r="O1736" s="20"/>
      <c r="P1736" s="20"/>
      <c r="Q1736" s="20"/>
      <c r="R1736" s="20"/>
      <c r="S1736" s="20"/>
      <c r="T1736" s="20"/>
      <c r="U1736" s="20"/>
      <c r="V1736" s="20"/>
      <c r="W1736" s="20"/>
      <c r="X1736" s="20"/>
      <c r="Y1736" s="22"/>
      <c r="Z1736" s="22"/>
      <c r="AA1736" s="20"/>
      <c r="AB1736" s="20"/>
      <c r="AC1736" s="20"/>
      <c r="AD1736" s="20"/>
      <c r="AE1736" s="20"/>
      <c r="AF1736" s="20"/>
      <c r="AG1736" s="20"/>
      <c r="AH1736" s="20"/>
      <c r="AI1736" s="20"/>
      <c r="AJ1736" s="20"/>
      <c r="AK1736" s="20"/>
      <c r="AL1736" s="20"/>
      <c r="AM1736" s="20"/>
      <c r="AN1736" s="20"/>
      <c r="AS1736" s="11"/>
      <c r="AT1736" s="12"/>
    </row>
    <row r="1737" ht="14.25" customHeight="1">
      <c r="A1737" s="20"/>
      <c r="B1737" s="20"/>
      <c r="C1737" s="20"/>
      <c r="D1737" s="21"/>
      <c r="E1737" s="20"/>
      <c r="F1737" s="20"/>
      <c r="G1737" s="20"/>
      <c r="H1737" s="20"/>
      <c r="K1737" s="10"/>
      <c r="M1737" s="20"/>
      <c r="N1737" s="20"/>
      <c r="O1737" s="20"/>
      <c r="P1737" s="20"/>
      <c r="Q1737" s="20"/>
      <c r="R1737" s="20"/>
      <c r="S1737" s="20"/>
      <c r="T1737" s="20"/>
      <c r="U1737" s="20"/>
      <c r="V1737" s="20"/>
      <c r="W1737" s="20"/>
      <c r="X1737" s="20"/>
      <c r="Y1737" s="22"/>
      <c r="Z1737" s="22"/>
      <c r="AA1737" s="20"/>
      <c r="AB1737" s="20"/>
      <c r="AC1737" s="20"/>
      <c r="AD1737" s="20"/>
      <c r="AE1737" s="20"/>
      <c r="AF1737" s="20"/>
      <c r="AG1737" s="20"/>
      <c r="AH1737" s="20"/>
      <c r="AI1737" s="20"/>
      <c r="AJ1737" s="20"/>
      <c r="AK1737" s="20"/>
      <c r="AL1737" s="20"/>
      <c r="AM1737" s="20"/>
      <c r="AN1737" s="20"/>
      <c r="AS1737" s="11"/>
      <c r="AT1737" s="12"/>
    </row>
    <row r="1738" ht="14.25" customHeight="1">
      <c r="A1738" s="20"/>
      <c r="B1738" s="20"/>
      <c r="C1738" s="20"/>
      <c r="D1738" s="21"/>
      <c r="E1738" s="20"/>
      <c r="F1738" s="20"/>
      <c r="G1738" s="20"/>
      <c r="H1738" s="20"/>
      <c r="K1738" s="10"/>
      <c r="M1738" s="20"/>
      <c r="N1738" s="20"/>
      <c r="O1738" s="20"/>
      <c r="P1738" s="20"/>
      <c r="Q1738" s="20"/>
      <c r="R1738" s="20"/>
      <c r="S1738" s="20"/>
      <c r="T1738" s="20"/>
      <c r="U1738" s="20"/>
      <c r="V1738" s="20"/>
      <c r="W1738" s="20"/>
      <c r="X1738" s="20"/>
      <c r="Y1738" s="22"/>
      <c r="Z1738" s="22"/>
      <c r="AA1738" s="20"/>
      <c r="AB1738" s="20"/>
      <c r="AC1738" s="20"/>
      <c r="AD1738" s="20"/>
      <c r="AE1738" s="20"/>
      <c r="AF1738" s="20"/>
      <c r="AG1738" s="20"/>
      <c r="AH1738" s="20"/>
      <c r="AI1738" s="20"/>
      <c r="AJ1738" s="20"/>
      <c r="AK1738" s="20"/>
      <c r="AL1738" s="20"/>
      <c r="AM1738" s="20"/>
      <c r="AN1738" s="20"/>
      <c r="AS1738" s="11"/>
      <c r="AT1738" s="12"/>
    </row>
    <row r="1739" ht="14.25" customHeight="1">
      <c r="A1739" s="20"/>
      <c r="B1739" s="20"/>
      <c r="C1739" s="20"/>
      <c r="D1739" s="21"/>
      <c r="E1739" s="20"/>
      <c r="F1739" s="20"/>
      <c r="G1739" s="20"/>
      <c r="H1739" s="20"/>
      <c r="K1739" s="10"/>
      <c r="M1739" s="20"/>
      <c r="N1739" s="20"/>
      <c r="O1739" s="20"/>
      <c r="P1739" s="20"/>
      <c r="Q1739" s="20"/>
      <c r="R1739" s="20"/>
      <c r="S1739" s="20"/>
      <c r="T1739" s="20"/>
      <c r="U1739" s="20"/>
      <c r="V1739" s="20"/>
      <c r="W1739" s="20"/>
      <c r="X1739" s="20"/>
      <c r="Y1739" s="22"/>
      <c r="Z1739" s="22"/>
      <c r="AA1739" s="20"/>
      <c r="AB1739" s="20"/>
      <c r="AC1739" s="20"/>
      <c r="AD1739" s="20"/>
      <c r="AE1739" s="20"/>
      <c r="AF1739" s="20"/>
      <c r="AG1739" s="20"/>
      <c r="AH1739" s="20"/>
      <c r="AI1739" s="20"/>
      <c r="AJ1739" s="20"/>
      <c r="AK1739" s="20"/>
      <c r="AL1739" s="20"/>
      <c r="AM1739" s="20"/>
      <c r="AN1739" s="20"/>
      <c r="AS1739" s="11"/>
      <c r="AT1739" s="12"/>
    </row>
    <row r="1740" ht="14.25" customHeight="1">
      <c r="A1740" s="20"/>
      <c r="B1740" s="20"/>
      <c r="C1740" s="20"/>
      <c r="D1740" s="21"/>
      <c r="E1740" s="20"/>
      <c r="F1740" s="20"/>
      <c r="G1740" s="20"/>
      <c r="H1740" s="20"/>
      <c r="K1740" s="10"/>
      <c r="M1740" s="20"/>
      <c r="N1740" s="20"/>
      <c r="O1740" s="20"/>
      <c r="P1740" s="20"/>
      <c r="Q1740" s="20"/>
      <c r="R1740" s="20"/>
      <c r="S1740" s="20"/>
      <c r="T1740" s="20"/>
      <c r="U1740" s="20"/>
      <c r="V1740" s="20"/>
      <c r="W1740" s="20"/>
      <c r="X1740" s="20"/>
      <c r="Y1740" s="22"/>
      <c r="Z1740" s="22"/>
      <c r="AA1740" s="20"/>
      <c r="AB1740" s="20"/>
      <c r="AC1740" s="20"/>
      <c r="AD1740" s="20"/>
      <c r="AE1740" s="20"/>
      <c r="AF1740" s="20"/>
      <c r="AG1740" s="20"/>
      <c r="AH1740" s="20"/>
      <c r="AI1740" s="20"/>
      <c r="AJ1740" s="20"/>
      <c r="AK1740" s="20"/>
      <c r="AL1740" s="20"/>
      <c r="AM1740" s="20"/>
      <c r="AN1740" s="20"/>
      <c r="AS1740" s="11"/>
      <c r="AT1740" s="12"/>
    </row>
    <row r="1741" ht="14.25" customHeight="1">
      <c r="A1741" s="20"/>
      <c r="B1741" s="20"/>
      <c r="C1741" s="20"/>
      <c r="D1741" s="21"/>
      <c r="E1741" s="20"/>
      <c r="F1741" s="20"/>
      <c r="G1741" s="20"/>
      <c r="H1741" s="20"/>
      <c r="K1741" s="10"/>
      <c r="M1741" s="20"/>
      <c r="N1741" s="20"/>
      <c r="O1741" s="20"/>
      <c r="P1741" s="20"/>
      <c r="Q1741" s="20"/>
      <c r="R1741" s="20"/>
      <c r="S1741" s="20"/>
      <c r="T1741" s="20"/>
      <c r="U1741" s="20"/>
      <c r="V1741" s="20"/>
      <c r="W1741" s="20"/>
      <c r="X1741" s="20"/>
      <c r="Y1741" s="22"/>
      <c r="Z1741" s="22"/>
      <c r="AA1741" s="20"/>
      <c r="AB1741" s="20"/>
      <c r="AC1741" s="20"/>
      <c r="AD1741" s="20"/>
      <c r="AE1741" s="20"/>
      <c r="AF1741" s="20"/>
      <c r="AG1741" s="20"/>
      <c r="AH1741" s="20"/>
      <c r="AI1741" s="20"/>
      <c r="AJ1741" s="20"/>
      <c r="AK1741" s="20"/>
      <c r="AL1741" s="20"/>
      <c r="AM1741" s="20"/>
      <c r="AN1741" s="20"/>
      <c r="AS1741" s="11"/>
      <c r="AT1741" s="12"/>
    </row>
    <row r="1742" ht="14.25" customHeight="1">
      <c r="A1742" s="20"/>
      <c r="B1742" s="20"/>
      <c r="C1742" s="20"/>
      <c r="D1742" s="21"/>
      <c r="E1742" s="20"/>
      <c r="F1742" s="20"/>
      <c r="G1742" s="20"/>
      <c r="H1742" s="20"/>
      <c r="K1742" s="10"/>
      <c r="M1742" s="20"/>
      <c r="N1742" s="20"/>
      <c r="O1742" s="20"/>
      <c r="P1742" s="20"/>
      <c r="Q1742" s="20"/>
      <c r="R1742" s="20"/>
      <c r="S1742" s="20"/>
      <c r="T1742" s="20"/>
      <c r="U1742" s="20"/>
      <c r="V1742" s="20"/>
      <c r="W1742" s="20"/>
      <c r="X1742" s="20"/>
      <c r="Y1742" s="22"/>
      <c r="Z1742" s="22"/>
      <c r="AA1742" s="20"/>
      <c r="AB1742" s="20"/>
      <c r="AC1742" s="20"/>
      <c r="AD1742" s="20"/>
      <c r="AE1742" s="20"/>
      <c r="AF1742" s="20"/>
      <c r="AG1742" s="20"/>
      <c r="AH1742" s="20"/>
      <c r="AI1742" s="20"/>
      <c r="AJ1742" s="20"/>
      <c r="AK1742" s="20"/>
      <c r="AL1742" s="20"/>
      <c r="AM1742" s="20"/>
      <c r="AN1742" s="20"/>
      <c r="AS1742" s="11"/>
      <c r="AT1742" s="12"/>
    </row>
    <row r="1743" ht="14.25" customHeight="1">
      <c r="A1743" s="20"/>
      <c r="B1743" s="20"/>
      <c r="C1743" s="20"/>
      <c r="D1743" s="21"/>
      <c r="E1743" s="20"/>
      <c r="F1743" s="20"/>
      <c r="G1743" s="20"/>
      <c r="H1743" s="20"/>
      <c r="K1743" s="10"/>
      <c r="M1743" s="20"/>
      <c r="N1743" s="20"/>
      <c r="O1743" s="20"/>
      <c r="P1743" s="20"/>
      <c r="Q1743" s="20"/>
      <c r="R1743" s="20"/>
      <c r="S1743" s="20"/>
      <c r="T1743" s="20"/>
      <c r="U1743" s="20"/>
      <c r="V1743" s="20"/>
      <c r="W1743" s="20"/>
      <c r="X1743" s="20"/>
      <c r="Y1743" s="22"/>
      <c r="Z1743" s="22"/>
      <c r="AA1743" s="20"/>
      <c r="AB1743" s="20"/>
      <c r="AC1743" s="20"/>
      <c r="AD1743" s="20"/>
      <c r="AE1743" s="20"/>
      <c r="AF1743" s="20"/>
      <c r="AG1743" s="20"/>
      <c r="AH1743" s="20"/>
      <c r="AI1743" s="20"/>
      <c r="AJ1743" s="20"/>
      <c r="AK1743" s="20"/>
      <c r="AL1743" s="20"/>
      <c r="AM1743" s="20"/>
      <c r="AN1743" s="20"/>
      <c r="AS1743" s="11"/>
      <c r="AT1743" s="12"/>
    </row>
    <row r="1744" ht="14.25" customHeight="1">
      <c r="A1744" s="20"/>
      <c r="B1744" s="20"/>
      <c r="C1744" s="20"/>
      <c r="D1744" s="21"/>
      <c r="E1744" s="20"/>
      <c r="F1744" s="20"/>
      <c r="G1744" s="20"/>
      <c r="H1744" s="20"/>
      <c r="K1744" s="10"/>
      <c r="M1744" s="20"/>
      <c r="N1744" s="20"/>
      <c r="O1744" s="20"/>
      <c r="P1744" s="20"/>
      <c r="Q1744" s="20"/>
      <c r="R1744" s="20"/>
      <c r="S1744" s="20"/>
      <c r="T1744" s="20"/>
      <c r="U1744" s="20"/>
      <c r="V1744" s="20"/>
      <c r="W1744" s="20"/>
      <c r="X1744" s="20"/>
      <c r="Y1744" s="22"/>
      <c r="Z1744" s="22"/>
      <c r="AA1744" s="20"/>
      <c r="AB1744" s="20"/>
      <c r="AC1744" s="20"/>
      <c r="AD1744" s="20"/>
      <c r="AE1744" s="20"/>
      <c r="AF1744" s="20"/>
      <c r="AG1744" s="20"/>
      <c r="AH1744" s="20"/>
      <c r="AI1744" s="20"/>
      <c r="AJ1744" s="20"/>
      <c r="AK1744" s="20"/>
      <c r="AL1744" s="20"/>
      <c r="AM1744" s="20"/>
      <c r="AN1744" s="20"/>
      <c r="AS1744" s="11"/>
      <c r="AT1744" s="12"/>
    </row>
    <row r="1745" ht="14.25" customHeight="1">
      <c r="A1745" s="20"/>
      <c r="B1745" s="20"/>
      <c r="C1745" s="20"/>
      <c r="D1745" s="21"/>
      <c r="E1745" s="20"/>
      <c r="F1745" s="20"/>
      <c r="G1745" s="20"/>
      <c r="H1745" s="20"/>
      <c r="K1745" s="10"/>
      <c r="M1745" s="20"/>
      <c r="N1745" s="20"/>
      <c r="O1745" s="20"/>
      <c r="P1745" s="20"/>
      <c r="Q1745" s="20"/>
      <c r="R1745" s="20"/>
      <c r="S1745" s="20"/>
      <c r="T1745" s="20"/>
      <c r="U1745" s="20"/>
      <c r="V1745" s="20"/>
      <c r="W1745" s="20"/>
      <c r="X1745" s="20"/>
      <c r="Y1745" s="22"/>
      <c r="Z1745" s="22"/>
      <c r="AA1745" s="20"/>
      <c r="AB1745" s="20"/>
      <c r="AC1745" s="20"/>
      <c r="AD1745" s="20"/>
      <c r="AE1745" s="20"/>
      <c r="AF1745" s="20"/>
      <c r="AG1745" s="20"/>
      <c r="AH1745" s="20"/>
      <c r="AI1745" s="20"/>
      <c r="AJ1745" s="20"/>
      <c r="AK1745" s="20"/>
      <c r="AL1745" s="20"/>
      <c r="AM1745" s="20"/>
      <c r="AN1745" s="20"/>
      <c r="AS1745" s="11"/>
      <c r="AT1745" s="12"/>
    </row>
    <row r="1746" ht="14.25" customHeight="1">
      <c r="A1746" s="20"/>
      <c r="B1746" s="20"/>
      <c r="C1746" s="20"/>
      <c r="D1746" s="21"/>
      <c r="E1746" s="20"/>
      <c r="F1746" s="20"/>
      <c r="G1746" s="20"/>
      <c r="H1746" s="20"/>
      <c r="K1746" s="10"/>
      <c r="M1746" s="20"/>
      <c r="N1746" s="20"/>
      <c r="O1746" s="20"/>
      <c r="P1746" s="20"/>
      <c r="Q1746" s="20"/>
      <c r="R1746" s="20"/>
      <c r="S1746" s="20"/>
      <c r="T1746" s="20"/>
      <c r="U1746" s="20"/>
      <c r="V1746" s="20"/>
      <c r="W1746" s="20"/>
      <c r="X1746" s="20"/>
      <c r="Y1746" s="22"/>
      <c r="Z1746" s="22"/>
      <c r="AA1746" s="20"/>
      <c r="AB1746" s="20"/>
      <c r="AC1746" s="20"/>
      <c r="AD1746" s="20"/>
      <c r="AE1746" s="20"/>
      <c r="AF1746" s="20"/>
      <c r="AG1746" s="20"/>
      <c r="AH1746" s="20"/>
      <c r="AI1746" s="20"/>
      <c r="AJ1746" s="20"/>
      <c r="AK1746" s="20"/>
      <c r="AL1746" s="20"/>
      <c r="AM1746" s="20"/>
      <c r="AN1746" s="20"/>
      <c r="AS1746" s="11"/>
      <c r="AT1746" s="12"/>
    </row>
    <row r="1747" ht="14.25" customHeight="1">
      <c r="A1747" s="20"/>
      <c r="B1747" s="20"/>
      <c r="C1747" s="20"/>
      <c r="D1747" s="21"/>
      <c r="E1747" s="20"/>
      <c r="F1747" s="20"/>
      <c r="G1747" s="20"/>
      <c r="H1747" s="20"/>
      <c r="K1747" s="10"/>
      <c r="M1747" s="20"/>
      <c r="N1747" s="20"/>
      <c r="O1747" s="20"/>
      <c r="P1747" s="20"/>
      <c r="Q1747" s="20"/>
      <c r="R1747" s="20"/>
      <c r="S1747" s="20"/>
      <c r="T1747" s="20"/>
      <c r="U1747" s="20"/>
      <c r="V1747" s="20"/>
      <c r="W1747" s="20"/>
      <c r="X1747" s="20"/>
      <c r="Y1747" s="22"/>
      <c r="Z1747" s="22"/>
      <c r="AA1747" s="20"/>
      <c r="AB1747" s="20"/>
      <c r="AC1747" s="20"/>
      <c r="AD1747" s="20"/>
      <c r="AE1747" s="20"/>
      <c r="AF1747" s="20"/>
      <c r="AG1747" s="20"/>
      <c r="AH1747" s="20"/>
      <c r="AI1747" s="20"/>
      <c r="AJ1747" s="20"/>
      <c r="AK1747" s="20"/>
      <c r="AL1747" s="20"/>
      <c r="AM1747" s="20"/>
      <c r="AN1747" s="20"/>
      <c r="AS1747" s="11"/>
      <c r="AT1747" s="12"/>
    </row>
    <row r="1748" ht="14.25" customHeight="1">
      <c r="A1748" s="20"/>
      <c r="B1748" s="20"/>
      <c r="C1748" s="20"/>
      <c r="D1748" s="21"/>
      <c r="E1748" s="20"/>
      <c r="F1748" s="20"/>
      <c r="G1748" s="20"/>
      <c r="H1748" s="20"/>
      <c r="K1748" s="10"/>
      <c r="M1748" s="20"/>
      <c r="N1748" s="20"/>
      <c r="O1748" s="20"/>
      <c r="P1748" s="20"/>
      <c r="Q1748" s="20"/>
      <c r="R1748" s="20"/>
      <c r="S1748" s="20"/>
      <c r="T1748" s="20"/>
      <c r="U1748" s="20"/>
      <c r="V1748" s="20"/>
      <c r="W1748" s="20"/>
      <c r="X1748" s="20"/>
      <c r="Y1748" s="22"/>
      <c r="Z1748" s="22"/>
      <c r="AA1748" s="20"/>
      <c r="AB1748" s="20"/>
      <c r="AC1748" s="20"/>
      <c r="AD1748" s="20"/>
      <c r="AE1748" s="20"/>
      <c r="AF1748" s="20"/>
      <c r="AG1748" s="20"/>
      <c r="AH1748" s="20"/>
      <c r="AI1748" s="20"/>
      <c r="AJ1748" s="20"/>
      <c r="AK1748" s="20"/>
      <c r="AL1748" s="20"/>
      <c r="AM1748" s="20"/>
      <c r="AN1748" s="20"/>
      <c r="AS1748" s="11"/>
      <c r="AT1748" s="12"/>
    </row>
    <row r="1749" ht="14.25" customHeight="1">
      <c r="A1749" s="20"/>
      <c r="B1749" s="20"/>
      <c r="C1749" s="20"/>
      <c r="D1749" s="21"/>
      <c r="E1749" s="20"/>
      <c r="F1749" s="20"/>
      <c r="G1749" s="20"/>
      <c r="H1749" s="20"/>
      <c r="K1749" s="10"/>
      <c r="M1749" s="20"/>
      <c r="N1749" s="20"/>
      <c r="O1749" s="20"/>
      <c r="P1749" s="20"/>
      <c r="Q1749" s="20"/>
      <c r="R1749" s="20"/>
      <c r="S1749" s="20"/>
      <c r="T1749" s="20"/>
      <c r="U1749" s="20"/>
      <c r="V1749" s="20"/>
      <c r="W1749" s="20"/>
      <c r="X1749" s="20"/>
      <c r="Y1749" s="22"/>
      <c r="Z1749" s="22"/>
      <c r="AA1749" s="20"/>
      <c r="AB1749" s="20"/>
      <c r="AC1749" s="20"/>
      <c r="AD1749" s="20"/>
      <c r="AE1749" s="20"/>
      <c r="AF1749" s="20"/>
      <c r="AG1749" s="20"/>
      <c r="AH1749" s="20"/>
      <c r="AI1749" s="20"/>
      <c r="AJ1749" s="20"/>
      <c r="AK1749" s="20"/>
      <c r="AL1749" s="20"/>
      <c r="AM1749" s="20"/>
      <c r="AN1749" s="20"/>
      <c r="AS1749" s="11"/>
      <c r="AT1749" s="12"/>
    </row>
    <row r="1750" ht="14.25" customHeight="1">
      <c r="A1750" s="20"/>
      <c r="B1750" s="20"/>
      <c r="C1750" s="20"/>
      <c r="D1750" s="21"/>
      <c r="E1750" s="20"/>
      <c r="F1750" s="20"/>
      <c r="G1750" s="20"/>
      <c r="H1750" s="20"/>
      <c r="K1750" s="10"/>
      <c r="M1750" s="20"/>
      <c r="N1750" s="20"/>
      <c r="O1750" s="20"/>
      <c r="P1750" s="20"/>
      <c r="Q1750" s="20"/>
      <c r="R1750" s="20"/>
      <c r="S1750" s="20"/>
      <c r="T1750" s="20"/>
      <c r="U1750" s="20"/>
      <c r="V1750" s="20"/>
      <c r="W1750" s="20"/>
      <c r="X1750" s="20"/>
      <c r="Y1750" s="22"/>
      <c r="Z1750" s="22"/>
      <c r="AA1750" s="20"/>
      <c r="AB1750" s="20"/>
      <c r="AC1750" s="20"/>
      <c r="AD1750" s="20"/>
      <c r="AE1750" s="20"/>
      <c r="AF1750" s="20"/>
      <c r="AG1750" s="20"/>
      <c r="AH1750" s="20"/>
      <c r="AI1750" s="20"/>
      <c r="AJ1750" s="20"/>
      <c r="AK1750" s="20"/>
      <c r="AL1750" s="20"/>
      <c r="AM1750" s="20"/>
      <c r="AN1750" s="20"/>
      <c r="AS1750" s="11"/>
      <c r="AT1750" s="12"/>
    </row>
    <row r="1751" ht="14.25" customHeight="1">
      <c r="A1751" s="20"/>
      <c r="B1751" s="20"/>
      <c r="C1751" s="20"/>
      <c r="D1751" s="21"/>
      <c r="E1751" s="20"/>
      <c r="F1751" s="20"/>
      <c r="G1751" s="20"/>
      <c r="H1751" s="20"/>
      <c r="K1751" s="10"/>
      <c r="M1751" s="20"/>
      <c r="N1751" s="20"/>
      <c r="O1751" s="20"/>
      <c r="P1751" s="20"/>
      <c r="Q1751" s="20"/>
      <c r="R1751" s="20"/>
      <c r="S1751" s="20"/>
      <c r="T1751" s="20"/>
      <c r="U1751" s="20"/>
      <c r="V1751" s="20"/>
      <c r="W1751" s="20"/>
      <c r="X1751" s="20"/>
      <c r="Y1751" s="22"/>
      <c r="Z1751" s="22"/>
      <c r="AA1751" s="20"/>
      <c r="AB1751" s="20"/>
      <c r="AC1751" s="20"/>
      <c r="AD1751" s="20"/>
      <c r="AE1751" s="20"/>
      <c r="AF1751" s="20"/>
      <c r="AG1751" s="20"/>
      <c r="AH1751" s="20"/>
      <c r="AI1751" s="20"/>
      <c r="AJ1751" s="20"/>
      <c r="AK1751" s="20"/>
      <c r="AL1751" s="20"/>
      <c r="AM1751" s="20"/>
      <c r="AN1751" s="20"/>
      <c r="AS1751" s="11"/>
      <c r="AT1751" s="12"/>
    </row>
    <row r="1752" ht="14.25" customHeight="1">
      <c r="A1752" s="20"/>
      <c r="B1752" s="20"/>
      <c r="C1752" s="20"/>
      <c r="D1752" s="21"/>
      <c r="E1752" s="20"/>
      <c r="F1752" s="20"/>
      <c r="G1752" s="20"/>
      <c r="H1752" s="20"/>
      <c r="K1752" s="10"/>
      <c r="M1752" s="20"/>
      <c r="N1752" s="20"/>
      <c r="O1752" s="20"/>
      <c r="P1752" s="20"/>
      <c r="Q1752" s="20"/>
      <c r="R1752" s="20"/>
      <c r="S1752" s="20"/>
      <c r="T1752" s="20"/>
      <c r="U1752" s="20"/>
      <c r="V1752" s="20"/>
      <c r="W1752" s="20"/>
      <c r="X1752" s="20"/>
      <c r="Y1752" s="22"/>
      <c r="Z1752" s="22"/>
      <c r="AA1752" s="20"/>
      <c r="AB1752" s="20"/>
      <c r="AC1752" s="20"/>
      <c r="AD1752" s="20"/>
      <c r="AE1752" s="20"/>
      <c r="AF1752" s="20"/>
      <c r="AG1752" s="20"/>
      <c r="AH1752" s="20"/>
      <c r="AI1752" s="20"/>
      <c r="AJ1752" s="20"/>
      <c r="AK1752" s="20"/>
      <c r="AL1752" s="20"/>
      <c r="AM1752" s="20"/>
      <c r="AN1752" s="20"/>
      <c r="AS1752" s="11"/>
      <c r="AT1752" s="12"/>
    </row>
    <row r="1753" ht="14.25" customHeight="1">
      <c r="A1753" s="20"/>
      <c r="B1753" s="20"/>
      <c r="C1753" s="20"/>
      <c r="D1753" s="21"/>
      <c r="E1753" s="20"/>
      <c r="F1753" s="20"/>
      <c r="G1753" s="20"/>
      <c r="H1753" s="20"/>
      <c r="K1753" s="1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2"/>
      <c r="Z1753" s="22"/>
      <c r="AA1753" s="20"/>
      <c r="AB1753" s="20"/>
      <c r="AC1753" s="20"/>
      <c r="AD1753" s="20"/>
      <c r="AE1753" s="20"/>
      <c r="AF1753" s="20"/>
      <c r="AG1753" s="20"/>
      <c r="AH1753" s="20"/>
      <c r="AI1753" s="20"/>
      <c r="AJ1753" s="20"/>
      <c r="AK1753" s="20"/>
      <c r="AL1753" s="20"/>
      <c r="AM1753" s="20"/>
      <c r="AN1753" s="20"/>
      <c r="AS1753" s="11"/>
      <c r="AT1753" s="12"/>
    </row>
    <row r="1754" ht="14.25" customHeight="1">
      <c r="A1754" s="20"/>
      <c r="B1754" s="20"/>
      <c r="C1754" s="20"/>
      <c r="D1754" s="21"/>
      <c r="E1754" s="20"/>
      <c r="F1754" s="20"/>
      <c r="G1754" s="20"/>
      <c r="H1754" s="20"/>
      <c r="K1754" s="10"/>
      <c r="M1754" s="20"/>
      <c r="N1754" s="20"/>
      <c r="O1754" s="20"/>
      <c r="P1754" s="20"/>
      <c r="Q1754" s="20"/>
      <c r="R1754" s="20"/>
      <c r="S1754" s="20"/>
      <c r="T1754" s="20"/>
      <c r="U1754" s="20"/>
      <c r="V1754" s="20"/>
      <c r="W1754" s="20"/>
      <c r="X1754" s="20"/>
      <c r="Y1754" s="22"/>
      <c r="Z1754" s="22"/>
      <c r="AA1754" s="20"/>
      <c r="AB1754" s="20"/>
      <c r="AC1754" s="20"/>
      <c r="AD1754" s="20"/>
      <c r="AE1754" s="20"/>
      <c r="AF1754" s="20"/>
      <c r="AG1754" s="20"/>
      <c r="AH1754" s="20"/>
      <c r="AI1754" s="20"/>
      <c r="AJ1754" s="20"/>
      <c r="AK1754" s="20"/>
      <c r="AL1754" s="20"/>
      <c r="AM1754" s="20"/>
      <c r="AN1754" s="20"/>
      <c r="AS1754" s="11"/>
      <c r="AT1754" s="12"/>
    </row>
    <row r="1755" ht="14.25" customHeight="1">
      <c r="A1755" s="20"/>
      <c r="B1755" s="20"/>
      <c r="C1755" s="20"/>
      <c r="D1755" s="21"/>
      <c r="E1755" s="20"/>
      <c r="F1755" s="20"/>
      <c r="G1755" s="20"/>
      <c r="H1755" s="20"/>
      <c r="K1755" s="10"/>
      <c r="M1755" s="20"/>
      <c r="N1755" s="20"/>
      <c r="O1755" s="20"/>
      <c r="P1755" s="20"/>
      <c r="Q1755" s="20"/>
      <c r="R1755" s="20"/>
      <c r="S1755" s="20"/>
      <c r="T1755" s="20"/>
      <c r="U1755" s="20"/>
      <c r="V1755" s="20"/>
      <c r="W1755" s="20"/>
      <c r="X1755" s="20"/>
      <c r="Y1755" s="22"/>
      <c r="Z1755" s="22"/>
      <c r="AA1755" s="20"/>
      <c r="AB1755" s="20"/>
      <c r="AC1755" s="20"/>
      <c r="AD1755" s="20"/>
      <c r="AE1755" s="20"/>
      <c r="AF1755" s="20"/>
      <c r="AG1755" s="20"/>
      <c r="AH1755" s="20"/>
      <c r="AI1755" s="20"/>
      <c r="AJ1755" s="20"/>
      <c r="AK1755" s="20"/>
      <c r="AL1755" s="20"/>
      <c r="AM1755" s="20"/>
      <c r="AN1755" s="20"/>
      <c r="AS1755" s="11"/>
      <c r="AT1755" s="12"/>
    </row>
    <row r="1756" ht="14.25" customHeight="1">
      <c r="A1756" s="20"/>
      <c r="B1756" s="20"/>
      <c r="C1756" s="20"/>
      <c r="D1756" s="21"/>
      <c r="E1756" s="20"/>
      <c r="F1756" s="20"/>
      <c r="G1756" s="20"/>
      <c r="H1756" s="20"/>
      <c r="K1756" s="10"/>
      <c r="M1756" s="20"/>
      <c r="N1756" s="20"/>
      <c r="O1756" s="20"/>
      <c r="P1756" s="20"/>
      <c r="Q1756" s="20"/>
      <c r="R1756" s="20"/>
      <c r="S1756" s="20"/>
      <c r="T1756" s="20"/>
      <c r="U1756" s="20"/>
      <c r="V1756" s="20"/>
      <c r="W1756" s="20"/>
      <c r="X1756" s="20"/>
      <c r="Y1756" s="22"/>
      <c r="Z1756" s="22"/>
      <c r="AA1756" s="20"/>
      <c r="AB1756" s="20"/>
      <c r="AC1756" s="20"/>
      <c r="AD1756" s="20"/>
      <c r="AE1756" s="20"/>
      <c r="AF1756" s="20"/>
      <c r="AG1756" s="20"/>
      <c r="AH1756" s="20"/>
      <c r="AI1756" s="20"/>
      <c r="AJ1756" s="20"/>
      <c r="AK1756" s="20"/>
      <c r="AL1756" s="20"/>
      <c r="AM1756" s="20"/>
      <c r="AN1756" s="20"/>
      <c r="AS1756" s="11"/>
      <c r="AT1756" s="12"/>
    </row>
    <row r="1757" ht="14.25" customHeight="1">
      <c r="A1757" s="20"/>
      <c r="B1757" s="20"/>
      <c r="C1757" s="20"/>
      <c r="D1757" s="21"/>
      <c r="E1757" s="20"/>
      <c r="F1757" s="20"/>
      <c r="G1757" s="20"/>
      <c r="H1757" s="20"/>
      <c r="K1757" s="10"/>
      <c r="M1757" s="20"/>
      <c r="N1757" s="20"/>
      <c r="O1757" s="20"/>
      <c r="P1757" s="20"/>
      <c r="Q1757" s="20"/>
      <c r="R1757" s="20"/>
      <c r="S1757" s="20"/>
      <c r="T1757" s="20"/>
      <c r="U1757" s="20"/>
      <c r="V1757" s="20"/>
      <c r="W1757" s="20"/>
      <c r="X1757" s="20"/>
      <c r="Y1757" s="22"/>
      <c r="Z1757" s="22"/>
      <c r="AA1757" s="20"/>
      <c r="AB1757" s="20"/>
      <c r="AC1757" s="20"/>
      <c r="AD1757" s="20"/>
      <c r="AE1757" s="20"/>
      <c r="AF1757" s="20"/>
      <c r="AG1757" s="20"/>
      <c r="AH1757" s="20"/>
      <c r="AI1757" s="20"/>
      <c r="AJ1757" s="20"/>
      <c r="AK1757" s="20"/>
      <c r="AL1757" s="20"/>
      <c r="AM1757" s="20"/>
      <c r="AN1757" s="20"/>
      <c r="AS1757" s="11"/>
      <c r="AT1757" s="12"/>
    </row>
    <row r="1758" ht="14.25" customHeight="1">
      <c r="A1758" s="20"/>
      <c r="B1758" s="20"/>
      <c r="C1758" s="20"/>
      <c r="D1758" s="21"/>
      <c r="E1758" s="20"/>
      <c r="F1758" s="20"/>
      <c r="G1758" s="20"/>
      <c r="H1758" s="20"/>
      <c r="K1758" s="10"/>
      <c r="M1758" s="20"/>
      <c r="N1758" s="20"/>
      <c r="O1758" s="20"/>
      <c r="P1758" s="20"/>
      <c r="Q1758" s="20"/>
      <c r="R1758" s="20"/>
      <c r="S1758" s="20"/>
      <c r="T1758" s="20"/>
      <c r="U1758" s="20"/>
      <c r="V1758" s="20"/>
      <c r="W1758" s="20"/>
      <c r="X1758" s="20"/>
      <c r="Y1758" s="22"/>
      <c r="Z1758" s="22"/>
      <c r="AA1758" s="20"/>
      <c r="AB1758" s="20"/>
      <c r="AC1758" s="20"/>
      <c r="AD1758" s="20"/>
      <c r="AE1758" s="20"/>
      <c r="AF1758" s="20"/>
      <c r="AG1758" s="20"/>
      <c r="AH1758" s="20"/>
      <c r="AI1758" s="20"/>
      <c r="AJ1758" s="20"/>
      <c r="AK1758" s="20"/>
      <c r="AL1758" s="20"/>
      <c r="AM1758" s="20"/>
      <c r="AN1758" s="20"/>
      <c r="AS1758" s="11"/>
      <c r="AT1758" s="12"/>
    </row>
    <row r="1759" ht="14.25" customHeight="1">
      <c r="A1759" s="20"/>
      <c r="B1759" s="20"/>
      <c r="C1759" s="20"/>
      <c r="D1759" s="21"/>
      <c r="E1759" s="20"/>
      <c r="F1759" s="20"/>
      <c r="G1759" s="20"/>
      <c r="H1759" s="20"/>
      <c r="K1759" s="10"/>
      <c r="M1759" s="20"/>
      <c r="N1759" s="20"/>
      <c r="O1759" s="20"/>
      <c r="P1759" s="20"/>
      <c r="Q1759" s="20"/>
      <c r="R1759" s="20"/>
      <c r="S1759" s="20"/>
      <c r="T1759" s="20"/>
      <c r="U1759" s="20"/>
      <c r="V1759" s="20"/>
      <c r="W1759" s="20"/>
      <c r="X1759" s="20"/>
      <c r="Y1759" s="22"/>
      <c r="Z1759" s="22"/>
      <c r="AA1759" s="20"/>
      <c r="AB1759" s="20"/>
      <c r="AC1759" s="20"/>
      <c r="AD1759" s="20"/>
      <c r="AE1759" s="20"/>
      <c r="AF1759" s="20"/>
      <c r="AG1759" s="20"/>
      <c r="AH1759" s="20"/>
      <c r="AI1759" s="20"/>
      <c r="AJ1759" s="20"/>
      <c r="AK1759" s="20"/>
      <c r="AL1759" s="20"/>
      <c r="AM1759" s="20"/>
      <c r="AN1759" s="20"/>
      <c r="AS1759" s="11"/>
      <c r="AT1759" s="12"/>
    </row>
    <row r="1760" ht="14.25" customHeight="1">
      <c r="A1760" s="20"/>
      <c r="B1760" s="20"/>
      <c r="C1760" s="20"/>
      <c r="D1760" s="21"/>
      <c r="E1760" s="20"/>
      <c r="F1760" s="20"/>
      <c r="G1760" s="20"/>
      <c r="H1760" s="20"/>
      <c r="K1760" s="10"/>
      <c r="M1760" s="20"/>
      <c r="N1760" s="20"/>
      <c r="O1760" s="20"/>
      <c r="P1760" s="20"/>
      <c r="Q1760" s="20"/>
      <c r="R1760" s="20"/>
      <c r="S1760" s="20"/>
      <c r="T1760" s="20"/>
      <c r="U1760" s="20"/>
      <c r="V1760" s="20"/>
      <c r="W1760" s="20"/>
      <c r="X1760" s="20"/>
      <c r="Y1760" s="22"/>
      <c r="Z1760" s="22"/>
      <c r="AA1760" s="20"/>
      <c r="AB1760" s="20"/>
      <c r="AC1760" s="20"/>
      <c r="AD1760" s="20"/>
      <c r="AE1760" s="20"/>
      <c r="AF1760" s="20"/>
      <c r="AG1760" s="20"/>
      <c r="AH1760" s="20"/>
      <c r="AI1760" s="20"/>
      <c r="AJ1760" s="20"/>
      <c r="AK1760" s="20"/>
      <c r="AL1760" s="20"/>
      <c r="AM1760" s="20"/>
      <c r="AN1760" s="20"/>
      <c r="AS1760" s="11"/>
      <c r="AT1760" s="12"/>
    </row>
    <row r="1761" ht="14.25" customHeight="1">
      <c r="A1761" s="20"/>
      <c r="B1761" s="20"/>
      <c r="C1761" s="20"/>
      <c r="D1761" s="21"/>
      <c r="E1761" s="20"/>
      <c r="F1761" s="20"/>
      <c r="G1761" s="20"/>
      <c r="H1761" s="20"/>
      <c r="K1761" s="10"/>
      <c r="M1761" s="20"/>
      <c r="N1761" s="20"/>
      <c r="O1761" s="20"/>
      <c r="P1761" s="20"/>
      <c r="Q1761" s="20"/>
      <c r="R1761" s="20"/>
      <c r="S1761" s="20"/>
      <c r="T1761" s="20"/>
      <c r="U1761" s="20"/>
      <c r="V1761" s="20"/>
      <c r="W1761" s="20"/>
      <c r="X1761" s="20"/>
      <c r="Y1761" s="22"/>
      <c r="Z1761" s="22"/>
      <c r="AA1761" s="20"/>
      <c r="AB1761" s="20"/>
      <c r="AC1761" s="20"/>
      <c r="AD1761" s="20"/>
      <c r="AE1761" s="20"/>
      <c r="AF1761" s="20"/>
      <c r="AG1761" s="20"/>
      <c r="AH1761" s="20"/>
      <c r="AI1761" s="20"/>
      <c r="AJ1761" s="20"/>
      <c r="AK1761" s="20"/>
      <c r="AL1761" s="20"/>
      <c r="AM1761" s="20"/>
      <c r="AN1761" s="20"/>
      <c r="AS1761" s="11"/>
      <c r="AT1761" s="12"/>
    </row>
    <row r="1762" ht="14.25" customHeight="1">
      <c r="A1762" s="20"/>
      <c r="B1762" s="20"/>
      <c r="C1762" s="20"/>
      <c r="D1762" s="21"/>
      <c r="E1762" s="20"/>
      <c r="F1762" s="20"/>
      <c r="G1762" s="20"/>
      <c r="H1762" s="20"/>
      <c r="K1762" s="10"/>
      <c r="M1762" s="20"/>
      <c r="N1762" s="20"/>
      <c r="O1762" s="20"/>
      <c r="P1762" s="20"/>
      <c r="Q1762" s="20"/>
      <c r="R1762" s="20"/>
      <c r="S1762" s="20"/>
      <c r="T1762" s="20"/>
      <c r="U1762" s="20"/>
      <c r="V1762" s="20"/>
      <c r="W1762" s="20"/>
      <c r="X1762" s="20"/>
      <c r="Y1762" s="22"/>
      <c r="Z1762" s="22"/>
      <c r="AA1762" s="20"/>
      <c r="AB1762" s="20"/>
      <c r="AC1762" s="20"/>
      <c r="AD1762" s="20"/>
      <c r="AE1762" s="20"/>
      <c r="AF1762" s="20"/>
      <c r="AG1762" s="20"/>
      <c r="AH1762" s="20"/>
      <c r="AI1762" s="20"/>
      <c r="AJ1762" s="20"/>
      <c r="AK1762" s="20"/>
      <c r="AL1762" s="20"/>
      <c r="AM1762" s="20"/>
      <c r="AN1762" s="20"/>
      <c r="AS1762" s="11"/>
      <c r="AT1762" s="12"/>
    </row>
    <row r="1763" ht="14.25" customHeight="1">
      <c r="A1763" s="20"/>
      <c r="B1763" s="20"/>
      <c r="C1763" s="20"/>
      <c r="D1763" s="21"/>
      <c r="E1763" s="20"/>
      <c r="F1763" s="20"/>
      <c r="G1763" s="20"/>
      <c r="H1763" s="20"/>
      <c r="K1763" s="10"/>
      <c r="M1763" s="20"/>
      <c r="N1763" s="20"/>
      <c r="O1763" s="20"/>
      <c r="P1763" s="20"/>
      <c r="Q1763" s="20"/>
      <c r="R1763" s="20"/>
      <c r="S1763" s="20"/>
      <c r="T1763" s="20"/>
      <c r="U1763" s="20"/>
      <c r="V1763" s="20"/>
      <c r="W1763" s="20"/>
      <c r="X1763" s="20"/>
      <c r="Y1763" s="22"/>
      <c r="Z1763" s="22"/>
      <c r="AA1763" s="20"/>
      <c r="AB1763" s="20"/>
      <c r="AC1763" s="20"/>
      <c r="AD1763" s="20"/>
      <c r="AE1763" s="20"/>
      <c r="AF1763" s="20"/>
      <c r="AG1763" s="20"/>
      <c r="AH1763" s="20"/>
      <c r="AI1763" s="20"/>
      <c r="AJ1763" s="20"/>
      <c r="AK1763" s="20"/>
      <c r="AL1763" s="20"/>
      <c r="AM1763" s="20"/>
      <c r="AN1763" s="20"/>
      <c r="AS1763" s="11"/>
      <c r="AT1763" s="12"/>
    </row>
    <row r="1764" ht="14.25" customHeight="1">
      <c r="A1764" s="20"/>
      <c r="B1764" s="20"/>
      <c r="C1764" s="20"/>
      <c r="D1764" s="21"/>
      <c r="E1764" s="20"/>
      <c r="F1764" s="20"/>
      <c r="G1764" s="20"/>
      <c r="H1764" s="20"/>
      <c r="K1764" s="10"/>
      <c r="M1764" s="20"/>
      <c r="N1764" s="20"/>
      <c r="O1764" s="20"/>
      <c r="P1764" s="20"/>
      <c r="Q1764" s="20"/>
      <c r="R1764" s="20"/>
      <c r="S1764" s="20"/>
      <c r="T1764" s="20"/>
      <c r="U1764" s="20"/>
      <c r="V1764" s="20"/>
      <c r="W1764" s="20"/>
      <c r="X1764" s="20"/>
      <c r="Y1764" s="22"/>
      <c r="Z1764" s="22"/>
      <c r="AA1764" s="20"/>
      <c r="AB1764" s="20"/>
      <c r="AC1764" s="20"/>
      <c r="AD1764" s="20"/>
      <c r="AE1764" s="20"/>
      <c r="AF1764" s="20"/>
      <c r="AG1764" s="20"/>
      <c r="AH1764" s="20"/>
      <c r="AI1764" s="20"/>
      <c r="AJ1764" s="20"/>
      <c r="AK1764" s="20"/>
      <c r="AL1764" s="20"/>
      <c r="AM1764" s="20"/>
      <c r="AN1764" s="20"/>
      <c r="AS1764" s="11"/>
      <c r="AT1764" s="12"/>
    </row>
    <row r="1765" ht="14.25" customHeight="1">
      <c r="A1765" s="20"/>
      <c r="B1765" s="20"/>
      <c r="C1765" s="20"/>
      <c r="D1765" s="21"/>
      <c r="E1765" s="20"/>
      <c r="F1765" s="20"/>
      <c r="G1765" s="20"/>
      <c r="H1765" s="20"/>
      <c r="K1765" s="10"/>
      <c r="M1765" s="20"/>
      <c r="N1765" s="20"/>
      <c r="O1765" s="20"/>
      <c r="P1765" s="20"/>
      <c r="Q1765" s="20"/>
      <c r="R1765" s="20"/>
      <c r="S1765" s="20"/>
      <c r="T1765" s="20"/>
      <c r="U1765" s="20"/>
      <c r="V1765" s="20"/>
      <c r="W1765" s="20"/>
      <c r="X1765" s="20"/>
      <c r="Y1765" s="22"/>
      <c r="Z1765" s="22"/>
      <c r="AA1765" s="20"/>
      <c r="AB1765" s="20"/>
      <c r="AC1765" s="20"/>
      <c r="AD1765" s="20"/>
      <c r="AE1765" s="20"/>
      <c r="AF1765" s="20"/>
      <c r="AG1765" s="20"/>
      <c r="AH1765" s="20"/>
      <c r="AI1765" s="20"/>
      <c r="AJ1765" s="20"/>
      <c r="AK1765" s="20"/>
      <c r="AL1765" s="20"/>
      <c r="AM1765" s="20"/>
      <c r="AN1765" s="20"/>
      <c r="AS1765" s="11"/>
      <c r="AT1765" s="12"/>
    </row>
    <row r="1766" ht="14.25" customHeight="1">
      <c r="A1766" s="20"/>
      <c r="B1766" s="20"/>
      <c r="C1766" s="20"/>
      <c r="D1766" s="21"/>
      <c r="E1766" s="20"/>
      <c r="F1766" s="20"/>
      <c r="G1766" s="20"/>
      <c r="H1766" s="20"/>
      <c r="K1766" s="10"/>
      <c r="M1766" s="20"/>
      <c r="N1766" s="20"/>
      <c r="O1766" s="20"/>
      <c r="P1766" s="20"/>
      <c r="Q1766" s="20"/>
      <c r="R1766" s="20"/>
      <c r="S1766" s="20"/>
      <c r="T1766" s="20"/>
      <c r="U1766" s="20"/>
      <c r="V1766" s="20"/>
      <c r="W1766" s="20"/>
      <c r="X1766" s="20"/>
      <c r="Y1766" s="22"/>
      <c r="Z1766" s="22"/>
      <c r="AA1766" s="20"/>
      <c r="AB1766" s="20"/>
      <c r="AC1766" s="20"/>
      <c r="AD1766" s="20"/>
      <c r="AE1766" s="20"/>
      <c r="AF1766" s="20"/>
      <c r="AG1766" s="20"/>
      <c r="AH1766" s="20"/>
      <c r="AI1766" s="20"/>
      <c r="AJ1766" s="20"/>
      <c r="AK1766" s="20"/>
      <c r="AL1766" s="20"/>
      <c r="AM1766" s="20"/>
      <c r="AN1766" s="20"/>
      <c r="AS1766" s="11"/>
      <c r="AT1766" s="12"/>
    </row>
    <row r="1767" ht="14.25" customHeight="1">
      <c r="A1767" s="20"/>
      <c r="B1767" s="20"/>
      <c r="C1767" s="20"/>
      <c r="D1767" s="21"/>
      <c r="E1767" s="20"/>
      <c r="F1767" s="20"/>
      <c r="G1767" s="20"/>
      <c r="H1767" s="20"/>
      <c r="K1767" s="10"/>
      <c r="M1767" s="20"/>
      <c r="N1767" s="20"/>
      <c r="O1767" s="20"/>
      <c r="P1767" s="20"/>
      <c r="Q1767" s="20"/>
      <c r="R1767" s="20"/>
      <c r="S1767" s="20"/>
      <c r="T1767" s="20"/>
      <c r="U1767" s="20"/>
      <c r="V1767" s="20"/>
      <c r="W1767" s="20"/>
      <c r="X1767" s="20"/>
      <c r="Y1767" s="22"/>
      <c r="Z1767" s="22"/>
      <c r="AA1767" s="20"/>
      <c r="AB1767" s="20"/>
      <c r="AC1767" s="20"/>
      <c r="AD1767" s="20"/>
      <c r="AE1767" s="20"/>
      <c r="AF1767" s="20"/>
      <c r="AG1767" s="20"/>
      <c r="AH1767" s="20"/>
      <c r="AI1767" s="20"/>
      <c r="AJ1767" s="20"/>
      <c r="AK1767" s="20"/>
      <c r="AL1767" s="20"/>
      <c r="AM1767" s="20"/>
      <c r="AN1767" s="20"/>
      <c r="AS1767" s="11"/>
      <c r="AT1767" s="12"/>
    </row>
    <row r="1768" ht="14.25" customHeight="1">
      <c r="A1768" s="20"/>
      <c r="B1768" s="20"/>
      <c r="C1768" s="20"/>
      <c r="D1768" s="21"/>
      <c r="E1768" s="20"/>
      <c r="F1768" s="20"/>
      <c r="G1768" s="20"/>
      <c r="H1768" s="20"/>
      <c r="K1768" s="1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2"/>
      <c r="Z1768" s="22"/>
      <c r="AA1768" s="20"/>
      <c r="AB1768" s="20"/>
      <c r="AC1768" s="20"/>
      <c r="AD1768" s="20"/>
      <c r="AE1768" s="20"/>
      <c r="AF1768" s="20"/>
      <c r="AG1768" s="20"/>
      <c r="AH1768" s="20"/>
      <c r="AI1768" s="20"/>
      <c r="AJ1768" s="20"/>
      <c r="AK1768" s="20"/>
      <c r="AL1768" s="20"/>
      <c r="AM1768" s="20"/>
      <c r="AN1768" s="20"/>
      <c r="AS1768" s="11"/>
      <c r="AT1768" s="12"/>
    </row>
    <row r="1769" ht="14.25" customHeight="1">
      <c r="A1769" s="20"/>
      <c r="B1769" s="20"/>
      <c r="C1769" s="20"/>
      <c r="D1769" s="21"/>
      <c r="E1769" s="20"/>
      <c r="F1769" s="20"/>
      <c r="G1769" s="20"/>
      <c r="H1769" s="20"/>
      <c r="K1769" s="10"/>
      <c r="M1769" s="20"/>
      <c r="N1769" s="20"/>
      <c r="O1769" s="20"/>
      <c r="P1769" s="20"/>
      <c r="Q1769" s="20"/>
      <c r="R1769" s="20"/>
      <c r="S1769" s="20"/>
      <c r="T1769" s="20"/>
      <c r="U1769" s="20"/>
      <c r="V1769" s="20"/>
      <c r="W1769" s="20"/>
      <c r="X1769" s="20"/>
      <c r="Y1769" s="22"/>
      <c r="Z1769" s="22"/>
      <c r="AA1769" s="20"/>
      <c r="AB1769" s="20"/>
      <c r="AC1769" s="20"/>
      <c r="AD1769" s="20"/>
      <c r="AE1769" s="20"/>
      <c r="AF1769" s="20"/>
      <c r="AG1769" s="20"/>
      <c r="AH1769" s="20"/>
      <c r="AI1769" s="20"/>
      <c r="AJ1769" s="20"/>
      <c r="AK1769" s="20"/>
      <c r="AL1769" s="20"/>
      <c r="AM1769" s="20"/>
      <c r="AN1769" s="20"/>
      <c r="AS1769" s="11"/>
      <c r="AT1769" s="12"/>
    </row>
    <row r="1770" ht="14.25" customHeight="1">
      <c r="A1770" s="20"/>
      <c r="B1770" s="20"/>
      <c r="C1770" s="20"/>
      <c r="D1770" s="21"/>
      <c r="E1770" s="20"/>
      <c r="F1770" s="20"/>
      <c r="G1770" s="20"/>
      <c r="H1770" s="20"/>
      <c r="K1770" s="10"/>
      <c r="M1770" s="20"/>
      <c r="N1770" s="20"/>
      <c r="O1770" s="20"/>
      <c r="P1770" s="20"/>
      <c r="Q1770" s="20"/>
      <c r="R1770" s="20"/>
      <c r="S1770" s="20"/>
      <c r="T1770" s="20"/>
      <c r="U1770" s="20"/>
      <c r="V1770" s="20"/>
      <c r="W1770" s="20"/>
      <c r="X1770" s="20"/>
      <c r="Y1770" s="22"/>
      <c r="Z1770" s="22"/>
      <c r="AA1770" s="20"/>
      <c r="AB1770" s="20"/>
      <c r="AC1770" s="20"/>
      <c r="AD1770" s="20"/>
      <c r="AE1770" s="20"/>
      <c r="AF1770" s="20"/>
      <c r="AG1770" s="20"/>
      <c r="AH1770" s="20"/>
      <c r="AI1770" s="20"/>
      <c r="AJ1770" s="20"/>
      <c r="AK1770" s="20"/>
      <c r="AL1770" s="20"/>
      <c r="AM1770" s="20"/>
      <c r="AN1770" s="20"/>
      <c r="AS1770" s="11"/>
      <c r="AT1770" s="12"/>
    </row>
    <row r="1771" ht="14.25" customHeight="1">
      <c r="A1771" s="20"/>
      <c r="B1771" s="20"/>
      <c r="C1771" s="20"/>
      <c r="D1771" s="21"/>
      <c r="E1771" s="20"/>
      <c r="F1771" s="20"/>
      <c r="G1771" s="20"/>
      <c r="H1771" s="20"/>
      <c r="K1771" s="10"/>
      <c r="M1771" s="20"/>
      <c r="N1771" s="20"/>
      <c r="O1771" s="20"/>
      <c r="P1771" s="20"/>
      <c r="Q1771" s="20"/>
      <c r="R1771" s="20"/>
      <c r="S1771" s="20"/>
      <c r="T1771" s="20"/>
      <c r="U1771" s="20"/>
      <c r="V1771" s="20"/>
      <c r="W1771" s="20"/>
      <c r="X1771" s="20"/>
      <c r="Y1771" s="22"/>
      <c r="Z1771" s="22"/>
      <c r="AA1771" s="20"/>
      <c r="AB1771" s="20"/>
      <c r="AC1771" s="20"/>
      <c r="AD1771" s="20"/>
      <c r="AE1771" s="20"/>
      <c r="AF1771" s="20"/>
      <c r="AG1771" s="20"/>
      <c r="AH1771" s="20"/>
      <c r="AI1771" s="20"/>
      <c r="AJ1771" s="20"/>
      <c r="AK1771" s="20"/>
      <c r="AL1771" s="20"/>
      <c r="AM1771" s="20"/>
      <c r="AN1771" s="20"/>
      <c r="AS1771" s="11"/>
      <c r="AT1771" s="12"/>
    </row>
    <row r="1772" ht="14.25" customHeight="1">
      <c r="A1772" s="20"/>
      <c r="B1772" s="20"/>
      <c r="C1772" s="20"/>
      <c r="D1772" s="21"/>
      <c r="E1772" s="20"/>
      <c r="F1772" s="20"/>
      <c r="G1772" s="20"/>
      <c r="H1772" s="20"/>
      <c r="K1772" s="10"/>
      <c r="M1772" s="20"/>
      <c r="N1772" s="20"/>
      <c r="O1772" s="20"/>
      <c r="P1772" s="20"/>
      <c r="Q1772" s="20"/>
      <c r="R1772" s="20"/>
      <c r="S1772" s="20"/>
      <c r="T1772" s="20"/>
      <c r="U1772" s="20"/>
      <c r="V1772" s="20"/>
      <c r="W1772" s="20"/>
      <c r="X1772" s="20"/>
      <c r="Y1772" s="22"/>
      <c r="Z1772" s="22"/>
      <c r="AA1772" s="20"/>
      <c r="AB1772" s="20"/>
      <c r="AC1772" s="20"/>
      <c r="AD1772" s="20"/>
      <c r="AE1772" s="20"/>
      <c r="AF1772" s="20"/>
      <c r="AG1772" s="20"/>
      <c r="AH1772" s="20"/>
      <c r="AI1772" s="20"/>
      <c r="AJ1772" s="20"/>
      <c r="AK1772" s="20"/>
      <c r="AL1772" s="20"/>
      <c r="AM1772" s="20"/>
      <c r="AN1772" s="20"/>
      <c r="AS1772" s="11"/>
      <c r="AT1772" s="12"/>
    </row>
    <row r="1773" ht="14.25" customHeight="1">
      <c r="A1773" s="20"/>
      <c r="B1773" s="20"/>
      <c r="C1773" s="20"/>
      <c r="D1773" s="21"/>
      <c r="E1773" s="20"/>
      <c r="F1773" s="20"/>
      <c r="G1773" s="20"/>
      <c r="H1773" s="20"/>
      <c r="K1773" s="10"/>
      <c r="M1773" s="20"/>
      <c r="N1773" s="20"/>
      <c r="O1773" s="20"/>
      <c r="P1773" s="20"/>
      <c r="Q1773" s="20"/>
      <c r="R1773" s="20"/>
      <c r="S1773" s="20"/>
      <c r="T1773" s="20"/>
      <c r="U1773" s="20"/>
      <c r="V1773" s="20"/>
      <c r="W1773" s="20"/>
      <c r="X1773" s="20"/>
      <c r="Y1773" s="22"/>
      <c r="Z1773" s="22"/>
      <c r="AA1773" s="20"/>
      <c r="AB1773" s="20"/>
      <c r="AC1773" s="20"/>
      <c r="AD1773" s="20"/>
      <c r="AE1773" s="20"/>
      <c r="AF1773" s="20"/>
      <c r="AG1773" s="20"/>
      <c r="AH1773" s="20"/>
      <c r="AI1773" s="20"/>
      <c r="AJ1773" s="20"/>
      <c r="AK1773" s="20"/>
      <c r="AL1773" s="20"/>
      <c r="AM1773" s="20"/>
      <c r="AN1773" s="20"/>
      <c r="AS1773" s="11"/>
      <c r="AT1773" s="12"/>
    </row>
    <row r="1774" ht="14.25" customHeight="1">
      <c r="A1774" s="20"/>
      <c r="B1774" s="20"/>
      <c r="C1774" s="20"/>
      <c r="D1774" s="21"/>
      <c r="E1774" s="20"/>
      <c r="F1774" s="20"/>
      <c r="G1774" s="20"/>
      <c r="H1774" s="20"/>
      <c r="K1774" s="10"/>
      <c r="M1774" s="20"/>
      <c r="N1774" s="20"/>
      <c r="O1774" s="20"/>
      <c r="P1774" s="20"/>
      <c r="Q1774" s="20"/>
      <c r="R1774" s="20"/>
      <c r="S1774" s="20"/>
      <c r="T1774" s="20"/>
      <c r="U1774" s="20"/>
      <c r="V1774" s="20"/>
      <c r="W1774" s="20"/>
      <c r="X1774" s="20"/>
      <c r="Y1774" s="22"/>
      <c r="Z1774" s="22"/>
      <c r="AA1774" s="20"/>
      <c r="AB1774" s="20"/>
      <c r="AC1774" s="20"/>
      <c r="AD1774" s="20"/>
      <c r="AE1774" s="20"/>
      <c r="AF1774" s="20"/>
      <c r="AG1774" s="20"/>
      <c r="AH1774" s="20"/>
      <c r="AI1774" s="20"/>
      <c r="AJ1774" s="20"/>
      <c r="AK1774" s="20"/>
      <c r="AL1774" s="20"/>
      <c r="AM1774" s="20"/>
      <c r="AN1774" s="20"/>
      <c r="AS1774" s="11"/>
      <c r="AT1774" s="12"/>
    </row>
    <row r="1775" ht="14.25" customHeight="1">
      <c r="A1775" s="20"/>
      <c r="B1775" s="20"/>
      <c r="C1775" s="20"/>
      <c r="D1775" s="21"/>
      <c r="E1775" s="20"/>
      <c r="F1775" s="20"/>
      <c r="G1775" s="20"/>
      <c r="H1775" s="20"/>
      <c r="K1775" s="10"/>
      <c r="M1775" s="20"/>
      <c r="N1775" s="20"/>
      <c r="O1775" s="20"/>
      <c r="P1775" s="20"/>
      <c r="Q1775" s="20"/>
      <c r="R1775" s="20"/>
      <c r="S1775" s="20"/>
      <c r="T1775" s="20"/>
      <c r="U1775" s="20"/>
      <c r="V1775" s="20"/>
      <c r="W1775" s="20"/>
      <c r="X1775" s="20"/>
      <c r="Y1775" s="22"/>
      <c r="Z1775" s="22"/>
      <c r="AA1775" s="20"/>
      <c r="AB1775" s="20"/>
      <c r="AC1775" s="20"/>
      <c r="AD1775" s="20"/>
      <c r="AE1775" s="20"/>
      <c r="AF1775" s="20"/>
      <c r="AG1775" s="20"/>
      <c r="AH1775" s="20"/>
      <c r="AI1775" s="20"/>
      <c r="AJ1775" s="20"/>
      <c r="AK1775" s="20"/>
      <c r="AL1775" s="20"/>
      <c r="AM1775" s="20"/>
      <c r="AN1775" s="20"/>
      <c r="AS1775" s="11"/>
      <c r="AT1775" s="12"/>
    </row>
    <row r="1776" ht="14.25" customHeight="1">
      <c r="A1776" s="20"/>
      <c r="B1776" s="20"/>
      <c r="C1776" s="20"/>
      <c r="D1776" s="21"/>
      <c r="E1776" s="20"/>
      <c r="F1776" s="20"/>
      <c r="G1776" s="20"/>
      <c r="H1776" s="20"/>
      <c r="K1776" s="10"/>
      <c r="M1776" s="20"/>
      <c r="N1776" s="20"/>
      <c r="O1776" s="20"/>
      <c r="P1776" s="20"/>
      <c r="Q1776" s="20"/>
      <c r="R1776" s="20"/>
      <c r="S1776" s="20"/>
      <c r="T1776" s="20"/>
      <c r="U1776" s="20"/>
      <c r="V1776" s="20"/>
      <c r="W1776" s="20"/>
      <c r="X1776" s="20"/>
      <c r="Y1776" s="22"/>
      <c r="Z1776" s="22"/>
      <c r="AA1776" s="20"/>
      <c r="AB1776" s="20"/>
      <c r="AC1776" s="20"/>
      <c r="AD1776" s="20"/>
      <c r="AE1776" s="20"/>
      <c r="AF1776" s="20"/>
      <c r="AG1776" s="20"/>
      <c r="AH1776" s="20"/>
      <c r="AI1776" s="20"/>
      <c r="AJ1776" s="20"/>
      <c r="AK1776" s="20"/>
      <c r="AL1776" s="20"/>
      <c r="AM1776" s="20"/>
      <c r="AN1776" s="20"/>
      <c r="AS1776" s="11"/>
      <c r="AT1776" s="12"/>
    </row>
    <row r="1777" ht="14.25" customHeight="1">
      <c r="A1777" s="20"/>
      <c r="B1777" s="20"/>
      <c r="C1777" s="20"/>
      <c r="D1777" s="21"/>
      <c r="E1777" s="20"/>
      <c r="F1777" s="20"/>
      <c r="G1777" s="20"/>
      <c r="H1777" s="20"/>
      <c r="K1777" s="10"/>
      <c r="M1777" s="20"/>
      <c r="N1777" s="20"/>
      <c r="O1777" s="20"/>
      <c r="P1777" s="20"/>
      <c r="Q1777" s="20"/>
      <c r="R1777" s="20"/>
      <c r="S1777" s="20"/>
      <c r="T1777" s="20"/>
      <c r="U1777" s="20"/>
      <c r="V1777" s="20"/>
      <c r="W1777" s="20"/>
      <c r="X1777" s="20"/>
      <c r="Y1777" s="22"/>
      <c r="Z1777" s="22"/>
      <c r="AA1777" s="20"/>
      <c r="AB1777" s="20"/>
      <c r="AC1777" s="20"/>
      <c r="AD1777" s="20"/>
      <c r="AE1777" s="20"/>
      <c r="AF1777" s="20"/>
      <c r="AG1777" s="20"/>
      <c r="AH1777" s="20"/>
      <c r="AI1777" s="20"/>
      <c r="AJ1777" s="20"/>
      <c r="AK1777" s="20"/>
      <c r="AL1777" s="20"/>
      <c r="AM1777" s="20"/>
      <c r="AN1777" s="20"/>
      <c r="AS1777" s="11"/>
      <c r="AT1777" s="12"/>
    </row>
    <row r="1778" ht="14.25" customHeight="1">
      <c r="A1778" s="20"/>
      <c r="B1778" s="20"/>
      <c r="C1778" s="20"/>
      <c r="D1778" s="21"/>
      <c r="E1778" s="20"/>
      <c r="F1778" s="20"/>
      <c r="G1778" s="20"/>
      <c r="H1778" s="20"/>
      <c r="K1778" s="10"/>
      <c r="M1778" s="20"/>
      <c r="N1778" s="20"/>
      <c r="O1778" s="20"/>
      <c r="P1778" s="20"/>
      <c r="Q1778" s="20"/>
      <c r="R1778" s="20"/>
      <c r="S1778" s="20"/>
      <c r="T1778" s="20"/>
      <c r="U1778" s="20"/>
      <c r="V1778" s="20"/>
      <c r="W1778" s="20"/>
      <c r="X1778" s="20"/>
      <c r="Y1778" s="22"/>
      <c r="Z1778" s="22"/>
      <c r="AA1778" s="20"/>
      <c r="AB1778" s="20"/>
      <c r="AC1778" s="20"/>
      <c r="AD1778" s="20"/>
      <c r="AE1778" s="20"/>
      <c r="AF1778" s="20"/>
      <c r="AG1778" s="20"/>
      <c r="AH1778" s="20"/>
      <c r="AI1778" s="20"/>
      <c r="AJ1778" s="20"/>
      <c r="AK1778" s="20"/>
      <c r="AL1778" s="20"/>
      <c r="AM1778" s="20"/>
      <c r="AN1778" s="20"/>
      <c r="AS1778" s="11"/>
      <c r="AT1778" s="12"/>
    </row>
    <row r="1779" ht="14.25" customHeight="1">
      <c r="A1779" s="20"/>
      <c r="B1779" s="20"/>
      <c r="C1779" s="20"/>
      <c r="D1779" s="21"/>
      <c r="E1779" s="20"/>
      <c r="F1779" s="20"/>
      <c r="G1779" s="20"/>
      <c r="H1779" s="20"/>
      <c r="K1779" s="10"/>
      <c r="M1779" s="20"/>
      <c r="N1779" s="20"/>
      <c r="O1779" s="20"/>
      <c r="P1779" s="20"/>
      <c r="Q1779" s="20"/>
      <c r="R1779" s="20"/>
      <c r="S1779" s="20"/>
      <c r="T1779" s="20"/>
      <c r="U1779" s="20"/>
      <c r="V1779" s="20"/>
      <c r="W1779" s="20"/>
      <c r="X1779" s="20"/>
      <c r="Y1779" s="22"/>
      <c r="Z1779" s="22"/>
      <c r="AA1779" s="20"/>
      <c r="AB1779" s="20"/>
      <c r="AC1779" s="20"/>
      <c r="AD1779" s="20"/>
      <c r="AE1779" s="20"/>
      <c r="AF1779" s="20"/>
      <c r="AG1779" s="20"/>
      <c r="AH1779" s="20"/>
      <c r="AI1779" s="20"/>
      <c r="AJ1779" s="20"/>
      <c r="AK1779" s="20"/>
      <c r="AL1779" s="20"/>
      <c r="AM1779" s="20"/>
      <c r="AN1779" s="20"/>
      <c r="AS1779" s="11"/>
      <c r="AT1779" s="12"/>
    </row>
    <row r="1780" ht="14.25" customHeight="1">
      <c r="A1780" s="20"/>
      <c r="B1780" s="20"/>
      <c r="C1780" s="20"/>
      <c r="D1780" s="21"/>
      <c r="E1780" s="20"/>
      <c r="F1780" s="20"/>
      <c r="G1780" s="20"/>
      <c r="H1780" s="20"/>
      <c r="K1780" s="10"/>
      <c r="M1780" s="20"/>
      <c r="N1780" s="20"/>
      <c r="O1780" s="20"/>
      <c r="P1780" s="20"/>
      <c r="Q1780" s="20"/>
      <c r="R1780" s="20"/>
      <c r="S1780" s="20"/>
      <c r="T1780" s="20"/>
      <c r="U1780" s="20"/>
      <c r="V1780" s="20"/>
      <c r="W1780" s="20"/>
      <c r="X1780" s="20"/>
      <c r="Y1780" s="22"/>
      <c r="Z1780" s="22"/>
      <c r="AA1780" s="20"/>
      <c r="AB1780" s="20"/>
      <c r="AC1780" s="20"/>
      <c r="AD1780" s="20"/>
      <c r="AE1780" s="20"/>
      <c r="AF1780" s="20"/>
      <c r="AG1780" s="20"/>
      <c r="AH1780" s="20"/>
      <c r="AI1780" s="20"/>
      <c r="AJ1780" s="20"/>
      <c r="AK1780" s="20"/>
      <c r="AL1780" s="20"/>
      <c r="AM1780" s="20"/>
      <c r="AN1780" s="20"/>
      <c r="AS1780" s="11"/>
      <c r="AT1780" s="12"/>
    </row>
    <row r="1781" ht="14.25" customHeight="1">
      <c r="A1781" s="20"/>
      <c r="B1781" s="20"/>
      <c r="C1781" s="20"/>
      <c r="D1781" s="21"/>
      <c r="E1781" s="20"/>
      <c r="F1781" s="20"/>
      <c r="G1781" s="20"/>
      <c r="H1781" s="20"/>
      <c r="K1781" s="10"/>
      <c r="M1781" s="20"/>
      <c r="N1781" s="20"/>
      <c r="O1781" s="20"/>
      <c r="P1781" s="20"/>
      <c r="Q1781" s="20"/>
      <c r="R1781" s="20"/>
      <c r="S1781" s="20"/>
      <c r="T1781" s="20"/>
      <c r="U1781" s="20"/>
      <c r="V1781" s="20"/>
      <c r="W1781" s="20"/>
      <c r="X1781" s="20"/>
      <c r="Y1781" s="22"/>
      <c r="Z1781" s="22"/>
      <c r="AA1781" s="20"/>
      <c r="AB1781" s="20"/>
      <c r="AC1781" s="20"/>
      <c r="AD1781" s="20"/>
      <c r="AE1781" s="20"/>
      <c r="AF1781" s="20"/>
      <c r="AG1781" s="20"/>
      <c r="AH1781" s="20"/>
      <c r="AI1781" s="20"/>
      <c r="AJ1781" s="20"/>
      <c r="AK1781" s="20"/>
      <c r="AL1781" s="20"/>
      <c r="AM1781" s="20"/>
      <c r="AN1781" s="20"/>
      <c r="AS1781" s="11"/>
      <c r="AT1781" s="12"/>
    </row>
    <row r="1782" ht="14.25" customHeight="1">
      <c r="A1782" s="20"/>
      <c r="B1782" s="20"/>
      <c r="C1782" s="20"/>
      <c r="D1782" s="21"/>
      <c r="E1782" s="20"/>
      <c r="F1782" s="20"/>
      <c r="G1782" s="20"/>
      <c r="H1782" s="20"/>
      <c r="K1782" s="10"/>
      <c r="M1782" s="20"/>
      <c r="N1782" s="20"/>
      <c r="O1782" s="20"/>
      <c r="P1782" s="20"/>
      <c r="Q1782" s="20"/>
      <c r="R1782" s="20"/>
      <c r="S1782" s="20"/>
      <c r="T1782" s="20"/>
      <c r="U1782" s="20"/>
      <c r="V1782" s="20"/>
      <c r="W1782" s="20"/>
      <c r="X1782" s="20"/>
      <c r="Y1782" s="22"/>
      <c r="Z1782" s="22"/>
      <c r="AA1782" s="20"/>
      <c r="AB1782" s="20"/>
      <c r="AC1782" s="20"/>
      <c r="AD1782" s="20"/>
      <c r="AE1782" s="20"/>
      <c r="AF1782" s="20"/>
      <c r="AG1782" s="20"/>
      <c r="AH1782" s="20"/>
      <c r="AI1782" s="20"/>
      <c r="AJ1782" s="20"/>
      <c r="AK1782" s="20"/>
      <c r="AL1782" s="20"/>
      <c r="AM1782" s="20"/>
      <c r="AN1782" s="20"/>
      <c r="AS1782" s="11"/>
      <c r="AT1782" s="12"/>
    </row>
    <row r="1783" ht="14.25" customHeight="1">
      <c r="A1783" s="20"/>
      <c r="B1783" s="20"/>
      <c r="C1783" s="20"/>
      <c r="D1783" s="21"/>
      <c r="E1783" s="20"/>
      <c r="F1783" s="20"/>
      <c r="G1783" s="20"/>
      <c r="H1783" s="20"/>
      <c r="K1783" s="10"/>
      <c r="M1783" s="20"/>
      <c r="N1783" s="20"/>
      <c r="O1783" s="20"/>
      <c r="P1783" s="20"/>
      <c r="Q1783" s="20"/>
      <c r="R1783" s="20"/>
      <c r="S1783" s="20"/>
      <c r="T1783" s="20"/>
      <c r="U1783" s="20"/>
      <c r="V1783" s="20"/>
      <c r="W1783" s="20"/>
      <c r="X1783" s="20"/>
      <c r="Y1783" s="22"/>
      <c r="Z1783" s="22"/>
      <c r="AA1783" s="20"/>
      <c r="AB1783" s="20"/>
      <c r="AC1783" s="20"/>
      <c r="AD1783" s="20"/>
      <c r="AE1783" s="20"/>
      <c r="AF1783" s="20"/>
      <c r="AG1783" s="20"/>
      <c r="AH1783" s="20"/>
      <c r="AI1783" s="20"/>
      <c r="AJ1783" s="20"/>
      <c r="AK1783" s="20"/>
      <c r="AL1783" s="20"/>
      <c r="AM1783" s="20"/>
      <c r="AN1783" s="20"/>
      <c r="AS1783" s="11"/>
      <c r="AT1783" s="12"/>
    </row>
    <row r="1784" ht="14.25" customHeight="1">
      <c r="A1784" s="20"/>
      <c r="B1784" s="20"/>
      <c r="C1784" s="20"/>
      <c r="D1784" s="21"/>
      <c r="E1784" s="20"/>
      <c r="F1784" s="20"/>
      <c r="G1784" s="20"/>
      <c r="H1784" s="20"/>
      <c r="K1784" s="10"/>
      <c r="M1784" s="20"/>
      <c r="N1784" s="20"/>
      <c r="O1784" s="20"/>
      <c r="P1784" s="20"/>
      <c r="Q1784" s="20"/>
      <c r="R1784" s="20"/>
      <c r="S1784" s="20"/>
      <c r="T1784" s="20"/>
      <c r="U1784" s="20"/>
      <c r="V1784" s="20"/>
      <c r="W1784" s="20"/>
      <c r="X1784" s="20"/>
      <c r="Y1784" s="22"/>
      <c r="Z1784" s="22"/>
      <c r="AA1784" s="20"/>
      <c r="AB1784" s="20"/>
      <c r="AC1784" s="20"/>
      <c r="AD1784" s="20"/>
      <c r="AE1784" s="20"/>
      <c r="AF1784" s="20"/>
      <c r="AG1784" s="20"/>
      <c r="AH1784" s="20"/>
      <c r="AI1784" s="20"/>
      <c r="AJ1784" s="20"/>
      <c r="AK1784" s="20"/>
      <c r="AL1784" s="20"/>
      <c r="AM1784" s="20"/>
      <c r="AN1784" s="20"/>
      <c r="AS1784" s="11"/>
      <c r="AT1784" s="12"/>
    </row>
    <row r="1785" ht="14.25" customHeight="1">
      <c r="A1785" s="20"/>
      <c r="B1785" s="20"/>
      <c r="C1785" s="20"/>
      <c r="D1785" s="21"/>
      <c r="E1785" s="20"/>
      <c r="F1785" s="20"/>
      <c r="G1785" s="20"/>
      <c r="H1785" s="20"/>
      <c r="K1785" s="10"/>
      <c r="M1785" s="20"/>
      <c r="N1785" s="20"/>
      <c r="O1785" s="20"/>
      <c r="P1785" s="20"/>
      <c r="Q1785" s="20"/>
      <c r="R1785" s="20"/>
      <c r="S1785" s="20"/>
      <c r="T1785" s="20"/>
      <c r="U1785" s="20"/>
      <c r="V1785" s="20"/>
      <c r="W1785" s="20"/>
      <c r="X1785" s="20"/>
      <c r="Y1785" s="22"/>
      <c r="Z1785" s="22"/>
      <c r="AA1785" s="20"/>
      <c r="AB1785" s="20"/>
      <c r="AC1785" s="20"/>
      <c r="AD1785" s="20"/>
      <c r="AE1785" s="20"/>
      <c r="AF1785" s="20"/>
      <c r="AG1785" s="20"/>
      <c r="AH1785" s="20"/>
      <c r="AI1785" s="20"/>
      <c r="AJ1785" s="20"/>
      <c r="AK1785" s="20"/>
      <c r="AL1785" s="20"/>
      <c r="AM1785" s="20"/>
      <c r="AN1785" s="20"/>
      <c r="AS1785" s="11"/>
      <c r="AT1785" s="12"/>
    </row>
    <row r="1786" ht="14.25" customHeight="1">
      <c r="A1786" s="20"/>
      <c r="B1786" s="20"/>
      <c r="C1786" s="20"/>
      <c r="D1786" s="21"/>
      <c r="E1786" s="20"/>
      <c r="F1786" s="20"/>
      <c r="G1786" s="20"/>
      <c r="H1786" s="20"/>
      <c r="K1786" s="1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2"/>
      <c r="Z1786" s="22"/>
      <c r="AA1786" s="20"/>
      <c r="AB1786" s="20"/>
      <c r="AC1786" s="20"/>
      <c r="AD1786" s="20"/>
      <c r="AE1786" s="20"/>
      <c r="AF1786" s="20"/>
      <c r="AG1786" s="20"/>
      <c r="AH1786" s="20"/>
      <c r="AI1786" s="20"/>
      <c r="AJ1786" s="20"/>
      <c r="AK1786" s="20"/>
      <c r="AL1786" s="20"/>
      <c r="AM1786" s="20"/>
      <c r="AN1786" s="20"/>
      <c r="AS1786" s="11"/>
      <c r="AT1786" s="12"/>
    </row>
    <row r="1787" ht="14.25" customHeight="1">
      <c r="A1787" s="20"/>
      <c r="B1787" s="20"/>
      <c r="C1787" s="20"/>
      <c r="D1787" s="21"/>
      <c r="E1787" s="20"/>
      <c r="F1787" s="20"/>
      <c r="G1787" s="20"/>
      <c r="H1787" s="20"/>
      <c r="K1787" s="10"/>
      <c r="M1787" s="20"/>
      <c r="N1787" s="20"/>
      <c r="O1787" s="20"/>
      <c r="P1787" s="20"/>
      <c r="Q1787" s="20"/>
      <c r="R1787" s="20"/>
      <c r="S1787" s="20"/>
      <c r="T1787" s="20"/>
      <c r="U1787" s="20"/>
      <c r="V1787" s="20"/>
      <c r="W1787" s="20"/>
      <c r="X1787" s="20"/>
      <c r="Y1787" s="22"/>
      <c r="Z1787" s="22"/>
      <c r="AA1787" s="20"/>
      <c r="AB1787" s="20"/>
      <c r="AC1787" s="20"/>
      <c r="AD1787" s="20"/>
      <c r="AE1787" s="20"/>
      <c r="AF1787" s="20"/>
      <c r="AG1787" s="20"/>
      <c r="AH1787" s="20"/>
      <c r="AI1787" s="20"/>
      <c r="AJ1787" s="20"/>
      <c r="AK1787" s="20"/>
      <c r="AL1787" s="20"/>
      <c r="AM1787" s="20"/>
      <c r="AN1787" s="20"/>
      <c r="AS1787" s="11"/>
      <c r="AT1787" s="12"/>
    </row>
    <row r="1788" ht="14.25" customHeight="1">
      <c r="A1788" s="20"/>
      <c r="B1788" s="20"/>
      <c r="C1788" s="20"/>
      <c r="D1788" s="21"/>
      <c r="E1788" s="20"/>
      <c r="F1788" s="20"/>
      <c r="G1788" s="20"/>
      <c r="H1788" s="20"/>
      <c r="K1788" s="10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  <c r="X1788" s="20"/>
      <c r="Y1788" s="22"/>
      <c r="Z1788" s="22"/>
      <c r="AA1788" s="20"/>
      <c r="AB1788" s="20"/>
      <c r="AC1788" s="20"/>
      <c r="AD1788" s="20"/>
      <c r="AE1788" s="20"/>
      <c r="AF1788" s="20"/>
      <c r="AG1788" s="20"/>
      <c r="AH1788" s="20"/>
      <c r="AI1788" s="20"/>
      <c r="AJ1788" s="20"/>
      <c r="AK1788" s="20"/>
      <c r="AL1788" s="20"/>
      <c r="AM1788" s="20"/>
      <c r="AN1788" s="20"/>
      <c r="AS1788" s="11"/>
      <c r="AT1788" s="12"/>
    </row>
    <row r="1789" ht="14.25" customHeight="1">
      <c r="A1789" s="20"/>
      <c r="B1789" s="20"/>
      <c r="C1789" s="20"/>
      <c r="D1789" s="21"/>
      <c r="E1789" s="20"/>
      <c r="F1789" s="20"/>
      <c r="G1789" s="20"/>
      <c r="H1789" s="20"/>
      <c r="K1789" s="10"/>
      <c r="M1789" s="20"/>
      <c r="N1789" s="20"/>
      <c r="O1789" s="20"/>
      <c r="P1789" s="20"/>
      <c r="Q1789" s="20"/>
      <c r="R1789" s="20"/>
      <c r="S1789" s="20"/>
      <c r="T1789" s="20"/>
      <c r="U1789" s="20"/>
      <c r="V1789" s="20"/>
      <c r="W1789" s="20"/>
      <c r="X1789" s="20"/>
      <c r="Y1789" s="22"/>
      <c r="Z1789" s="22"/>
      <c r="AA1789" s="20"/>
      <c r="AB1789" s="20"/>
      <c r="AC1789" s="20"/>
      <c r="AD1789" s="20"/>
      <c r="AE1789" s="20"/>
      <c r="AF1789" s="20"/>
      <c r="AG1789" s="20"/>
      <c r="AH1789" s="20"/>
      <c r="AI1789" s="20"/>
      <c r="AJ1789" s="20"/>
      <c r="AK1789" s="20"/>
      <c r="AL1789" s="20"/>
      <c r="AM1789" s="20"/>
      <c r="AN1789" s="20"/>
      <c r="AS1789" s="11"/>
      <c r="AT1789" s="12"/>
    </row>
    <row r="1790" ht="14.25" customHeight="1">
      <c r="A1790" s="20"/>
      <c r="B1790" s="20"/>
      <c r="C1790" s="20"/>
      <c r="D1790" s="21"/>
      <c r="E1790" s="20"/>
      <c r="F1790" s="20"/>
      <c r="G1790" s="20"/>
      <c r="H1790" s="20"/>
      <c r="K1790" s="10"/>
      <c r="M1790" s="20"/>
      <c r="N1790" s="20"/>
      <c r="O1790" s="20"/>
      <c r="P1790" s="20"/>
      <c r="Q1790" s="20"/>
      <c r="R1790" s="20"/>
      <c r="S1790" s="20"/>
      <c r="T1790" s="20"/>
      <c r="U1790" s="20"/>
      <c r="V1790" s="20"/>
      <c r="W1790" s="20"/>
      <c r="X1790" s="20"/>
      <c r="Y1790" s="22"/>
      <c r="Z1790" s="22"/>
      <c r="AA1790" s="20"/>
      <c r="AB1790" s="20"/>
      <c r="AC1790" s="20"/>
      <c r="AD1790" s="20"/>
      <c r="AE1790" s="20"/>
      <c r="AF1790" s="20"/>
      <c r="AG1790" s="20"/>
      <c r="AH1790" s="20"/>
      <c r="AI1790" s="20"/>
      <c r="AJ1790" s="20"/>
      <c r="AK1790" s="20"/>
      <c r="AL1790" s="20"/>
      <c r="AM1790" s="20"/>
      <c r="AN1790" s="20"/>
      <c r="AS1790" s="11"/>
      <c r="AT1790" s="12"/>
    </row>
    <row r="1791" ht="14.25" customHeight="1">
      <c r="A1791" s="20"/>
      <c r="B1791" s="20"/>
      <c r="C1791" s="20"/>
      <c r="D1791" s="21"/>
      <c r="E1791" s="20"/>
      <c r="F1791" s="20"/>
      <c r="G1791" s="20"/>
      <c r="H1791" s="20"/>
      <c r="K1791" s="10"/>
      <c r="M1791" s="20"/>
      <c r="N1791" s="20"/>
      <c r="O1791" s="20"/>
      <c r="P1791" s="20"/>
      <c r="Q1791" s="20"/>
      <c r="R1791" s="20"/>
      <c r="S1791" s="20"/>
      <c r="T1791" s="20"/>
      <c r="U1791" s="20"/>
      <c r="V1791" s="20"/>
      <c r="W1791" s="20"/>
      <c r="X1791" s="20"/>
      <c r="Y1791" s="22"/>
      <c r="Z1791" s="22"/>
      <c r="AA1791" s="20"/>
      <c r="AB1791" s="20"/>
      <c r="AC1791" s="20"/>
      <c r="AD1791" s="20"/>
      <c r="AE1791" s="20"/>
      <c r="AF1791" s="20"/>
      <c r="AG1791" s="20"/>
      <c r="AH1791" s="20"/>
      <c r="AI1791" s="20"/>
      <c r="AJ1791" s="20"/>
      <c r="AK1791" s="20"/>
      <c r="AL1791" s="20"/>
      <c r="AM1791" s="20"/>
      <c r="AN1791" s="20"/>
      <c r="AS1791" s="11"/>
      <c r="AT1791" s="12"/>
    </row>
    <row r="1792" ht="14.25" customHeight="1">
      <c r="A1792" s="20"/>
      <c r="B1792" s="20"/>
      <c r="C1792" s="20"/>
      <c r="D1792" s="21"/>
      <c r="E1792" s="20"/>
      <c r="F1792" s="20"/>
      <c r="G1792" s="20"/>
      <c r="H1792" s="20"/>
      <c r="K1792" s="10"/>
      <c r="M1792" s="20"/>
      <c r="N1792" s="20"/>
      <c r="O1792" s="20"/>
      <c r="P1792" s="20"/>
      <c r="Q1792" s="20"/>
      <c r="R1792" s="20"/>
      <c r="S1792" s="20"/>
      <c r="T1792" s="20"/>
      <c r="U1792" s="20"/>
      <c r="V1792" s="20"/>
      <c r="W1792" s="20"/>
      <c r="X1792" s="20"/>
      <c r="Y1792" s="22"/>
      <c r="Z1792" s="22"/>
      <c r="AA1792" s="20"/>
      <c r="AB1792" s="20"/>
      <c r="AC1792" s="20"/>
      <c r="AD1792" s="20"/>
      <c r="AE1792" s="20"/>
      <c r="AF1792" s="20"/>
      <c r="AG1792" s="20"/>
      <c r="AH1792" s="20"/>
      <c r="AI1792" s="20"/>
      <c r="AJ1792" s="20"/>
      <c r="AK1792" s="20"/>
      <c r="AL1792" s="20"/>
      <c r="AM1792" s="20"/>
      <c r="AN1792" s="20"/>
      <c r="AS1792" s="11"/>
      <c r="AT1792" s="12"/>
    </row>
    <row r="1793" ht="14.25" customHeight="1">
      <c r="A1793" s="20"/>
      <c r="B1793" s="20"/>
      <c r="C1793" s="20"/>
      <c r="D1793" s="21"/>
      <c r="E1793" s="20"/>
      <c r="F1793" s="20"/>
      <c r="G1793" s="20"/>
      <c r="H1793" s="20"/>
      <c r="K1793" s="10"/>
      <c r="M1793" s="20"/>
      <c r="N1793" s="20"/>
      <c r="O1793" s="20"/>
      <c r="P1793" s="20"/>
      <c r="Q1793" s="20"/>
      <c r="R1793" s="20"/>
      <c r="S1793" s="20"/>
      <c r="T1793" s="20"/>
      <c r="U1793" s="20"/>
      <c r="V1793" s="20"/>
      <c r="W1793" s="20"/>
      <c r="X1793" s="20"/>
      <c r="Y1793" s="22"/>
      <c r="Z1793" s="22"/>
      <c r="AA1793" s="20"/>
      <c r="AB1793" s="20"/>
      <c r="AC1793" s="20"/>
      <c r="AD1793" s="20"/>
      <c r="AE1793" s="20"/>
      <c r="AF1793" s="20"/>
      <c r="AG1793" s="20"/>
      <c r="AH1793" s="20"/>
      <c r="AI1793" s="20"/>
      <c r="AJ1793" s="20"/>
      <c r="AK1793" s="20"/>
      <c r="AL1793" s="20"/>
      <c r="AM1793" s="20"/>
      <c r="AN1793" s="20"/>
      <c r="AS1793" s="11"/>
      <c r="AT1793" s="12"/>
    </row>
    <row r="1794" ht="14.25" customHeight="1">
      <c r="A1794" s="20"/>
      <c r="B1794" s="20"/>
      <c r="C1794" s="20"/>
      <c r="D1794" s="21"/>
      <c r="E1794" s="20"/>
      <c r="F1794" s="20"/>
      <c r="G1794" s="20"/>
      <c r="H1794" s="20"/>
      <c r="K1794" s="10"/>
      <c r="M1794" s="20"/>
      <c r="N1794" s="20"/>
      <c r="O1794" s="20"/>
      <c r="P1794" s="20"/>
      <c r="Q1794" s="20"/>
      <c r="R1794" s="20"/>
      <c r="S1794" s="20"/>
      <c r="T1794" s="20"/>
      <c r="U1794" s="20"/>
      <c r="V1794" s="20"/>
      <c r="W1794" s="20"/>
      <c r="X1794" s="20"/>
      <c r="Y1794" s="22"/>
      <c r="Z1794" s="22"/>
      <c r="AA1794" s="20"/>
      <c r="AB1794" s="20"/>
      <c r="AC1794" s="20"/>
      <c r="AD1794" s="20"/>
      <c r="AE1794" s="20"/>
      <c r="AF1794" s="20"/>
      <c r="AG1794" s="20"/>
      <c r="AH1794" s="20"/>
      <c r="AI1794" s="20"/>
      <c r="AJ1794" s="20"/>
      <c r="AK1794" s="20"/>
      <c r="AL1794" s="20"/>
      <c r="AM1794" s="20"/>
      <c r="AN1794" s="20"/>
      <c r="AS1794" s="11"/>
      <c r="AT1794" s="12"/>
    </row>
    <row r="1795" ht="14.25" customHeight="1">
      <c r="A1795" s="20"/>
      <c r="B1795" s="20"/>
      <c r="C1795" s="20"/>
      <c r="D1795" s="21"/>
      <c r="E1795" s="20"/>
      <c r="F1795" s="20"/>
      <c r="G1795" s="20"/>
      <c r="H1795" s="20"/>
      <c r="K1795" s="10"/>
      <c r="M1795" s="20"/>
      <c r="N1795" s="20"/>
      <c r="O1795" s="20"/>
      <c r="P1795" s="20"/>
      <c r="Q1795" s="20"/>
      <c r="R1795" s="20"/>
      <c r="S1795" s="20"/>
      <c r="T1795" s="20"/>
      <c r="U1795" s="20"/>
      <c r="V1795" s="20"/>
      <c r="W1795" s="20"/>
      <c r="X1795" s="20"/>
      <c r="Y1795" s="22"/>
      <c r="Z1795" s="22"/>
      <c r="AA1795" s="20"/>
      <c r="AB1795" s="20"/>
      <c r="AC1795" s="20"/>
      <c r="AD1795" s="20"/>
      <c r="AE1795" s="20"/>
      <c r="AF1795" s="20"/>
      <c r="AG1795" s="20"/>
      <c r="AH1795" s="20"/>
      <c r="AI1795" s="20"/>
      <c r="AJ1795" s="20"/>
      <c r="AK1795" s="20"/>
      <c r="AL1795" s="20"/>
      <c r="AM1795" s="20"/>
      <c r="AN1795" s="20"/>
      <c r="AS1795" s="11"/>
      <c r="AT1795" s="12"/>
    </row>
    <row r="1796" ht="14.25" customHeight="1">
      <c r="A1796" s="20"/>
      <c r="B1796" s="20"/>
      <c r="C1796" s="20"/>
      <c r="D1796" s="21"/>
      <c r="E1796" s="20"/>
      <c r="F1796" s="20"/>
      <c r="G1796" s="20"/>
      <c r="H1796" s="20"/>
      <c r="K1796" s="10"/>
      <c r="M1796" s="20"/>
      <c r="N1796" s="20"/>
      <c r="O1796" s="20"/>
      <c r="P1796" s="20"/>
      <c r="Q1796" s="20"/>
      <c r="R1796" s="20"/>
      <c r="S1796" s="20"/>
      <c r="T1796" s="20"/>
      <c r="U1796" s="20"/>
      <c r="V1796" s="20"/>
      <c r="W1796" s="20"/>
      <c r="X1796" s="20"/>
      <c r="Y1796" s="22"/>
      <c r="Z1796" s="22"/>
      <c r="AA1796" s="20"/>
      <c r="AB1796" s="20"/>
      <c r="AC1796" s="20"/>
      <c r="AD1796" s="20"/>
      <c r="AE1796" s="20"/>
      <c r="AF1796" s="20"/>
      <c r="AG1796" s="20"/>
      <c r="AH1796" s="20"/>
      <c r="AI1796" s="20"/>
      <c r="AJ1796" s="20"/>
      <c r="AK1796" s="20"/>
      <c r="AL1796" s="20"/>
      <c r="AM1796" s="20"/>
      <c r="AN1796" s="20"/>
      <c r="AS1796" s="11"/>
      <c r="AT1796" s="12"/>
    </row>
    <row r="1797" ht="14.25" customHeight="1">
      <c r="A1797" s="20"/>
      <c r="B1797" s="20"/>
      <c r="C1797" s="20"/>
      <c r="D1797" s="21"/>
      <c r="E1797" s="20"/>
      <c r="F1797" s="20"/>
      <c r="G1797" s="20"/>
      <c r="H1797" s="20"/>
      <c r="K1797" s="10"/>
      <c r="M1797" s="20"/>
      <c r="N1797" s="20"/>
      <c r="O1797" s="20"/>
      <c r="P1797" s="20"/>
      <c r="Q1797" s="20"/>
      <c r="R1797" s="20"/>
      <c r="S1797" s="20"/>
      <c r="T1797" s="20"/>
      <c r="U1797" s="20"/>
      <c r="V1797" s="20"/>
      <c r="W1797" s="20"/>
      <c r="X1797" s="20"/>
      <c r="Y1797" s="22"/>
      <c r="Z1797" s="22"/>
      <c r="AA1797" s="20"/>
      <c r="AB1797" s="20"/>
      <c r="AC1797" s="20"/>
      <c r="AD1797" s="20"/>
      <c r="AE1797" s="20"/>
      <c r="AF1797" s="20"/>
      <c r="AG1797" s="20"/>
      <c r="AH1797" s="20"/>
      <c r="AI1797" s="20"/>
      <c r="AJ1797" s="20"/>
      <c r="AK1797" s="20"/>
      <c r="AL1797" s="20"/>
      <c r="AM1797" s="20"/>
      <c r="AN1797" s="20"/>
      <c r="AS1797" s="11"/>
      <c r="AT1797" s="12"/>
    </row>
    <row r="1798" ht="14.25" customHeight="1">
      <c r="A1798" s="20"/>
      <c r="B1798" s="20"/>
      <c r="C1798" s="20"/>
      <c r="D1798" s="21"/>
      <c r="E1798" s="20"/>
      <c r="F1798" s="20"/>
      <c r="G1798" s="20"/>
      <c r="H1798" s="20"/>
      <c r="K1798" s="10"/>
      <c r="M1798" s="20"/>
      <c r="N1798" s="20"/>
      <c r="O1798" s="20"/>
      <c r="P1798" s="20"/>
      <c r="Q1798" s="20"/>
      <c r="R1798" s="20"/>
      <c r="S1798" s="20"/>
      <c r="T1798" s="20"/>
      <c r="U1798" s="20"/>
      <c r="V1798" s="20"/>
      <c r="W1798" s="20"/>
      <c r="X1798" s="20"/>
      <c r="Y1798" s="22"/>
      <c r="Z1798" s="22"/>
      <c r="AA1798" s="20"/>
      <c r="AB1798" s="20"/>
      <c r="AC1798" s="20"/>
      <c r="AD1798" s="20"/>
      <c r="AE1798" s="20"/>
      <c r="AF1798" s="20"/>
      <c r="AG1798" s="20"/>
      <c r="AH1798" s="20"/>
      <c r="AI1798" s="20"/>
      <c r="AJ1798" s="20"/>
      <c r="AK1798" s="20"/>
      <c r="AL1798" s="20"/>
      <c r="AM1798" s="20"/>
      <c r="AN1798" s="20"/>
      <c r="AS1798" s="11"/>
      <c r="AT1798" s="12"/>
    </row>
    <row r="1799" ht="14.25" customHeight="1">
      <c r="A1799" s="20"/>
      <c r="B1799" s="20"/>
      <c r="C1799" s="20"/>
      <c r="D1799" s="21"/>
      <c r="E1799" s="20"/>
      <c r="F1799" s="20"/>
      <c r="G1799" s="20"/>
      <c r="H1799" s="20"/>
      <c r="K1799" s="10"/>
      <c r="M1799" s="20"/>
      <c r="N1799" s="20"/>
      <c r="O1799" s="20"/>
      <c r="P1799" s="20"/>
      <c r="Q1799" s="20"/>
      <c r="R1799" s="20"/>
      <c r="S1799" s="20"/>
      <c r="T1799" s="20"/>
      <c r="U1799" s="20"/>
      <c r="V1799" s="20"/>
      <c r="W1799" s="20"/>
      <c r="X1799" s="20"/>
      <c r="Y1799" s="22"/>
      <c r="Z1799" s="22"/>
      <c r="AA1799" s="20"/>
      <c r="AB1799" s="20"/>
      <c r="AC1799" s="20"/>
      <c r="AD1799" s="20"/>
      <c r="AE1799" s="20"/>
      <c r="AF1799" s="20"/>
      <c r="AG1799" s="20"/>
      <c r="AH1799" s="20"/>
      <c r="AI1799" s="20"/>
      <c r="AJ1799" s="20"/>
      <c r="AK1799" s="20"/>
      <c r="AL1799" s="20"/>
      <c r="AM1799" s="20"/>
      <c r="AN1799" s="20"/>
      <c r="AS1799" s="11"/>
      <c r="AT1799" s="12"/>
    </row>
    <row r="1800" ht="14.25" customHeight="1">
      <c r="A1800" s="20"/>
      <c r="B1800" s="20"/>
      <c r="C1800" s="20"/>
      <c r="D1800" s="21"/>
      <c r="E1800" s="20"/>
      <c r="F1800" s="20"/>
      <c r="G1800" s="20"/>
      <c r="H1800" s="20"/>
      <c r="K1800" s="10"/>
      <c r="M1800" s="20"/>
      <c r="N1800" s="20"/>
      <c r="O1800" s="20"/>
      <c r="P1800" s="20"/>
      <c r="Q1800" s="20"/>
      <c r="R1800" s="20"/>
      <c r="S1800" s="20"/>
      <c r="T1800" s="20"/>
      <c r="U1800" s="20"/>
      <c r="V1800" s="20"/>
      <c r="W1800" s="20"/>
      <c r="X1800" s="20"/>
      <c r="Y1800" s="22"/>
      <c r="Z1800" s="22"/>
      <c r="AA1800" s="20"/>
      <c r="AB1800" s="20"/>
      <c r="AC1800" s="20"/>
      <c r="AD1800" s="20"/>
      <c r="AE1800" s="20"/>
      <c r="AF1800" s="20"/>
      <c r="AG1800" s="20"/>
      <c r="AH1800" s="20"/>
      <c r="AI1800" s="20"/>
      <c r="AJ1800" s="20"/>
      <c r="AK1800" s="20"/>
      <c r="AL1800" s="20"/>
      <c r="AM1800" s="20"/>
      <c r="AN1800" s="20"/>
      <c r="AS1800" s="11"/>
      <c r="AT1800" s="12"/>
    </row>
    <row r="1801" ht="14.25" customHeight="1">
      <c r="A1801" s="20"/>
      <c r="B1801" s="20"/>
      <c r="C1801" s="20"/>
      <c r="D1801" s="21"/>
      <c r="E1801" s="20"/>
      <c r="F1801" s="20"/>
      <c r="G1801" s="20"/>
      <c r="H1801" s="20"/>
      <c r="K1801" s="10"/>
      <c r="M1801" s="20"/>
      <c r="N1801" s="20"/>
      <c r="O1801" s="20"/>
      <c r="P1801" s="20"/>
      <c r="Q1801" s="20"/>
      <c r="R1801" s="20"/>
      <c r="S1801" s="20"/>
      <c r="T1801" s="20"/>
      <c r="U1801" s="20"/>
      <c r="V1801" s="20"/>
      <c r="W1801" s="20"/>
      <c r="X1801" s="20"/>
      <c r="Y1801" s="22"/>
      <c r="Z1801" s="22"/>
      <c r="AA1801" s="20"/>
      <c r="AB1801" s="20"/>
      <c r="AC1801" s="20"/>
      <c r="AD1801" s="20"/>
      <c r="AE1801" s="20"/>
      <c r="AF1801" s="20"/>
      <c r="AG1801" s="20"/>
      <c r="AH1801" s="20"/>
      <c r="AI1801" s="20"/>
      <c r="AJ1801" s="20"/>
      <c r="AK1801" s="20"/>
      <c r="AL1801" s="20"/>
      <c r="AM1801" s="20"/>
      <c r="AN1801" s="20"/>
      <c r="AS1801" s="11"/>
      <c r="AT1801" s="12"/>
    </row>
    <row r="1802" ht="14.25" customHeight="1">
      <c r="A1802" s="20"/>
      <c r="B1802" s="20"/>
      <c r="C1802" s="20"/>
      <c r="D1802" s="21"/>
      <c r="E1802" s="20"/>
      <c r="F1802" s="20"/>
      <c r="G1802" s="20"/>
      <c r="H1802" s="20"/>
      <c r="K1802" s="10"/>
      <c r="M1802" s="20"/>
      <c r="N1802" s="20"/>
      <c r="O1802" s="20"/>
      <c r="P1802" s="20"/>
      <c r="Q1802" s="20"/>
      <c r="R1802" s="20"/>
      <c r="S1802" s="20"/>
      <c r="T1802" s="20"/>
      <c r="U1802" s="20"/>
      <c r="V1802" s="20"/>
      <c r="W1802" s="20"/>
      <c r="X1802" s="20"/>
      <c r="Y1802" s="22"/>
      <c r="Z1802" s="22"/>
      <c r="AA1802" s="20"/>
      <c r="AB1802" s="20"/>
      <c r="AC1802" s="20"/>
      <c r="AD1802" s="20"/>
      <c r="AE1802" s="20"/>
      <c r="AF1802" s="20"/>
      <c r="AG1802" s="20"/>
      <c r="AH1802" s="20"/>
      <c r="AI1802" s="20"/>
      <c r="AJ1802" s="20"/>
      <c r="AK1802" s="20"/>
      <c r="AL1802" s="20"/>
      <c r="AM1802" s="20"/>
      <c r="AN1802" s="20"/>
      <c r="AS1802" s="11"/>
      <c r="AT1802" s="12"/>
    </row>
    <row r="1803" ht="14.25" customHeight="1">
      <c r="A1803" s="20"/>
      <c r="B1803" s="20"/>
      <c r="C1803" s="20"/>
      <c r="D1803" s="21"/>
      <c r="E1803" s="20"/>
      <c r="F1803" s="20"/>
      <c r="G1803" s="20"/>
      <c r="H1803" s="20"/>
      <c r="K1803" s="10"/>
      <c r="M1803" s="20"/>
      <c r="N1803" s="20"/>
      <c r="O1803" s="20"/>
      <c r="P1803" s="20"/>
      <c r="Q1803" s="20"/>
      <c r="R1803" s="20"/>
      <c r="S1803" s="20"/>
      <c r="T1803" s="20"/>
      <c r="U1803" s="20"/>
      <c r="V1803" s="20"/>
      <c r="W1803" s="20"/>
      <c r="X1803" s="20"/>
      <c r="Y1803" s="22"/>
      <c r="Z1803" s="22"/>
      <c r="AA1803" s="20"/>
      <c r="AB1803" s="20"/>
      <c r="AC1803" s="20"/>
      <c r="AD1803" s="20"/>
      <c r="AE1803" s="20"/>
      <c r="AF1803" s="20"/>
      <c r="AG1803" s="20"/>
      <c r="AH1803" s="20"/>
      <c r="AI1803" s="20"/>
      <c r="AJ1803" s="20"/>
      <c r="AK1803" s="20"/>
      <c r="AL1803" s="20"/>
      <c r="AM1803" s="20"/>
      <c r="AN1803" s="20"/>
      <c r="AS1803" s="11"/>
      <c r="AT1803" s="12"/>
    </row>
    <row r="1804" ht="14.25" customHeight="1">
      <c r="A1804" s="20"/>
      <c r="B1804" s="20"/>
      <c r="C1804" s="20"/>
      <c r="D1804" s="21"/>
      <c r="E1804" s="20"/>
      <c r="F1804" s="20"/>
      <c r="G1804" s="20"/>
      <c r="H1804" s="20"/>
      <c r="K1804" s="10"/>
      <c r="M1804" s="20"/>
      <c r="N1804" s="20"/>
      <c r="O1804" s="20"/>
      <c r="P1804" s="20"/>
      <c r="Q1804" s="20"/>
      <c r="R1804" s="20"/>
      <c r="S1804" s="20"/>
      <c r="T1804" s="20"/>
      <c r="U1804" s="20"/>
      <c r="V1804" s="20"/>
      <c r="W1804" s="20"/>
      <c r="X1804" s="20"/>
      <c r="Y1804" s="22"/>
      <c r="Z1804" s="22"/>
      <c r="AA1804" s="20"/>
      <c r="AB1804" s="20"/>
      <c r="AC1804" s="20"/>
      <c r="AD1804" s="20"/>
      <c r="AE1804" s="20"/>
      <c r="AF1804" s="20"/>
      <c r="AG1804" s="20"/>
      <c r="AH1804" s="20"/>
      <c r="AI1804" s="20"/>
      <c r="AJ1804" s="20"/>
      <c r="AK1804" s="20"/>
      <c r="AL1804" s="20"/>
      <c r="AM1804" s="20"/>
      <c r="AN1804" s="20"/>
      <c r="AS1804" s="11"/>
      <c r="AT1804" s="12"/>
    </row>
    <row r="1805" ht="14.25" customHeight="1">
      <c r="A1805" s="20"/>
      <c r="B1805" s="20"/>
      <c r="C1805" s="20"/>
      <c r="D1805" s="21"/>
      <c r="E1805" s="20"/>
      <c r="F1805" s="20"/>
      <c r="G1805" s="20"/>
      <c r="H1805" s="20"/>
      <c r="K1805" s="10"/>
      <c r="M1805" s="20"/>
      <c r="N1805" s="20"/>
      <c r="O1805" s="20"/>
      <c r="P1805" s="20"/>
      <c r="Q1805" s="20"/>
      <c r="R1805" s="20"/>
      <c r="S1805" s="20"/>
      <c r="T1805" s="20"/>
      <c r="U1805" s="20"/>
      <c r="V1805" s="20"/>
      <c r="W1805" s="20"/>
      <c r="X1805" s="20"/>
      <c r="Y1805" s="22"/>
      <c r="Z1805" s="22"/>
      <c r="AA1805" s="20"/>
      <c r="AB1805" s="20"/>
      <c r="AC1805" s="20"/>
      <c r="AD1805" s="20"/>
      <c r="AE1805" s="20"/>
      <c r="AF1805" s="20"/>
      <c r="AG1805" s="20"/>
      <c r="AH1805" s="20"/>
      <c r="AI1805" s="20"/>
      <c r="AJ1805" s="20"/>
      <c r="AK1805" s="20"/>
      <c r="AL1805" s="20"/>
      <c r="AM1805" s="20"/>
      <c r="AN1805" s="20"/>
      <c r="AS1805" s="11"/>
      <c r="AT1805" s="12"/>
    </row>
    <row r="1806" ht="14.25" customHeight="1">
      <c r="A1806" s="20"/>
      <c r="B1806" s="20"/>
      <c r="C1806" s="20"/>
      <c r="D1806" s="21"/>
      <c r="E1806" s="20"/>
      <c r="F1806" s="20"/>
      <c r="G1806" s="20"/>
      <c r="H1806" s="20"/>
      <c r="K1806" s="10"/>
      <c r="M1806" s="20"/>
      <c r="N1806" s="20"/>
      <c r="O1806" s="20"/>
      <c r="P1806" s="20"/>
      <c r="Q1806" s="20"/>
      <c r="R1806" s="20"/>
      <c r="S1806" s="20"/>
      <c r="T1806" s="20"/>
      <c r="U1806" s="20"/>
      <c r="V1806" s="20"/>
      <c r="W1806" s="20"/>
      <c r="X1806" s="20"/>
      <c r="Y1806" s="22"/>
      <c r="Z1806" s="22"/>
      <c r="AA1806" s="20"/>
      <c r="AB1806" s="20"/>
      <c r="AC1806" s="20"/>
      <c r="AD1806" s="20"/>
      <c r="AE1806" s="20"/>
      <c r="AF1806" s="20"/>
      <c r="AG1806" s="20"/>
      <c r="AH1806" s="20"/>
      <c r="AI1806" s="20"/>
      <c r="AJ1806" s="20"/>
      <c r="AK1806" s="20"/>
      <c r="AL1806" s="20"/>
      <c r="AM1806" s="20"/>
      <c r="AN1806" s="20"/>
      <c r="AS1806" s="11"/>
      <c r="AT1806" s="12"/>
    </row>
    <row r="1807" ht="14.25" customHeight="1">
      <c r="A1807" s="20"/>
      <c r="B1807" s="20"/>
      <c r="C1807" s="20"/>
      <c r="D1807" s="21"/>
      <c r="E1807" s="20"/>
      <c r="F1807" s="20"/>
      <c r="G1807" s="20"/>
      <c r="H1807" s="20"/>
      <c r="K1807" s="10"/>
      <c r="M1807" s="20"/>
      <c r="N1807" s="20"/>
      <c r="O1807" s="20"/>
      <c r="P1807" s="20"/>
      <c r="Q1807" s="20"/>
      <c r="R1807" s="20"/>
      <c r="S1807" s="20"/>
      <c r="T1807" s="20"/>
      <c r="U1807" s="20"/>
      <c r="V1807" s="20"/>
      <c r="W1807" s="20"/>
      <c r="X1807" s="20"/>
      <c r="Y1807" s="22"/>
      <c r="Z1807" s="22"/>
      <c r="AA1807" s="20"/>
      <c r="AB1807" s="20"/>
      <c r="AC1807" s="20"/>
      <c r="AD1807" s="20"/>
      <c r="AE1807" s="20"/>
      <c r="AF1807" s="20"/>
      <c r="AG1807" s="20"/>
      <c r="AH1807" s="20"/>
      <c r="AI1807" s="20"/>
      <c r="AJ1807" s="20"/>
      <c r="AK1807" s="20"/>
      <c r="AL1807" s="20"/>
      <c r="AM1807" s="20"/>
      <c r="AN1807" s="20"/>
      <c r="AS1807" s="11"/>
      <c r="AT1807" s="12"/>
    </row>
    <row r="1808" ht="14.25" customHeight="1">
      <c r="A1808" s="20"/>
      <c r="B1808" s="20"/>
      <c r="C1808" s="20"/>
      <c r="D1808" s="21"/>
      <c r="E1808" s="20"/>
      <c r="F1808" s="20"/>
      <c r="G1808" s="20"/>
      <c r="H1808" s="20"/>
      <c r="K1808" s="10"/>
      <c r="M1808" s="20"/>
      <c r="N1808" s="20"/>
      <c r="O1808" s="20"/>
      <c r="P1808" s="20"/>
      <c r="Q1808" s="20"/>
      <c r="R1808" s="20"/>
      <c r="S1808" s="20"/>
      <c r="T1808" s="20"/>
      <c r="U1808" s="20"/>
      <c r="V1808" s="20"/>
      <c r="W1808" s="20"/>
      <c r="X1808" s="20"/>
      <c r="Y1808" s="22"/>
      <c r="Z1808" s="22"/>
      <c r="AA1808" s="20"/>
      <c r="AB1808" s="20"/>
      <c r="AC1808" s="20"/>
      <c r="AD1808" s="20"/>
      <c r="AE1808" s="20"/>
      <c r="AF1808" s="20"/>
      <c r="AG1808" s="20"/>
      <c r="AH1808" s="20"/>
      <c r="AI1808" s="20"/>
      <c r="AJ1808" s="20"/>
      <c r="AK1808" s="20"/>
      <c r="AL1808" s="20"/>
      <c r="AM1808" s="20"/>
      <c r="AN1808" s="20"/>
      <c r="AS1808" s="11"/>
      <c r="AT1808" s="12"/>
    </row>
    <row r="1809" ht="14.25" customHeight="1">
      <c r="A1809" s="20"/>
      <c r="B1809" s="20"/>
      <c r="C1809" s="20"/>
      <c r="D1809" s="21"/>
      <c r="E1809" s="20"/>
      <c r="F1809" s="20"/>
      <c r="G1809" s="20"/>
      <c r="H1809" s="20"/>
      <c r="K1809" s="10"/>
      <c r="M1809" s="20"/>
      <c r="N1809" s="20"/>
      <c r="O1809" s="20"/>
      <c r="P1809" s="20"/>
      <c r="Q1809" s="20"/>
      <c r="R1809" s="20"/>
      <c r="S1809" s="20"/>
      <c r="T1809" s="20"/>
      <c r="U1809" s="20"/>
      <c r="V1809" s="20"/>
      <c r="W1809" s="20"/>
      <c r="X1809" s="20"/>
      <c r="Y1809" s="22"/>
      <c r="Z1809" s="22"/>
      <c r="AA1809" s="20"/>
      <c r="AB1809" s="20"/>
      <c r="AC1809" s="20"/>
      <c r="AD1809" s="20"/>
      <c r="AE1809" s="20"/>
      <c r="AF1809" s="20"/>
      <c r="AG1809" s="20"/>
      <c r="AH1809" s="20"/>
      <c r="AI1809" s="20"/>
      <c r="AJ1809" s="20"/>
      <c r="AK1809" s="20"/>
      <c r="AL1809" s="20"/>
      <c r="AM1809" s="20"/>
      <c r="AN1809" s="20"/>
      <c r="AS1809" s="11"/>
      <c r="AT1809" s="12"/>
    </row>
    <row r="1810" ht="14.25" customHeight="1">
      <c r="A1810" s="20"/>
      <c r="B1810" s="20"/>
      <c r="C1810" s="20"/>
      <c r="D1810" s="21"/>
      <c r="E1810" s="20"/>
      <c r="F1810" s="20"/>
      <c r="G1810" s="20"/>
      <c r="H1810" s="20"/>
      <c r="K1810" s="10"/>
      <c r="M1810" s="20"/>
      <c r="N1810" s="20"/>
      <c r="O1810" s="20"/>
      <c r="P1810" s="20"/>
      <c r="Q1810" s="20"/>
      <c r="R1810" s="20"/>
      <c r="S1810" s="20"/>
      <c r="T1810" s="20"/>
      <c r="U1810" s="20"/>
      <c r="V1810" s="20"/>
      <c r="W1810" s="20"/>
      <c r="X1810" s="20"/>
      <c r="Y1810" s="22"/>
      <c r="Z1810" s="22"/>
      <c r="AA1810" s="20"/>
      <c r="AB1810" s="20"/>
      <c r="AC1810" s="20"/>
      <c r="AD1810" s="20"/>
      <c r="AE1810" s="20"/>
      <c r="AF1810" s="20"/>
      <c r="AG1810" s="20"/>
      <c r="AH1810" s="20"/>
      <c r="AI1810" s="20"/>
      <c r="AJ1810" s="20"/>
      <c r="AK1810" s="20"/>
      <c r="AL1810" s="20"/>
      <c r="AM1810" s="20"/>
      <c r="AN1810" s="20"/>
      <c r="AS1810" s="11"/>
      <c r="AT1810" s="12"/>
    </row>
    <row r="1811" ht="14.25" customHeight="1">
      <c r="A1811" s="20"/>
      <c r="B1811" s="20"/>
      <c r="C1811" s="20"/>
      <c r="D1811" s="21"/>
      <c r="E1811" s="20"/>
      <c r="F1811" s="20"/>
      <c r="G1811" s="20"/>
      <c r="H1811" s="20"/>
      <c r="K1811" s="10"/>
      <c r="M1811" s="20"/>
      <c r="N1811" s="20"/>
      <c r="O1811" s="20"/>
      <c r="P1811" s="20"/>
      <c r="Q1811" s="20"/>
      <c r="R1811" s="20"/>
      <c r="S1811" s="20"/>
      <c r="T1811" s="20"/>
      <c r="U1811" s="20"/>
      <c r="V1811" s="20"/>
      <c r="W1811" s="20"/>
      <c r="X1811" s="20"/>
      <c r="Y1811" s="22"/>
      <c r="Z1811" s="22"/>
      <c r="AA1811" s="20"/>
      <c r="AB1811" s="20"/>
      <c r="AC1811" s="20"/>
      <c r="AD1811" s="20"/>
      <c r="AE1811" s="20"/>
      <c r="AF1811" s="20"/>
      <c r="AG1811" s="20"/>
      <c r="AH1811" s="20"/>
      <c r="AI1811" s="20"/>
      <c r="AJ1811" s="20"/>
      <c r="AK1811" s="20"/>
      <c r="AL1811" s="20"/>
      <c r="AM1811" s="20"/>
      <c r="AN1811" s="20"/>
      <c r="AS1811" s="11"/>
      <c r="AT1811" s="12"/>
    </row>
    <row r="1812" ht="14.25" customHeight="1">
      <c r="A1812" s="20"/>
      <c r="B1812" s="20"/>
      <c r="C1812" s="20"/>
      <c r="D1812" s="21"/>
      <c r="E1812" s="20"/>
      <c r="F1812" s="20"/>
      <c r="G1812" s="20"/>
      <c r="H1812" s="20"/>
      <c r="K1812" s="10"/>
      <c r="M1812" s="20"/>
      <c r="N1812" s="20"/>
      <c r="O1812" s="20"/>
      <c r="P1812" s="20"/>
      <c r="Q1812" s="20"/>
      <c r="R1812" s="20"/>
      <c r="S1812" s="20"/>
      <c r="T1812" s="20"/>
      <c r="U1812" s="20"/>
      <c r="V1812" s="20"/>
      <c r="W1812" s="20"/>
      <c r="X1812" s="20"/>
      <c r="Y1812" s="22"/>
      <c r="Z1812" s="22"/>
      <c r="AA1812" s="20"/>
      <c r="AB1812" s="20"/>
      <c r="AC1812" s="20"/>
      <c r="AD1812" s="20"/>
      <c r="AE1812" s="20"/>
      <c r="AF1812" s="20"/>
      <c r="AG1812" s="20"/>
      <c r="AH1812" s="20"/>
      <c r="AI1812" s="20"/>
      <c r="AJ1812" s="20"/>
      <c r="AK1812" s="20"/>
      <c r="AL1812" s="20"/>
      <c r="AM1812" s="20"/>
      <c r="AN1812" s="20"/>
      <c r="AS1812" s="11"/>
      <c r="AT1812" s="12"/>
    </row>
    <row r="1813" ht="14.25" customHeight="1">
      <c r="A1813" s="20"/>
      <c r="B1813" s="20"/>
      <c r="C1813" s="20"/>
      <c r="D1813" s="21"/>
      <c r="E1813" s="20"/>
      <c r="F1813" s="20"/>
      <c r="G1813" s="20"/>
      <c r="H1813" s="20"/>
      <c r="K1813" s="10"/>
      <c r="M1813" s="20"/>
      <c r="N1813" s="20"/>
      <c r="O1813" s="20"/>
      <c r="P1813" s="20"/>
      <c r="Q1813" s="20"/>
      <c r="R1813" s="20"/>
      <c r="S1813" s="20"/>
      <c r="T1813" s="20"/>
      <c r="U1813" s="20"/>
      <c r="V1813" s="20"/>
      <c r="W1813" s="20"/>
      <c r="X1813" s="20"/>
      <c r="Y1813" s="22"/>
      <c r="Z1813" s="22"/>
      <c r="AA1813" s="20"/>
      <c r="AB1813" s="20"/>
      <c r="AC1813" s="20"/>
      <c r="AD1813" s="20"/>
      <c r="AE1813" s="20"/>
      <c r="AF1813" s="20"/>
      <c r="AG1813" s="20"/>
      <c r="AH1813" s="20"/>
      <c r="AI1813" s="20"/>
      <c r="AJ1813" s="20"/>
      <c r="AK1813" s="20"/>
      <c r="AL1813" s="20"/>
      <c r="AM1813" s="20"/>
      <c r="AN1813" s="20"/>
      <c r="AS1813" s="11"/>
      <c r="AT1813" s="12"/>
    </row>
    <row r="1814" ht="14.25" customHeight="1">
      <c r="A1814" s="20"/>
      <c r="B1814" s="20"/>
      <c r="C1814" s="20"/>
      <c r="D1814" s="21"/>
      <c r="E1814" s="20"/>
      <c r="F1814" s="20"/>
      <c r="G1814" s="20"/>
      <c r="H1814" s="20"/>
      <c r="K1814" s="10"/>
      <c r="M1814" s="20"/>
      <c r="N1814" s="20"/>
      <c r="O1814" s="20"/>
      <c r="P1814" s="20"/>
      <c r="Q1814" s="20"/>
      <c r="R1814" s="20"/>
      <c r="S1814" s="20"/>
      <c r="T1814" s="20"/>
      <c r="U1814" s="20"/>
      <c r="V1814" s="20"/>
      <c r="W1814" s="20"/>
      <c r="X1814" s="20"/>
      <c r="Y1814" s="22"/>
      <c r="Z1814" s="22"/>
      <c r="AA1814" s="20"/>
      <c r="AB1814" s="20"/>
      <c r="AC1814" s="20"/>
      <c r="AD1814" s="20"/>
      <c r="AE1814" s="20"/>
      <c r="AF1814" s="20"/>
      <c r="AG1814" s="20"/>
      <c r="AH1814" s="20"/>
      <c r="AI1814" s="20"/>
      <c r="AJ1814" s="20"/>
      <c r="AK1814" s="20"/>
      <c r="AL1814" s="20"/>
      <c r="AM1814" s="20"/>
      <c r="AN1814" s="20"/>
      <c r="AS1814" s="11"/>
      <c r="AT1814" s="12"/>
    </row>
    <row r="1815" ht="14.25" customHeight="1">
      <c r="A1815" s="20"/>
      <c r="B1815" s="20"/>
      <c r="C1815" s="20"/>
      <c r="D1815" s="21"/>
      <c r="E1815" s="20"/>
      <c r="F1815" s="20"/>
      <c r="G1815" s="20"/>
      <c r="H1815" s="20"/>
      <c r="K1815" s="10"/>
      <c r="M1815" s="20"/>
      <c r="N1815" s="20"/>
      <c r="O1815" s="20"/>
      <c r="P1815" s="20"/>
      <c r="Q1815" s="20"/>
      <c r="R1815" s="20"/>
      <c r="S1815" s="20"/>
      <c r="T1815" s="20"/>
      <c r="U1815" s="20"/>
      <c r="V1815" s="20"/>
      <c r="W1815" s="20"/>
      <c r="X1815" s="20"/>
      <c r="Y1815" s="22"/>
      <c r="Z1815" s="22"/>
      <c r="AA1815" s="20"/>
      <c r="AB1815" s="20"/>
      <c r="AC1815" s="20"/>
      <c r="AD1815" s="20"/>
      <c r="AE1815" s="20"/>
      <c r="AF1815" s="20"/>
      <c r="AG1815" s="20"/>
      <c r="AH1815" s="20"/>
      <c r="AI1815" s="20"/>
      <c r="AJ1815" s="20"/>
      <c r="AK1815" s="20"/>
      <c r="AL1815" s="20"/>
      <c r="AM1815" s="20"/>
      <c r="AN1815" s="20"/>
      <c r="AS1815" s="11"/>
      <c r="AT1815" s="12"/>
    </row>
    <row r="1816" ht="14.25" customHeight="1">
      <c r="A1816" s="20"/>
      <c r="B1816" s="20"/>
      <c r="C1816" s="20"/>
      <c r="D1816" s="21"/>
      <c r="E1816" s="20"/>
      <c r="F1816" s="20"/>
      <c r="G1816" s="20"/>
      <c r="H1816" s="20"/>
      <c r="K1816" s="10"/>
      <c r="M1816" s="20"/>
      <c r="N1816" s="20"/>
      <c r="O1816" s="20"/>
      <c r="P1816" s="20"/>
      <c r="Q1816" s="20"/>
      <c r="R1816" s="20"/>
      <c r="S1816" s="20"/>
      <c r="T1816" s="20"/>
      <c r="U1816" s="20"/>
      <c r="V1816" s="20"/>
      <c r="W1816" s="20"/>
      <c r="X1816" s="20"/>
      <c r="Y1816" s="22"/>
      <c r="Z1816" s="22"/>
      <c r="AA1816" s="20"/>
      <c r="AB1816" s="20"/>
      <c r="AC1816" s="20"/>
      <c r="AD1816" s="20"/>
      <c r="AE1816" s="20"/>
      <c r="AF1816" s="20"/>
      <c r="AG1816" s="20"/>
      <c r="AH1816" s="20"/>
      <c r="AI1816" s="20"/>
      <c r="AJ1816" s="20"/>
      <c r="AK1816" s="20"/>
      <c r="AL1816" s="20"/>
      <c r="AM1816" s="20"/>
      <c r="AN1816" s="20"/>
      <c r="AS1816" s="11"/>
      <c r="AT1816" s="12"/>
    </row>
    <row r="1817" ht="14.25" customHeight="1">
      <c r="A1817" s="20"/>
      <c r="B1817" s="20"/>
      <c r="C1817" s="20"/>
      <c r="D1817" s="21"/>
      <c r="E1817" s="20"/>
      <c r="F1817" s="20"/>
      <c r="G1817" s="20"/>
      <c r="H1817" s="20"/>
      <c r="K1817" s="10"/>
      <c r="M1817" s="20"/>
      <c r="N1817" s="20"/>
      <c r="O1817" s="20"/>
      <c r="P1817" s="20"/>
      <c r="Q1817" s="20"/>
      <c r="R1817" s="20"/>
      <c r="S1817" s="20"/>
      <c r="T1817" s="20"/>
      <c r="U1817" s="20"/>
      <c r="V1817" s="20"/>
      <c r="W1817" s="20"/>
      <c r="X1817" s="20"/>
      <c r="Y1817" s="22"/>
      <c r="Z1817" s="22"/>
      <c r="AA1817" s="20"/>
      <c r="AB1817" s="20"/>
      <c r="AC1817" s="20"/>
      <c r="AD1817" s="20"/>
      <c r="AE1817" s="20"/>
      <c r="AF1817" s="20"/>
      <c r="AG1817" s="20"/>
      <c r="AH1817" s="20"/>
      <c r="AI1817" s="20"/>
      <c r="AJ1817" s="20"/>
      <c r="AK1817" s="20"/>
      <c r="AL1817" s="20"/>
      <c r="AM1817" s="20"/>
      <c r="AN1817" s="20"/>
      <c r="AS1817" s="11"/>
      <c r="AT1817" s="12"/>
    </row>
    <row r="1818" ht="14.25" customHeight="1">
      <c r="A1818" s="20"/>
      <c r="B1818" s="20"/>
      <c r="C1818" s="20"/>
      <c r="D1818" s="21"/>
      <c r="E1818" s="20"/>
      <c r="F1818" s="20"/>
      <c r="G1818" s="20"/>
      <c r="H1818" s="20"/>
      <c r="K1818" s="1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  <c r="W1818" s="20"/>
      <c r="X1818" s="20"/>
      <c r="Y1818" s="22"/>
      <c r="Z1818" s="22"/>
      <c r="AA1818" s="20"/>
      <c r="AB1818" s="20"/>
      <c r="AC1818" s="20"/>
      <c r="AD1818" s="20"/>
      <c r="AE1818" s="20"/>
      <c r="AF1818" s="20"/>
      <c r="AG1818" s="20"/>
      <c r="AH1818" s="20"/>
      <c r="AI1818" s="20"/>
      <c r="AJ1818" s="20"/>
      <c r="AK1818" s="20"/>
      <c r="AL1818" s="20"/>
      <c r="AM1818" s="20"/>
      <c r="AN1818" s="20"/>
      <c r="AS1818" s="11"/>
      <c r="AT1818" s="12"/>
    </row>
    <row r="1819" ht="14.25" customHeight="1">
      <c r="A1819" s="20"/>
      <c r="B1819" s="20"/>
      <c r="C1819" s="20"/>
      <c r="D1819" s="21"/>
      <c r="E1819" s="20"/>
      <c r="F1819" s="20"/>
      <c r="G1819" s="20"/>
      <c r="H1819" s="20"/>
      <c r="K1819" s="10"/>
      <c r="M1819" s="20"/>
      <c r="N1819" s="20"/>
      <c r="O1819" s="20"/>
      <c r="P1819" s="20"/>
      <c r="Q1819" s="20"/>
      <c r="R1819" s="20"/>
      <c r="S1819" s="20"/>
      <c r="T1819" s="20"/>
      <c r="U1819" s="20"/>
      <c r="V1819" s="20"/>
      <c r="W1819" s="20"/>
      <c r="X1819" s="20"/>
      <c r="Y1819" s="22"/>
      <c r="Z1819" s="22"/>
      <c r="AA1819" s="20"/>
      <c r="AB1819" s="20"/>
      <c r="AC1819" s="20"/>
      <c r="AD1819" s="20"/>
      <c r="AE1819" s="20"/>
      <c r="AF1819" s="20"/>
      <c r="AG1819" s="20"/>
      <c r="AH1819" s="20"/>
      <c r="AI1819" s="20"/>
      <c r="AJ1819" s="20"/>
      <c r="AK1819" s="20"/>
      <c r="AL1819" s="20"/>
      <c r="AM1819" s="20"/>
      <c r="AN1819" s="20"/>
      <c r="AS1819" s="11"/>
      <c r="AT1819" s="12"/>
    </row>
    <row r="1820" ht="14.25" customHeight="1">
      <c r="A1820" s="20"/>
      <c r="B1820" s="20"/>
      <c r="C1820" s="20"/>
      <c r="D1820" s="21"/>
      <c r="E1820" s="20"/>
      <c r="F1820" s="20"/>
      <c r="G1820" s="20"/>
      <c r="H1820" s="20"/>
      <c r="K1820" s="10"/>
      <c r="M1820" s="20"/>
      <c r="N1820" s="20"/>
      <c r="O1820" s="20"/>
      <c r="P1820" s="20"/>
      <c r="Q1820" s="20"/>
      <c r="R1820" s="20"/>
      <c r="S1820" s="20"/>
      <c r="T1820" s="20"/>
      <c r="U1820" s="20"/>
      <c r="V1820" s="20"/>
      <c r="W1820" s="20"/>
      <c r="X1820" s="20"/>
      <c r="Y1820" s="22"/>
      <c r="Z1820" s="22"/>
      <c r="AA1820" s="20"/>
      <c r="AB1820" s="20"/>
      <c r="AC1820" s="20"/>
      <c r="AD1820" s="20"/>
      <c r="AE1820" s="20"/>
      <c r="AF1820" s="20"/>
      <c r="AG1820" s="20"/>
      <c r="AH1820" s="20"/>
      <c r="AI1820" s="20"/>
      <c r="AJ1820" s="20"/>
      <c r="AK1820" s="20"/>
      <c r="AL1820" s="20"/>
      <c r="AM1820" s="20"/>
      <c r="AN1820" s="20"/>
      <c r="AS1820" s="11"/>
      <c r="AT1820" s="12"/>
    </row>
    <row r="1821" ht="14.25" customHeight="1">
      <c r="A1821" s="20"/>
      <c r="B1821" s="20"/>
      <c r="C1821" s="20"/>
      <c r="D1821" s="21"/>
      <c r="E1821" s="20"/>
      <c r="F1821" s="20"/>
      <c r="G1821" s="20"/>
      <c r="H1821" s="20"/>
      <c r="K1821" s="1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2"/>
      <c r="Z1821" s="22"/>
      <c r="AA1821" s="20"/>
      <c r="AB1821" s="20"/>
      <c r="AC1821" s="20"/>
      <c r="AD1821" s="20"/>
      <c r="AE1821" s="20"/>
      <c r="AF1821" s="20"/>
      <c r="AG1821" s="20"/>
      <c r="AH1821" s="20"/>
      <c r="AI1821" s="20"/>
      <c r="AJ1821" s="20"/>
      <c r="AK1821" s="20"/>
      <c r="AL1821" s="20"/>
      <c r="AM1821" s="20"/>
      <c r="AN1821" s="20"/>
      <c r="AS1821" s="11"/>
      <c r="AT1821" s="12"/>
    </row>
    <row r="1822" ht="14.25" customHeight="1">
      <c r="A1822" s="20"/>
      <c r="B1822" s="20"/>
      <c r="C1822" s="20"/>
      <c r="D1822" s="21"/>
      <c r="E1822" s="20"/>
      <c r="F1822" s="20"/>
      <c r="G1822" s="20"/>
      <c r="H1822" s="20"/>
      <c r="K1822" s="10"/>
      <c r="M1822" s="20"/>
      <c r="N1822" s="20"/>
      <c r="O1822" s="20"/>
      <c r="P1822" s="20"/>
      <c r="Q1822" s="20"/>
      <c r="R1822" s="20"/>
      <c r="S1822" s="20"/>
      <c r="T1822" s="20"/>
      <c r="U1822" s="20"/>
      <c r="V1822" s="20"/>
      <c r="W1822" s="20"/>
      <c r="X1822" s="20"/>
      <c r="Y1822" s="22"/>
      <c r="Z1822" s="22"/>
      <c r="AA1822" s="20"/>
      <c r="AB1822" s="20"/>
      <c r="AC1822" s="20"/>
      <c r="AD1822" s="20"/>
      <c r="AE1822" s="20"/>
      <c r="AF1822" s="20"/>
      <c r="AG1822" s="20"/>
      <c r="AH1822" s="20"/>
      <c r="AI1822" s="20"/>
      <c r="AJ1822" s="20"/>
      <c r="AK1822" s="20"/>
      <c r="AL1822" s="20"/>
      <c r="AM1822" s="20"/>
      <c r="AN1822" s="20"/>
      <c r="AS1822" s="11"/>
      <c r="AT1822" s="12"/>
    </row>
    <row r="1823" ht="14.25" customHeight="1">
      <c r="A1823" s="20"/>
      <c r="B1823" s="20"/>
      <c r="C1823" s="20"/>
      <c r="D1823" s="21"/>
      <c r="E1823" s="20"/>
      <c r="F1823" s="20"/>
      <c r="G1823" s="20"/>
      <c r="H1823" s="20"/>
      <c r="K1823" s="10"/>
      <c r="M1823" s="20"/>
      <c r="N1823" s="20"/>
      <c r="O1823" s="20"/>
      <c r="P1823" s="20"/>
      <c r="Q1823" s="20"/>
      <c r="R1823" s="20"/>
      <c r="S1823" s="20"/>
      <c r="T1823" s="20"/>
      <c r="U1823" s="20"/>
      <c r="V1823" s="20"/>
      <c r="W1823" s="20"/>
      <c r="X1823" s="20"/>
      <c r="Y1823" s="22"/>
      <c r="Z1823" s="22"/>
      <c r="AA1823" s="20"/>
      <c r="AB1823" s="20"/>
      <c r="AC1823" s="20"/>
      <c r="AD1823" s="20"/>
      <c r="AE1823" s="20"/>
      <c r="AF1823" s="20"/>
      <c r="AG1823" s="20"/>
      <c r="AH1823" s="20"/>
      <c r="AI1823" s="20"/>
      <c r="AJ1823" s="20"/>
      <c r="AK1823" s="20"/>
      <c r="AL1823" s="20"/>
      <c r="AM1823" s="20"/>
      <c r="AN1823" s="20"/>
      <c r="AS1823" s="11"/>
      <c r="AT1823" s="12"/>
    </row>
    <row r="1824" ht="14.25" customHeight="1">
      <c r="A1824" s="20"/>
      <c r="B1824" s="20"/>
      <c r="C1824" s="20"/>
      <c r="D1824" s="21"/>
      <c r="E1824" s="20"/>
      <c r="F1824" s="20"/>
      <c r="G1824" s="20"/>
      <c r="H1824" s="20"/>
      <c r="K1824" s="10"/>
      <c r="M1824" s="20"/>
      <c r="N1824" s="20"/>
      <c r="O1824" s="20"/>
      <c r="P1824" s="20"/>
      <c r="Q1824" s="20"/>
      <c r="R1824" s="20"/>
      <c r="S1824" s="20"/>
      <c r="T1824" s="20"/>
      <c r="U1824" s="20"/>
      <c r="V1824" s="20"/>
      <c r="W1824" s="20"/>
      <c r="X1824" s="20"/>
      <c r="Y1824" s="22"/>
      <c r="Z1824" s="22"/>
      <c r="AA1824" s="20"/>
      <c r="AB1824" s="20"/>
      <c r="AC1824" s="20"/>
      <c r="AD1824" s="20"/>
      <c r="AE1824" s="20"/>
      <c r="AF1824" s="20"/>
      <c r="AG1824" s="20"/>
      <c r="AH1824" s="20"/>
      <c r="AI1824" s="20"/>
      <c r="AJ1824" s="20"/>
      <c r="AK1824" s="20"/>
      <c r="AL1824" s="20"/>
      <c r="AM1824" s="20"/>
      <c r="AN1824" s="20"/>
      <c r="AS1824" s="11"/>
      <c r="AT1824" s="12"/>
    </row>
    <row r="1825" ht="14.25" customHeight="1">
      <c r="A1825" s="20"/>
      <c r="B1825" s="20"/>
      <c r="C1825" s="20"/>
      <c r="D1825" s="21"/>
      <c r="E1825" s="20"/>
      <c r="F1825" s="20"/>
      <c r="G1825" s="20"/>
      <c r="H1825" s="20"/>
      <c r="K1825" s="10"/>
      <c r="M1825" s="20"/>
      <c r="N1825" s="20"/>
      <c r="O1825" s="20"/>
      <c r="P1825" s="20"/>
      <c r="Q1825" s="20"/>
      <c r="R1825" s="20"/>
      <c r="S1825" s="20"/>
      <c r="T1825" s="20"/>
      <c r="U1825" s="20"/>
      <c r="V1825" s="20"/>
      <c r="W1825" s="20"/>
      <c r="X1825" s="20"/>
      <c r="Y1825" s="22"/>
      <c r="Z1825" s="22"/>
      <c r="AA1825" s="20"/>
      <c r="AB1825" s="20"/>
      <c r="AC1825" s="20"/>
      <c r="AD1825" s="20"/>
      <c r="AE1825" s="20"/>
      <c r="AF1825" s="20"/>
      <c r="AG1825" s="20"/>
      <c r="AH1825" s="20"/>
      <c r="AI1825" s="20"/>
      <c r="AJ1825" s="20"/>
      <c r="AK1825" s="20"/>
      <c r="AL1825" s="20"/>
      <c r="AM1825" s="20"/>
      <c r="AN1825" s="20"/>
      <c r="AS1825" s="11"/>
      <c r="AT1825" s="12"/>
    </row>
    <row r="1826" ht="14.25" customHeight="1">
      <c r="A1826" s="20"/>
      <c r="B1826" s="20"/>
      <c r="C1826" s="20"/>
      <c r="D1826" s="21"/>
      <c r="E1826" s="20"/>
      <c r="F1826" s="20"/>
      <c r="G1826" s="20"/>
      <c r="H1826" s="20"/>
      <c r="K1826" s="10"/>
      <c r="M1826" s="20"/>
      <c r="N1826" s="20"/>
      <c r="O1826" s="20"/>
      <c r="P1826" s="20"/>
      <c r="Q1826" s="20"/>
      <c r="R1826" s="20"/>
      <c r="S1826" s="20"/>
      <c r="T1826" s="20"/>
      <c r="U1826" s="20"/>
      <c r="V1826" s="20"/>
      <c r="W1826" s="20"/>
      <c r="X1826" s="20"/>
      <c r="Y1826" s="22"/>
      <c r="Z1826" s="22"/>
      <c r="AA1826" s="20"/>
      <c r="AB1826" s="20"/>
      <c r="AC1826" s="20"/>
      <c r="AD1826" s="20"/>
      <c r="AE1826" s="20"/>
      <c r="AF1826" s="20"/>
      <c r="AG1826" s="20"/>
      <c r="AH1826" s="20"/>
      <c r="AI1826" s="20"/>
      <c r="AJ1826" s="20"/>
      <c r="AK1826" s="20"/>
      <c r="AL1826" s="20"/>
      <c r="AM1826" s="20"/>
      <c r="AN1826" s="20"/>
      <c r="AS1826" s="11"/>
      <c r="AT1826" s="12"/>
    </row>
    <row r="1827" ht="14.25" customHeight="1">
      <c r="A1827" s="20"/>
      <c r="B1827" s="20"/>
      <c r="C1827" s="20"/>
      <c r="D1827" s="21"/>
      <c r="E1827" s="20"/>
      <c r="F1827" s="20"/>
      <c r="G1827" s="20"/>
      <c r="H1827" s="20"/>
      <c r="K1827" s="1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  <c r="W1827" s="20"/>
      <c r="X1827" s="20"/>
      <c r="Y1827" s="22"/>
      <c r="Z1827" s="22"/>
      <c r="AA1827" s="20"/>
      <c r="AB1827" s="20"/>
      <c r="AC1827" s="20"/>
      <c r="AD1827" s="20"/>
      <c r="AE1827" s="20"/>
      <c r="AF1827" s="20"/>
      <c r="AG1827" s="20"/>
      <c r="AH1827" s="20"/>
      <c r="AI1827" s="20"/>
      <c r="AJ1827" s="20"/>
      <c r="AK1827" s="20"/>
      <c r="AL1827" s="20"/>
      <c r="AM1827" s="20"/>
      <c r="AN1827" s="20"/>
      <c r="AS1827" s="11"/>
      <c r="AT1827" s="12"/>
    </row>
    <row r="1828" ht="14.25" customHeight="1">
      <c r="A1828" s="20"/>
      <c r="B1828" s="20"/>
      <c r="C1828" s="20"/>
      <c r="D1828" s="21"/>
      <c r="E1828" s="20"/>
      <c r="F1828" s="20"/>
      <c r="G1828" s="20"/>
      <c r="H1828" s="20"/>
      <c r="K1828" s="10"/>
      <c r="M1828" s="20"/>
      <c r="N1828" s="20"/>
      <c r="O1828" s="20"/>
      <c r="P1828" s="20"/>
      <c r="Q1828" s="20"/>
      <c r="R1828" s="20"/>
      <c r="S1828" s="20"/>
      <c r="T1828" s="20"/>
      <c r="U1828" s="20"/>
      <c r="V1828" s="20"/>
      <c r="W1828" s="20"/>
      <c r="X1828" s="20"/>
      <c r="Y1828" s="22"/>
      <c r="Z1828" s="22"/>
      <c r="AA1828" s="20"/>
      <c r="AB1828" s="20"/>
      <c r="AC1828" s="20"/>
      <c r="AD1828" s="20"/>
      <c r="AE1828" s="20"/>
      <c r="AF1828" s="20"/>
      <c r="AG1828" s="20"/>
      <c r="AH1828" s="20"/>
      <c r="AI1828" s="20"/>
      <c r="AJ1828" s="20"/>
      <c r="AK1828" s="20"/>
      <c r="AL1828" s="20"/>
      <c r="AM1828" s="20"/>
      <c r="AN1828" s="20"/>
      <c r="AS1828" s="11"/>
      <c r="AT1828" s="12"/>
    </row>
    <row r="1829" ht="14.25" customHeight="1">
      <c r="A1829" s="20"/>
      <c r="B1829" s="20"/>
      <c r="C1829" s="20"/>
      <c r="D1829" s="21"/>
      <c r="E1829" s="20"/>
      <c r="F1829" s="20"/>
      <c r="G1829" s="20"/>
      <c r="H1829" s="20"/>
      <c r="K1829" s="10"/>
      <c r="M1829" s="20"/>
      <c r="N1829" s="20"/>
      <c r="O1829" s="20"/>
      <c r="P1829" s="20"/>
      <c r="Q1829" s="20"/>
      <c r="R1829" s="20"/>
      <c r="S1829" s="20"/>
      <c r="T1829" s="20"/>
      <c r="U1829" s="20"/>
      <c r="V1829" s="20"/>
      <c r="W1829" s="20"/>
      <c r="X1829" s="20"/>
      <c r="Y1829" s="22"/>
      <c r="Z1829" s="22"/>
      <c r="AA1829" s="20"/>
      <c r="AB1829" s="20"/>
      <c r="AC1829" s="20"/>
      <c r="AD1829" s="20"/>
      <c r="AE1829" s="20"/>
      <c r="AF1829" s="20"/>
      <c r="AG1829" s="20"/>
      <c r="AH1829" s="20"/>
      <c r="AI1829" s="20"/>
      <c r="AJ1829" s="20"/>
      <c r="AK1829" s="20"/>
      <c r="AL1829" s="20"/>
      <c r="AM1829" s="20"/>
      <c r="AN1829" s="20"/>
      <c r="AS1829" s="11"/>
      <c r="AT1829" s="12"/>
    </row>
    <row r="1830" ht="14.25" customHeight="1">
      <c r="A1830" s="20"/>
      <c r="B1830" s="20"/>
      <c r="C1830" s="20"/>
      <c r="D1830" s="21"/>
      <c r="E1830" s="20"/>
      <c r="F1830" s="20"/>
      <c r="G1830" s="20"/>
      <c r="H1830" s="20"/>
      <c r="K1830" s="10"/>
      <c r="M1830" s="20"/>
      <c r="N1830" s="20"/>
      <c r="O1830" s="20"/>
      <c r="P1830" s="20"/>
      <c r="Q1830" s="20"/>
      <c r="R1830" s="20"/>
      <c r="S1830" s="20"/>
      <c r="T1830" s="20"/>
      <c r="U1830" s="20"/>
      <c r="V1830" s="20"/>
      <c r="W1830" s="20"/>
      <c r="X1830" s="20"/>
      <c r="Y1830" s="22"/>
      <c r="Z1830" s="22"/>
      <c r="AA1830" s="20"/>
      <c r="AB1830" s="20"/>
      <c r="AC1830" s="20"/>
      <c r="AD1830" s="20"/>
      <c r="AE1830" s="20"/>
      <c r="AF1830" s="20"/>
      <c r="AG1830" s="20"/>
      <c r="AH1830" s="20"/>
      <c r="AI1830" s="20"/>
      <c r="AJ1830" s="20"/>
      <c r="AK1830" s="20"/>
      <c r="AL1830" s="20"/>
      <c r="AM1830" s="20"/>
      <c r="AN1830" s="20"/>
      <c r="AS1830" s="11"/>
      <c r="AT1830" s="12"/>
    </row>
    <row r="1831" ht="14.25" customHeight="1">
      <c r="A1831" s="20"/>
      <c r="B1831" s="20"/>
      <c r="C1831" s="20"/>
      <c r="D1831" s="21"/>
      <c r="E1831" s="20"/>
      <c r="F1831" s="20"/>
      <c r="G1831" s="20"/>
      <c r="H1831" s="20"/>
      <c r="K1831" s="10"/>
      <c r="M1831" s="20"/>
      <c r="N1831" s="20"/>
      <c r="O1831" s="20"/>
      <c r="P1831" s="20"/>
      <c r="Q1831" s="20"/>
      <c r="R1831" s="20"/>
      <c r="S1831" s="20"/>
      <c r="T1831" s="20"/>
      <c r="U1831" s="20"/>
      <c r="V1831" s="20"/>
      <c r="W1831" s="20"/>
      <c r="X1831" s="20"/>
      <c r="Y1831" s="22"/>
      <c r="Z1831" s="22"/>
      <c r="AA1831" s="20"/>
      <c r="AB1831" s="20"/>
      <c r="AC1831" s="20"/>
      <c r="AD1831" s="20"/>
      <c r="AE1831" s="20"/>
      <c r="AF1831" s="20"/>
      <c r="AG1831" s="20"/>
      <c r="AH1831" s="20"/>
      <c r="AI1831" s="20"/>
      <c r="AJ1831" s="20"/>
      <c r="AK1831" s="20"/>
      <c r="AL1831" s="20"/>
      <c r="AM1831" s="20"/>
      <c r="AN1831" s="20"/>
      <c r="AS1831" s="11"/>
      <c r="AT1831" s="12"/>
    </row>
    <row r="1832" ht="14.25" customHeight="1">
      <c r="A1832" s="20"/>
      <c r="B1832" s="20"/>
      <c r="C1832" s="20"/>
      <c r="D1832" s="21"/>
      <c r="E1832" s="20"/>
      <c r="F1832" s="20"/>
      <c r="G1832" s="20"/>
      <c r="H1832" s="20"/>
      <c r="K1832" s="10"/>
      <c r="M1832" s="20"/>
      <c r="N1832" s="20"/>
      <c r="O1832" s="20"/>
      <c r="P1832" s="20"/>
      <c r="Q1832" s="20"/>
      <c r="R1832" s="20"/>
      <c r="S1832" s="20"/>
      <c r="T1832" s="20"/>
      <c r="U1832" s="20"/>
      <c r="V1832" s="20"/>
      <c r="W1832" s="20"/>
      <c r="X1832" s="20"/>
      <c r="Y1832" s="22"/>
      <c r="Z1832" s="22"/>
      <c r="AA1832" s="20"/>
      <c r="AB1832" s="20"/>
      <c r="AC1832" s="20"/>
      <c r="AD1832" s="20"/>
      <c r="AE1832" s="20"/>
      <c r="AF1832" s="20"/>
      <c r="AG1832" s="20"/>
      <c r="AH1832" s="20"/>
      <c r="AI1832" s="20"/>
      <c r="AJ1832" s="20"/>
      <c r="AK1832" s="20"/>
      <c r="AL1832" s="20"/>
      <c r="AM1832" s="20"/>
      <c r="AN1832" s="20"/>
      <c r="AS1832" s="11"/>
      <c r="AT1832" s="12"/>
    </row>
    <row r="1833" ht="14.25" customHeight="1">
      <c r="A1833" s="20"/>
      <c r="B1833" s="20"/>
      <c r="C1833" s="20"/>
      <c r="D1833" s="21"/>
      <c r="E1833" s="20"/>
      <c r="F1833" s="20"/>
      <c r="G1833" s="20"/>
      <c r="H1833" s="20"/>
      <c r="K1833" s="10"/>
      <c r="M1833" s="20"/>
      <c r="N1833" s="20"/>
      <c r="O1833" s="20"/>
      <c r="P1833" s="20"/>
      <c r="Q1833" s="20"/>
      <c r="R1833" s="20"/>
      <c r="S1833" s="20"/>
      <c r="T1833" s="20"/>
      <c r="U1833" s="20"/>
      <c r="V1833" s="20"/>
      <c r="W1833" s="20"/>
      <c r="X1833" s="20"/>
      <c r="Y1833" s="22"/>
      <c r="Z1833" s="22"/>
      <c r="AA1833" s="20"/>
      <c r="AB1833" s="20"/>
      <c r="AC1833" s="20"/>
      <c r="AD1833" s="20"/>
      <c r="AE1833" s="20"/>
      <c r="AF1833" s="20"/>
      <c r="AG1833" s="20"/>
      <c r="AH1833" s="20"/>
      <c r="AI1833" s="20"/>
      <c r="AJ1833" s="20"/>
      <c r="AK1833" s="20"/>
      <c r="AL1833" s="20"/>
      <c r="AM1833" s="20"/>
      <c r="AN1833" s="20"/>
      <c r="AS1833" s="11"/>
      <c r="AT1833" s="12"/>
    </row>
    <row r="1834" ht="14.25" customHeight="1">
      <c r="A1834" s="20"/>
      <c r="B1834" s="20"/>
      <c r="C1834" s="20"/>
      <c r="D1834" s="21"/>
      <c r="E1834" s="20"/>
      <c r="F1834" s="20"/>
      <c r="G1834" s="20"/>
      <c r="H1834" s="20"/>
      <c r="K1834" s="10"/>
      <c r="M1834" s="20"/>
      <c r="N1834" s="20"/>
      <c r="O1834" s="20"/>
      <c r="P1834" s="20"/>
      <c r="Q1834" s="20"/>
      <c r="R1834" s="20"/>
      <c r="S1834" s="20"/>
      <c r="T1834" s="20"/>
      <c r="U1834" s="20"/>
      <c r="V1834" s="20"/>
      <c r="W1834" s="20"/>
      <c r="X1834" s="20"/>
      <c r="Y1834" s="22"/>
      <c r="Z1834" s="22"/>
      <c r="AA1834" s="20"/>
      <c r="AB1834" s="20"/>
      <c r="AC1834" s="20"/>
      <c r="AD1834" s="20"/>
      <c r="AE1834" s="20"/>
      <c r="AF1834" s="20"/>
      <c r="AG1834" s="20"/>
      <c r="AH1834" s="20"/>
      <c r="AI1834" s="20"/>
      <c r="AJ1834" s="20"/>
      <c r="AK1834" s="20"/>
      <c r="AL1834" s="20"/>
      <c r="AM1834" s="20"/>
      <c r="AN1834" s="20"/>
      <c r="AS1834" s="11"/>
      <c r="AT1834" s="12"/>
    </row>
    <row r="1835" ht="14.25" customHeight="1">
      <c r="A1835" s="20"/>
      <c r="B1835" s="20"/>
      <c r="C1835" s="20"/>
      <c r="D1835" s="21"/>
      <c r="E1835" s="20"/>
      <c r="F1835" s="20"/>
      <c r="G1835" s="20"/>
      <c r="H1835" s="20"/>
      <c r="K1835" s="10"/>
      <c r="M1835" s="20"/>
      <c r="N1835" s="20"/>
      <c r="O1835" s="20"/>
      <c r="P1835" s="20"/>
      <c r="Q1835" s="20"/>
      <c r="R1835" s="20"/>
      <c r="S1835" s="20"/>
      <c r="T1835" s="20"/>
      <c r="U1835" s="20"/>
      <c r="V1835" s="20"/>
      <c r="W1835" s="20"/>
      <c r="X1835" s="20"/>
      <c r="Y1835" s="22"/>
      <c r="Z1835" s="22"/>
      <c r="AA1835" s="20"/>
      <c r="AB1835" s="20"/>
      <c r="AC1835" s="20"/>
      <c r="AD1835" s="20"/>
      <c r="AE1835" s="20"/>
      <c r="AF1835" s="20"/>
      <c r="AG1835" s="20"/>
      <c r="AH1835" s="20"/>
      <c r="AI1835" s="20"/>
      <c r="AJ1835" s="20"/>
      <c r="AK1835" s="20"/>
      <c r="AL1835" s="20"/>
      <c r="AM1835" s="20"/>
      <c r="AN1835" s="20"/>
      <c r="AS1835" s="11"/>
      <c r="AT1835" s="12"/>
    </row>
    <row r="1836" ht="14.25" customHeight="1">
      <c r="A1836" s="20"/>
      <c r="B1836" s="20"/>
      <c r="C1836" s="20"/>
      <c r="D1836" s="21"/>
      <c r="E1836" s="20"/>
      <c r="F1836" s="20"/>
      <c r="G1836" s="20"/>
      <c r="H1836" s="20"/>
      <c r="K1836" s="10"/>
      <c r="M1836" s="20"/>
      <c r="N1836" s="20"/>
      <c r="O1836" s="20"/>
      <c r="P1836" s="20"/>
      <c r="Q1836" s="20"/>
      <c r="R1836" s="20"/>
      <c r="S1836" s="20"/>
      <c r="T1836" s="20"/>
      <c r="U1836" s="20"/>
      <c r="V1836" s="20"/>
      <c r="W1836" s="20"/>
      <c r="X1836" s="20"/>
      <c r="Y1836" s="22"/>
      <c r="Z1836" s="22"/>
      <c r="AA1836" s="20"/>
      <c r="AB1836" s="20"/>
      <c r="AC1836" s="20"/>
      <c r="AD1836" s="20"/>
      <c r="AE1836" s="20"/>
      <c r="AF1836" s="20"/>
      <c r="AG1836" s="20"/>
      <c r="AH1836" s="20"/>
      <c r="AI1836" s="20"/>
      <c r="AJ1836" s="20"/>
      <c r="AK1836" s="20"/>
      <c r="AL1836" s="20"/>
      <c r="AM1836" s="20"/>
      <c r="AN1836" s="20"/>
      <c r="AS1836" s="11"/>
      <c r="AT1836" s="12"/>
    </row>
    <row r="1837" ht="14.25" customHeight="1">
      <c r="A1837" s="20"/>
      <c r="B1837" s="20"/>
      <c r="C1837" s="20"/>
      <c r="D1837" s="21"/>
      <c r="E1837" s="20"/>
      <c r="F1837" s="20"/>
      <c r="G1837" s="20"/>
      <c r="H1837" s="20"/>
      <c r="K1837" s="10"/>
      <c r="M1837" s="20"/>
      <c r="N1837" s="20"/>
      <c r="O1837" s="20"/>
      <c r="P1837" s="20"/>
      <c r="Q1837" s="20"/>
      <c r="R1837" s="20"/>
      <c r="S1837" s="20"/>
      <c r="T1837" s="20"/>
      <c r="U1837" s="20"/>
      <c r="V1837" s="20"/>
      <c r="W1837" s="20"/>
      <c r="X1837" s="20"/>
      <c r="Y1837" s="22"/>
      <c r="Z1837" s="22"/>
      <c r="AA1837" s="20"/>
      <c r="AB1837" s="20"/>
      <c r="AC1837" s="20"/>
      <c r="AD1837" s="20"/>
      <c r="AE1837" s="20"/>
      <c r="AF1837" s="20"/>
      <c r="AG1837" s="20"/>
      <c r="AH1837" s="20"/>
      <c r="AI1837" s="20"/>
      <c r="AJ1837" s="20"/>
      <c r="AK1837" s="20"/>
      <c r="AL1837" s="20"/>
      <c r="AM1837" s="20"/>
      <c r="AN1837" s="20"/>
      <c r="AS1837" s="11"/>
      <c r="AT1837" s="12"/>
    </row>
    <row r="1838" ht="14.25" customHeight="1">
      <c r="A1838" s="20"/>
      <c r="B1838" s="20"/>
      <c r="C1838" s="20"/>
      <c r="D1838" s="21"/>
      <c r="E1838" s="20"/>
      <c r="F1838" s="20"/>
      <c r="G1838" s="20"/>
      <c r="H1838" s="20"/>
      <c r="K1838" s="10"/>
      <c r="M1838" s="20"/>
      <c r="N1838" s="20"/>
      <c r="O1838" s="20"/>
      <c r="P1838" s="20"/>
      <c r="Q1838" s="20"/>
      <c r="R1838" s="20"/>
      <c r="S1838" s="20"/>
      <c r="T1838" s="20"/>
      <c r="U1838" s="20"/>
      <c r="V1838" s="20"/>
      <c r="W1838" s="20"/>
      <c r="X1838" s="20"/>
      <c r="Y1838" s="22"/>
      <c r="Z1838" s="22"/>
      <c r="AA1838" s="20"/>
      <c r="AB1838" s="20"/>
      <c r="AC1838" s="20"/>
      <c r="AD1838" s="20"/>
      <c r="AE1838" s="20"/>
      <c r="AF1838" s="20"/>
      <c r="AG1838" s="20"/>
      <c r="AH1838" s="20"/>
      <c r="AI1838" s="20"/>
      <c r="AJ1838" s="20"/>
      <c r="AK1838" s="20"/>
      <c r="AL1838" s="20"/>
      <c r="AM1838" s="20"/>
      <c r="AN1838" s="20"/>
      <c r="AS1838" s="11"/>
      <c r="AT1838" s="12"/>
    </row>
    <row r="1839" ht="14.25" customHeight="1">
      <c r="A1839" s="20"/>
      <c r="B1839" s="20"/>
      <c r="C1839" s="20"/>
      <c r="D1839" s="21"/>
      <c r="E1839" s="20"/>
      <c r="F1839" s="20"/>
      <c r="G1839" s="20"/>
      <c r="H1839" s="20"/>
      <c r="K1839" s="10"/>
      <c r="M1839" s="20"/>
      <c r="N1839" s="20"/>
      <c r="O1839" s="20"/>
      <c r="P1839" s="20"/>
      <c r="Q1839" s="20"/>
      <c r="R1839" s="20"/>
      <c r="S1839" s="20"/>
      <c r="T1839" s="20"/>
      <c r="U1839" s="20"/>
      <c r="V1839" s="20"/>
      <c r="W1839" s="20"/>
      <c r="X1839" s="20"/>
      <c r="Y1839" s="22"/>
      <c r="Z1839" s="22"/>
      <c r="AA1839" s="20"/>
      <c r="AB1839" s="20"/>
      <c r="AC1839" s="20"/>
      <c r="AD1839" s="20"/>
      <c r="AE1839" s="20"/>
      <c r="AF1839" s="20"/>
      <c r="AG1839" s="20"/>
      <c r="AH1839" s="20"/>
      <c r="AI1839" s="20"/>
      <c r="AJ1839" s="20"/>
      <c r="AK1839" s="20"/>
      <c r="AL1839" s="20"/>
      <c r="AM1839" s="20"/>
      <c r="AN1839" s="20"/>
      <c r="AS1839" s="11"/>
      <c r="AT1839" s="12"/>
    </row>
    <row r="1840" ht="14.25" customHeight="1">
      <c r="A1840" s="20"/>
      <c r="B1840" s="20"/>
      <c r="C1840" s="20"/>
      <c r="D1840" s="21"/>
      <c r="E1840" s="20"/>
      <c r="F1840" s="20"/>
      <c r="G1840" s="20"/>
      <c r="H1840" s="20"/>
      <c r="K1840" s="10"/>
      <c r="M1840" s="20"/>
      <c r="N1840" s="20"/>
      <c r="O1840" s="20"/>
      <c r="P1840" s="20"/>
      <c r="Q1840" s="20"/>
      <c r="R1840" s="20"/>
      <c r="S1840" s="20"/>
      <c r="T1840" s="20"/>
      <c r="U1840" s="20"/>
      <c r="V1840" s="20"/>
      <c r="W1840" s="20"/>
      <c r="X1840" s="20"/>
      <c r="Y1840" s="22"/>
      <c r="Z1840" s="22"/>
      <c r="AA1840" s="20"/>
      <c r="AB1840" s="20"/>
      <c r="AC1840" s="20"/>
      <c r="AD1840" s="20"/>
      <c r="AE1840" s="20"/>
      <c r="AF1840" s="20"/>
      <c r="AG1840" s="20"/>
      <c r="AH1840" s="20"/>
      <c r="AI1840" s="20"/>
      <c r="AJ1840" s="20"/>
      <c r="AK1840" s="20"/>
      <c r="AL1840" s="20"/>
      <c r="AM1840" s="20"/>
      <c r="AN1840" s="20"/>
      <c r="AS1840" s="11"/>
      <c r="AT1840" s="12"/>
    </row>
    <row r="1841" ht="14.25" customHeight="1">
      <c r="A1841" s="20"/>
      <c r="B1841" s="20"/>
      <c r="C1841" s="20"/>
      <c r="D1841" s="21"/>
      <c r="E1841" s="20"/>
      <c r="F1841" s="20"/>
      <c r="G1841" s="20"/>
      <c r="H1841" s="20"/>
      <c r="K1841" s="10"/>
      <c r="M1841" s="20"/>
      <c r="N1841" s="20"/>
      <c r="O1841" s="20"/>
      <c r="P1841" s="20"/>
      <c r="Q1841" s="20"/>
      <c r="R1841" s="20"/>
      <c r="S1841" s="20"/>
      <c r="T1841" s="20"/>
      <c r="U1841" s="20"/>
      <c r="V1841" s="20"/>
      <c r="W1841" s="20"/>
      <c r="X1841" s="20"/>
      <c r="Y1841" s="22"/>
      <c r="Z1841" s="22"/>
      <c r="AA1841" s="20"/>
      <c r="AB1841" s="20"/>
      <c r="AC1841" s="20"/>
      <c r="AD1841" s="20"/>
      <c r="AE1841" s="20"/>
      <c r="AF1841" s="20"/>
      <c r="AG1841" s="20"/>
      <c r="AH1841" s="20"/>
      <c r="AI1841" s="20"/>
      <c r="AJ1841" s="20"/>
      <c r="AK1841" s="20"/>
      <c r="AL1841" s="20"/>
      <c r="AM1841" s="20"/>
      <c r="AN1841" s="20"/>
      <c r="AS1841" s="11"/>
      <c r="AT1841" s="12"/>
    </row>
    <row r="1842" ht="14.25" customHeight="1">
      <c r="A1842" s="20"/>
      <c r="B1842" s="20"/>
      <c r="C1842" s="20"/>
      <c r="D1842" s="21"/>
      <c r="E1842" s="20"/>
      <c r="F1842" s="20"/>
      <c r="G1842" s="20"/>
      <c r="H1842" s="20"/>
      <c r="K1842" s="1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  <c r="W1842" s="20"/>
      <c r="X1842" s="20"/>
      <c r="Y1842" s="22"/>
      <c r="Z1842" s="22"/>
      <c r="AA1842" s="20"/>
      <c r="AB1842" s="20"/>
      <c r="AC1842" s="20"/>
      <c r="AD1842" s="20"/>
      <c r="AE1842" s="20"/>
      <c r="AF1842" s="20"/>
      <c r="AG1842" s="20"/>
      <c r="AH1842" s="20"/>
      <c r="AI1842" s="20"/>
      <c r="AJ1842" s="20"/>
      <c r="AK1842" s="20"/>
      <c r="AL1842" s="20"/>
      <c r="AM1842" s="20"/>
      <c r="AN1842" s="20"/>
      <c r="AS1842" s="11"/>
      <c r="AT1842" s="12"/>
    </row>
    <row r="1843" ht="14.25" customHeight="1">
      <c r="A1843" s="20"/>
      <c r="B1843" s="20"/>
      <c r="C1843" s="20"/>
      <c r="D1843" s="21"/>
      <c r="E1843" s="20"/>
      <c r="F1843" s="20"/>
      <c r="G1843" s="20"/>
      <c r="H1843" s="20"/>
      <c r="K1843" s="10"/>
      <c r="M1843" s="20"/>
      <c r="N1843" s="20"/>
      <c r="O1843" s="20"/>
      <c r="P1843" s="20"/>
      <c r="Q1843" s="20"/>
      <c r="R1843" s="20"/>
      <c r="S1843" s="20"/>
      <c r="T1843" s="20"/>
      <c r="U1843" s="20"/>
      <c r="V1843" s="20"/>
      <c r="W1843" s="20"/>
      <c r="X1843" s="20"/>
      <c r="Y1843" s="22"/>
      <c r="Z1843" s="22"/>
      <c r="AA1843" s="20"/>
      <c r="AB1843" s="20"/>
      <c r="AC1843" s="20"/>
      <c r="AD1843" s="20"/>
      <c r="AE1843" s="20"/>
      <c r="AF1843" s="20"/>
      <c r="AG1843" s="20"/>
      <c r="AH1843" s="20"/>
      <c r="AI1843" s="20"/>
      <c r="AJ1843" s="20"/>
      <c r="AK1843" s="20"/>
      <c r="AL1843" s="20"/>
      <c r="AM1843" s="20"/>
      <c r="AN1843" s="20"/>
      <c r="AS1843" s="11"/>
      <c r="AT1843" s="12"/>
    </row>
    <row r="1844" ht="14.25" customHeight="1">
      <c r="A1844" s="20"/>
      <c r="B1844" s="20"/>
      <c r="C1844" s="20"/>
      <c r="D1844" s="21"/>
      <c r="E1844" s="20"/>
      <c r="F1844" s="20"/>
      <c r="G1844" s="20"/>
      <c r="H1844" s="20"/>
      <c r="K1844" s="10"/>
      <c r="M1844" s="20"/>
      <c r="N1844" s="20"/>
      <c r="O1844" s="20"/>
      <c r="P1844" s="20"/>
      <c r="Q1844" s="20"/>
      <c r="R1844" s="20"/>
      <c r="S1844" s="20"/>
      <c r="T1844" s="20"/>
      <c r="U1844" s="20"/>
      <c r="V1844" s="20"/>
      <c r="W1844" s="20"/>
      <c r="X1844" s="20"/>
      <c r="Y1844" s="22"/>
      <c r="Z1844" s="22"/>
      <c r="AA1844" s="20"/>
      <c r="AB1844" s="20"/>
      <c r="AC1844" s="20"/>
      <c r="AD1844" s="20"/>
      <c r="AE1844" s="20"/>
      <c r="AF1844" s="20"/>
      <c r="AG1844" s="20"/>
      <c r="AH1844" s="20"/>
      <c r="AI1844" s="20"/>
      <c r="AJ1844" s="20"/>
      <c r="AK1844" s="20"/>
      <c r="AL1844" s="20"/>
      <c r="AM1844" s="20"/>
      <c r="AN1844" s="20"/>
      <c r="AS1844" s="11"/>
      <c r="AT1844" s="12"/>
    </row>
    <row r="1845" ht="14.25" customHeight="1">
      <c r="A1845" s="20"/>
      <c r="B1845" s="20"/>
      <c r="C1845" s="20"/>
      <c r="D1845" s="21"/>
      <c r="E1845" s="20"/>
      <c r="F1845" s="20"/>
      <c r="G1845" s="20"/>
      <c r="H1845" s="20"/>
      <c r="K1845" s="10"/>
      <c r="M1845" s="20"/>
      <c r="N1845" s="20"/>
      <c r="O1845" s="20"/>
      <c r="P1845" s="20"/>
      <c r="Q1845" s="20"/>
      <c r="R1845" s="20"/>
      <c r="S1845" s="20"/>
      <c r="T1845" s="20"/>
      <c r="U1845" s="20"/>
      <c r="V1845" s="20"/>
      <c r="W1845" s="20"/>
      <c r="X1845" s="20"/>
      <c r="Y1845" s="22"/>
      <c r="Z1845" s="22"/>
      <c r="AA1845" s="20"/>
      <c r="AB1845" s="20"/>
      <c r="AC1845" s="20"/>
      <c r="AD1845" s="20"/>
      <c r="AE1845" s="20"/>
      <c r="AF1845" s="20"/>
      <c r="AG1845" s="20"/>
      <c r="AH1845" s="20"/>
      <c r="AI1845" s="20"/>
      <c r="AJ1845" s="20"/>
      <c r="AK1845" s="20"/>
      <c r="AL1845" s="20"/>
      <c r="AM1845" s="20"/>
      <c r="AN1845" s="20"/>
      <c r="AS1845" s="11"/>
      <c r="AT1845" s="12"/>
    </row>
    <row r="1846" ht="14.25" customHeight="1">
      <c r="A1846" s="20"/>
      <c r="B1846" s="20"/>
      <c r="C1846" s="20"/>
      <c r="D1846" s="21"/>
      <c r="E1846" s="20"/>
      <c r="F1846" s="20"/>
      <c r="G1846" s="20"/>
      <c r="H1846" s="20"/>
      <c r="K1846" s="10"/>
      <c r="M1846" s="20"/>
      <c r="N1846" s="20"/>
      <c r="O1846" s="20"/>
      <c r="P1846" s="20"/>
      <c r="Q1846" s="20"/>
      <c r="R1846" s="20"/>
      <c r="S1846" s="20"/>
      <c r="T1846" s="20"/>
      <c r="U1846" s="20"/>
      <c r="V1846" s="20"/>
      <c r="W1846" s="20"/>
      <c r="X1846" s="20"/>
      <c r="Y1846" s="22"/>
      <c r="Z1846" s="22"/>
      <c r="AA1846" s="20"/>
      <c r="AB1846" s="20"/>
      <c r="AC1846" s="20"/>
      <c r="AD1846" s="20"/>
      <c r="AE1846" s="20"/>
      <c r="AF1846" s="20"/>
      <c r="AG1846" s="20"/>
      <c r="AH1846" s="20"/>
      <c r="AI1846" s="20"/>
      <c r="AJ1846" s="20"/>
      <c r="AK1846" s="20"/>
      <c r="AL1846" s="20"/>
      <c r="AM1846" s="20"/>
      <c r="AN1846" s="20"/>
      <c r="AS1846" s="11"/>
      <c r="AT1846" s="12"/>
    </row>
    <row r="1847" ht="14.25" customHeight="1">
      <c r="A1847" s="20"/>
      <c r="B1847" s="20"/>
      <c r="C1847" s="20"/>
      <c r="D1847" s="21"/>
      <c r="E1847" s="20"/>
      <c r="F1847" s="20"/>
      <c r="G1847" s="20"/>
      <c r="H1847" s="20"/>
      <c r="K1847" s="10"/>
      <c r="M1847" s="20"/>
      <c r="N1847" s="20"/>
      <c r="O1847" s="20"/>
      <c r="P1847" s="20"/>
      <c r="Q1847" s="20"/>
      <c r="R1847" s="20"/>
      <c r="S1847" s="20"/>
      <c r="T1847" s="20"/>
      <c r="U1847" s="20"/>
      <c r="V1847" s="20"/>
      <c r="W1847" s="20"/>
      <c r="X1847" s="20"/>
      <c r="Y1847" s="22"/>
      <c r="Z1847" s="22"/>
      <c r="AA1847" s="20"/>
      <c r="AB1847" s="20"/>
      <c r="AC1847" s="20"/>
      <c r="AD1847" s="20"/>
      <c r="AE1847" s="20"/>
      <c r="AF1847" s="20"/>
      <c r="AG1847" s="20"/>
      <c r="AH1847" s="20"/>
      <c r="AI1847" s="20"/>
      <c r="AJ1847" s="20"/>
      <c r="AK1847" s="20"/>
      <c r="AL1847" s="20"/>
      <c r="AM1847" s="20"/>
      <c r="AN1847" s="20"/>
      <c r="AS1847" s="11"/>
      <c r="AT1847" s="12"/>
    </row>
    <row r="1848" ht="14.25" customHeight="1">
      <c r="A1848" s="20"/>
      <c r="B1848" s="20"/>
      <c r="C1848" s="20"/>
      <c r="D1848" s="21"/>
      <c r="E1848" s="20"/>
      <c r="F1848" s="20"/>
      <c r="G1848" s="20"/>
      <c r="H1848" s="20"/>
      <c r="K1848" s="10"/>
      <c r="M1848" s="20"/>
      <c r="N1848" s="20"/>
      <c r="O1848" s="20"/>
      <c r="P1848" s="20"/>
      <c r="Q1848" s="20"/>
      <c r="R1848" s="20"/>
      <c r="S1848" s="20"/>
      <c r="T1848" s="20"/>
      <c r="U1848" s="20"/>
      <c r="V1848" s="20"/>
      <c r="W1848" s="20"/>
      <c r="X1848" s="20"/>
      <c r="Y1848" s="22"/>
      <c r="Z1848" s="22"/>
      <c r="AA1848" s="20"/>
      <c r="AB1848" s="20"/>
      <c r="AC1848" s="20"/>
      <c r="AD1848" s="20"/>
      <c r="AE1848" s="20"/>
      <c r="AF1848" s="20"/>
      <c r="AG1848" s="20"/>
      <c r="AH1848" s="20"/>
      <c r="AI1848" s="20"/>
      <c r="AJ1848" s="20"/>
      <c r="AK1848" s="20"/>
      <c r="AL1848" s="20"/>
      <c r="AM1848" s="20"/>
      <c r="AN1848" s="20"/>
      <c r="AS1848" s="11"/>
      <c r="AT1848" s="12"/>
    </row>
    <row r="1849" ht="14.25" customHeight="1">
      <c r="A1849" s="20"/>
      <c r="B1849" s="20"/>
      <c r="C1849" s="20"/>
      <c r="D1849" s="21"/>
      <c r="E1849" s="20"/>
      <c r="F1849" s="20"/>
      <c r="G1849" s="20"/>
      <c r="H1849" s="20"/>
      <c r="K1849" s="10"/>
      <c r="M1849" s="20"/>
      <c r="N1849" s="20"/>
      <c r="O1849" s="20"/>
      <c r="P1849" s="20"/>
      <c r="Q1849" s="20"/>
      <c r="R1849" s="20"/>
      <c r="S1849" s="20"/>
      <c r="T1849" s="20"/>
      <c r="U1849" s="20"/>
      <c r="V1849" s="20"/>
      <c r="W1849" s="20"/>
      <c r="X1849" s="20"/>
      <c r="Y1849" s="22"/>
      <c r="Z1849" s="22"/>
      <c r="AA1849" s="20"/>
      <c r="AB1849" s="20"/>
      <c r="AC1849" s="20"/>
      <c r="AD1849" s="20"/>
      <c r="AE1849" s="20"/>
      <c r="AF1849" s="20"/>
      <c r="AG1849" s="20"/>
      <c r="AH1849" s="20"/>
      <c r="AI1849" s="20"/>
      <c r="AJ1849" s="20"/>
      <c r="AK1849" s="20"/>
      <c r="AL1849" s="20"/>
      <c r="AM1849" s="20"/>
      <c r="AN1849" s="20"/>
      <c r="AS1849" s="11"/>
      <c r="AT1849" s="12"/>
    </row>
    <row r="1850" ht="14.25" customHeight="1">
      <c r="A1850" s="20"/>
      <c r="B1850" s="20"/>
      <c r="C1850" s="20"/>
      <c r="D1850" s="21"/>
      <c r="E1850" s="20"/>
      <c r="F1850" s="20"/>
      <c r="G1850" s="20"/>
      <c r="H1850" s="20"/>
      <c r="K1850" s="10"/>
      <c r="M1850" s="20"/>
      <c r="N1850" s="20"/>
      <c r="O1850" s="20"/>
      <c r="P1850" s="20"/>
      <c r="Q1850" s="20"/>
      <c r="R1850" s="20"/>
      <c r="S1850" s="20"/>
      <c r="T1850" s="20"/>
      <c r="U1850" s="20"/>
      <c r="V1850" s="20"/>
      <c r="W1850" s="20"/>
      <c r="X1850" s="20"/>
      <c r="Y1850" s="22"/>
      <c r="Z1850" s="22"/>
      <c r="AA1850" s="20"/>
      <c r="AB1850" s="20"/>
      <c r="AC1850" s="20"/>
      <c r="AD1850" s="20"/>
      <c r="AE1850" s="20"/>
      <c r="AF1850" s="20"/>
      <c r="AG1850" s="20"/>
      <c r="AH1850" s="20"/>
      <c r="AI1850" s="20"/>
      <c r="AJ1850" s="20"/>
      <c r="AK1850" s="20"/>
      <c r="AL1850" s="20"/>
      <c r="AM1850" s="20"/>
      <c r="AN1850" s="20"/>
      <c r="AS1850" s="11"/>
      <c r="AT1850" s="12"/>
    </row>
    <row r="1851" ht="14.25" customHeight="1">
      <c r="A1851" s="20"/>
      <c r="B1851" s="20"/>
      <c r="C1851" s="20"/>
      <c r="D1851" s="21"/>
      <c r="E1851" s="20"/>
      <c r="F1851" s="20"/>
      <c r="G1851" s="20"/>
      <c r="H1851" s="20"/>
      <c r="K1851" s="10"/>
      <c r="M1851" s="20"/>
      <c r="N1851" s="20"/>
      <c r="O1851" s="20"/>
      <c r="P1851" s="20"/>
      <c r="Q1851" s="20"/>
      <c r="R1851" s="20"/>
      <c r="S1851" s="20"/>
      <c r="T1851" s="20"/>
      <c r="U1851" s="20"/>
      <c r="V1851" s="20"/>
      <c r="W1851" s="20"/>
      <c r="X1851" s="20"/>
      <c r="Y1851" s="22"/>
      <c r="Z1851" s="22"/>
      <c r="AA1851" s="20"/>
      <c r="AB1851" s="20"/>
      <c r="AC1851" s="20"/>
      <c r="AD1851" s="20"/>
      <c r="AE1851" s="20"/>
      <c r="AF1851" s="20"/>
      <c r="AG1851" s="20"/>
      <c r="AH1851" s="20"/>
      <c r="AI1851" s="20"/>
      <c r="AJ1851" s="20"/>
      <c r="AK1851" s="20"/>
      <c r="AL1851" s="20"/>
      <c r="AM1851" s="20"/>
      <c r="AN1851" s="20"/>
      <c r="AS1851" s="11"/>
      <c r="AT1851" s="12"/>
    </row>
    <row r="1852" ht="14.25" customHeight="1">
      <c r="A1852" s="20"/>
      <c r="B1852" s="20"/>
      <c r="C1852" s="20"/>
      <c r="D1852" s="21"/>
      <c r="E1852" s="20"/>
      <c r="F1852" s="20"/>
      <c r="G1852" s="20"/>
      <c r="H1852" s="20"/>
      <c r="K1852" s="1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  <c r="W1852" s="20"/>
      <c r="X1852" s="20"/>
      <c r="Y1852" s="22"/>
      <c r="Z1852" s="22"/>
      <c r="AA1852" s="20"/>
      <c r="AB1852" s="20"/>
      <c r="AC1852" s="20"/>
      <c r="AD1852" s="20"/>
      <c r="AE1852" s="20"/>
      <c r="AF1852" s="20"/>
      <c r="AG1852" s="20"/>
      <c r="AH1852" s="20"/>
      <c r="AI1852" s="20"/>
      <c r="AJ1852" s="20"/>
      <c r="AK1852" s="20"/>
      <c r="AL1852" s="20"/>
      <c r="AM1852" s="20"/>
      <c r="AN1852" s="20"/>
      <c r="AS1852" s="11"/>
      <c r="AT1852" s="12"/>
    </row>
    <row r="1853" ht="14.25" customHeight="1">
      <c r="A1853" s="20"/>
      <c r="B1853" s="20"/>
      <c r="C1853" s="20"/>
      <c r="D1853" s="21"/>
      <c r="E1853" s="20"/>
      <c r="F1853" s="20"/>
      <c r="G1853" s="20"/>
      <c r="H1853" s="20"/>
      <c r="K1853" s="1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  <c r="W1853" s="20"/>
      <c r="X1853" s="20"/>
      <c r="Y1853" s="22"/>
      <c r="Z1853" s="22"/>
      <c r="AA1853" s="20"/>
      <c r="AB1853" s="20"/>
      <c r="AC1853" s="20"/>
      <c r="AD1853" s="20"/>
      <c r="AE1853" s="20"/>
      <c r="AF1853" s="20"/>
      <c r="AG1853" s="20"/>
      <c r="AH1853" s="20"/>
      <c r="AI1853" s="20"/>
      <c r="AJ1853" s="20"/>
      <c r="AK1853" s="20"/>
      <c r="AL1853" s="20"/>
      <c r="AM1853" s="20"/>
      <c r="AN1853" s="20"/>
      <c r="AS1853" s="11"/>
      <c r="AT1853" s="12"/>
    </row>
    <row r="1854" ht="14.25" customHeight="1">
      <c r="A1854" s="20"/>
      <c r="B1854" s="20"/>
      <c r="C1854" s="20"/>
      <c r="D1854" s="21"/>
      <c r="E1854" s="20"/>
      <c r="F1854" s="20"/>
      <c r="G1854" s="20"/>
      <c r="H1854" s="20"/>
      <c r="K1854" s="10"/>
      <c r="M1854" s="20"/>
      <c r="N1854" s="20"/>
      <c r="O1854" s="20"/>
      <c r="P1854" s="20"/>
      <c r="Q1854" s="20"/>
      <c r="R1854" s="20"/>
      <c r="S1854" s="20"/>
      <c r="T1854" s="20"/>
      <c r="U1854" s="20"/>
      <c r="V1854" s="20"/>
      <c r="W1854" s="20"/>
      <c r="X1854" s="20"/>
      <c r="Y1854" s="22"/>
      <c r="Z1854" s="22"/>
      <c r="AA1854" s="20"/>
      <c r="AB1854" s="20"/>
      <c r="AC1854" s="20"/>
      <c r="AD1854" s="20"/>
      <c r="AE1854" s="20"/>
      <c r="AF1854" s="20"/>
      <c r="AG1854" s="20"/>
      <c r="AH1854" s="20"/>
      <c r="AI1854" s="20"/>
      <c r="AJ1854" s="20"/>
      <c r="AK1854" s="20"/>
      <c r="AL1854" s="20"/>
      <c r="AM1854" s="20"/>
      <c r="AN1854" s="20"/>
      <c r="AS1854" s="11"/>
      <c r="AT1854" s="12"/>
    </row>
    <row r="1855" ht="14.25" customHeight="1">
      <c r="A1855" s="20"/>
      <c r="B1855" s="20"/>
      <c r="C1855" s="20"/>
      <c r="D1855" s="21"/>
      <c r="E1855" s="20"/>
      <c r="F1855" s="20"/>
      <c r="G1855" s="20"/>
      <c r="H1855" s="20"/>
      <c r="K1855" s="1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  <c r="W1855" s="20"/>
      <c r="X1855" s="20"/>
      <c r="Y1855" s="22"/>
      <c r="Z1855" s="22"/>
      <c r="AA1855" s="20"/>
      <c r="AB1855" s="20"/>
      <c r="AC1855" s="20"/>
      <c r="AD1855" s="20"/>
      <c r="AE1855" s="20"/>
      <c r="AF1855" s="20"/>
      <c r="AG1855" s="20"/>
      <c r="AH1855" s="20"/>
      <c r="AI1855" s="20"/>
      <c r="AJ1855" s="20"/>
      <c r="AK1855" s="20"/>
      <c r="AL1855" s="20"/>
      <c r="AM1855" s="20"/>
      <c r="AN1855" s="20"/>
      <c r="AS1855" s="11"/>
      <c r="AT1855" s="12"/>
    </row>
    <row r="1856" ht="14.25" customHeight="1">
      <c r="A1856" s="20"/>
      <c r="B1856" s="20"/>
      <c r="C1856" s="20"/>
      <c r="D1856" s="21"/>
      <c r="E1856" s="20"/>
      <c r="F1856" s="20"/>
      <c r="G1856" s="20"/>
      <c r="H1856" s="20"/>
      <c r="K1856" s="1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  <c r="W1856" s="20"/>
      <c r="X1856" s="20"/>
      <c r="Y1856" s="22"/>
      <c r="Z1856" s="22"/>
      <c r="AA1856" s="20"/>
      <c r="AB1856" s="20"/>
      <c r="AC1856" s="20"/>
      <c r="AD1856" s="20"/>
      <c r="AE1856" s="20"/>
      <c r="AF1856" s="20"/>
      <c r="AG1856" s="20"/>
      <c r="AH1856" s="20"/>
      <c r="AI1856" s="20"/>
      <c r="AJ1856" s="20"/>
      <c r="AK1856" s="20"/>
      <c r="AL1856" s="20"/>
      <c r="AM1856" s="20"/>
      <c r="AN1856" s="20"/>
      <c r="AS1856" s="11"/>
      <c r="AT1856" s="12"/>
    </row>
    <row r="1857" ht="14.25" customHeight="1">
      <c r="A1857" s="20"/>
      <c r="B1857" s="20"/>
      <c r="C1857" s="20"/>
      <c r="D1857" s="21"/>
      <c r="E1857" s="20"/>
      <c r="F1857" s="20"/>
      <c r="G1857" s="20"/>
      <c r="H1857" s="20"/>
      <c r="K1857" s="1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  <c r="W1857" s="20"/>
      <c r="X1857" s="20"/>
      <c r="Y1857" s="22"/>
      <c r="Z1857" s="22"/>
      <c r="AA1857" s="20"/>
      <c r="AB1857" s="20"/>
      <c r="AC1857" s="20"/>
      <c r="AD1857" s="20"/>
      <c r="AE1857" s="20"/>
      <c r="AF1857" s="20"/>
      <c r="AG1857" s="20"/>
      <c r="AH1857" s="20"/>
      <c r="AI1857" s="20"/>
      <c r="AJ1857" s="20"/>
      <c r="AK1857" s="20"/>
      <c r="AL1857" s="20"/>
      <c r="AM1857" s="20"/>
      <c r="AN1857" s="20"/>
      <c r="AS1857" s="11"/>
      <c r="AT1857" s="12"/>
    </row>
    <row r="1858" ht="14.25" customHeight="1">
      <c r="A1858" s="20"/>
      <c r="B1858" s="20"/>
      <c r="C1858" s="20"/>
      <c r="D1858" s="21"/>
      <c r="E1858" s="20"/>
      <c r="F1858" s="20"/>
      <c r="G1858" s="20"/>
      <c r="H1858" s="20"/>
      <c r="K1858" s="10"/>
      <c r="M1858" s="20"/>
      <c r="N1858" s="20"/>
      <c r="O1858" s="20"/>
      <c r="P1858" s="20"/>
      <c r="Q1858" s="20"/>
      <c r="R1858" s="20"/>
      <c r="S1858" s="20"/>
      <c r="T1858" s="20"/>
      <c r="U1858" s="20"/>
      <c r="V1858" s="20"/>
      <c r="W1858" s="20"/>
      <c r="X1858" s="20"/>
      <c r="Y1858" s="22"/>
      <c r="Z1858" s="22"/>
      <c r="AA1858" s="20"/>
      <c r="AB1858" s="20"/>
      <c r="AC1858" s="20"/>
      <c r="AD1858" s="20"/>
      <c r="AE1858" s="20"/>
      <c r="AF1858" s="20"/>
      <c r="AG1858" s="20"/>
      <c r="AH1858" s="20"/>
      <c r="AI1858" s="20"/>
      <c r="AJ1858" s="20"/>
      <c r="AK1858" s="20"/>
      <c r="AL1858" s="20"/>
      <c r="AM1858" s="20"/>
      <c r="AN1858" s="20"/>
      <c r="AS1858" s="11"/>
      <c r="AT1858" s="12"/>
    </row>
    <row r="1859" ht="14.25" customHeight="1">
      <c r="A1859" s="20"/>
      <c r="B1859" s="20"/>
      <c r="C1859" s="20"/>
      <c r="D1859" s="21"/>
      <c r="E1859" s="20"/>
      <c r="F1859" s="20"/>
      <c r="G1859" s="20"/>
      <c r="H1859" s="20"/>
      <c r="K1859" s="1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20"/>
      <c r="X1859" s="20"/>
      <c r="Y1859" s="22"/>
      <c r="Z1859" s="22"/>
      <c r="AA1859" s="20"/>
      <c r="AB1859" s="20"/>
      <c r="AC1859" s="20"/>
      <c r="AD1859" s="20"/>
      <c r="AE1859" s="20"/>
      <c r="AF1859" s="20"/>
      <c r="AG1859" s="20"/>
      <c r="AH1859" s="20"/>
      <c r="AI1859" s="20"/>
      <c r="AJ1859" s="20"/>
      <c r="AK1859" s="20"/>
      <c r="AL1859" s="20"/>
      <c r="AM1859" s="20"/>
      <c r="AN1859" s="20"/>
      <c r="AS1859" s="11"/>
      <c r="AT1859" s="12"/>
    </row>
    <row r="1860" ht="14.25" customHeight="1">
      <c r="A1860" s="20"/>
      <c r="B1860" s="20"/>
      <c r="C1860" s="20"/>
      <c r="D1860" s="21"/>
      <c r="E1860" s="20"/>
      <c r="F1860" s="20"/>
      <c r="G1860" s="20"/>
      <c r="H1860" s="20"/>
      <c r="K1860" s="1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20"/>
      <c r="X1860" s="20"/>
      <c r="Y1860" s="22"/>
      <c r="Z1860" s="22"/>
      <c r="AA1860" s="20"/>
      <c r="AB1860" s="20"/>
      <c r="AC1860" s="20"/>
      <c r="AD1860" s="20"/>
      <c r="AE1860" s="20"/>
      <c r="AF1860" s="20"/>
      <c r="AG1860" s="20"/>
      <c r="AH1860" s="20"/>
      <c r="AI1860" s="20"/>
      <c r="AJ1860" s="20"/>
      <c r="AK1860" s="20"/>
      <c r="AL1860" s="20"/>
      <c r="AM1860" s="20"/>
      <c r="AN1860" s="20"/>
      <c r="AS1860" s="11"/>
      <c r="AT1860" s="12"/>
    </row>
    <row r="1861" ht="14.25" customHeight="1">
      <c r="A1861" s="20"/>
      <c r="B1861" s="20"/>
      <c r="C1861" s="20"/>
      <c r="D1861" s="21"/>
      <c r="E1861" s="20"/>
      <c r="F1861" s="20"/>
      <c r="G1861" s="20"/>
      <c r="H1861" s="20"/>
      <c r="K1861" s="10"/>
      <c r="M1861" s="20"/>
      <c r="N1861" s="20"/>
      <c r="O1861" s="20"/>
      <c r="P1861" s="20"/>
      <c r="Q1861" s="20"/>
      <c r="R1861" s="20"/>
      <c r="S1861" s="20"/>
      <c r="T1861" s="20"/>
      <c r="U1861" s="20"/>
      <c r="V1861" s="20"/>
      <c r="W1861" s="20"/>
      <c r="X1861" s="20"/>
      <c r="Y1861" s="22"/>
      <c r="Z1861" s="22"/>
      <c r="AA1861" s="20"/>
      <c r="AB1861" s="20"/>
      <c r="AC1861" s="20"/>
      <c r="AD1861" s="20"/>
      <c r="AE1861" s="20"/>
      <c r="AF1861" s="20"/>
      <c r="AG1861" s="20"/>
      <c r="AH1861" s="20"/>
      <c r="AI1861" s="20"/>
      <c r="AJ1861" s="20"/>
      <c r="AK1861" s="20"/>
      <c r="AL1861" s="20"/>
      <c r="AM1861" s="20"/>
      <c r="AN1861" s="20"/>
      <c r="AS1861" s="11"/>
      <c r="AT1861" s="12"/>
    </row>
    <row r="1862" ht="14.25" customHeight="1">
      <c r="A1862" s="20"/>
      <c r="B1862" s="20"/>
      <c r="C1862" s="20"/>
      <c r="D1862" s="21"/>
      <c r="E1862" s="20"/>
      <c r="F1862" s="20"/>
      <c r="G1862" s="20"/>
      <c r="H1862" s="20"/>
      <c r="K1862" s="1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  <c r="W1862" s="20"/>
      <c r="X1862" s="20"/>
      <c r="Y1862" s="22"/>
      <c r="Z1862" s="22"/>
      <c r="AA1862" s="20"/>
      <c r="AB1862" s="20"/>
      <c r="AC1862" s="20"/>
      <c r="AD1862" s="20"/>
      <c r="AE1862" s="20"/>
      <c r="AF1862" s="20"/>
      <c r="AG1862" s="20"/>
      <c r="AH1862" s="20"/>
      <c r="AI1862" s="20"/>
      <c r="AJ1862" s="20"/>
      <c r="AK1862" s="20"/>
      <c r="AL1862" s="20"/>
      <c r="AM1862" s="20"/>
      <c r="AN1862" s="20"/>
      <c r="AS1862" s="11"/>
      <c r="AT1862" s="12"/>
    </row>
    <row r="1863" ht="14.25" customHeight="1">
      <c r="A1863" s="20"/>
      <c r="B1863" s="20"/>
      <c r="C1863" s="20"/>
      <c r="D1863" s="21"/>
      <c r="E1863" s="20"/>
      <c r="F1863" s="20"/>
      <c r="G1863" s="20"/>
      <c r="H1863" s="20"/>
      <c r="K1863" s="1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  <c r="W1863" s="20"/>
      <c r="X1863" s="20"/>
      <c r="Y1863" s="22"/>
      <c r="Z1863" s="22"/>
      <c r="AA1863" s="20"/>
      <c r="AB1863" s="20"/>
      <c r="AC1863" s="20"/>
      <c r="AD1863" s="20"/>
      <c r="AE1863" s="20"/>
      <c r="AF1863" s="20"/>
      <c r="AG1863" s="20"/>
      <c r="AH1863" s="20"/>
      <c r="AI1863" s="20"/>
      <c r="AJ1863" s="20"/>
      <c r="AK1863" s="20"/>
      <c r="AL1863" s="20"/>
      <c r="AM1863" s="20"/>
      <c r="AN1863" s="20"/>
      <c r="AS1863" s="11"/>
      <c r="AT1863" s="12"/>
    </row>
    <row r="1864" ht="14.25" customHeight="1">
      <c r="A1864" s="20"/>
      <c r="B1864" s="20"/>
      <c r="C1864" s="20"/>
      <c r="D1864" s="21"/>
      <c r="E1864" s="20"/>
      <c r="F1864" s="20"/>
      <c r="G1864" s="20"/>
      <c r="H1864" s="20"/>
      <c r="K1864" s="1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  <c r="W1864" s="20"/>
      <c r="X1864" s="20"/>
      <c r="Y1864" s="22"/>
      <c r="Z1864" s="22"/>
      <c r="AA1864" s="20"/>
      <c r="AB1864" s="20"/>
      <c r="AC1864" s="20"/>
      <c r="AD1864" s="20"/>
      <c r="AE1864" s="20"/>
      <c r="AF1864" s="20"/>
      <c r="AG1864" s="20"/>
      <c r="AH1864" s="20"/>
      <c r="AI1864" s="20"/>
      <c r="AJ1864" s="20"/>
      <c r="AK1864" s="20"/>
      <c r="AL1864" s="20"/>
      <c r="AM1864" s="20"/>
      <c r="AN1864" s="20"/>
      <c r="AS1864" s="11"/>
      <c r="AT1864" s="12"/>
    </row>
    <row r="1865" ht="14.25" customHeight="1">
      <c r="A1865" s="20"/>
      <c r="B1865" s="20"/>
      <c r="C1865" s="20"/>
      <c r="D1865" s="21"/>
      <c r="E1865" s="20"/>
      <c r="F1865" s="20"/>
      <c r="G1865" s="20"/>
      <c r="H1865" s="20"/>
      <c r="K1865" s="10"/>
      <c r="M1865" s="20"/>
      <c r="N1865" s="20"/>
      <c r="O1865" s="20"/>
      <c r="P1865" s="20"/>
      <c r="Q1865" s="20"/>
      <c r="R1865" s="20"/>
      <c r="S1865" s="20"/>
      <c r="T1865" s="20"/>
      <c r="U1865" s="20"/>
      <c r="V1865" s="20"/>
      <c r="W1865" s="20"/>
      <c r="X1865" s="20"/>
      <c r="Y1865" s="22"/>
      <c r="Z1865" s="22"/>
      <c r="AA1865" s="20"/>
      <c r="AB1865" s="20"/>
      <c r="AC1865" s="20"/>
      <c r="AD1865" s="20"/>
      <c r="AE1865" s="20"/>
      <c r="AF1865" s="20"/>
      <c r="AG1865" s="20"/>
      <c r="AH1865" s="20"/>
      <c r="AI1865" s="20"/>
      <c r="AJ1865" s="20"/>
      <c r="AK1865" s="20"/>
      <c r="AL1865" s="20"/>
      <c r="AM1865" s="20"/>
      <c r="AN1865" s="20"/>
      <c r="AS1865" s="11"/>
      <c r="AT1865" s="12"/>
    </row>
    <row r="1866" ht="14.25" customHeight="1">
      <c r="A1866" s="20"/>
      <c r="B1866" s="20"/>
      <c r="C1866" s="20"/>
      <c r="D1866" s="21"/>
      <c r="E1866" s="20"/>
      <c r="F1866" s="20"/>
      <c r="G1866" s="20"/>
      <c r="H1866" s="20"/>
      <c r="K1866" s="10"/>
      <c r="M1866" s="20"/>
      <c r="N1866" s="20"/>
      <c r="O1866" s="20"/>
      <c r="P1866" s="20"/>
      <c r="Q1866" s="20"/>
      <c r="R1866" s="20"/>
      <c r="S1866" s="20"/>
      <c r="T1866" s="20"/>
      <c r="U1866" s="20"/>
      <c r="V1866" s="20"/>
      <c r="W1866" s="20"/>
      <c r="X1866" s="20"/>
      <c r="Y1866" s="22"/>
      <c r="Z1866" s="22"/>
      <c r="AA1866" s="20"/>
      <c r="AB1866" s="20"/>
      <c r="AC1866" s="20"/>
      <c r="AD1866" s="20"/>
      <c r="AE1866" s="20"/>
      <c r="AF1866" s="20"/>
      <c r="AG1866" s="20"/>
      <c r="AH1866" s="20"/>
      <c r="AI1866" s="20"/>
      <c r="AJ1866" s="20"/>
      <c r="AK1866" s="20"/>
      <c r="AL1866" s="20"/>
      <c r="AM1866" s="20"/>
      <c r="AN1866" s="20"/>
      <c r="AS1866" s="11"/>
      <c r="AT1866" s="12"/>
    </row>
    <row r="1867" ht="14.25" customHeight="1">
      <c r="A1867" s="20"/>
      <c r="B1867" s="20"/>
      <c r="C1867" s="20"/>
      <c r="D1867" s="21"/>
      <c r="E1867" s="20"/>
      <c r="F1867" s="20"/>
      <c r="G1867" s="20"/>
      <c r="H1867" s="20"/>
      <c r="K1867" s="1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2"/>
      <c r="Z1867" s="22"/>
      <c r="AA1867" s="20"/>
      <c r="AB1867" s="20"/>
      <c r="AC1867" s="20"/>
      <c r="AD1867" s="20"/>
      <c r="AE1867" s="20"/>
      <c r="AF1867" s="20"/>
      <c r="AG1867" s="20"/>
      <c r="AH1867" s="20"/>
      <c r="AI1867" s="20"/>
      <c r="AJ1867" s="20"/>
      <c r="AK1867" s="20"/>
      <c r="AL1867" s="20"/>
      <c r="AM1867" s="20"/>
      <c r="AN1867" s="20"/>
      <c r="AS1867" s="11"/>
      <c r="AT1867" s="12"/>
    </row>
    <row r="1868" ht="14.25" customHeight="1">
      <c r="A1868" s="20"/>
      <c r="B1868" s="20"/>
      <c r="C1868" s="20"/>
      <c r="D1868" s="21"/>
      <c r="E1868" s="20"/>
      <c r="F1868" s="20"/>
      <c r="G1868" s="20"/>
      <c r="H1868" s="20"/>
      <c r="K1868" s="10"/>
      <c r="M1868" s="20"/>
      <c r="N1868" s="20"/>
      <c r="O1868" s="20"/>
      <c r="P1868" s="20"/>
      <c r="Q1868" s="20"/>
      <c r="R1868" s="20"/>
      <c r="S1868" s="20"/>
      <c r="T1868" s="20"/>
      <c r="U1868" s="20"/>
      <c r="V1868" s="20"/>
      <c r="W1868" s="20"/>
      <c r="X1868" s="20"/>
      <c r="Y1868" s="22"/>
      <c r="Z1868" s="22"/>
      <c r="AA1868" s="20"/>
      <c r="AB1868" s="20"/>
      <c r="AC1868" s="20"/>
      <c r="AD1868" s="20"/>
      <c r="AE1868" s="20"/>
      <c r="AF1868" s="20"/>
      <c r="AG1868" s="20"/>
      <c r="AH1868" s="20"/>
      <c r="AI1868" s="20"/>
      <c r="AJ1868" s="20"/>
      <c r="AK1868" s="20"/>
      <c r="AL1868" s="20"/>
      <c r="AM1868" s="20"/>
      <c r="AN1868" s="20"/>
      <c r="AS1868" s="11"/>
      <c r="AT1868" s="12"/>
    </row>
    <row r="1869" ht="14.25" customHeight="1">
      <c r="A1869" s="20"/>
      <c r="B1869" s="20"/>
      <c r="C1869" s="20"/>
      <c r="D1869" s="21"/>
      <c r="E1869" s="20"/>
      <c r="F1869" s="20"/>
      <c r="G1869" s="20"/>
      <c r="H1869" s="20"/>
      <c r="K1869" s="10"/>
      <c r="M1869" s="20"/>
      <c r="N1869" s="20"/>
      <c r="O1869" s="20"/>
      <c r="P1869" s="20"/>
      <c r="Q1869" s="20"/>
      <c r="R1869" s="20"/>
      <c r="S1869" s="20"/>
      <c r="T1869" s="20"/>
      <c r="U1869" s="20"/>
      <c r="V1869" s="20"/>
      <c r="W1869" s="20"/>
      <c r="X1869" s="20"/>
      <c r="Y1869" s="22"/>
      <c r="Z1869" s="22"/>
      <c r="AA1869" s="20"/>
      <c r="AB1869" s="20"/>
      <c r="AC1869" s="20"/>
      <c r="AD1869" s="20"/>
      <c r="AE1869" s="20"/>
      <c r="AF1869" s="20"/>
      <c r="AG1869" s="20"/>
      <c r="AH1869" s="20"/>
      <c r="AI1869" s="20"/>
      <c r="AJ1869" s="20"/>
      <c r="AK1869" s="20"/>
      <c r="AL1869" s="20"/>
      <c r="AM1869" s="20"/>
      <c r="AN1869" s="20"/>
      <c r="AS1869" s="11"/>
      <c r="AT1869" s="12"/>
    </row>
    <row r="1870" ht="14.25" customHeight="1">
      <c r="A1870" s="20"/>
      <c r="B1870" s="20"/>
      <c r="C1870" s="20"/>
      <c r="D1870" s="21"/>
      <c r="E1870" s="20"/>
      <c r="F1870" s="20"/>
      <c r="G1870" s="20"/>
      <c r="H1870" s="20"/>
      <c r="K1870" s="1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2"/>
      <c r="Z1870" s="22"/>
      <c r="AA1870" s="20"/>
      <c r="AB1870" s="20"/>
      <c r="AC1870" s="20"/>
      <c r="AD1870" s="20"/>
      <c r="AE1870" s="20"/>
      <c r="AF1870" s="20"/>
      <c r="AG1870" s="20"/>
      <c r="AH1870" s="20"/>
      <c r="AI1870" s="20"/>
      <c r="AJ1870" s="20"/>
      <c r="AK1870" s="20"/>
      <c r="AL1870" s="20"/>
      <c r="AM1870" s="20"/>
      <c r="AN1870" s="20"/>
      <c r="AS1870" s="11"/>
      <c r="AT1870" s="12"/>
    </row>
    <row r="1871" ht="14.25" customHeight="1">
      <c r="A1871" s="20"/>
      <c r="B1871" s="20"/>
      <c r="C1871" s="20"/>
      <c r="D1871" s="21"/>
      <c r="E1871" s="20"/>
      <c r="F1871" s="20"/>
      <c r="G1871" s="20"/>
      <c r="H1871" s="20"/>
      <c r="K1871" s="10"/>
      <c r="M1871" s="20"/>
      <c r="N1871" s="20"/>
      <c r="O1871" s="20"/>
      <c r="P1871" s="20"/>
      <c r="Q1871" s="20"/>
      <c r="R1871" s="20"/>
      <c r="S1871" s="20"/>
      <c r="T1871" s="20"/>
      <c r="U1871" s="20"/>
      <c r="V1871" s="20"/>
      <c r="W1871" s="20"/>
      <c r="X1871" s="20"/>
      <c r="Y1871" s="22"/>
      <c r="Z1871" s="22"/>
      <c r="AA1871" s="20"/>
      <c r="AB1871" s="20"/>
      <c r="AC1871" s="20"/>
      <c r="AD1871" s="20"/>
      <c r="AE1871" s="20"/>
      <c r="AF1871" s="20"/>
      <c r="AG1871" s="20"/>
      <c r="AH1871" s="20"/>
      <c r="AI1871" s="20"/>
      <c r="AJ1871" s="20"/>
      <c r="AK1871" s="20"/>
      <c r="AL1871" s="20"/>
      <c r="AM1871" s="20"/>
      <c r="AN1871" s="20"/>
      <c r="AS1871" s="11"/>
      <c r="AT1871" s="12"/>
    </row>
    <row r="1872" ht="14.25" customHeight="1">
      <c r="A1872" s="20"/>
      <c r="B1872" s="20"/>
      <c r="C1872" s="20"/>
      <c r="D1872" s="21"/>
      <c r="E1872" s="20"/>
      <c r="F1872" s="20"/>
      <c r="G1872" s="20"/>
      <c r="H1872" s="20"/>
      <c r="K1872" s="10"/>
      <c r="M1872" s="20"/>
      <c r="N1872" s="20"/>
      <c r="O1872" s="20"/>
      <c r="P1872" s="20"/>
      <c r="Q1872" s="20"/>
      <c r="R1872" s="20"/>
      <c r="S1872" s="20"/>
      <c r="T1872" s="20"/>
      <c r="U1872" s="20"/>
      <c r="V1872" s="20"/>
      <c r="W1872" s="20"/>
      <c r="X1872" s="20"/>
      <c r="Y1872" s="22"/>
      <c r="Z1872" s="22"/>
      <c r="AA1872" s="20"/>
      <c r="AB1872" s="20"/>
      <c r="AC1872" s="20"/>
      <c r="AD1872" s="20"/>
      <c r="AE1872" s="20"/>
      <c r="AF1872" s="20"/>
      <c r="AG1872" s="20"/>
      <c r="AH1872" s="20"/>
      <c r="AI1872" s="20"/>
      <c r="AJ1872" s="20"/>
      <c r="AK1872" s="20"/>
      <c r="AL1872" s="20"/>
      <c r="AM1872" s="20"/>
      <c r="AN1872" s="20"/>
      <c r="AS1872" s="11"/>
      <c r="AT1872" s="12"/>
    </row>
    <row r="1873" ht="14.25" customHeight="1">
      <c r="A1873" s="20"/>
      <c r="B1873" s="20"/>
      <c r="C1873" s="20"/>
      <c r="D1873" s="21"/>
      <c r="E1873" s="20"/>
      <c r="F1873" s="20"/>
      <c r="G1873" s="20"/>
      <c r="H1873" s="20"/>
      <c r="K1873" s="10"/>
      <c r="M1873" s="20"/>
      <c r="N1873" s="20"/>
      <c r="O1873" s="20"/>
      <c r="P1873" s="20"/>
      <c r="Q1873" s="20"/>
      <c r="R1873" s="20"/>
      <c r="S1873" s="20"/>
      <c r="T1873" s="20"/>
      <c r="U1873" s="20"/>
      <c r="V1873" s="20"/>
      <c r="W1873" s="20"/>
      <c r="X1873" s="20"/>
      <c r="Y1873" s="22"/>
      <c r="Z1873" s="22"/>
      <c r="AA1873" s="20"/>
      <c r="AB1873" s="20"/>
      <c r="AC1873" s="20"/>
      <c r="AD1873" s="20"/>
      <c r="AE1873" s="20"/>
      <c r="AF1873" s="20"/>
      <c r="AG1873" s="20"/>
      <c r="AH1873" s="20"/>
      <c r="AI1873" s="20"/>
      <c r="AJ1873" s="20"/>
      <c r="AK1873" s="20"/>
      <c r="AL1873" s="20"/>
      <c r="AM1873" s="20"/>
      <c r="AN1873" s="20"/>
      <c r="AS1873" s="11"/>
      <c r="AT1873" s="12"/>
    </row>
    <row r="1874" ht="14.25" customHeight="1">
      <c r="A1874" s="20"/>
      <c r="B1874" s="20"/>
      <c r="C1874" s="20"/>
      <c r="D1874" s="21"/>
      <c r="E1874" s="20"/>
      <c r="F1874" s="20"/>
      <c r="G1874" s="20"/>
      <c r="H1874" s="20"/>
      <c r="K1874" s="10"/>
      <c r="M1874" s="20"/>
      <c r="N1874" s="20"/>
      <c r="O1874" s="20"/>
      <c r="P1874" s="20"/>
      <c r="Q1874" s="20"/>
      <c r="R1874" s="20"/>
      <c r="S1874" s="20"/>
      <c r="T1874" s="20"/>
      <c r="U1874" s="20"/>
      <c r="V1874" s="20"/>
      <c r="W1874" s="20"/>
      <c r="X1874" s="20"/>
      <c r="Y1874" s="22"/>
      <c r="Z1874" s="22"/>
      <c r="AA1874" s="20"/>
      <c r="AB1874" s="20"/>
      <c r="AC1874" s="20"/>
      <c r="AD1874" s="20"/>
      <c r="AE1874" s="20"/>
      <c r="AF1874" s="20"/>
      <c r="AG1874" s="20"/>
      <c r="AH1874" s="20"/>
      <c r="AI1874" s="20"/>
      <c r="AJ1874" s="20"/>
      <c r="AK1874" s="20"/>
      <c r="AL1874" s="20"/>
      <c r="AM1874" s="20"/>
      <c r="AN1874" s="20"/>
      <c r="AS1874" s="11"/>
      <c r="AT1874" s="12"/>
    </row>
    <row r="1875" ht="14.25" customHeight="1">
      <c r="A1875" s="20"/>
      <c r="B1875" s="20"/>
      <c r="C1875" s="20"/>
      <c r="D1875" s="21"/>
      <c r="E1875" s="20"/>
      <c r="F1875" s="20"/>
      <c r="G1875" s="20"/>
      <c r="H1875" s="20"/>
      <c r="K1875" s="10"/>
      <c r="M1875" s="20"/>
      <c r="N1875" s="20"/>
      <c r="O1875" s="20"/>
      <c r="P1875" s="20"/>
      <c r="Q1875" s="20"/>
      <c r="R1875" s="20"/>
      <c r="S1875" s="20"/>
      <c r="T1875" s="20"/>
      <c r="U1875" s="20"/>
      <c r="V1875" s="20"/>
      <c r="W1875" s="20"/>
      <c r="X1875" s="20"/>
      <c r="Y1875" s="22"/>
      <c r="Z1875" s="22"/>
      <c r="AA1875" s="20"/>
      <c r="AB1875" s="20"/>
      <c r="AC1875" s="20"/>
      <c r="AD1875" s="20"/>
      <c r="AE1875" s="20"/>
      <c r="AF1875" s="20"/>
      <c r="AG1875" s="20"/>
      <c r="AH1875" s="20"/>
      <c r="AI1875" s="20"/>
      <c r="AJ1875" s="20"/>
      <c r="AK1875" s="20"/>
      <c r="AL1875" s="20"/>
      <c r="AM1875" s="20"/>
      <c r="AN1875" s="20"/>
      <c r="AS1875" s="11"/>
      <c r="AT1875" s="12"/>
    </row>
    <row r="1876" ht="14.25" customHeight="1">
      <c r="A1876" s="20"/>
      <c r="B1876" s="20"/>
      <c r="C1876" s="20"/>
      <c r="D1876" s="21"/>
      <c r="E1876" s="20"/>
      <c r="F1876" s="20"/>
      <c r="G1876" s="20"/>
      <c r="H1876" s="20"/>
      <c r="K1876" s="10"/>
      <c r="M1876" s="20"/>
      <c r="N1876" s="20"/>
      <c r="O1876" s="20"/>
      <c r="P1876" s="20"/>
      <c r="Q1876" s="20"/>
      <c r="R1876" s="20"/>
      <c r="S1876" s="20"/>
      <c r="T1876" s="20"/>
      <c r="U1876" s="20"/>
      <c r="V1876" s="20"/>
      <c r="W1876" s="20"/>
      <c r="X1876" s="20"/>
      <c r="Y1876" s="22"/>
      <c r="Z1876" s="22"/>
      <c r="AA1876" s="20"/>
      <c r="AB1876" s="20"/>
      <c r="AC1876" s="20"/>
      <c r="AD1876" s="20"/>
      <c r="AE1876" s="20"/>
      <c r="AF1876" s="20"/>
      <c r="AG1876" s="20"/>
      <c r="AH1876" s="20"/>
      <c r="AI1876" s="20"/>
      <c r="AJ1876" s="20"/>
      <c r="AK1876" s="20"/>
      <c r="AL1876" s="20"/>
      <c r="AM1876" s="20"/>
      <c r="AN1876" s="20"/>
      <c r="AS1876" s="11"/>
      <c r="AT1876" s="12"/>
    </row>
    <row r="1877" ht="14.25" customHeight="1">
      <c r="A1877" s="20"/>
      <c r="B1877" s="20"/>
      <c r="C1877" s="20"/>
      <c r="D1877" s="21"/>
      <c r="E1877" s="20"/>
      <c r="F1877" s="20"/>
      <c r="G1877" s="20"/>
      <c r="H1877" s="20"/>
      <c r="K1877" s="10"/>
      <c r="M1877" s="20"/>
      <c r="N1877" s="20"/>
      <c r="O1877" s="20"/>
      <c r="P1877" s="20"/>
      <c r="Q1877" s="20"/>
      <c r="R1877" s="20"/>
      <c r="S1877" s="20"/>
      <c r="T1877" s="20"/>
      <c r="U1877" s="20"/>
      <c r="V1877" s="20"/>
      <c r="W1877" s="20"/>
      <c r="X1877" s="20"/>
      <c r="Y1877" s="22"/>
      <c r="Z1877" s="22"/>
      <c r="AA1877" s="20"/>
      <c r="AB1877" s="20"/>
      <c r="AC1877" s="20"/>
      <c r="AD1877" s="20"/>
      <c r="AE1877" s="20"/>
      <c r="AF1877" s="20"/>
      <c r="AG1877" s="20"/>
      <c r="AH1877" s="20"/>
      <c r="AI1877" s="20"/>
      <c r="AJ1877" s="20"/>
      <c r="AK1877" s="20"/>
      <c r="AL1877" s="20"/>
      <c r="AM1877" s="20"/>
      <c r="AN1877" s="20"/>
      <c r="AS1877" s="11"/>
      <c r="AT1877" s="12"/>
    </row>
    <row r="1878" ht="14.25" customHeight="1">
      <c r="A1878" s="20"/>
      <c r="B1878" s="20"/>
      <c r="C1878" s="20"/>
      <c r="D1878" s="21"/>
      <c r="E1878" s="20"/>
      <c r="F1878" s="20"/>
      <c r="G1878" s="20"/>
      <c r="H1878" s="20"/>
      <c r="K1878" s="10"/>
      <c r="M1878" s="20"/>
      <c r="N1878" s="20"/>
      <c r="O1878" s="20"/>
      <c r="P1878" s="20"/>
      <c r="Q1878" s="20"/>
      <c r="R1878" s="20"/>
      <c r="S1878" s="20"/>
      <c r="T1878" s="20"/>
      <c r="U1878" s="20"/>
      <c r="V1878" s="20"/>
      <c r="W1878" s="20"/>
      <c r="X1878" s="20"/>
      <c r="Y1878" s="22"/>
      <c r="Z1878" s="22"/>
      <c r="AA1878" s="20"/>
      <c r="AB1878" s="20"/>
      <c r="AC1878" s="20"/>
      <c r="AD1878" s="20"/>
      <c r="AE1878" s="20"/>
      <c r="AF1878" s="20"/>
      <c r="AG1878" s="20"/>
      <c r="AH1878" s="20"/>
      <c r="AI1878" s="20"/>
      <c r="AJ1878" s="20"/>
      <c r="AK1878" s="20"/>
      <c r="AL1878" s="20"/>
      <c r="AM1878" s="20"/>
      <c r="AN1878" s="20"/>
      <c r="AS1878" s="11"/>
      <c r="AT1878" s="12"/>
    </row>
    <row r="1879" ht="14.25" customHeight="1">
      <c r="A1879" s="20"/>
      <c r="B1879" s="20"/>
      <c r="C1879" s="20"/>
      <c r="D1879" s="21"/>
      <c r="E1879" s="20"/>
      <c r="F1879" s="20"/>
      <c r="G1879" s="20"/>
      <c r="H1879" s="20"/>
      <c r="K1879" s="10"/>
      <c r="M1879" s="20"/>
      <c r="N1879" s="20"/>
      <c r="O1879" s="20"/>
      <c r="P1879" s="20"/>
      <c r="Q1879" s="20"/>
      <c r="R1879" s="20"/>
      <c r="S1879" s="20"/>
      <c r="T1879" s="20"/>
      <c r="U1879" s="20"/>
      <c r="V1879" s="20"/>
      <c r="W1879" s="20"/>
      <c r="X1879" s="20"/>
      <c r="Y1879" s="22"/>
      <c r="Z1879" s="22"/>
      <c r="AA1879" s="20"/>
      <c r="AB1879" s="20"/>
      <c r="AC1879" s="20"/>
      <c r="AD1879" s="20"/>
      <c r="AE1879" s="20"/>
      <c r="AF1879" s="20"/>
      <c r="AG1879" s="20"/>
      <c r="AH1879" s="20"/>
      <c r="AI1879" s="20"/>
      <c r="AJ1879" s="20"/>
      <c r="AK1879" s="20"/>
      <c r="AL1879" s="20"/>
      <c r="AM1879" s="20"/>
      <c r="AN1879" s="20"/>
      <c r="AS1879" s="11"/>
      <c r="AT1879" s="12"/>
    </row>
    <row r="1880" ht="14.25" customHeight="1">
      <c r="A1880" s="20"/>
      <c r="B1880" s="20"/>
      <c r="C1880" s="20"/>
      <c r="D1880" s="21"/>
      <c r="E1880" s="20"/>
      <c r="F1880" s="20"/>
      <c r="G1880" s="20"/>
      <c r="H1880" s="20"/>
      <c r="K1880" s="10"/>
      <c r="M1880" s="20"/>
      <c r="N1880" s="20"/>
      <c r="O1880" s="20"/>
      <c r="P1880" s="20"/>
      <c r="Q1880" s="20"/>
      <c r="R1880" s="20"/>
      <c r="S1880" s="20"/>
      <c r="T1880" s="20"/>
      <c r="U1880" s="20"/>
      <c r="V1880" s="20"/>
      <c r="W1880" s="20"/>
      <c r="X1880" s="20"/>
      <c r="Y1880" s="22"/>
      <c r="Z1880" s="22"/>
      <c r="AA1880" s="20"/>
      <c r="AB1880" s="20"/>
      <c r="AC1880" s="20"/>
      <c r="AD1880" s="20"/>
      <c r="AE1880" s="20"/>
      <c r="AF1880" s="20"/>
      <c r="AG1880" s="20"/>
      <c r="AH1880" s="20"/>
      <c r="AI1880" s="20"/>
      <c r="AJ1880" s="20"/>
      <c r="AK1880" s="20"/>
      <c r="AL1880" s="20"/>
      <c r="AM1880" s="20"/>
      <c r="AN1880" s="20"/>
      <c r="AS1880" s="11"/>
      <c r="AT1880" s="12"/>
    </row>
    <row r="1881" ht="14.25" customHeight="1">
      <c r="A1881" s="20"/>
      <c r="B1881" s="20"/>
      <c r="C1881" s="20"/>
      <c r="D1881" s="21"/>
      <c r="E1881" s="20"/>
      <c r="F1881" s="20"/>
      <c r="G1881" s="20"/>
      <c r="H1881" s="20"/>
      <c r="K1881" s="10"/>
      <c r="M1881" s="20"/>
      <c r="N1881" s="20"/>
      <c r="O1881" s="20"/>
      <c r="P1881" s="20"/>
      <c r="Q1881" s="20"/>
      <c r="R1881" s="20"/>
      <c r="S1881" s="20"/>
      <c r="T1881" s="20"/>
      <c r="U1881" s="20"/>
      <c r="V1881" s="20"/>
      <c r="W1881" s="20"/>
      <c r="X1881" s="20"/>
      <c r="Y1881" s="22"/>
      <c r="Z1881" s="22"/>
      <c r="AA1881" s="20"/>
      <c r="AB1881" s="20"/>
      <c r="AC1881" s="20"/>
      <c r="AD1881" s="20"/>
      <c r="AE1881" s="20"/>
      <c r="AF1881" s="20"/>
      <c r="AG1881" s="20"/>
      <c r="AH1881" s="20"/>
      <c r="AI1881" s="20"/>
      <c r="AJ1881" s="20"/>
      <c r="AK1881" s="20"/>
      <c r="AL1881" s="20"/>
      <c r="AM1881" s="20"/>
      <c r="AN1881" s="20"/>
      <c r="AS1881" s="11"/>
      <c r="AT1881" s="12"/>
    </row>
    <row r="1882" ht="14.25" customHeight="1">
      <c r="A1882" s="20"/>
      <c r="B1882" s="20"/>
      <c r="C1882" s="20"/>
      <c r="D1882" s="21"/>
      <c r="E1882" s="20"/>
      <c r="F1882" s="20"/>
      <c r="G1882" s="20"/>
      <c r="H1882" s="20"/>
      <c r="K1882" s="10"/>
      <c r="M1882" s="20"/>
      <c r="N1882" s="20"/>
      <c r="O1882" s="20"/>
      <c r="P1882" s="20"/>
      <c r="Q1882" s="20"/>
      <c r="R1882" s="20"/>
      <c r="S1882" s="20"/>
      <c r="T1882" s="20"/>
      <c r="U1882" s="20"/>
      <c r="V1882" s="20"/>
      <c r="W1882" s="20"/>
      <c r="X1882" s="20"/>
      <c r="Y1882" s="22"/>
      <c r="Z1882" s="22"/>
      <c r="AA1882" s="20"/>
      <c r="AB1882" s="20"/>
      <c r="AC1882" s="20"/>
      <c r="AD1882" s="20"/>
      <c r="AE1882" s="20"/>
      <c r="AF1882" s="20"/>
      <c r="AG1882" s="20"/>
      <c r="AH1882" s="20"/>
      <c r="AI1882" s="20"/>
      <c r="AJ1882" s="20"/>
      <c r="AK1882" s="20"/>
      <c r="AL1882" s="20"/>
      <c r="AM1882" s="20"/>
      <c r="AN1882" s="20"/>
      <c r="AS1882" s="11"/>
      <c r="AT1882" s="12"/>
    </row>
    <row r="1883" ht="14.25" customHeight="1">
      <c r="A1883" s="20"/>
      <c r="B1883" s="20"/>
      <c r="C1883" s="20"/>
      <c r="D1883" s="21"/>
      <c r="E1883" s="20"/>
      <c r="F1883" s="20"/>
      <c r="G1883" s="20"/>
      <c r="H1883" s="20"/>
      <c r="K1883" s="10"/>
      <c r="M1883" s="20"/>
      <c r="N1883" s="20"/>
      <c r="O1883" s="20"/>
      <c r="P1883" s="20"/>
      <c r="Q1883" s="20"/>
      <c r="R1883" s="20"/>
      <c r="S1883" s="20"/>
      <c r="T1883" s="20"/>
      <c r="U1883" s="20"/>
      <c r="V1883" s="20"/>
      <c r="W1883" s="20"/>
      <c r="X1883" s="20"/>
      <c r="Y1883" s="22"/>
      <c r="Z1883" s="22"/>
      <c r="AA1883" s="20"/>
      <c r="AB1883" s="20"/>
      <c r="AC1883" s="20"/>
      <c r="AD1883" s="20"/>
      <c r="AE1883" s="20"/>
      <c r="AF1883" s="20"/>
      <c r="AG1883" s="20"/>
      <c r="AH1883" s="20"/>
      <c r="AI1883" s="20"/>
      <c r="AJ1883" s="20"/>
      <c r="AK1883" s="20"/>
      <c r="AL1883" s="20"/>
      <c r="AM1883" s="20"/>
      <c r="AN1883" s="20"/>
      <c r="AS1883" s="11"/>
      <c r="AT1883" s="12"/>
    </row>
    <row r="1884" ht="14.25" customHeight="1">
      <c r="A1884" s="20"/>
      <c r="B1884" s="20"/>
      <c r="C1884" s="20"/>
      <c r="D1884" s="21"/>
      <c r="E1884" s="20"/>
      <c r="F1884" s="20"/>
      <c r="G1884" s="20"/>
      <c r="H1884" s="20"/>
      <c r="K1884" s="10"/>
      <c r="M1884" s="20"/>
      <c r="N1884" s="20"/>
      <c r="O1884" s="20"/>
      <c r="P1884" s="20"/>
      <c r="Q1884" s="20"/>
      <c r="R1884" s="20"/>
      <c r="S1884" s="20"/>
      <c r="T1884" s="20"/>
      <c r="U1884" s="20"/>
      <c r="V1884" s="20"/>
      <c r="W1884" s="20"/>
      <c r="X1884" s="20"/>
      <c r="Y1884" s="22"/>
      <c r="Z1884" s="22"/>
      <c r="AA1884" s="20"/>
      <c r="AB1884" s="20"/>
      <c r="AC1884" s="20"/>
      <c r="AD1884" s="20"/>
      <c r="AE1884" s="20"/>
      <c r="AF1884" s="20"/>
      <c r="AG1884" s="20"/>
      <c r="AH1884" s="20"/>
      <c r="AI1884" s="20"/>
      <c r="AJ1884" s="20"/>
      <c r="AK1884" s="20"/>
      <c r="AL1884" s="20"/>
      <c r="AM1884" s="20"/>
      <c r="AN1884" s="20"/>
      <c r="AS1884" s="11"/>
      <c r="AT1884" s="12"/>
    </row>
    <row r="1885" ht="14.25" customHeight="1">
      <c r="A1885" s="20"/>
      <c r="B1885" s="20"/>
      <c r="C1885" s="20"/>
      <c r="D1885" s="21"/>
      <c r="E1885" s="20"/>
      <c r="F1885" s="20"/>
      <c r="G1885" s="20"/>
      <c r="H1885" s="20"/>
      <c r="K1885" s="10"/>
      <c r="M1885" s="20"/>
      <c r="N1885" s="20"/>
      <c r="O1885" s="20"/>
      <c r="P1885" s="20"/>
      <c r="Q1885" s="20"/>
      <c r="R1885" s="20"/>
      <c r="S1885" s="20"/>
      <c r="T1885" s="20"/>
      <c r="U1885" s="20"/>
      <c r="V1885" s="20"/>
      <c r="W1885" s="20"/>
      <c r="X1885" s="20"/>
      <c r="Y1885" s="22"/>
      <c r="Z1885" s="22"/>
      <c r="AA1885" s="20"/>
      <c r="AB1885" s="20"/>
      <c r="AC1885" s="20"/>
      <c r="AD1885" s="20"/>
      <c r="AE1885" s="20"/>
      <c r="AF1885" s="20"/>
      <c r="AG1885" s="20"/>
      <c r="AH1885" s="20"/>
      <c r="AI1885" s="20"/>
      <c r="AJ1885" s="20"/>
      <c r="AK1885" s="20"/>
      <c r="AL1885" s="20"/>
      <c r="AM1885" s="20"/>
      <c r="AN1885" s="20"/>
      <c r="AS1885" s="11"/>
      <c r="AT1885" s="12"/>
    </row>
    <row r="1886" ht="14.25" customHeight="1">
      <c r="A1886" s="20"/>
      <c r="B1886" s="20"/>
      <c r="C1886" s="20"/>
      <c r="D1886" s="21"/>
      <c r="E1886" s="20"/>
      <c r="F1886" s="20"/>
      <c r="G1886" s="20"/>
      <c r="H1886" s="20"/>
      <c r="K1886" s="10"/>
      <c r="M1886" s="20"/>
      <c r="N1886" s="20"/>
      <c r="O1886" s="20"/>
      <c r="P1886" s="20"/>
      <c r="Q1886" s="20"/>
      <c r="R1886" s="20"/>
      <c r="S1886" s="20"/>
      <c r="T1886" s="20"/>
      <c r="U1886" s="20"/>
      <c r="V1886" s="20"/>
      <c r="W1886" s="20"/>
      <c r="X1886" s="20"/>
      <c r="Y1886" s="22"/>
      <c r="Z1886" s="22"/>
      <c r="AA1886" s="20"/>
      <c r="AB1886" s="20"/>
      <c r="AC1886" s="20"/>
      <c r="AD1886" s="20"/>
      <c r="AE1886" s="20"/>
      <c r="AF1886" s="20"/>
      <c r="AG1886" s="20"/>
      <c r="AH1886" s="20"/>
      <c r="AI1886" s="20"/>
      <c r="AJ1886" s="20"/>
      <c r="AK1886" s="20"/>
      <c r="AL1886" s="20"/>
      <c r="AM1886" s="20"/>
      <c r="AN1886" s="20"/>
      <c r="AS1886" s="11"/>
      <c r="AT1886" s="12"/>
    </row>
    <row r="1887" ht="14.25" customHeight="1">
      <c r="A1887" s="20"/>
      <c r="B1887" s="20"/>
      <c r="C1887" s="20"/>
      <c r="D1887" s="21"/>
      <c r="E1887" s="20"/>
      <c r="F1887" s="20"/>
      <c r="G1887" s="20"/>
      <c r="H1887" s="20"/>
      <c r="K1887" s="10"/>
      <c r="M1887" s="20"/>
      <c r="N1887" s="20"/>
      <c r="O1887" s="20"/>
      <c r="P1887" s="20"/>
      <c r="Q1887" s="20"/>
      <c r="R1887" s="20"/>
      <c r="S1887" s="20"/>
      <c r="T1887" s="20"/>
      <c r="U1887" s="20"/>
      <c r="V1887" s="20"/>
      <c r="W1887" s="20"/>
      <c r="X1887" s="20"/>
      <c r="Y1887" s="22"/>
      <c r="Z1887" s="22"/>
      <c r="AA1887" s="20"/>
      <c r="AB1887" s="20"/>
      <c r="AC1887" s="20"/>
      <c r="AD1887" s="20"/>
      <c r="AE1887" s="20"/>
      <c r="AF1887" s="20"/>
      <c r="AG1887" s="20"/>
      <c r="AH1887" s="20"/>
      <c r="AI1887" s="20"/>
      <c r="AJ1887" s="20"/>
      <c r="AK1887" s="20"/>
      <c r="AL1887" s="20"/>
      <c r="AM1887" s="20"/>
      <c r="AN1887" s="20"/>
      <c r="AS1887" s="11"/>
      <c r="AT1887" s="12"/>
    </row>
    <row r="1888" ht="14.25" customHeight="1">
      <c r="A1888" s="20"/>
      <c r="B1888" s="20"/>
      <c r="C1888" s="20"/>
      <c r="D1888" s="21"/>
      <c r="E1888" s="20"/>
      <c r="F1888" s="20"/>
      <c r="G1888" s="20"/>
      <c r="H1888" s="20"/>
      <c r="K1888" s="10"/>
      <c r="M1888" s="20"/>
      <c r="N1888" s="20"/>
      <c r="O1888" s="20"/>
      <c r="P1888" s="20"/>
      <c r="Q1888" s="20"/>
      <c r="R1888" s="20"/>
      <c r="S1888" s="20"/>
      <c r="T1888" s="20"/>
      <c r="U1888" s="20"/>
      <c r="V1888" s="20"/>
      <c r="W1888" s="20"/>
      <c r="X1888" s="20"/>
      <c r="Y1888" s="22"/>
      <c r="Z1888" s="22"/>
      <c r="AA1888" s="20"/>
      <c r="AB1888" s="20"/>
      <c r="AC1888" s="20"/>
      <c r="AD1888" s="20"/>
      <c r="AE1888" s="20"/>
      <c r="AF1888" s="20"/>
      <c r="AG1888" s="20"/>
      <c r="AH1888" s="20"/>
      <c r="AI1888" s="20"/>
      <c r="AJ1888" s="20"/>
      <c r="AK1888" s="20"/>
      <c r="AL1888" s="20"/>
      <c r="AM1888" s="20"/>
      <c r="AN1888" s="20"/>
      <c r="AS1888" s="11"/>
      <c r="AT1888" s="12"/>
    </row>
    <row r="1889" ht="14.25" customHeight="1">
      <c r="A1889" s="20"/>
      <c r="B1889" s="20"/>
      <c r="C1889" s="20"/>
      <c r="D1889" s="21"/>
      <c r="E1889" s="20"/>
      <c r="F1889" s="20"/>
      <c r="G1889" s="20"/>
      <c r="H1889" s="20"/>
      <c r="K1889" s="10"/>
      <c r="M1889" s="20"/>
      <c r="N1889" s="20"/>
      <c r="O1889" s="20"/>
      <c r="P1889" s="20"/>
      <c r="Q1889" s="20"/>
      <c r="R1889" s="20"/>
      <c r="S1889" s="20"/>
      <c r="T1889" s="20"/>
      <c r="U1889" s="20"/>
      <c r="V1889" s="20"/>
      <c r="W1889" s="20"/>
      <c r="X1889" s="20"/>
      <c r="Y1889" s="22"/>
      <c r="Z1889" s="22"/>
      <c r="AA1889" s="20"/>
      <c r="AB1889" s="20"/>
      <c r="AC1889" s="20"/>
      <c r="AD1889" s="20"/>
      <c r="AE1889" s="20"/>
      <c r="AF1889" s="20"/>
      <c r="AG1889" s="20"/>
      <c r="AH1889" s="20"/>
      <c r="AI1889" s="20"/>
      <c r="AJ1889" s="20"/>
      <c r="AK1889" s="20"/>
      <c r="AL1889" s="20"/>
      <c r="AM1889" s="20"/>
      <c r="AN1889" s="20"/>
      <c r="AS1889" s="11"/>
      <c r="AT1889" s="12"/>
    </row>
    <row r="1890" ht="14.25" customHeight="1">
      <c r="A1890" s="20"/>
      <c r="B1890" s="20"/>
      <c r="C1890" s="20"/>
      <c r="D1890" s="21"/>
      <c r="E1890" s="20"/>
      <c r="F1890" s="20"/>
      <c r="G1890" s="20"/>
      <c r="H1890" s="20"/>
      <c r="K1890" s="10"/>
      <c r="M1890" s="20"/>
      <c r="N1890" s="20"/>
      <c r="O1890" s="20"/>
      <c r="P1890" s="20"/>
      <c r="Q1890" s="20"/>
      <c r="R1890" s="20"/>
      <c r="S1890" s="20"/>
      <c r="T1890" s="20"/>
      <c r="U1890" s="20"/>
      <c r="V1890" s="20"/>
      <c r="W1890" s="20"/>
      <c r="X1890" s="20"/>
      <c r="Y1890" s="22"/>
      <c r="Z1890" s="22"/>
      <c r="AA1890" s="20"/>
      <c r="AB1890" s="20"/>
      <c r="AC1890" s="20"/>
      <c r="AD1890" s="20"/>
      <c r="AE1890" s="20"/>
      <c r="AF1890" s="20"/>
      <c r="AG1890" s="20"/>
      <c r="AH1890" s="20"/>
      <c r="AI1890" s="20"/>
      <c r="AJ1890" s="20"/>
      <c r="AK1890" s="20"/>
      <c r="AL1890" s="20"/>
      <c r="AM1890" s="20"/>
      <c r="AN1890" s="20"/>
      <c r="AS1890" s="11"/>
      <c r="AT1890" s="12"/>
    </row>
    <row r="1891" ht="14.25" customHeight="1">
      <c r="A1891" s="20"/>
      <c r="B1891" s="20"/>
      <c r="C1891" s="20"/>
      <c r="D1891" s="21"/>
      <c r="E1891" s="20"/>
      <c r="F1891" s="20"/>
      <c r="G1891" s="20"/>
      <c r="H1891" s="20"/>
      <c r="K1891" s="10"/>
      <c r="M1891" s="20"/>
      <c r="N1891" s="20"/>
      <c r="O1891" s="20"/>
      <c r="P1891" s="20"/>
      <c r="Q1891" s="20"/>
      <c r="R1891" s="20"/>
      <c r="S1891" s="20"/>
      <c r="T1891" s="20"/>
      <c r="U1891" s="20"/>
      <c r="V1891" s="20"/>
      <c r="W1891" s="20"/>
      <c r="X1891" s="20"/>
      <c r="Y1891" s="22"/>
      <c r="Z1891" s="22"/>
      <c r="AA1891" s="20"/>
      <c r="AB1891" s="20"/>
      <c r="AC1891" s="20"/>
      <c r="AD1891" s="20"/>
      <c r="AE1891" s="20"/>
      <c r="AF1891" s="20"/>
      <c r="AG1891" s="20"/>
      <c r="AH1891" s="20"/>
      <c r="AI1891" s="20"/>
      <c r="AJ1891" s="20"/>
      <c r="AK1891" s="20"/>
      <c r="AL1891" s="20"/>
      <c r="AM1891" s="20"/>
      <c r="AN1891" s="20"/>
      <c r="AS1891" s="11"/>
      <c r="AT1891" s="12"/>
    </row>
    <row r="1892" ht="14.25" customHeight="1">
      <c r="A1892" s="20"/>
      <c r="B1892" s="20"/>
      <c r="C1892" s="20"/>
      <c r="D1892" s="21"/>
      <c r="E1892" s="20"/>
      <c r="F1892" s="20"/>
      <c r="G1892" s="20"/>
      <c r="H1892" s="20"/>
      <c r="K1892" s="10"/>
      <c r="M1892" s="20"/>
      <c r="N1892" s="20"/>
      <c r="O1892" s="20"/>
      <c r="P1892" s="20"/>
      <c r="Q1892" s="20"/>
      <c r="R1892" s="20"/>
      <c r="S1892" s="20"/>
      <c r="T1892" s="20"/>
      <c r="U1892" s="20"/>
      <c r="V1892" s="20"/>
      <c r="W1892" s="20"/>
      <c r="X1892" s="20"/>
      <c r="Y1892" s="22"/>
      <c r="Z1892" s="22"/>
      <c r="AA1892" s="20"/>
      <c r="AB1892" s="20"/>
      <c r="AC1892" s="20"/>
      <c r="AD1892" s="20"/>
      <c r="AE1892" s="20"/>
      <c r="AF1892" s="20"/>
      <c r="AG1892" s="20"/>
      <c r="AH1892" s="20"/>
      <c r="AI1892" s="20"/>
      <c r="AJ1892" s="20"/>
      <c r="AK1892" s="20"/>
      <c r="AL1892" s="20"/>
      <c r="AM1892" s="20"/>
      <c r="AN1892" s="20"/>
      <c r="AS1892" s="11"/>
      <c r="AT1892" s="12"/>
    </row>
    <row r="1893" ht="14.25" customHeight="1">
      <c r="A1893" s="20"/>
      <c r="B1893" s="20"/>
      <c r="C1893" s="20"/>
      <c r="D1893" s="21"/>
      <c r="E1893" s="20"/>
      <c r="F1893" s="20"/>
      <c r="G1893" s="20"/>
      <c r="H1893" s="20"/>
      <c r="K1893" s="1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2"/>
      <c r="Z1893" s="22"/>
      <c r="AA1893" s="20"/>
      <c r="AB1893" s="20"/>
      <c r="AC1893" s="20"/>
      <c r="AD1893" s="20"/>
      <c r="AE1893" s="20"/>
      <c r="AF1893" s="20"/>
      <c r="AG1893" s="20"/>
      <c r="AH1893" s="20"/>
      <c r="AI1893" s="20"/>
      <c r="AJ1893" s="20"/>
      <c r="AK1893" s="20"/>
      <c r="AL1893" s="20"/>
      <c r="AM1893" s="20"/>
      <c r="AN1893" s="20"/>
      <c r="AS1893" s="11"/>
      <c r="AT1893" s="12"/>
    </row>
    <row r="1894" ht="14.25" customHeight="1">
      <c r="A1894" s="20"/>
      <c r="B1894" s="20"/>
      <c r="C1894" s="20"/>
      <c r="D1894" s="21"/>
      <c r="E1894" s="20"/>
      <c r="F1894" s="20"/>
      <c r="G1894" s="20"/>
      <c r="H1894" s="20"/>
      <c r="K1894" s="10"/>
      <c r="M1894" s="20"/>
      <c r="N1894" s="20"/>
      <c r="O1894" s="20"/>
      <c r="P1894" s="20"/>
      <c r="Q1894" s="20"/>
      <c r="R1894" s="20"/>
      <c r="S1894" s="20"/>
      <c r="T1894" s="20"/>
      <c r="U1894" s="20"/>
      <c r="V1894" s="20"/>
      <c r="W1894" s="20"/>
      <c r="X1894" s="20"/>
      <c r="Y1894" s="22"/>
      <c r="Z1894" s="22"/>
      <c r="AA1894" s="20"/>
      <c r="AB1894" s="20"/>
      <c r="AC1894" s="20"/>
      <c r="AD1894" s="20"/>
      <c r="AE1894" s="20"/>
      <c r="AF1894" s="20"/>
      <c r="AG1894" s="20"/>
      <c r="AH1894" s="20"/>
      <c r="AI1894" s="20"/>
      <c r="AJ1894" s="20"/>
      <c r="AK1894" s="20"/>
      <c r="AL1894" s="20"/>
      <c r="AM1894" s="20"/>
      <c r="AN1894" s="20"/>
      <c r="AS1894" s="11"/>
      <c r="AT1894" s="12"/>
    </row>
    <row r="1895" ht="14.25" customHeight="1">
      <c r="A1895" s="20"/>
      <c r="B1895" s="20"/>
      <c r="C1895" s="20"/>
      <c r="D1895" s="21"/>
      <c r="E1895" s="20"/>
      <c r="F1895" s="20"/>
      <c r="G1895" s="20"/>
      <c r="H1895" s="20"/>
      <c r="K1895" s="10"/>
      <c r="M1895" s="20"/>
      <c r="N1895" s="20"/>
      <c r="O1895" s="20"/>
      <c r="P1895" s="20"/>
      <c r="Q1895" s="20"/>
      <c r="R1895" s="20"/>
      <c r="S1895" s="20"/>
      <c r="T1895" s="20"/>
      <c r="U1895" s="20"/>
      <c r="V1895" s="20"/>
      <c r="W1895" s="20"/>
      <c r="X1895" s="20"/>
      <c r="Y1895" s="22"/>
      <c r="Z1895" s="22"/>
      <c r="AA1895" s="20"/>
      <c r="AB1895" s="20"/>
      <c r="AC1895" s="20"/>
      <c r="AD1895" s="20"/>
      <c r="AE1895" s="20"/>
      <c r="AF1895" s="20"/>
      <c r="AG1895" s="20"/>
      <c r="AH1895" s="20"/>
      <c r="AI1895" s="20"/>
      <c r="AJ1895" s="20"/>
      <c r="AK1895" s="20"/>
      <c r="AL1895" s="20"/>
      <c r="AM1895" s="20"/>
      <c r="AN1895" s="20"/>
      <c r="AS1895" s="11"/>
      <c r="AT1895" s="12"/>
    </row>
    <row r="1896" ht="14.25" customHeight="1">
      <c r="A1896" s="20"/>
      <c r="B1896" s="20"/>
      <c r="C1896" s="20"/>
      <c r="D1896" s="21"/>
      <c r="E1896" s="20"/>
      <c r="F1896" s="20"/>
      <c r="G1896" s="20"/>
      <c r="H1896" s="20"/>
      <c r="K1896" s="1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2"/>
      <c r="Z1896" s="22"/>
      <c r="AA1896" s="20"/>
      <c r="AB1896" s="20"/>
      <c r="AC1896" s="20"/>
      <c r="AD1896" s="20"/>
      <c r="AE1896" s="20"/>
      <c r="AF1896" s="20"/>
      <c r="AG1896" s="20"/>
      <c r="AH1896" s="20"/>
      <c r="AI1896" s="20"/>
      <c r="AJ1896" s="20"/>
      <c r="AK1896" s="20"/>
      <c r="AL1896" s="20"/>
      <c r="AM1896" s="20"/>
      <c r="AN1896" s="20"/>
      <c r="AS1896" s="11"/>
      <c r="AT1896" s="12"/>
    </row>
    <row r="1897" ht="14.25" customHeight="1">
      <c r="A1897" s="20"/>
      <c r="B1897" s="20"/>
      <c r="C1897" s="20"/>
      <c r="D1897" s="21"/>
      <c r="E1897" s="20"/>
      <c r="F1897" s="20"/>
      <c r="G1897" s="20"/>
      <c r="H1897" s="20"/>
      <c r="K1897" s="10"/>
      <c r="M1897" s="20"/>
      <c r="N1897" s="20"/>
      <c r="O1897" s="20"/>
      <c r="P1897" s="20"/>
      <c r="Q1897" s="20"/>
      <c r="R1897" s="20"/>
      <c r="S1897" s="20"/>
      <c r="T1897" s="20"/>
      <c r="U1897" s="20"/>
      <c r="V1897" s="20"/>
      <c r="W1897" s="20"/>
      <c r="X1897" s="20"/>
      <c r="Y1897" s="22"/>
      <c r="Z1897" s="22"/>
      <c r="AA1897" s="20"/>
      <c r="AB1897" s="20"/>
      <c r="AC1897" s="20"/>
      <c r="AD1897" s="20"/>
      <c r="AE1897" s="20"/>
      <c r="AF1897" s="20"/>
      <c r="AG1897" s="20"/>
      <c r="AH1897" s="20"/>
      <c r="AI1897" s="20"/>
      <c r="AJ1897" s="20"/>
      <c r="AK1897" s="20"/>
      <c r="AL1897" s="20"/>
      <c r="AM1897" s="20"/>
      <c r="AN1897" s="20"/>
      <c r="AS1897" s="11"/>
      <c r="AT1897" s="12"/>
    </row>
    <row r="1898" ht="14.25" customHeight="1">
      <c r="A1898" s="20"/>
      <c r="B1898" s="20"/>
      <c r="C1898" s="20"/>
      <c r="D1898" s="21"/>
      <c r="E1898" s="20"/>
      <c r="F1898" s="20"/>
      <c r="G1898" s="20"/>
      <c r="H1898" s="20"/>
      <c r="K1898" s="10"/>
      <c r="M1898" s="20"/>
      <c r="N1898" s="20"/>
      <c r="O1898" s="20"/>
      <c r="P1898" s="20"/>
      <c r="Q1898" s="20"/>
      <c r="R1898" s="20"/>
      <c r="S1898" s="20"/>
      <c r="T1898" s="20"/>
      <c r="U1898" s="20"/>
      <c r="V1898" s="20"/>
      <c r="W1898" s="20"/>
      <c r="X1898" s="20"/>
      <c r="Y1898" s="22"/>
      <c r="Z1898" s="22"/>
      <c r="AA1898" s="20"/>
      <c r="AB1898" s="20"/>
      <c r="AC1898" s="20"/>
      <c r="AD1898" s="20"/>
      <c r="AE1898" s="20"/>
      <c r="AF1898" s="20"/>
      <c r="AG1898" s="20"/>
      <c r="AH1898" s="20"/>
      <c r="AI1898" s="20"/>
      <c r="AJ1898" s="20"/>
      <c r="AK1898" s="20"/>
      <c r="AL1898" s="20"/>
      <c r="AM1898" s="20"/>
      <c r="AN1898" s="20"/>
      <c r="AS1898" s="11"/>
      <c r="AT1898" s="12"/>
    </row>
    <row r="1899" ht="14.25" customHeight="1">
      <c r="A1899" s="20"/>
      <c r="B1899" s="20"/>
      <c r="C1899" s="20"/>
      <c r="D1899" s="21"/>
      <c r="E1899" s="20"/>
      <c r="F1899" s="20"/>
      <c r="G1899" s="20"/>
      <c r="H1899" s="20"/>
      <c r="K1899" s="10"/>
      <c r="M1899" s="20"/>
      <c r="N1899" s="20"/>
      <c r="O1899" s="20"/>
      <c r="P1899" s="20"/>
      <c r="Q1899" s="20"/>
      <c r="R1899" s="20"/>
      <c r="S1899" s="20"/>
      <c r="T1899" s="20"/>
      <c r="U1899" s="20"/>
      <c r="V1899" s="20"/>
      <c r="W1899" s="20"/>
      <c r="X1899" s="20"/>
      <c r="Y1899" s="22"/>
      <c r="Z1899" s="22"/>
      <c r="AA1899" s="20"/>
      <c r="AB1899" s="20"/>
      <c r="AC1899" s="20"/>
      <c r="AD1899" s="20"/>
      <c r="AE1899" s="20"/>
      <c r="AF1899" s="20"/>
      <c r="AG1899" s="20"/>
      <c r="AH1899" s="20"/>
      <c r="AI1899" s="20"/>
      <c r="AJ1899" s="20"/>
      <c r="AK1899" s="20"/>
      <c r="AL1899" s="20"/>
      <c r="AM1899" s="20"/>
      <c r="AN1899" s="20"/>
      <c r="AS1899" s="11"/>
      <c r="AT1899" s="12"/>
    </row>
    <row r="1900" ht="14.25" customHeight="1">
      <c r="A1900" s="20"/>
      <c r="B1900" s="20"/>
      <c r="C1900" s="20"/>
      <c r="D1900" s="21"/>
      <c r="E1900" s="20"/>
      <c r="F1900" s="20"/>
      <c r="G1900" s="20"/>
      <c r="H1900" s="20"/>
      <c r="K1900" s="10"/>
      <c r="M1900" s="20"/>
      <c r="N1900" s="20"/>
      <c r="O1900" s="20"/>
      <c r="P1900" s="20"/>
      <c r="Q1900" s="20"/>
      <c r="R1900" s="20"/>
      <c r="S1900" s="20"/>
      <c r="T1900" s="20"/>
      <c r="U1900" s="20"/>
      <c r="V1900" s="20"/>
      <c r="W1900" s="20"/>
      <c r="X1900" s="20"/>
      <c r="Y1900" s="22"/>
      <c r="Z1900" s="22"/>
      <c r="AA1900" s="20"/>
      <c r="AB1900" s="20"/>
      <c r="AC1900" s="20"/>
      <c r="AD1900" s="20"/>
      <c r="AE1900" s="20"/>
      <c r="AF1900" s="20"/>
      <c r="AG1900" s="20"/>
      <c r="AH1900" s="20"/>
      <c r="AI1900" s="20"/>
      <c r="AJ1900" s="20"/>
      <c r="AK1900" s="20"/>
      <c r="AL1900" s="20"/>
      <c r="AM1900" s="20"/>
      <c r="AN1900" s="20"/>
      <c r="AS1900" s="11"/>
      <c r="AT1900" s="12"/>
    </row>
    <row r="1901" ht="14.25" customHeight="1">
      <c r="A1901" s="20"/>
      <c r="B1901" s="20"/>
      <c r="C1901" s="20"/>
      <c r="D1901" s="21"/>
      <c r="E1901" s="20"/>
      <c r="F1901" s="20"/>
      <c r="G1901" s="20"/>
      <c r="H1901" s="20"/>
      <c r="K1901" s="10"/>
      <c r="M1901" s="20"/>
      <c r="N1901" s="20"/>
      <c r="O1901" s="20"/>
      <c r="P1901" s="20"/>
      <c r="Q1901" s="20"/>
      <c r="R1901" s="20"/>
      <c r="S1901" s="20"/>
      <c r="T1901" s="20"/>
      <c r="U1901" s="20"/>
      <c r="V1901" s="20"/>
      <c r="W1901" s="20"/>
      <c r="X1901" s="20"/>
      <c r="Y1901" s="22"/>
      <c r="Z1901" s="22"/>
      <c r="AA1901" s="20"/>
      <c r="AB1901" s="20"/>
      <c r="AC1901" s="20"/>
      <c r="AD1901" s="20"/>
      <c r="AE1901" s="20"/>
      <c r="AF1901" s="20"/>
      <c r="AG1901" s="20"/>
      <c r="AH1901" s="20"/>
      <c r="AI1901" s="20"/>
      <c r="AJ1901" s="20"/>
      <c r="AK1901" s="20"/>
      <c r="AL1901" s="20"/>
      <c r="AM1901" s="20"/>
      <c r="AN1901" s="20"/>
      <c r="AS1901" s="11"/>
      <c r="AT1901" s="12"/>
    </row>
    <row r="1902" ht="14.25" customHeight="1">
      <c r="A1902" s="20"/>
      <c r="B1902" s="20"/>
      <c r="C1902" s="20"/>
      <c r="D1902" s="21"/>
      <c r="E1902" s="20"/>
      <c r="F1902" s="20"/>
      <c r="G1902" s="20"/>
      <c r="H1902" s="20"/>
      <c r="K1902" s="10"/>
      <c r="M1902" s="20"/>
      <c r="N1902" s="20"/>
      <c r="O1902" s="20"/>
      <c r="P1902" s="20"/>
      <c r="Q1902" s="20"/>
      <c r="R1902" s="20"/>
      <c r="S1902" s="20"/>
      <c r="T1902" s="20"/>
      <c r="U1902" s="20"/>
      <c r="V1902" s="20"/>
      <c r="W1902" s="20"/>
      <c r="X1902" s="20"/>
      <c r="Y1902" s="22"/>
      <c r="Z1902" s="22"/>
      <c r="AA1902" s="20"/>
      <c r="AB1902" s="20"/>
      <c r="AC1902" s="20"/>
      <c r="AD1902" s="20"/>
      <c r="AE1902" s="20"/>
      <c r="AF1902" s="20"/>
      <c r="AG1902" s="20"/>
      <c r="AH1902" s="20"/>
      <c r="AI1902" s="20"/>
      <c r="AJ1902" s="20"/>
      <c r="AK1902" s="20"/>
      <c r="AL1902" s="20"/>
      <c r="AM1902" s="20"/>
      <c r="AN1902" s="20"/>
      <c r="AS1902" s="11"/>
      <c r="AT1902" s="12"/>
    </row>
    <row r="1903" ht="14.25" customHeight="1">
      <c r="A1903" s="20"/>
      <c r="B1903" s="20"/>
      <c r="C1903" s="20"/>
      <c r="D1903" s="21"/>
      <c r="E1903" s="20"/>
      <c r="F1903" s="20"/>
      <c r="G1903" s="20"/>
      <c r="H1903" s="20"/>
      <c r="K1903" s="10"/>
      <c r="M1903" s="20"/>
      <c r="N1903" s="20"/>
      <c r="O1903" s="20"/>
      <c r="P1903" s="20"/>
      <c r="Q1903" s="20"/>
      <c r="R1903" s="20"/>
      <c r="S1903" s="20"/>
      <c r="T1903" s="20"/>
      <c r="U1903" s="20"/>
      <c r="V1903" s="20"/>
      <c r="W1903" s="20"/>
      <c r="X1903" s="20"/>
      <c r="Y1903" s="22"/>
      <c r="Z1903" s="22"/>
      <c r="AA1903" s="20"/>
      <c r="AB1903" s="20"/>
      <c r="AC1903" s="20"/>
      <c r="AD1903" s="20"/>
      <c r="AE1903" s="20"/>
      <c r="AF1903" s="20"/>
      <c r="AG1903" s="20"/>
      <c r="AH1903" s="20"/>
      <c r="AI1903" s="20"/>
      <c r="AJ1903" s="20"/>
      <c r="AK1903" s="20"/>
      <c r="AL1903" s="20"/>
      <c r="AM1903" s="20"/>
      <c r="AN1903" s="20"/>
      <c r="AS1903" s="11"/>
      <c r="AT1903" s="12"/>
    </row>
    <row r="1904" ht="14.25" customHeight="1">
      <c r="A1904" s="20"/>
      <c r="B1904" s="20"/>
      <c r="C1904" s="20"/>
      <c r="D1904" s="21"/>
      <c r="E1904" s="20"/>
      <c r="F1904" s="20"/>
      <c r="G1904" s="20"/>
      <c r="H1904" s="20"/>
      <c r="K1904" s="10"/>
      <c r="M1904" s="20"/>
      <c r="N1904" s="20"/>
      <c r="O1904" s="20"/>
      <c r="P1904" s="20"/>
      <c r="Q1904" s="20"/>
      <c r="R1904" s="20"/>
      <c r="S1904" s="20"/>
      <c r="T1904" s="20"/>
      <c r="U1904" s="20"/>
      <c r="V1904" s="20"/>
      <c r="W1904" s="20"/>
      <c r="X1904" s="20"/>
      <c r="Y1904" s="22"/>
      <c r="Z1904" s="22"/>
      <c r="AA1904" s="20"/>
      <c r="AB1904" s="20"/>
      <c r="AC1904" s="20"/>
      <c r="AD1904" s="20"/>
      <c r="AE1904" s="20"/>
      <c r="AF1904" s="20"/>
      <c r="AG1904" s="20"/>
      <c r="AH1904" s="20"/>
      <c r="AI1904" s="20"/>
      <c r="AJ1904" s="20"/>
      <c r="AK1904" s="20"/>
      <c r="AL1904" s="20"/>
      <c r="AM1904" s="20"/>
      <c r="AN1904" s="20"/>
      <c r="AS1904" s="11"/>
      <c r="AT1904" s="12"/>
    </row>
    <row r="1905" ht="14.25" customHeight="1">
      <c r="A1905" s="20"/>
      <c r="B1905" s="20"/>
      <c r="C1905" s="20"/>
      <c r="D1905" s="21"/>
      <c r="E1905" s="20"/>
      <c r="F1905" s="20"/>
      <c r="G1905" s="20"/>
      <c r="H1905" s="20"/>
      <c r="K1905" s="10"/>
      <c r="M1905" s="20"/>
      <c r="N1905" s="20"/>
      <c r="O1905" s="20"/>
      <c r="P1905" s="20"/>
      <c r="Q1905" s="20"/>
      <c r="R1905" s="20"/>
      <c r="S1905" s="20"/>
      <c r="T1905" s="20"/>
      <c r="U1905" s="20"/>
      <c r="V1905" s="20"/>
      <c r="W1905" s="20"/>
      <c r="X1905" s="20"/>
      <c r="Y1905" s="22"/>
      <c r="Z1905" s="22"/>
      <c r="AA1905" s="20"/>
      <c r="AB1905" s="20"/>
      <c r="AC1905" s="20"/>
      <c r="AD1905" s="20"/>
      <c r="AE1905" s="20"/>
      <c r="AF1905" s="20"/>
      <c r="AG1905" s="20"/>
      <c r="AH1905" s="20"/>
      <c r="AI1905" s="20"/>
      <c r="AJ1905" s="20"/>
      <c r="AK1905" s="20"/>
      <c r="AL1905" s="20"/>
      <c r="AM1905" s="20"/>
      <c r="AN1905" s="20"/>
      <c r="AS1905" s="11"/>
      <c r="AT1905" s="12"/>
    </row>
    <row r="1906" ht="14.25" customHeight="1">
      <c r="A1906" s="20"/>
      <c r="B1906" s="20"/>
      <c r="C1906" s="20"/>
      <c r="D1906" s="21"/>
      <c r="E1906" s="20"/>
      <c r="F1906" s="20"/>
      <c r="G1906" s="20"/>
      <c r="H1906" s="20"/>
      <c r="K1906" s="10"/>
      <c r="M1906" s="20"/>
      <c r="N1906" s="20"/>
      <c r="O1906" s="20"/>
      <c r="P1906" s="20"/>
      <c r="Q1906" s="20"/>
      <c r="R1906" s="20"/>
      <c r="S1906" s="20"/>
      <c r="T1906" s="20"/>
      <c r="U1906" s="20"/>
      <c r="V1906" s="20"/>
      <c r="W1906" s="20"/>
      <c r="X1906" s="20"/>
      <c r="Y1906" s="22"/>
      <c r="Z1906" s="22"/>
      <c r="AA1906" s="20"/>
      <c r="AB1906" s="20"/>
      <c r="AC1906" s="20"/>
      <c r="AD1906" s="20"/>
      <c r="AE1906" s="20"/>
      <c r="AF1906" s="20"/>
      <c r="AG1906" s="20"/>
      <c r="AH1906" s="20"/>
      <c r="AI1906" s="20"/>
      <c r="AJ1906" s="20"/>
      <c r="AK1906" s="20"/>
      <c r="AL1906" s="20"/>
      <c r="AM1906" s="20"/>
      <c r="AN1906" s="20"/>
      <c r="AS1906" s="11"/>
      <c r="AT1906" s="12"/>
    </row>
    <row r="1907" ht="14.25" customHeight="1">
      <c r="A1907" s="20"/>
      <c r="B1907" s="20"/>
      <c r="C1907" s="20"/>
      <c r="D1907" s="21"/>
      <c r="E1907" s="20"/>
      <c r="F1907" s="20"/>
      <c r="G1907" s="20"/>
      <c r="H1907" s="20"/>
      <c r="K1907" s="10"/>
      <c r="M1907" s="20"/>
      <c r="N1907" s="20"/>
      <c r="O1907" s="20"/>
      <c r="P1907" s="20"/>
      <c r="Q1907" s="20"/>
      <c r="R1907" s="20"/>
      <c r="S1907" s="20"/>
      <c r="T1907" s="20"/>
      <c r="U1907" s="20"/>
      <c r="V1907" s="20"/>
      <c r="W1907" s="20"/>
      <c r="X1907" s="20"/>
      <c r="Y1907" s="22"/>
      <c r="Z1907" s="22"/>
      <c r="AA1907" s="20"/>
      <c r="AB1907" s="20"/>
      <c r="AC1907" s="20"/>
      <c r="AD1907" s="20"/>
      <c r="AE1907" s="20"/>
      <c r="AF1907" s="20"/>
      <c r="AG1907" s="20"/>
      <c r="AH1907" s="20"/>
      <c r="AI1907" s="20"/>
      <c r="AJ1907" s="20"/>
      <c r="AK1907" s="20"/>
      <c r="AL1907" s="20"/>
      <c r="AM1907" s="20"/>
      <c r="AN1907" s="20"/>
      <c r="AS1907" s="11"/>
      <c r="AT1907" s="12"/>
    </row>
    <row r="1908" ht="14.25" customHeight="1">
      <c r="A1908" s="20"/>
      <c r="B1908" s="20"/>
      <c r="C1908" s="20"/>
      <c r="D1908" s="21"/>
      <c r="E1908" s="20"/>
      <c r="F1908" s="20"/>
      <c r="G1908" s="20"/>
      <c r="H1908" s="20"/>
      <c r="K1908" s="10"/>
      <c r="M1908" s="20"/>
      <c r="N1908" s="20"/>
      <c r="O1908" s="20"/>
      <c r="P1908" s="20"/>
      <c r="Q1908" s="20"/>
      <c r="R1908" s="20"/>
      <c r="S1908" s="20"/>
      <c r="T1908" s="20"/>
      <c r="U1908" s="20"/>
      <c r="V1908" s="20"/>
      <c r="W1908" s="20"/>
      <c r="X1908" s="20"/>
      <c r="Y1908" s="22"/>
      <c r="Z1908" s="22"/>
      <c r="AA1908" s="20"/>
      <c r="AB1908" s="20"/>
      <c r="AC1908" s="20"/>
      <c r="AD1908" s="20"/>
      <c r="AE1908" s="20"/>
      <c r="AF1908" s="20"/>
      <c r="AG1908" s="20"/>
      <c r="AH1908" s="20"/>
      <c r="AI1908" s="20"/>
      <c r="AJ1908" s="20"/>
      <c r="AK1908" s="20"/>
      <c r="AL1908" s="20"/>
      <c r="AM1908" s="20"/>
      <c r="AN1908" s="20"/>
      <c r="AS1908" s="11"/>
      <c r="AT1908" s="12"/>
    </row>
    <row r="1909" ht="14.25" customHeight="1">
      <c r="A1909" s="20"/>
      <c r="B1909" s="20"/>
      <c r="C1909" s="20"/>
      <c r="D1909" s="21"/>
      <c r="E1909" s="20"/>
      <c r="F1909" s="20"/>
      <c r="G1909" s="20"/>
      <c r="H1909" s="20"/>
      <c r="K1909" s="10"/>
      <c r="M1909" s="20"/>
      <c r="N1909" s="20"/>
      <c r="O1909" s="20"/>
      <c r="P1909" s="20"/>
      <c r="Q1909" s="20"/>
      <c r="R1909" s="20"/>
      <c r="S1909" s="20"/>
      <c r="T1909" s="20"/>
      <c r="U1909" s="20"/>
      <c r="V1909" s="20"/>
      <c r="W1909" s="20"/>
      <c r="X1909" s="20"/>
      <c r="Y1909" s="22"/>
      <c r="Z1909" s="22"/>
      <c r="AA1909" s="20"/>
      <c r="AB1909" s="20"/>
      <c r="AC1909" s="20"/>
      <c r="AD1909" s="20"/>
      <c r="AE1909" s="20"/>
      <c r="AF1909" s="20"/>
      <c r="AG1909" s="20"/>
      <c r="AH1909" s="20"/>
      <c r="AI1909" s="20"/>
      <c r="AJ1909" s="20"/>
      <c r="AK1909" s="20"/>
      <c r="AL1909" s="20"/>
      <c r="AM1909" s="20"/>
      <c r="AN1909" s="20"/>
      <c r="AS1909" s="11"/>
      <c r="AT1909" s="12"/>
    </row>
    <row r="1910" ht="14.25" customHeight="1">
      <c r="A1910" s="20"/>
      <c r="B1910" s="20"/>
      <c r="C1910" s="20"/>
      <c r="D1910" s="21"/>
      <c r="E1910" s="20"/>
      <c r="F1910" s="20"/>
      <c r="G1910" s="20"/>
      <c r="H1910" s="20"/>
      <c r="K1910" s="10"/>
      <c r="M1910" s="20"/>
      <c r="N1910" s="20"/>
      <c r="O1910" s="20"/>
      <c r="P1910" s="20"/>
      <c r="Q1910" s="20"/>
      <c r="R1910" s="20"/>
      <c r="S1910" s="20"/>
      <c r="T1910" s="20"/>
      <c r="U1910" s="20"/>
      <c r="V1910" s="20"/>
      <c r="W1910" s="20"/>
      <c r="X1910" s="20"/>
      <c r="Y1910" s="22"/>
      <c r="Z1910" s="22"/>
      <c r="AA1910" s="20"/>
      <c r="AB1910" s="20"/>
      <c r="AC1910" s="20"/>
      <c r="AD1910" s="20"/>
      <c r="AE1910" s="20"/>
      <c r="AF1910" s="20"/>
      <c r="AG1910" s="20"/>
      <c r="AH1910" s="20"/>
      <c r="AI1910" s="20"/>
      <c r="AJ1910" s="20"/>
      <c r="AK1910" s="20"/>
      <c r="AL1910" s="20"/>
      <c r="AM1910" s="20"/>
      <c r="AN1910" s="20"/>
      <c r="AS1910" s="11"/>
      <c r="AT1910" s="12"/>
    </row>
    <row r="1911" ht="14.25" customHeight="1">
      <c r="A1911" s="20"/>
      <c r="B1911" s="20"/>
      <c r="C1911" s="20"/>
      <c r="D1911" s="21"/>
      <c r="E1911" s="20"/>
      <c r="F1911" s="20"/>
      <c r="G1911" s="20"/>
      <c r="H1911" s="20"/>
      <c r="K1911" s="10"/>
      <c r="M1911" s="20"/>
      <c r="N1911" s="20"/>
      <c r="O1911" s="20"/>
      <c r="P1911" s="20"/>
      <c r="Q1911" s="20"/>
      <c r="R1911" s="20"/>
      <c r="S1911" s="20"/>
      <c r="T1911" s="20"/>
      <c r="U1911" s="20"/>
      <c r="V1911" s="20"/>
      <c r="W1911" s="20"/>
      <c r="X1911" s="20"/>
      <c r="Y1911" s="22"/>
      <c r="Z1911" s="22"/>
      <c r="AA1911" s="20"/>
      <c r="AB1911" s="20"/>
      <c r="AC1911" s="20"/>
      <c r="AD1911" s="20"/>
      <c r="AE1911" s="20"/>
      <c r="AF1911" s="20"/>
      <c r="AG1911" s="20"/>
      <c r="AH1911" s="20"/>
      <c r="AI1911" s="20"/>
      <c r="AJ1911" s="20"/>
      <c r="AK1911" s="20"/>
      <c r="AL1911" s="20"/>
      <c r="AM1911" s="20"/>
      <c r="AN1911" s="20"/>
      <c r="AS1911" s="11"/>
      <c r="AT1911" s="12"/>
    </row>
    <row r="1912" ht="14.25" customHeight="1">
      <c r="A1912" s="20"/>
      <c r="B1912" s="20"/>
      <c r="C1912" s="20"/>
      <c r="D1912" s="21"/>
      <c r="E1912" s="20"/>
      <c r="F1912" s="20"/>
      <c r="G1912" s="20"/>
      <c r="H1912" s="20"/>
      <c r="K1912" s="10"/>
      <c r="M1912" s="20"/>
      <c r="N1912" s="20"/>
      <c r="O1912" s="20"/>
      <c r="P1912" s="20"/>
      <c r="Q1912" s="20"/>
      <c r="R1912" s="20"/>
      <c r="S1912" s="20"/>
      <c r="T1912" s="20"/>
      <c r="U1912" s="20"/>
      <c r="V1912" s="20"/>
      <c r="W1912" s="20"/>
      <c r="X1912" s="20"/>
      <c r="Y1912" s="22"/>
      <c r="Z1912" s="22"/>
      <c r="AA1912" s="20"/>
      <c r="AB1912" s="20"/>
      <c r="AC1912" s="20"/>
      <c r="AD1912" s="20"/>
      <c r="AE1912" s="20"/>
      <c r="AF1912" s="20"/>
      <c r="AG1912" s="20"/>
      <c r="AH1912" s="20"/>
      <c r="AI1912" s="20"/>
      <c r="AJ1912" s="20"/>
      <c r="AK1912" s="20"/>
      <c r="AL1912" s="20"/>
      <c r="AM1912" s="20"/>
      <c r="AN1912" s="20"/>
      <c r="AS1912" s="11"/>
      <c r="AT1912" s="12"/>
    </row>
    <row r="1913" ht="14.25" customHeight="1">
      <c r="A1913" s="20"/>
      <c r="B1913" s="20"/>
      <c r="C1913" s="20"/>
      <c r="D1913" s="21"/>
      <c r="E1913" s="20"/>
      <c r="F1913" s="20"/>
      <c r="G1913" s="20"/>
      <c r="H1913" s="20"/>
      <c r="K1913" s="10"/>
      <c r="M1913" s="20"/>
      <c r="N1913" s="20"/>
      <c r="O1913" s="20"/>
      <c r="P1913" s="20"/>
      <c r="Q1913" s="20"/>
      <c r="R1913" s="20"/>
      <c r="S1913" s="20"/>
      <c r="T1913" s="20"/>
      <c r="U1913" s="20"/>
      <c r="V1913" s="20"/>
      <c r="W1913" s="20"/>
      <c r="X1913" s="20"/>
      <c r="Y1913" s="22"/>
      <c r="Z1913" s="22"/>
      <c r="AA1913" s="20"/>
      <c r="AB1913" s="20"/>
      <c r="AC1913" s="20"/>
      <c r="AD1913" s="20"/>
      <c r="AE1913" s="20"/>
      <c r="AF1913" s="20"/>
      <c r="AG1913" s="20"/>
      <c r="AH1913" s="20"/>
      <c r="AI1913" s="20"/>
      <c r="AJ1913" s="20"/>
      <c r="AK1913" s="20"/>
      <c r="AL1913" s="20"/>
      <c r="AM1913" s="20"/>
      <c r="AN1913" s="20"/>
      <c r="AS1913" s="11"/>
      <c r="AT1913" s="12"/>
    </row>
    <row r="1914" ht="14.25" customHeight="1">
      <c r="A1914" s="20"/>
      <c r="B1914" s="20"/>
      <c r="C1914" s="20"/>
      <c r="D1914" s="21"/>
      <c r="E1914" s="20"/>
      <c r="F1914" s="20"/>
      <c r="G1914" s="20"/>
      <c r="H1914" s="20"/>
      <c r="K1914" s="10"/>
      <c r="M1914" s="20"/>
      <c r="N1914" s="20"/>
      <c r="O1914" s="20"/>
      <c r="P1914" s="20"/>
      <c r="Q1914" s="20"/>
      <c r="R1914" s="20"/>
      <c r="S1914" s="20"/>
      <c r="T1914" s="20"/>
      <c r="U1914" s="20"/>
      <c r="V1914" s="20"/>
      <c r="W1914" s="20"/>
      <c r="X1914" s="20"/>
      <c r="Y1914" s="22"/>
      <c r="Z1914" s="22"/>
      <c r="AA1914" s="20"/>
      <c r="AB1914" s="20"/>
      <c r="AC1914" s="20"/>
      <c r="AD1914" s="20"/>
      <c r="AE1914" s="20"/>
      <c r="AF1914" s="20"/>
      <c r="AG1914" s="20"/>
      <c r="AH1914" s="20"/>
      <c r="AI1914" s="20"/>
      <c r="AJ1914" s="20"/>
      <c r="AK1914" s="20"/>
      <c r="AL1914" s="20"/>
      <c r="AM1914" s="20"/>
      <c r="AN1914" s="20"/>
      <c r="AS1914" s="11"/>
      <c r="AT1914" s="12"/>
    </row>
    <row r="1915" ht="14.25" customHeight="1">
      <c r="A1915" s="20"/>
      <c r="B1915" s="20"/>
      <c r="C1915" s="20"/>
      <c r="D1915" s="21"/>
      <c r="E1915" s="20"/>
      <c r="F1915" s="20"/>
      <c r="G1915" s="20"/>
      <c r="H1915" s="20"/>
      <c r="K1915" s="10"/>
      <c r="M1915" s="20"/>
      <c r="N1915" s="20"/>
      <c r="O1915" s="20"/>
      <c r="P1915" s="20"/>
      <c r="Q1915" s="20"/>
      <c r="R1915" s="20"/>
      <c r="S1915" s="20"/>
      <c r="T1915" s="20"/>
      <c r="U1915" s="20"/>
      <c r="V1915" s="20"/>
      <c r="W1915" s="20"/>
      <c r="X1915" s="20"/>
      <c r="Y1915" s="22"/>
      <c r="Z1915" s="22"/>
      <c r="AA1915" s="20"/>
      <c r="AB1915" s="20"/>
      <c r="AC1915" s="20"/>
      <c r="AD1915" s="20"/>
      <c r="AE1915" s="20"/>
      <c r="AF1915" s="20"/>
      <c r="AG1915" s="20"/>
      <c r="AH1915" s="20"/>
      <c r="AI1915" s="20"/>
      <c r="AJ1915" s="20"/>
      <c r="AK1915" s="20"/>
      <c r="AL1915" s="20"/>
      <c r="AM1915" s="20"/>
      <c r="AN1915" s="20"/>
      <c r="AS1915" s="11"/>
      <c r="AT1915" s="12"/>
    </row>
    <row r="1916" ht="14.25" customHeight="1">
      <c r="A1916" s="20"/>
      <c r="B1916" s="20"/>
      <c r="C1916" s="20"/>
      <c r="D1916" s="21"/>
      <c r="E1916" s="20"/>
      <c r="F1916" s="20"/>
      <c r="G1916" s="20"/>
      <c r="H1916" s="20"/>
      <c r="K1916" s="10"/>
      <c r="M1916" s="20"/>
      <c r="N1916" s="20"/>
      <c r="O1916" s="20"/>
      <c r="P1916" s="20"/>
      <c r="Q1916" s="20"/>
      <c r="R1916" s="20"/>
      <c r="S1916" s="20"/>
      <c r="T1916" s="20"/>
      <c r="U1916" s="20"/>
      <c r="V1916" s="20"/>
      <c r="W1916" s="20"/>
      <c r="X1916" s="20"/>
      <c r="Y1916" s="22"/>
      <c r="Z1916" s="22"/>
      <c r="AA1916" s="20"/>
      <c r="AB1916" s="20"/>
      <c r="AC1916" s="20"/>
      <c r="AD1916" s="20"/>
      <c r="AE1916" s="20"/>
      <c r="AF1916" s="20"/>
      <c r="AG1916" s="20"/>
      <c r="AH1916" s="20"/>
      <c r="AI1916" s="20"/>
      <c r="AJ1916" s="20"/>
      <c r="AK1916" s="20"/>
      <c r="AL1916" s="20"/>
      <c r="AM1916" s="20"/>
      <c r="AN1916" s="20"/>
      <c r="AS1916" s="11"/>
      <c r="AT1916" s="12"/>
    </row>
    <row r="1917" ht="14.25" customHeight="1">
      <c r="A1917" s="20"/>
      <c r="B1917" s="20"/>
      <c r="C1917" s="20"/>
      <c r="D1917" s="21"/>
      <c r="E1917" s="20"/>
      <c r="F1917" s="20"/>
      <c r="G1917" s="20"/>
      <c r="H1917" s="20"/>
      <c r="K1917" s="1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2"/>
      <c r="Z1917" s="22"/>
      <c r="AA1917" s="20"/>
      <c r="AB1917" s="20"/>
      <c r="AC1917" s="20"/>
      <c r="AD1917" s="20"/>
      <c r="AE1917" s="20"/>
      <c r="AF1917" s="20"/>
      <c r="AG1917" s="20"/>
      <c r="AH1917" s="20"/>
      <c r="AI1917" s="20"/>
      <c r="AJ1917" s="20"/>
      <c r="AK1917" s="20"/>
      <c r="AL1917" s="20"/>
      <c r="AM1917" s="20"/>
      <c r="AN1917" s="20"/>
      <c r="AS1917" s="11"/>
      <c r="AT1917" s="12"/>
    </row>
    <row r="1918" ht="14.25" customHeight="1">
      <c r="A1918" s="20"/>
      <c r="B1918" s="20"/>
      <c r="C1918" s="20"/>
      <c r="D1918" s="21"/>
      <c r="E1918" s="20"/>
      <c r="F1918" s="20"/>
      <c r="G1918" s="20"/>
      <c r="H1918" s="20"/>
      <c r="K1918" s="10"/>
      <c r="M1918" s="20"/>
      <c r="N1918" s="20"/>
      <c r="O1918" s="20"/>
      <c r="P1918" s="20"/>
      <c r="Q1918" s="20"/>
      <c r="R1918" s="20"/>
      <c r="S1918" s="20"/>
      <c r="T1918" s="20"/>
      <c r="U1918" s="20"/>
      <c r="V1918" s="20"/>
      <c r="W1918" s="20"/>
      <c r="X1918" s="20"/>
      <c r="Y1918" s="22"/>
      <c r="Z1918" s="22"/>
      <c r="AA1918" s="20"/>
      <c r="AB1918" s="20"/>
      <c r="AC1918" s="20"/>
      <c r="AD1918" s="20"/>
      <c r="AE1918" s="20"/>
      <c r="AF1918" s="20"/>
      <c r="AG1918" s="20"/>
      <c r="AH1918" s="20"/>
      <c r="AI1918" s="20"/>
      <c r="AJ1918" s="20"/>
      <c r="AK1918" s="20"/>
      <c r="AL1918" s="20"/>
      <c r="AM1918" s="20"/>
      <c r="AN1918" s="20"/>
      <c r="AS1918" s="11"/>
      <c r="AT1918" s="12"/>
    </row>
    <row r="1919" ht="14.25" customHeight="1">
      <c r="A1919" s="20"/>
      <c r="B1919" s="20"/>
      <c r="C1919" s="20"/>
      <c r="D1919" s="21"/>
      <c r="E1919" s="20"/>
      <c r="F1919" s="20"/>
      <c r="G1919" s="20"/>
      <c r="H1919" s="20"/>
      <c r="K1919" s="1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2"/>
      <c r="Z1919" s="22"/>
      <c r="AA1919" s="20"/>
      <c r="AB1919" s="20"/>
      <c r="AC1919" s="20"/>
      <c r="AD1919" s="20"/>
      <c r="AE1919" s="20"/>
      <c r="AF1919" s="20"/>
      <c r="AG1919" s="20"/>
      <c r="AH1919" s="20"/>
      <c r="AI1919" s="20"/>
      <c r="AJ1919" s="20"/>
      <c r="AK1919" s="20"/>
      <c r="AL1919" s="20"/>
      <c r="AM1919" s="20"/>
      <c r="AN1919" s="20"/>
      <c r="AS1919" s="11"/>
      <c r="AT1919" s="12"/>
    </row>
    <row r="1920" ht="14.25" customHeight="1">
      <c r="A1920" s="20"/>
      <c r="B1920" s="20"/>
      <c r="C1920" s="20"/>
      <c r="D1920" s="21"/>
      <c r="E1920" s="20"/>
      <c r="F1920" s="20"/>
      <c r="G1920" s="20"/>
      <c r="H1920" s="20"/>
      <c r="K1920" s="10"/>
      <c r="M1920" s="20"/>
      <c r="N1920" s="20"/>
      <c r="O1920" s="20"/>
      <c r="P1920" s="20"/>
      <c r="Q1920" s="20"/>
      <c r="R1920" s="20"/>
      <c r="S1920" s="20"/>
      <c r="T1920" s="20"/>
      <c r="U1920" s="20"/>
      <c r="V1920" s="20"/>
      <c r="W1920" s="20"/>
      <c r="X1920" s="20"/>
      <c r="Y1920" s="22"/>
      <c r="Z1920" s="22"/>
      <c r="AA1920" s="20"/>
      <c r="AB1920" s="20"/>
      <c r="AC1920" s="20"/>
      <c r="AD1920" s="20"/>
      <c r="AE1920" s="20"/>
      <c r="AF1920" s="20"/>
      <c r="AG1920" s="20"/>
      <c r="AH1920" s="20"/>
      <c r="AI1920" s="20"/>
      <c r="AJ1920" s="20"/>
      <c r="AK1920" s="20"/>
      <c r="AL1920" s="20"/>
      <c r="AM1920" s="20"/>
      <c r="AN1920" s="20"/>
      <c r="AS1920" s="11"/>
      <c r="AT1920" s="12"/>
    </row>
    <row r="1921" ht="14.25" customHeight="1">
      <c r="A1921" s="20"/>
      <c r="B1921" s="20"/>
      <c r="C1921" s="20"/>
      <c r="D1921" s="21"/>
      <c r="E1921" s="20"/>
      <c r="F1921" s="20"/>
      <c r="G1921" s="20"/>
      <c r="H1921" s="20"/>
      <c r="K1921" s="10"/>
      <c r="M1921" s="20"/>
      <c r="N1921" s="20"/>
      <c r="O1921" s="20"/>
      <c r="P1921" s="20"/>
      <c r="Q1921" s="20"/>
      <c r="R1921" s="20"/>
      <c r="S1921" s="20"/>
      <c r="T1921" s="20"/>
      <c r="U1921" s="20"/>
      <c r="V1921" s="20"/>
      <c r="W1921" s="20"/>
      <c r="X1921" s="20"/>
      <c r="Y1921" s="22"/>
      <c r="Z1921" s="22"/>
      <c r="AA1921" s="20"/>
      <c r="AB1921" s="20"/>
      <c r="AC1921" s="20"/>
      <c r="AD1921" s="20"/>
      <c r="AE1921" s="20"/>
      <c r="AF1921" s="20"/>
      <c r="AG1921" s="20"/>
      <c r="AH1921" s="20"/>
      <c r="AI1921" s="20"/>
      <c r="AJ1921" s="20"/>
      <c r="AK1921" s="20"/>
      <c r="AL1921" s="20"/>
      <c r="AM1921" s="20"/>
      <c r="AN1921" s="20"/>
      <c r="AS1921" s="11"/>
      <c r="AT1921" s="12"/>
    </row>
    <row r="1922" ht="14.25" customHeight="1">
      <c r="A1922" s="20"/>
      <c r="B1922" s="20"/>
      <c r="C1922" s="20"/>
      <c r="D1922" s="21"/>
      <c r="E1922" s="20"/>
      <c r="F1922" s="20"/>
      <c r="G1922" s="20"/>
      <c r="H1922" s="20"/>
      <c r="K1922" s="10"/>
      <c r="M1922" s="20"/>
      <c r="N1922" s="20"/>
      <c r="O1922" s="20"/>
      <c r="P1922" s="20"/>
      <c r="Q1922" s="20"/>
      <c r="R1922" s="20"/>
      <c r="S1922" s="20"/>
      <c r="T1922" s="20"/>
      <c r="U1922" s="20"/>
      <c r="V1922" s="20"/>
      <c r="W1922" s="20"/>
      <c r="X1922" s="20"/>
      <c r="Y1922" s="22"/>
      <c r="Z1922" s="22"/>
      <c r="AA1922" s="20"/>
      <c r="AB1922" s="20"/>
      <c r="AC1922" s="20"/>
      <c r="AD1922" s="20"/>
      <c r="AE1922" s="20"/>
      <c r="AF1922" s="20"/>
      <c r="AG1922" s="20"/>
      <c r="AH1922" s="20"/>
      <c r="AI1922" s="20"/>
      <c r="AJ1922" s="20"/>
      <c r="AK1922" s="20"/>
      <c r="AL1922" s="20"/>
      <c r="AM1922" s="20"/>
      <c r="AN1922" s="20"/>
      <c r="AS1922" s="11"/>
      <c r="AT1922" s="12"/>
    </row>
    <row r="1923" ht="14.25" customHeight="1">
      <c r="A1923" s="20"/>
      <c r="B1923" s="20"/>
      <c r="C1923" s="20"/>
      <c r="D1923" s="21"/>
      <c r="E1923" s="20"/>
      <c r="F1923" s="20"/>
      <c r="G1923" s="20"/>
      <c r="H1923" s="20"/>
      <c r="K1923" s="10"/>
      <c r="M1923" s="20"/>
      <c r="N1923" s="20"/>
      <c r="O1923" s="20"/>
      <c r="P1923" s="20"/>
      <c r="Q1923" s="20"/>
      <c r="R1923" s="20"/>
      <c r="S1923" s="20"/>
      <c r="T1923" s="20"/>
      <c r="U1923" s="20"/>
      <c r="V1923" s="20"/>
      <c r="W1923" s="20"/>
      <c r="X1923" s="20"/>
      <c r="Y1923" s="22"/>
      <c r="Z1923" s="22"/>
      <c r="AA1923" s="20"/>
      <c r="AB1923" s="20"/>
      <c r="AC1923" s="20"/>
      <c r="AD1923" s="20"/>
      <c r="AE1923" s="20"/>
      <c r="AF1923" s="20"/>
      <c r="AG1923" s="20"/>
      <c r="AH1923" s="20"/>
      <c r="AI1923" s="20"/>
      <c r="AJ1923" s="20"/>
      <c r="AK1923" s="20"/>
      <c r="AL1923" s="20"/>
      <c r="AM1923" s="20"/>
      <c r="AN1923" s="20"/>
      <c r="AS1923" s="11"/>
      <c r="AT1923" s="12"/>
    </row>
    <row r="1924" ht="14.25" customHeight="1">
      <c r="A1924" s="20"/>
      <c r="B1924" s="20"/>
      <c r="C1924" s="20"/>
      <c r="D1924" s="21"/>
      <c r="E1924" s="20"/>
      <c r="F1924" s="20"/>
      <c r="G1924" s="20"/>
      <c r="H1924" s="20"/>
      <c r="K1924" s="10"/>
      <c r="M1924" s="20"/>
      <c r="N1924" s="20"/>
      <c r="O1924" s="20"/>
      <c r="P1924" s="20"/>
      <c r="Q1924" s="20"/>
      <c r="R1924" s="20"/>
      <c r="S1924" s="20"/>
      <c r="T1924" s="20"/>
      <c r="U1924" s="20"/>
      <c r="V1924" s="20"/>
      <c r="W1924" s="20"/>
      <c r="X1924" s="20"/>
      <c r="Y1924" s="22"/>
      <c r="Z1924" s="22"/>
      <c r="AA1924" s="20"/>
      <c r="AB1924" s="20"/>
      <c r="AC1924" s="20"/>
      <c r="AD1924" s="20"/>
      <c r="AE1924" s="20"/>
      <c r="AF1924" s="20"/>
      <c r="AG1924" s="20"/>
      <c r="AH1924" s="20"/>
      <c r="AI1924" s="20"/>
      <c r="AJ1924" s="20"/>
      <c r="AK1924" s="20"/>
      <c r="AL1924" s="20"/>
      <c r="AM1924" s="20"/>
      <c r="AN1924" s="20"/>
      <c r="AS1924" s="11"/>
      <c r="AT1924" s="12"/>
    </row>
    <row r="1925" ht="14.25" customHeight="1">
      <c r="A1925" s="20"/>
      <c r="B1925" s="20"/>
      <c r="C1925" s="20"/>
      <c r="D1925" s="21"/>
      <c r="E1925" s="20"/>
      <c r="F1925" s="20"/>
      <c r="G1925" s="20"/>
      <c r="H1925" s="20"/>
      <c r="K1925" s="10"/>
      <c r="M1925" s="20"/>
      <c r="N1925" s="20"/>
      <c r="O1925" s="20"/>
      <c r="P1925" s="20"/>
      <c r="Q1925" s="20"/>
      <c r="R1925" s="20"/>
      <c r="S1925" s="20"/>
      <c r="T1925" s="20"/>
      <c r="U1925" s="20"/>
      <c r="V1925" s="20"/>
      <c r="W1925" s="20"/>
      <c r="X1925" s="20"/>
      <c r="Y1925" s="22"/>
      <c r="Z1925" s="22"/>
      <c r="AA1925" s="20"/>
      <c r="AB1925" s="20"/>
      <c r="AC1925" s="20"/>
      <c r="AD1925" s="20"/>
      <c r="AE1925" s="20"/>
      <c r="AF1925" s="20"/>
      <c r="AG1925" s="20"/>
      <c r="AH1925" s="20"/>
      <c r="AI1925" s="20"/>
      <c r="AJ1925" s="20"/>
      <c r="AK1925" s="20"/>
      <c r="AL1925" s="20"/>
      <c r="AM1925" s="20"/>
      <c r="AN1925" s="20"/>
      <c r="AS1925" s="11"/>
      <c r="AT1925" s="12"/>
    </row>
    <row r="1926" ht="14.25" customHeight="1">
      <c r="A1926" s="20"/>
      <c r="B1926" s="20"/>
      <c r="C1926" s="20"/>
      <c r="D1926" s="21"/>
      <c r="E1926" s="20"/>
      <c r="F1926" s="20"/>
      <c r="G1926" s="20"/>
      <c r="H1926" s="20"/>
      <c r="K1926" s="10"/>
      <c r="M1926" s="20"/>
      <c r="N1926" s="20"/>
      <c r="O1926" s="20"/>
      <c r="P1926" s="20"/>
      <c r="Q1926" s="20"/>
      <c r="R1926" s="20"/>
      <c r="S1926" s="20"/>
      <c r="T1926" s="20"/>
      <c r="U1926" s="20"/>
      <c r="V1926" s="20"/>
      <c r="W1926" s="20"/>
      <c r="X1926" s="20"/>
      <c r="Y1926" s="22"/>
      <c r="Z1926" s="22"/>
      <c r="AA1926" s="20"/>
      <c r="AB1926" s="20"/>
      <c r="AC1926" s="20"/>
      <c r="AD1926" s="20"/>
      <c r="AE1926" s="20"/>
      <c r="AF1926" s="20"/>
      <c r="AG1926" s="20"/>
      <c r="AH1926" s="20"/>
      <c r="AI1926" s="20"/>
      <c r="AJ1926" s="20"/>
      <c r="AK1926" s="20"/>
      <c r="AL1926" s="20"/>
      <c r="AM1926" s="20"/>
      <c r="AN1926" s="20"/>
      <c r="AS1926" s="11"/>
      <c r="AT1926" s="12"/>
    </row>
    <row r="1927" ht="14.25" customHeight="1">
      <c r="A1927" s="20"/>
      <c r="B1927" s="20"/>
      <c r="C1927" s="20"/>
      <c r="D1927" s="21"/>
      <c r="E1927" s="20"/>
      <c r="F1927" s="20"/>
      <c r="G1927" s="20"/>
      <c r="H1927" s="20"/>
      <c r="K1927" s="10"/>
      <c r="M1927" s="20"/>
      <c r="N1927" s="20"/>
      <c r="O1927" s="20"/>
      <c r="P1927" s="20"/>
      <c r="Q1927" s="20"/>
      <c r="R1927" s="20"/>
      <c r="S1927" s="20"/>
      <c r="T1927" s="20"/>
      <c r="U1927" s="20"/>
      <c r="V1927" s="20"/>
      <c r="W1927" s="20"/>
      <c r="X1927" s="20"/>
      <c r="Y1927" s="22"/>
      <c r="Z1927" s="22"/>
      <c r="AA1927" s="20"/>
      <c r="AB1927" s="20"/>
      <c r="AC1927" s="20"/>
      <c r="AD1927" s="20"/>
      <c r="AE1927" s="20"/>
      <c r="AF1927" s="20"/>
      <c r="AG1927" s="20"/>
      <c r="AH1927" s="20"/>
      <c r="AI1927" s="20"/>
      <c r="AJ1927" s="20"/>
      <c r="AK1927" s="20"/>
      <c r="AL1927" s="20"/>
      <c r="AM1927" s="20"/>
      <c r="AN1927" s="20"/>
      <c r="AS1927" s="11"/>
      <c r="AT1927" s="12"/>
    </row>
    <row r="1928" ht="14.25" customHeight="1">
      <c r="A1928" s="20"/>
      <c r="B1928" s="20"/>
      <c r="C1928" s="20"/>
      <c r="D1928" s="21"/>
      <c r="E1928" s="20"/>
      <c r="F1928" s="20"/>
      <c r="G1928" s="20"/>
      <c r="H1928" s="20"/>
      <c r="K1928" s="10"/>
      <c r="M1928" s="20"/>
      <c r="N1928" s="20"/>
      <c r="O1928" s="20"/>
      <c r="P1928" s="20"/>
      <c r="Q1928" s="20"/>
      <c r="R1928" s="20"/>
      <c r="S1928" s="20"/>
      <c r="T1928" s="20"/>
      <c r="U1928" s="20"/>
      <c r="V1928" s="20"/>
      <c r="W1928" s="20"/>
      <c r="X1928" s="20"/>
      <c r="Y1928" s="22"/>
      <c r="Z1928" s="22"/>
      <c r="AA1928" s="20"/>
      <c r="AB1928" s="20"/>
      <c r="AC1928" s="20"/>
      <c r="AD1928" s="20"/>
      <c r="AE1928" s="20"/>
      <c r="AF1928" s="20"/>
      <c r="AG1928" s="20"/>
      <c r="AH1928" s="20"/>
      <c r="AI1928" s="20"/>
      <c r="AJ1928" s="20"/>
      <c r="AK1928" s="20"/>
      <c r="AL1928" s="20"/>
      <c r="AM1928" s="20"/>
      <c r="AN1928" s="20"/>
      <c r="AS1928" s="11"/>
      <c r="AT1928" s="12"/>
    </row>
    <row r="1929" ht="14.25" customHeight="1">
      <c r="A1929" s="20"/>
      <c r="B1929" s="20"/>
      <c r="C1929" s="20"/>
      <c r="D1929" s="21"/>
      <c r="E1929" s="20"/>
      <c r="F1929" s="20"/>
      <c r="G1929" s="20"/>
      <c r="H1929" s="20"/>
      <c r="K1929" s="10"/>
      <c r="M1929" s="20"/>
      <c r="N1929" s="20"/>
      <c r="O1929" s="20"/>
      <c r="P1929" s="20"/>
      <c r="Q1929" s="20"/>
      <c r="R1929" s="20"/>
      <c r="S1929" s="20"/>
      <c r="T1929" s="20"/>
      <c r="U1929" s="20"/>
      <c r="V1929" s="20"/>
      <c r="W1929" s="20"/>
      <c r="X1929" s="20"/>
      <c r="Y1929" s="22"/>
      <c r="Z1929" s="22"/>
      <c r="AA1929" s="20"/>
      <c r="AB1929" s="20"/>
      <c r="AC1929" s="20"/>
      <c r="AD1929" s="20"/>
      <c r="AE1929" s="20"/>
      <c r="AF1929" s="20"/>
      <c r="AG1929" s="20"/>
      <c r="AH1929" s="20"/>
      <c r="AI1929" s="20"/>
      <c r="AJ1929" s="20"/>
      <c r="AK1929" s="20"/>
      <c r="AL1929" s="20"/>
      <c r="AM1929" s="20"/>
      <c r="AN1929" s="20"/>
      <c r="AS1929" s="11"/>
      <c r="AT1929" s="12"/>
    </row>
    <row r="1930" ht="14.25" customHeight="1">
      <c r="A1930" s="20"/>
      <c r="B1930" s="20"/>
      <c r="C1930" s="20"/>
      <c r="D1930" s="21"/>
      <c r="E1930" s="20"/>
      <c r="F1930" s="20"/>
      <c r="G1930" s="20"/>
      <c r="H1930" s="20"/>
      <c r="K1930" s="10"/>
      <c r="M1930" s="20"/>
      <c r="N1930" s="20"/>
      <c r="O1930" s="20"/>
      <c r="P1930" s="20"/>
      <c r="Q1930" s="20"/>
      <c r="R1930" s="20"/>
      <c r="S1930" s="20"/>
      <c r="T1930" s="20"/>
      <c r="U1930" s="20"/>
      <c r="V1930" s="20"/>
      <c r="W1930" s="20"/>
      <c r="X1930" s="20"/>
      <c r="Y1930" s="22"/>
      <c r="Z1930" s="22"/>
      <c r="AA1930" s="20"/>
      <c r="AB1930" s="20"/>
      <c r="AC1930" s="20"/>
      <c r="AD1930" s="20"/>
      <c r="AE1930" s="20"/>
      <c r="AF1930" s="20"/>
      <c r="AG1930" s="20"/>
      <c r="AH1930" s="20"/>
      <c r="AI1930" s="20"/>
      <c r="AJ1930" s="20"/>
      <c r="AK1930" s="20"/>
      <c r="AL1930" s="20"/>
      <c r="AM1930" s="20"/>
      <c r="AN1930" s="20"/>
      <c r="AS1930" s="11"/>
      <c r="AT1930" s="12"/>
    </row>
    <row r="1931" ht="14.25" customHeight="1">
      <c r="A1931" s="20"/>
      <c r="B1931" s="20"/>
      <c r="C1931" s="20"/>
      <c r="D1931" s="21"/>
      <c r="E1931" s="20"/>
      <c r="F1931" s="20"/>
      <c r="G1931" s="20"/>
      <c r="H1931" s="20"/>
      <c r="K1931" s="10"/>
      <c r="M1931" s="20"/>
      <c r="N1931" s="20"/>
      <c r="O1931" s="20"/>
      <c r="P1931" s="20"/>
      <c r="Q1931" s="20"/>
      <c r="R1931" s="20"/>
      <c r="S1931" s="20"/>
      <c r="T1931" s="20"/>
      <c r="U1931" s="20"/>
      <c r="V1931" s="20"/>
      <c r="W1931" s="20"/>
      <c r="X1931" s="20"/>
      <c r="Y1931" s="22"/>
      <c r="Z1931" s="22"/>
      <c r="AA1931" s="20"/>
      <c r="AB1931" s="20"/>
      <c r="AC1931" s="20"/>
      <c r="AD1931" s="20"/>
      <c r="AE1931" s="20"/>
      <c r="AF1931" s="20"/>
      <c r="AG1931" s="20"/>
      <c r="AH1931" s="20"/>
      <c r="AI1931" s="20"/>
      <c r="AJ1931" s="20"/>
      <c r="AK1931" s="20"/>
      <c r="AL1931" s="20"/>
      <c r="AM1931" s="20"/>
      <c r="AN1931" s="20"/>
      <c r="AS1931" s="11"/>
      <c r="AT1931" s="12"/>
    </row>
    <row r="1932" ht="14.25" customHeight="1">
      <c r="A1932" s="20"/>
      <c r="B1932" s="20"/>
      <c r="C1932" s="20"/>
      <c r="D1932" s="21"/>
      <c r="E1932" s="20"/>
      <c r="F1932" s="20"/>
      <c r="G1932" s="20"/>
      <c r="H1932" s="20"/>
      <c r="K1932" s="10"/>
      <c r="M1932" s="20"/>
      <c r="N1932" s="20"/>
      <c r="O1932" s="20"/>
      <c r="P1932" s="20"/>
      <c r="Q1932" s="20"/>
      <c r="R1932" s="20"/>
      <c r="S1932" s="20"/>
      <c r="T1932" s="20"/>
      <c r="U1932" s="20"/>
      <c r="V1932" s="20"/>
      <c r="W1932" s="20"/>
      <c r="X1932" s="20"/>
      <c r="Y1932" s="22"/>
      <c r="Z1932" s="22"/>
      <c r="AA1932" s="20"/>
      <c r="AB1932" s="20"/>
      <c r="AC1932" s="20"/>
      <c r="AD1932" s="20"/>
      <c r="AE1932" s="20"/>
      <c r="AF1932" s="20"/>
      <c r="AG1932" s="20"/>
      <c r="AH1932" s="20"/>
      <c r="AI1932" s="20"/>
      <c r="AJ1932" s="20"/>
      <c r="AK1932" s="20"/>
      <c r="AL1932" s="20"/>
      <c r="AM1932" s="20"/>
      <c r="AN1932" s="20"/>
      <c r="AS1932" s="11"/>
      <c r="AT1932" s="12"/>
    </row>
    <row r="1933" ht="14.25" customHeight="1">
      <c r="A1933" s="20"/>
      <c r="B1933" s="20"/>
      <c r="C1933" s="20"/>
      <c r="D1933" s="21"/>
      <c r="E1933" s="20"/>
      <c r="F1933" s="20"/>
      <c r="G1933" s="20"/>
      <c r="H1933" s="20"/>
      <c r="K1933" s="10"/>
      <c r="M1933" s="20"/>
      <c r="N1933" s="20"/>
      <c r="O1933" s="20"/>
      <c r="P1933" s="20"/>
      <c r="Q1933" s="20"/>
      <c r="R1933" s="20"/>
      <c r="S1933" s="20"/>
      <c r="T1933" s="20"/>
      <c r="U1933" s="20"/>
      <c r="V1933" s="20"/>
      <c r="W1933" s="20"/>
      <c r="X1933" s="20"/>
      <c r="Y1933" s="22"/>
      <c r="Z1933" s="22"/>
      <c r="AA1933" s="20"/>
      <c r="AB1933" s="20"/>
      <c r="AC1933" s="20"/>
      <c r="AD1933" s="20"/>
      <c r="AE1933" s="20"/>
      <c r="AF1933" s="20"/>
      <c r="AG1933" s="20"/>
      <c r="AH1933" s="20"/>
      <c r="AI1933" s="20"/>
      <c r="AJ1933" s="20"/>
      <c r="AK1933" s="20"/>
      <c r="AL1933" s="20"/>
      <c r="AM1933" s="20"/>
      <c r="AN1933" s="20"/>
      <c r="AS1933" s="11"/>
      <c r="AT1933" s="12"/>
    </row>
    <row r="1934" ht="14.25" customHeight="1">
      <c r="A1934" s="20"/>
      <c r="B1934" s="20"/>
      <c r="C1934" s="20"/>
      <c r="D1934" s="21"/>
      <c r="E1934" s="20"/>
      <c r="F1934" s="20"/>
      <c r="G1934" s="20"/>
      <c r="H1934" s="20"/>
      <c r="K1934" s="10"/>
      <c r="M1934" s="20"/>
      <c r="N1934" s="20"/>
      <c r="O1934" s="20"/>
      <c r="P1934" s="20"/>
      <c r="Q1934" s="20"/>
      <c r="R1934" s="20"/>
      <c r="S1934" s="20"/>
      <c r="T1934" s="20"/>
      <c r="U1934" s="20"/>
      <c r="V1934" s="20"/>
      <c r="W1934" s="20"/>
      <c r="X1934" s="20"/>
      <c r="Y1934" s="22"/>
      <c r="Z1934" s="22"/>
      <c r="AA1934" s="20"/>
      <c r="AB1934" s="20"/>
      <c r="AC1934" s="20"/>
      <c r="AD1934" s="20"/>
      <c r="AE1934" s="20"/>
      <c r="AF1934" s="20"/>
      <c r="AG1934" s="20"/>
      <c r="AH1934" s="20"/>
      <c r="AI1934" s="20"/>
      <c r="AJ1934" s="20"/>
      <c r="AK1934" s="20"/>
      <c r="AL1934" s="20"/>
      <c r="AM1934" s="20"/>
      <c r="AN1934" s="20"/>
      <c r="AS1934" s="11"/>
      <c r="AT1934" s="12"/>
    </row>
    <row r="1935" ht="14.25" customHeight="1">
      <c r="A1935" s="20"/>
      <c r="B1935" s="20"/>
      <c r="C1935" s="20"/>
      <c r="D1935" s="21"/>
      <c r="E1935" s="20"/>
      <c r="F1935" s="20"/>
      <c r="G1935" s="20"/>
      <c r="H1935" s="20"/>
      <c r="K1935" s="10"/>
      <c r="M1935" s="20"/>
      <c r="N1935" s="20"/>
      <c r="O1935" s="20"/>
      <c r="P1935" s="20"/>
      <c r="Q1935" s="20"/>
      <c r="R1935" s="20"/>
      <c r="S1935" s="20"/>
      <c r="T1935" s="20"/>
      <c r="U1935" s="20"/>
      <c r="V1935" s="20"/>
      <c r="W1935" s="20"/>
      <c r="X1935" s="20"/>
      <c r="Y1935" s="22"/>
      <c r="Z1935" s="22"/>
      <c r="AA1935" s="20"/>
      <c r="AB1935" s="20"/>
      <c r="AC1935" s="20"/>
      <c r="AD1935" s="20"/>
      <c r="AE1935" s="20"/>
      <c r="AF1935" s="20"/>
      <c r="AG1935" s="20"/>
      <c r="AH1935" s="20"/>
      <c r="AI1935" s="20"/>
      <c r="AJ1935" s="20"/>
      <c r="AK1935" s="20"/>
      <c r="AL1935" s="20"/>
      <c r="AM1935" s="20"/>
      <c r="AN1935" s="20"/>
      <c r="AS1935" s="11"/>
      <c r="AT1935" s="12"/>
    </row>
    <row r="1936" ht="14.25" customHeight="1">
      <c r="A1936" s="20"/>
      <c r="B1936" s="20"/>
      <c r="C1936" s="20"/>
      <c r="D1936" s="21"/>
      <c r="E1936" s="20"/>
      <c r="F1936" s="20"/>
      <c r="G1936" s="20"/>
      <c r="H1936" s="20"/>
      <c r="K1936" s="10"/>
      <c r="M1936" s="20"/>
      <c r="N1936" s="20"/>
      <c r="O1936" s="20"/>
      <c r="P1936" s="20"/>
      <c r="Q1936" s="20"/>
      <c r="R1936" s="20"/>
      <c r="S1936" s="20"/>
      <c r="T1936" s="20"/>
      <c r="U1936" s="20"/>
      <c r="V1936" s="20"/>
      <c r="W1936" s="20"/>
      <c r="X1936" s="20"/>
      <c r="Y1936" s="22"/>
      <c r="Z1936" s="22"/>
      <c r="AA1936" s="20"/>
      <c r="AB1936" s="20"/>
      <c r="AC1936" s="20"/>
      <c r="AD1936" s="20"/>
      <c r="AE1936" s="20"/>
      <c r="AF1936" s="20"/>
      <c r="AG1936" s="20"/>
      <c r="AH1936" s="20"/>
      <c r="AI1936" s="20"/>
      <c r="AJ1936" s="20"/>
      <c r="AK1936" s="20"/>
      <c r="AL1936" s="20"/>
      <c r="AM1936" s="20"/>
      <c r="AN1936" s="20"/>
      <c r="AS1936" s="11"/>
      <c r="AT1936" s="12"/>
    </row>
    <row r="1937" ht="14.25" customHeight="1">
      <c r="A1937" s="20"/>
      <c r="B1937" s="20"/>
      <c r="C1937" s="20"/>
      <c r="D1937" s="21"/>
      <c r="E1937" s="20"/>
      <c r="F1937" s="20"/>
      <c r="G1937" s="20"/>
      <c r="H1937" s="20"/>
      <c r="K1937" s="1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2"/>
      <c r="Z1937" s="22"/>
      <c r="AA1937" s="20"/>
      <c r="AB1937" s="20"/>
      <c r="AC1937" s="20"/>
      <c r="AD1937" s="20"/>
      <c r="AE1937" s="20"/>
      <c r="AF1937" s="20"/>
      <c r="AG1937" s="20"/>
      <c r="AH1937" s="20"/>
      <c r="AI1937" s="20"/>
      <c r="AJ1937" s="20"/>
      <c r="AK1937" s="20"/>
      <c r="AL1937" s="20"/>
      <c r="AM1937" s="20"/>
      <c r="AN1937" s="20"/>
      <c r="AS1937" s="11"/>
      <c r="AT1937" s="12"/>
    </row>
    <row r="1938" ht="14.25" customHeight="1">
      <c r="A1938" s="20"/>
      <c r="B1938" s="20"/>
      <c r="C1938" s="20"/>
      <c r="D1938" s="21"/>
      <c r="E1938" s="20"/>
      <c r="F1938" s="20"/>
      <c r="G1938" s="20"/>
      <c r="H1938" s="20"/>
      <c r="K1938" s="10"/>
      <c r="M1938" s="20"/>
      <c r="N1938" s="20"/>
      <c r="O1938" s="20"/>
      <c r="P1938" s="20"/>
      <c r="Q1938" s="20"/>
      <c r="R1938" s="20"/>
      <c r="S1938" s="20"/>
      <c r="T1938" s="20"/>
      <c r="U1938" s="20"/>
      <c r="V1938" s="20"/>
      <c r="W1938" s="20"/>
      <c r="X1938" s="20"/>
      <c r="Y1938" s="22"/>
      <c r="Z1938" s="22"/>
      <c r="AA1938" s="20"/>
      <c r="AB1938" s="20"/>
      <c r="AC1938" s="20"/>
      <c r="AD1938" s="20"/>
      <c r="AE1938" s="20"/>
      <c r="AF1938" s="20"/>
      <c r="AG1938" s="20"/>
      <c r="AH1938" s="20"/>
      <c r="AI1938" s="20"/>
      <c r="AJ1938" s="20"/>
      <c r="AK1938" s="20"/>
      <c r="AL1938" s="20"/>
      <c r="AM1938" s="20"/>
      <c r="AN1938" s="20"/>
      <c r="AS1938" s="11"/>
      <c r="AT1938" s="12"/>
    </row>
    <row r="1939" ht="14.25" customHeight="1">
      <c r="A1939" s="20"/>
      <c r="B1939" s="20"/>
      <c r="C1939" s="20"/>
      <c r="D1939" s="21"/>
      <c r="E1939" s="20"/>
      <c r="F1939" s="20"/>
      <c r="G1939" s="20"/>
      <c r="H1939" s="20"/>
      <c r="K1939" s="1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2"/>
      <c r="Z1939" s="22"/>
      <c r="AA1939" s="20"/>
      <c r="AB1939" s="20"/>
      <c r="AC1939" s="20"/>
      <c r="AD1939" s="20"/>
      <c r="AE1939" s="20"/>
      <c r="AF1939" s="20"/>
      <c r="AG1939" s="20"/>
      <c r="AH1939" s="20"/>
      <c r="AI1939" s="20"/>
      <c r="AJ1939" s="20"/>
      <c r="AK1939" s="20"/>
      <c r="AL1939" s="20"/>
      <c r="AM1939" s="20"/>
      <c r="AN1939" s="20"/>
      <c r="AS1939" s="11"/>
      <c r="AT1939" s="12"/>
    </row>
    <row r="1940" ht="14.25" customHeight="1">
      <c r="A1940" s="20"/>
      <c r="B1940" s="20"/>
      <c r="C1940" s="20"/>
      <c r="D1940" s="21"/>
      <c r="E1940" s="20"/>
      <c r="F1940" s="20"/>
      <c r="G1940" s="20"/>
      <c r="H1940" s="20"/>
      <c r="K1940" s="10"/>
      <c r="M1940" s="20"/>
      <c r="N1940" s="20"/>
      <c r="O1940" s="20"/>
      <c r="P1940" s="20"/>
      <c r="Q1940" s="20"/>
      <c r="R1940" s="20"/>
      <c r="S1940" s="20"/>
      <c r="T1940" s="20"/>
      <c r="U1940" s="20"/>
      <c r="V1940" s="20"/>
      <c r="W1940" s="20"/>
      <c r="X1940" s="20"/>
      <c r="Y1940" s="22"/>
      <c r="Z1940" s="22"/>
      <c r="AA1940" s="20"/>
      <c r="AB1940" s="20"/>
      <c r="AC1940" s="20"/>
      <c r="AD1940" s="20"/>
      <c r="AE1940" s="20"/>
      <c r="AF1940" s="20"/>
      <c r="AG1940" s="20"/>
      <c r="AH1940" s="20"/>
      <c r="AI1940" s="20"/>
      <c r="AJ1940" s="20"/>
      <c r="AK1940" s="20"/>
      <c r="AL1940" s="20"/>
      <c r="AM1940" s="20"/>
      <c r="AN1940" s="20"/>
      <c r="AS1940" s="11"/>
      <c r="AT1940" s="12"/>
    </row>
    <row r="1941" ht="14.25" customHeight="1">
      <c r="A1941" s="20"/>
      <c r="B1941" s="20"/>
      <c r="C1941" s="20"/>
      <c r="D1941" s="21"/>
      <c r="E1941" s="20"/>
      <c r="F1941" s="20"/>
      <c r="G1941" s="20"/>
      <c r="H1941" s="20"/>
      <c r="K1941" s="10"/>
      <c r="M1941" s="20"/>
      <c r="N1941" s="20"/>
      <c r="O1941" s="20"/>
      <c r="P1941" s="20"/>
      <c r="Q1941" s="20"/>
      <c r="R1941" s="20"/>
      <c r="S1941" s="20"/>
      <c r="T1941" s="20"/>
      <c r="U1941" s="20"/>
      <c r="V1941" s="20"/>
      <c r="W1941" s="20"/>
      <c r="X1941" s="20"/>
      <c r="Y1941" s="22"/>
      <c r="Z1941" s="22"/>
      <c r="AA1941" s="20"/>
      <c r="AB1941" s="20"/>
      <c r="AC1941" s="20"/>
      <c r="AD1941" s="20"/>
      <c r="AE1941" s="20"/>
      <c r="AF1941" s="20"/>
      <c r="AG1941" s="20"/>
      <c r="AH1941" s="20"/>
      <c r="AI1941" s="20"/>
      <c r="AJ1941" s="20"/>
      <c r="AK1941" s="20"/>
      <c r="AL1941" s="20"/>
      <c r="AM1941" s="20"/>
      <c r="AN1941" s="20"/>
      <c r="AS1941" s="11"/>
      <c r="AT1941" s="12"/>
    </row>
    <row r="1942" ht="14.25" customHeight="1">
      <c r="A1942" s="20"/>
      <c r="B1942" s="20"/>
      <c r="C1942" s="20"/>
      <c r="D1942" s="21"/>
      <c r="E1942" s="20"/>
      <c r="F1942" s="20"/>
      <c r="G1942" s="20"/>
      <c r="H1942" s="20"/>
      <c r="K1942" s="10"/>
      <c r="M1942" s="20"/>
      <c r="N1942" s="20"/>
      <c r="O1942" s="20"/>
      <c r="P1942" s="20"/>
      <c r="Q1942" s="20"/>
      <c r="R1942" s="20"/>
      <c r="S1942" s="20"/>
      <c r="T1942" s="20"/>
      <c r="U1942" s="20"/>
      <c r="V1942" s="20"/>
      <c r="W1942" s="20"/>
      <c r="X1942" s="20"/>
      <c r="Y1942" s="22"/>
      <c r="Z1942" s="22"/>
      <c r="AA1942" s="20"/>
      <c r="AB1942" s="20"/>
      <c r="AC1942" s="20"/>
      <c r="AD1942" s="20"/>
      <c r="AE1942" s="20"/>
      <c r="AF1942" s="20"/>
      <c r="AG1942" s="20"/>
      <c r="AH1942" s="20"/>
      <c r="AI1942" s="20"/>
      <c r="AJ1942" s="20"/>
      <c r="AK1942" s="20"/>
      <c r="AL1942" s="20"/>
      <c r="AM1942" s="20"/>
      <c r="AN1942" s="20"/>
      <c r="AS1942" s="11"/>
      <c r="AT1942" s="12"/>
    </row>
    <row r="1943" ht="14.25" customHeight="1">
      <c r="A1943" s="20"/>
      <c r="B1943" s="20"/>
      <c r="C1943" s="20"/>
      <c r="D1943" s="21"/>
      <c r="E1943" s="20"/>
      <c r="F1943" s="20"/>
      <c r="G1943" s="20"/>
      <c r="H1943" s="20"/>
      <c r="K1943" s="10"/>
      <c r="M1943" s="20"/>
      <c r="N1943" s="20"/>
      <c r="O1943" s="20"/>
      <c r="P1943" s="20"/>
      <c r="Q1943" s="20"/>
      <c r="R1943" s="20"/>
      <c r="S1943" s="20"/>
      <c r="T1943" s="20"/>
      <c r="U1943" s="20"/>
      <c r="V1943" s="20"/>
      <c r="W1943" s="20"/>
      <c r="X1943" s="20"/>
      <c r="Y1943" s="22"/>
      <c r="Z1943" s="22"/>
      <c r="AA1943" s="20"/>
      <c r="AB1943" s="20"/>
      <c r="AC1943" s="20"/>
      <c r="AD1943" s="20"/>
      <c r="AE1943" s="20"/>
      <c r="AF1943" s="20"/>
      <c r="AG1943" s="20"/>
      <c r="AH1943" s="20"/>
      <c r="AI1943" s="20"/>
      <c r="AJ1943" s="20"/>
      <c r="AK1943" s="20"/>
      <c r="AL1943" s="20"/>
      <c r="AM1943" s="20"/>
      <c r="AN1943" s="20"/>
      <c r="AS1943" s="11"/>
      <c r="AT1943" s="12"/>
    </row>
    <row r="1944" ht="14.25" customHeight="1">
      <c r="A1944" s="20"/>
      <c r="B1944" s="20"/>
      <c r="C1944" s="20"/>
      <c r="D1944" s="21"/>
      <c r="E1944" s="20"/>
      <c r="F1944" s="20"/>
      <c r="G1944" s="20"/>
      <c r="H1944" s="20"/>
      <c r="K1944" s="10"/>
      <c r="M1944" s="20"/>
      <c r="N1944" s="20"/>
      <c r="O1944" s="20"/>
      <c r="P1944" s="20"/>
      <c r="Q1944" s="20"/>
      <c r="R1944" s="20"/>
      <c r="S1944" s="20"/>
      <c r="T1944" s="20"/>
      <c r="U1944" s="20"/>
      <c r="V1944" s="20"/>
      <c r="W1944" s="20"/>
      <c r="X1944" s="20"/>
      <c r="Y1944" s="22"/>
      <c r="Z1944" s="22"/>
      <c r="AA1944" s="20"/>
      <c r="AB1944" s="20"/>
      <c r="AC1944" s="20"/>
      <c r="AD1944" s="20"/>
      <c r="AE1944" s="20"/>
      <c r="AF1944" s="20"/>
      <c r="AG1944" s="20"/>
      <c r="AH1944" s="20"/>
      <c r="AI1944" s="20"/>
      <c r="AJ1944" s="20"/>
      <c r="AK1944" s="20"/>
      <c r="AL1944" s="20"/>
      <c r="AM1944" s="20"/>
      <c r="AN1944" s="20"/>
      <c r="AS1944" s="11"/>
      <c r="AT1944" s="12"/>
    </row>
    <row r="1945" ht="14.25" customHeight="1">
      <c r="A1945" s="20"/>
      <c r="B1945" s="20"/>
      <c r="C1945" s="20"/>
      <c r="D1945" s="21"/>
      <c r="E1945" s="20"/>
      <c r="F1945" s="20"/>
      <c r="G1945" s="20"/>
      <c r="H1945" s="20"/>
      <c r="K1945" s="10"/>
      <c r="M1945" s="20"/>
      <c r="N1945" s="20"/>
      <c r="O1945" s="20"/>
      <c r="P1945" s="20"/>
      <c r="Q1945" s="20"/>
      <c r="R1945" s="20"/>
      <c r="S1945" s="20"/>
      <c r="T1945" s="20"/>
      <c r="U1945" s="20"/>
      <c r="V1945" s="20"/>
      <c r="W1945" s="20"/>
      <c r="X1945" s="20"/>
      <c r="Y1945" s="22"/>
      <c r="Z1945" s="22"/>
      <c r="AA1945" s="20"/>
      <c r="AB1945" s="20"/>
      <c r="AC1945" s="20"/>
      <c r="AD1945" s="20"/>
      <c r="AE1945" s="20"/>
      <c r="AF1945" s="20"/>
      <c r="AG1945" s="20"/>
      <c r="AH1945" s="20"/>
      <c r="AI1945" s="20"/>
      <c r="AJ1945" s="20"/>
      <c r="AK1945" s="20"/>
      <c r="AL1945" s="20"/>
      <c r="AM1945" s="20"/>
      <c r="AN1945" s="20"/>
      <c r="AS1945" s="11"/>
      <c r="AT1945" s="12"/>
    </row>
    <row r="1946" ht="14.25" customHeight="1">
      <c r="A1946" s="20"/>
      <c r="B1946" s="20"/>
      <c r="C1946" s="20"/>
      <c r="D1946" s="21"/>
      <c r="E1946" s="20"/>
      <c r="F1946" s="20"/>
      <c r="G1946" s="20"/>
      <c r="H1946" s="20"/>
      <c r="K1946" s="10"/>
      <c r="M1946" s="20"/>
      <c r="N1946" s="20"/>
      <c r="O1946" s="20"/>
      <c r="P1946" s="20"/>
      <c r="Q1946" s="20"/>
      <c r="R1946" s="20"/>
      <c r="S1946" s="20"/>
      <c r="T1946" s="20"/>
      <c r="U1946" s="20"/>
      <c r="V1946" s="20"/>
      <c r="W1946" s="20"/>
      <c r="X1946" s="20"/>
      <c r="Y1946" s="22"/>
      <c r="Z1946" s="22"/>
      <c r="AA1946" s="20"/>
      <c r="AB1946" s="20"/>
      <c r="AC1946" s="20"/>
      <c r="AD1946" s="20"/>
      <c r="AE1946" s="20"/>
      <c r="AF1946" s="20"/>
      <c r="AG1946" s="20"/>
      <c r="AH1946" s="20"/>
      <c r="AI1946" s="20"/>
      <c r="AJ1946" s="20"/>
      <c r="AK1946" s="20"/>
      <c r="AL1946" s="20"/>
      <c r="AM1946" s="20"/>
      <c r="AN1946" s="20"/>
      <c r="AS1946" s="11"/>
      <c r="AT1946" s="12"/>
    </row>
    <row r="1947" ht="14.25" customHeight="1">
      <c r="A1947" s="20"/>
      <c r="B1947" s="20"/>
      <c r="C1947" s="20"/>
      <c r="D1947" s="21"/>
      <c r="E1947" s="20"/>
      <c r="F1947" s="20"/>
      <c r="G1947" s="20"/>
      <c r="H1947" s="20"/>
      <c r="K1947" s="10"/>
      <c r="M1947" s="20"/>
      <c r="N1947" s="20"/>
      <c r="O1947" s="20"/>
      <c r="P1947" s="20"/>
      <c r="Q1947" s="20"/>
      <c r="R1947" s="20"/>
      <c r="S1947" s="20"/>
      <c r="T1947" s="20"/>
      <c r="U1947" s="20"/>
      <c r="V1947" s="20"/>
      <c r="W1947" s="20"/>
      <c r="X1947" s="20"/>
      <c r="Y1947" s="22"/>
      <c r="Z1947" s="22"/>
      <c r="AA1947" s="20"/>
      <c r="AB1947" s="20"/>
      <c r="AC1947" s="20"/>
      <c r="AD1947" s="20"/>
      <c r="AE1947" s="20"/>
      <c r="AF1947" s="20"/>
      <c r="AG1947" s="20"/>
      <c r="AH1947" s="20"/>
      <c r="AI1947" s="20"/>
      <c r="AJ1947" s="20"/>
      <c r="AK1947" s="20"/>
      <c r="AL1947" s="20"/>
      <c r="AM1947" s="20"/>
      <c r="AN1947" s="20"/>
      <c r="AS1947" s="11"/>
      <c r="AT1947" s="12"/>
    </row>
    <row r="1948" ht="14.25" customHeight="1">
      <c r="A1948" s="20"/>
      <c r="B1948" s="20"/>
      <c r="C1948" s="20"/>
      <c r="D1948" s="21"/>
      <c r="E1948" s="20"/>
      <c r="F1948" s="20"/>
      <c r="G1948" s="20"/>
      <c r="H1948" s="20"/>
      <c r="K1948" s="10"/>
      <c r="M1948" s="20"/>
      <c r="N1948" s="20"/>
      <c r="O1948" s="20"/>
      <c r="P1948" s="20"/>
      <c r="Q1948" s="20"/>
      <c r="R1948" s="20"/>
      <c r="S1948" s="20"/>
      <c r="T1948" s="20"/>
      <c r="U1948" s="20"/>
      <c r="V1948" s="20"/>
      <c r="W1948" s="20"/>
      <c r="X1948" s="20"/>
      <c r="Y1948" s="22"/>
      <c r="Z1948" s="22"/>
      <c r="AA1948" s="20"/>
      <c r="AB1948" s="20"/>
      <c r="AC1948" s="20"/>
      <c r="AD1948" s="20"/>
      <c r="AE1948" s="20"/>
      <c r="AF1948" s="20"/>
      <c r="AG1948" s="20"/>
      <c r="AH1948" s="20"/>
      <c r="AI1948" s="20"/>
      <c r="AJ1948" s="20"/>
      <c r="AK1948" s="20"/>
      <c r="AL1948" s="20"/>
      <c r="AM1948" s="20"/>
      <c r="AN1948" s="20"/>
      <c r="AS1948" s="11"/>
      <c r="AT1948" s="12"/>
    </row>
    <row r="1949" ht="14.25" customHeight="1">
      <c r="A1949" s="20"/>
      <c r="B1949" s="20"/>
      <c r="C1949" s="20"/>
      <c r="D1949" s="21"/>
      <c r="E1949" s="20"/>
      <c r="F1949" s="20"/>
      <c r="G1949" s="20"/>
      <c r="H1949" s="20"/>
      <c r="K1949" s="10"/>
      <c r="M1949" s="20"/>
      <c r="N1949" s="20"/>
      <c r="O1949" s="20"/>
      <c r="P1949" s="20"/>
      <c r="Q1949" s="20"/>
      <c r="R1949" s="20"/>
      <c r="S1949" s="20"/>
      <c r="T1949" s="20"/>
      <c r="U1949" s="20"/>
      <c r="V1949" s="20"/>
      <c r="W1949" s="20"/>
      <c r="X1949" s="20"/>
      <c r="Y1949" s="22"/>
      <c r="Z1949" s="22"/>
      <c r="AA1949" s="20"/>
      <c r="AB1949" s="20"/>
      <c r="AC1949" s="20"/>
      <c r="AD1949" s="20"/>
      <c r="AE1949" s="20"/>
      <c r="AF1949" s="20"/>
      <c r="AG1949" s="20"/>
      <c r="AH1949" s="20"/>
      <c r="AI1949" s="20"/>
      <c r="AJ1949" s="20"/>
      <c r="AK1949" s="20"/>
      <c r="AL1949" s="20"/>
      <c r="AM1949" s="20"/>
      <c r="AN1949" s="20"/>
      <c r="AS1949" s="11"/>
      <c r="AT1949" s="12"/>
    </row>
    <row r="1950" ht="14.25" customHeight="1">
      <c r="A1950" s="20"/>
      <c r="B1950" s="20"/>
      <c r="C1950" s="20"/>
      <c r="D1950" s="21"/>
      <c r="E1950" s="20"/>
      <c r="F1950" s="20"/>
      <c r="G1950" s="20"/>
      <c r="H1950" s="20"/>
      <c r="K1950" s="10"/>
      <c r="M1950" s="20"/>
      <c r="N1950" s="20"/>
      <c r="O1950" s="20"/>
      <c r="P1950" s="20"/>
      <c r="Q1950" s="20"/>
      <c r="R1950" s="20"/>
      <c r="S1950" s="20"/>
      <c r="T1950" s="20"/>
      <c r="U1950" s="20"/>
      <c r="V1950" s="20"/>
      <c r="W1950" s="20"/>
      <c r="X1950" s="20"/>
      <c r="Y1950" s="22"/>
      <c r="Z1950" s="22"/>
      <c r="AA1950" s="20"/>
      <c r="AB1950" s="20"/>
      <c r="AC1950" s="20"/>
      <c r="AD1950" s="20"/>
      <c r="AE1950" s="20"/>
      <c r="AF1950" s="20"/>
      <c r="AG1950" s="20"/>
      <c r="AH1950" s="20"/>
      <c r="AI1950" s="20"/>
      <c r="AJ1950" s="20"/>
      <c r="AK1950" s="20"/>
      <c r="AL1950" s="20"/>
      <c r="AM1950" s="20"/>
      <c r="AN1950" s="20"/>
      <c r="AS1950" s="11"/>
      <c r="AT1950" s="12"/>
    </row>
    <row r="1951" ht="14.25" customHeight="1">
      <c r="A1951" s="20"/>
      <c r="B1951" s="20"/>
      <c r="C1951" s="20"/>
      <c r="D1951" s="21"/>
      <c r="E1951" s="20"/>
      <c r="F1951" s="20"/>
      <c r="G1951" s="20"/>
      <c r="H1951" s="20"/>
      <c r="K1951" s="10"/>
      <c r="M1951" s="20"/>
      <c r="N1951" s="20"/>
      <c r="O1951" s="20"/>
      <c r="P1951" s="20"/>
      <c r="Q1951" s="20"/>
      <c r="R1951" s="20"/>
      <c r="S1951" s="20"/>
      <c r="T1951" s="20"/>
      <c r="U1951" s="20"/>
      <c r="V1951" s="20"/>
      <c r="W1951" s="20"/>
      <c r="X1951" s="20"/>
      <c r="Y1951" s="22"/>
      <c r="Z1951" s="22"/>
      <c r="AA1951" s="20"/>
      <c r="AB1951" s="20"/>
      <c r="AC1951" s="20"/>
      <c r="AD1951" s="20"/>
      <c r="AE1951" s="20"/>
      <c r="AF1951" s="20"/>
      <c r="AG1951" s="20"/>
      <c r="AH1951" s="20"/>
      <c r="AI1951" s="20"/>
      <c r="AJ1951" s="20"/>
      <c r="AK1951" s="20"/>
      <c r="AL1951" s="20"/>
      <c r="AM1951" s="20"/>
      <c r="AN1951" s="20"/>
      <c r="AS1951" s="11"/>
      <c r="AT1951" s="12"/>
    </row>
    <row r="1952" ht="14.25" customHeight="1">
      <c r="A1952" s="20"/>
      <c r="B1952" s="20"/>
      <c r="C1952" s="20"/>
      <c r="D1952" s="21"/>
      <c r="E1952" s="20"/>
      <c r="F1952" s="20"/>
      <c r="G1952" s="20"/>
      <c r="H1952" s="20"/>
      <c r="K1952" s="10"/>
      <c r="M1952" s="20"/>
      <c r="N1952" s="20"/>
      <c r="O1952" s="20"/>
      <c r="P1952" s="20"/>
      <c r="Q1952" s="20"/>
      <c r="R1952" s="20"/>
      <c r="S1952" s="20"/>
      <c r="T1952" s="20"/>
      <c r="U1952" s="20"/>
      <c r="V1952" s="20"/>
      <c r="W1952" s="20"/>
      <c r="X1952" s="20"/>
      <c r="Y1952" s="22"/>
      <c r="Z1952" s="22"/>
      <c r="AA1952" s="20"/>
      <c r="AB1952" s="20"/>
      <c r="AC1952" s="20"/>
      <c r="AD1952" s="20"/>
      <c r="AE1952" s="20"/>
      <c r="AF1952" s="20"/>
      <c r="AG1952" s="20"/>
      <c r="AH1952" s="20"/>
      <c r="AI1952" s="20"/>
      <c r="AJ1952" s="20"/>
      <c r="AK1952" s="20"/>
      <c r="AL1952" s="20"/>
      <c r="AM1952" s="20"/>
      <c r="AN1952" s="20"/>
      <c r="AS1952" s="11"/>
      <c r="AT1952" s="12"/>
    </row>
    <row r="1953" ht="14.25" customHeight="1">
      <c r="A1953" s="20"/>
      <c r="B1953" s="20"/>
      <c r="C1953" s="20"/>
      <c r="D1953" s="21"/>
      <c r="E1953" s="20"/>
      <c r="F1953" s="20"/>
      <c r="G1953" s="20"/>
      <c r="H1953" s="20"/>
      <c r="K1953" s="10"/>
      <c r="M1953" s="20"/>
      <c r="N1953" s="20"/>
      <c r="O1953" s="20"/>
      <c r="P1953" s="20"/>
      <c r="Q1953" s="20"/>
      <c r="R1953" s="20"/>
      <c r="S1953" s="20"/>
      <c r="T1953" s="20"/>
      <c r="U1953" s="20"/>
      <c r="V1953" s="20"/>
      <c r="W1953" s="20"/>
      <c r="X1953" s="20"/>
      <c r="Y1953" s="22"/>
      <c r="Z1953" s="22"/>
      <c r="AA1953" s="20"/>
      <c r="AB1953" s="20"/>
      <c r="AC1953" s="20"/>
      <c r="AD1953" s="20"/>
      <c r="AE1953" s="20"/>
      <c r="AF1953" s="20"/>
      <c r="AG1953" s="20"/>
      <c r="AH1953" s="20"/>
      <c r="AI1953" s="20"/>
      <c r="AJ1953" s="20"/>
      <c r="AK1953" s="20"/>
      <c r="AL1953" s="20"/>
      <c r="AM1953" s="20"/>
      <c r="AN1953" s="20"/>
      <c r="AS1953" s="11"/>
      <c r="AT1953" s="12"/>
    </row>
    <row r="1954" ht="14.25" customHeight="1">
      <c r="A1954" s="20"/>
      <c r="B1954" s="20"/>
      <c r="C1954" s="20"/>
      <c r="D1954" s="21"/>
      <c r="E1954" s="20"/>
      <c r="F1954" s="20"/>
      <c r="G1954" s="20"/>
      <c r="H1954" s="20"/>
      <c r="K1954" s="10"/>
      <c r="M1954" s="20"/>
      <c r="N1954" s="20"/>
      <c r="O1954" s="20"/>
      <c r="P1954" s="20"/>
      <c r="Q1954" s="20"/>
      <c r="R1954" s="20"/>
      <c r="S1954" s="20"/>
      <c r="T1954" s="20"/>
      <c r="U1954" s="20"/>
      <c r="V1954" s="20"/>
      <c r="W1954" s="20"/>
      <c r="X1954" s="20"/>
      <c r="Y1954" s="22"/>
      <c r="Z1954" s="22"/>
      <c r="AA1954" s="20"/>
      <c r="AB1954" s="20"/>
      <c r="AC1954" s="20"/>
      <c r="AD1954" s="20"/>
      <c r="AE1954" s="20"/>
      <c r="AF1954" s="20"/>
      <c r="AG1954" s="20"/>
      <c r="AH1954" s="20"/>
      <c r="AI1954" s="20"/>
      <c r="AJ1954" s="20"/>
      <c r="AK1954" s="20"/>
      <c r="AL1954" s="20"/>
      <c r="AM1954" s="20"/>
      <c r="AN1954" s="20"/>
      <c r="AS1954" s="11"/>
      <c r="AT1954" s="12"/>
    </row>
    <row r="1955" ht="14.25" customHeight="1">
      <c r="A1955" s="20"/>
      <c r="B1955" s="20"/>
      <c r="C1955" s="20"/>
      <c r="D1955" s="21"/>
      <c r="E1955" s="20"/>
      <c r="F1955" s="20"/>
      <c r="G1955" s="20"/>
      <c r="H1955" s="20"/>
      <c r="K1955" s="10"/>
      <c r="M1955" s="20"/>
      <c r="N1955" s="20"/>
      <c r="O1955" s="20"/>
      <c r="P1955" s="20"/>
      <c r="Q1955" s="20"/>
      <c r="R1955" s="20"/>
      <c r="S1955" s="20"/>
      <c r="T1955" s="20"/>
      <c r="U1955" s="20"/>
      <c r="V1955" s="20"/>
      <c r="W1955" s="20"/>
      <c r="X1955" s="20"/>
      <c r="Y1955" s="22"/>
      <c r="Z1955" s="22"/>
      <c r="AA1955" s="20"/>
      <c r="AB1955" s="20"/>
      <c r="AC1955" s="20"/>
      <c r="AD1955" s="20"/>
      <c r="AE1955" s="20"/>
      <c r="AF1955" s="20"/>
      <c r="AG1955" s="20"/>
      <c r="AH1955" s="20"/>
      <c r="AI1955" s="20"/>
      <c r="AJ1955" s="20"/>
      <c r="AK1955" s="20"/>
      <c r="AL1955" s="20"/>
      <c r="AM1955" s="20"/>
      <c r="AN1955" s="20"/>
      <c r="AS1955" s="11"/>
      <c r="AT1955" s="12"/>
    </row>
    <row r="1956" ht="14.25" customHeight="1">
      <c r="A1956" s="20"/>
      <c r="B1956" s="20"/>
      <c r="C1956" s="20"/>
      <c r="D1956" s="21"/>
      <c r="E1956" s="20"/>
      <c r="F1956" s="20"/>
      <c r="G1956" s="20"/>
      <c r="H1956" s="20"/>
      <c r="K1956" s="10"/>
      <c r="M1956" s="20"/>
      <c r="N1956" s="20"/>
      <c r="O1956" s="20"/>
      <c r="P1956" s="20"/>
      <c r="Q1956" s="20"/>
      <c r="R1956" s="20"/>
      <c r="S1956" s="20"/>
      <c r="T1956" s="20"/>
      <c r="U1956" s="20"/>
      <c r="V1956" s="20"/>
      <c r="W1956" s="20"/>
      <c r="X1956" s="20"/>
      <c r="Y1956" s="22"/>
      <c r="Z1956" s="22"/>
      <c r="AA1956" s="20"/>
      <c r="AB1956" s="20"/>
      <c r="AC1956" s="20"/>
      <c r="AD1956" s="20"/>
      <c r="AE1956" s="20"/>
      <c r="AF1956" s="20"/>
      <c r="AG1956" s="20"/>
      <c r="AH1956" s="20"/>
      <c r="AI1956" s="20"/>
      <c r="AJ1956" s="20"/>
      <c r="AK1956" s="20"/>
      <c r="AL1956" s="20"/>
      <c r="AM1956" s="20"/>
      <c r="AN1956" s="20"/>
      <c r="AS1956" s="11"/>
      <c r="AT1956" s="12"/>
    </row>
    <row r="1957" ht="14.25" customHeight="1">
      <c r="A1957" s="20"/>
      <c r="B1957" s="20"/>
      <c r="C1957" s="20"/>
      <c r="D1957" s="21"/>
      <c r="E1957" s="20"/>
      <c r="F1957" s="20"/>
      <c r="G1957" s="20"/>
      <c r="H1957" s="20"/>
      <c r="K1957" s="10"/>
      <c r="M1957" s="20"/>
      <c r="N1957" s="20"/>
      <c r="O1957" s="20"/>
      <c r="P1957" s="20"/>
      <c r="Q1957" s="20"/>
      <c r="R1957" s="20"/>
      <c r="S1957" s="20"/>
      <c r="T1957" s="20"/>
      <c r="U1957" s="20"/>
      <c r="V1957" s="20"/>
      <c r="W1957" s="20"/>
      <c r="X1957" s="20"/>
      <c r="Y1957" s="22"/>
      <c r="Z1957" s="22"/>
      <c r="AA1957" s="20"/>
      <c r="AB1957" s="20"/>
      <c r="AC1957" s="20"/>
      <c r="AD1957" s="20"/>
      <c r="AE1957" s="20"/>
      <c r="AF1957" s="20"/>
      <c r="AG1957" s="20"/>
      <c r="AH1957" s="20"/>
      <c r="AI1957" s="20"/>
      <c r="AJ1957" s="20"/>
      <c r="AK1957" s="20"/>
      <c r="AL1957" s="20"/>
      <c r="AM1957" s="20"/>
      <c r="AN1957" s="20"/>
      <c r="AS1957" s="11"/>
      <c r="AT1957" s="12"/>
    </row>
    <row r="1958" ht="14.25" customHeight="1">
      <c r="A1958" s="20"/>
      <c r="B1958" s="20"/>
      <c r="C1958" s="20"/>
      <c r="D1958" s="21"/>
      <c r="E1958" s="20"/>
      <c r="F1958" s="20"/>
      <c r="G1958" s="20"/>
      <c r="H1958" s="20"/>
      <c r="K1958" s="10"/>
      <c r="M1958" s="20"/>
      <c r="N1958" s="20"/>
      <c r="O1958" s="20"/>
      <c r="P1958" s="20"/>
      <c r="Q1958" s="20"/>
      <c r="R1958" s="20"/>
      <c r="S1958" s="20"/>
      <c r="T1958" s="20"/>
      <c r="U1958" s="20"/>
      <c r="V1958" s="20"/>
      <c r="W1958" s="20"/>
      <c r="X1958" s="20"/>
      <c r="Y1958" s="22"/>
      <c r="Z1958" s="22"/>
      <c r="AA1958" s="20"/>
      <c r="AB1958" s="20"/>
      <c r="AC1958" s="20"/>
      <c r="AD1958" s="20"/>
      <c r="AE1958" s="20"/>
      <c r="AF1958" s="20"/>
      <c r="AG1958" s="20"/>
      <c r="AH1958" s="20"/>
      <c r="AI1958" s="20"/>
      <c r="AJ1958" s="20"/>
      <c r="AK1958" s="20"/>
      <c r="AL1958" s="20"/>
      <c r="AM1958" s="20"/>
      <c r="AN1958" s="20"/>
      <c r="AS1958" s="11"/>
      <c r="AT1958" s="12"/>
    </row>
    <row r="1959" ht="14.25" customHeight="1">
      <c r="A1959" s="20"/>
      <c r="B1959" s="20"/>
      <c r="C1959" s="20"/>
      <c r="D1959" s="21"/>
      <c r="E1959" s="20"/>
      <c r="F1959" s="20"/>
      <c r="G1959" s="20"/>
      <c r="H1959" s="20"/>
      <c r="K1959" s="1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2"/>
      <c r="Z1959" s="22"/>
      <c r="AA1959" s="20"/>
      <c r="AB1959" s="20"/>
      <c r="AC1959" s="20"/>
      <c r="AD1959" s="20"/>
      <c r="AE1959" s="20"/>
      <c r="AF1959" s="20"/>
      <c r="AG1959" s="20"/>
      <c r="AH1959" s="20"/>
      <c r="AI1959" s="20"/>
      <c r="AJ1959" s="20"/>
      <c r="AK1959" s="20"/>
      <c r="AL1959" s="20"/>
      <c r="AM1959" s="20"/>
      <c r="AN1959" s="20"/>
      <c r="AS1959" s="11"/>
      <c r="AT1959" s="12"/>
    </row>
    <row r="1960" ht="14.25" customHeight="1">
      <c r="A1960" s="20"/>
      <c r="B1960" s="20"/>
      <c r="C1960" s="20"/>
      <c r="D1960" s="21"/>
      <c r="E1960" s="20"/>
      <c r="F1960" s="20"/>
      <c r="G1960" s="20"/>
      <c r="H1960" s="20"/>
      <c r="K1960" s="10"/>
      <c r="M1960" s="20"/>
      <c r="N1960" s="20"/>
      <c r="O1960" s="20"/>
      <c r="P1960" s="20"/>
      <c r="Q1960" s="20"/>
      <c r="R1960" s="20"/>
      <c r="S1960" s="20"/>
      <c r="T1960" s="20"/>
      <c r="U1960" s="20"/>
      <c r="V1960" s="20"/>
      <c r="W1960" s="20"/>
      <c r="X1960" s="20"/>
      <c r="Y1960" s="22"/>
      <c r="Z1960" s="22"/>
      <c r="AA1960" s="20"/>
      <c r="AB1960" s="20"/>
      <c r="AC1960" s="20"/>
      <c r="AD1960" s="20"/>
      <c r="AE1960" s="20"/>
      <c r="AF1960" s="20"/>
      <c r="AG1960" s="20"/>
      <c r="AH1960" s="20"/>
      <c r="AI1960" s="20"/>
      <c r="AJ1960" s="20"/>
      <c r="AK1960" s="20"/>
      <c r="AL1960" s="20"/>
      <c r="AM1960" s="20"/>
      <c r="AN1960" s="20"/>
      <c r="AS1960" s="11"/>
      <c r="AT1960" s="12"/>
    </row>
    <row r="1961" ht="14.25" customHeight="1">
      <c r="A1961" s="20"/>
      <c r="B1961" s="20"/>
      <c r="C1961" s="20"/>
      <c r="D1961" s="21"/>
      <c r="E1961" s="20"/>
      <c r="F1961" s="20"/>
      <c r="G1961" s="20"/>
      <c r="H1961" s="20"/>
      <c r="K1961" s="1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2"/>
      <c r="Z1961" s="22"/>
      <c r="AA1961" s="20"/>
      <c r="AB1961" s="20"/>
      <c r="AC1961" s="20"/>
      <c r="AD1961" s="20"/>
      <c r="AE1961" s="20"/>
      <c r="AF1961" s="20"/>
      <c r="AG1961" s="20"/>
      <c r="AH1961" s="20"/>
      <c r="AI1961" s="20"/>
      <c r="AJ1961" s="20"/>
      <c r="AK1961" s="20"/>
      <c r="AL1961" s="20"/>
      <c r="AM1961" s="20"/>
      <c r="AN1961" s="20"/>
      <c r="AS1961" s="11"/>
      <c r="AT1961" s="12"/>
    </row>
    <row r="1962" ht="14.25" customHeight="1">
      <c r="A1962" s="20"/>
      <c r="B1962" s="20"/>
      <c r="C1962" s="20"/>
      <c r="D1962" s="21"/>
      <c r="E1962" s="20"/>
      <c r="F1962" s="20"/>
      <c r="G1962" s="20"/>
      <c r="H1962" s="20"/>
      <c r="K1962" s="10"/>
      <c r="M1962" s="20"/>
      <c r="N1962" s="20"/>
      <c r="O1962" s="20"/>
      <c r="P1962" s="20"/>
      <c r="Q1962" s="20"/>
      <c r="R1962" s="20"/>
      <c r="S1962" s="20"/>
      <c r="T1962" s="20"/>
      <c r="U1962" s="20"/>
      <c r="V1962" s="20"/>
      <c r="W1962" s="20"/>
      <c r="X1962" s="20"/>
      <c r="Y1962" s="22"/>
      <c r="Z1962" s="22"/>
      <c r="AA1962" s="20"/>
      <c r="AB1962" s="20"/>
      <c r="AC1962" s="20"/>
      <c r="AD1962" s="20"/>
      <c r="AE1962" s="20"/>
      <c r="AF1962" s="20"/>
      <c r="AG1962" s="20"/>
      <c r="AH1962" s="20"/>
      <c r="AI1962" s="20"/>
      <c r="AJ1962" s="20"/>
      <c r="AK1962" s="20"/>
      <c r="AL1962" s="20"/>
      <c r="AM1962" s="20"/>
      <c r="AN1962" s="20"/>
      <c r="AS1962" s="11"/>
      <c r="AT1962" s="12"/>
    </row>
    <row r="1963" ht="14.25" customHeight="1">
      <c r="A1963" s="20"/>
      <c r="B1963" s="20"/>
      <c r="C1963" s="20"/>
      <c r="D1963" s="21"/>
      <c r="E1963" s="20"/>
      <c r="F1963" s="20"/>
      <c r="G1963" s="20"/>
      <c r="H1963" s="20"/>
      <c r="K1963" s="10"/>
      <c r="M1963" s="20"/>
      <c r="N1963" s="20"/>
      <c r="O1963" s="20"/>
      <c r="P1963" s="20"/>
      <c r="Q1963" s="20"/>
      <c r="R1963" s="20"/>
      <c r="S1963" s="20"/>
      <c r="T1963" s="20"/>
      <c r="U1963" s="20"/>
      <c r="V1963" s="20"/>
      <c r="W1963" s="20"/>
      <c r="X1963" s="20"/>
      <c r="Y1963" s="22"/>
      <c r="Z1963" s="22"/>
      <c r="AA1963" s="20"/>
      <c r="AB1963" s="20"/>
      <c r="AC1963" s="20"/>
      <c r="AD1963" s="20"/>
      <c r="AE1963" s="20"/>
      <c r="AF1963" s="20"/>
      <c r="AG1963" s="20"/>
      <c r="AH1963" s="20"/>
      <c r="AI1963" s="20"/>
      <c r="AJ1963" s="20"/>
      <c r="AK1963" s="20"/>
      <c r="AL1963" s="20"/>
      <c r="AM1963" s="20"/>
      <c r="AN1963" s="20"/>
      <c r="AS1963" s="11"/>
      <c r="AT1963" s="12"/>
    </row>
    <row r="1964" ht="14.25" customHeight="1">
      <c r="A1964" s="20"/>
      <c r="B1964" s="20"/>
      <c r="C1964" s="20"/>
      <c r="D1964" s="21"/>
      <c r="E1964" s="20"/>
      <c r="F1964" s="20"/>
      <c r="G1964" s="20"/>
      <c r="H1964" s="20"/>
      <c r="K1964" s="1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2"/>
      <c r="Z1964" s="22"/>
      <c r="AA1964" s="20"/>
      <c r="AB1964" s="20"/>
      <c r="AC1964" s="20"/>
      <c r="AD1964" s="20"/>
      <c r="AE1964" s="20"/>
      <c r="AF1964" s="20"/>
      <c r="AG1964" s="20"/>
      <c r="AH1964" s="20"/>
      <c r="AI1964" s="20"/>
      <c r="AJ1964" s="20"/>
      <c r="AK1964" s="20"/>
      <c r="AL1964" s="20"/>
      <c r="AM1964" s="20"/>
      <c r="AN1964" s="20"/>
      <c r="AS1964" s="11"/>
      <c r="AT1964" s="12"/>
    </row>
    <row r="1965" ht="14.25" customHeight="1">
      <c r="A1965" s="20"/>
      <c r="B1965" s="20"/>
      <c r="C1965" s="20"/>
      <c r="D1965" s="21"/>
      <c r="E1965" s="20"/>
      <c r="F1965" s="20"/>
      <c r="G1965" s="20"/>
      <c r="H1965" s="20"/>
      <c r="K1965" s="10"/>
      <c r="M1965" s="20"/>
      <c r="N1965" s="20"/>
      <c r="O1965" s="20"/>
      <c r="P1965" s="20"/>
      <c r="Q1965" s="20"/>
      <c r="R1965" s="20"/>
      <c r="S1965" s="20"/>
      <c r="T1965" s="20"/>
      <c r="U1965" s="20"/>
      <c r="V1965" s="20"/>
      <c r="W1965" s="20"/>
      <c r="X1965" s="20"/>
      <c r="Y1965" s="22"/>
      <c r="Z1965" s="22"/>
      <c r="AA1965" s="20"/>
      <c r="AB1965" s="20"/>
      <c r="AC1965" s="20"/>
      <c r="AD1965" s="20"/>
      <c r="AE1965" s="20"/>
      <c r="AF1965" s="20"/>
      <c r="AG1965" s="20"/>
      <c r="AH1965" s="20"/>
      <c r="AI1965" s="20"/>
      <c r="AJ1965" s="20"/>
      <c r="AK1965" s="20"/>
      <c r="AL1965" s="20"/>
      <c r="AM1965" s="20"/>
      <c r="AN1965" s="20"/>
      <c r="AS1965" s="11"/>
      <c r="AT1965" s="12"/>
    </row>
    <row r="1966" ht="14.25" customHeight="1">
      <c r="A1966" s="20"/>
      <c r="B1966" s="20"/>
      <c r="C1966" s="20"/>
      <c r="D1966" s="21"/>
      <c r="E1966" s="20"/>
      <c r="F1966" s="20"/>
      <c r="G1966" s="20"/>
      <c r="H1966" s="20"/>
      <c r="K1966" s="10"/>
      <c r="M1966" s="20"/>
      <c r="N1966" s="20"/>
      <c r="O1966" s="20"/>
      <c r="P1966" s="20"/>
      <c r="Q1966" s="20"/>
      <c r="R1966" s="20"/>
      <c r="S1966" s="20"/>
      <c r="T1966" s="20"/>
      <c r="U1966" s="20"/>
      <c r="V1966" s="20"/>
      <c r="W1966" s="20"/>
      <c r="X1966" s="20"/>
      <c r="Y1966" s="22"/>
      <c r="Z1966" s="22"/>
      <c r="AA1966" s="20"/>
      <c r="AB1966" s="20"/>
      <c r="AC1966" s="20"/>
      <c r="AD1966" s="20"/>
      <c r="AE1966" s="20"/>
      <c r="AF1966" s="20"/>
      <c r="AG1966" s="20"/>
      <c r="AH1966" s="20"/>
      <c r="AI1966" s="20"/>
      <c r="AJ1966" s="20"/>
      <c r="AK1966" s="20"/>
      <c r="AL1966" s="20"/>
      <c r="AM1966" s="20"/>
      <c r="AN1966" s="20"/>
      <c r="AS1966" s="11"/>
      <c r="AT1966" s="12"/>
    </row>
    <row r="1967" ht="14.25" customHeight="1">
      <c r="A1967" s="20"/>
      <c r="B1967" s="20"/>
      <c r="C1967" s="20"/>
      <c r="D1967" s="21"/>
      <c r="E1967" s="20"/>
      <c r="F1967" s="20"/>
      <c r="G1967" s="20"/>
      <c r="H1967" s="20"/>
      <c r="K1967" s="10"/>
      <c r="M1967" s="20"/>
      <c r="N1967" s="20"/>
      <c r="O1967" s="20"/>
      <c r="P1967" s="20"/>
      <c r="Q1967" s="20"/>
      <c r="R1967" s="20"/>
      <c r="S1967" s="20"/>
      <c r="T1967" s="20"/>
      <c r="U1967" s="20"/>
      <c r="V1967" s="20"/>
      <c r="W1967" s="20"/>
      <c r="X1967" s="20"/>
      <c r="Y1967" s="22"/>
      <c r="Z1967" s="22"/>
      <c r="AA1967" s="20"/>
      <c r="AB1967" s="20"/>
      <c r="AC1967" s="20"/>
      <c r="AD1967" s="20"/>
      <c r="AE1967" s="20"/>
      <c r="AF1967" s="20"/>
      <c r="AG1967" s="20"/>
      <c r="AH1967" s="20"/>
      <c r="AI1967" s="20"/>
      <c r="AJ1967" s="20"/>
      <c r="AK1967" s="20"/>
      <c r="AL1967" s="20"/>
      <c r="AM1967" s="20"/>
      <c r="AN1967" s="20"/>
      <c r="AS1967" s="11"/>
      <c r="AT1967" s="12"/>
    </row>
    <row r="1968" ht="14.25" customHeight="1">
      <c r="A1968" s="20"/>
      <c r="B1968" s="20"/>
      <c r="C1968" s="20"/>
      <c r="D1968" s="21"/>
      <c r="E1968" s="20"/>
      <c r="F1968" s="20"/>
      <c r="G1968" s="20"/>
      <c r="H1968" s="20"/>
      <c r="K1968" s="10"/>
      <c r="M1968" s="20"/>
      <c r="N1968" s="20"/>
      <c r="O1968" s="20"/>
      <c r="P1968" s="20"/>
      <c r="Q1968" s="20"/>
      <c r="R1968" s="20"/>
      <c r="S1968" s="20"/>
      <c r="T1968" s="20"/>
      <c r="U1968" s="20"/>
      <c r="V1968" s="20"/>
      <c r="W1968" s="20"/>
      <c r="X1968" s="20"/>
      <c r="Y1968" s="22"/>
      <c r="Z1968" s="22"/>
      <c r="AA1968" s="20"/>
      <c r="AB1968" s="20"/>
      <c r="AC1968" s="20"/>
      <c r="AD1968" s="20"/>
      <c r="AE1968" s="20"/>
      <c r="AF1968" s="20"/>
      <c r="AG1968" s="20"/>
      <c r="AH1968" s="20"/>
      <c r="AI1968" s="20"/>
      <c r="AJ1968" s="20"/>
      <c r="AK1968" s="20"/>
      <c r="AL1968" s="20"/>
      <c r="AM1968" s="20"/>
      <c r="AN1968" s="20"/>
      <c r="AS1968" s="11"/>
      <c r="AT1968" s="12"/>
    </row>
    <row r="1969" ht="14.25" customHeight="1">
      <c r="A1969" s="20"/>
      <c r="B1969" s="20"/>
      <c r="C1969" s="20"/>
      <c r="D1969" s="21"/>
      <c r="E1969" s="20"/>
      <c r="F1969" s="20"/>
      <c r="G1969" s="20"/>
      <c r="H1969" s="20"/>
      <c r="K1969" s="10"/>
      <c r="M1969" s="20"/>
      <c r="N1969" s="20"/>
      <c r="O1969" s="20"/>
      <c r="P1969" s="20"/>
      <c r="Q1969" s="20"/>
      <c r="R1969" s="20"/>
      <c r="S1969" s="20"/>
      <c r="T1969" s="20"/>
      <c r="U1969" s="20"/>
      <c r="V1969" s="20"/>
      <c r="W1969" s="20"/>
      <c r="X1969" s="20"/>
      <c r="Y1969" s="22"/>
      <c r="Z1969" s="22"/>
      <c r="AA1969" s="20"/>
      <c r="AB1969" s="20"/>
      <c r="AC1969" s="20"/>
      <c r="AD1969" s="20"/>
      <c r="AE1969" s="20"/>
      <c r="AF1969" s="20"/>
      <c r="AG1969" s="20"/>
      <c r="AH1969" s="20"/>
      <c r="AI1969" s="20"/>
      <c r="AJ1969" s="20"/>
      <c r="AK1969" s="20"/>
      <c r="AL1969" s="20"/>
      <c r="AM1969" s="20"/>
      <c r="AN1969" s="20"/>
      <c r="AS1969" s="11"/>
      <c r="AT1969" s="12"/>
    </row>
    <row r="1970" ht="14.25" customHeight="1">
      <c r="A1970" s="20"/>
      <c r="B1970" s="20"/>
      <c r="C1970" s="20"/>
      <c r="D1970" s="21"/>
      <c r="E1970" s="20"/>
      <c r="F1970" s="20"/>
      <c r="G1970" s="20"/>
      <c r="H1970" s="20"/>
      <c r="K1970" s="10"/>
      <c r="M1970" s="20"/>
      <c r="N1970" s="20"/>
      <c r="O1970" s="20"/>
      <c r="P1970" s="20"/>
      <c r="Q1970" s="20"/>
      <c r="R1970" s="20"/>
      <c r="S1970" s="20"/>
      <c r="T1970" s="20"/>
      <c r="U1970" s="20"/>
      <c r="V1970" s="20"/>
      <c r="W1970" s="20"/>
      <c r="X1970" s="20"/>
      <c r="Y1970" s="22"/>
      <c r="Z1970" s="22"/>
      <c r="AA1970" s="20"/>
      <c r="AB1970" s="20"/>
      <c r="AC1970" s="20"/>
      <c r="AD1970" s="20"/>
      <c r="AE1970" s="20"/>
      <c r="AF1970" s="20"/>
      <c r="AG1970" s="20"/>
      <c r="AH1970" s="20"/>
      <c r="AI1970" s="20"/>
      <c r="AJ1970" s="20"/>
      <c r="AK1970" s="20"/>
      <c r="AL1970" s="20"/>
      <c r="AM1970" s="20"/>
      <c r="AN1970" s="20"/>
      <c r="AS1970" s="11"/>
      <c r="AT1970" s="12"/>
    </row>
    <row r="1971" ht="14.25" customHeight="1">
      <c r="A1971" s="20"/>
      <c r="B1971" s="20"/>
      <c r="C1971" s="20"/>
      <c r="D1971" s="21"/>
      <c r="E1971" s="20"/>
      <c r="F1971" s="20"/>
      <c r="G1971" s="20"/>
      <c r="H1971" s="20"/>
      <c r="K1971" s="10"/>
      <c r="M1971" s="20"/>
      <c r="N1971" s="20"/>
      <c r="O1971" s="20"/>
      <c r="P1971" s="20"/>
      <c r="Q1971" s="20"/>
      <c r="R1971" s="20"/>
      <c r="S1971" s="20"/>
      <c r="T1971" s="20"/>
      <c r="U1971" s="20"/>
      <c r="V1971" s="20"/>
      <c r="W1971" s="20"/>
      <c r="X1971" s="20"/>
      <c r="Y1971" s="22"/>
      <c r="Z1971" s="22"/>
      <c r="AA1971" s="20"/>
      <c r="AB1971" s="20"/>
      <c r="AC1971" s="20"/>
      <c r="AD1971" s="20"/>
      <c r="AE1971" s="20"/>
      <c r="AF1971" s="20"/>
      <c r="AG1971" s="20"/>
      <c r="AH1971" s="20"/>
      <c r="AI1971" s="20"/>
      <c r="AJ1971" s="20"/>
      <c r="AK1971" s="20"/>
      <c r="AL1971" s="20"/>
      <c r="AM1971" s="20"/>
      <c r="AN1971" s="20"/>
      <c r="AS1971" s="11"/>
      <c r="AT1971" s="12"/>
    </row>
    <row r="1972" ht="14.25" customHeight="1">
      <c r="A1972" s="20"/>
      <c r="B1972" s="20"/>
      <c r="C1972" s="20"/>
      <c r="D1972" s="21"/>
      <c r="E1972" s="20"/>
      <c r="F1972" s="20"/>
      <c r="G1972" s="20"/>
      <c r="H1972" s="20"/>
      <c r="K1972" s="10"/>
      <c r="M1972" s="20"/>
      <c r="N1972" s="20"/>
      <c r="O1972" s="20"/>
      <c r="P1972" s="20"/>
      <c r="Q1972" s="20"/>
      <c r="R1972" s="20"/>
      <c r="S1972" s="20"/>
      <c r="T1972" s="20"/>
      <c r="U1972" s="20"/>
      <c r="V1972" s="20"/>
      <c r="W1972" s="20"/>
      <c r="X1972" s="20"/>
      <c r="Y1972" s="22"/>
      <c r="Z1972" s="22"/>
      <c r="AA1972" s="20"/>
      <c r="AB1972" s="20"/>
      <c r="AC1972" s="20"/>
      <c r="AD1972" s="20"/>
      <c r="AE1972" s="20"/>
      <c r="AF1972" s="20"/>
      <c r="AG1972" s="20"/>
      <c r="AH1972" s="20"/>
      <c r="AI1972" s="20"/>
      <c r="AJ1972" s="20"/>
      <c r="AK1972" s="20"/>
      <c r="AL1972" s="20"/>
      <c r="AM1972" s="20"/>
      <c r="AN1972" s="20"/>
      <c r="AS1972" s="11"/>
      <c r="AT1972" s="12"/>
    </row>
    <row r="1973" ht="14.25" customHeight="1">
      <c r="A1973" s="20"/>
      <c r="B1973" s="20"/>
      <c r="C1973" s="20"/>
      <c r="D1973" s="21"/>
      <c r="E1973" s="20"/>
      <c r="F1973" s="20"/>
      <c r="G1973" s="20"/>
      <c r="H1973" s="20"/>
      <c r="K1973" s="10"/>
      <c r="M1973" s="20"/>
      <c r="N1973" s="20"/>
      <c r="O1973" s="20"/>
      <c r="P1973" s="20"/>
      <c r="Q1973" s="20"/>
      <c r="R1973" s="20"/>
      <c r="S1973" s="20"/>
      <c r="T1973" s="20"/>
      <c r="U1973" s="20"/>
      <c r="V1973" s="20"/>
      <c r="W1973" s="20"/>
      <c r="X1973" s="20"/>
      <c r="Y1973" s="22"/>
      <c r="Z1973" s="22"/>
      <c r="AA1973" s="20"/>
      <c r="AB1973" s="20"/>
      <c r="AC1973" s="20"/>
      <c r="AD1973" s="20"/>
      <c r="AE1973" s="20"/>
      <c r="AF1973" s="20"/>
      <c r="AG1973" s="20"/>
      <c r="AH1973" s="20"/>
      <c r="AI1973" s="20"/>
      <c r="AJ1973" s="20"/>
      <c r="AK1973" s="20"/>
      <c r="AL1973" s="20"/>
      <c r="AM1973" s="20"/>
      <c r="AN1973" s="20"/>
      <c r="AS1973" s="11"/>
      <c r="AT1973" s="12"/>
    </row>
    <row r="1974" ht="14.25" customHeight="1">
      <c r="A1974" s="20"/>
      <c r="B1974" s="20"/>
      <c r="C1974" s="20"/>
      <c r="D1974" s="21"/>
      <c r="E1974" s="20"/>
      <c r="F1974" s="20"/>
      <c r="G1974" s="20"/>
      <c r="H1974" s="20"/>
      <c r="K1974" s="10"/>
      <c r="M1974" s="20"/>
      <c r="N1974" s="20"/>
      <c r="O1974" s="20"/>
      <c r="P1974" s="20"/>
      <c r="Q1974" s="20"/>
      <c r="R1974" s="20"/>
      <c r="S1974" s="20"/>
      <c r="T1974" s="20"/>
      <c r="U1974" s="20"/>
      <c r="V1974" s="20"/>
      <c r="W1974" s="20"/>
      <c r="X1974" s="20"/>
      <c r="Y1974" s="22"/>
      <c r="Z1974" s="22"/>
      <c r="AA1974" s="20"/>
      <c r="AB1974" s="20"/>
      <c r="AC1974" s="20"/>
      <c r="AD1974" s="20"/>
      <c r="AE1974" s="20"/>
      <c r="AF1974" s="20"/>
      <c r="AG1974" s="20"/>
      <c r="AH1974" s="20"/>
      <c r="AI1974" s="20"/>
      <c r="AJ1974" s="20"/>
      <c r="AK1974" s="20"/>
      <c r="AL1974" s="20"/>
      <c r="AM1974" s="20"/>
      <c r="AN1974" s="20"/>
      <c r="AS1974" s="11"/>
      <c r="AT1974" s="12"/>
    </row>
    <row r="1975" ht="14.25" customHeight="1">
      <c r="A1975" s="20"/>
      <c r="B1975" s="20"/>
      <c r="C1975" s="20"/>
      <c r="D1975" s="21"/>
      <c r="E1975" s="20"/>
      <c r="F1975" s="20"/>
      <c r="G1975" s="20"/>
      <c r="H1975" s="20"/>
      <c r="K1975" s="10"/>
      <c r="M1975" s="20"/>
      <c r="N1975" s="20"/>
      <c r="O1975" s="20"/>
      <c r="P1975" s="20"/>
      <c r="Q1975" s="20"/>
      <c r="R1975" s="20"/>
      <c r="S1975" s="20"/>
      <c r="T1975" s="20"/>
      <c r="U1975" s="20"/>
      <c r="V1975" s="20"/>
      <c r="W1975" s="20"/>
      <c r="X1975" s="20"/>
      <c r="Y1975" s="22"/>
      <c r="Z1975" s="22"/>
      <c r="AA1975" s="20"/>
      <c r="AB1975" s="20"/>
      <c r="AC1975" s="20"/>
      <c r="AD1975" s="20"/>
      <c r="AE1975" s="20"/>
      <c r="AF1975" s="20"/>
      <c r="AG1975" s="20"/>
      <c r="AH1975" s="20"/>
      <c r="AI1975" s="20"/>
      <c r="AJ1975" s="20"/>
      <c r="AK1975" s="20"/>
      <c r="AL1975" s="20"/>
      <c r="AM1975" s="20"/>
      <c r="AN1975" s="20"/>
      <c r="AS1975" s="11"/>
      <c r="AT1975" s="12"/>
    </row>
    <row r="1976" ht="14.25" customHeight="1">
      <c r="A1976" s="20"/>
      <c r="B1976" s="20"/>
      <c r="C1976" s="20"/>
      <c r="D1976" s="21"/>
      <c r="E1976" s="20"/>
      <c r="F1976" s="20"/>
      <c r="G1976" s="20"/>
      <c r="H1976" s="20"/>
      <c r="K1976" s="10"/>
      <c r="M1976" s="20"/>
      <c r="N1976" s="20"/>
      <c r="O1976" s="20"/>
      <c r="P1976" s="20"/>
      <c r="Q1976" s="20"/>
      <c r="R1976" s="20"/>
      <c r="S1976" s="20"/>
      <c r="T1976" s="20"/>
      <c r="U1976" s="20"/>
      <c r="V1976" s="20"/>
      <c r="W1976" s="20"/>
      <c r="X1976" s="20"/>
      <c r="Y1976" s="22"/>
      <c r="Z1976" s="22"/>
      <c r="AA1976" s="20"/>
      <c r="AB1976" s="20"/>
      <c r="AC1976" s="20"/>
      <c r="AD1976" s="20"/>
      <c r="AE1976" s="20"/>
      <c r="AF1976" s="20"/>
      <c r="AG1976" s="20"/>
      <c r="AH1976" s="20"/>
      <c r="AI1976" s="20"/>
      <c r="AJ1976" s="20"/>
      <c r="AK1976" s="20"/>
      <c r="AL1976" s="20"/>
      <c r="AM1976" s="20"/>
      <c r="AN1976" s="20"/>
      <c r="AS1976" s="11"/>
      <c r="AT1976" s="12"/>
    </row>
    <row r="1977" ht="14.25" customHeight="1">
      <c r="A1977" s="20"/>
      <c r="B1977" s="20"/>
      <c r="C1977" s="20"/>
      <c r="D1977" s="21"/>
      <c r="E1977" s="20"/>
      <c r="F1977" s="20"/>
      <c r="G1977" s="20"/>
      <c r="H1977" s="20"/>
      <c r="K1977" s="10"/>
      <c r="M1977" s="20"/>
      <c r="N1977" s="20"/>
      <c r="O1977" s="20"/>
      <c r="P1977" s="20"/>
      <c r="Q1977" s="20"/>
      <c r="R1977" s="20"/>
      <c r="S1977" s="20"/>
      <c r="T1977" s="20"/>
      <c r="U1977" s="20"/>
      <c r="V1977" s="20"/>
      <c r="W1977" s="20"/>
      <c r="X1977" s="20"/>
      <c r="Y1977" s="22"/>
      <c r="Z1977" s="22"/>
      <c r="AA1977" s="20"/>
      <c r="AB1977" s="20"/>
      <c r="AC1977" s="20"/>
      <c r="AD1977" s="20"/>
      <c r="AE1977" s="20"/>
      <c r="AF1977" s="20"/>
      <c r="AG1977" s="20"/>
      <c r="AH1977" s="20"/>
      <c r="AI1977" s="20"/>
      <c r="AJ1977" s="20"/>
      <c r="AK1977" s="20"/>
      <c r="AL1977" s="20"/>
      <c r="AM1977" s="20"/>
      <c r="AN1977" s="20"/>
      <c r="AS1977" s="11"/>
      <c r="AT1977" s="12"/>
    </row>
    <row r="1978" ht="14.25" customHeight="1">
      <c r="A1978" s="20"/>
      <c r="B1978" s="20"/>
      <c r="C1978" s="20"/>
      <c r="D1978" s="21"/>
      <c r="E1978" s="20"/>
      <c r="F1978" s="20"/>
      <c r="G1978" s="20"/>
      <c r="H1978" s="20"/>
      <c r="K1978" s="10"/>
      <c r="M1978" s="20"/>
      <c r="N1978" s="20"/>
      <c r="O1978" s="20"/>
      <c r="P1978" s="20"/>
      <c r="Q1978" s="20"/>
      <c r="R1978" s="20"/>
      <c r="S1978" s="20"/>
      <c r="T1978" s="20"/>
      <c r="U1978" s="20"/>
      <c r="V1978" s="20"/>
      <c r="W1978" s="20"/>
      <c r="X1978" s="20"/>
      <c r="Y1978" s="22"/>
      <c r="Z1978" s="22"/>
      <c r="AA1978" s="20"/>
      <c r="AB1978" s="20"/>
      <c r="AC1978" s="20"/>
      <c r="AD1978" s="20"/>
      <c r="AE1978" s="20"/>
      <c r="AF1978" s="20"/>
      <c r="AG1978" s="20"/>
      <c r="AH1978" s="20"/>
      <c r="AI1978" s="20"/>
      <c r="AJ1978" s="20"/>
      <c r="AK1978" s="20"/>
      <c r="AL1978" s="20"/>
      <c r="AM1978" s="20"/>
      <c r="AN1978" s="20"/>
      <c r="AS1978" s="11"/>
      <c r="AT1978" s="12"/>
    </row>
    <row r="1979" ht="14.25" customHeight="1">
      <c r="A1979" s="20"/>
      <c r="B1979" s="20"/>
      <c r="C1979" s="20"/>
      <c r="D1979" s="21"/>
      <c r="E1979" s="20"/>
      <c r="F1979" s="20"/>
      <c r="G1979" s="20"/>
      <c r="H1979" s="20"/>
      <c r="K1979" s="10"/>
      <c r="M1979" s="20"/>
      <c r="N1979" s="20"/>
      <c r="O1979" s="20"/>
      <c r="P1979" s="20"/>
      <c r="Q1979" s="20"/>
      <c r="R1979" s="20"/>
      <c r="S1979" s="20"/>
      <c r="T1979" s="20"/>
      <c r="U1979" s="20"/>
      <c r="V1979" s="20"/>
      <c r="W1979" s="20"/>
      <c r="X1979" s="20"/>
      <c r="Y1979" s="22"/>
      <c r="Z1979" s="22"/>
      <c r="AA1979" s="20"/>
      <c r="AB1979" s="20"/>
      <c r="AC1979" s="20"/>
      <c r="AD1979" s="20"/>
      <c r="AE1979" s="20"/>
      <c r="AF1979" s="20"/>
      <c r="AG1979" s="20"/>
      <c r="AH1979" s="20"/>
      <c r="AI1979" s="20"/>
      <c r="AJ1979" s="20"/>
      <c r="AK1979" s="20"/>
      <c r="AL1979" s="20"/>
      <c r="AM1979" s="20"/>
      <c r="AN1979" s="20"/>
      <c r="AS1979" s="11"/>
      <c r="AT1979" s="12"/>
    </row>
    <row r="1980" ht="14.25" customHeight="1">
      <c r="A1980" s="20"/>
      <c r="B1980" s="20"/>
      <c r="C1980" s="20"/>
      <c r="D1980" s="21"/>
      <c r="E1980" s="20"/>
      <c r="F1980" s="20"/>
      <c r="G1980" s="20"/>
      <c r="H1980" s="20"/>
      <c r="K1980" s="10"/>
      <c r="M1980" s="20"/>
      <c r="N1980" s="20"/>
      <c r="O1980" s="20"/>
      <c r="P1980" s="20"/>
      <c r="Q1980" s="20"/>
      <c r="R1980" s="20"/>
      <c r="S1980" s="20"/>
      <c r="T1980" s="20"/>
      <c r="U1980" s="20"/>
      <c r="V1980" s="20"/>
      <c r="W1980" s="20"/>
      <c r="X1980" s="20"/>
      <c r="Y1980" s="22"/>
      <c r="Z1980" s="22"/>
      <c r="AA1980" s="20"/>
      <c r="AB1980" s="20"/>
      <c r="AC1980" s="20"/>
      <c r="AD1980" s="20"/>
      <c r="AE1980" s="20"/>
      <c r="AF1980" s="20"/>
      <c r="AG1980" s="20"/>
      <c r="AH1980" s="20"/>
      <c r="AI1980" s="20"/>
      <c r="AJ1980" s="20"/>
      <c r="AK1980" s="20"/>
      <c r="AL1980" s="20"/>
      <c r="AM1980" s="20"/>
      <c r="AN1980" s="20"/>
      <c r="AS1980" s="11"/>
      <c r="AT1980" s="12"/>
    </row>
    <row r="1981" ht="14.25" customHeight="1">
      <c r="A1981" s="20"/>
      <c r="B1981" s="20"/>
      <c r="C1981" s="20"/>
      <c r="D1981" s="21"/>
      <c r="E1981" s="20"/>
      <c r="F1981" s="20"/>
      <c r="G1981" s="20"/>
      <c r="H1981" s="20"/>
      <c r="K1981" s="10"/>
      <c r="M1981" s="20"/>
      <c r="N1981" s="20"/>
      <c r="O1981" s="20"/>
      <c r="P1981" s="20"/>
      <c r="Q1981" s="20"/>
      <c r="R1981" s="20"/>
      <c r="S1981" s="20"/>
      <c r="T1981" s="20"/>
      <c r="U1981" s="20"/>
      <c r="V1981" s="20"/>
      <c r="W1981" s="20"/>
      <c r="X1981" s="20"/>
      <c r="Y1981" s="22"/>
      <c r="Z1981" s="22"/>
      <c r="AA1981" s="20"/>
      <c r="AB1981" s="20"/>
      <c r="AC1981" s="20"/>
      <c r="AD1981" s="20"/>
      <c r="AE1981" s="20"/>
      <c r="AF1981" s="20"/>
      <c r="AG1981" s="20"/>
      <c r="AH1981" s="20"/>
      <c r="AI1981" s="20"/>
      <c r="AJ1981" s="20"/>
      <c r="AK1981" s="20"/>
      <c r="AL1981" s="20"/>
      <c r="AM1981" s="20"/>
      <c r="AN1981" s="20"/>
      <c r="AS1981" s="11"/>
      <c r="AT1981" s="12"/>
    </row>
    <row r="1982" ht="14.25" customHeight="1">
      <c r="A1982" s="20"/>
      <c r="B1982" s="20"/>
      <c r="C1982" s="20"/>
      <c r="D1982" s="21"/>
      <c r="E1982" s="20"/>
      <c r="F1982" s="20"/>
      <c r="G1982" s="20"/>
      <c r="H1982" s="20"/>
      <c r="K1982" s="10"/>
      <c r="M1982" s="20"/>
      <c r="N1982" s="20"/>
      <c r="O1982" s="20"/>
      <c r="P1982" s="20"/>
      <c r="Q1982" s="20"/>
      <c r="R1982" s="20"/>
      <c r="S1982" s="20"/>
      <c r="T1982" s="20"/>
      <c r="U1982" s="20"/>
      <c r="V1982" s="20"/>
      <c r="W1982" s="20"/>
      <c r="X1982" s="20"/>
      <c r="Y1982" s="22"/>
      <c r="Z1982" s="22"/>
      <c r="AA1982" s="20"/>
      <c r="AB1982" s="20"/>
      <c r="AC1982" s="20"/>
      <c r="AD1982" s="20"/>
      <c r="AE1982" s="20"/>
      <c r="AF1982" s="20"/>
      <c r="AG1982" s="20"/>
      <c r="AH1982" s="20"/>
      <c r="AI1982" s="20"/>
      <c r="AJ1982" s="20"/>
      <c r="AK1982" s="20"/>
      <c r="AL1982" s="20"/>
      <c r="AM1982" s="20"/>
      <c r="AN1982" s="20"/>
      <c r="AS1982" s="11"/>
      <c r="AT1982" s="12"/>
    </row>
    <row r="1983" ht="14.25" customHeight="1">
      <c r="A1983" s="20"/>
      <c r="B1983" s="20"/>
      <c r="C1983" s="20"/>
      <c r="D1983" s="21"/>
      <c r="E1983" s="20"/>
      <c r="F1983" s="20"/>
      <c r="G1983" s="20"/>
      <c r="H1983" s="20"/>
      <c r="K1983" s="10"/>
      <c r="M1983" s="20"/>
      <c r="N1983" s="20"/>
      <c r="O1983" s="20"/>
      <c r="P1983" s="20"/>
      <c r="Q1983" s="20"/>
      <c r="R1983" s="20"/>
      <c r="S1983" s="20"/>
      <c r="T1983" s="20"/>
      <c r="U1983" s="20"/>
      <c r="V1983" s="20"/>
      <c r="W1983" s="20"/>
      <c r="X1983" s="20"/>
      <c r="Y1983" s="22"/>
      <c r="Z1983" s="22"/>
      <c r="AA1983" s="20"/>
      <c r="AB1983" s="20"/>
      <c r="AC1983" s="20"/>
      <c r="AD1983" s="20"/>
      <c r="AE1983" s="20"/>
      <c r="AF1983" s="20"/>
      <c r="AG1983" s="20"/>
      <c r="AH1983" s="20"/>
      <c r="AI1983" s="20"/>
      <c r="AJ1983" s="20"/>
      <c r="AK1983" s="20"/>
      <c r="AL1983" s="20"/>
      <c r="AM1983" s="20"/>
      <c r="AN1983" s="20"/>
      <c r="AS1983" s="11"/>
      <c r="AT1983" s="12"/>
    </row>
    <row r="1984" ht="14.25" customHeight="1">
      <c r="A1984" s="20"/>
      <c r="B1984" s="20"/>
      <c r="C1984" s="20"/>
      <c r="D1984" s="21"/>
      <c r="E1984" s="20"/>
      <c r="F1984" s="20"/>
      <c r="G1984" s="20"/>
      <c r="H1984" s="20"/>
      <c r="K1984" s="10"/>
      <c r="M1984" s="20"/>
      <c r="N1984" s="20"/>
      <c r="O1984" s="20"/>
      <c r="P1984" s="20"/>
      <c r="Q1984" s="20"/>
      <c r="R1984" s="20"/>
      <c r="S1984" s="20"/>
      <c r="T1984" s="20"/>
      <c r="U1984" s="20"/>
      <c r="V1984" s="20"/>
      <c r="W1984" s="20"/>
      <c r="X1984" s="20"/>
      <c r="Y1984" s="22"/>
      <c r="Z1984" s="22"/>
      <c r="AA1984" s="20"/>
      <c r="AB1984" s="20"/>
      <c r="AC1984" s="20"/>
      <c r="AD1984" s="20"/>
      <c r="AE1984" s="20"/>
      <c r="AF1984" s="20"/>
      <c r="AG1984" s="20"/>
      <c r="AH1984" s="20"/>
      <c r="AI1984" s="20"/>
      <c r="AJ1984" s="20"/>
      <c r="AK1984" s="20"/>
      <c r="AL1984" s="20"/>
      <c r="AM1984" s="20"/>
      <c r="AN1984" s="20"/>
      <c r="AS1984" s="11"/>
      <c r="AT1984" s="12"/>
    </row>
    <row r="1985" ht="14.25" customHeight="1">
      <c r="A1985" s="20"/>
      <c r="B1985" s="20"/>
      <c r="C1985" s="20"/>
      <c r="D1985" s="21"/>
      <c r="E1985" s="20"/>
      <c r="F1985" s="20"/>
      <c r="G1985" s="20"/>
      <c r="H1985" s="20"/>
      <c r="K1985" s="10"/>
      <c r="M1985" s="20"/>
      <c r="N1985" s="20"/>
      <c r="O1985" s="20"/>
      <c r="P1985" s="20"/>
      <c r="Q1985" s="20"/>
      <c r="R1985" s="20"/>
      <c r="S1985" s="20"/>
      <c r="T1985" s="20"/>
      <c r="U1985" s="20"/>
      <c r="V1985" s="20"/>
      <c r="W1985" s="20"/>
      <c r="X1985" s="20"/>
      <c r="Y1985" s="22"/>
      <c r="Z1985" s="22"/>
      <c r="AA1985" s="20"/>
      <c r="AB1985" s="20"/>
      <c r="AC1985" s="20"/>
      <c r="AD1985" s="20"/>
      <c r="AE1985" s="20"/>
      <c r="AF1985" s="20"/>
      <c r="AG1985" s="20"/>
      <c r="AH1985" s="20"/>
      <c r="AI1985" s="20"/>
      <c r="AJ1985" s="20"/>
      <c r="AK1985" s="20"/>
      <c r="AL1985" s="20"/>
      <c r="AM1985" s="20"/>
      <c r="AN1985" s="20"/>
      <c r="AS1985" s="11"/>
      <c r="AT1985" s="12"/>
    </row>
    <row r="1986" ht="14.25" customHeight="1">
      <c r="A1986" s="20"/>
      <c r="B1986" s="20"/>
      <c r="C1986" s="20"/>
      <c r="D1986" s="21"/>
      <c r="E1986" s="20"/>
      <c r="F1986" s="20"/>
      <c r="G1986" s="20"/>
      <c r="H1986" s="20"/>
      <c r="K1986" s="10"/>
      <c r="M1986" s="20"/>
      <c r="N1986" s="20"/>
      <c r="O1986" s="20"/>
      <c r="P1986" s="20"/>
      <c r="Q1986" s="20"/>
      <c r="R1986" s="20"/>
      <c r="S1986" s="20"/>
      <c r="T1986" s="20"/>
      <c r="U1986" s="20"/>
      <c r="V1986" s="20"/>
      <c r="W1986" s="20"/>
      <c r="X1986" s="20"/>
      <c r="Y1986" s="22"/>
      <c r="Z1986" s="22"/>
      <c r="AA1986" s="20"/>
      <c r="AB1986" s="20"/>
      <c r="AC1986" s="20"/>
      <c r="AD1986" s="20"/>
      <c r="AE1986" s="20"/>
      <c r="AF1986" s="20"/>
      <c r="AG1986" s="20"/>
      <c r="AH1986" s="20"/>
      <c r="AI1986" s="20"/>
      <c r="AJ1986" s="20"/>
      <c r="AK1986" s="20"/>
      <c r="AL1986" s="20"/>
      <c r="AM1986" s="20"/>
      <c r="AN1986" s="20"/>
      <c r="AS1986" s="11"/>
      <c r="AT1986" s="12"/>
    </row>
    <row r="1987" ht="14.25" customHeight="1">
      <c r="A1987" s="20"/>
      <c r="B1987" s="20"/>
      <c r="C1987" s="20"/>
      <c r="D1987" s="21"/>
      <c r="E1987" s="20"/>
      <c r="F1987" s="20"/>
      <c r="G1987" s="20"/>
      <c r="H1987" s="20"/>
      <c r="K1987" s="10"/>
      <c r="M1987" s="20"/>
      <c r="N1987" s="20"/>
      <c r="O1987" s="20"/>
      <c r="P1987" s="20"/>
      <c r="Q1987" s="20"/>
      <c r="R1987" s="20"/>
      <c r="S1987" s="20"/>
      <c r="T1987" s="20"/>
      <c r="U1987" s="20"/>
      <c r="V1987" s="20"/>
      <c r="W1987" s="20"/>
      <c r="X1987" s="20"/>
      <c r="Y1987" s="22"/>
      <c r="Z1987" s="22"/>
      <c r="AA1987" s="20"/>
      <c r="AB1987" s="20"/>
      <c r="AC1987" s="20"/>
      <c r="AD1987" s="20"/>
      <c r="AE1987" s="20"/>
      <c r="AF1987" s="20"/>
      <c r="AG1987" s="20"/>
      <c r="AH1987" s="20"/>
      <c r="AI1987" s="20"/>
      <c r="AJ1987" s="20"/>
      <c r="AK1987" s="20"/>
      <c r="AL1987" s="20"/>
      <c r="AM1987" s="20"/>
      <c r="AN1987" s="20"/>
      <c r="AS1987" s="11"/>
      <c r="AT1987" s="12"/>
    </row>
    <row r="1988" ht="14.25" customHeight="1">
      <c r="A1988" s="20"/>
      <c r="B1988" s="20"/>
      <c r="C1988" s="20"/>
      <c r="D1988" s="21"/>
      <c r="E1988" s="20"/>
      <c r="F1988" s="20"/>
      <c r="G1988" s="20"/>
      <c r="H1988" s="20"/>
      <c r="K1988" s="10"/>
      <c r="M1988" s="20"/>
      <c r="N1988" s="20"/>
      <c r="O1988" s="20"/>
      <c r="P1988" s="20"/>
      <c r="Q1988" s="20"/>
      <c r="R1988" s="20"/>
      <c r="S1988" s="20"/>
      <c r="T1988" s="20"/>
      <c r="U1988" s="20"/>
      <c r="V1988" s="20"/>
      <c r="W1988" s="20"/>
      <c r="X1988" s="20"/>
      <c r="Y1988" s="22"/>
      <c r="Z1988" s="22"/>
      <c r="AA1988" s="20"/>
      <c r="AB1988" s="20"/>
      <c r="AC1988" s="20"/>
      <c r="AD1988" s="20"/>
      <c r="AE1988" s="20"/>
      <c r="AF1988" s="20"/>
      <c r="AG1988" s="20"/>
      <c r="AH1988" s="20"/>
      <c r="AI1988" s="20"/>
      <c r="AJ1988" s="20"/>
      <c r="AK1988" s="20"/>
      <c r="AL1988" s="20"/>
      <c r="AM1988" s="20"/>
      <c r="AN1988" s="20"/>
      <c r="AS1988" s="11"/>
      <c r="AT1988" s="12"/>
    </row>
    <row r="1989" ht="14.25" customHeight="1">
      <c r="A1989" s="20"/>
      <c r="B1989" s="20"/>
      <c r="C1989" s="20"/>
      <c r="D1989" s="21"/>
      <c r="E1989" s="20"/>
      <c r="F1989" s="20"/>
      <c r="G1989" s="20"/>
      <c r="H1989" s="20"/>
      <c r="K1989" s="10"/>
      <c r="M1989" s="20"/>
      <c r="N1989" s="20"/>
      <c r="O1989" s="20"/>
      <c r="P1989" s="20"/>
      <c r="Q1989" s="20"/>
      <c r="R1989" s="20"/>
      <c r="S1989" s="20"/>
      <c r="T1989" s="20"/>
      <c r="U1989" s="20"/>
      <c r="V1989" s="20"/>
      <c r="W1989" s="20"/>
      <c r="X1989" s="20"/>
      <c r="Y1989" s="22"/>
      <c r="Z1989" s="22"/>
      <c r="AA1989" s="20"/>
      <c r="AB1989" s="20"/>
      <c r="AC1989" s="20"/>
      <c r="AD1989" s="20"/>
      <c r="AE1989" s="20"/>
      <c r="AF1989" s="20"/>
      <c r="AG1989" s="20"/>
      <c r="AH1989" s="20"/>
      <c r="AI1989" s="20"/>
      <c r="AJ1989" s="20"/>
      <c r="AK1989" s="20"/>
      <c r="AL1989" s="20"/>
      <c r="AM1989" s="20"/>
      <c r="AN1989" s="20"/>
      <c r="AS1989" s="11"/>
      <c r="AT1989" s="12"/>
    </row>
    <row r="1990" ht="14.25" customHeight="1">
      <c r="A1990" s="20"/>
      <c r="B1990" s="20"/>
      <c r="C1990" s="20"/>
      <c r="D1990" s="21"/>
      <c r="E1990" s="20"/>
      <c r="F1990" s="20"/>
      <c r="G1990" s="20"/>
      <c r="H1990" s="20"/>
      <c r="K1990" s="10"/>
      <c r="M1990" s="20"/>
      <c r="N1990" s="20"/>
      <c r="O1990" s="20"/>
      <c r="P1990" s="20"/>
      <c r="Q1990" s="20"/>
      <c r="R1990" s="20"/>
      <c r="S1990" s="20"/>
      <c r="T1990" s="20"/>
      <c r="U1990" s="20"/>
      <c r="V1990" s="20"/>
      <c r="W1990" s="20"/>
      <c r="X1990" s="20"/>
      <c r="Y1990" s="22"/>
      <c r="Z1990" s="22"/>
      <c r="AA1990" s="20"/>
      <c r="AB1990" s="20"/>
      <c r="AC1990" s="20"/>
      <c r="AD1990" s="20"/>
      <c r="AE1990" s="20"/>
      <c r="AF1990" s="20"/>
      <c r="AG1990" s="20"/>
      <c r="AH1990" s="20"/>
      <c r="AI1990" s="20"/>
      <c r="AJ1990" s="20"/>
      <c r="AK1990" s="20"/>
      <c r="AL1990" s="20"/>
      <c r="AM1990" s="20"/>
      <c r="AN1990" s="20"/>
      <c r="AS1990" s="11"/>
      <c r="AT1990" s="12"/>
    </row>
    <row r="1991" ht="14.25" customHeight="1">
      <c r="A1991" s="20"/>
      <c r="B1991" s="20"/>
      <c r="C1991" s="20"/>
      <c r="D1991" s="21"/>
      <c r="E1991" s="20"/>
      <c r="F1991" s="20"/>
      <c r="G1991" s="20"/>
      <c r="H1991" s="20"/>
      <c r="K1991" s="10"/>
      <c r="M1991" s="20"/>
      <c r="N1991" s="20"/>
      <c r="O1991" s="20"/>
      <c r="P1991" s="20"/>
      <c r="Q1991" s="20"/>
      <c r="R1991" s="20"/>
      <c r="S1991" s="20"/>
      <c r="T1991" s="20"/>
      <c r="U1991" s="20"/>
      <c r="V1991" s="20"/>
      <c r="W1991" s="20"/>
      <c r="X1991" s="20"/>
      <c r="Y1991" s="22"/>
      <c r="Z1991" s="22"/>
      <c r="AA1991" s="20"/>
      <c r="AB1991" s="20"/>
      <c r="AC1991" s="20"/>
      <c r="AD1991" s="20"/>
      <c r="AE1991" s="20"/>
      <c r="AF1991" s="20"/>
      <c r="AG1991" s="20"/>
      <c r="AH1991" s="20"/>
      <c r="AI1991" s="20"/>
      <c r="AJ1991" s="20"/>
      <c r="AK1991" s="20"/>
      <c r="AL1991" s="20"/>
      <c r="AM1991" s="20"/>
      <c r="AN1991" s="20"/>
      <c r="AS1991" s="11"/>
      <c r="AT1991" s="12"/>
    </row>
    <row r="1992" ht="14.25" customHeight="1">
      <c r="A1992" s="20"/>
      <c r="B1992" s="20"/>
      <c r="C1992" s="20"/>
      <c r="D1992" s="21"/>
      <c r="E1992" s="20"/>
      <c r="F1992" s="20"/>
      <c r="G1992" s="20"/>
      <c r="H1992" s="20"/>
      <c r="K1992" s="10"/>
      <c r="M1992" s="20"/>
      <c r="N1992" s="20"/>
      <c r="O1992" s="20"/>
      <c r="P1992" s="20"/>
      <c r="Q1992" s="20"/>
      <c r="R1992" s="20"/>
      <c r="S1992" s="20"/>
      <c r="T1992" s="20"/>
      <c r="U1992" s="20"/>
      <c r="V1992" s="20"/>
      <c r="W1992" s="20"/>
      <c r="X1992" s="20"/>
      <c r="Y1992" s="22"/>
      <c r="Z1992" s="22"/>
      <c r="AA1992" s="20"/>
      <c r="AB1992" s="20"/>
      <c r="AC1992" s="20"/>
      <c r="AD1992" s="20"/>
      <c r="AE1992" s="20"/>
      <c r="AF1992" s="20"/>
      <c r="AG1992" s="20"/>
      <c r="AH1992" s="20"/>
      <c r="AI1992" s="20"/>
      <c r="AJ1992" s="20"/>
      <c r="AK1992" s="20"/>
      <c r="AL1992" s="20"/>
      <c r="AM1992" s="20"/>
      <c r="AN1992" s="20"/>
      <c r="AS1992" s="11"/>
      <c r="AT1992" s="12"/>
    </row>
    <row r="1993" ht="14.25" customHeight="1">
      <c r="A1993" s="20"/>
      <c r="B1993" s="20"/>
      <c r="C1993" s="20"/>
      <c r="D1993" s="21"/>
      <c r="E1993" s="20"/>
      <c r="F1993" s="20"/>
      <c r="G1993" s="20"/>
      <c r="H1993" s="20"/>
      <c r="K1993" s="10"/>
      <c r="M1993" s="20"/>
      <c r="N1993" s="20"/>
      <c r="O1993" s="20"/>
      <c r="P1993" s="20"/>
      <c r="Q1993" s="20"/>
      <c r="R1993" s="20"/>
      <c r="S1993" s="20"/>
      <c r="T1993" s="20"/>
      <c r="U1993" s="20"/>
      <c r="V1993" s="20"/>
      <c r="W1993" s="20"/>
      <c r="X1993" s="20"/>
      <c r="Y1993" s="22"/>
      <c r="Z1993" s="22"/>
      <c r="AA1993" s="20"/>
      <c r="AB1993" s="20"/>
      <c r="AC1993" s="20"/>
      <c r="AD1993" s="20"/>
      <c r="AE1993" s="20"/>
      <c r="AF1993" s="20"/>
      <c r="AG1993" s="20"/>
      <c r="AH1993" s="20"/>
      <c r="AI1993" s="20"/>
      <c r="AJ1993" s="20"/>
      <c r="AK1993" s="20"/>
      <c r="AL1993" s="20"/>
      <c r="AM1993" s="20"/>
      <c r="AN1993" s="20"/>
      <c r="AS1993" s="11"/>
      <c r="AT1993" s="12"/>
    </row>
    <row r="1994" ht="14.25" customHeight="1">
      <c r="A1994" s="20"/>
      <c r="B1994" s="20"/>
      <c r="C1994" s="20"/>
      <c r="D1994" s="21"/>
      <c r="E1994" s="20"/>
      <c r="F1994" s="20"/>
      <c r="G1994" s="20"/>
      <c r="H1994" s="20"/>
      <c r="K1994" s="10"/>
      <c r="M1994" s="20"/>
      <c r="N1994" s="20"/>
      <c r="O1994" s="20"/>
      <c r="P1994" s="20"/>
      <c r="Q1994" s="20"/>
      <c r="R1994" s="20"/>
      <c r="S1994" s="20"/>
      <c r="T1994" s="20"/>
      <c r="U1994" s="20"/>
      <c r="V1994" s="20"/>
      <c r="W1994" s="20"/>
      <c r="X1994" s="20"/>
      <c r="Y1994" s="22"/>
      <c r="Z1994" s="22"/>
      <c r="AA1994" s="20"/>
      <c r="AB1994" s="20"/>
      <c r="AC1994" s="20"/>
      <c r="AD1994" s="20"/>
      <c r="AE1994" s="20"/>
      <c r="AF1994" s="20"/>
      <c r="AG1994" s="20"/>
      <c r="AH1994" s="20"/>
      <c r="AI1994" s="20"/>
      <c r="AJ1994" s="20"/>
      <c r="AK1994" s="20"/>
      <c r="AL1994" s="20"/>
      <c r="AM1994" s="20"/>
      <c r="AN1994" s="20"/>
      <c r="AS1994" s="11"/>
      <c r="AT1994" s="12"/>
    </row>
    <row r="1995" ht="14.25" customHeight="1">
      <c r="A1995" s="20"/>
      <c r="B1995" s="20"/>
      <c r="C1995" s="20"/>
      <c r="D1995" s="21"/>
      <c r="E1995" s="20"/>
      <c r="F1995" s="20"/>
      <c r="G1995" s="20"/>
      <c r="H1995" s="20"/>
      <c r="K1995" s="10"/>
      <c r="M1995" s="20"/>
      <c r="N1995" s="20"/>
      <c r="O1995" s="20"/>
      <c r="P1995" s="20"/>
      <c r="Q1995" s="20"/>
      <c r="R1995" s="20"/>
      <c r="S1995" s="20"/>
      <c r="T1995" s="20"/>
      <c r="U1995" s="20"/>
      <c r="V1995" s="20"/>
      <c r="W1995" s="20"/>
      <c r="X1995" s="20"/>
      <c r="Y1995" s="22"/>
      <c r="Z1995" s="22"/>
      <c r="AA1995" s="20"/>
      <c r="AB1995" s="20"/>
      <c r="AC1995" s="20"/>
      <c r="AD1995" s="20"/>
      <c r="AE1995" s="20"/>
      <c r="AF1995" s="20"/>
      <c r="AG1995" s="20"/>
      <c r="AH1995" s="20"/>
      <c r="AI1995" s="20"/>
      <c r="AJ1995" s="20"/>
      <c r="AK1995" s="20"/>
      <c r="AL1995" s="20"/>
      <c r="AM1995" s="20"/>
      <c r="AN1995" s="20"/>
      <c r="AS1995" s="11"/>
      <c r="AT1995" s="12"/>
    </row>
    <row r="1996" ht="14.25" customHeight="1">
      <c r="A1996" s="20"/>
      <c r="B1996" s="20"/>
      <c r="C1996" s="20"/>
      <c r="D1996" s="21"/>
      <c r="E1996" s="20"/>
      <c r="F1996" s="20"/>
      <c r="G1996" s="20"/>
      <c r="H1996" s="20"/>
      <c r="K1996" s="10"/>
      <c r="M1996" s="20"/>
      <c r="N1996" s="20"/>
      <c r="O1996" s="20"/>
      <c r="P1996" s="20"/>
      <c r="Q1996" s="20"/>
      <c r="R1996" s="20"/>
      <c r="S1996" s="20"/>
      <c r="T1996" s="20"/>
      <c r="U1996" s="20"/>
      <c r="V1996" s="20"/>
      <c r="W1996" s="20"/>
      <c r="X1996" s="20"/>
      <c r="Y1996" s="22"/>
      <c r="Z1996" s="22"/>
      <c r="AA1996" s="20"/>
      <c r="AB1996" s="20"/>
      <c r="AC1996" s="20"/>
      <c r="AD1996" s="20"/>
      <c r="AE1996" s="20"/>
      <c r="AF1996" s="20"/>
      <c r="AG1996" s="20"/>
      <c r="AH1996" s="20"/>
      <c r="AI1996" s="20"/>
      <c r="AJ1996" s="20"/>
      <c r="AK1996" s="20"/>
      <c r="AL1996" s="20"/>
      <c r="AM1996" s="20"/>
      <c r="AN1996" s="20"/>
      <c r="AS1996" s="11"/>
      <c r="AT1996" s="12"/>
    </row>
    <row r="1997" ht="14.25" customHeight="1">
      <c r="A1997" s="20"/>
      <c r="B1997" s="20"/>
      <c r="C1997" s="20"/>
      <c r="D1997" s="21"/>
      <c r="E1997" s="20"/>
      <c r="F1997" s="20"/>
      <c r="G1997" s="20"/>
      <c r="H1997" s="20"/>
      <c r="K1997" s="10"/>
      <c r="M1997" s="20"/>
      <c r="N1997" s="20"/>
      <c r="O1997" s="20"/>
      <c r="P1997" s="20"/>
      <c r="Q1997" s="20"/>
      <c r="R1997" s="20"/>
      <c r="S1997" s="20"/>
      <c r="T1997" s="20"/>
      <c r="U1997" s="20"/>
      <c r="V1997" s="20"/>
      <c r="W1997" s="20"/>
      <c r="X1997" s="20"/>
      <c r="Y1997" s="22"/>
      <c r="Z1997" s="22"/>
      <c r="AA1997" s="20"/>
      <c r="AB1997" s="20"/>
      <c r="AC1997" s="20"/>
      <c r="AD1997" s="20"/>
      <c r="AE1997" s="20"/>
      <c r="AF1997" s="20"/>
      <c r="AG1997" s="20"/>
      <c r="AH1997" s="20"/>
      <c r="AI1997" s="20"/>
      <c r="AJ1997" s="20"/>
      <c r="AK1997" s="20"/>
      <c r="AL1997" s="20"/>
      <c r="AM1997" s="20"/>
      <c r="AN1997" s="20"/>
      <c r="AS1997" s="11"/>
      <c r="AT1997" s="12"/>
    </row>
    <row r="1998" ht="14.25" customHeight="1">
      <c r="A1998" s="20"/>
      <c r="B1998" s="20"/>
      <c r="C1998" s="20"/>
      <c r="D1998" s="21"/>
      <c r="E1998" s="20"/>
      <c r="F1998" s="20"/>
      <c r="G1998" s="20"/>
      <c r="H1998" s="20"/>
      <c r="K1998" s="10"/>
      <c r="M1998" s="20"/>
      <c r="N1998" s="20"/>
      <c r="O1998" s="20"/>
      <c r="P1998" s="20"/>
      <c r="Q1998" s="20"/>
      <c r="R1998" s="20"/>
      <c r="S1998" s="20"/>
      <c r="T1998" s="20"/>
      <c r="U1998" s="20"/>
      <c r="V1998" s="20"/>
      <c r="W1998" s="20"/>
      <c r="X1998" s="20"/>
      <c r="Y1998" s="22"/>
      <c r="Z1998" s="22"/>
      <c r="AA1998" s="20"/>
      <c r="AB1998" s="20"/>
      <c r="AC1998" s="20"/>
      <c r="AD1998" s="20"/>
      <c r="AE1998" s="20"/>
      <c r="AF1998" s="20"/>
      <c r="AG1998" s="20"/>
      <c r="AH1998" s="20"/>
      <c r="AI1998" s="20"/>
      <c r="AJ1998" s="20"/>
      <c r="AK1998" s="20"/>
      <c r="AL1998" s="20"/>
      <c r="AM1998" s="20"/>
      <c r="AN1998" s="20"/>
      <c r="AS1998" s="11"/>
      <c r="AT1998" s="12"/>
    </row>
    <row r="1999" ht="14.25" customHeight="1">
      <c r="A1999" s="20"/>
      <c r="B1999" s="20"/>
      <c r="C1999" s="20"/>
      <c r="D1999" s="21"/>
      <c r="E1999" s="20"/>
      <c r="F1999" s="20"/>
      <c r="G1999" s="20"/>
      <c r="H1999" s="20"/>
      <c r="K1999" s="10"/>
      <c r="M1999" s="20"/>
      <c r="N1999" s="20"/>
      <c r="O1999" s="20"/>
      <c r="P1999" s="20"/>
      <c r="Q1999" s="20"/>
      <c r="R1999" s="20"/>
      <c r="S1999" s="20"/>
      <c r="T1999" s="20"/>
      <c r="U1999" s="20"/>
      <c r="V1999" s="20"/>
      <c r="W1999" s="20"/>
      <c r="X1999" s="20"/>
      <c r="Y1999" s="22"/>
      <c r="Z1999" s="22"/>
      <c r="AA1999" s="20"/>
      <c r="AB1999" s="20"/>
      <c r="AC1999" s="20"/>
      <c r="AD1999" s="20"/>
      <c r="AE1999" s="20"/>
      <c r="AF1999" s="20"/>
      <c r="AG1999" s="20"/>
      <c r="AH1999" s="20"/>
      <c r="AI1999" s="20"/>
      <c r="AJ1999" s="20"/>
      <c r="AK1999" s="20"/>
      <c r="AL1999" s="20"/>
      <c r="AM1999" s="20"/>
      <c r="AN1999" s="20"/>
      <c r="AS1999" s="11"/>
      <c r="AT1999" s="12"/>
    </row>
    <row r="2000" ht="14.25" customHeight="1">
      <c r="A2000" s="20"/>
      <c r="B2000" s="20"/>
      <c r="C2000" s="20"/>
      <c r="D2000" s="21"/>
      <c r="E2000" s="20"/>
      <c r="F2000" s="20"/>
      <c r="G2000" s="20"/>
      <c r="H2000" s="20"/>
      <c r="K2000" s="10"/>
      <c r="M2000" s="20"/>
      <c r="N2000" s="20"/>
      <c r="O2000" s="20"/>
      <c r="P2000" s="20"/>
      <c r="Q2000" s="20"/>
      <c r="R2000" s="20"/>
      <c r="S2000" s="20"/>
      <c r="T2000" s="20"/>
      <c r="U2000" s="20"/>
      <c r="V2000" s="20"/>
      <c r="W2000" s="20"/>
      <c r="X2000" s="20"/>
      <c r="Y2000" s="22"/>
      <c r="Z2000" s="22"/>
      <c r="AA2000" s="20"/>
      <c r="AB2000" s="20"/>
      <c r="AC2000" s="20"/>
      <c r="AD2000" s="20"/>
      <c r="AE2000" s="20"/>
      <c r="AF2000" s="20"/>
      <c r="AG2000" s="20"/>
      <c r="AH2000" s="20"/>
      <c r="AI2000" s="20"/>
      <c r="AJ2000" s="20"/>
      <c r="AK2000" s="20"/>
      <c r="AL2000" s="20"/>
      <c r="AM2000" s="20"/>
      <c r="AN2000" s="20"/>
      <c r="AS2000" s="11"/>
      <c r="AT2000" s="12"/>
    </row>
    <row r="2001" ht="14.25" customHeight="1">
      <c r="A2001" s="20"/>
      <c r="B2001" s="20"/>
      <c r="C2001" s="20"/>
      <c r="D2001" s="21"/>
      <c r="E2001" s="20"/>
      <c r="F2001" s="20"/>
      <c r="G2001" s="20"/>
      <c r="H2001" s="20"/>
      <c r="K2001" s="10"/>
      <c r="M2001" s="20"/>
      <c r="N2001" s="20"/>
      <c r="O2001" s="20"/>
      <c r="P2001" s="20"/>
      <c r="Q2001" s="20"/>
      <c r="R2001" s="20"/>
      <c r="S2001" s="20"/>
      <c r="T2001" s="20"/>
      <c r="U2001" s="20"/>
      <c r="V2001" s="20"/>
      <c r="W2001" s="20"/>
      <c r="X2001" s="20"/>
      <c r="Y2001" s="22"/>
      <c r="Z2001" s="22"/>
      <c r="AA2001" s="20"/>
      <c r="AB2001" s="20"/>
      <c r="AC2001" s="20"/>
      <c r="AD2001" s="20"/>
      <c r="AE2001" s="20"/>
      <c r="AF2001" s="20"/>
      <c r="AG2001" s="20"/>
      <c r="AH2001" s="20"/>
      <c r="AI2001" s="20"/>
      <c r="AJ2001" s="20"/>
      <c r="AK2001" s="20"/>
      <c r="AL2001" s="20"/>
      <c r="AM2001" s="20"/>
      <c r="AN2001" s="20"/>
      <c r="AS2001" s="11"/>
      <c r="AT2001" s="12"/>
    </row>
    <row r="2002" ht="14.25" customHeight="1">
      <c r="A2002" s="20"/>
      <c r="B2002" s="20"/>
      <c r="C2002" s="20"/>
      <c r="D2002" s="21"/>
      <c r="E2002" s="20"/>
      <c r="F2002" s="20"/>
      <c r="G2002" s="20"/>
      <c r="H2002" s="20"/>
      <c r="K2002" s="10"/>
      <c r="M2002" s="20"/>
      <c r="N2002" s="20"/>
      <c r="O2002" s="20"/>
      <c r="P2002" s="20"/>
      <c r="Q2002" s="20"/>
      <c r="R2002" s="20"/>
      <c r="S2002" s="20"/>
      <c r="T2002" s="20"/>
      <c r="U2002" s="20"/>
      <c r="V2002" s="20"/>
      <c r="W2002" s="20"/>
      <c r="X2002" s="20"/>
      <c r="Y2002" s="22"/>
      <c r="Z2002" s="22"/>
      <c r="AA2002" s="20"/>
      <c r="AB2002" s="20"/>
      <c r="AC2002" s="20"/>
      <c r="AD2002" s="20"/>
      <c r="AE2002" s="20"/>
      <c r="AF2002" s="20"/>
      <c r="AG2002" s="20"/>
      <c r="AH2002" s="20"/>
      <c r="AI2002" s="20"/>
      <c r="AJ2002" s="20"/>
      <c r="AK2002" s="20"/>
      <c r="AL2002" s="20"/>
      <c r="AM2002" s="20"/>
      <c r="AN2002" s="20"/>
      <c r="AS2002" s="11"/>
      <c r="AT2002" s="12"/>
    </row>
    <row r="2003" ht="14.25" customHeight="1">
      <c r="A2003" s="20"/>
      <c r="B2003" s="20"/>
      <c r="C2003" s="20"/>
      <c r="D2003" s="21"/>
      <c r="E2003" s="20"/>
      <c r="F2003" s="20"/>
      <c r="G2003" s="20"/>
      <c r="H2003" s="20"/>
      <c r="K2003" s="10"/>
      <c r="M2003" s="20"/>
      <c r="N2003" s="20"/>
      <c r="O2003" s="20"/>
      <c r="P2003" s="20"/>
      <c r="Q2003" s="20"/>
      <c r="R2003" s="20"/>
      <c r="S2003" s="20"/>
      <c r="T2003" s="20"/>
      <c r="U2003" s="20"/>
      <c r="V2003" s="20"/>
      <c r="W2003" s="20"/>
      <c r="X2003" s="20"/>
      <c r="Y2003" s="22"/>
      <c r="Z2003" s="22"/>
      <c r="AA2003" s="20"/>
      <c r="AB2003" s="20"/>
      <c r="AC2003" s="20"/>
      <c r="AD2003" s="20"/>
      <c r="AE2003" s="20"/>
      <c r="AF2003" s="20"/>
      <c r="AG2003" s="20"/>
      <c r="AH2003" s="20"/>
      <c r="AI2003" s="20"/>
      <c r="AJ2003" s="20"/>
      <c r="AK2003" s="20"/>
      <c r="AL2003" s="20"/>
      <c r="AM2003" s="20"/>
      <c r="AN2003" s="20"/>
      <c r="AS2003" s="11"/>
      <c r="AT2003" s="12"/>
    </row>
    <row r="2004" ht="14.25" customHeight="1">
      <c r="A2004" s="20"/>
      <c r="B2004" s="20"/>
      <c r="C2004" s="20"/>
      <c r="D2004" s="21"/>
      <c r="E2004" s="20"/>
      <c r="F2004" s="20"/>
      <c r="G2004" s="20"/>
      <c r="H2004" s="20"/>
      <c r="K2004" s="10"/>
      <c r="M2004" s="20"/>
      <c r="N2004" s="20"/>
      <c r="O2004" s="20"/>
      <c r="P2004" s="20"/>
      <c r="Q2004" s="20"/>
      <c r="R2004" s="20"/>
      <c r="S2004" s="20"/>
      <c r="T2004" s="20"/>
      <c r="U2004" s="20"/>
      <c r="V2004" s="20"/>
      <c r="W2004" s="20"/>
      <c r="X2004" s="20"/>
      <c r="Y2004" s="22"/>
      <c r="Z2004" s="22"/>
      <c r="AA2004" s="20"/>
      <c r="AB2004" s="20"/>
      <c r="AC2004" s="20"/>
      <c r="AD2004" s="20"/>
      <c r="AE2004" s="20"/>
      <c r="AF2004" s="20"/>
      <c r="AG2004" s="20"/>
      <c r="AH2004" s="20"/>
      <c r="AI2004" s="20"/>
      <c r="AJ2004" s="20"/>
      <c r="AK2004" s="20"/>
      <c r="AL2004" s="20"/>
      <c r="AM2004" s="20"/>
      <c r="AN2004" s="20"/>
      <c r="AS2004" s="11"/>
      <c r="AT2004" s="12"/>
    </row>
    <row r="2005" ht="14.25" customHeight="1">
      <c r="A2005" s="20"/>
      <c r="B2005" s="20"/>
      <c r="C2005" s="20"/>
      <c r="D2005" s="21"/>
      <c r="E2005" s="20"/>
      <c r="F2005" s="20"/>
      <c r="G2005" s="20"/>
      <c r="H2005" s="20"/>
      <c r="K2005" s="10"/>
      <c r="M2005" s="20"/>
      <c r="N2005" s="20"/>
      <c r="O2005" s="20"/>
      <c r="P2005" s="20"/>
      <c r="Q2005" s="20"/>
      <c r="R2005" s="20"/>
      <c r="S2005" s="20"/>
      <c r="T2005" s="20"/>
      <c r="U2005" s="20"/>
      <c r="V2005" s="20"/>
      <c r="W2005" s="20"/>
      <c r="X2005" s="20"/>
      <c r="Y2005" s="22"/>
      <c r="Z2005" s="22"/>
      <c r="AA2005" s="20"/>
      <c r="AB2005" s="20"/>
      <c r="AC2005" s="20"/>
      <c r="AD2005" s="20"/>
      <c r="AE2005" s="20"/>
      <c r="AF2005" s="20"/>
      <c r="AG2005" s="20"/>
      <c r="AH2005" s="20"/>
      <c r="AI2005" s="20"/>
      <c r="AJ2005" s="20"/>
      <c r="AK2005" s="20"/>
      <c r="AL2005" s="20"/>
      <c r="AM2005" s="20"/>
      <c r="AN2005" s="20"/>
      <c r="AS2005" s="11"/>
      <c r="AT2005" s="12"/>
    </row>
    <row r="2006" ht="14.25" customHeight="1">
      <c r="A2006" s="20"/>
      <c r="B2006" s="20"/>
      <c r="C2006" s="20"/>
      <c r="D2006" s="21"/>
      <c r="E2006" s="20"/>
      <c r="F2006" s="20"/>
      <c r="G2006" s="20"/>
      <c r="H2006" s="20"/>
      <c r="K2006" s="10"/>
      <c r="M2006" s="20"/>
      <c r="N2006" s="20"/>
      <c r="O2006" s="20"/>
      <c r="P2006" s="20"/>
      <c r="Q2006" s="20"/>
      <c r="R2006" s="20"/>
      <c r="S2006" s="20"/>
      <c r="T2006" s="20"/>
      <c r="U2006" s="20"/>
      <c r="V2006" s="20"/>
      <c r="W2006" s="20"/>
      <c r="X2006" s="20"/>
      <c r="Y2006" s="22"/>
      <c r="Z2006" s="22"/>
      <c r="AA2006" s="20"/>
      <c r="AB2006" s="20"/>
      <c r="AC2006" s="20"/>
      <c r="AD2006" s="20"/>
      <c r="AE2006" s="20"/>
      <c r="AF2006" s="20"/>
      <c r="AG2006" s="20"/>
      <c r="AH2006" s="20"/>
      <c r="AI2006" s="20"/>
      <c r="AJ2006" s="20"/>
      <c r="AK2006" s="20"/>
      <c r="AL2006" s="20"/>
      <c r="AM2006" s="20"/>
      <c r="AN2006" s="20"/>
      <c r="AS2006" s="11"/>
      <c r="AT2006" s="12"/>
    </row>
    <row r="2007" ht="14.25" customHeight="1">
      <c r="A2007" s="20"/>
      <c r="B2007" s="20"/>
      <c r="C2007" s="20"/>
      <c r="D2007" s="21"/>
      <c r="E2007" s="20"/>
      <c r="F2007" s="20"/>
      <c r="G2007" s="20"/>
      <c r="H2007" s="20"/>
      <c r="K2007" s="10"/>
      <c r="M2007" s="20"/>
      <c r="N2007" s="20"/>
      <c r="O2007" s="20"/>
      <c r="P2007" s="20"/>
      <c r="Q2007" s="20"/>
      <c r="R2007" s="20"/>
      <c r="S2007" s="20"/>
      <c r="T2007" s="20"/>
      <c r="U2007" s="20"/>
      <c r="V2007" s="20"/>
      <c r="W2007" s="20"/>
      <c r="X2007" s="20"/>
      <c r="Y2007" s="22"/>
      <c r="Z2007" s="22"/>
      <c r="AA2007" s="20"/>
      <c r="AB2007" s="20"/>
      <c r="AC2007" s="20"/>
      <c r="AD2007" s="20"/>
      <c r="AE2007" s="20"/>
      <c r="AF2007" s="20"/>
      <c r="AG2007" s="20"/>
      <c r="AH2007" s="20"/>
      <c r="AI2007" s="20"/>
      <c r="AJ2007" s="20"/>
      <c r="AK2007" s="20"/>
      <c r="AL2007" s="20"/>
      <c r="AM2007" s="20"/>
      <c r="AN2007" s="20"/>
      <c r="AS2007" s="11"/>
      <c r="AT2007" s="12"/>
    </row>
    <row r="2008" ht="14.25" customHeight="1">
      <c r="A2008" s="20"/>
      <c r="B2008" s="20"/>
      <c r="C2008" s="20"/>
      <c r="D2008" s="21"/>
      <c r="E2008" s="20"/>
      <c r="F2008" s="20"/>
      <c r="G2008" s="20"/>
      <c r="H2008" s="20"/>
      <c r="K2008" s="10"/>
      <c r="M2008" s="20"/>
      <c r="N2008" s="20"/>
      <c r="O2008" s="20"/>
      <c r="P2008" s="20"/>
      <c r="Q2008" s="20"/>
      <c r="R2008" s="20"/>
      <c r="S2008" s="20"/>
      <c r="T2008" s="20"/>
      <c r="U2008" s="20"/>
      <c r="V2008" s="20"/>
      <c r="W2008" s="20"/>
      <c r="X2008" s="20"/>
      <c r="Y2008" s="22"/>
      <c r="Z2008" s="22"/>
      <c r="AA2008" s="20"/>
      <c r="AB2008" s="20"/>
      <c r="AC2008" s="20"/>
      <c r="AD2008" s="20"/>
      <c r="AE2008" s="20"/>
      <c r="AF2008" s="20"/>
      <c r="AG2008" s="20"/>
      <c r="AH2008" s="20"/>
      <c r="AI2008" s="20"/>
      <c r="AJ2008" s="20"/>
      <c r="AK2008" s="20"/>
      <c r="AL2008" s="20"/>
      <c r="AM2008" s="20"/>
      <c r="AN2008" s="20"/>
      <c r="AS2008" s="11"/>
      <c r="AT2008" s="12"/>
    </row>
  </sheetData>
  <autoFilter ref="$A$1:$AV$108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.13"/>
  </cols>
  <sheetData>
    <row r="1">
      <c r="A1" s="27" t="s">
        <v>1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7" t="s">
        <v>12</v>
      </c>
      <c r="M1" s="27" t="s">
        <v>13</v>
      </c>
      <c r="N1" s="27" t="s">
        <v>14</v>
      </c>
      <c r="O1" s="27" t="s">
        <v>15</v>
      </c>
      <c r="P1" s="27" t="s">
        <v>16</v>
      </c>
      <c r="Q1" s="27" t="s">
        <v>17</v>
      </c>
      <c r="R1" s="27" t="s">
        <v>18</v>
      </c>
      <c r="S1" s="27" t="s">
        <v>19</v>
      </c>
      <c r="T1" s="27" t="s">
        <v>20</v>
      </c>
      <c r="U1" s="27" t="s">
        <v>21</v>
      </c>
      <c r="V1" s="27" t="s">
        <v>22</v>
      </c>
      <c r="W1" s="27" t="s">
        <v>23</v>
      </c>
      <c r="X1" s="27" t="s">
        <v>24</v>
      </c>
      <c r="Y1" s="27" t="s">
        <v>25</v>
      </c>
      <c r="Z1" s="27" t="s">
        <v>26</v>
      </c>
      <c r="AA1" s="27" t="s">
        <v>27</v>
      </c>
      <c r="AB1" s="27" t="s">
        <v>28</v>
      </c>
      <c r="AC1" s="27" t="s">
        <v>29</v>
      </c>
      <c r="AD1" s="27" t="s">
        <v>30</v>
      </c>
      <c r="AE1" s="27" t="s">
        <v>31</v>
      </c>
      <c r="AF1" s="27" t="s">
        <v>32</v>
      </c>
      <c r="AG1" s="27" t="s">
        <v>33</v>
      </c>
      <c r="AH1" s="27" t="s">
        <v>34</v>
      </c>
      <c r="AI1" s="27" t="s">
        <v>35</v>
      </c>
      <c r="AJ1" s="27" t="s">
        <v>36</v>
      </c>
      <c r="AK1" s="27" t="s">
        <v>37</v>
      </c>
      <c r="AL1" s="27" t="s">
        <v>38</v>
      </c>
      <c r="AM1" s="27" t="s">
        <v>39</v>
      </c>
      <c r="AN1" s="27" t="s">
        <v>40</v>
      </c>
      <c r="AO1" s="27" t="s">
        <v>41</v>
      </c>
      <c r="AP1" s="27" t="s">
        <v>42</v>
      </c>
      <c r="AQ1" s="27" t="s">
        <v>43</v>
      </c>
      <c r="AR1" s="27" t="s">
        <v>2198</v>
      </c>
      <c r="AS1" s="28" t="s">
        <v>44</v>
      </c>
      <c r="AT1" s="29" t="s">
        <v>45</v>
      </c>
      <c r="AU1" s="7" t="s">
        <v>46</v>
      </c>
      <c r="AV1" s="7" t="s">
        <v>47</v>
      </c>
    </row>
    <row r="2">
      <c r="A2" s="30">
        <v>2743.0</v>
      </c>
      <c r="B2" s="30">
        <v>2742.0</v>
      </c>
      <c r="C2" s="30">
        <v>2742.0</v>
      </c>
      <c r="D2" s="30">
        <v>9.0255897E7</v>
      </c>
      <c r="E2" s="30">
        <v>9.0255897E7</v>
      </c>
      <c r="F2" s="31" t="s">
        <v>94</v>
      </c>
      <c r="G2" s="31" t="s">
        <v>95</v>
      </c>
      <c r="H2" s="32" t="e">
        <v>#N/A</v>
      </c>
      <c r="I2" s="33" t="s">
        <v>96</v>
      </c>
      <c r="J2" s="33" t="s">
        <v>51</v>
      </c>
      <c r="K2" s="33" t="s">
        <v>51</v>
      </c>
      <c r="L2" s="31" t="s">
        <v>52</v>
      </c>
      <c r="M2" s="31" t="s">
        <v>53</v>
      </c>
      <c r="N2" s="31" t="s">
        <v>54</v>
      </c>
      <c r="O2" s="31" t="s">
        <v>55</v>
      </c>
      <c r="P2" s="31" t="s">
        <v>56</v>
      </c>
      <c r="Q2" s="31" t="s">
        <v>57</v>
      </c>
      <c r="R2" s="31" t="s">
        <v>58</v>
      </c>
      <c r="S2" s="31" t="s">
        <v>59</v>
      </c>
      <c r="T2" s="30">
        <v>2026.0</v>
      </c>
      <c r="U2" s="30">
        <v>5.0</v>
      </c>
      <c r="V2" s="30">
        <v>1.081522141E9</v>
      </c>
      <c r="W2" s="30">
        <v>1.081540211E9</v>
      </c>
      <c r="X2" s="31" t="s">
        <v>2199</v>
      </c>
      <c r="Y2" s="31" t="s">
        <v>2200</v>
      </c>
      <c r="Z2" s="30">
        <v>173662.47</v>
      </c>
      <c r="AA2" s="30">
        <v>173662.47</v>
      </c>
      <c r="AB2" s="30">
        <v>0.0</v>
      </c>
      <c r="AC2" s="30">
        <v>3690.0</v>
      </c>
      <c r="AD2" s="30">
        <v>0.0</v>
      </c>
      <c r="AE2" s="30">
        <v>0.0</v>
      </c>
      <c r="AF2" s="30">
        <v>0.0</v>
      </c>
      <c r="AG2" s="30">
        <v>0.0</v>
      </c>
      <c r="AH2" s="30">
        <v>0.0</v>
      </c>
      <c r="AI2" s="30">
        <v>173662.47</v>
      </c>
      <c r="AJ2" s="30">
        <v>173662.47</v>
      </c>
      <c r="AK2" s="30">
        <v>0.0</v>
      </c>
      <c r="AL2" s="30">
        <v>50571.45</v>
      </c>
      <c r="AM2" s="30">
        <v>0.0</v>
      </c>
      <c r="AN2" s="34" t="s">
        <v>62</v>
      </c>
      <c r="AO2" s="34" t="s">
        <v>62</v>
      </c>
      <c r="AP2" s="34" t="s">
        <v>62</v>
      </c>
      <c r="AQ2" s="34" t="s">
        <v>62</v>
      </c>
      <c r="AR2" s="30">
        <v>0.0</v>
      </c>
      <c r="AS2" s="30" t="s">
        <v>2201</v>
      </c>
      <c r="AT2" s="35" t="s">
        <v>2202</v>
      </c>
      <c r="AU2" s="36" t="s">
        <v>2203</v>
      </c>
      <c r="AV2" s="37">
        <v>46171.0</v>
      </c>
    </row>
    <row r="3">
      <c r="A3" s="38">
        <v>2747.0</v>
      </c>
      <c r="B3" s="38">
        <v>2746.0</v>
      </c>
      <c r="C3" s="38">
        <v>2746.0</v>
      </c>
      <c r="D3" s="38">
        <v>9.0256627E7</v>
      </c>
      <c r="E3" s="38">
        <v>9.0256627E7</v>
      </c>
      <c r="F3" s="38">
        <v>8.00099237E8</v>
      </c>
      <c r="G3" s="18" t="s">
        <v>98</v>
      </c>
      <c r="H3" s="18" t="s">
        <v>2204</v>
      </c>
      <c r="I3" s="38">
        <v>0.0</v>
      </c>
      <c r="J3" s="18" t="s">
        <v>2205</v>
      </c>
      <c r="K3" s="18" t="s">
        <v>51</v>
      </c>
      <c r="L3" s="18" t="s">
        <v>52</v>
      </c>
      <c r="M3" s="18" t="s">
        <v>53</v>
      </c>
      <c r="N3" s="18" t="s">
        <v>54</v>
      </c>
      <c r="O3" s="18" t="s">
        <v>55</v>
      </c>
      <c r="P3" s="18" t="s">
        <v>56</v>
      </c>
      <c r="Q3" s="18" t="s">
        <v>72</v>
      </c>
      <c r="R3" s="18" t="s">
        <v>58</v>
      </c>
      <c r="S3" s="18" t="s">
        <v>59</v>
      </c>
      <c r="T3" s="38">
        <v>2026.0</v>
      </c>
      <c r="U3" s="38">
        <v>5.0</v>
      </c>
      <c r="V3" s="38">
        <v>1.081522145E9</v>
      </c>
      <c r="W3" s="38">
        <v>1.081540215E9</v>
      </c>
      <c r="X3" s="18" t="s">
        <v>2199</v>
      </c>
      <c r="Y3" s="18" t="s">
        <v>2200</v>
      </c>
      <c r="Z3" s="38">
        <v>2077831.45</v>
      </c>
      <c r="AA3" s="38">
        <v>2077831.45</v>
      </c>
      <c r="AB3" s="38">
        <v>0.0</v>
      </c>
      <c r="AC3" s="38">
        <v>44150.0</v>
      </c>
      <c r="AD3" s="38">
        <v>0.0</v>
      </c>
      <c r="AE3" s="38">
        <v>0.0</v>
      </c>
      <c r="AF3" s="38">
        <v>0.0</v>
      </c>
      <c r="AG3" s="38">
        <v>0.0</v>
      </c>
      <c r="AH3" s="38">
        <v>0.0</v>
      </c>
      <c r="AI3" s="38">
        <v>2077831.45</v>
      </c>
      <c r="AJ3" s="38">
        <v>2077831.45</v>
      </c>
      <c r="AK3" s="38">
        <v>0.0</v>
      </c>
      <c r="AL3" s="38">
        <v>605075.75</v>
      </c>
      <c r="AM3" s="38">
        <v>0.0</v>
      </c>
      <c r="AN3" s="34" t="s">
        <v>62</v>
      </c>
      <c r="AO3" s="34" t="s">
        <v>62</v>
      </c>
      <c r="AP3" s="34" t="s">
        <v>62</v>
      </c>
      <c r="AQ3" s="34" t="s">
        <v>62</v>
      </c>
      <c r="AR3" s="38">
        <v>0.0</v>
      </c>
      <c r="AS3" s="38" t="s">
        <v>2206</v>
      </c>
      <c r="AT3" s="35" t="s">
        <v>2202</v>
      </c>
      <c r="AU3" s="39" t="s">
        <v>2203</v>
      </c>
      <c r="AV3" s="40">
        <v>46169.0</v>
      </c>
    </row>
    <row r="4">
      <c r="A4" s="38">
        <v>2751.0</v>
      </c>
      <c r="B4" s="38">
        <v>2750.0</v>
      </c>
      <c r="C4" s="38">
        <v>2750.0</v>
      </c>
      <c r="D4" s="38">
        <v>9.0257709E7</v>
      </c>
      <c r="E4" s="38">
        <v>9.0257709E7</v>
      </c>
      <c r="F4" s="38">
        <v>8.90501404E8</v>
      </c>
      <c r="G4" s="18" t="s">
        <v>100</v>
      </c>
      <c r="H4" s="18" t="s">
        <v>2207</v>
      </c>
      <c r="I4" s="38">
        <v>0.0</v>
      </c>
      <c r="J4" s="18" t="s">
        <v>2205</v>
      </c>
      <c r="K4" s="18" t="s">
        <v>51</v>
      </c>
      <c r="L4" s="18" t="s">
        <v>52</v>
      </c>
      <c r="M4" s="18" t="s">
        <v>53</v>
      </c>
      <c r="N4" s="18" t="s">
        <v>54</v>
      </c>
      <c r="O4" s="18" t="s">
        <v>55</v>
      </c>
      <c r="P4" s="18" t="s">
        <v>56</v>
      </c>
      <c r="Q4" s="18" t="s">
        <v>57</v>
      </c>
      <c r="R4" s="18" t="s">
        <v>58</v>
      </c>
      <c r="S4" s="18" t="s">
        <v>59</v>
      </c>
      <c r="T4" s="38">
        <v>2026.0</v>
      </c>
      <c r="U4" s="38">
        <v>5.0</v>
      </c>
      <c r="V4" s="38">
        <v>1.08152215E9</v>
      </c>
      <c r="W4" s="38">
        <v>1.08154022E9</v>
      </c>
      <c r="X4" s="18" t="s">
        <v>2199</v>
      </c>
      <c r="Y4" s="18" t="s">
        <v>2200</v>
      </c>
      <c r="Z4" s="38">
        <v>2062771.29</v>
      </c>
      <c r="AA4" s="38">
        <v>2062771.29</v>
      </c>
      <c r="AB4" s="38">
        <v>0.0</v>
      </c>
      <c r="AC4" s="38">
        <v>43830.0</v>
      </c>
      <c r="AD4" s="38">
        <v>0.0</v>
      </c>
      <c r="AE4" s="38">
        <v>0.0</v>
      </c>
      <c r="AF4" s="38">
        <v>0.0</v>
      </c>
      <c r="AG4" s="38">
        <v>0.0</v>
      </c>
      <c r="AH4" s="38">
        <v>0.0</v>
      </c>
      <c r="AI4" s="38">
        <v>2062771.29</v>
      </c>
      <c r="AJ4" s="38">
        <v>2062771.29</v>
      </c>
      <c r="AK4" s="38">
        <v>0.0</v>
      </c>
      <c r="AL4" s="38">
        <v>600690.15</v>
      </c>
      <c r="AM4" s="38">
        <v>0.0</v>
      </c>
      <c r="AN4" s="34" t="s">
        <v>62</v>
      </c>
      <c r="AO4" s="34" t="s">
        <v>62</v>
      </c>
      <c r="AP4" s="34" t="s">
        <v>62</v>
      </c>
      <c r="AQ4" s="34" t="s">
        <v>62</v>
      </c>
      <c r="AR4" s="38">
        <v>0.0</v>
      </c>
      <c r="AS4" s="38" t="s">
        <v>2208</v>
      </c>
      <c r="AT4" s="35" t="s">
        <v>2202</v>
      </c>
      <c r="AU4" s="39" t="s">
        <v>2203</v>
      </c>
      <c r="AV4" s="40">
        <v>46169.0</v>
      </c>
    </row>
    <row r="5">
      <c r="A5" s="38">
        <v>2755.0</v>
      </c>
      <c r="B5" s="38">
        <v>2754.0</v>
      </c>
      <c r="C5" s="38">
        <v>2754.0</v>
      </c>
      <c r="D5" s="38">
        <v>9.0257713E7</v>
      </c>
      <c r="E5" s="38">
        <v>9.0257713E7</v>
      </c>
      <c r="F5" s="38">
        <v>8.90502611E8</v>
      </c>
      <c r="G5" s="18" t="s">
        <v>102</v>
      </c>
      <c r="H5" s="18" t="s">
        <v>2209</v>
      </c>
      <c r="I5" s="38">
        <v>0.0</v>
      </c>
      <c r="J5" s="18" t="s">
        <v>2205</v>
      </c>
      <c r="K5" s="18" t="s">
        <v>51</v>
      </c>
      <c r="L5" s="18" t="s">
        <v>52</v>
      </c>
      <c r="M5" s="18" t="s">
        <v>53</v>
      </c>
      <c r="N5" s="18" t="s">
        <v>54</v>
      </c>
      <c r="O5" s="18" t="s">
        <v>55</v>
      </c>
      <c r="P5" s="18" t="s">
        <v>56</v>
      </c>
      <c r="Q5" s="18" t="s">
        <v>57</v>
      </c>
      <c r="R5" s="18" t="s">
        <v>58</v>
      </c>
      <c r="S5" s="18" t="s">
        <v>59</v>
      </c>
      <c r="T5" s="38">
        <v>2026.0</v>
      </c>
      <c r="U5" s="38">
        <v>5.0</v>
      </c>
      <c r="V5" s="38">
        <v>1.081522154E9</v>
      </c>
      <c r="W5" s="38">
        <v>1.081540224E9</v>
      </c>
      <c r="X5" s="18" t="s">
        <v>2199</v>
      </c>
      <c r="Y5" s="18" t="s">
        <v>2200</v>
      </c>
      <c r="Z5" s="38">
        <v>1650970.04</v>
      </c>
      <c r="AA5" s="38">
        <v>1650970.04</v>
      </c>
      <c r="AB5" s="38">
        <v>0.0</v>
      </c>
      <c r="AC5" s="38">
        <v>35080.0</v>
      </c>
      <c r="AD5" s="38">
        <v>0.0</v>
      </c>
      <c r="AE5" s="38">
        <v>0.0</v>
      </c>
      <c r="AF5" s="38">
        <v>0.0</v>
      </c>
      <c r="AG5" s="38">
        <v>0.0</v>
      </c>
      <c r="AH5" s="38">
        <v>0.0</v>
      </c>
      <c r="AI5" s="38">
        <v>1650970.04</v>
      </c>
      <c r="AJ5" s="38">
        <v>1650970.04</v>
      </c>
      <c r="AK5" s="38">
        <v>0.0</v>
      </c>
      <c r="AL5" s="38">
        <v>480771.4</v>
      </c>
      <c r="AM5" s="38">
        <v>0.0</v>
      </c>
      <c r="AN5" s="34" t="s">
        <v>62</v>
      </c>
      <c r="AO5" s="34" t="s">
        <v>62</v>
      </c>
      <c r="AP5" s="34" t="s">
        <v>62</v>
      </c>
      <c r="AQ5" s="34" t="s">
        <v>62</v>
      </c>
      <c r="AR5" s="38">
        <v>0.0</v>
      </c>
      <c r="AS5" s="38" t="s">
        <v>2210</v>
      </c>
      <c r="AT5" s="35" t="s">
        <v>2202</v>
      </c>
      <c r="AU5" s="39" t="s">
        <v>2203</v>
      </c>
      <c r="AV5" s="40">
        <v>46169.0</v>
      </c>
    </row>
    <row r="6">
      <c r="A6" s="30">
        <v>407715.0</v>
      </c>
      <c r="B6" s="30">
        <v>383058.0</v>
      </c>
      <c r="C6" s="30">
        <v>395995.0</v>
      </c>
      <c r="D6" s="34" t="s">
        <v>62</v>
      </c>
      <c r="E6" s="34" t="s">
        <v>62</v>
      </c>
      <c r="F6" s="31" t="s">
        <v>2211</v>
      </c>
      <c r="G6" s="31" t="s">
        <v>2212</v>
      </c>
      <c r="H6" s="32" t="e">
        <v>#N/A</v>
      </c>
      <c r="I6" s="32" t="e">
        <v>#N/A</v>
      </c>
      <c r="J6" s="33" t="s">
        <v>51</v>
      </c>
      <c r="K6" s="33" t="s">
        <v>51</v>
      </c>
      <c r="L6" s="31" t="s">
        <v>52</v>
      </c>
      <c r="M6" s="31" t="s">
        <v>89</v>
      </c>
      <c r="N6" s="31" t="s">
        <v>54</v>
      </c>
      <c r="O6" s="31" t="s">
        <v>55</v>
      </c>
      <c r="P6" s="31" t="s">
        <v>56</v>
      </c>
      <c r="Q6" s="31" t="s">
        <v>72</v>
      </c>
      <c r="R6" s="31" t="s">
        <v>58</v>
      </c>
      <c r="S6" s="31" t="s">
        <v>59</v>
      </c>
      <c r="T6" s="30">
        <v>2026.0</v>
      </c>
      <c r="U6" s="30">
        <v>5.0</v>
      </c>
      <c r="V6" s="30">
        <v>1.081522164E9</v>
      </c>
      <c r="W6" s="30">
        <v>1.081540234E9</v>
      </c>
      <c r="X6" s="31" t="s">
        <v>2199</v>
      </c>
      <c r="Y6" s="31" t="s">
        <v>2200</v>
      </c>
      <c r="Z6" s="30">
        <v>82843.8</v>
      </c>
      <c r="AA6" s="30">
        <v>82843.8</v>
      </c>
      <c r="AB6" s="30">
        <v>0.0</v>
      </c>
      <c r="AC6" s="30">
        <v>1950.0</v>
      </c>
      <c r="AD6" s="30">
        <v>0.0</v>
      </c>
      <c r="AE6" s="30">
        <v>0.0</v>
      </c>
      <c r="AF6" s="30">
        <v>0.0</v>
      </c>
      <c r="AG6" s="30">
        <v>0.0</v>
      </c>
      <c r="AH6" s="30">
        <v>0.0</v>
      </c>
      <c r="AI6" s="30">
        <v>82843.8</v>
      </c>
      <c r="AJ6" s="30">
        <v>82843.8</v>
      </c>
      <c r="AK6" s="30">
        <v>0.0</v>
      </c>
      <c r="AL6" s="30">
        <v>17795.7</v>
      </c>
      <c r="AM6" s="30">
        <v>0.0</v>
      </c>
      <c r="AN6" s="34" t="s">
        <v>62</v>
      </c>
      <c r="AO6" s="34" t="s">
        <v>62</v>
      </c>
      <c r="AP6" s="34" t="s">
        <v>62</v>
      </c>
      <c r="AQ6" s="34" t="s">
        <v>62</v>
      </c>
      <c r="AR6" s="30">
        <v>0.0</v>
      </c>
      <c r="AS6" s="41" t="s">
        <v>2213</v>
      </c>
      <c r="AT6" s="35" t="s">
        <v>2202</v>
      </c>
      <c r="AU6" s="36" t="s">
        <v>2203</v>
      </c>
      <c r="AV6" s="37">
        <v>46171.0</v>
      </c>
    </row>
    <row r="7">
      <c r="A7" s="38">
        <v>2744.0</v>
      </c>
      <c r="B7" s="38">
        <v>2743.0</v>
      </c>
      <c r="C7" s="38">
        <v>2743.0</v>
      </c>
      <c r="D7" s="38">
        <v>9.025651E7</v>
      </c>
      <c r="E7" s="38">
        <v>9.025651E7</v>
      </c>
      <c r="F7" s="38">
        <v>8.00099262E8</v>
      </c>
      <c r="G7" s="18" t="s">
        <v>50</v>
      </c>
      <c r="H7" s="18" t="s">
        <v>2214</v>
      </c>
      <c r="I7" s="38">
        <v>0.0</v>
      </c>
      <c r="J7" s="18" t="s">
        <v>2205</v>
      </c>
      <c r="K7" s="18" t="s">
        <v>51</v>
      </c>
      <c r="L7" s="18" t="s">
        <v>52</v>
      </c>
      <c r="M7" s="18" t="s">
        <v>53</v>
      </c>
      <c r="N7" s="18" t="s">
        <v>54</v>
      </c>
      <c r="O7" s="18" t="s">
        <v>55</v>
      </c>
      <c r="P7" s="18" t="s">
        <v>56</v>
      </c>
      <c r="Q7" s="18" t="s">
        <v>57</v>
      </c>
      <c r="R7" s="18" t="s">
        <v>58</v>
      </c>
      <c r="S7" s="18" t="s">
        <v>59</v>
      </c>
      <c r="T7" s="38">
        <v>2026.0</v>
      </c>
      <c r="U7" s="38">
        <v>5.0</v>
      </c>
      <c r="V7" s="38">
        <v>1.081522151E9</v>
      </c>
      <c r="W7" s="38">
        <v>1.081540221E9</v>
      </c>
      <c r="X7" s="18" t="s">
        <v>2199</v>
      </c>
      <c r="Y7" s="18" t="s">
        <v>2200</v>
      </c>
      <c r="Z7" s="38">
        <v>1063623.8</v>
      </c>
      <c r="AA7" s="38">
        <v>1063623.8</v>
      </c>
      <c r="AB7" s="38">
        <v>0.0</v>
      </c>
      <c r="AC7" s="38">
        <v>22600.0</v>
      </c>
      <c r="AD7" s="38">
        <v>0.0</v>
      </c>
      <c r="AE7" s="38">
        <v>0.0</v>
      </c>
      <c r="AF7" s="38">
        <v>0.0</v>
      </c>
      <c r="AG7" s="38">
        <v>0.0</v>
      </c>
      <c r="AH7" s="38">
        <v>0.0</v>
      </c>
      <c r="AI7" s="38">
        <v>1063623.8</v>
      </c>
      <c r="AJ7" s="38">
        <v>2467983.72</v>
      </c>
      <c r="AK7" s="38">
        <v>1.0</v>
      </c>
      <c r="AL7" s="38">
        <v>309733.0</v>
      </c>
      <c r="AM7" s="38">
        <v>0.0</v>
      </c>
      <c r="AN7" s="34" t="s">
        <v>62</v>
      </c>
      <c r="AO7" s="34" t="s">
        <v>62</v>
      </c>
      <c r="AP7" s="34" t="s">
        <v>62</v>
      </c>
      <c r="AQ7" s="34" t="s">
        <v>62</v>
      </c>
      <c r="AR7" s="38">
        <v>0.0</v>
      </c>
      <c r="AS7" s="38" t="s">
        <v>2215</v>
      </c>
      <c r="AT7" s="35" t="s">
        <v>2202</v>
      </c>
      <c r="AU7" s="39" t="s">
        <v>2203</v>
      </c>
      <c r="AV7" s="40">
        <v>46169.0</v>
      </c>
    </row>
    <row r="8">
      <c r="A8" s="38">
        <v>2748.0</v>
      </c>
      <c r="B8" s="38">
        <v>2747.0</v>
      </c>
      <c r="C8" s="38">
        <v>2747.0</v>
      </c>
      <c r="D8" s="38">
        <v>9.0256652E7</v>
      </c>
      <c r="E8" s="38">
        <v>9.0256652E7</v>
      </c>
      <c r="F8" s="18" t="s">
        <v>64</v>
      </c>
      <c r="G8" s="18" t="s">
        <v>65</v>
      </c>
      <c r="H8" s="18" t="s">
        <v>2216</v>
      </c>
      <c r="I8" s="38">
        <v>0.0</v>
      </c>
      <c r="J8" s="18" t="s">
        <v>2205</v>
      </c>
      <c r="K8" s="18" t="s">
        <v>51</v>
      </c>
      <c r="L8" s="18" t="s">
        <v>52</v>
      </c>
      <c r="M8" s="18" t="s">
        <v>53</v>
      </c>
      <c r="N8" s="18" t="s">
        <v>54</v>
      </c>
      <c r="O8" s="18" t="s">
        <v>55</v>
      </c>
      <c r="P8" s="18" t="s">
        <v>56</v>
      </c>
      <c r="Q8" s="18" t="s">
        <v>57</v>
      </c>
      <c r="R8" s="18" t="s">
        <v>58</v>
      </c>
      <c r="S8" s="18" t="s">
        <v>59</v>
      </c>
      <c r="T8" s="38">
        <v>2026.0</v>
      </c>
      <c r="U8" s="38">
        <v>5.0</v>
      </c>
      <c r="V8" s="38">
        <v>1.081522155E9</v>
      </c>
      <c r="W8" s="38">
        <v>1.081540225E9</v>
      </c>
      <c r="X8" s="18" t="s">
        <v>2199</v>
      </c>
      <c r="Y8" s="18" t="s">
        <v>2200</v>
      </c>
      <c r="Z8" s="38">
        <v>973262.84</v>
      </c>
      <c r="AA8" s="38">
        <v>973262.84</v>
      </c>
      <c r="AB8" s="38">
        <v>0.0</v>
      </c>
      <c r="AC8" s="38">
        <v>20680.0</v>
      </c>
      <c r="AD8" s="38">
        <v>0.0</v>
      </c>
      <c r="AE8" s="38">
        <v>0.0</v>
      </c>
      <c r="AF8" s="38">
        <v>0.0</v>
      </c>
      <c r="AG8" s="38">
        <v>0.0</v>
      </c>
      <c r="AH8" s="38">
        <v>0.0</v>
      </c>
      <c r="AI8" s="38">
        <v>973262.84</v>
      </c>
      <c r="AJ8" s="38">
        <v>973262.84</v>
      </c>
      <c r="AK8" s="38">
        <v>0.0</v>
      </c>
      <c r="AL8" s="38">
        <v>283419.4</v>
      </c>
      <c r="AM8" s="38">
        <v>0.0</v>
      </c>
      <c r="AN8" s="34" t="s">
        <v>62</v>
      </c>
      <c r="AO8" s="34" t="s">
        <v>62</v>
      </c>
      <c r="AP8" s="34" t="s">
        <v>62</v>
      </c>
      <c r="AQ8" s="34" t="s">
        <v>62</v>
      </c>
      <c r="AR8" s="38">
        <v>0.0</v>
      </c>
      <c r="AS8" s="38" t="s">
        <v>2217</v>
      </c>
      <c r="AT8" s="35" t="s">
        <v>2202</v>
      </c>
      <c r="AU8" s="39" t="s">
        <v>2203</v>
      </c>
      <c r="AV8" s="40">
        <v>46170.0</v>
      </c>
    </row>
    <row r="9">
      <c r="A9" s="38">
        <v>2752.0</v>
      </c>
      <c r="B9" s="38">
        <v>2751.0</v>
      </c>
      <c r="C9" s="38">
        <v>2751.0</v>
      </c>
      <c r="D9" s="38">
        <v>9.025771E7</v>
      </c>
      <c r="E9" s="38">
        <v>9.025771E7</v>
      </c>
      <c r="F9" s="38">
        <v>8.90501876E8</v>
      </c>
      <c r="G9" s="18" t="s">
        <v>67</v>
      </c>
      <c r="H9" s="18" t="s">
        <v>2218</v>
      </c>
      <c r="I9" s="38">
        <v>0.0</v>
      </c>
      <c r="J9" s="18" t="s">
        <v>2205</v>
      </c>
      <c r="K9" s="18" t="s">
        <v>51</v>
      </c>
      <c r="L9" s="18" t="s">
        <v>52</v>
      </c>
      <c r="M9" s="18" t="s">
        <v>53</v>
      </c>
      <c r="N9" s="18" t="s">
        <v>54</v>
      </c>
      <c r="O9" s="18" t="s">
        <v>55</v>
      </c>
      <c r="P9" s="18" t="s">
        <v>56</v>
      </c>
      <c r="Q9" s="18" t="s">
        <v>57</v>
      </c>
      <c r="R9" s="18" t="s">
        <v>58</v>
      </c>
      <c r="S9" s="18" t="s">
        <v>59</v>
      </c>
      <c r="T9" s="38">
        <v>2026.0</v>
      </c>
      <c r="U9" s="38">
        <v>5.0</v>
      </c>
      <c r="V9" s="38">
        <v>1.081522159E9</v>
      </c>
      <c r="W9" s="38">
        <v>1.081540229E9</v>
      </c>
      <c r="X9" s="18" t="s">
        <v>2199</v>
      </c>
      <c r="Y9" s="18" t="s">
        <v>2200</v>
      </c>
      <c r="Z9" s="38">
        <v>5359534.44</v>
      </c>
      <c r="AA9" s="38">
        <v>5359534.44</v>
      </c>
      <c r="AB9" s="38">
        <v>0.0</v>
      </c>
      <c r="AC9" s="38">
        <v>113880.0</v>
      </c>
      <c r="AD9" s="38">
        <v>0.0</v>
      </c>
      <c r="AE9" s="38">
        <v>0.0</v>
      </c>
      <c r="AF9" s="38">
        <v>0.0</v>
      </c>
      <c r="AG9" s="38">
        <v>0.0</v>
      </c>
      <c r="AH9" s="38">
        <v>0.0</v>
      </c>
      <c r="AI9" s="38">
        <v>5359534.44</v>
      </c>
      <c r="AJ9" s="38">
        <v>5359534.44</v>
      </c>
      <c r="AK9" s="38">
        <v>0.0</v>
      </c>
      <c r="AL9" s="38">
        <v>1560725.4</v>
      </c>
      <c r="AM9" s="38">
        <v>0.0</v>
      </c>
      <c r="AN9" s="34" t="s">
        <v>62</v>
      </c>
      <c r="AO9" s="34" t="s">
        <v>62</v>
      </c>
      <c r="AP9" s="34" t="s">
        <v>62</v>
      </c>
      <c r="AQ9" s="34" t="s">
        <v>62</v>
      </c>
      <c r="AR9" s="38">
        <v>0.0</v>
      </c>
      <c r="AS9" s="38" t="s">
        <v>2219</v>
      </c>
      <c r="AT9" s="35" t="s">
        <v>2202</v>
      </c>
      <c r="AU9" s="39" t="s">
        <v>2203</v>
      </c>
      <c r="AV9" s="40">
        <v>46170.0</v>
      </c>
    </row>
    <row r="10">
      <c r="A10" s="38">
        <v>2760.0</v>
      </c>
      <c r="B10" s="38">
        <v>2759.0</v>
      </c>
      <c r="C10" s="38">
        <v>2759.0</v>
      </c>
      <c r="D10" s="38">
        <v>9.0290491E7</v>
      </c>
      <c r="E10" s="38">
        <v>9.0290491E7</v>
      </c>
      <c r="F10" s="18" t="s">
        <v>69</v>
      </c>
      <c r="G10" s="18" t="s">
        <v>70</v>
      </c>
      <c r="H10" s="18" t="s">
        <v>2220</v>
      </c>
      <c r="I10" s="42" t="s">
        <v>71</v>
      </c>
      <c r="J10" s="42" t="s">
        <v>51</v>
      </c>
      <c r="K10" s="34" t="s">
        <v>51</v>
      </c>
      <c r="L10" s="18" t="s">
        <v>52</v>
      </c>
      <c r="M10" s="18" t="s">
        <v>53</v>
      </c>
      <c r="N10" s="18" t="s">
        <v>54</v>
      </c>
      <c r="O10" s="18" t="s">
        <v>55</v>
      </c>
      <c r="P10" s="18" t="s">
        <v>56</v>
      </c>
      <c r="Q10" s="18" t="s">
        <v>72</v>
      </c>
      <c r="R10" s="18" t="s">
        <v>58</v>
      </c>
      <c r="S10" s="18" t="s">
        <v>59</v>
      </c>
      <c r="T10" s="38">
        <v>2026.0</v>
      </c>
      <c r="U10" s="38">
        <v>5.0</v>
      </c>
      <c r="V10" s="38">
        <v>1.081522162E9</v>
      </c>
      <c r="W10" s="38">
        <v>1.081540232E9</v>
      </c>
      <c r="X10" s="18" t="s">
        <v>2199</v>
      </c>
      <c r="Y10" s="18" t="s">
        <v>2200</v>
      </c>
      <c r="Z10" s="38">
        <v>693708.62</v>
      </c>
      <c r="AA10" s="38">
        <v>693708.62</v>
      </c>
      <c r="AB10" s="38">
        <v>0.0</v>
      </c>
      <c r="AC10" s="38">
        <v>14740.0</v>
      </c>
      <c r="AD10" s="38">
        <v>0.0</v>
      </c>
      <c r="AE10" s="38">
        <v>0.0</v>
      </c>
      <c r="AF10" s="38">
        <v>0.0</v>
      </c>
      <c r="AG10" s="38">
        <v>0.0</v>
      </c>
      <c r="AH10" s="38">
        <v>0.0</v>
      </c>
      <c r="AI10" s="38">
        <v>693708.62</v>
      </c>
      <c r="AJ10" s="38">
        <v>1276819.19</v>
      </c>
      <c r="AK10" s="38">
        <v>1.0</v>
      </c>
      <c r="AL10" s="38">
        <v>202011.7</v>
      </c>
      <c r="AM10" s="38">
        <v>0.0</v>
      </c>
      <c r="AN10" s="34" t="s">
        <v>62</v>
      </c>
      <c r="AO10" s="34" t="s">
        <v>62</v>
      </c>
      <c r="AP10" s="34" t="s">
        <v>62</v>
      </c>
      <c r="AQ10" s="34" t="s">
        <v>62</v>
      </c>
      <c r="AR10" s="38">
        <v>0.0</v>
      </c>
      <c r="AS10" s="38" t="s">
        <v>2221</v>
      </c>
      <c r="AT10" s="35" t="s">
        <v>2202</v>
      </c>
      <c r="AU10" s="39" t="s">
        <v>2203</v>
      </c>
      <c r="AV10" s="40">
        <v>46171.0</v>
      </c>
    </row>
    <row r="11">
      <c r="A11" s="30">
        <v>369348.0</v>
      </c>
      <c r="B11" s="30">
        <v>362075.0</v>
      </c>
      <c r="C11" s="30">
        <v>365048.0</v>
      </c>
      <c r="D11" s="34" t="s">
        <v>62</v>
      </c>
      <c r="E11" s="34" t="s">
        <v>62</v>
      </c>
      <c r="F11" s="30">
        <v>9.01085013E8</v>
      </c>
      <c r="G11" s="31" t="s">
        <v>2222</v>
      </c>
      <c r="H11" s="32" t="e">
        <v>#N/A</v>
      </c>
      <c r="I11" s="32" t="e">
        <v>#N/A</v>
      </c>
      <c r="J11" s="33" t="s">
        <v>51</v>
      </c>
      <c r="K11" s="18" t="s">
        <v>51</v>
      </c>
      <c r="L11" s="31" t="s">
        <v>52</v>
      </c>
      <c r="M11" s="31" t="s">
        <v>89</v>
      </c>
      <c r="N11" s="31" t="s">
        <v>54</v>
      </c>
      <c r="O11" s="31" t="s">
        <v>55</v>
      </c>
      <c r="P11" s="31" t="s">
        <v>56</v>
      </c>
      <c r="Q11" s="31" t="s">
        <v>72</v>
      </c>
      <c r="R11" s="31" t="s">
        <v>58</v>
      </c>
      <c r="S11" s="31" t="s">
        <v>59</v>
      </c>
      <c r="T11" s="30">
        <v>2026.0</v>
      </c>
      <c r="U11" s="30">
        <v>5.0</v>
      </c>
      <c r="V11" s="30">
        <v>1.081522165E9</v>
      </c>
      <c r="W11" s="30">
        <v>1.081540235E9</v>
      </c>
      <c r="X11" s="31" t="s">
        <v>2199</v>
      </c>
      <c r="Y11" s="31" t="s">
        <v>2200</v>
      </c>
      <c r="Z11" s="30">
        <v>21666.84</v>
      </c>
      <c r="AA11" s="30">
        <v>21666.84</v>
      </c>
      <c r="AB11" s="30">
        <v>0.0</v>
      </c>
      <c r="AC11" s="30">
        <v>510.0</v>
      </c>
      <c r="AD11" s="30">
        <v>0.0</v>
      </c>
      <c r="AE11" s="30">
        <v>0.0</v>
      </c>
      <c r="AF11" s="30">
        <v>0.0</v>
      </c>
      <c r="AG11" s="30">
        <v>0.0</v>
      </c>
      <c r="AH11" s="30">
        <v>0.0</v>
      </c>
      <c r="AI11" s="30">
        <v>21666.84</v>
      </c>
      <c r="AJ11" s="30">
        <v>21666.84</v>
      </c>
      <c r="AK11" s="30">
        <v>0.0</v>
      </c>
      <c r="AL11" s="30">
        <v>4654.26</v>
      </c>
      <c r="AM11" s="30">
        <v>0.0</v>
      </c>
      <c r="AN11" s="34" t="s">
        <v>62</v>
      </c>
      <c r="AO11" s="34" t="s">
        <v>62</v>
      </c>
      <c r="AP11" s="34" t="s">
        <v>62</v>
      </c>
      <c r="AQ11" s="34" t="s">
        <v>62</v>
      </c>
      <c r="AR11" s="30">
        <v>0.0</v>
      </c>
      <c r="AS11" s="41" t="s">
        <v>2223</v>
      </c>
      <c r="AT11" s="35" t="s">
        <v>2202</v>
      </c>
      <c r="AU11" s="36" t="s">
        <v>2203</v>
      </c>
      <c r="AV11" s="37">
        <v>46171.0</v>
      </c>
    </row>
    <row r="12">
      <c r="A12" s="38">
        <v>584.0</v>
      </c>
      <c r="B12" s="38">
        <v>583.0</v>
      </c>
      <c r="C12" s="38">
        <v>583.0</v>
      </c>
      <c r="D12" s="38">
        <v>9.0275668E7</v>
      </c>
      <c r="E12" s="38">
        <v>9.0275668E7</v>
      </c>
      <c r="F12" s="18" t="s">
        <v>74</v>
      </c>
      <c r="G12" s="18" t="s">
        <v>75</v>
      </c>
      <c r="H12" s="18" t="s">
        <v>2224</v>
      </c>
      <c r="I12" s="18" t="s">
        <v>76</v>
      </c>
      <c r="J12" s="42" t="s">
        <v>51</v>
      </c>
      <c r="K12" s="33" t="s">
        <v>51</v>
      </c>
      <c r="L12" s="18" t="s">
        <v>52</v>
      </c>
      <c r="M12" s="18" t="s">
        <v>53</v>
      </c>
      <c r="N12" s="18" t="s">
        <v>54</v>
      </c>
      <c r="O12" s="18" t="s">
        <v>55</v>
      </c>
      <c r="P12" s="18" t="s">
        <v>56</v>
      </c>
      <c r="Q12" s="18" t="s">
        <v>72</v>
      </c>
      <c r="R12" s="18" t="s">
        <v>58</v>
      </c>
      <c r="S12" s="18" t="s">
        <v>59</v>
      </c>
      <c r="T12" s="38">
        <v>2026.0</v>
      </c>
      <c r="U12" s="38">
        <v>5.0</v>
      </c>
      <c r="V12" s="38">
        <v>1.08152214E9</v>
      </c>
      <c r="W12" s="38">
        <v>1.08154021E9</v>
      </c>
      <c r="X12" s="18" t="s">
        <v>2199</v>
      </c>
      <c r="Y12" s="18" t="s">
        <v>2200</v>
      </c>
      <c r="Z12" s="38">
        <v>1.081060032E7</v>
      </c>
      <c r="AA12" s="38">
        <v>1.081060032E7</v>
      </c>
      <c r="AB12" s="38">
        <v>0.0</v>
      </c>
      <c r="AC12" s="38">
        <v>227270.0</v>
      </c>
      <c r="AD12" s="38">
        <v>114592.31</v>
      </c>
      <c r="AE12" s="38">
        <v>0.0</v>
      </c>
      <c r="AF12" s="38">
        <v>0.0</v>
      </c>
      <c r="AG12" s="38">
        <v>0.0</v>
      </c>
      <c r="AH12" s="38">
        <v>0.0</v>
      </c>
      <c r="AI12" s="38">
        <v>1.081060032E7</v>
      </c>
      <c r="AJ12" s="38">
        <v>2.215326836E7</v>
      </c>
      <c r="AK12" s="38">
        <v>2.0</v>
      </c>
      <c r="AL12" s="38">
        <v>3114735.35</v>
      </c>
      <c r="AM12" s="38">
        <v>0.0</v>
      </c>
      <c r="AN12" s="34" t="s">
        <v>62</v>
      </c>
      <c r="AO12" s="34" t="s">
        <v>62</v>
      </c>
      <c r="AP12" s="34" t="s">
        <v>62</v>
      </c>
      <c r="AQ12" s="34" t="s">
        <v>62</v>
      </c>
      <c r="AR12" s="38">
        <v>0.0</v>
      </c>
      <c r="AS12" s="38" t="s">
        <v>2225</v>
      </c>
      <c r="AT12" s="35" t="s">
        <v>2202</v>
      </c>
      <c r="AU12" s="39" t="s">
        <v>2203</v>
      </c>
      <c r="AV12" s="40">
        <v>46171.0</v>
      </c>
    </row>
    <row r="13">
      <c r="A13" s="38">
        <v>2742.0</v>
      </c>
      <c r="B13" s="38">
        <v>2741.0</v>
      </c>
      <c r="C13" s="38">
        <v>2741.0</v>
      </c>
      <c r="D13" s="38">
        <v>9.0254686E7</v>
      </c>
      <c r="E13" s="38">
        <v>9.0254686E7</v>
      </c>
      <c r="F13" s="18" t="s">
        <v>78</v>
      </c>
      <c r="G13" s="18" t="s">
        <v>79</v>
      </c>
      <c r="H13" s="18" t="s">
        <v>2226</v>
      </c>
      <c r="I13" s="38">
        <v>0.0</v>
      </c>
      <c r="J13" s="18" t="s">
        <v>2205</v>
      </c>
      <c r="K13" s="18" t="s">
        <v>51</v>
      </c>
      <c r="L13" s="18" t="s">
        <v>52</v>
      </c>
      <c r="M13" s="18" t="s">
        <v>53</v>
      </c>
      <c r="N13" s="18" t="s">
        <v>54</v>
      </c>
      <c r="O13" s="18" t="s">
        <v>55</v>
      </c>
      <c r="P13" s="18" t="s">
        <v>56</v>
      </c>
      <c r="Q13" s="18" t="s">
        <v>72</v>
      </c>
      <c r="R13" s="18" t="s">
        <v>58</v>
      </c>
      <c r="S13" s="18" t="s">
        <v>59</v>
      </c>
      <c r="T13" s="38">
        <v>2026.0</v>
      </c>
      <c r="U13" s="38">
        <v>5.0</v>
      </c>
      <c r="V13" s="38">
        <v>1.081522139E9</v>
      </c>
      <c r="W13" s="38">
        <v>1.081540209E9</v>
      </c>
      <c r="X13" s="18" t="s">
        <v>2199</v>
      </c>
      <c r="Y13" s="18" t="s">
        <v>2200</v>
      </c>
      <c r="Z13" s="38">
        <v>1.329278952E7</v>
      </c>
      <c r="AA13" s="38">
        <v>1.329278952E7</v>
      </c>
      <c r="AB13" s="38">
        <v>0.0</v>
      </c>
      <c r="AC13" s="38">
        <v>281990.0</v>
      </c>
      <c r="AD13" s="38">
        <v>21494.15</v>
      </c>
      <c r="AE13" s="38">
        <v>0.0</v>
      </c>
      <c r="AF13" s="38">
        <v>0.0</v>
      </c>
      <c r="AG13" s="38">
        <v>0.0</v>
      </c>
      <c r="AH13" s="38">
        <v>0.0</v>
      </c>
      <c r="AI13" s="38">
        <v>1.329278952E7</v>
      </c>
      <c r="AJ13" s="38">
        <v>1.329278952E7</v>
      </c>
      <c r="AK13" s="38">
        <v>0.0</v>
      </c>
      <c r="AL13" s="38">
        <v>3864672.95</v>
      </c>
      <c r="AM13" s="38">
        <v>0.0</v>
      </c>
      <c r="AN13" s="34" t="s">
        <v>62</v>
      </c>
      <c r="AO13" s="34" t="s">
        <v>62</v>
      </c>
      <c r="AP13" s="34" t="s">
        <v>62</v>
      </c>
      <c r="AQ13" s="34" t="s">
        <v>62</v>
      </c>
      <c r="AR13" s="38">
        <v>0.0</v>
      </c>
      <c r="AS13" s="38" t="s">
        <v>2227</v>
      </c>
      <c r="AT13" s="35" t="s">
        <v>2202</v>
      </c>
      <c r="AU13" s="39" t="s">
        <v>2203</v>
      </c>
      <c r="AV13" s="40">
        <v>46170.0</v>
      </c>
    </row>
    <row r="14">
      <c r="A14" s="38">
        <v>2746.0</v>
      </c>
      <c r="B14" s="38">
        <v>2745.0</v>
      </c>
      <c r="C14" s="38">
        <v>2745.0</v>
      </c>
      <c r="D14" s="38">
        <v>9.0256586E7</v>
      </c>
      <c r="E14" s="38">
        <v>9.0256586E7</v>
      </c>
      <c r="F14" s="38">
        <v>8.00099251E8</v>
      </c>
      <c r="G14" s="18" t="s">
        <v>81</v>
      </c>
      <c r="H14" s="18" t="s">
        <v>2228</v>
      </c>
      <c r="I14" s="38">
        <v>0.0</v>
      </c>
      <c r="J14" s="18" t="s">
        <v>2205</v>
      </c>
      <c r="K14" s="18" t="s">
        <v>51</v>
      </c>
      <c r="L14" s="18" t="s">
        <v>52</v>
      </c>
      <c r="M14" s="18" t="s">
        <v>53</v>
      </c>
      <c r="N14" s="18" t="s">
        <v>54</v>
      </c>
      <c r="O14" s="18" t="s">
        <v>55</v>
      </c>
      <c r="P14" s="18" t="s">
        <v>56</v>
      </c>
      <c r="Q14" s="18" t="s">
        <v>57</v>
      </c>
      <c r="R14" s="18" t="s">
        <v>58</v>
      </c>
      <c r="S14" s="18" t="s">
        <v>59</v>
      </c>
      <c r="T14" s="38">
        <v>2026.0</v>
      </c>
      <c r="U14" s="38">
        <v>5.0</v>
      </c>
      <c r="V14" s="38">
        <v>1.081522143E9</v>
      </c>
      <c r="W14" s="38">
        <v>1.081540213E9</v>
      </c>
      <c r="X14" s="18" t="s">
        <v>2199</v>
      </c>
      <c r="Y14" s="18" t="s">
        <v>2200</v>
      </c>
      <c r="Z14" s="38">
        <v>1375180.86</v>
      </c>
      <c r="AA14" s="38">
        <v>1375180.86</v>
      </c>
      <c r="AB14" s="38">
        <v>0.0</v>
      </c>
      <c r="AC14" s="38">
        <v>29220.0</v>
      </c>
      <c r="AD14" s="38">
        <v>0.0</v>
      </c>
      <c r="AE14" s="38">
        <v>0.0</v>
      </c>
      <c r="AF14" s="38">
        <v>0.0</v>
      </c>
      <c r="AG14" s="38">
        <v>0.0</v>
      </c>
      <c r="AH14" s="38">
        <v>0.0</v>
      </c>
      <c r="AI14" s="38">
        <v>1375180.86</v>
      </c>
      <c r="AJ14" s="38">
        <v>3283114.88</v>
      </c>
      <c r="AK14" s="38">
        <v>1.0</v>
      </c>
      <c r="AL14" s="38">
        <v>400460.1</v>
      </c>
      <c r="AM14" s="38">
        <v>0.0</v>
      </c>
      <c r="AN14" s="34" t="s">
        <v>62</v>
      </c>
      <c r="AO14" s="34" t="s">
        <v>62</v>
      </c>
      <c r="AP14" s="34" t="s">
        <v>62</v>
      </c>
      <c r="AQ14" s="34" t="s">
        <v>62</v>
      </c>
      <c r="AR14" s="38">
        <v>0.0</v>
      </c>
      <c r="AS14" s="38" t="s">
        <v>2229</v>
      </c>
      <c r="AT14" s="35" t="s">
        <v>2202</v>
      </c>
      <c r="AU14" s="39" t="s">
        <v>2203</v>
      </c>
      <c r="AV14" s="40">
        <v>46170.0</v>
      </c>
    </row>
    <row r="15">
      <c r="A15" s="38">
        <v>2750.0</v>
      </c>
      <c r="B15" s="38">
        <v>2749.0</v>
      </c>
      <c r="C15" s="38">
        <v>2749.0</v>
      </c>
      <c r="D15" s="38">
        <v>9.0257708E7</v>
      </c>
      <c r="E15" s="38">
        <v>9.0257708E7</v>
      </c>
      <c r="F15" s="38">
        <v>8.90501981E8</v>
      </c>
      <c r="G15" s="18" t="s">
        <v>83</v>
      </c>
      <c r="H15" s="18" t="s">
        <v>2230</v>
      </c>
      <c r="I15" s="38">
        <v>0.0</v>
      </c>
      <c r="J15" s="18" t="s">
        <v>2205</v>
      </c>
      <c r="K15" s="18" t="s">
        <v>51</v>
      </c>
      <c r="L15" s="18" t="s">
        <v>52</v>
      </c>
      <c r="M15" s="18" t="s">
        <v>53</v>
      </c>
      <c r="N15" s="18" t="s">
        <v>54</v>
      </c>
      <c r="O15" s="18" t="s">
        <v>55</v>
      </c>
      <c r="P15" s="18" t="s">
        <v>56</v>
      </c>
      <c r="Q15" s="18" t="s">
        <v>57</v>
      </c>
      <c r="R15" s="18" t="s">
        <v>58</v>
      </c>
      <c r="S15" s="18" t="s">
        <v>59</v>
      </c>
      <c r="T15" s="38">
        <v>2026.0</v>
      </c>
      <c r="U15" s="38">
        <v>5.0</v>
      </c>
      <c r="V15" s="38">
        <v>1.081522149E9</v>
      </c>
      <c r="W15" s="38">
        <v>1.081540219E9</v>
      </c>
      <c r="X15" s="18" t="s">
        <v>2199</v>
      </c>
      <c r="Y15" s="18" t="s">
        <v>2200</v>
      </c>
      <c r="Z15" s="38">
        <v>804306.67</v>
      </c>
      <c r="AA15" s="38">
        <v>804306.67</v>
      </c>
      <c r="AB15" s="38">
        <v>0.0</v>
      </c>
      <c r="AC15" s="38">
        <v>17090.0</v>
      </c>
      <c r="AD15" s="38">
        <v>0.0</v>
      </c>
      <c r="AE15" s="38">
        <v>0.0</v>
      </c>
      <c r="AF15" s="38">
        <v>0.0</v>
      </c>
      <c r="AG15" s="38">
        <v>0.0</v>
      </c>
      <c r="AH15" s="38">
        <v>0.0</v>
      </c>
      <c r="AI15" s="38">
        <v>804306.67</v>
      </c>
      <c r="AJ15" s="38">
        <v>804306.67</v>
      </c>
      <c r="AK15" s="38">
        <v>0.0</v>
      </c>
      <c r="AL15" s="38">
        <v>234218.45</v>
      </c>
      <c r="AM15" s="38">
        <v>0.0</v>
      </c>
      <c r="AN15" s="34" t="s">
        <v>62</v>
      </c>
      <c r="AO15" s="34" t="s">
        <v>62</v>
      </c>
      <c r="AP15" s="34" t="s">
        <v>62</v>
      </c>
      <c r="AQ15" s="34" t="s">
        <v>62</v>
      </c>
      <c r="AR15" s="38">
        <v>0.0</v>
      </c>
      <c r="AS15" s="38" t="s">
        <v>2231</v>
      </c>
      <c r="AT15" s="35" t="s">
        <v>2202</v>
      </c>
      <c r="AU15" s="39" t="s">
        <v>2203</v>
      </c>
      <c r="AV15" s="40">
        <v>46170.0</v>
      </c>
    </row>
    <row r="16">
      <c r="A16" s="38">
        <v>2758.0</v>
      </c>
      <c r="B16" s="38">
        <v>2757.0</v>
      </c>
      <c r="C16" s="38">
        <v>2757.0</v>
      </c>
      <c r="D16" s="38">
        <v>9.0267356E7</v>
      </c>
      <c r="E16" s="38">
        <v>9.0267356E7</v>
      </c>
      <c r="F16" s="18" t="s">
        <v>85</v>
      </c>
      <c r="G16" s="18" t="s">
        <v>86</v>
      </c>
      <c r="H16" s="18" t="s">
        <v>2232</v>
      </c>
      <c r="I16" s="38">
        <v>0.0</v>
      </c>
      <c r="J16" s="18" t="s">
        <v>2205</v>
      </c>
      <c r="K16" s="18" t="s">
        <v>51</v>
      </c>
      <c r="L16" s="18" t="s">
        <v>52</v>
      </c>
      <c r="M16" s="18" t="s">
        <v>53</v>
      </c>
      <c r="N16" s="18" t="s">
        <v>54</v>
      </c>
      <c r="O16" s="18" t="s">
        <v>55</v>
      </c>
      <c r="P16" s="18" t="s">
        <v>56</v>
      </c>
      <c r="Q16" s="18" t="s">
        <v>57</v>
      </c>
      <c r="R16" s="18" t="s">
        <v>58</v>
      </c>
      <c r="S16" s="18" t="s">
        <v>59</v>
      </c>
      <c r="T16" s="38">
        <v>2026.0</v>
      </c>
      <c r="U16" s="38">
        <v>5.0</v>
      </c>
      <c r="V16" s="38">
        <v>1.081522153E9</v>
      </c>
      <c r="W16" s="38">
        <v>1.081540223E9</v>
      </c>
      <c r="X16" s="18" t="s">
        <v>2199</v>
      </c>
      <c r="Y16" s="18" t="s">
        <v>2200</v>
      </c>
      <c r="Z16" s="38">
        <v>2025120.89</v>
      </c>
      <c r="AA16" s="38">
        <v>2025120.89</v>
      </c>
      <c r="AB16" s="38">
        <v>0.0</v>
      </c>
      <c r="AC16" s="38">
        <v>43030.0</v>
      </c>
      <c r="AD16" s="38">
        <v>0.0</v>
      </c>
      <c r="AE16" s="38">
        <v>0.0</v>
      </c>
      <c r="AF16" s="38">
        <v>0.0</v>
      </c>
      <c r="AG16" s="38">
        <v>0.0</v>
      </c>
      <c r="AH16" s="38">
        <v>0.0</v>
      </c>
      <c r="AI16" s="38">
        <v>2025120.89</v>
      </c>
      <c r="AJ16" s="38">
        <v>2025121.78</v>
      </c>
      <c r="AK16" s="38">
        <v>1.0</v>
      </c>
      <c r="AL16" s="38">
        <v>589726.15</v>
      </c>
      <c r="AM16" s="38">
        <v>0.0</v>
      </c>
      <c r="AN16" s="34" t="s">
        <v>62</v>
      </c>
      <c r="AO16" s="34" t="s">
        <v>62</v>
      </c>
      <c r="AP16" s="34" t="s">
        <v>62</v>
      </c>
      <c r="AQ16" s="34" t="s">
        <v>62</v>
      </c>
      <c r="AR16" s="38">
        <v>0.0</v>
      </c>
      <c r="AS16" s="38" t="s">
        <v>2233</v>
      </c>
      <c r="AT16" s="35" t="s">
        <v>2202</v>
      </c>
      <c r="AU16" s="39" t="s">
        <v>2203</v>
      </c>
      <c r="AV16" s="40">
        <v>46170.0</v>
      </c>
    </row>
    <row r="17">
      <c r="A17" s="30">
        <v>608069.0</v>
      </c>
      <c r="B17" s="30">
        <v>502777.0</v>
      </c>
      <c r="C17" s="30">
        <v>558548.0</v>
      </c>
      <c r="D17" s="34" t="s">
        <v>62</v>
      </c>
      <c r="E17" s="34" t="s">
        <v>62</v>
      </c>
      <c r="F17" s="30">
        <v>9.00508526E8</v>
      </c>
      <c r="G17" s="31" t="s">
        <v>88</v>
      </c>
      <c r="H17" s="31" t="s">
        <v>2234</v>
      </c>
      <c r="I17" s="32" t="e">
        <v>#N/A</v>
      </c>
      <c r="J17" s="33" t="s">
        <v>51</v>
      </c>
      <c r="K17" s="33" t="s">
        <v>51</v>
      </c>
      <c r="L17" s="31" t="s">
        <v>52</v>
      </c>
      <c r="M17" s="31" t="s">
        <v>89</v>
      </c>
      <c r="N17" s="31" t="s">
        <v>54</v>
      </c>
      <c r="O17" s="31" t="s">
        <v>55</v>
      </c>
      <c r="P17" s="31" t="s">
        <v>56</v>
      </c>
      <c r="Q17" s="31" t="s">
        <v>90</v>
      </c>
      <c r="R17" s="31" t="s">
        <v>133</v>
      </c>
      <c r="S17" s="31" t="s">
        <v>59</v>
      </c>
      <c r="T17" s="30">
        <v>2026.0</v>
      </c>
      <c r="U17" s="30">
        <v>5.0</v>
      </c>
      <c r="V17" s="30">
        <v>1.081523254E9</v>
      </c>
      <c r="W17" s="30">
        <v>1.081541324E9</v>
      </c>
      <c r="X17" s="31" t="s">
        <v>2199</v>
      </c>
      <c r="Y17" s="31" t="s">
        <v>2200</v>
      </c>
      <c r="Z17" s="30">
        <v>2144661.0</v>
      </c>
      <c r="AA17" s="30">
        <v>2144661.0</v>
      </c>
      <c r="AB17" s="30">
        <v>0.0</v>
      </c>
      <c r="AC17" s="30">
        <v>0.0</v>
      </c>
      <c r="AD17" s="30">
        <v>0.0</v>
      </c>
      <c r="AE17" s="30">
        <v>0.0</v>
      </c>
      <c r="AF17" s="30">
        <v>0.0</v>
      </c>
      <c r="AG17" s="30">
        <v>0.0</v>
      </c>
      <c r="AH17" s="30">
        <v>0.0</v>
      </c>
      <c r="AI17" s="30">
        <v>2144661.0</v>
      </c>
      <c r="AJ17" s="30">
        <v>2144661.0</v>
      </c>
      <c r="AK17" s="30">
        <v>0.0</v>
      </c>
      <c r="AL17" s="30">
        <v>624537.0</v>
      </c>
      <c r="AM17" s="30">
        <v>0.0</v>
      </c>
      <c r="AN17" s="34" t="s">
        <v>62</v>
      </c>
      <c r="AO17" s="34" t="s">
        <v>62</v>
      </c>
      <c r="AP17" s="34" t="s">
        <v>62</v>
      </c>
      <c r="AQ17" s="34" t="s">
        <v>62</v>
      </c>
      <c r="AR17" s="30">
        <v>0.0</v>
      </c>
      <c r="AS17" s="41" t="s">
        <v>2235</v>
      </c>
      <c r="AT17" s="35" t="s">
        <v>2202</v>
      </c>
      <c r="AU17" s="36" t="s">
        <v>2203</v>
      </c>
      <c r="AV17" s="37">
        <v>46171.0</v>
      </c>
    </row>
    <row r="18">
      <c r="A18" s="38">
        <v>2293.0</v>
      </c>
      <c r="B18" s="38">
        <v>2292.0</v>
      </c>
      <c r="C18" s="38">
        <v>2292.0</v>
      </c>
      <c r="D18" s="38">
        <v>9.0265701E7</v>
      </c>
      <c r="E18" s="38">
        <v>9.0265701E7</v>
      </c>
      <c r="F18" s="18" t="s">
        <v>104</v>
      </c>
      <c r="G18" s="18" t="s">
        <v>105</v>
      </c>
      <c r="H18" s="18" t="s">
        <v>2236</v>
      </c>
      <c r="I18" s="18" t="s">
        <v>106</v>
      </c>
      <c r="J18" s="18" t="s">
        <v>2205</v>
      </c>
      <c r="K18" s="18" t="s">
        <v>51</v>
      </c>
      <c r="L18" s="18" t="s">
        <v>52</v>
      </c>
      <c r="M18" s="18" t="s">
        <v>89</v>
      </c>
      <c r="N18" s="18" t="s">
        <v>54</v>
      </c>
      <c r="O18" s="18" t="s">
        <v>55</v>
      </c>
      <c r="P18" s="18" t="s">
        <v>56</v>
      </c>
      <c r="Q18" s="18" t="s">
        <v>72</v>
      </c>
      <c r="R18" s="18" t="s">
        <v>58</v>
      </c>
      <c r="S18" s="18" t="s">
        <v>59</v>
      </c>
      <c r="T18" s="38">
        <v>2026.0</v>
      </c>
      <c r="U18" s="38">
        <v>5.0</v>
      </c>
      <c r="V18" s="38">
        <v>1.081522144E9</v>
      </c>
      <c r="W18" s="38">
        <v>1.081540214E9</v>
      </c>
      <c r="X18" s="18" t="s">
        <v>2199</v>
      </c>
      <c r="Y18" s="18" t="s">
        <v>2200</v>
      </c>
      <c r="Z18" s="38">
        <v>4131569.0</v>
      </c>
      <c r="AA18" s="38">
        <v>4131569.0</v>
      </c>
      <c r="AB18" s="38">
        <v>0.0</v>
      </c>
      <c r="AC18" s="38">
        <v>97250.0</v>
      </c>
      <c r="AD18" s="38">
        <v>0.0</v>
      </c>
      <c r="AE18" s="38">
        <v>0.0</v>
      </c>
      <c r="AF18" s="38">
        <v>0.0</v>
      </c>
      <c r="AG18" s="38">
        <v>0.0</v>
      </c>
      <c r="AH18" s="38">
        <v>0.0</v>
      </c>
      <c r="AI18" s="38">
        <v>4131569.0</v>
      </c>
      <c r="AJ18" s="38">
        <v>4131569.0</v>
      </c>
      <c r="AK18" s="38">
        <v>0.0</v>
      </c>
      <c r="AL18" s="38">
        <v>887503.5</v>
      </c>
      <c r="AM18" s="38">
        <v>0.0</v>
      </c>
      <c r="AN18" s="34" t="s">
        <v>62</v>
      </c>
      <c r="AO18" s="34" t="s">
        <v>62</v>
      </c>
      <c r="AP18" s="34" t="s">
        <v>62</v>
      </c>
      <c r="AQ18" s="34" t="s">
        <v>62</v>
      </c>
      <c r="AR18" s="38">
        <v>0.0</v>
      </c>
      <c r="AS18" s="38" t="s">
        <v>2237</v>
      </c>
      <c r="AT18" s="35" t="s">
        <v>2202</v>
      </c>
      <c r="AU18" s="39" t="s">
        <v>2203</v>
      </c>
      <c r="AV18" s="40">
        <v>46170.0</v>
      </c>
    </row>
    <row r="19">
      <c r="A19" s="38">
        <v>2741.0</v>
      </c>
      <c r="B19" s="38">
        <v>2740.0</v>
      </c>
      <c r="C19" s="38">
        <v>2740.0</v>
      </c>
      <c r="D19" s="38">
        <v>9.0253728E7</v>
      </c>
      <c r="E19" s="38">
        <v>9.0253728E7</v>
      </c>
      <c r="F19" s="18" t="s">
        <v>108</v>
      </c>
      <c r="G19" s="18" t="s">
        <v>109</v>
      </c>
      <c r="H19" s="18" t="s">
        <v>2238</v>
      </c>
      <c r="I19" s="38">
        <v>0.0</v>
      </c>
      <c r="J19" s="18" t="s">
        <v>2205</v>
      </c>
      <c r="K19" s="18" t="s">
        <v>51</v>
      </c>
      <c r="L19" s="18" t="s">
        <v>52</v>
      </c>
      <c r="M19" s="18" t="s">
        <v>53</v>
      </c>
      <c r="N19" s="18" t="s">
        <v>54</v>
      </c>
      <c r="O19" s="18" t="s">
        <v>55</v>
      </c>
      <c r="P19" s="18" t="s">
        <v>56</v>
      </c>
      <c r="Q19" s="18" t="s">
        <v>57</v>
      </c>
      <c r="R19" s="18" t="s">
        <v>58</v>
      </c>
      <c r="S19" s="18" t="s">
        <v>59</v>
      </c>
      <c r="T19" s="38">
        <v>2026.0</v>
      </c>
      <c r="U19" s="38">
        <v>5.0</v>
      </c>
      <c r="V19" s="38">
        <v>1.081522147E9</v>
      </c>
      <c r="W19" s="38">
        <v>1.081540217E9</v>
      </c>
      <c r="X19" s="18" t="s">
        <v>2199</v>
      </c>
      <c r="Y19" s="18" t="s">
        <v>2200</v>
      </c>
      <c r="Z19" s="38">
        <v>4748186.07</v>
      </c>
      <c r="AA19" s="38">
        <v>4748186.07</v>
      </c>
      <c r="AB19" s="38">
        <v>0.0</v>
      </c>
      <c r="AC19" s="38">
        <v>100890.0</v>
      </c>
      <c r="AD19" s="38">
        <v>0.0</v>
      </c>
      <c r="AE19" s="38">
        <v>0.0</v>
      </c>
      <c r="AF19" s="38">
        <v>0.0</v>
      </c>
      <c r="AG19" s="38">
        <v>0.0</v>
      </c>
      <c r="AH19" s="38">
        <v>0.0</v>
      </c>
      <c r="AI19" s="38">
        <v>4748186.07</v>
      </c>
      <c r="AJ19" s="38">
        <v>4748186.07</v>
      </c>
      <c r="AK19" s="38">
        <v>0.0</v>
      </c>
      <c r="AL19" s="38">
        <v>1382697.45</v>
      </c>
      <c r="AM19" s="38">
        <v>0.0</v>
      </c>
      <c r="AN19" s="34" t="s">
        <v>62</v>
      </c>
      <c r="AO19" s="34" t="s">
        <v>62</v>
      </c>
      <c r="AP19" s="34" t="s">
        <v>62</v>
      </c>
      <c r="AQ19" s="34" t="s">
        <v>62</v>
      </c>
      <c r="AR19" s="38">
        <v>0.0</v>
      </c>
      <c r="AS19" s="38" t="s">
        <v>2239</v>
      </c>
      <c r="AT19" s="35" t="s">
        <v>2202</v>
      </c>
      <c r="AU19" s="39" t="s">
        <v>2203</v>
      </c>
      <c r="AV19" s="40">
        <v>46170.0</v>
      </c>
    </row>
    <row r="20">
      <c r="A20" s="38">
        <v>2745.0</v>
      </c>
      <c r="B20" s="38">
        <v>2744.0</v>
      </c>
      <c r="C20" s="38">
        <v>2744.0</v>
      </c>
      <c r="D20" s="38">
        <v>9.0256525E7</v>
      </c>
      <c r="E20" s="38">
        <v>9.0256525E7</v>
      </c>
      <c r="F20" s="18" t="s">
        <v>111</v>
      </c>
      <c r="G20" s="18" t="s">
        <v>112</v>
      </c>
      <c r="H20" s="18" t="s">
        <v>2240</v>
      </c>
      <c r="I20" s="38">
        <v>0.0</v>
      </c>
      <c r="J20" s="18" t="s">
        <v>2205</v>
      </c>
      <c r="K20" s="18" t="s">
        <v>51</v>
      </c>
      <c r="L20" s="18" t="s">
        <v>52</v>
      </c>
      <c r="M20" s="18" t="s">
        <v>53</v>
      </c>
      <c r="N20" s="18" t="s">
        <v>54</v>
      </c>
      <c r="O20" s="18" t="s">
        <v>55</v>
      </c>
      <c r="P20" s="18" t="s">
        <v>56</v>
      </c>
      <c r="Q20" s="18" t="s">
        <v>57</v>
      </c>
      <c r="R20" s="18" t="s">
        <v>58</v>
      </c>
      <c r="S20" s="18" t="s">
        <v>59</v>
      </c>
      <c r="T20" s="38">
        <v>2026.0</v>
      </c>
      <c r="U20" s="38">
        <v>5.0</v>
      </c>
      <c r="V20" s="38">
        <v>1.081522152E9</v>
      </c>
      <c r="W20" s="38">
        <v>1.081540222E9</v>
      </c>
      <c r="X20" s="18" t="s">
        <v>2199</v>
      </c>
      <c r="Y20" s="18" t="s">
        <v>2200</v>
      </c>
      <c r="Z20" s="38">
        <v>1.062117784E7</v>
      </c>
      <c r="AA20" s="38">
        <v>1.062117784E7</v>
      </c>
      <c r="AB20" s="38">
        <v>0.0</v>
      </c>
      <c r="AC20" s="38">
        <v>225680.0</v>
      </c>
      <c r="AD20" s="38">
        <v>0.0</v>
      </c>
      <c r="AE20" s="38">
        <v>0.0</v>
      </c>
      <c r="AF20" s="38">
        <v>0.0</v>
      </c>
      <c r="AG20" s="38">
        <v>0.0</v>
      </c>
      <c r="AH20" s="38">
        <v>0.0</v>
      </c>
      <c r="AI20" s="38">
        <v>1.062117784E7</v>
      </c>
      <c r="AJ20" s="38">
        <v>3.2110854E7</v>
      </c>
      <c r="AK20" s="38">
        <v>2.0</v>
      </c>
      <c r="AL20" s="38">
        <v>3092944.4</v>
      </c>
      <c r="AM20" s="38">
        <v>0.0</v>
      </c>
      <c r="AN20" s="34" t="s">
        <v>62</v>
      </c>
      <c r="AO20" s="34" t="s">
        <v>62</v>
      </c>
      <c r="AP20" s="34" t="s">
        <v>62</v>
      </c>
      <c r="AQ20" s="34" t="s">
        <v>62</v>
      </c>
      <c r="AR20" s="38">
        <v>0.0</v>
      </c>
      <c r="AS20" s="34"/>
      <c r="AT20" s="35" t="s">
        <v>2202</v>
      </c>
      <c r="AU20" s="39" t="s">
        <v>2203</v>
      </c>
      <c r="AV20" s="40">
        <v>46170.0</v>
      </c>
    </row>
    <row r="21">
      <c r="A21" s="38">
        <v>2749.0</v>
      </c>
      <c r="B21" s="38">
        <v>2748.0</v>
      </c>
      <c r="C21" s="38">
        <v>2748.0</v>
      </c>
      <c r="D21" s="38">
        <v>9.0257658E7</v>
      </c>
      <c r="E21" s="38">
        <v>9.0257658E7</v>
      </c>
      <c r="F21" s="38">
        <v>8.90501549E8</v>
      </c>
      <c r="G21" s="18" t="s">
        <v>114</v>
      </c>
      <c r="H21" s="18" t="s">
        <v>2241</v>
      </c>
      <c r="I21" s="38">
        <v>0.0</v>
      </c>
      <c r="J21" s="18" t="s">
        <v>2205</v>
      </c>
      <c r="K21" s="18" t="s">
        <v>51</v>
      </c>
      <c r="L21" s="18" t="s">
        <v>52</v>
      </c>
      <c r="M21" s="18" t="s">
        <v>53</v>
      </c>
      <c r="N21" s="18" t="s">
        <v>54</v>
      </c>
      <c r="O21" s="18" t="s">
        <v>55</v>
      </c>
      <c r="P21" s="18" t="s">
        <v>56</v>
      </c>
      <c r="Q21" s="18" t="s">
        <v>72</v>
      </c>
      <c r="R21" s="18" t="s">
        <v>58</v>
      </c>
      <c r="S21" s="18" t="s">
        <v>59</v>
      </c>
      <c r="T21" s="38">
        <v>2026.0</v>
      </c>
      <c r="U21" s="38">
        <v>5.0</v>
      </c>
      <c r="V21" s="38">
        <v>1.081522156E9</v>
      </c>
      <c r="W21" s="38">
        <v>1.081540226E9</v>
      </c>
      <c r="X21" s="18" t="s">
        <v>2199</v>
      </c>
      <c r="Y21" s="18" t="s">
        <v>2200</v>
      </c>
      <c r="Z21" s="38">
        <v>3614909.03</v>
      </c>
      <c r="AA21" s="38">
        <v>3614909.03</v>
      </c>
      <c r="AB21" s="38">
        <v>0.0</v>
      </c>
      <c r="AC21" s="38">
        <v>76810.0</v>
      </c>
      <c r="AD21" s="38">
        <v>0.0</v>
      </c>
      <c r="AE21" s="38">
        <v>0.0</v>
      </c>
      <c r="AF21" s="38">
        <v>0.0</v>
      </c>
      <c r="AG21" s="38">
        <v>0.0</v>
      </c>
      <c r="AH21" s="38">
        <v>0.0</v>
      </c>
      <c r="AI21" s="38">
        <v>370867.61</v>
      </c>
      <c r="AJ21" s="38">
        <v>370867.61</v>
      </c>
      <c r="AK21" s="38">
        <v>0.0</v>
      </c>
      <c r="AL21" s="38">
        <v>1052681.05</v>
      </c>
      <c r="AM21" s="38">
        <v>0.0</v>
      </c>
      <c r="AN21" s="34" t="s">
        <v>62</v>
      </c>
      <c r="AO21" s="34" t="s">
        <v>62</v>
      </c>
      <c r="AP21" s="38">
        <v>3244041.42</v>
      </c>
      <c r="AQ21" s="34" t="s">
        <v>62</v>
      </c>
      <c r="AR21" s="38">
        <v>0.0</v>
      </c>
      <c r="AS21" s="38" t="s">
        <v>2242</v>
      </c>
      <c r="AT21" s="35" t="s">
        <v>2202</v>
      </c>
      <c r="AU21" s="39" t="s">
        <v>2203</v>
      </c>
      <c r="AV21" s="40">
        <v>46170.0</v>
      </c>
    </row>
    <row r="22">
      <c r="A22" s="38">
        <v>2753.0</v>
      </c>
      <c r="B22" s="38">
        <v>2752.0</v>
      </c>
      <c r="C22" s="38">
        <v>2752.0</v>
      </c>
      <c r="D22" s="38">
        <v>9.0257711E7</v>
      </c>
      <c r="E22" s="38">
        <v>9.0257711E7</v>
      </c>
      <c r="F22" s="38">
        <v>8.07002043E8</v>
      </c>
      <c r="G22" s="18" t="s">
        <v>2243</v>
      </c>
      <c r="H22" s="18" t="s">
        <v>2244</v>
      </c>
      <c r="I22" s="38">
        <v>0.0</v>
      </c>
      <c r="J22" s="18" t="s">
        <v>2205</v>
      </c>
      <c r="K22" s="18" t="s">
        <v>51</v>
      </c>
      <c r="L22" s="18" t="s">
        <v>52</v>
      </c>
      <c r="M22" s="18" t="s">
        <v>53</v>
      </c>
      <c r="N22" s="18" t="s">
        <v>54</v>
      </c>
      <c r="O22" s="18" t="s">
        <v>55</v>
      </c>
      <c r="P22" s="18" t="s">
        <v>56</v>
      </c>
      <c r="Q22" s="18" t="s">
        <v>72</v>
      </c>
      <c r="R22" s="18" t="s">
        <v>58</v>
      </c>
      <c r="S22" s="18" t="s">
        <v>59</v>
      </c>
      <c r="T22" s="38">
        <v>2026.0</v>
      </c>
      <c r="U22" s="38">
        <v>5.0</v>
      </c>
      <c r="V22" s="38">
        <v>1.08152216E9</v>
      </c>
      <c r="W22" s="38">
        <v>1.08154023E9</v>
      </c>
      <c r="X22" s="18" t="s">
        <v>2199</v>
      </c>
      <c r="Y22" s="18" t="s">
        <v>2200</v>
      </c>
      <c r="Z22" s="38">
        <v>2.131859774E7</v>
      </c>
      <c r="AA22" s="38">
        <v>2.131859774E7</v>
      </c>
      <c r="AB22" s="38">
        <v>0.0</v>
      </c>
      <c r="AC22" s="38">
        <v>452980.0</v>
      </c>
      <c r="AD22" s="38">
        <v>0.0</v>
      </c>
      <c r="AE22" s="38">
        <v>0.0</v>
      </c>
      <c r="AF22" s="38">
        <v>0.0</v>
      </c>
      <c r="AG22" s="38">
        <v>0.0</v>
      </c>
      <c r="AH22" s="38">
        <v>0.0</v>
      </c>
      <c r="AI22" s="38">
        <v>2.131859774E7</v>
      </c>
      <c r="AJ22" s="38">
        <v>2.131859774E7</v>
      </c>
      <c r="AK22" s="38">
        <v>0.0</v>
      </c>
      <c r="AL22" s="38">
        <v>6208090.9</v>
      </c>
      <c r="AM22" s="38">
        <v>0.0</v>
      </c>
      <c r="AN22" s="34" t="s">
        <v>62</v>
      </c>
      <c r="AO22" s="34" t="s">
        <v>62</v>
      </c>
      <c r="AP22" s="34" t="s">
        <v>62</v>
      </c>
      <c r="AQ22" s="34" t="s">
        <v>62</v>
      </c>
      <c r="AR22" s="38">
        <v>0.0</v>
      </c>
      <c r="AS22" s="38" t="s">
        <v>2245</v>
      </c>
      <c r="AT22" s="35" t="s">
        <v>2202</v>
      </c>
      <c r="AU22" s="39" t="s">
        <v>2203</v>
      </c>
      <c r="AV22" s="40">
        <v>46170.0</v>
      </c>
    </row>
    <row r="23">
      <c r="A23" s="38">
        <v>2757.0</v>
      </c>
      <c r="B23" s="38">
        <v>2756.0</v>
      </c>
      <c r="C23" s="38">
        <v>2756.0</v>
      </c>
      <c r="D23" s="38">
        <v>9.0257826E7</v>
      </c>
      <c r="E23" s="38">
        <v>9.0257826E7</v>
      </c>
      <c r="F23" s="38">
        <v>8.90505662E8</v>
      </c>
      <c r="G23" s="18" t="s">
        <v>118</v>
      </c>
      <c r="H23" s="18" t="s">
        <v>2246</v>
      </c>
      <c r="I23" s="38">
        <v>0.0</v>
      </c>
      <c r="J23" s="18" t="s">
        <v>2205</v>
      </c>
      <c r="K23" s="18" t="s">
        <v>51</v>
      </c>
      <c r="L23" s="18" t="s">
        <v>52</v>
      </c>
      <c r="M23" s="18" t="s">
        <v>53</v>
      </c>
      <c r="N23" s="18" t="s">
        <v>54</v>
      </c>
      <c r="O23" s="18" t="s">
        <v>55</v>
      </c>
      <c r="P23" s="18" t="s">
        <v>56</v>
      </c>
      <c r="Q23" s="18" t="s">
        <v>57</v>
      </c>
      <c r="R23" s="18" t="s">
        <v>58</v>
      </c>
      <c r="S23" s="18" t="s">
        <v>59</v>
      </c>
      <c r="T23" s="38">
        <v>2026.0</v>
      </c>
      <c r="U23" s="38">
        <v>5.0</v>
      </c>
      <c r="V23" s="38">
        <v>1.081522163E9</v>
      </c>
      <c r="W23" s="38">
        <v>1.081540233E9</v>
      </c>
      <c r="X23" s="18" t="s">
        <v>2199</v>
      </c>
      <c r="Y23" s="18" t="s">
        <v>2200</v>
      </c>
      <c r="Z23" s="38">
        <v>4599466.99</v>
      </c>
      <c r="AA23" s="38">
        <v>4599466.99</v>
      </c>
      <c r="AB23" s="38">
        <v>0.0</v>
      </c>
      <c r="AC23" s="38">
        <v>97730.0</v>
      </c>
      <c r="AD23" s="38">
        <v>0.0</v>
      </c>
      <c r="AE23" s="38">
        <v>0.0</v>
      </c>
      <c r="AF23" s="38">
        <v>0.0</v>
      </c>
      <c r="AG23" s="38">
        <v>0.0</v>
      </c>
      <c r="AH23" s="38">
        <v>0.0</v>
      </c>
      <c r="AI23" s="38">
        <v>4599466.99</v>
      </c>
      <c r="AJ23" s="38">
        <v>4599467.31</v>
      </c>
      <c r="AK23" s="38">
        <v>1.0</v>
      </c>
      <c r="AL23" s="38">
        <v>1339389.65</v>
      </c>
      <c r="AM23" s="38">
        <v>0.0</v>
      </c>
      <c r="AN23" s="34" t="s">
        <v>62</v>
      </c>
      <c r="AO23" s="34" t="s">
        <v>62</v>
      </c>
      <c r="AP23" s="34" t="s">
        <v>62</v>
      </c>
      <c r="AQ23" s="34" t="s">
        <v>62</v>
      </c>
      <c r="AR23" s="38">
        <v>0.0</v>
      </c>
      <c r="AS23" s="39" t="s">
        <v>2247</v>
      </c>
      <c r="AT23" s="35" t="s">
        <v>2202</v>
      </c>
      <c r="AU23" s="39" t="s">
        <v>2203</v>
      </c>
      <c r="AV23" s="40">
        <v>46170.0</v>
      </c>
    </row>
    <row r="24">
      <c r="A24" s="38">
        <v>433.0</v>
      </c>
      <c r="B24" s="38">
        <v>432.0</v>
      </c>
      <c r="C24" s="38">
        <v>432.0</v>
      </c>
      <c r="D24" s="38">
        <v>9.0253757E7</v>
      </c>
      <c r="E24" s="38">
        <v>9.0253757E7</v>
      </c>
      <c r="F24" s="38">
        <v>9.01347799E8</v>
      </c>
      <c r="G24" s="18" t="s">
        <v>120</v>
      </c>
      <c r="H24" s="18" t="s">
        <v>2248</v>
      </c>
      <c r="I24" s="18" t="s">
        <v>76</v>
      </c>
      <c r="J24" s="18" t="s">
        <v>2205</v>
      </c>
      <c r="K24" s="18" t="s">
        <v>51</v>
      </c>
      <c r="L24" s="18" t="s">
        <v>52</v>
      </c>
      <c r="M24" s="18" t="s">
        <v>53</v>
      </c>
      <c r="N24" s="18" t="s">
        <v>54</v>
      </c>
      <c r="O24" s="18" t="s">
        <v>55</v>
      </c>
      <c r="P24" s="18" t="s">
        <v>56</v>
      </c>
      <c r="Q24" s="18" t="s">
        <v>72</v>
      </c>
      <c r="R24" s="18" t="s">
        <v>58</v>
      </c>
      <c r="S24" s="18" t="s">
        <v>59</v>
      </c>
      <c r="T24" s="38">
        <v>2026.0</v>
      </c>
      <c r="U24" s="38">
        <v>5.0</v>
      </c>
      <c r="V24" s="38">
        <v>1.081522135E9</v>
      </c>
      <c r="W24" s="38">
        <v>1.081540205E9</v>
      </c>
      <c r="X24" s="18" t="s">
        <v>2199</v>
      </c>
      <c r="Y24" s="18" t="s">
        <v>2200</v>
      </c>
      <c r="Z24" s="38">
        <v>849255.16</v>
      </c>
      <c r="AA24" s="38">
        <v>849255.16</v>
      </c>
      <c r="AB24" s="38">
        <v>0.0</v>
      </c>
      <c r="AC24" s="38">
        <v>19990.0</v>
      </c>
      <c r="AD24" s="38">
        <v>0.0</v>
      </c>
      <c r="AE24" s="38">
        <v>0.0</v>
      </c>
      <c r="AF24" s="38">
        <v>0.0</v>
      </c>
      <c r="AG24" s="38">
        <v>0.0</v>
      </c>
      <c r="AH24" s="38">
        <v>0.0</v>
      </c>
      <c r="AI24" s="38">
        <v>849255.16</v>
      </c>
      <c r="AJ24" s="38">
        <v>849255.16</v>
      </c>
      <c r="AK24" s="38">
        <v>0.0</v>
      </c>
      <c r="AL24" s="38">
        <v>182428.74</v>
      </c>
      <c r="AM24" s="38">
        <v>0.0</v>
      </c>
      <c r="AN24" s="34" t="s">
        <v>62</v>
      </c>
      <c r="AO24" s="34" t="s">
        <v>62</v>
      </c>
      <c r="AP24" s="34" t="s">
        <v>62</v>
      </c>
      <c r="AQ24" s="34" t="s">
        <v>62</v>
      </c>
      <c r="AR24" s="38">
        <v>0.0</v>
      </c>
      <c r="AS24" s="38" t="s">
        <v>2249</v>
      </c>
      <c r="AT24" s="35" t="s">
        <v>2202</v>
      </c>
      <c r="AU24" s="39" t="s">
        <v>2203</v>
      </c>
      <c r="AV24" s="40">
        <v>46170.0</v>
      </c>
    </row>
    <row r="25">
      <c r="A25" s="38">
        <v>505.0</v>
      </c>
      <c r="B25" s="38">
        <v>504.0</v>
      </c>
      <c r="C25" s="38">
        <v>504.0</v>
      </c>
      <c r="D25" s="38">
        <v>9.0268059E7</v>
      </c>
      <c r="E25" s="38">
        <v>9.0268059E7</v>
      </c>
      <c r="F25" s="38">
        <v>6.036649E7</v>
      </c>
      <c r="G25" s="18" t="s">
        <v>122</v>
      </c>
      <c r="H25" s="18" t="s">
        <v>2250</v>
      </c>
      <c r="I25" s="18" t="s">
        <v>123</v>
      </c>
      <c r="J25" s="18" t="s">
        <v>2205</v>
      </c>
      <c r="K25" s="18" t="s">
        <v>51</v>
      </c>
      <c r="L25" s="18" t="s">
        <v>52</v>
      </c>
      <c r="M25" s="18" t="s">
        <v>89</v>
      </c>
      <c r="N25" s="18" t="s">
        <v>54</v>
      </c>
      <c r="O25" s="18" t="s">
        <v>55</v>
      </c>
      <c r="P25" s="18" t="s">
        <v>56</v>
      </c>
      <c r="Q25" s="18" t="s">
        <v>72</v>
      </c>
      <c r="R25" s="18" t="s">
        <v>58</v>
      </c>
      <c r="S25" s="18" t="s">
        <v>59</v>
      </c>
      <c r="T25" s="38">
        <v>2026.0</v>
      </c>
      <c r="U25" s="38">
        <v>5.0</v>
      </c>
      <c r="V25" s="38">
        <v>1.081522138E9</v>
      </c>
      <c r="W25" s="38">
        <v>1.081540208E9</v>
      </c>
      <c r="X25" s="18" t="s">
        <v>2199</v>
      </c>
      <c r="Y25" s="18" t="s">
        <v>2200</v>
      </c>
      <c r="Z25" s="38">
        <v>799606.96</v>
      </c>
      <c r="AA25" s="38">
        <v>799606.96</v>
      </c>
      <c r="AB25" s="38">
        <v>0.0</v>
      </c>
      <c r="AC25" s="38">
        <v>17780.0</v>
      </c>
      <c r="AD25" s="38">
        <v>44241.44</v>
      </c>
      <c r="AE25" s="38">
        <v>0.0</v>
      </c>
      <c r="AF25" s="38">
        <v>0.0</v>
      </c>
      <c r="AG25" s="38">
        <v>0.0</v>
      </c>
      <c r="AH25" s="38">
        <v>0.0</v>
      </c>
      <c r="AI25" s="38">
        <v>799606.96</v>
      </c>
      <c r="AJ25" s="38">
        <v>3608549.11</v>
      </c>
      <c r="AK25" s="38">
        <v>4.0</v>
      </c>
      <c r="AL25" s="38">
        <v>162260.28</v>
      </c>
      <c r="AM25" s="38">
        <v>0.0</v>
      </c>
      <c r="AN25" s="34" t="s">
        <v>62</v>
      </c>
      <c r="AO25" s="34" t="s">
        <v>62</v>
      </c>
      <c r="AP25" s="34" t="s">
        <v>62</v>
      </c>
      <c r="AQ25" s="34" t="s">
        <v>62</v>
      </c>
      <c r="AR25" s="38">
        <v>0.0</v>
      </c>
      <c r="AS25" s="38" t="s">
        <v>2251</v>
      </c>
      <c r="AT25" s="35" t="s">
        <v>2202</v>
      </c>
      <c r="AU25" s="39" t="s">
        <v>2203</v>
      </c>
      <c r="AV25" s="40">
        <v>46171.0</v>
      </c>
    </row>
    <row r="26">
      <c r="A26" s="38">
        <v>125141.0</v>
      </c>
      <c r="B26" s="38">
        <v>125140.0</v>
      </c>
      <c r="C26" s="38">
        <v>125140.0</v>
      </c>
      <c r="D26" s="38">
        <v>590301.0</v>
      </c>
      <c r="E26" s="38">
        <v>590301.0</v>
      </c>
      <c r="F26" s="18" t="s">
        <v>341</v>
      </c>
      <c r="G26" s="18" t="s">
        <v>342</v>
      </c>
      <c r="H26" s="18" t="s">
        <v>2252</v>
      </c>
      <c r="I26" s="18" t="s">
        <v>343</v>
      </c>
      <c r="J26" s="18" t="s">
        <v>2205</v>
      </c>
      <c r="K26" s="18" t="s">
        <v>2205</v>
      </c>
      <c r="L26" s="18" t="s">
        <v>52</v>
      </c>
      <c r="M26" s="18" t="s">
        <v>89</v>
      </c>
      <c r="N26" s="18" t="s">
        <v>130</v>
      </c>
      <c r="O26" s="18" t="s">
        <v>126</v>
      </c>
      <c r="P26" s="18" t="s">
        <v>131</v>
      </c>
      <c r="Q26" s="18" t="s">
        <v>132</v>
      </c>
      <c r="R26" s="18" t="s">
        <v>133</v>
      </c>
      <c r="S26" s="18" t="s">
        <v>59</v>
      </c>
      <c r="T26" s="38">
        <v>2026.0</v>
      </c>
      <c r="U26" s="38">
        <v>5.0</v>
      </c>
      <c r="V26" s="38">
        <v>1.081522458E9</v>
      </c>
      <c r="W26" s="38">
        <v>1.081540528E9</v>
      </c>
      <c r="X26" s="18" t="s">
        <v>2199</v>
      </c>
      <c r="Y26" s="18" t="s">
        <v>2200</v>
      </c>
      <c r="Z26" s="38">
        <v>114427.12</v>
      </c>
      <c r="AA26" s="38">
        <v>114427.12</v>
      </c>
      <c r="AB26" s="38">
        <v>37970.5</v>
      </c>
      <c r="AC26" s="38">
        <v>0.0</v>
      </c>
      <c r="AD26" s="38">
        <v>515.62</v>
      </c>
      <c r="AE26" s="38">
        <v>0.0</v>
      </c>
      <c r="AF26" s="38">
        <v>0.0</v>
      </c>
      <c r="AG26" s="38">
        <v>0.0</v>
      </c>
      <c r="AH26" s="38">
        <v>0.0</v>
      </c>
      <c r="AI26" s="38">
        <v>114427.12</v>
      </c>
      <c r="AJ26" s="38">
        <v>114427.12</v>
      </c>
      <c r="AK26" s="38">
        <v>0.0</v>
      </c>
      <c r="AL26" s="38">
        <v>376.2</v>
      </c>
      <c r="AM26" s="38">
        <v>0.0</v>
      </c>
      <c r="AN26" s="34" t="s">
        <v>62</v>
      </c>
      <c r="AO26" s="34" t="s">
        <v>62</v>
      </c>
      <c r="AP26" s="34" t="s">
        <v>62</v>
      </c>
      <c r="AQ26" s="34" t="s">
        <v>62</v>
      </c>
      <c r="AR26" s="38">
        <v>0.0</v>
      </c>
      <c r="AS26" s="38" t="s">
        <v>2253</v>
      </c>
      <c r="AT26" s="35" t="s">
        <v>2202</v>
      </c>
      <c r="AU26" s="39" t="s">
        <v>2254</v>
      </c>
      <c r="AV26" s="40">
        <v>46167.0</v>
      </c>
    </row>
    <row r="27">
      <c r="A27" s="38">
        <v>699.0</v>
      </c>
      <c r="B27" s="38">
        <v>210448.0</v>
      </c>
      <c r="C27" s="38">
        <v>210448.0</v>
      </c>
      <c r="D27" s="38">
        <v>32901.0</v>
      </c>
      <c r="E27" s="38">
        <v>32901.0</v>
      </c>
      <c r="F27" s="38">
        <v>9.00480569E8</v>
      </c>
      <c r="G27" s="18" t="s">
        <v>141</v>
      </c>
      <c r="H27" s="18" t="s">
        <v>2255</v>
      </c>
      <c r="I27" s="18" t="s">
        <v>196</v>
      </c>
      <c r="J27" s="18" t="s">
        <v>2205</v>
      </c>
      <c r="K27" s="18" t="s">
        <v>2256</v>
      </c>
      <c r="L27" s="18" t="s">
        <v>52</v>
      </c>
      <c r="M27" s="18" t="s">
        <v>138</v>
      </c>
      <c r="N27" s="18" t="s">
        <v>130</v>
      </c>
      <c r="O27" s="18" t="s">
        <v>126</v>
      </c>
      <c r="P27" s="18" t="s">
        <v>56</v>
      </c>
      <c r="Q27" s="18" t="s">
        <v>90</v>
      </c>
      <c r="R27" s="18" t="s">
        <v>143</v>
      </c>
      <c r="S27" s="18" t="s">
        <v>59</v>
      </c>
      <c r="T27" s="38">
        <v>2026.0</v>
      </c>
      <c r="U27" s="38">
        <v>5.0</v>
      </c>
      <c r="V27" s="38">
        <v>1.081522462E9</v>
      </c>
      <c r="W27" s="38">
        <v>1.081540532E9</v>
      </c>
      <c r="X27" s="18" t="s">
        <v>2199</v>
      </c>
      <c r="Y27" s="18" t="s">
        <v>2200</v>
      </c>
      <c r="Z27" s="38">
        <v>572010.44</v>
      </c>
      <c r="AA27" s="38">
        <v>572010.44</v>
      </c>
      <c r="AB27" s="38">
        <v>190670.15</v>
      </c>
      <c r="AC27" s="38">
        <v>1808.0</v>
      </c>
      <c r="AD27" s="38">
        <v>0.0</v>
      </c>
      <c r="AE27" s="38">
        <v>0.0</v>
      </c>
      <c r="AF27" s="38">
        <v>0.0</v>
      </c>
      <c r="AG27" s="38">
        <v>0.0</v>
      </c>
      <c r="AH27" s="38">
        <v>0.0</v>
      </c>
      <c r="AI27" s="38">
        <v>572010.44</v>
      </c>
      <c r="AJ27" s="38">
        <v>572010.44</v>
      </c>
      <c r="AK27" s="38">
        <v>0.0</v>
      </c>
      <c r="AL27" s="38">
        <v>376.2</v>
      </c>
      <c r="AM27" s="38">
        <v>0.0</v>
      </c>
      <c r="AN27" s="34" t="s">
        <v>62</v>
      </c>
      <c r="AO27" s="34" t="s">
        <v>62</v>
      </c>
      <c r="AP27" s="34" t="s">
        <v>62</v>
      </c>
      <c r="AQ27" s="34" t="s">
        <v>62</v>
      </c>
      <c r="AR27" s="38">
        <v>0.0</v>
      </c>
      <c r="AS27" s="38" t="s">
        <v>2257</v>
      </c>
      <c r="AT27" s="35" t="s">
        <v>2202</v>
      </c>
      <c r="AU27" s="39" t="s">
        <v>2203</v>
      </c>
      <c r="AV27" s="40">
        <v>46163.0</v>
      </c>
    </row>
    <row r="28">
      <c r="A28" s="38">
        <v>699.0</v>
      </c>
      <c r="B28" s="38">
        <v>217824.0</v>
      </c>
      <c r="C28" s="38">
        <v>217824.0</v>
      </c>
      <c r="D28" s="38">
        <v>40634.0</v>
      </c>
      <c r="E28" s="38">
        <v>40634.0</v>
      </c>
      <c r="F28" s="38">
        <v>9.00480569E8</v>
      </c>
      <c r="G28" s="18" t="s">
        <v>141</v>
      </c>
      <c r="H28" s="18" t="s">
        <v>2255</v>
      </c>
      <c r="I28" s="18" t="s">
        <v>253</v>
      </c>
      <c r="J28" s="18" t="s">
        <v>2205</v>
      </c>
      <c r="K28" s="18" t="s">
        <v>2256</v>
      </c>
      <c r="L28" s="18" t="s">
        <v>52</v>
      </c>
      <c r="M28" s="18" t="s">
        <v>138</v>
      </c>
      <c r="N28" s="18" t="s">
        <v>130</v>
      </c>
      <c r="O28" s="18" t="s">
        <v>126</v>
      </c>
      <c r="P28" s="18" t="s">
        <v>56</v>
      </c>
      <c r="Q28" s="18" t="s">
        <v>90</v>
      </c>
      <c r="R28" s="18" t="s">
        <v>143</v>
      </c>
      <c r="S28" s="18" t="s">
        <v>59</v>
      </c>
      <c r="T28" s="38">
        <v>2026.0</v>
      </c>
      <c r="U28" s="38">
        <v>5.0</v>
      </c>
      <c r="V28" s="38">
        <v>1.081522465E9</v>
      </c>
      <c r="W28" s="38">
        <v>1.081540535E9</v>
      </c>
      <c r="X28" s="18" t="s">
        <v>2199</v>
      </c>
      <c r="Y28" s="18" t="s">
        <v>2200</v>
      </c>
      <c r="Z28" s="38">
        <v>391215.46</v>
      </c>
      <c r="AA28" s="38">
        <v>391215.46</v>
      </c>
      <c r="AB28" s="38">
        <v>130405.16</v>
      </c>
      <c r="AC28" s="38">
        <v>1173.0</v>
      </c>
      <c r="AD28" s="38">
        <v>0.0</v>
      </c>
      <c r="AE28" s="38">
        <v>0.0</v>
      </c>
      <c r="AF28" s="38">
        <v>0.0</v>
      </c>
      <c r="AG28" s="38">
        <v>0.0</v>
      </c>
      <c r="AH28" s="38">
        <v>0.0</v>
      </c>
      <c r="AI28" s="38">
        <v>391215.46</v>
      </c>
      <c r="AJ28" s="38">
        <v>391215.46</v>
      </c>
      <c r="AK28" s="38">
        <v>0.0</v>
      </c>
      <c r="AL28" s="38">
        <v>376.2</v>
      </c>
      <c r="AM28" s="38">
        <v>0.0</v>
      </c>
      <c r="AN28" s="34" t="s">
        <v>62</v>
      </c>
      <c r="AO28" s="34" t="s">
        <v>62</v>
      </c>
      <c r="AP28" s="34" t="s">
        <v>62</v>
      </c>
      <c r="AQ28" s="34" t="s">
        <v>62</v>
      </c>
      <c r="AR28" s="38">
        <v>0.0</v>
      </c>
      <c r="AS28" s="38" t="s">
        <v>2257</v>
      </c>
      <c r="AT28" s="35" t="s">
        <v>2202</v>
      </c>
      <c r="AU28" s="39" t="s">
        <v>2203</v>
      </c>
      <c r="AV28" s="40">
        <v>46163.0</v>
      </c>
    </row>
    <row r="29">
      <c r="A29" s="38">
        <v>297.0</v>
      </c>
      <c r="B29" s="38">
        <v>221700.0</v>
      </c>
      <c r="C29" s="38">
        <v>221700.0</v>
      </c>
      <c r="D29" s="38">
        <v>44643.0</v>
      </c>
      <c r="E29" s="38">
        <v>44643.0</v>
      </c>
      <c r="F29" s="18" t="s">
        <v>135</v>
      </c>
      <c r="G29" s="18" t="s">
        <v>136</v>
      </c>
      <c r="H29" s="18" t="s">
        <v>2258</v>
      </c>
      <c r="I29" s="18" t="s">
        <v>198</v>
      </c>
      <c r="J29" s="18" t="s">
        <v>2205</v>
      </c>
      <c r="K29" s="18" t="s">
        <v>2259</v>
      </c>
      <c r="L29" s="18" t="s">
        <v>52</v>
      </c>
      <c r="M29" s="18" t="s">
        <v>138</v>
      </c>
      <c r="N29" s="18" t="s">
        <v>130</v>
      </c>
      <c r="O29" s="18" t="s">
        <v>126</v>
      </c>
      <c r="P29" s="18" t="s">
        <v>131</v>
      </c>
      <c r="Q29" s="18" t="s">
        <v>151</v>
      </c>
      <c r="R29" s="18" t="s">
        <v>133</v>
      </c>
      <c r="S29" s="18" t="s">
        <v>59</v>
      </c>
      <c r="T29" s="38">
        <v>2026.0</v>
      </c>
      <c r="U29" s="38">
        <v>5.0</v>
      </c>
      <c r="V29" s="38">
        <v>1.081522469E9</v>
      </c>
      <c r="W29" s="38">
        <v>1.081540539E9</v>
      </c>
      <c r="X29" s="18" t="s">
        <v>2199</v>
      </c>
      <c r="Y29" s="18" t="s">
        <v>2200</v>
      </c>
      <c r="Z29" s="38">
        <v>75941.0</v>
      </c>
      <c r="AA29" s="38">
        <v>75941.0</v>
      </c>
      <c r="AB29" s="38">
        <v>0.0</v>
      </c>
      <c r="AC29" s="38">
        <v>0.0</v>
      </c>
      <c r="AD29" s="38">
        <v>0.0</v>
      </c>
      <c r="AE29" s="38">
        <v>0.0</v>
      </c>
      <c r="AF29" s="38">
        <v>0.0</v>
      </c>
      <c r="AG29" s="38">
        <v>0.0</v>
      </c>
      <c r="AH29" s="38">
        <v>0.0</v>
      </c>
      <c r="AI29" s="38">
        <v>75941.0</v>
      </c>
      <c r="AJ29" s="38">
        <v>75941.0</v>
      </c>
      <c r="AK29" s="38">
        <v>0.0</v>
      </c>
      <c r="AL29" s="38">
        <v>250.8</v>
      </c>
      <c r="AM29" s="38">
        <v>0.0</v>
      </c>
      <c r="AN29" s="34" t="s">
        <v>62</v>
      </c>
      <c r="AO29" s="34" t="s">
        <v>62</v>
      </c>
      <c r="AP29" s="34" t="s">
        <v>62</v>
      </c>
      <c r="AQ29" s="34" t="s">
        <v>62</v>
      </c>
      <c r="AR29" s="38">
        <v>0.0</v>
      </c>
      <c r="AS29" s="38" t="s">
        <v>2260</v>
      </c>
      <c r="AT29" s="35" t="s">
        <v>2202</v>
      </c>
      <c r="AU29" s="39" t="s">
        <v>2203</v>
      </c>
      <c r="AV29" s="40">
        <v>46164.0</v>
      </c>
    </row>
    <row r="30">
      <c r="A30" s="38">
        <v>280920.0</v>
      </c>
      <c r="B30" s="38">
        <v>223224.0</v>
      </c>
      <c r="C30" s="38">
        <v>223224.0</v>
      </c>
      <c r="D30" s="38">
        <v>46259.0</v>
      </c>
      <c r="E30" s="38">
        <v>46259.0</v>
      </c>
      <c r="F30" s="38">
        <v>9.00576569E8</v>
      </c>
      <c r="G30" s="18" t="s">
        <v>161</v>
      </c>
      <c r="H30" s="18" t="s">
        <v>2261</v>
      </c>
      <c r="I30" s="18" t="s">
        <v>137</v>
      </c>
      <c r="J30" s="18" t="s">
        <v>2205</v>
      </c>
      <c r="K30" s="18" t="s">
        <v>2262</v>
      </c>
      <c r="L30" s="18" t="s">
        <v>52</v>
      </c>
      <c r="M30" s="18" t="s">
        <v>89</v>
      </c>
      <c r="N30" s="18" t="s">
        <v>130</v>
      </c>
      <c r="O30" s="18" t="s">
        <v>126</v>
      </c>
      <c r="P30" s="18" t="s">
        <v>131</v>
      </c>
      <c r="Q30" s="18" t="s">
        <v>132</v>
      </c>
      <c r="R30" s="18" t="s">
        <v>133</v>
      </c>
      <c r="S30" s="18" t="s">
        <v>59</v>
      </c>
      <c r="T30" s="38">
        <v>2026.0</v>
      </c>
      <c r="U30" s="38">
        <v>5.0</v>
      </c>
      <c r="V30" s="38">
        <v>1.081522474E9</v>
      </c>
      <c r="W30" s="38">
        <v>1.081540544E9</v>
      </c>
      <c r="X30" s="18" t="s">
        <v>2199</v>
      </c>
      <c r="Y30" s="18" t="s">
        <v>2200</v>
      </c>
      <c r="Z30" s="38">
        <v>124715.52</v>
      </c>
      <c r="AA30" s="38">
        <v>124715.52</v>
      </c>
      <c r="AB30" s="38">
        <v>37970.5</v>
      </c>
      <c r="AC30" s="38">
        <v>0.0</v>
      </c>
      <c r="AD30" s="38">
        <v>10804.02</v>
      </c>
      <c r="AE30" s="38">
        <v>0.0</v>
      </c>
      <c r="AF30" s="38">
        <v>0.0</v>
      </c>
      <c r="AG30" s="38">
        <v>0.0</v>
      </c>
      <c r="AH30" s="38">
        <v>0.0</v>
      </c>
      <c r="AI30" s="38">
        <v>124715.52</v>
      </c>
      <c r="AJ30" s="38">
        <v>766477.09</v>
      </c>
      <c r="AK30" s="38">
        <v>7.0</v>
      </c>
      <c r="AL30" s="38">
        <v>376.2</v>
      </c>
      <c r="AM30" s="38">
        <v>0.0</v>
      </c>
      <c r="AN30" s="34" t="s">
        <v>62</v>
      </c>
      <c r="AO30" s="34" t="s">
        <v>62</v>
      </c>
      <c r="AP30" s="34" t="s">
        <v>62</v>
      </c>
      <c r="AQ30" s="34" t="s">
        <v>62</v>
      </c>
      <c r="AR30" s="38">
        <v>0.0</v>
      </c>
      <c r="AS30" s="38" t="s">
        <v>2263</v>
      </c>
      <c r="AT30" s="35" t="s">
        <v>2202</v>
      </c>
      <c r="AU30" s="39" t="s">
        <v>2203</v>
      </c>
      <c r="AV30" s="40">
        <v>46163.0</v>
      </c>
    </row>
    <row r="31">
      <c r="A31" s="38">
        <v>228357.0</v>
      </c>
      <c r="B31" s="38">
        <v>228356.0</v>
      </c>
      <c r="C31" s="38">
        <v>228356.0</v>
      </c>
      <c r="D31" s="38">
        <v>154946.0</v>
      </c>
      <c r="E31" s="38">
        <v>154946.0</v>
      </c>
      <c r="F31" s="18" t="s">
        <v>349</v>
      </c>
      <c r="G31" s="18" t="s">
        <v>350</v>
      </c>
      <c r="H31" s="18" t="s">
        <v>2264</v>
      </c>
      <c r="I31" s="18" t="s">
        <v>106</v>
      </c>
      <c r="J31" s="18" t="s">
        <v>2205</v>
      </c>
      <c r="K31" s="18" t="s">
        <v>2205</v>
      </c>
      <c r="L31" s="18" t="s">
        <v>52</v>
      </c>
      <c r="M31" s="18" t="s">
        <v>89</v>
      </c>
      <c r="N31" s="18" t="s">
        <v>130</v>
      </c>
      <c r="O31" s="18" t="s">
        <v>126</v>
      </c>
      <c r="P31" s="18" t="s">
        <v>56</v>
      </c>
      <c r="Q31" s="18" t="s">
        <v>57</v>
      </c>
      <c r="R31" s="18" t="s">
        <v>58</v>
      </c>
      <c r="S31" s="18" t="s">
        <v>59</v>
      </c>
      <c r="T31" s="38">
        <v>2026.0</v>
      </c>
      <c r="U31" s="38">
        <v>5.0</v>
      </c>
      <c r="V31" s="38">
        <v>1.081522477E9</v>
      </c>
      <c r="W31" s="38">
        <v>1.081540547E9</v>
      </c>
      <c r="X31" s="18" t="s">
        <v>2199</v>
      </c>
      <c r="Y31" s="18" t="s">
        <v>2200</v>
      </c>
      <c r="Z31" s="38">
        <v>3916261.28</v>
      </c>
      <c r="AA31" s="38">
        <v>3916261.28</v>
      </c>
      <c r="AB31" s="38">
        <v>0.0</v>
      </c>
      <c r="AC31" s="38">
        <v>14025.0</v>
      </c>
      <c r="AD31" s="38">
        <v>0.0</v>
      </c>
      <c r="AE31" s="38">
        <v>0.0</v>
      </c>
      <c r="AF31" s="38">
        <v>0.0</v>
      </c>
      <c r="AG31" s="38">
        <v>0.0</v>
      </c>
      <c r="AH31" s="38">
        <v>0.0</v>
      </c>
      <c r="AI31" s="38">
        <v>3916261.28</v>
      </c>
      <c r="AJ31" s="38">
        <v>1.578007793E7</v>
      </c>
      <c r="AK31" s="38">
        <v>4.0</v>
      </c>
      <c r="AL31" s="38">
        <v>1216250.8</v>
      </c>
      <c r="AM31" s="38">
        <v>0.0</v>
      </c>
      <c r="AN31" s="34" t="s">
        <v>62</v>
      </c>
      <c r="AO31" s="34" t="s">
        <v>62</v>
      </c>
      <c r="AP31" s="34" t="s">
        <v>62</v>
      </c>
      <c r="AQ31" s="34" t="s">
        <v>62</v>
      </c>
      <c r="AR31" s="38">
        <v>0.0</v>
      </c>
      <c r="AS31" s="38" t="s">
        <v>2265</v>
      </c>
      <c r="AT31" s="35" t="s">
        <v>2202</v>
      </c>
      <c r="AU31" s="39" t="s">
        <v>2254</v>
      </c>
      <c r="AV31" s="40">
        <v>46167.0</v>
      </c>
    </row>
    <row r="32">
      <c r="A32" s="38">
        <v>297.0</v>
      </c>
      <c r="B32" s="38">
        <v>231632.0</v>
      </c>
      <c r="C32" s="38">
        <v>231632.0</v>
      </c>
      <c r="D32" s="38">
        <v>206717.0</v>
      </c>
      <c r="E32" s="38">
        <v>206717.0</v>
      </c>
      <c r="F32" s="18" t="s">
        <v>135</v>
      </c>
      <c r="G32" s="18" t="s">
        <v>136</v>
      </c>
      <c r="H32" s="18" t="s">
        <v>2258</v>
      </c>
      <c r="I32" s="18" t="s">
        <v>137</v>
      </c>
      <c r="J32" s="18" t="s">
        <v>2205</v>
      </c>
      <c r="K32" s="18" t="s">
        <v>2259</v>
      </c>
      <c r="L32" s="18" t="s">
        <v>52</v>
      </c>
      <c r="M32" s="18" t="s">
        <v>138</v>
      </c>
      <c r="N32" s="18" t="s">
        <v>130</v>
      </c>
      <c r="O32" s="18" t="s">
        <v>126</v>
      </c>
      <c r="P32" s="18" t="s">
        <v>56</v>
      </c>
      <c r="Q32" s="18" t="s">
        <v>57</v>
      </c>
      <c r="R32" s="18" t="s">
        <v>143</v>
      </c>
      <c r="S32" s="18" t="s">
        <v>59</v>
      </c>
      <c r="T32" s="38">
        <v>2026.0</v>
      </c>
      <c r="U32" s="38">
        <v>5.0</v>
      </c>
      <c r="V32" s="38">
        <v>1.081522482E9</v>
      </c>
      <c r="W32" s="38">
        <v>1.081540552E9</v>
      </c>
      <c r="X32" s="18" t="s">
        <v>2199</v>
      </c>
      <c r="Y32" s="18" t="s">
        <v>2200</v>
      </c>
      <c r="Z32" s="38">
        <v>104595.85</v>
      </c>
      <c r="AA32" s="38">
        <v>104595.85</v>
      </c>
      <c r="AB32" s="38">
        <v>0.0</v>
      </c>
      <c r="AC32" s="38">
        <v>350.0</v>
      </c>
      <c r="AD32" s="38">
        <v>0.0</v>
      </c>
      <c r="AE32" s="38">
        <v>0.0</v>
      </c>
      <c r="AF32" s="38">
        <v>0.0</v>
      </c>
      <c r="AG32" s="38">
        <v>0.0</v>
      </c>
      <c r="AH32" s="38">
        <v>0.0</v>
      </c>
      <c r="AI32" s="38">
        <v>104595.85</v>
      </c>
      <c r="AJ32" s="38">
        <v>104595.85</v>
      </c>
      <c r="AK32" s="38">
        <v>0.0</v>
      </c>
      <c r="AL32" s="38">
        <v>250.8</v>
      </c>
      <c r="AM32" s="38">
        <v>0.0</v>
      </c>
      <c r="AN32" s="34" t="s">
        <v>62</v>
      </c>
      <c r="AO32" s="34" t="s">
        <v>62</v>
      </c>
      <c r="AP32" s="34" t="s">
        <v>62</v>
      </c>
      <c r="AQ32" s="34" t="s">
        <v>62</v>
      </c>
      <c r="AR32" s="38">
        <v>0.0</v>
      </c>
      <c r="AS32" s="38" t="s">
        <v>2260</v>
      </c>
      <c r="AT32" s="35" t="s">
        <v>2202</v>
      </c>
      <c r="AU32" s="39" t="s">
        <v>2203</v>
      </c>
      <c r="AV32" s="40">
        <v>46164.0</v>
      </c>
    </row>
    <row r="33">
      <c r="A33" s="38">
        <v>297.0</v>
      </c>
      <c r="B33" s="38">
        <v>232416.0</v>
      </c>
      <c r="C33" s="38">
        <v>232416.0</v>
      </c>
      <c r="D33" s="38">
        <v>215210.0</v>
      </c>
      <c r="E33" s="38">
        <v>215210.0</v>
      </c>
      <c r="F33" s="18" t="s">
        <v>135</v>
      </c>
      <c r="G33" s="18" t="s">
        <v>136</v>
      </c>
      <c r="H33" s="18" t="s">
        <v>2258</v>
      </c>
      <c r="I33" s="18" t="s">
        <v>353</v>
      </c>
      <c r="J33" s="18" t="s">
        <v>2205</v>
      </c>
      <c r="K33" s="18" t="s">
        <v>2259</v>
      </c>
      <c r="L33" s="18" t="s">
        <v>52</v>
      </c>
      <c r="M33" s="18" t="s">
        <v>138</v>
      </c>
      <c r="N33" s="18" t="s">
        <v>130</v>
      </c>
      <c r="O33" s="18" t="s">
        <v>126</v>
      </c>
      <c r="P33" s="18" t="s">
        <v>56</v>
      </c>
      <c r="Q33" s="18" t="s">
        <v>57</v>
      </c>
      <c r="R33" s="18" t="s">
        <v>143</v>
      </c>
      <c r="S33" s="18" t="s">
        <v>59</v>
      </c>
      <c r="T33" s="38">
        <v>2026.0</v>
      </c>
      <c r="U33" s="38">
        <v>5.0</v>
      </c>
      <c r="V33" s="38">
        <v>1.081522485E9</v>
      </c>
      <c r="W33" s="38">
        <v>1.081540555E9</v>
      </c>
      <c r="X33" s="18" t="s">
        <v>2199</v>
      </c>
      <c r="Y33" s="18" t="s">
        <v>2200</v>
      </c>
      <c r="Z33" s="38">
        <v>106493.96</v>
      </c>
      <c r="AA33" s="38">
        <v>106493.96</v>
      </c>
      <c r="AB33" s="38">
        <v>0.0</v>
      </c>
      <c r="AC33" s="38">
        <v>360.0</v>
      </c>
      <c r="AD33" s="38">
        <v>0.0</v>
      </c>
      <c r="AE33" s="38">
        <v>0.0</v>
      </c>
      <c r="AF33" s="38">
        <v>0.0</v>
      </c>
      <c r="AG33" s="38">
        <v>0.0</v>
      </c>
      <c r="AH33" s="38">
        <v>0.0</v>
      </c>
      <c r="AI33" s="38">
        <v>106493.96</v>
      </c>
      <c r="AJ33" s="38">
        <v>106493.96</v>
      </c>
      <c r="AK33" s="38">
        <v>0.0</v>
      </c>
      <c r="AL33" s="38">
        <v>250.8</v>
      </c>
      <c r="AM33" s="38">
        <v>0.0</v>
      </c>
      <c r="AN33" s="34" t="s">
        <v>62</v>
      </c>
      <c r="AO33" s="34" t="s">
        <v>62</v>
      </c>
      <c r="AP33" s="34" t="s">
        <v>62</v>
      </c>
      <c r="AQ33" s="34" t="s">
        <v>62</v>
      </c>
      <c r="AR33" s="38">
        <v>0.0</v>
      </c>
      <c r="AS33" s="38" t="s">
        <v>2260</v>
      </c>
      <c r="AT33" s="35" t="s">
        <v>2202</v>
      </c>
      <c r="AU33" s="39" t="s">
        <v>2203</v>
      </c>
      <c r="AV33" s="40">
        <v>46164.0</v>
      </c>
    </row>
    <row r="34">
      <c r="A34" s="38">
        <v>141.0</v>
      </c>
      <c r="B34" s="38">
        <v>238452.0</v>
      </c>
      <c r="C34" s="38">
        <v>238452.0</v>
      </c>
      <c r="D34" s="38">
        <v>313539.0</v>
      </c>
      <c r="E34" s="38">
        <v>313539.0</v>
      </c>
      <c r="F34" s="38">
        <v>8.90500514E8</v>
      </c>
      <c r="G34" s="18" t="s">
        <v>145</v>
      </c>
      <c r="H34" s="18" t="s">
        <v>2266</v>
      </c>
      <c r="I34" s="18" t="s">
        <v>157</v>
      </c>
      <c r="J34" s="18" t="s">
        <v>2205</v>
      </c>
      <c r="K34" s="18" t="s">
        <v>2267</v>
      </c>
      <c r="L34" s="18" t="s">
        <v>52</v>
      </c>
      <c r="M34" s="18" t="s">
        <v>138</v>
      </c>
      <c r="N34" s="18" t="s">
        <v>130</v>
      </c>
      <c r="O34" s="18" t="s">
        <v>126</v>
      </c>
      <c r="P34" s="18" t="s">
        <v>56</v>
      </c>
      <c r="Q34" s="18" t="s">
        <v>90</v>
      </c>
      <c r="R34" s="18" t="s">
        <v>143</v>
      </c>
      <c r="S34" s="18" t="s">
        <v>59</v>
      </c>
      <c r="T34" s="38">
        <v>2026.0</v>
      </c>
      <c r="U34" s="38">
        <v>5.0</v>
      </c>
      <c r="V34" s="38">
        <v>1.081522489E9</v>
      </c>
      <c r="W34" s="38">
        <v>1.081540559E9</v>
      </c>
      <c r="X34" s="18" t="s">
        <v>2199</v>
      </c>
      <c r="Y34" s="18" t="s">
        <v>2200</v>
      </c>
      <c r="Z34" s="38">
        <v>227503.48</v>
      </c>
      <c r="AA34" s="38">
        <v>227503.48</v>
      </c>
      <c r="AB34" s="38">
        <v>75834.5</v>
      </c>
      <c r="AC34" s="38">
        <v>598.0</v>
      </c>
      <c r="AD34" s="38">
        <v>0.0</v>
      </c>
      <c r="AE34" s="38">
        <v>0.0</v>
      </c>
      <c r="AF34" s="38">
        <v>0.0</v>
      </c>
      <c r="AG34" s="38">
        <v>0.0</v>
      </c>
      <c r="AH34" s="38">
        <v>0.0</v>
      </c>
      <c r="AI34" s="38">
        <v>227503.48</v>
      </c>
      <c r="AJ34" s="38">
        <v>227503.48</v>
      </c>
      <c r="AK34" s="38">
        <v>0.0</v>
      </c>
      <c r="AL34" s="38">
        <v>376.2</v>
      </c>
      <c r="AM34" s="38">
        <v>0.0</v>
      </c>
      <c r="AN34" s="34" t="s">
        <v>62</v>
      </c>
      <c r="AO34" s="34" t="s">
        <v>62</v>
      </c>
      <c r="AP34" s="34" t="s">
        <v>62</v>
      </c>
      <c r="AQ34" s="34" t="s">
        <v>62</v>
      </c>
      <c r="AR34" s="38">
        <v>0.0</v>
      </c>
      <c r="AS34" s="38" t="s">
        <v>2268</v>
      </c>
      <c r="AT34" s="35" t="s">
        <v>2202</v>
      </c>
      <c r="AU34" s="39" t="s">
        <v>2203</v>
      </c>
      <c r="AV34" s="40">
        <v>46163.0</v>
      </c>
    </row>
    <row r="35">
      <c r="A35" s="38">
        <v>699.0</v>
      </c>
      <c r="B35" s="38">
        <v>24176.0</v>
      </c>
      <c r="C35" s="38">
        <v>24176.0</v>
      </c>
      <c r="D35" s="38">
        <v>207240.0</v>
      </c>
      <c r="E35" s="38">
        <v>207240.0</v>
      </c>
      <c r="F35" s="38">
        <v>9.00480569E8</v>
      </c>
      <c r="G35" s="18" t="s">
        <v>141</v>
      </c>
      <c r="H35" s="18" t="s">
        <v>2255</v>
      </c>
      <c r="I35" s="18" t="s">
        <v>356</v>
      </c>
      <c r="J35" s="18" t="s">
        <v>2205</v>
      </c>
      <c r="K35" s="18" t="s">
        <v>2256</v>
      </c>
      <c r="L35" s="18" t="s">
        <v>52</v>
      </c>
      <c r="M35" s="18" t="s">
        <v>53</v>
      </c>
      <c r="N35" s="18" t="s">
        <v>130</v>
      </c>
      <c r="O35" s="18" t="s">
        <v>126</v>
      </c>
      <c r="P35" s="18" t="s">
        <v>56</v>
      </c>
      <c r="Q35" s="18" t="s">
        <v>90</v>
      </c>
      <c r="R35" s="18" t="s">
        <v>143</v>
      </c>
      <c r="S35" s="18" t="s">
        <v>59</v>
      </c>
      <c r="T35" s="38">
        <v>2026.0</v>
      </c>
      <c r="U35" s="38">
        <v>5.0</v>
      </c>
      <c r="V35" s="38">
        <v>1.081522454E9</v>
      </c>
      <c r="W35" s="38">
        <v>1.081540524E9</v>
      </c>
      <c r="X35" s="18" t="s">
        <v>2199</v>
      </c>
      <c r="Y35" s="18" t="s">
        <v>2200</v>
      </c>
      <c r="Z35" s="38">
        <v>199601.25</v>
      </c>
      <c r="AA35" s="38">
        <v>199601.25</v>
      </c>
      <c r="AB35" s="38">
        <v>66533.75</v>
      </c>
      <c r="AC35" s="38">
        <v>500.0</v>
      </c>
      <c r="AD35" s="38">
        <v>0.0</v>
      </c>
      <c r="AE35" s="38">
        <v>0.0</v>
      </c>
      <c r="AF35" s="38">
        <v>0.0</v>
      </c>
      <c r="AG35" s="38">
        <v>0.0</v>
      </c>
      <c r="AH35" s="38">
        <v>0.0</v>
      </c>
      <c r="AI35" s="38">
        <v>199601.25</v>
      </c>
      <c r="AJ35" s="38">
        <v>413502.74</v>
      </c>
      <c r="AK35" s="38">
        <v>1.0</v>
      </c>
      <c r="AL35" s="38">
        <v>376.2</v>
      </c>
      <c r="AM35" s="38">
        <v>0.0</v>
      </c>
      <c r="AN35" s="34" t="s">
        <v>62</v>
      </c>
      <c r="AO35" s="34" t="s">
        <v>62</v>
      </c>
      <c r="AP35" s="34" t="s">
        <v>62</v>
      </c>
      <c r="AQ35" s="34" t="s">
        <v>62</v>
      </c>
      <c r="AR35" s="38">
        <v>0.0</v>
      </c>
      <c r="AS35" s="38" t="s">
        <v>2257</v>
      </c>
      <c r="AT35" s="35" t="s">
        <v>2202</v>
      </c>
      <c r="AU35" s="39" t="s">
        <v>2203</v>
      </c>
      <c r="AV35" s="40">
        <v>46163.0</v>
      </c>
    </row>
    <row r="36">
      <c r="A36" s="38">
        <v>285191.0</v>
      </c>
      <c r="B36" s="38">
        <v>248380.0</v>
      </c>
      <c r="C36" s="38">
        <v>248380.0</v>
      </c>
      <c r="D36" s="38">
        <v>533675.0</v>
      </c>
      <c r="E36" s="38">
        <v>533675.0</v>
      </c>
      <c r="F36" s="38">
        <v>9.00276962E8</v>
      </c>
      <c r="G36" s="18" t="s">
        <v>128</v>
      </c>
      <c r="H36" s="18" t="s">
        <v>2269</v>
      </c>
      <c r="I36" s="18" t="s">
        <v>142</v>
      </c>
      <c r="J36" s="18" t="s">
        <v>2205</v>
      </c>
      <c r="K36" s="18" t="s">
        <v>2270</v>
      </c>
      <c r="L36" s="18" t="s">
        <v>52</v>
      </c>
      <c r="M36" s="18" t="s">
        <v>89</v>
      </c>
      <c r="N36" s="18" t="s">
        <v>130</v>
      </c>
      <c r="O36" s="18" t="s">
        <v>126</v>
      </c>
      <c r="P36" s="18" t="s">
        <v>131</v>
      </c>
      <c r="Q36" s="18" t="s">
        <v>132</v>
      </c>
      <c r="R36" s="18" t="s">
        <v>133</v>
      </c>
      <c r="S36" s="18" t="s">
        <v>59</v>
      </c>
      <c r="T36" s="38">
        <v>2026.0</v>
      </c>
      <c r="U36" s="38">
        <v>5.0</v>
      </c>
      <c r="V36" s="38">
        <v>1.081522492E9</v>
      </c>
      <c r="W36" s="38">
        <v>1.081540562E9</v>
      </c>
      <c r="X36" s="18" t="s">
        <v>2199</v>
      </c>
      <c r="Y36" s="18" t="s">
        <v>2200</v>
      </c>
      <c r="Z36" s="38">
        <v>113911.5</v>
      </c>
      <c r="AA36" s="38">
        <v>113911.5</v>
      </c>
      <c r="AB36" s="38">
        <v>37970.5</v>
      </c>
      <c r="AC36" s="38">
        <v>0.0</v>
      </c>
      <c r="AD36" s="38">
        <v>0.0</v>
      </c>
      <c r="AE36" s="38">
        <v>0.0</v>
      </c>
      <c r="AF36" s="38">
        <v>0.0</v>
      </c>
      <c r="AG36" s="38">
        <v>0.0</v>
      </c>
      <c r="AH36" s="38">
        <v>0.0</v>
      </c>
      <c r="AI36" s="38">
        <v>113911.5</v>
      </c>
      <c r="AJ36" s="38">
        <v>113911.5</v>
      </c>
      <c r="AK36" s="38">
        <v>0.0</v>
      </c>
      <c r="AL36" s="38">
        <v>376.2</v>
      </c>
      <c r="AM36" s="38">
        <v>0.0</v>
      </c>
      <c r="AN36" s="34" t="s">
        <v>62</v>
      </c>
      <c r="AO36" s="34" t="s">
        <v>62</v>
      </c>
      <c r="AP36" s="34" t="s">
        <v>62</v>
      </c>
      <c r="AQ36" s="34" t="s">
        <v>62</v>
      </c>
      <c r="AR36" s="38">
        <v>0.0</v>
      </c>
      <c r="AS36" s="38" t="s">
        <v>2271</v>
      </c>
      <c r="AT36" s="35" t="s">
        <v>2202</v>
      </c>
      <c r="AU36" s="39" t="s">
        <v>2203</v>
      </c>
      <c r="AV36" s="40">
        <v>46163.0</v>
      </c>
    </row>
    <row r="37">
      <c r="A37" s="38">
        <v>285191.0</v>
      </c>
      <c r="B37" s="38">
        <v>255284.0</v>
      </c>
      <c r="C37" s="38">
        <v>255284.0</v>
      </c>
      <c r="D37" s="38">
        <v>577190.0</v>
      </c>
      <c r="E37" s="38">
        <v>577190.0</v>
      </c>
      <c r="F37" s="38">
        <v>9.00276962E8</v>
      </c>
      <c r="G37" s="18" t="s">
        <v>128</v>
      </c>
      <c r="H37" s="18" t="s">
        <v>2269</v>
      </c>
      <c r="I37" s="18" t="s">
        <v>196</v>
      </c>
      <c r="J37" s="18" t="s">
        <v>2205</v>
      </c>
      <c r="K37" s="18" t="s">
        <v>2270</v>
      </c>
      <c r="L37" s="18" t="s">
        <v>52</v>
      </c>
      <c r="M37" s="18" t="s">
        <v>89</v>
      </c>
      <c r="N37" s="18" t="s">
        <v>130</v>
      </c>
      <c r="O37" s="18" t="s">
        <v>126</v>
      </c>
      <c r="P37" s="18" t="s">
        <v>131</v>
      </c>
      <c r="Q37" s="18" t="s">
        <v>132</v>
      </c>
      <c r="R37" s="18" t="s">
        <v>133</v>
      </c>
      <c r="S37" s="18" t="s">
        <v>59</v>
      </c>
      <c r="T37" s="38">
        <v>2026.0</v>
      </c>
      <c r="U37" s="38">
        <v>5.0</v>
      </c>
      <c r="V37" s="38">
        <v>1.081522496E9</v>
      </c>
      <c r="W37" s="38">
        <v>1.081540566E9</v>
      </c>
      <c r="X37" s="18" t="s">
        <v>2199</v>
      </c>
      <c r="Y37" s="18" t="s">
        <v>2200</v>
      </c>
      <c r="Z37" s="38">
        <v>113911.5</v>
      </c>
      <c r="AA37" s="38">
        <v>113911.5</v>
      </c>
      <c r="AB37" s="38">
        <v>37970.5</v>
      </c>
      <c r="AC37" s="38">
        <v>0.0</v>
      </c>
      <c r="AD37" s="38">
        <v>0.0</v>
      </c>
      <c r="AE37" s="38">
        <v>0.0</v>
      </c>
      <c r="AF37" s="38">
        <v>0.0</v>
      </c>
      <c r="AG37" s="38">
        <v>0.0</v>
      </c>
      <c r="AH37" s="38">
        <v>0.0</v>
      </c>
      <c r="AI37" s="38">
        <v>113911.5</v>
      </c>
      <c r="AJ37" s="38">
        <v>113911.5</v>
      </c>
      <c r="AK37" s="38">
        <v>0.0</v>
      </c>
      <c r="AL37" s="38">
        <v>376.2</v>
      </c>
      <c r="AM37" s="38">
        <v>0.0</v>
      </c>
      <c r="AN37" s="34" t="s">
        <v>62</v>
      </c>
      <c r="AO37" s="34" t="s">
        <v>62</v>
      </c>
      <c r="AP37" s="34" t="s">
        <v>62</v>
      </c>
      <c r="AQ37" s="34" t="s">
        <v>62</v>
      </c>
      <c r="AR37" s="38">
        <v>0.0</v>
      </c>
      <c r="AS37" s="38" t="s">
        <v>2271</v>
      </c>
      <c r="AT37" s="35" t="s">
        <v>2202</v>
      </c>
      <c r="AU37" s="39" t="s">
        <v>2203</v>
      </c>
      <c r="AV37" s="40">
        <v>46163.0</v>
      </c>
    </row>
    <row r="38">
      <c r="A38" s="38">
        <v>271157.0</v>
      </c>
      <c r="B38" s="38">
        <v>271156.0</v>
      </c>
      <c r="C38" s="38">
        <v>271156.0</v>
      </c>
      <c r="D38" s="38">
        <v>689156.0</v>
      </c>
      <c r="E38" s="38">
        <v>689156.0</v>
      </c>
      <c r="F38" s="18" t="s">
        <v>360</v>
      </c>
      <c r="G38" s="18" t="s">
        <v>361</v>
      </c>
      <c r="H38" s="18" t="s">
        <v>2272</v>
      </c>
      <c r="I38" s="18" t="s">
        <v>362</v>
      </c>
      <c r="J38" s="18" t="s">
        <v>2273</v>
      </c>
      <c r="K38" s="18" t="s">
        <v>2205</v>
      </c>
      <c r="L38" s="18" t="s">
        <v>52</v>
      </c>
      <c r="M38" s="18" t="s">
        <v>89</v>
      </c>
      <c r="N38" s="18" t="s">
        <v>130</v>
      </c>
      <c r="O38" s="18" t="s">
        <v>126</v>
      </c>
      <c r="P38" s="18" t="s">
        <v>131</v>
      </c>
      <c r="Q38" s="18" t="s">
        <v>363</v>
      </c>
      <c r="R38" s="18" t="s">
        <v>133</v>
      </c>
      <c r="S38" s="18" t="s">
        <v>59</v>
      </c>
      <c r="T38" s="38">
        <v>2026.0</v>
      </c>
      <c r="U38" s="38">
        <v>5.0</v>
      </c>
      <c r="V38" s="38">
        <v>1.081522499E9</v>
      </c>
      <c r="W38" s="38">
        <v>1.081540569E9</v>
      </c>
      <c r="X38" s="18" t="s">
        <v>2199</v>
      </c>
      <c r="Y38" s="18" t="s">
        <v>2200</v>
      </c>
      <c r="Z38" s="38">
        <v>77082.02</v>
      </c>
      <c r="AA38" s="38">
        <v>77082.02</v>
      </c>
      <c r="AB38" s="38">
        <v>25380.5</v>
      </c>
      <c r="AC38" s="38">
        <v>0.0</v>
      </c>
      <c r="AD38" s="38">
        <v>940.52</v>
      </c>
      <c r="AE38" s="38">
        <v>0.0</v>
      </c>
      <c r="AF38" s="38">
        <v>0.0</v>
      </c>
      <c r="AG38" s="38">
        <v>0.0</v>
      </c>
      <c r="AH38" s="38">
        <v>0.0</v>
      </c>
      <c r="AI38" s="38">
        <v>77082.02</v>
      </c>
      <c r="AJ38" s="38">
        <v>209503.68</v>
      </c>
      <c r="AK38" s="38">
        <v>2.0</v>
      </c>
      <c r="AL38" s="38">
        <v>376.2</v>
      </c>
      <c r="AM38" s="38">
        <v>0.0</v>
      </c>
      <c r="AN38" s="34" t="s">
        <v>62</v>
      </c>
      <c r="AO38" s="34" t="s">
        <v>62</v>
      </c>
      <c r="AP38" s="34" t="s">
        <v>62</v>
      </c>
      <c r="AQ38" s="34" t="s">
        <v>62</v>
      </c>
      <c r="AR38" s="38">
        <v>0.0</v>
      </c>
      <c r="AS38" s="38" t="s">
        <v>2274</v>
      </c>
      <c r="AT38" s="35" t="s">
        <v>2275</v>
      </c>
      <c r="AU38" s="39" t="s">
        <v>2276</v>
      </c>
      <c r="AV38" s="40">
        <v>46163.0</v>
      </c>
    </row>
    <row r="39">
      <c r="A39" s="38">
        <v>285477.0</v>
      </c>
      <c r="B39" s="38">
        <v>285476.0</v>
      </c>
      <c r="C39" s="38">
        <v>285476.0</v>
      </c>
      <c r="D39" s="38">
        <v>60519.0</v>
      </c>
      <c r="E39" s="38">
        <v>60519.0</v>
      </c>
      <c r="F39" s="38">
        <v>60519.0</v>
      </c>
      <c r="G39" s="18" t="s">
        <v>365</v>
      </c>
      <c r="H39" s="18" t="s">
        <v>2277</v>
      </c>
      <c r="I39" s="18" t="s">
        <v>230</v>
      </c>
      <c r="J39" s="18" t="s">
        <v>2273</v>
      </c>
      <c r="K39" s="18" t="s">
        <v>2205</v>
      </c>
      <c r="L39" s="18" t="s">
        <v>52</v>
      </c>
      <c r="M39" s="18" t="s">
        <v>138</v>
      </c>
      <c r="N39" s="18" t="s">
        <v>130</v>
      </c>
      <c r="O39" s="18" t="s">
        <v>126</v>
      </c>
      <c r="P39" s="18" t="s">
        <v>131</v>
      </c>
      <c r="Q39" s="18" t="s">
        <v>266</v>
      </c>
      <c r="R39" s="18" t="s">
        <v>133</v>
      </c>
      <c r="S39" s="18" t="s">
        <v>59</v>
      </c>
      <c r="T39" s="38">
        <v>2026.0</v>
      </c>
      <c r="U39" s="38">
        <v>5.0</v>
      </c>
      <c r="V39" s="38">
        <v>1.081522505E9</v>
      </c>
      <c r="W39" s="38">
        <v>1.081540575E9</v>
      </c>
      <c r="X39" s="18" t="s">
        <v>2199</v>
      </c>
      <c r="Y39" s="18" t="s">
        <v>2200</v>
      </c>
      <c r="Z39" s="38">
        <v>98723.3</v>
      </c>
      <c r="AA39" s="38">
        <v>98723.3</v>
      </c>
      <c r="AB39" s="38">
        <v>22782.3</v>
      </c>
      <c r="AC39" s="38">
        <v>0.0</v>
      </c>
      <c r="AD39" s="38">
        <v>0.0</v>
      </c>
      <c r="AE39" s="38">
        <v>0.0</v>
      </c>
      <c r="AF39" s="38">
        <v>0.0</v>
      </c>
      <c r="AG39" s="38">
        <v>0.0</v>
      </c>
      <c r="AH39" s="38">
        <v>0.0</v>
      </c>
      <c r="AI39" s="38">
        <v>98723.3</v>
      </c>
      <c r="AJ39" s="38">
        <v>98723.3</v>
      </c>
      <c r="AK39" s="38">
        <v>0.0</v>
      </c>
      <c r="AL39" s="38">
        <v>326.04</v>
      </c>
      <c r="AM39" s="38">
        <v>0.0</v>
      </c>
      <c r="AN39" s="34" t="s">
        <v>62</v>
      </c>
      <c r="AO39" s="34" t="s">
        <v>62</v>
      </c>
      <c r="AP39" s="34" t="s">
        <v>62</v>
      </c>
      <c r="AQ39" s="34" t="s">
        <v>62</v>
      </c>
      <c r="AR39" s="38">
        <v>0.0</v>
      </c>
      <c r="AS39" s="38" t="s">
        <v>2278</v>
      </c>
      <c r="AT39" s="35" t="s">
        <v>2275</v>
      </c>
      <c r="AU39" s="39" t="s">
        <v>2276</v>
      </c>
      <c r="AV39" s="40">
        <v>46163.0</v>
      </c>
    </row>
    <row r="40">
      <c r="A40" s="38">
        <v>297.0</v>
      </c>
      <c r="B40" s="38">
        <v>291584.0</v>
      </c>
      <c r="C40" s="38">
        <v>291584.0</v>
      </c>
      <c r="D40" s="38">
        <v>76578.0</v>
      </c>
      <c r="E40" s="38">
        <v>76578.0</v>
      </c>
      <c r="F40" s="18" t="s">
        <v>135</v>
      </c>
      <c r="G40" s="18" t="s">
        <v>136</v>
      </c>
      <c r="H40" s="18" t="s">
        <v>2258</v>
      </c>
      <c r="I40" s="18" t="s">
        <v>224</v>
      </c>
      <c r="J40" s="18" t="s">
        <v>2205</v>
      </c>
      <c r="K40" s="18" t="s">
        <v>2259</v>
      </c>
      <c r="L40" s="18" t="s">
        <v>52</v>
      </c>
      <c r="M40" s="18" t="s">
        <v>138</v>
      </c>
      <c r="N40" s="18" t="s">
        <v>130</v>
      </c>
      <c r="O40" s="18" t="s">
        <v>126</v>
      </c>
      <c r="P40" s="18" t="s">
        <v>56</v>
      </c>
      <c r="Q40" s="18" t="s">
        <v>57</v>
      </c>
      <c r="R40" s="18" t="s">
        <v>143</v>
      </c>
      <c r="S40" s="18" t="s">
        <v>59</v>
      </c>
      <c r="T40" s="38">
        <v>2026.0</v>
      </c>
      <c r="U40" s="38">
        <v>5.0</v>
      </c>
      <c r="V40" s="38">
        <v>1.081522509E9</v>
      </c>
      <c r="W40" s="38">
        <v>1.081540579E9</v>
      </c>
      <c r="X40" s="18" t="s">
        <v>2199</v>
      </c>
      <c r="Y40" s="18" t="s">
        <v>2200</v>
      </c>
      <c r="Z40" s="38">
        <v>104595.85</v>
      </c>
      <c r="AA40" s="38">
        <v>104595.85</v>
      </c>
      <c r="AB40" s="38">
        <v>0.0</v>
      </c>
      <c r="AC40" s="38">
        <v>350.0</v>
      </c>
      <c r="AD40" s="38">
        <v>0.0</v>
      </c>
      <c r="AE40" s="38">
        <v>0.0</v>
      </c>
      <c r="AF40" s="38">
        <v>0.0</v>
      </c>
      <c r="AG40" s="38">
        <v>0.0</v>
      </c>
      <c r="AH40" s="38">
        <v>0.0</v>
      </c>
      <c r="AI40" s="38">
        <v>104595.85</v>
      </c>
      <c r="AJ40" s="38">
        <v>104595.85</v>
      </c>
      <c r="AK40" s="38">
        <v>0.0</v>
      </c>
      <c r="AL40" s="38">
        <v>250.8</v>
      </c>
      <c r="AM40" s="38">
        <v>0.0</v>
      </c>
      <c r="AN40" s="34" t="s">
        <v>62</v>
      </c>
      <c r="AO40" s="34" t="s">
        <v>62</v>
      </c>
      <c r="AP40" s="34" t="s">
        <v>62</v>
      </c>
      <c r="AQ40" s="34" t="s">
        <v>62</v>
      </c>
      <c r="AR40" s="38">
        <v>0.0</v>
      </c>
      <c r="AS40" s="38" t="s">
        <v>2260</v>
      </c>
      <c r="AT40" s="35" t="s">
        <v>2202</v>
      </c>
      <c r="AU40" s="39" t="s">
        <v>2203</v>
      </c>
      <c r="AV40" s="40">
        <v>46164.0</v>
      </c>
    </row>
    <row r="41">
      <c r="A41" s="38">
        <v>297.0</v>
      </c>
      <c r="B41" s="38">
        <v>300728.0</v>
      </c>
      <c r="C41" s="38">
        <v>300728.0</v>
      </c>
      <c r="D41" s="38">
        <v>215903.0</v>
      </c>
      <c r="E41" s="38">
        <v>215903.0</v>
      </c>
      <c r="F41" s="18" t="s">
        <v>135</v>
      </c>
      <c r="G41" s="18" t="s">
        <v>136</v>
      </c>
      <c r="H41" s="18" t="s">
        <v>2258</v>
      </c>
      <c r="I41" s="18" t="s">
        <v>368</v>
      </c>
      <c r="J41" s="18" t="s">
        <v>2205</v>
      </c>
      <c r="K41" s="18" t="s">
        <v>2259</v>
      </c>
      <c r="L41" s="18" t="s">
        <v>52</v>
      </c>
      <c r="M41" s="18" t="s">
        <v>138</v>
      </c>
      <c r="N41" s="18" t="s">
        <v>130</v>
      </c>
      <c r="O41" s="18" t="s">
        <v>126</v>
      </c>
      <c r="P41" s="18" t="s">
        <v>56</v>
      </c>
      <c r="Q41" s="18" t="s">
        <v>57</v>
      </c>
      <c r="R41" s="18" t="s">
        <v>143</v>
      </c>
      <c r="S41" s="18" t="s">
        <v>59</v>
      </c>
      <c r="T41" s="38">
        <v>2026.0</v>
      </c>
      <c r="U41" s="38">
        <v>5.0</v>
      </c>
      <c r="V41" s="38">
        <v>1.081522513E9</v>
      </c>
      <c r="W41" s="38">
        <v>1.081540583E9</v>
      </c>
      <c r="X41" s="18" t="s">
        <v>2199</v>
      </c>
      <c r="Y41" s="18" t="s">
        <v>2200</v>
      </c>
      <c r="Z41" s="38">
        <v>104595.85</v>
      </c>
      <c r="AA41" s="38">
        <v>104595.85</v>
      </c>
      <c r="AB41" s="38">
        <v>0.0</v>
      </c>
      <c r="AC41" s="38">
        <v>350.0</v>
      </c>
      <c r="AD41" s="38">
        <v>0.0</v>
      </c>
      <c r="AE41" s="38">
        <v>0.0</v>
      </c>
      <c r="AF41" s="38">
        <v>0.0</v>
      </c>
      <c r="AG41" s="38">
        <v>0.0</v>
      </c>
      <c r="AH41" s="38">
        <v>0.0</v>
      </c>
      <c r="AI41" s="38">
        <v>104595.85</v>
      </c>
      <c r="AJ41" s="38">
        <v>104595.85</v>
      </c>
      <c r="AK41" s="38">
        <v>0.0</v>
      </c>
      <c r="AL41" s="38">
        <v>250.8</v>
      </c>
      <c r="AM41" s="38">
        <v>0.0</v>
      </c>
      <c r="AN41" s="34" t="s">
        <v>62</v>
      </c>
      <c r="AO41" s="34" t="s">
        <v>62</v>
      </c>
      <c r="AP41" s="34" t="s">
        <v>62</v>
      </c>
      <c r="AQ41" s="34" t="s">
        <v>62</v>
      </c>
      <c r="AR41" s="38">
        <v>0.0</v>
      </c>
      <c r="AS41" s="38" t="s">
        <v>2260</v>
      </c>
      <c r="AT41" s="35" t="s">
        <v>2202</v>
      </c>
      <c r="AU41" s="39" t="s">
        <v>2203</v>
      </c>
      <c r="AV41" s="40">
        <v>46164.0</v>
      </c>
    </row>
    <row r="42">
      <c r="A42" s="38">
        <v>297.0</v>
      </c>
      <c r="B42" s="38">
        <v>309204.0</v>
      </c>
      <c r="C42" s="38">
        <v>309204.0</v>
      </c>
      <c r="D42" s="38">
        <v>322755.0</v>
      </c>
      <c r="E42" s="38">
        <v>322755.0</v>
      </c>
      <c r="F42" s="18" t="s">
        <v>135</v>
      </c>
      <c r="G42" s="18" t="s">
        <v>136</v>
      </c>
      <c r="H42" s="18" t="s">
        <v>2258</v>
      </c>
      <c r="I42" s="18" t="s">
        <v>228</v>
      </c>
      <c r="J42" s="18" t="s">
        <v>2205</v>
      </c>
      <c r="K42" s="18" t="s">
        <v>2259</v>
      </c>
      <c r="L42" s="18" t="s">
        <v>52</v>
      </c>
      <c r="M42" s="18" t="s">
        <v>138</v>
      </c>
      <c r="N42" s="18" t="s">
        <v>130</v>
      </c>
      <c r="O42" s="18" t="s">
        <v>126</v>
      </c>
      <c r="P42" s="18" t="s">
        <v>56</v>
      </c>
      <c r="Q42" s="18" t="s">
        <v>57</v>
      </c>
      <c r="R42" s="18" t="s">
        <v>143</v>
      </c>
      <c r="S42" s="18" t="s">
        <v>59</v>
      </c>
      <c r="T42" s="38">
        <v>2026.0</v>
      </c>
      <c r="U42" s="38">
        <v>5.0</v>
      </c>
      <c r="V42" s="38">
        <v>1.081522516E9</v>
      </c>
      <c r="W42" s="38">
        <v>1.081540586E9</v>
      </c>
      <c r="X42" s="18" t="s">
        <v>2199</v>
      </c>
      <c r="Y42" s="18" t="s">
        <v>2200</v>
      </c>
      <c r="Z42" s="38">
        <v>779417.69</v>
      </c>
      <c r="AA42" s="38">
        <v>779417.69</v>
      </c>
      <c r="AB42" s="38">
        <v>0.0</v>
      </c>
      <c r="AC42" s="38">
        <v>1663.0</v>
      </c>
      <c r="AD42" s="38">
        <v>0.0</v>
      </c>
      <c r="AE42" s="38">
        <v>0.0</v>
      </c>
      <c r="AF42" s="38">
        <v>0.0</v>
      </c>
      <c r="AG42" s="38">
        <v>0.0</v>
      </c>
      <c r="AH42" s="38">
        <v>0.0</v>
      </c>
      <c r="AI42" s="38">
        <v>779417.69</v>
      </c>
      <c r="AJ42" s="38">
        <v>779417.69</v>
      </c>
      <c r="AK42" s="38">
        <v>0.0</v>
      </c>
      <c r="AL42" s="38">
        <v>425850.8</v>
      </c>
      <c r="AM42" s="38">
        <v>0.0</v>
      </c>
      <c r="AN42" s="34" t="s">
        <v>62</v>
      </c>
      <c r="AO42" s="34" t="s">
        <v>62</v>
      </c>
      <c r="AP42" s="34" t="s">
        <v>62</v>
      </c>
      <c r="AQ42" s="34" t="s">
        <v>62</v>
      </c>
      <c r="AR42" s="38">
        <v>0.0</v>
      </c>
      <c r="AS42" s="38" t="s">
        <v>2260</v>
      </c>
      <c r="AT42" s="35" t="s">
        <v>2202</v>
      </c>
      <c r="AU42" s="39" t="s">
        <v>2203</v>
      </c>
      <c r="AV42" s="40">
        <v>46164.0</v>
      </c>
    </row>
    <row r="43">
      <c r="A43" s="38">
        <v>314877.0</v>
      </c>
      <c r="B43" s="38">
        <v>314876.0</v>
      </c>
      <c r="C43" s="38">
        <v>314876.0</v>
      </c>
      <c r="D43" s="38">
        <v>451976.0</v>
      </c>
      <c r="E43" s="38">
        <v>451976.0</v>
      </c>
      <c r="F43" s="38">
        <v>8.60503159E8</v>
      </c>
      <c r="G43" s="18" t="s">
        <v>371</v>
      </c>
      <c r="H43" s="18" t="s">
        <v>2279</v>
      </c>
      <c r="I43" s="18" t="s">
        <v>214</v>
      </c>
      <c r="J43" s="18" t="s">
        <v>2273</v>
      </c>
      <c r="K43" s="18" t="s">
        <v>2280</v>
      </c>
      <c r="L43" s="18" t="s">
        <v>52</v>
      </c>
      <c r="M43" s="18" t="s">
        <v>89</v>
      </c>
      <c r="N43" s="18" t="s">
        <v>130</v>
      </c>
      <c r="O43" s="18" t="s">
        <v>126</v>
      </c>
      <c r="P43" s="18" t="s">
        <v>56</v>
      </c>
      <c r="Q43" s="18" t="s">
        <v>90</v>
      </c>
      <c r="R43" s="18" t="s">
        <v>143</v>
      </c>
      <c r="S43" s="18" t="s">
        <v>59</v>
      </c>
      <c r="T43" s="38">
        <v>2026.0</v>
      </c>
      <c r="U43" s="38">
        <v>5.0</v>
      </c>
      <c r="V43" s="38">
        <v>1.081522521E9</v>
      </c>
      <c r="W43" s="38">
        <v>1.081540591E9</v>
      </c>
      <c r="X43" s="18" t="s">
        <v>2199</v>
      </c>
      <c r="Y43" s="18" t="s">
        <v>2200</v>
      </c>
      <c r="Z43" s="38">
        <v>189636.19</v>
      </c>
      <c r="AA43" s="38">
        <v>189636.19</v>
      </c>
      <c r="AB43" s="38">
        <v>63212.07</v>
      </c>
      <c r="AC43" s="38">
        <v>465.0</v>
      </c>
      <c r="AD43" s="38">
        <v>0.0</v>
      </c>
      <c r="AE43" s="38">
        <v>0.0</v>
      </c>
      <c r="AF43" s="38">
        <v>0.0</v>
      </c>
      <c r="AG43" s="38">
        <v>0.0</v>
      </c>
      <c r="AH43" s="38">
        <v>0.0</v>
      </c>
      <c r="AI43" s="38">
        <v>189636.19</v>
      </c>
      <c r="AJ43" s="38">
        <v>189636.19</v>
      </c>
      <c r="AK43" s="38">
        <v>0.0</v>
      </c>
      <c r="AL43" s="38">
        <v>376.2</v>
      </c>
      <c r="AM43" s="38">
        <v>0.0</v>
      </c>
      <c r="AN43" s="34" t="s">
        <v>62</v>
      </c>
      <c r="AO43" s="34" t="s">
        <v>62</v>
      </c>
      <c r="AP43" s="34" t="s">
        <v>62</v>
      </c>
      <c r="AQ43" s="34" t="s">
        <v>62</v>
      </c>
      <c r="AR43" s="38">
        <v>0.0</v>
      </c>
      <c r="AS43" s="38" t="s">
        <v>2281</v>
      </c>
      <c r="AT43" s="35" t="s">
        <v>2275</v>
      </c>
      <c r="AU43" s="39" t="s">
        <v>2276</v>
      </c>
      <c r="AV43" s="40">
        <v>46163.0</v>
      </c>
    </row>
    <row r="44">
      <c r="A44" s="38">
        <v>232.0</v>
      </c>
      <c r="B44" s="38">
        <v>3156.0</v>
      </c>
      <c r="C44" s="38">
        <v>3156.0</v>
      </c>
      <c r="D44" s="38">
        <v>8.0123482E7</v>
      </c>
      <c r="E44" s="38">
        <v>8.0123482E7</v>
      </c>
      <c r="F44" s="38">
        <v>8.30122566E8</v>
      </c>
      <c r="G44" s="18" t="s">
        <v>193</v>
      </c>
      <c r="H44" s="18" t="s">
        <v>2282</v>
      </c>
      <c r="I44" s="18" t="s">
        <v>172</v>
      </c>
      <c r="J44" s="18" t="s">
        <v>2205</v>
      </c>
      <c r="K44" s="18" t="s">
        <v>2283</v>
      </c>
      <c r="L44" s="18" t="s">
        <v>52</v>
      </c>
      <c r="M44" s="18" t="s">
        <v>138</v>
      </c>
      <c r="N44" s="18" t="s">
        <v>130</v>
      </c>
      <c r="O44" s="18" t="s">
        <v>126</v>
      </c>
      <c r="P44" s="18" t="s">
        <v>131</v>
      </c>
      <c r="Q44" s="18" t="s">
        <v>132</v>
      </c>
      <c r="R44" s="18" t="s">
        <v>133</v>
      </c>
      <c r="S44" s="18" t="s">
        <v>59</v>
      </c>
      <c r="T44" s="38">
        <v>2026.0</v>
      </c>
      <c r="U44" s="38">
        <v>5.0</v>
      </c>
      <c r="V44" s="38">
        <v>1.081522297E9</v>
      </c>
      <c r="W44" s="38">
        <v>1.081540367E9</v>
      </c>
      <c r="X44" s="18" t="s">
        <v>2199</v>
      </c>
      <c r="Y44" s="18" t="s">
        <v>2200</v>
      </c>
      <c r="Z44" s="38">
        <v>113911.5</v>
      </c>
      <c r="AA44" s="38">
        <v>113911.5</v>
      </c>
      <c r="AB44" s="38">
        <v>37970.5</v>
      </c>
      <c r="AC44" s="38">
        <v>0.0</v>
      </c>
      <c r="AD44" s="38">
        <v>0.0</v>
      </c>
      <c r="AE44" s="38">
        <v>0.0</v>
      </c>
      <c r="AF44" s="38">
        <v>0.0</v>
      </c>
      <c r="AG44" s="38">
        <v>0.0</v>
      </c>
      <c r="AH44" s="38">
        <v>0.0</v>
      </c>
      <c r="AI44" s="38">
        <v>113911.5</v>
      </c>
      <c r="AJ44" s="38">
        <v>231015.37</v>
      </c>
      <c r="AK44" s="38">
        <v>1.0</v>
      </c>
      <c r="AL44" s="38">
        <v>376.2</v>
      </c>
      <c r="AM44" s="38">
        <v>0.0</v>
      </c>
      <c r="AN44" s="34" t="s">
        <v>62</v>
      </c>
      <c r="AO44" s="34" t="s">
        <v>62</v>
      </c>
      <c r="AP44" s="34" t="s">
        <v>62</v>
      </c>
      <c r="AQ44" s="34" t="s">
        <v>62</v>
      </c>
      <c r="AR44" s="38">
        <v>0.0</v>
      </c>
      <c r="AS44" s="38" t="s">
        <v>2284</v>
      </c>
      <c r="AT44" s="35" t="s">
        <v>2202</v>
      </c>
      <c r="AU44" s="39" t="s">
        <v>2203</v>
      </c>
      <c r="AV44" s="40">
        <v>46164.0</v>
      </c>
    </row>
    <row r="45">
      <c r="A45" s="38">
        <v>232.0</v>
      </c>
      <c r="B45" s="38">
        <v>3160.0</v>
      </c>
      <c r="C45" s="38">
        <v>3160.0</v>
      </c>
      <c r="D45" s="38">
        <v>8.0123486E7</v>
      </c>
      <c r="E45" s="38">
        <v>8.0123486E7</v>
      </c>
      <c r="F45" s="38">
        <v>8.30122566E8</v>
      </c>
      <c r="G45" s="18" t="s">
        <v>193</v>
      </c>
      <c r="H45" s="18" t="s">
        <v>2282</v>
      </c>
      <c r="I45" s="18" t="s">
        <v>230</v>
      </c>
      <c r="J45" s="18" t="s">
        <v>2205</v>
      </c>
      <c r="K45" s="18" t="s">
        <v>2283</v>
      </c>
      <c r="L45" s="18" t="s">
        <v>52</v>
      </c>
      <c r="M45" s="18" t="s">
        <v>138</v>
      </c>
      <c r="N45" s="18" t="s">
        <v>130</v>
      </c>
      <c r="O45" s="18" t="s">
        <v>126</v>
      </c>
      <c r="P45" s="18" t="s">
        <v>131</v>
      </c>
      <c r="Q45" s="18" t="s">
        <v>132</v>
      </c>
      <c r="R45" s="18" t="s">
        <v>133</v>
      </c>
      <c r="S45" s="18" t="s">
        <v>59</v>
      </c>
      <c r="T45" s="38">
        <v>2026.0</v>
      </c>
      <c r="U45" s="38">
        <v>5.0</v>
      </c>
      <c r="V45" s="38">
        <v>1.081522302E9</v>
      </c>
      <c r="W45" s="38">
        <v>1.081540372E9</v>
      </c>
      <c r="X45" s="18" t="s">
        <v>2199</v>
      </c>
      <c r="Y45" s="18" t="s">
        <v>2200</v>
      </c>
      <c r="Z45" s="38">
        <v>113911.5</v>
      </c>
      <c r="AA45" s="38">
        <v>113911.5</v>
      </c>
      <c r="AB45" s="38">
        <v>37970.5</v>
      </c>
      <c r="AC45" s="38">
        <v>0.0</v>
      </c>
      <c r="AD45" s="38">
        <v>0.0</v>
      </c>
      <c r="AE45" s="38">
        <v>0.0</v>
      </c>
      <c r="AF45" s="38">
        <v>0.0</v>
      </c>
      <c r="AG45" s="38">
        <v>0.0</v>
      </c>
      <c r="AH45" s="38">
        <v>0.0</v>
      </c>
      <c r="AI45" s="38">
        <v>113911.5</v>
      </c>
      <c r="AJ45" s="38">
        <v>231015.37</v>
      </c>
      <c r="AK45" s="38">
        <v>1.0</v>
      </c>
      <c r="AL45" s="38">
        <v>376.2</v>
      </c>
      <c r="AM45" s="38">
        <v>0.0</v>
      </c>
      <c r="AN45" s="34" t="s">
        <v>62</v>
      </c>
      <c r="AO45" s="34" t="s">
        <v>62</v>
      </c>
      <c r="AP45" s="34" t="s">
        <v>62</v>
      </c>
      <c r="AQ45" s="34" t="s">
        <v>62</v>
      </c>
      <c r="AR45" s="38">
        <v>0.0</v>
      </c>
      <c r="AS45" s="38" t="s">
        <v>2284</v>
      </c>
      <c r="AT45" s="35" t="s">
        <v>2202</v>
      </c>
      <c r="AU45" s="39" t="s">
        <v>2203</v>
      </c>
      <c r="AV45" s="40">
        <v>46164.0</v>
      </c>
    </row>
    <row r="46">
      <c r="A46" s="38">
        <v>3165.0</v>
      </c>
      <c r="B46" s="38">
        <v>3164.0</v>
      </c>
      <c r="C46" s="38">
        <v>3164.0</v>
      </c>
      <c r="D46" s="38">
        <v>8.012349E7</v>
      </c>
      <c r="E46" s="38">
        <v>8.012349E7</v>
      </c>
      <c r="F46" s="38">
        <v>8.00215546E8</v>
      </c>
      <c r="G46" s="18" t="s">
        <v>375</v>
      </c>
      <c r="H46" s="18" t="s">
        <v>2285</v>
      </c>
      <c r="I46" s="18" t="s">
        <v>376</v>
      </c>
      <c r="J46" s="18" t="s">
        <v>2205</v>
      </c>
      <c r="K46" s="18" t="s">
        <v>2286</v>
      </c>
      <c r="L46" s="18" t="s">
        <v>52</v>
      </c>
      <c r="M46" s="18" t="s">
        <v>89</v>
      </c>
      <c r="N46" s="18" t="s">
        <v>130</v>
      </c>
      <c r="O46" s="18" t="s">
        <v>126</v>
      </c>
      <c r="P46" s="18" t="s">
        <v>56</v>
      </c>
      <c r="Q46" s="18" t="s">
        <v>57</v>
      </c>
      <c r="R46" s="18" t="s">
        <v>58</v>
      </c>
      <c r="S46" s="18" t="s">
        <v>59</v>
      </c>
      <c r="T46" s="38">
        <v>2026.0</v>
      </c>
      <c r="U46" s="38">
        <v>5.0</v>
      </c>
      <c r="V46" s="38">
        <v>1.081522304E9</v>
      </c>
      <c r="W46" s="38">
        <v>1.081540374E9</v>
      </c>
      <c r="X46" s="18" t="s">
        <v>2199</v>
      </c>
      <c r="Y46" s="18" t="s">
        <v>2200</v>
      </c>
      <c r="Z46" s="38">
        <v>1.370075778E7</v>
      </c>
      <c r="AA46" s="38">
        <v>1.370075778E7</v>
      </c>
      <c r="AB46" s="38">
        <v>0.0</v>
      </c>
      <c r="AC46" s="38">
        <v>71980.0</v>
      </c>
      <c r="AD46" s="38">
        <v>0.0</v>
      </c>
      <c r="AE46" s="38">
        <v>0.0</v>
      </c>
      <c r="AF46" s="38">
        <v>0.0</v>
      </c>
      <c r="AG46" s="38">
        <v>0.0</v>
      </c>
      <c r="AH46" s="38">
        <v>0.0</v>
      </c>
      <c r="AI46" s="38">
        <v>1.370075778E7</v>
      </c>
      <c r="AJ46" s="38">
        <v>1.370075778E7</v>
      </c>
      <c r="AK46" s="38">
        <v>0.0</v>
      </c>
      <c r="AL46" s="38">
        <v>250.8</v>
      </c>
      <c r="AM46" s="38">
        <v>0.0</v>
      </c>
      <c r="AN46" s="34" t="s">
        <v>62</v>
      </c>
      <c r="AO46" s="34" t="s">
        <v>62</v>
      </c>
      <c r="AP46" s="34" t="s">
        <v>62</v>
      </c>
      <c r="AQ46" s="34" t="s">
        <v>62</v>
      </c>
      <c r="AR46" s="38">
        <v>0.0</v>
      </c>
      <c r="AS46" s="38" t="s">
        <v>2287</v>
      </c>
      <c r="AT46" s="35" t="s">
        <v>2202</v>
      </c>
      <c r="AU46" s="39" t="s">
        <v>2203</v>
      </c>
      <c r="AV46" s="40">
        <v>46169.0</v>
      </c>
    </row>
    <row r="47">
      <c r="A47" s="38">
        <v>3169.0</v>
      </c>
      <c r="B47" s="38">
        <v>3168.0</v>
      </c>
      <c r="C47" s="38">
        <v>3168.0</v>
      </c>
      <c r="D47" s="38">
        <v>8.0123494E7</v>
      </c>
      <c r="E47" s="38">
        <v>8.0123494E7</v>
      </c>
      <c r="F47" s="38">
        <v>8070375.0</v>
      </c>
      <c r="G47" s="18" t="s">
        <v>378</v>
      </c>
      <c r="H47" s="18" t="s">
        <v>2288</v>
      </c>
      <c r="I47" s="18" t="s">
        <v>157</v>
      </c>
      <c r="J47" s="18" t="s">
        <v>2205</v>
      </c>
      <c r="K47" s="18" t="s">
        <v>2289</v>
      </c>
      <c r="L47" s="18" t="s">
        <v>52</v>
      </c>
      <c r="M47" s="18" t="s">
        <v>89</v>
      </c>
      <c r="N47" s="18" t="s">
        <v>130</v>
      </c>
      <c r="O47" s="18" t="s">
        <v>126</v>
      </c>
      <c r="P47" s="18" t="s">
        <v>56</v>
      </c>
      <c r="Q47" s="18" t="s">
        <v>57</v>
      </c>
      <c r="R47" s="18" t="s">
        <v>143</v>
      </c>
      <c r="S47" s="18" t="s">
        <v>59</v>
      </c>
      <c r="T47" s="38">
        <v>2026.0</v>
      </c>
      <c r="U47" s="38">
        <v>5.0</v>
      </c>
      <c r="V47" s="38">
        <v>1.081522309E9</v>
      </c>
      <c r="W47" s="38">
        <v>1.081540379E9</v>
      </c>
      <c r="X47" s="18" t="s">
        <v>2199</v>
      </c>
      <c r="Y47" s="18" t="s">
        <v>2200</v>
      </c>
      <c r="Z47" s="38">
        <v>119780.73</v>
      </c>
      <c r="AA47" s="38">
        <v>119780.73</v>
      </c>
      <c r="AB47" s="38">
        <v>0.0</v>
      </c>
      <c r="AC47" s="38">
        <v>430.0</v>
      </c>
      <c r="AD47" s="38">
        <v>0.0</v>
      </c>
      <c r="AE47" s="38">
        <v>0.0</v>
      </c>
      <c r="AF47" s="38">
        <v>0.0</v>
      </c>
      <c r="AG47" s="38">
        <v>0.0</v>
      </c>
      <c r="AH47" s="38">
        <v>0.0</v>
      </c>
      <c r="AI47" s="38">
        <v>119780.73</v>
      </c>
      <c r="AJ47" s="38">
        <v>237518.52</v>
      </c>
      <c r="AK47" s="38">
        <v>1.0</v>
      </c>
      <c r="AL47" s="38">
        <v>250.8</v>
      </c>
      <c r="AM47" s="38">
        <v>0.0</v>
      </c>
      <c r="AN47" s="34" t="s">
        <v>62</v>
      </c>
      <c r="AO47" s="34" t="s">
        <v>62</v>
      </c>
      <c r="AP47" s="34" t="s">
        <v>62</v>
      </c>
      <c r="AQ47" s="34" t="s">
        <v>62</v>
      </c>
      <c r="AR47" s="38">
        <v>0.0</v>
      </c>
      <c r="AS47" s="38" t="s">
        <v>2290</v>
      </c>
      <c r="AT47" s="35" t="s">
        <v>2202</v>
      </c>
      <c r="AU47" s="39" t="s">
        <v>2203</v>
      </c>
      <c r="AV47" s="40">
        <v>46163.0</v>
      </c>
    </row>
    <row r="48">
      <c r="A48" s="38">
        <v>3173.0</v>
      </c>
      <c r="B48" s="38">
        <v>3172.0</v>
      </c>
      <c r="C48" s="38">
        <v>3172.0</v>
      </c>
      <c r="D48" s="38">
        <v>8.0123498E7</v>
      </c>
      <c r="E48" s="38">
        <v>8.0123498E7</v>
      </c>
      <c r="F48" s="38">
        <v>8072589.0</v>
      </c>
      <c r="G48" s="18" t="s">
        <v>380</v>
      </c>
      <c r="H48" s="18" t="s">
        <v>2291</v>
      </c>
      <c r="I48" s="18" t="s">
        <v>381</v>
      </c>
      <c r="J48" s="18" t="s">
        <v>2205</v>
      </c>
      <c r="K48" s="18" t="s">
        <v>2292</v>
      </c>
      <c r="L48" s="18" t="s">
        <v>52</v>
      </c>
      <c r="M48" s="18" t="s">
        <v>89</v>
      </c>
      <c r="N48" s="18" t="s">
        <v>130</v>
      </c>
      <c r="O48" s="18" t="s">
        <v>126</v>
      </c>
      <c r="P48" s="18" t="s">
        <v>56</v>
      </c>
      <c r="Q48" s="18" t="s">
        <v>57</v>
      </c>
      <c r="R48" s="18" t="s">
        <v>143</v>
      </c>
      <c r="S48" s="18" t="s">
        <v>59</v>
      </c>
      <c r="T48" s="38">
        <v>2026.0</v>
      </c>
      <c r="U48" s="38">
        <v>5.0</v>
      </c>
      <c r="V48" s="38">
        <v>1.081522314E9</v>
      </c>
      <c r="W48" s="38">
        <v>1.081540384E9</v>
      </c>
      <c r="X48" s="18" t="s">
        <v>2199</v>
      </c>
      <c r="Y48" s="18" t="s">
        <v>2200</v>
      </c>
      <c r="Z48" s="38">
        <v>360840.7</v>
      </c>
      <c r="AA48" s="38">
        <v>360840.7</v>
      </c>
      <c r="AB48" s="38">
        <v>0.0</v>
      </c>
      <c r="AC48" s="38">
        <v>1700.0</v>
      </c>
      <c r="AD48" s="38">
        <v>0.0</v>
      </c>
      <c r="AE48" s="38">
        <v>0.0</v>
      </c>
      <c r="AF48" s="38">
        <v>0.0</v>
      </c>
      <c r="AG48" s="38">
        <v>0.0</v>
      </c>
      <c r="AH48" s="38">
        <v>0.0</v>
      </c>
      <c r="AI48" s="38">
        <v>360840.7</v>
      </c>
      <c r="AJ48" s="38">
        <v>876316.5</v>
      </c>
      <c r="AK48" s="38">
        <v>3.0</v>
      </c>
      <c r="AL48" s="38">
        <v>250.8</v>
      </c>
      <c r="AM48" s="38">
        <v>0.0</v>
      </c>
      <c r="AN48" s="34" t="s">
        <v>62</v>
      </c>
      <c r="AO48" s="34" t="s">
        <v>62</v>
      </c>
      <c r="AP48" s="34" t="s">
        <v>62</v>
      </c>
      <c r="AQ48" s="34" t="s">
        <v>62</v>
      </c>
      <c r="AR48" s="38">
        <v>0.0</v>
      </c>
      <c r="AS48" s="38" t="s">
        <v>2293</v>
      </c>
      <c r="AT48" s="35" t="s">
        <v>2294</v>
      </c>
      <c r="AU48" s="39" t="s">
        <v>2295</v>
      </c>
      <c r="AV48" s="40">
        <v>46164.0</v>
      </c>
    </row>
    <row r="49">
      <c r="A49" s="38">
        <v>455370.0</v>
      </c>
      <c r="B49" s="38">
        <v>3176.0</v>
      </c>
      <c r="C49" s="38">
        <v>3176.0</v>
      </c>
      <c r="D49" s="38">
        <v>8.0123502E7</v>
      </c>
      <c r="E49" s="38">
        <v>8.0123502E7</v>
      </c>
      <c r="F49" s="18" t="s">
        <v>148</v>
      </c>
      <c r="G49" s="18" t="s">
        <v>149</v>
      </c>
      <c r="H49" s="18" t="s">
        <v>2296</v>
      </c>
      <c r="I49" s="18" t="s">
        <v>181</v>
      </c>
      <c r="J49" s="18" t="s">
        <v>2205</v>
      </c>
      <c r="K49" s="18" t="s">
        <v>2292</v>
      </c>
      <c r="L49" s="18" t="s">
        <v>52</v>
      </c>
      <c r="M49" s="18" t="s">
        <v>138</v>
      </c>
      <c r="N49" s="18" t="s">
        <v>130</v>
      </c>
      <c r="O49" s="18" t="s">
        <v>126</v>
      </c>
      <c r="P49" s="18" t="s">
        <v>56</v>
      </c>
      <c r="Q49" s="18" t="s">
        <v>57</v>
      </c>
      <c r="R49" s="18" t="s">
        <v>143</v>
      </c>
      <c r="S49" s="18" t="s">
        <v>59</v>
      </c>
      <c r="T49" s="38">
        <v>2026.0</v>
      </c>
      <c r="U49" s="38">
        <v>5.0</v>
      </c>
      <c r="V49" s="38">
        <v>1.081522317E9</v>
      </c>
      <c r="W49" s="38">
        <v>1.081540387E9</v>
      </c>
      <c r="X49" s="18" t="s">
        <v>2199</v>
      </c>
      <c r="Y49" s="18" t="s">
        <v>2200</v>
      </c>
      <c r="Z49" s="38">
        <v>354766.75</v>
      </c>
      <c r="AA49" s="38">
        <v>354766.75</v>
      </c>
      <c r="AB49" s="38">
        <v>0.0</v>
      </c>
      <c r="AC49" s="38">
        <v>1668.0</v>
      </c>
      <c r="AD49" s="38">
        <v>0.0</v>
      </c>
      <c r="AE49" s="38">
        <v>0.0</v>
      </c>
      <c r="AF49" s="38">
        <v>0.0</v>
      </c>
      <c r="AG49" s="38">
        <v>0.0</v>
      </c>
      <c r="AH49" s="38">
        <v>0.0</v>
      </c>
      <c r="AI49" s="38">
        <v>354766.75</v>
      </c>
      <c r="AJ49" s="38">
        <v>864314.46</v>
      </c>
      <c r="AK49" s="38">
        <v>3.0</v>
      </c>
      <c r="AL49" s="38">
        <v>250.8</v>
      </c>
      <c r="AM49" s="38">
        <v>0.0</v>
      </c>
      <c r="AN49" s="34" t="s">
        <v>62</v>
      </c>
      <c r="AO49" s="34" t="s">
        <v>62</v>
      </c>
      <c r="AP49" s="34" t="s">
        <v>62</v>
      </c>
      <c r="AQ49" s="34" t="s">
        <v>62</v>
      </c>
      <c r="AR49" s="38">
        <v>0.0</v>
      </c>
      <c r="AS49" s="38" t="s">
        <v>2293</v>
      </c>
      <c r="AT49" s="35" t="s">
        <v>2294</v>
      </c>
      <c r="AU49" s="39" t="s">
        <v>2295</v>
      </c>
      <c r="AV49" s="40">
        <v>46164.0</v>
      </c>
    </row>
    <row r="50">
      <c r="A50" s="38">
        <v>455370.0</v>
      </c>
      <c r="B50" s="38">
        <v>3184.0</v>
      </c>
      <c r="C50" s="38">
        <v>3184.0</v>
      </c>
      <c r="D50" s="38">
        <v>8.012351E7</v>
      </c>
      <c r="E50" s="38">
        <v>8.012351E7</v>
      </c>
      <c r="F50" s="18" t="s">
        <v>148</v>
      </c>
      <c r="G50" s="18" t="s">
        <v>149</v>
      </c>
      <c r="H50" s="18" t="s">
        <v>2296</v>
      </c>
      <c r="I50" s="18" t="s">
        <v>384</v>
      </c>
      <c r="J50" s="18" t="s">
        <v>2205</v>
      </c>
      <c r="K50" s="18" t="s">
        <v>2292</v>
      </c>
      <c r="L50" s="18" t="s">
        <v>52</v>
      </c>
      <c r="M50" s="18" t="s">
        <v>138</v>
      </c>
      <c r="N50" s="18" t="s">
        <v>130</v>
      </c>
      <c r="O50" s="18" t="s">
        <v>126</v>
      </c>
      <c r="P50" s="18" t="s">
        <v>56</v>
      </c>
      <c r="Q50" s="18" t="s">
        <v>57</v>
      </c>
      <c r="R50" s="18" t="s">
        <v>143</v>
      </c>
      <c r="S50" s="18" t="s">
        <v>59</v>
      </c>
      <c r="T50" s="38">
        <v>2026.0</v>
      </c>
      <c r="U50" s="38">
        <v>5.0</v>
      </c>
      <c r="V50" s="38">
        <v>1.081522321E9</v>
      </c>
      <c r="W50" s="38">
        <v>1.081540391E9</v>
      </c>
      <c r="X50" s="18" t="s">
        <v>2199</v>
      </c>
      <c r="Y50" s="18" t="s">
        <v>2200</v>
      </c>
      <c r="Z50" s="38">
        <v>229871.11</v>
      </c>
      <c r="AA50" s="38">
        <v>229871.11</v>
      </c>
      <c r="AB50" s="38">
        <v>0.0</v>
      </c>
      <c r="AC50" s="38">
        <v>1010.0</v>
      </c>
      <c r="AD50" s="38">
        <v>0.0</v>
      </c>
      <c r="AE50" s="38">
        <v>0.0</v>
      </c>
      <c r="AF50" s="38">
        <v>0.0</v>
      </c>
      <c r="AG50" s="38">
        <v>0.0</v>
      </c>
      <c r="AH50" s="38">
        <v>0.0</v>
      </c>
      <c r="AI50" s="38">
        <v>229871.11</v>
      </c>
      <c r="AJ50" s="38">
        <v>617522.34</v>
      </c>
      <c r="AK50" s="38">
        <v>3.0</v>
      </c>
      <c r="AL50" s="38">
        <v>250.8</v>
      </c>
      <c r="AM50" s="38">
        <v>0.0</v>
      </c>
      <c r="AN50" s="34" t="s">
        <v>62</v>
      </c>
      <c r="AO50" s="34" t="s">
        <v>62</v>
      </c>
      <c r="AP50" s="34" t="s">
        <v>62</v>
      </c>
      <c r="AQ50" s="34" t="s">
        <v>62</v>
      </c>
      <c r="AR50" s="38">
        <v>0.0</v>
      </c>
      <c r="AS50" s="38" t="s">
        <v>2293</v>
      </c>
      <c r="AT50" s="35" t="s">
        <v>2294</v>
      </c>
      <c r="AU50" s="39" t="s">
        <v>2295</v>
      </c>
      <c r="AV50" s="40">
        <v>46164.0</v>
      </c>
    </row>
    <row r="51">
      <c r="A51" s="38">
        <v>455370.0</v>
      </c>
      <c r="B51" s="38">
        <v>3188.0</v>
      </c>
      <c r="C51" s="38">
        <v>3188.0</v>
      </c>
      <c r="D51" s="38">
        <v>8.0123514E7</v>
      </c>
      <c r="E51" s="38">
        <v>8.0123514E7</v>
      </c>
      <c r="F51" s="18" t="s">
        <v>148</v>
      </c>
      <c r="G51" s="18" t="s">
        <v>149</v>
      </c>
      <c r="H51" s="18" t="s">
        <v>2296</v>
      </c>
      <c r="I51" s="18" t="s">
        <v>386</v>
      </c>
      <c r="J51" s="18" t="s">
        <v>2205</v>
      </c>
      <c r="K51" s="18" t="s">
        <v>2292</v>
      </c>
      <c r="L51" s="18" t="s">
        <v>52</v>
      </c>
      <c r="M51" s="18" t="s">
        <v>138</v>
      </c>
      <c r="N51" s="18" t="s">
        <v>130</v>
      </c>
      <c r="O51" s="18" t="s">
        <v>126</v>
      </c>
      <c r="P51" s="18" t="s">
        <v>56</v>
      </c>
      <c r="Q51" s="18" t="s">
        <v>57</v>
      </c>
      <c r="R51" s="18" t="s">
        <v>143</v>
      </c>
      <c r="S51" s="18" t="s">
        <v>59</v>
      </c>
      <c r="T51" s="38">
        <v>2026.0</v>
      </c>
      <c r="U51" s="38">
        <v>5.0</v>
      </c>
      <c r="V51" s="38">
        <v>1.081522325E9</v>
      </c>
      <c r="W51" s="38">
        <v>1.081540395E9</v>
      </c>
      <c r="X51" s="18" t="s">
        <v>2199</v>
      </c>
      <c r="Y51" s="18" t="s">
        <v>2200</v>
      </c>
      <c r="Z51" s="38">
        <v>362738.81</v>
      </c>
      <c r="AA51" s="38">
        <v>362738.81</v>
      </c>
      <c r="AB51" s="38">
        <v>0.0</v>
      </c>
      <c r="AC51" s="38">
        <v>1710.0</v>
      </c>
      <c r="AD51" s="38">
        <v>0.0</v>
      </c>
      <c r="AE51" s="38">
        <v>0.0</v>
      </c>
      <c r="AF51" s="38">
        <v>0.0</v>
      </c>
      <c r="AG51" s="38">
        <v>0.0</v>
      </c>
      <c r="AH51" s="38">
        <v>0.0</v>
      </c>
      <c r="AI51" s="38">
        <v>362738.81</v>
      </c>
      <c r="AJ51" s="38">
        <v>880067.14</v>
      </c>
      <c r="AK51" s="38">
        <v>3.0</v>
      </c>
      <c r="AL51" s="38">
        <v>250.8</v>
      </c>
      <c r="AM51" s="38">
        <v>0.0</v>
      </c>
      <c r="AN51" s="34" t="s">
        <v>62</v>
      </c>
      <c r="AO51" s="34" t="s">
        <v>62</v>
      </c>
      <c r="AP51" s="34" t="s">
        <v>62</v>
      </c>
      <c r="AQ51" s="34" t="s">
        <v>62</v>
      </c>
      <c r="AR51" s="38">
        <v>0.0</v>
      </c>
      <c r="AS51" s="38" t="s">
        <v>2293</v>
      </c>
      <c r="AT51" s="35" t="s">
        <v>2294</v>
      </c>
      <c r="AU51" s="39" t="s">
        <v>2295</v>
      </c>
      <c r="AV51" s="40">
        <v>46164.0</v>
      </c>
    </row>
    <row r="52">
      <c r="A52" s="38">
        <v>455370.0</v>
      </c>
      <c r="B52" s="38">
        <v>3192.0</v>
      </c>
      <c r="C52" s="38">
        <v>3192.0</v>
      </c>
      <c r="D52" s="38">
        <v>8.0123518E7</v>
      </c>
      <c r="E52" s="38">
        <v>8.0123518E7</v>
      </c>
      <c r="F52" s="18" t="s">
        <v>148</v>
      </c>
      <c r="G52" s="18" t="s">
        <v>149</v>
      </c>
      <c r="H52" s="18" t="s">
        <v>2296</v>
      </c>
      <c r="I52" s="18" t="s">
        <v>253</v>
      </c>
      <c r="J52" s="18" t="s">
        <v>2205</v>
      </c>
      <c r="K52" s="18" t="s">
        <v>2292</v>
      </c>
      <c r="L52" s="18" t="s">
        <v>52</v>
      </c>
      <c r="M52" s="18" t="s">
        <v>138</v>
      </c>
      <c r="N52" s="18" t="s">
        <v>130</v>
      </c>
      <c r="O52" s="18" t="s">
        <v>126</v>
      </c>
      <c r="P52" s="18" t="s">
        <v>56</v>
      </c>
      <c r="Q52" s="18" t="s">
        <v>57</v>
      </c>
      <c r="R52" s="18" t="s">
        <v>143</v>
      </c>
      <c r="S52" s="18" t="s">
        <v>59</v>
      </c>
      <c r="T52" s="38">
        <v>2026.0</v>
      </c>
      <c r="U52" s="38">
        <v>5.0</v>
      </c>
      <c r="V52" s="38">
        <v>1.081522328E9</v>
      </c>
      <c r="W52" s="38">
        <v>1.081540398E9</v>
      </c>
      <c r="X52" s="18" t="s">
        <v>2199</v>
      </c>
      <c r="Y52" s="18" t="s">
        <v>2200</v>
      </c>
      <c r="Z52" s="38">
        <v>256444.65</v>
      </c>
      <c r="AA52" s="38">
        <v>256444.65</v>
      </c>
      <c r="AB52" s="38">
        <v>0.0</v>
      </c>
      <c r="AC52" s="38">
        <v>1150.0</v>
      </c>
      <c r="AD52" s="38">
        <v>0.0</v>
      </c>
      <c r="AE52" s="38">
        <v>0.0</v>
      </c>
      <c r="AF52" s="38">
        <v>0.0</v>
      </c>
      <c r="AG52" s="38">
        <v>0.0</v>
      </c>
      <c r="AH52" s="38">
        <v>0.0</v>
      </c>
      <c r="AI52" s="38">
        <v>256444.65</v>
      </c>
      <c r="AJ52" s="38">
        <v>670031.3</v>
      </c>
      <c r="AK52" s="38">
        <v>3.0</v>
      </c>
      <c r="AL52" s="38">
        <v>250.8</v>
      </c>
      <c r="AM52" s="38">
        <v>0.0</v>
      </c>
      <c r="AN52" s="34" t="s">
        <v>62</v>
      </c>
      <c r="AO52" s="34" t="s">
        <v>62</v>
      </c>
      <c r="AP52" s="34" t="s">
        <v>62</v>
      </c>
      <c r="AQ52" s="34" t="s">
        <v>62</v>
      </c>
      <c r="AR52" s="38">
        <v>0.0</v>
      </c>
      <c r="AS52" s="38" t="s">
        <v>2293</v>
      </c>
      <c r="AT52" s="35" t="s">
        <v>2294</v>
      </c>
      <c r="AU52" s="39" t="s">
        <v>2295</v>
      </c>
      <c r="AV52" s="40">
        <v>46164.0</v>
      </c>
    </row>
    <row r="53">
      <c r="A53" s="38">
        <v>455370.0</v>
      </c>
      <c r="B53" s="38">
        <v>3196.0</v>
      </c>
      <c r="C53" s="38">
        <v>3196.0</v>
      </c>
      <c r="D53" s="38">
        <v>8.0123522E7</v>
      </c>
      <c r="E53" s="38">
        <v>8.0123522E7</v>
      </c>
      <c r="F53" s="18" t="s">
        <v>148</v>
      </c>
      <c r="G53" s="18" t="s">
        <v>149</v>
      </c>
      <c r="H53" s="18" t="s">
        <v>2296</v>
      </c>
      <c r="I53" s="18" t="s">
        <v>238</v>
      </c>
      <c r="J53" s="18" t="s">
        <v>2205</v>
      </c>
      <c r="K53" s="18" t="s">
        <v>2292</v>
      </c>
      <c r="L53" s="18" t="s">
        <v>52</v>
      </c>
      <c r="M53" s="18" t="s">
        <v>138</v>
      </c>
      <c r="N53" s="18" t="s">
        <v>130</v>
      </c>
      <c r="O53" s="18" t="s">
        <v>126</v>
      </c>
      <c r="P53" s="18" t="s">
        <v>56</v>
      </c>
      <c r="Q53" s="18" t="s">
        <v>57</v>
      </c>
      <c r="R53" s="18" t="s">
        <v>143</v>
      </c>
      <c r="S53" s="18" t="s">
        <v>59</v>
      </c>
      <c r="T53" s="38">
        <v>2026.0</v>
      </c>
      <c r="U53" s="38">
        <v>5.0</v>
      </c>
      <c r="V53" s="38">
        <v>1.081522332E9</v>
      </c>
      <c r="W53" s="38">
        <v>1.081540402E9</v>
      </c>
      <c r="X53" s="18" t="s">
        <v>2199</v>
      </c>
      <c r="Y53" s="18" t="s">
        <v>2200</v>
      </c>
      <c r="Z53" s="38">
        <v>305795.51</v>
      </c>
      <c r="AA53" s="38">
        <v>305795.51</v>
      </c>
      <c r="AB53" s="38">
        <v>0.0</v>
      </c>
      <c r="AC53" s="38">
        <v>1410.0</v>
      </c>
      <c r="AD53" s="38">
        <v>0.0</v>
      </c>
      <c r="AE53" s="38">
        <v>0.0</v>
      </c>
      <c r="AF53" s="38">
        <v>0.0</v>
      </c>
      <c r="AG53" s="38">
        <v>0.0</v>
      </c>
      <c r="AH53" s="38">
        <v>0.0</v>
      </c>
      <c r="AI53" s="38">
        <v>305795.51</v>
      </c>
      <c r="AJ53" s="38">
        <v>767547.94</v>
      </c>
      <c r="AK53" s="38">
        <v>3.0</v>
      </c>
      <c r="AL53" s="38">
        <v>250.8</v>
      </c>
      <c r="AM53" s="38">
        <v>0.0</v>
      </c>
      <c r="AN53" s="34" t="s">
        <v>62</v>
      </c>
      <c r="AO53" s="34" t="s">
        <v>62</v>
      </c>
      <c r="AP53" s="34" t="s">
        <v>62</v>
      </c>
      <c r="AQ53" s="34" t="s">
        <v>62</v>
      </c>
      <c r="AR53" s="38">
        <v>0.0</v>
      </c>
      <c r="AS53" s="38" t="s">
        <v>2293</v>
      </c>
      <c r="AT53" s="35" t="s">
        <v>2294</v>
      </c>
      <c r="AU53" s="39" t="s">
        <v>2295</v>
      </c>
      <c r="AV53" s="40">
        <v>46164.0</v>
      </c>
    </row>
    <row r="54">
      <c r="A54" s="38">
        <v>455370.0</v>
      </c>
      <c r="B54" s="38">
        <v>3200.0</v>
      </c>
      <c r="C54" s="38">
        <v>3200.0</v>
      </c>
      <c r="D54" s="38">
        <v>8.0123526E7</v>
      </c>
      <c r="E54" s="38">
        <v>8.0123526E7</v>
      </c>
      <c r="F54" s="18" t="s">
        <v>148</v>
      </c>
      <c r="G54" s="18" t="s">
        <v>149</v>
      </c>
      <c r="H54" s="18" t="s">
        <v>2296</v>
      </c>
      <c r="I54" s="18" t="s">
        <v>390</v>
      </c>
      <c r="J54" s="18" t="s">
        <v>2205</v>
      </c>
      <c r="K54" s="18" t="s">
        <v>2292</v>
      </c>
      <c r="L54" s="18" t="s">
        <v>52</v>
      </c>
      <c r="M54" s="18" t="s">
        <v>138</v>
      </c>
      <c r="N54" s="18" t="s">
        <v>130</v>
      </c>
      <c r="O54" s="18" t="s">
        <v>126</v>
      </c>
      <c r="P54" s="18" t="s">
        <v>56</v>
      </c>
      <c r="Q54" s="18" t="s">
        <v>57</v>
      </c>
      <c r="R54" s="18" t="s">
        <v>143</v>
      </c>
      <c r="S54" s="18" t="s">
        <v>59</v>
      </c>
      <c r="T54" s="38">
        <v>2026.0</v>
      </c>
      <c r="U54" s="38">
        <v>5.0</v>
      </c>
      <c r="V54" s="38">
        <v>1.081522336E9</v>
      </c>
      <c r="W54" s="38">
        <v>1.081540406E9</v>
      </c>
      <c r="X54" s="18" t="s">
        <v>2199</v>
      </c>
      <c r="Y54" s="18" t="s">
        <v>2200</v>
      </c>
      <c r="Z54" s="38">
        <v>465236.75</v>
      </c>
      <c r="AA54" s="38">
        <v>465236.75</v>
      </c>
      <c r="AB54" s="38">
        <v>0.0</v>
      </c>
      <c r="AC54" s="38">
        <v>2250.0</v>
      </c>
      <c r="AD54" s="38">
        <v>0.0</v>
      </c>
      <c r="AE54" s="38">
        <v>0.0</v>
      </c>
      <c r="AF54" s="38">
        <v>0.0</v>
      </c>
      <c r="AG54" s="38">
        <v>0.0</v>
      </c>
      <c r="AH54" s="38">
        <v>0.0</v>
      </c>
      <c r="AI54" s="38">
        <v>465236.75</v>
      </c>
      <c r="AJ54" s="38">
        <v>1082601.7</v>
      </c>
      <c r="AK54" s="38">
        <v>3.0</v>
      </c>
      <c r="AL54" s="38">
        <v>250.8</v>
      </c>
      <c r="AM54" s="38">
        <v>0.0</v>
      </c>
      <c r="AN54" s="34" t="s">
        <v>62</v>
      </c>
      <c r="AO54" s="34" t="s">
        <v>62</v>
      </c>
      <c r="AP54" s="34" t="s">
        <v>62</v>
      </c>
      <c r="AQ54" s="34" t="s">
        <v>62</v>
      </c>
      <c r="AR54" s="38">
        <v>0.0</v>
      </c>
      <c r="AS54" s="38" t="s">
        <v>2293</v>
      </c>
      <c r="AT54" s="35" t="s">
        <v>2294</v>
      </c>
      <c r="AU54" s="39" t="s">
        <v>2295</v>
      </c>
      <c r="AV54" s="40">
        <v>46164.0</v>
      </c>
    </row>
    <row r="55">
      <c r="A55" s="38">
        <v>3205.0</v>
      </c>
      <c r="B55" s="38">
        <v>3204.0</v>
      </c>
      <c r="C55" s="38">
        <v>3204.0</v>
      </c>
      <c r="D55" s="38">
        <v>8.012353E7</v>
      </c>
      <c r="E55" s="38">
        <v>8.012353E7</v>
      </c>
      <c r="F55" s="18" t="s">
        <v>392</v>
      </c>
      <c r="G55" s="18" t="s">
        <v>393</v>
      </c>
      <c r="H55" s="18" t="s">
        <v>2297</v>
      </c>
      <c r="I55" s="18" t="s">
        <v>181</v>
      </c>
      <c r="J55" s="18" t="s">
        <v>2205</v>
      </c>
      <c r="K55" s="18" t="s">
        <v>2205</v>
      </c>
      <c r="L55" s="18" t="s">
        <v>52</v>
      </c>
      <c r="M55" s="18" t="s">
        <v>89</v>
      </c>
      <c r="N55" s="18" t="s">
        <v>130</v>
      </c>
      <c r="O55" s="18" t="s">
        <v>126</v>
      </c>
      <c r="P55" s="18" t="s">
        <v>56</v>
      </c>
      <c r="Q55" s="18" t="s">
        <v>57</v>
      </c>
      <c r="R55" s="18" t="s">
        <v>143</v>
      </c>
      <c r="S55" s="18" t="s">
        <v>59</v>
      </c>
      <c r="T55" s="38">
        <v>2026.0</v>
      </c>
      <c r="U55" s="38">
        <v>5.0</v>
      </c>
      <c r="V55" s="38">
        <v>1.08152234E9</v>
      </c>
      <c r="W55" s="38">
        <v>1.08154041E9</v>
      </c>
      <c r="X55" s="18" t="s">
        <v>2199</v>
      </c>
      <c r="Y55" s="18" t="s">
        <v>2200</v>
      </c>
      <c r="Z55" s="38">
        <v>8010224.0</v>
      </c>
      <c r="AA55" s="38">
        <v>8010224.0</v>
      </c>
      <c r="AB55" s="38">
        <v>0.0</v>
      </c>
      <c r="AC55" s="38">
        <v>42000.0</v>
      </c>
      <c r="AD55" s="38">
        <v>0.0</v>
      </c>
      <c r="AE55" s="38">
        <v>0.0</v>
      </c>
      <c r="AF55" s="38">
        <v>0.0</v>
      </c>
      <c r="AG55" s="38">
        <v>0.0</v>
      </c>
      <c r="AH55" s="38">
        <v>0.0</v>
      </c>
      <c r="AI55" s="38">
        <v>8010224.0</v>
      </c>
      <c r="AJ55" s="38">
        <v>8010224.0</v>
      </c>
      <c r="AK55" s="38">
        <v>0.0</v>
      </c>
      <c r="AL55" s="38">
        <v>250.8</v>
      </c>
      <c r="AM55" s="38">
        <v>0.0</v>
      </c>
      <c r="AN55" s="34" t="s">
        <v>62</v>
      </c>
      <c r="AO55" s="34" t="s">
        <v>62</v>
      </c>
      <c r="AP55" s="34" t="s">
        <v>62</v>
      </c>
      <c r="AQ55" s="34" t="s">
        <v>62</v>
      </c>
      <c r="AR55" s="38">
        <v>0.0</v>
      </c>
      <c r="AS55" s="38" t="s">
        <v>2298</v>
      </c>
      <c r="AT55" s="35" t="s">
        <v>2202</v>
      </c>
      <c r="AU55" s="39" t="s">
        <v>2254</v>
      </c>
      <c r="AV55" s="40">
        <v>46167.0</v>
      </c>
    </row>
    <row r="56">
      <c r="A56" s="38">
        <v>3209.0</v>
      </c>
      <c r="B56" s="38">
        <v>3208.0</v>
      </c>
      <c r="C56" s="38">
        <v>3208.0</v>
      </c>
      <c r="D56" s="38">
        <v>8.0127938E7</v>
      </c>
      <c r="E56" s="38">
        <v>8.0127938E7</v>
      </c>
      <c r="F56" s="38">
        <v>9.01375954E8</v>
      </c>
      <c r="G56" s="18" t="s">
        <v>395</v>
      </c>
      <c r="H56" s="18" t="s">
        <v>2299</v>
      </c>
      <c r="I56" s="18" t="s">
        <v>208</v>
      </c>
      <c r="J56" s="18" t="s">
        <v>2205</v>
      </c>
      <c r="K56" s="18" t="s">
        <v>2205</v>
      </c>
      <c r="L56" s="18" t="s">
        <v>52</v>
      </c>
      <c r="M56" s="18" t="s">
        <v>89</v>
      </c>
      <c r="N56" s="18" t="s">
        <v>130</v>
      </c>
      <c r="O56" s="18" t="s">
        <v>126</v>
      </c>
      <c r="P56" s="18" t="s">
        <v>56</v>
      </c>
      <c r="Q56" s="18" t="s">
        <v>90</v>
      </c>
      <c r="R56" s="18" t="s">
        <v>143</v>
      </c>
      <c r="S56" s="18" t="s">
        <v>59</v>
      </c>
      <c r="T56" s="38">
        <v>2026.0</v>
      </c>
      <c r="U56" s="38">
        <v>5.0</v>
      </c>
      <c r="V56" s="38">
        <v>1.081522344E9</v>
      </c>
      <c r="W56" s="38">
        <v>1.081540414E9</v>
      </c>
      <c r="X56" s="18" t="s">
        <v>2199</v>
      </c>
      <c r="Y56" s="18" t="s">
        <v>2200</v>
      </c>
      <c r="Z56" s="38">
        <v>133235.34</v>
      </c>
      <c r="AA56" s="38">
        <v>133235.34</v>
      </c>
      <c r="AB56" s="38">
        <v>43092.1</v>
      </c>
      <c r="AC56" s="38">
        <v>253.0</v>
      </c>
      <c r="AD56" s="38">
        <v>3959.06</v>
      </c>
      <c r="AE56" s="38">
        <v>0.0</v>
      </c>
      <c r="AF56" s="38">
        <v>0.0</v>
      </c>
      <c r="AG56" s="38">
        <v>0.0</v>
      </c>
      <c r="AH56" s="38">
        <v>0.0</v>
      </c>
      <c r="AI56" s="38">
        <v>133235.34</v>
      </c>
      <c r="AJ56" s="38">
        <v>512100.9</v>
      </c>
      <c r="AK56" s="38">
        <v>3.0</v>
      </c>
      <c r="AL56" s="38">
        <v>376.2</v>
      </c>
      <c r="AM56" s="38">
        <v>0.0</v>
      </c>
      <c r="AN56" s="34" t="s">
        <v>62</v>
      </c>
      <c r="AO56" s="34" t="s">
        <v>62</v>
      </c>
      <c r="AP56" s="34" t="s">
        <v>62</v>
      </c>
      <c r="AQ56" s="34" t="s">
        <v>62</v>
      </c>
      <c r="AR56" s="38">
        <v>0.0</v>
      </c>
      <c r="AS56" s="38" t="s">
        <v>2300</v>
      </c>
      <c r="AT56" s="35" t="s">
        <v>2202</v>
      </c>
      <c r="AU56" s="39" t="s">
        <v>2254</v>
      </c>
      <c r="AV56" s="40">
        <v>46167.0</v>
      </c>
    </row>
    <row r="57">
      <c r="A57" s="38">
        <v>3213.0</v>
      </c>
      <c r="B57" s="38">
        <v>3212.0</v>
      </c>
      <c r="C57" s="38">
        <v>3212.0</v>
      </c>
      <c r="D57" s="38">
        <v>8.020273E7</v>
      </c>
      <c r="E57" s="38">
        <v>8.020273E7</v>
      </c>
      <c r="F57" s="18" t="s">
        <v>397</v>
      </c>
      <c r="G57" s="18" t="s">
        <v>398</v>
      </c>
      <c r="H57" s="18" t="s">
        <v>2301</v>
      </c>
      <c r="I57" s="18" t="s">
        <v>214</v>
      </c>
      <c r="J57" s="18" t="s">
        <v>2205</v>
      </c>
      <c r="K57" s="18" t="s">
        <v>2302</v>
      </c>
      <c r="L57" s="18" t="s">
        <v>52</v>
      </c>
      <c r="M57" s="18" t="s">
        <v>138</v>
      </c>
      <c r="N57" s="18" t="s">
        <v>130</v>
      </c>
      <c r="O57" s="18" t="s">
        <v>126</v>
      </c>
      <c r="P57" s="18" t="s">
        <v>56</v>
      </c>
      <c r="Q57" s="18" t="s">
        <v>90</v>
      </c>
      <c r="R57" s="18" t="s">
        <v>143</v>
      </c>
      <c r="S57" s="18" t="s">
        <v>59</v>
      </c>
      <c r="T57" s="38">
        <v>2026.0</v>
      </c>
      <c r="U57" s="38">
        <v>5.0</v>
      </c>
      <c r="V57" s="38">
        <v>1.081522348E9</v>
      </c>
      <c r="W57" s="38">
        <v>1.081540418E9</v>
      </c>
      <c r="X57" s="18" t="s">
        <v>2199</v>
      </c>
      <c r="Y57" s="18" t="s">
        <v>2200</v>
      </c>
      <c r="Z57" s="38">
        <v>840213.38</v>
      </c>
      <c r="AA57" s="38">
        <v>840213.38</v>
      </c>
      <c r="AB57" s="38">
        <v>280071.13</v>
      </c>
      <c r="AC57" s="38">
        <v>2750.0</v>
      </c>
      <c r="AD57" s="38">
        <v>0.0</v>
      </c>
      <c r="AE57" s="38">
        <v>0.0</v>
      </c>
      <c r="AF57" s="38">
        <v>0.0</v>
      </c>
      <c r="AG57" s="38">
        <v>0.0</v>
      </c>
      <c r="AH57" s="38">
        <v>0.0</v>
      </c>
      <c r="AI57" s="38">
        <v>840213.38</v>
      </c>
      <c r="AJ57" s="38">
        <v>840213.38</v>
      </c>
      <c r="AK57" s="38">
        <v>0.0</v>
      </c>
      <c r="AL57" s="38">
        <v>376.2</v>
      </c>
      <c r="AM57" s="38">
        <v>0.0</v>
      </c>
      <c r="AN57" s="34" t="s">
        <v>62</v>
      </c>
      <c r="AO57" s="34" t="s">
        <v>62</v>
      </c>
      <c r="AP57" s="34" t="s">
        <v>62</v>
      </c>
      <c r="AQ57" s="34" t="s">
        <v>62</v>
      </c>
      <c r="AR57" s="38">
        <v>0.0</v>
      </c>
      <c r="AS57" s="39" t="s">
        <v>2303</v>
      </c>
      <c r="AT57" s="35" t="s">
        <v>2202</v>
      </c>
      <c r="AU57" s="39" t="s">
        <v>2203</v>
      </c>
      <c r="AV57" s="40">
        <v>46169.0</v>
      </c>
    </row>
    <row r="58">
      <c r="A58" s="38">
        <v>350.0</v>
      </c>
      <c r="B58" s="38">
        <v>3216.0</v>
      </c>
      <c r="C58" s="38">
        <v>3216.0</v>
      </c>
      <c r="D58" s="38">
        <v>8.0205194E7</v>
      </c>
      <c r="E58" s="38">
        <v>8.0205194E7</v>
      </c>
      <c r="F58" s="38">
        <v>9.00603041E8</v>
      </c>
      <c r="G58" s="18" t="s">
        <v>400</v>
      </c>
      <c r="H58" s="18" t="s">
        <v>2304</v>
      </c>
      <c r="I58" s="18" t="s">
        <v>401</v>
      </c>
      <c r="J58" s="18" t="s">
        <v>2205</v>
      </c>
      <c r="K58" s="18" t="s">
        <v>2305</v>
      </c>
      <c r="L58" s="18" t="s">
        <v>52</v>
      </c>
      <c r="M58" s="18" t="s">
        <v>89</v>
      </c>
      <c r="N58" s="18" t="s">
        <v>130</v>
      </c>
      <c r="O58" s="18" t="s">
        <v>126</v>
      </c>
      <c r="P58" s="18" t="s">
        <v>56</v>
      </c>
      <c r="Q58" s="18" t="s">
        <v>90</v>
      </c>
      <c r="R58" s="18" t="s">
        <v>143</v>
      </c>
      <c r="S58" s="18" t="s">
        <v>59</v>
      </c>
      <c r="T58" s="38">
        <v>2026.0</v>
      </c>
      <c r="U58" s="38">
        <v>5.0</v>
      </c>
      <c r="V58" s="38">
        <v>1.081522352E9</v>
      </c>
      <c r="W58" s="38">
        <v>1.081540422E9</v>
      </c>
      <c r="X58" s="18" t="s">
        <v>2199</v>
      </c>
      <c r="Y58" s="18" t="s">
        <v>2200</v>
      </c>
      <c r="Z58" s="38">
        <v>492025.62</v>
      </c>
      <c r="AA58" s="38">
        <v>492025.62</v>
      </c>
      <c r="AB58" s="38">
        <v>161439.25</v>
      </c>
      <c r="AC58" s="38">
        <v>1500.0</v>
      </c>
      <c r="AD58" s="38">
        <v>7707.87</v>
      </c>
      <c r="AE58" s="38">
        <v>0.0</v>
      </c>
      <c r="AF58" s="38">
        <v>0.0</v>
      </c>
      <c r="AG58" s="38">
        <v>0.0</v>
      </c>
      <c r="AH58" s="38">
        <v>0.0</v>
      </c>
      <c r="AI58" s="38">
        <v>492025.62</v>
      </c>
      <c r="AJ58" s="38">
        <v>1442311.15</v>
      </c>
      <c r="AK58" s="38">
        <v>3.0</v>
      </c>
      <c r="AL58" s="38">
        <v>376.2</v>
      </c>
      <c r="AM58" s="38">
        <v>0.0</v>
      </c>
      <c r="AN58" s="34" t="s">
        <v>62</v>
      </c>
      <c r="AO58" s="34" t="s">
        <v>62</v>
      </c>
      <c r="AP58" s="34" t="s">
        <v>62</v>
      </c>
      <c r="AQ58" s="34" t="s">
        <v>62</v>
      </c>
      <c r="AR58" s="38">
        <v>0.0</v>
      </c>
      <c r="AS58" s="38" t="s">
        <v>2306</v>
      </c>
      <c r="AT58" s="35" t="s">
        <v>2202</v>
      </c>
      <c r="AU58" s="39" t="s">
        <v>2203</v>
      </c>
      <c r="AV58" s="40">
        <v>46164.0</v>
      </c>
    </row>
    <row r="59">
      <c r="A59" s="38">
        <v>455370.0</v>
      </c>
      <c r="B59" s="38">
        <v>3228.0</v>
      </c>
      <c r="C59" s="38">
        <v>3228.0</v>
      </c>
      <c r="D59" s="38">
        <v>8.0206522E7</v>
      </c>
      <c r="E59" s="38">
        <v>8.0206522E7</v>
      </c>
      <c r="F59" s="18" t="s">
        <v>148</v>
      </c>
      <c r="G59" s="18" t="s">
        <v>149</v>
      </c>
      <c r="H59" s="18" t="s">
        <v>2296</v>
      </c>
      <c r="I59" s="18" t="s">
        <v>129</v>
      </c>
      <c r="J59" s="18" t="s">
        <v>2205</v>
      </c>
      <c r="K59" s="18" t="s">
        <v>2292</v>
      </c>
      <c r="L59" s="18" t="s">
        <v>52</v>
      </c>
      <c r="M59" s="18" t="s">
        <v>138</v>
      </c>
      <c r="N59" s="18" t="s">
        <v>130</v>
      </c>
      <c r="O59" s="18" t="s">
        <v>126</v>
      </c>
      <c r="P59" s="18" t="s">
        <v>56</v>
      </c>
      <c r="Q59" s="18" t="s">
        <v>57</v>
      </c>
      <c r="R59" s="18" t="s">
        <v>143</v>
      </c>
      <c r="S59" s="18" t="s">
        <v>59</v>
      </c>
      <c r="T59" s="38">
        <v>2026.0</v>
      </c>
      <c r="U59" s="38">
        <v>5.0</v>
      </c>
      <c r="V59" s="38">
        <v>1.081522356E9</v>
      </c>
      <c r="W59" s="38">
        <v>1.081540426E9</v>
      </c>
      <c r="X59" s="18" t="s">
        <v>2199</v>
      </c>
      <c r="Y59" s="18" t="s">
        <v>2200</v>
      </c>
      <c r="Z59" s="38">
        <v>786586.77</v>
      </c>
      <c r="AA59" s="38">
        <v>786586.77</v>
      </c>
      <c r="AB59" s="38">
        <v>0.0</v>
      </c>
      <c r="AC59" s="38">
        <v>3943.0</v>
      </c>
      <c r="AD59" s="38">
        <v>0.0</v>
      </c>
      <c r="AE59" s="38">
        <v>0.0</v>
      </c>
      <c r="AF59" s="38">
        <v>0.0</v>
      </c>
      <c r="AG59" s="38">
        <v>0.0</v>
      </c>
      <c r="AH59" s="38">
        <v>0.0</v>
      </c>
      <c r="AI59" s="38">
        <v>786586.77</v>
      </c>
      <c r="AJ59" s="38">
        <v>1717585.05</v>
      </c>
      <c r="AK59" s="38">
        <v>3.0</v>
      </c>
      <c r="AL59" s="38">
        <v>250.8</v>
      </c>
      <c r="AM59" s="38">
        <v>0.0</v>
      </c>
      <c r="AN59" s="34" t="s">
        <v>62</v>
      </c>
      <c r="AO59" s="34" t="s">
        <v>62</v>
      </c>
      <c r="AP59" s="34" t="s">
        <v>62</v>
      </c>
      <c r="AQ59" s="34" t="s">
        <v>62</v>
      </c>
      <c r="AR59" s="38">
        <v>0.0</v>
      </c>
      <c r="AS59" s="38" t="s">
        <v>2293</v>
      </c>
      <c r="AT59" s="35" t="s">
        <v>2294</v>
      </c>
      <c r="AU59" s="39" t="s">
        <v>2295</v>
      </c>
      <c r="AV59" s="40">
        <v>46164.0</v>
      </c>
    </row>
    <row r="60">
      <c r="A60" s="38">
        <v>323057.0</v>
      </c>
      <c r="B60" s="38">
        <v>323056.0</v>
      </c>
      <c r="C60" s="38">
        <v>323056.0</v>
      </c>
      <c r="D60" s="38">
        <v>536628.0</v>
      </c>
      <c r="E60" s="38">
        <v>536628.0</v>
      </c>
      <c r="F60" s="38">
        <v>8.9090005E8</v>
      </c>
      <c r="G60" s="18" t="s">
        <v>404</v>
      </c>
      <c r="H60" s="18" t="s">
        <v>2307</v>
      </c>
      <c r="I60" s="18" t="s">
        <v>172</v>
      </c>
      <c r="J60" s="18" t="s">
        <v>2273</v>
      </c>
      <c r="K60" s="18" t="s">
        <v>2205</v>
      </c>
      <c r="L60" s="18" t="s">
        <v>52</v>
      </c>
      <c r="M60" s="18" t="s">
        <v>89</v>
      </c>
      <c r="N60" s="18" t="s">
        <v>130</v>
      </c>
      <c r="O60" s="18" t="s">
        <v>126</v>
      </c>
      <c r="P60" s="18" t="s">
        <v>56</v>
      </c>
      <c r="Q60" s="18" t="s">
        <v>90</v>
      </c>
      <c r="R60" s="18" t="s">
        <v>58</v>
      </c>
      <c r="S60" s="18" t="s">
        <v>59</v>
      </c>
      <c r="T60" s="38">
        <v>2026.0</v>
      </c>
      <c r="U60" s="38">
        <v>5.0</v>
      </c>
      <c r="V60" s="38">
        <v>1.081522525E9</v>
      </c>
      <c r="W60" s="38">
        <v>1.081540595E9</v>
      </c>
      <c r="X60" s="18" t="s">
        <v>2199</v>
      </c>
      <c r="Y60" s="18" t="s">
        <v>2200</v>
      </c>
      <c r="Z60" s="38">
        <v>377562.41</v>
      </c>
      <c r="AA60" s="38">
        <v>377562.41</v>
      </c>
      <c r="AB60" s="38">
        <v>125849.7</v>
      </c>
      <c r="AC60" s="38">
        <v>1125.0</v>
      </c>
      <c r="AD60" s="38">
        <v>13.33</v>
      </c>
      <c r="AE60" s="38">
        <v>0.0</v>
      </c>
      <c r="AF60" s="38">
        <v>0.0</v>
      </c>
      <c r="AG60" s="38">
        <v>0.0</v>
      </c>
      <c r="AH60" s="38">
        <v>0.0</v>
      </c>
      <c r="AI60" s="38">
        <v>377562.41</v>
      </c>
      <c r="AJ60" s="38">
        <v>387277.62</v>
      </c>
      <c r="AK60" s="38">
        <v>1.0</v>
      </c>
      <c r="AL60" s="38">
        <v>376.2</v>
      </c>
      <c r="AM60" s="38">
        <v>0.0</v>
      </c>
      <c r="AN60" s="34" t="s">
        <v>62</v>
      </c>
      <c r="AO60" s="34" t="s">
        <v>62</v>
      </c>
      <c r="AP60" s="34" t="s">
        <v>62</v>
      </c>
      <c r="AQ60" s="34" t="s">
        <v>62</v>
      </c>
      <c r="AR60" s="38">
        <v>0.0</v>
      </c>
      <c r="AS60" s="38" t="s">
        <v>2308</v>
      </c>
      <c r="AT60" s="35" t="s">
        <v>2275</v>
      </c>
      <c r="AU60" s="39" t="s">
        <v>2276</v>
      </c>
      <c r="AV60" s="40">
        <v>46163.0</v>
      </c>
    </row>
    <row r="61">
      <c r="A61" s="38">
        <v>455370.0</v>
      </c>
      <c r="B61" s="38">
        <v>3232.0</v>
      </c>
      <c r="C61" s="38">
        <v>3232.0</v>
      </c>
      <c r="D61" s="38">
        <v>8.0206526E7</v>
      </c>
      <c r="E61" s="38">
        <v>8.0206526E7</v>
      </c>
      <c r="F61" s="18" t="s">
        <v>148</v>
      </c>
      <c r="G61" s="18" t="s">
        <v>149</v>
      </c>
      <c r="H61" s="18" t="s">
        <v>2296</v>
      </c>
      <c r="I61" s="18" t="s">
        <v>137</v>
      </c>
      <c r="J61" s="18" t="s">
        <v>2205</v>
      </c>
      <c r="K61" s="18" t="s">
        <v>2292</v>
      </c>
      <c r="L61" s="18" t="s">
        <v>52</v>
      </c>
      <c r="M61" s="18" t="s">
        <v>138</v>
      </c>
      <c r="N61" s="18" t="s">
        <v>130</v>
      </c>
      <c r="O61" s="18" t="s">
        <v>126</v>
      </c>
      <c r="P61" s="18" t="s">
        <v>56</v>
      </c>
      <c r="Q61" s="18" t="s">
        <v>57</v>
      </c>
      <c r="R61" s="18" t="s">
        <v>143</v>
      </c>
      <c r="S61" s="18" t="s">
        <v>59</v>
      </c>
      <c r="T61" s="38">
        <v>2026.0</v>
      </c>
      <c r="U61" s="38">
        <v>5.0</v>
      </c>
      <c r="V61" s="38">
        <v>1.081522361E9</v>
      </c>
      <c r="W61" s="38">
        <v>1.081540431E9</v>
      </c>
      <c r="X61" s="18" t="s">
        <v>2199</v>
      </c>
      <c r="Y61" s="18" t="s">
        <v>2200</v>
      </c>
      <c r="Z61" s="38">
        <v>549702.65</v>
      </c>
      <c r="AA61" s="38">
        <v>549702.65</v>
      </c>
      <c r="AB61" s="38">
        <v>0.0</v>
      </c>
      <c r="AC61" s="38">
        <v>2695.0</v>
      </c>
      <c r="AD61" s="38">
        <v>0.0</v>
      </c>
      <c r="AE61" s="38">
        <v>0.0</v>
      </c>
      <c r="AF61" s="38">
        <v>0.0</v>
      </c>
      <c r="AG61" s="38">
        <v>0.0</v>
      </c>
      <c r="AH61" s="38">
        <v>0.0</v>
      </c>
      <c r="AI61" s="38">
        <v>549702.65</v>
      </c>
      <c r="AJ61" s="38">
        <v>1249505.19</v>
      </c>
      <c r="AK61" s="38">
        <v>3.0</v>
      </c>
      <c r="AL61" s="38">
        <v>250.8</v>
      </c>
      <c r="AM61" s="38">
        <v>0.0</v>
      </c>
      <c r="AN61" s="34" t="s">
        <v>62</v>
      </c>
      <c r="AO61" s="34" t="s">
        <v>62</v>
      </c>
      <c r="AP61" s="34" t="s">
        <v>62</v>
      </c>
      <c r="AQ61" s="34" t="s">
        <v>62</v>
      </c>
      <c r="AR61" s="38">
        <v>0.0</v>
      </c>
      <c r="AS61" s="38" t="s">
        <v>2293</v>
      </c>
      <c r="AT61" s="35" t="s">
        <v>2294</v>
      </c>
      <c r="AU61" s="39" t="s">
        <v>2295</v>
      </c>
      <c r="AV61" s="40">
        <v>46164.0</v>
      </c>
    </row>
    <row r="62">
      <c r="A62" s="38">
        <v>573.0</v>
      </c>
      <c r="B62" s="38">
        <v>3236.0</v>
      </c>
      <c r="C62" s="38">
        <v>3236.0</v>
      </c>
      <c r="D62" s="38">
        <v>8.0212407E7</v>
      </c>
      <c r="E62" s="38">
        <v>8.0212407E7</v>
      </c>
      <c r="F62" s="38">
        <v>9.00144842E8</v>
      </c>
      <c r="G62" s="18" t="s">
        <v>407</v>
      </c>
      <c r="H62" s="18" t="s">
        <v>2309</v>
      </c>
      <c r="I62" s="18" t="s">
        <v>205</v>
      </c>
      <c r="J62" s="18" t="s">
        <v>2205</v>
      </c>
      <c r="K62" s="18" t="s">
        <v>2310</v>
      </c>
      <c r="L62" s="18" t="s">
        <v>52</v>
      </c>
      <c r="M62" s="18" t="s">
        <v>89</v>
      </c>
      <c r="N62" s="18" t="s">
        <v>130</v>
      </c>
      <c r="O62" s="18" t="s">
        <v>126</v>
      </c>
      <c r="P62" s="18" t="s">
        <v>56</v>
      </c>
      <c r="Q62" s="18" t="s">
        <v>72</v>
      </c>
      <c r="R62" s="18" t="s">
        <v>143</v>
      </c>
      <c r="S62" s="18" t="s">
        <v>59</v>
      </c>
      <c r="T62" s="38">
        <v>2026.0</v>
      </c>
      <c r="U62" s="38">
        <v>5.0</v>
      </c>
      <c r="V62" s="38">
        <v>1.081522364E9</v>
      </c>
      <c r="W62" s="38">
        <v>1.081540434E9</v>
      </c>
      <c r="X62" s="18" t="s">
        <v>2199</v>
      </c>
      <c r="Y62" s="18" t="s">
        <v>2200</v>
      </c>
      <c r="Z62" s="38">
        <v>113680.93</v>
      </c>
      <c r="AA62" s="38">
        <v>113680.93</v>
      </c>
      <c r="AB62" s="38">
        <v>25826.79</v>
      </c>
      <c r="AC62" s="38">
        <v>252.5</v>
      </c>
      <c r="AD62" s="38">
        <v>1764.85</v>
      </c>
      <c r="AE62" s="38">
        <v>0.0</v>
      </c>
      <c r="AF62" s="38">
        <v>0.0</v>
      </c>
      <c r="AG62" s="38">
        <v>0.0</v>
      </c>
      <c r="AH62" s="38">
        <v>0.0</v>
      </c>
      <c r="AI62" s="38">
        <v>113680.93</v>
      </c>
      <c r="AJ62" s="38">
        <v>223992.95</v>
      </c>
      <c r="AK62" s="38">
        <v>1.0</v>
      </c>
      <c r="AL62" s="38">
        <v>326.04</v>
      </c>
      <c r="AM62" s="38">
        <v>0.0</v>
      </c>
      <c r="AN62" s="34" t="s">
        <v>62</v>
      </c>
      <c r="AO62" s="34" t="s">
        <v>62</v>
      </c>
      <c r="AP62" s="34" t="s">
        <v>62</v>
      </c>
      <c r="AQ62" s="34" t="s">
        <v>62</v>
      </c>
      <c r="AR62" s="38">
        <v>0.0</v>
      </c>
      <c r="AS62" s="38" t="s">
        <v>2311</v>
      </c>
      <c r="AT62" s="35" t="s">
        <v>2202</v>
      </c>
      <c r="AU62" s="39" t="s">
        <v>2203</v>
      </c>
      <c r="AV62" s="40">
        <v>46169.0</v>
      </c>
    </row>
    <row r="63">
      <c r="A63" s="38">
        <v>455370.0</v>
      </c>
      <c r="B63" s="38">
        <v>3240.0</v>
      </c>
      <c r="C63" s="38">
        <v>3240.0</v>
      </c>
      <c r="D63" s="38">
        <v>8.0212698E7</v>
      </c>
      <c r="E63" s="38">
        <v>8.0212698E7</v>
      </c>
      <c r="F63" s="18" t="s">
        <v>148</v>
      </c>
      <c r="G63" s="18" t="s">
        <v>149</v>
      </c>
      <c r="H63" s="18" t="s">
        <v>2296</v>
      </c>
      <c r="I63" s="18" t="s">
        <v>409</v>
      </c>
      <c r="J63" s="18" t="s">
        <v>2205</v>
      </c>
      <c r="K63" s="18" t="s">
        <v>2292</v>
      </c>
      <c r="L63" s="18" t="s">
        <v>52</v>
      </c>
      <c r="M63" s="18" t="s">
        <v>138</v>
      </c>
      <c r="N63" s="18" t="s">
        <v>130</v>
      </c>
      <c r="O63" s="18" t="s">
        <v>126</v>
      </c>
      <c r="P63" s="18" t="s">
        <v>56</v>
      </c>
      <c r="Q63" s="18" t="s">
        <v>57</v>
      </c>
      <c r="R63" s="18" t="s">
        <v>143</v>
      </c>
      <c r="S63" s="18" t="s">
        <v>59</v>
      </c>
      <c r="T63" s="38">
        <v>2026.0</v>
      </c>
      <c r="U63" s="38">
        <v>5.0</v>
      </c>
      <c r="V63" s="38">
        <v>1.081522369E9</v>
      </c>
      <c r="W63" s="38">
        <v>1.081540439E9</v>
      </c>
      <c r="X63" s="18" t="s">
        <v>2199</v>
      </c>
      <c r="Y63" s="18" t="s">
        <v>2200</v>
      </c>
      <c r="Z63" s="38">
        <v>133067.5</v>
      </c>
      <c r="AA63" s="38">
        <v>133067.5</v>
      </c>
      <c r="AB63" s="38">
        <v>0.0</v>
      </c>
      <c r="AC63" s="38">
        <v>500.0</v>
      </c>
      <c r="AD63" s="38">
        <v>0.0</v>
      </c>
      <c r="AE63" s="38">
        <v>0.0</v>
      </c>
      <c r="AF63" s="38">
        <v>0.0</v>
      </c>
      <c r="AG63" s="38">
        <v>0.0</v>
      </c>
      <c r="AH63" s="38">
        <v>0.0</v>
      </c>
      <c r="AI63" s="38">
        <v>133067.5</v>
      </c>
      <c r="AJ63" s="38">
        <v>426239.7</v>
      </c>
      <c r="AK63" s="38">
        <v>3.0</v>
      </c>
      <c r="AL63" s="38">
        <v>250.8</v>
      </c>
      <c r="AM63" s="38">
        <v>0.0</v>
      </c>
      <c r="AN63" s="34" t="s">
        <v>62</v>
      </c>
      <c r="AO63" s="34" t="s">
        <v>62</v>
      </c>
      <c r="AP63" s="34" t="s">
        <v>62</v>
      </c>
      <c r="AQ63" s="34" t="s">
        <v>62</v>
      </c>
      <c r="AR63" s="38">
        <v>0.0</v>
      </c>
      <c r="AS63" s="38" t="s">
        <v>2293</v>
      </c>
      <c r="AT63" s="35" t="s">
        <v>2294</v>
      </c>
      <c r="AU63" s="39" t="s">
        <v>2295</v>
      </c>
      <c r="AV63" s="40">
        <v>46164.0</v>
      </c>
    </row>
    <row r="64">
      <c r="A64" s="38">
        <v>455370.0</v>
      </c>
      <c r="B64" s="38">
        <v>3248.0</v>
      </c>
      <c r="C64" s="38">
        <v>3248.0</v>
      </c>
      <c r="D64" s="38">
        <v>8.0212706E7</v>
      </c>
      <c r="E64" s="38">
        <v>8.0212706E7</v>
      </c>
      <c r="F64" s="18" t="s">
        <v>148</v>
      </c>
      <c r="G64" s="18" t="s">
        <v>149</v>
      </c>
      <c r="H64" s="18" t="s">
        <v>2296</v>
      </c>
      <c r="I64" s="18" t="s">
        <v>411</v>
      </c>
      <c r="J64" s="18" t="s">
        <v>2205</v>
      </c>
      <c r="K64" s="18" t="s">
        <v>2292</v>
      </c>
      <c r="L64" s="18" t="s">
        <v>52</v>
      </c>
      <c r="M64" s="18" t="s">
        <v>138</v>
      </c>
      <c r="N64" s="18" t="s">
        <v>130</v>
      </c>
      <c r="O64" s="18" t="s">
        <v>126</v>
      </c>
      <c r="P64" s="18" t="s">
        <v>56</v>
      </c>
      <c r="Q64" s="18" t="s">
        <v>57</v>
      </c>
      <c r="R64" s="18" t="s">
        <v>143</v>
      </c>
      <c r="S64" s="18" t="s">
        <v>59</v>
      </c>
      <c r="T64" s="38">
        <v>2026.0</v>
      </c>
      <c r="U64" s="38">
        <v>5.0</v>
      </c>
      <c r="V64" s="38">
        <v>1.081522373E9</v>
      </c>
      <c r="W64" s="38">
        <v>1.081540443E9</v>
      </c>
      <c r="X64" s="18" t="s">
        <v>2199</v>
      </c>
      <c r="Y64" s="18" t="s">
        <v>2200</v>
      </c>
      <c r="Z64" s="38">
        <v>133067.5</v>
      </c>
      <c r="AA64" s="38">
        <v>133067.5</v>
      </c>
      <c r="AB64" s="38">
        <v>0.0</v>
      </c>
      <c r="AC64" s="38">
        <v>500.0</v>
      </c>
      <c r="AD64" s="38">
        <v>0.0</v>
      </c>
      <c r="AE64" s="38">
        <v>0.0</v>
      </c>
      <c r="AF64" s="38">
        <v>0.0</v>
      </c>
      <c r="AG64" s="38">
        <v>0.0</v>
      </c>
      <c r="AH64" s="38">
        <v>0.0</v>
      </c>
      <c r="AI64" s="38">
        <v>133067.5</v>
      </c>
      <c r="AJ64" s="38">
        <v>426239.7</v>
      </c>
      <c r="AK64" s="38">
        <v>3.0</v>
      </c>
      <c r="AL64" s="38">
        <v>250.8</v>
      </c>
      <c r="AM64" s="38">
        <v>0.0</v>
      </c>
      <c r="AN64" s="34" t="s">
        <v>62</v>
      </c>
      <c r="AO64" s="34" t="s">
        <v>62</v>
      </c>
      <c r="AP64" s="34" t="s">
        <v>62</v>
      </c>
      <c r="AQ64" s="34" t="s">
        <v>62</v>
      </c>
      <c r="AR64" s="38">
        <v>0.0</v>
      </c>
      <c r="AS64" s="38" t="s">
        <v>2293</v>
      </c>
      <c r="AT64" s="35" t="s">
        <v>2294</v>
      </c>
      <c r="AU64" s="39" t="s">
        <v>2295</v>
      </c>
      <c r="AV64" s="40">
        <v>46164.0</v>
      </c>
    </row>
    <row r="65">
      <c r="A65" s="38">
        <v>455370.0</v>
      </c>
      <c r="B65" s="38">
        <v>3252.0</v>
      </c>
      <c r="C65" s="38">
        <v>3252.0</v>
      </c>
      <c r="D65" s="38">
        <v>8.021271E7</v>
      </c>
      <c r="E65" s="38">
        <v>8.021271E7</v>
      </c>
      <c r="F65" s="18" t="s">
        <v>148</v>
      </c>
      <c r="G65" s="18" t="s">
        <v>149</v>
      </c>
      <c r="H65" s="18" t="s">
        <v>2296</v>
      </c>
      <c r="I65" s="18" t="s">
        <v>159</v>
      </c>
      <c r="J65" s="18" t="s">
        <v>2205</v>
      </c>
      <c r="K65" s="18" t="s">
        <v>2292</v>
      </c>
      <c r="L65" s="18" t="s">
        <v>52</v>
      </c>
      <c r="M65" s="18" t="s">
        <v>138</v>
      </c>
      <c r="N65" s="18" t="s">
        <v>130</v>
      </c>
      <c r="O65" s="18" t="s">
        <v>126</v>
      </c>
      <c r="P65" s="18" t="s">
        <v>56</v>
      </c>
      <c r="Q65" s="18" t="s">
        <v>57</v>
      </c>
      <c r="R65" s="18" t="s">
        <v>143</v>
      </c>
      <c r="S65" s="18" t="s">
        <v>59</v>
      </c>
      <c r="T65" s="38">
        <v>2026.0</v>
      </c>
      <c r="U65" s="38">
        <v>5.0</v>
      </c>
      <c r="V65" s="38">
        <v>1.081522378E9</v>
      </c>
      <c r="W65" s="38">
        <v>1.081540448E9</v>
      </c>
      <c r="X65" s="18" t="s">
        <v>2199</v>
      </c>
      <c r="Y65" s="18" t="s">
        <v>2200</v>
      </c>
      <c r="Z65" s="38">
        <v>164955.75</v>
      </c>
      <c r="AA65" s="38">
        <v>164955.75</v>
      </c>
      <c r="AB65" s="38">
        <v>0.0</v>
      </c>
      <c r="AC65" s="38">
        <v>668.0</v>
      </c>
      <c r="AD65" s="38">
        <v>0.0</v>
      </c>
      <c r="AE65" s="38">
        <v>0.0</v>
      </c>
      <c r="AF65" s="38">
        <v>0.0</v>
      </c>
      <c r="AG65" s="38">
        <v>0.0</v>
      </c>
      <c r="AH65" s="38">
        <v>0.0</v>
      </c>
      <c r="AI65" s="38">
        <v>164955.75</v>
      </c>
      <c r="AJ65" s="38">
        <v>489250.46</v>
      </c>
      <c r="AK65" s="38">
        <v>3.0</v>
      </c>
      <c r="AL65" s="38">
        <v>250.8</v>
      </c>
      <c r="AM65" s="38">
        <v>0.0</v>
      </c>
      <c r="AN65" s="34" t="s">
        <v>62</v>
      </c>
      <c r="AO65" s="34" t="s">
        <v>62</v>
      </c>
      <c r="AP65" s="34" t="s">
        <v>62</v>
      </c>
      <c r="AQ65" s="34" t="s">
        <v>62</v>
      </c>
      <c r="AR65" s="38">
        <v>0.0</v>
      </c>
      <c r="AS65" s="38" t="s">
        <v>2293</v>
      </c>
      <c r="AT65" s="35" t="s">
        <v>2294</v>
      </c>
      <c r="AU65" s="39" t="s">
        <v>2295</v>
      </c>
      <c r="AV65" s="40">
        <v>46164.0</v>
      </c>
    </row>
    <row r="66">
      <c r="A66" s="38">
        <v>455370.0</v>
      </c>
      <c r="B66" s="38">
        <v>3256.0</v>
      </c>
      <c r="C66" s="38">
        <v>3256.0</v>
      </c>
      <c r="D66" s="38">
        <v>8.0212714E7</v>
      </c>
      <c r="E66" s="38">
        <v>8.0212714E7</v>
      </c>
      <c r="F66" s="18" t="s">
        <v>148</v>
      </c>
      <c r="G66" s="18" t="s">
        <v>149</v>
      </c>
      <c r="H66" s="18" t="s">
        <v>2296</v>
      </c>
      <c r="I66" s="18" t="s">
        <v>194</v>
      </c>
      <c r="J66" s="18" t="s">
        <v>2205</v>
      </c>
      <c r="K66" s="18" t="s">
        <v>2292</v>
      </c>
      <c r="L66" s="18" t="s">
        <v>52</v>
      </c>
      <c r="M66" s="18" t="s">
        <v>138</v>
      </c>
      <c r="N66" s="18" t="s">
        <v>130</v>
      </c>
      <c r="O66" s="18" t="s">
        <v>126</v>
      </c>
      <c r="P66" s="18" t="s">
        <v>56</v>
      </c>
      <c r="Q66" s="18" t="s">
        <v>57</v>
      </c>
      <c r="R66" s="18" t="s">
        <v>143</v>
      </c>
      <c r="S66" s="18" t="s">
        <v>59</v>
      </c>
      <c r="T66" s="38">
        <v>2026.0</v>
      </c>
      <c r="U66" s="38">
        <v>5.0</v>
      </c>
      <c r="V66" s="38">
        <v>1.081522382E9</v>
      </c>
      <c r="W66" s="38">
        <v>1.081540452E9</v>
      </c>
      <c r="X66" s="18" t="s">
        <v>2199</v>
      </c>
      <c r="Y66" s="18" t="s">
        <v>2200</v>
      </c>
      <c r="Z66" s="38">
        <v>464287.7</v>
      </c>
      <c r="AA66" s="38">
        <v>464287.7</v>
      </c>
      <c r="AB66" s="38">
        <v>0.0</v>
      </c>
      <c r="AC66" s="38">
        <v>2245.0</v>
      </c>
      <c r="AD66" s="38">
        <v>0.0</v>
      </c>
      <c r="AE66" s="38">
        <v>0.0</v>
      </c>
      <c r="AF66" s="38">
        <v>0.0</v>
      </c>
      <c r="AG66" s="38">
        <v>0.0</v>
      </c>
      <c r="AH66" s="38">
        <v>0.0</v>
      </c>
      <c r="AI66" s="38">
        <v>464287.7</v>
      </c>
      <c r="AJ66" s="38">
        <v>1080726.39</v>
      </c>
      <c r="AK66" s="38">
        <v>3.0</v>
      </c>
      <c r="AL66" s="38">
        <v>250.8</v>
      </c>
      <c r="AM66" s="38">
        <v>0.0</v>
      </c>
      <c r="AN66" s="34" t="s">
        <v>62</v>
      </c>
      <c r="AO66" s="34" t="s">
        <v>62</v>
      </c>
      <c r="AP66" s="34" t="s">
        <v>62</v>
      </c>
      <c r="AQ66" s="34" t="s">
        <v>62</v>
      </c>
      <c r="AR66" s="38">
        <v>0.0</v>
      </c>
      <c r="AS66" s="38" t="s">
        <v>2293</v>
      </c>
      <c r="AT66" s="35" t="s">
        <v>2294</v>
      </c>
      <c r="AU66" s="39" t="s">
        <v>2295</v>
      </c>
      <c r="AV66" s="40">
        <v>46164.0</v>
      </c>
    </row>
    <row r="67">
      <c r="A67" s="38">
        <v>455370.0</v>
      </c>
      <c r="B67" s="38">
        <v>3260.0</v>
      </c>
      <c r="C67" s="38">
        <v>3260.0</v>
      </c>
      <c r="D67" s="38">
        <v>8.0212718E7</v>
      </c>
      <c r="E67" s="38">
        <v>8.0212718E7</v>
      </c>
      <c r="F67" s="18" t="s">
        <v>148</v>
      </c>
      <c r="G67" s="18" t="s">
        <v>149</v>
      </c>
      <c r="H67" s="18" t="s">
        <v>2296</v>
      </c>
      <c r="I67" s="18" t="s">
        <v>415</v>
      </c>
      <c r="J67" s="18" t="s">
        <v>2205</v>
      </c>
      <c r="K67" s="18" t="s">
        <v>2292</v>
      </c>
      <c r="L67" s="18" t="s">
        <v>52</v>
      </c>
      <c r="M67" s="18" t="s">
        <v>138</v>
      </c>
      <c r="N67" s="18" t="s">
        <v>130</v>
      </c>
      <c r="O67" s="18" t="s">
        <v>126</v>
      </c>
      <c r="P67" s="18" t="s">
        <v>56</v>
      </c>
      <c r="Q67" s="18" t="s">
        <v>57</v>
      </c>
      <c r="R67" s="18" t="s">
        <v>143</v>
      </c>
      <c r="S67" s="18" t="s">
        <v>59</v>
      </c>
      <c r="T67" s="38">
        <v>2026.0</v>
      </c>
      <c r="U67" s="38">
        <v>5.0</v>
      </c>
      <c r="V67" s="38">
        <v>1.081522386E9</v>
      </c>
      <c r="W67" s="38">
        <v>1.081540456E9</v>
      </c>
      <c r="X67" s="18" t="s">
        <v>2199</v>
      </c>
      <c r="Y67" s="18" t="s">
        <v>2200</v>
      </c>
      <c r="Z67" s="38">
        <v>86184.18</v>
      </c>
      <c r="AA67" s="38">
        <v>86184.18</v>
      </c>
      <c r="AB67" s="38">
        <v>0.0</v>
      </c>
      <c r="AC67" s="38">
        <v>253.0</v>
      </c>
      <c r="AD67" s="38">
        <v>0.0</v>
      </c>
      <c r="AE67" s="38">
        <v>0.0</v>
      </c>
      <c r="AF67" s="38">
        <v>0.0</v>
      </c>
      <c r="AG67" s="38">
        <v>0.0</v>
      </c>
      <c r="AH67" s="38">
        <v>0.0</v>
      </c>
      <c r="AI67" s="38">
        <v>86184.18</v>
      </c>
      <c r="AJ67" s="38">
        <v>333598.89</v>
      </c>
      <c r="AK67" s="38">
        <v>3.0</v>
      </c>
      <c r="AL67" s="38">
        <v>250.8</v>
      </c>
      <c r="AM67" s="38">
        <v>0.0</v>
      </c>
      <c r="AN67" s="34" t="s">
        <v>62</v>
      </c>
      <c r="AO67" s="34" t="s">
        <v>62</v>
      </c>
      <c r="AP67" s="34" t="s">
        <v>62</v>
      </c>
      <c r="AQ67" s="34" t="s">
        <v>62</v>
      </c>
      <c r="AR67" s="38">
        <v>0.0</v>
      </c>
      <c r="AS67" s="38" t="s">
        <v>2293</v>
      </c>
      <c r="AT67" s="35" t="s">
        <v>2294</v>
      </c>
      <c r="AU67" s="39" t="s">
        <v>2295</v>
      </c>
      <c r="AV67" s="40">
        <v>46164.0</v>
      </c>
    </row>
    <row r="68">
      <c r="A68" s="38">
        <v>455370.0</v>
      </c>
      <c r="B68" s="38">
        <v>3264.0</v>
      </c>
      <c r="C68" s="38">
        <v>3264.0</v>
      </c>
      <c r="D68" s="38">
        <v>8.0212722E7</v>
      </c>
      <c r="E68" s="38">
        <v>8.0212722E7</v>
      </c>
      <c r="F68" s="18" t="s">
        <v>148</v>
      </c>
      <c r="G68" s="18" t="s">
        <v>149</v>
      </c>
      <c r="H68" s="18" t="s">
        <v>2296</v>
      </c>
      <c r="I68" s="18" t="s">
        <v>417</v>
      </c>
      <c r="J68" s="18" t="s">
        <v>2205</v>
      </c>
      <c r="K68" s="18" t="s">
        <v>2292</v>
      </c>
      <c r="L68" s="18" t="s">
        <v>52</v>
      </c>
      <c r="M68" s="18" t="s">
        <v>138</v>
      </c>
      <c r="N68" s="18" t="s">
        <v>130</v>
      </c>
      <c r="O68" s="18" t="s">
        <v>126</v>
      </c>
      <c r="P68" s="18" t="s">
        <v>56</v>
      </c>
      <c r="Q68" s="18" t="s">
        <v>57</v>
      </c>
      <c r="R68" s="18" t="s">
        <v>143</v>
      </c>
      <c r="S68" s="18" t="s">
        <v>59</v>
      </c>
      <c r="T68" s="38">
        <v>2026.0</v>
      </c>
      <c r="U68" s="38">
        <v>5.0</v>
      </c>
      <c r="V68" s="38">
        <v>1.08152239E9</v>
      </c>
      <c r="W68" s="38">
        <v>1.08154046E9</v>
      </c>
      <c r="X68" s="18" t="s">
        <v>2199</v>
      </c>
      <c r="Y68" s="18" t="s">
        <v>2200</v>
      </c>
      <c r="Z68" s="38">
        <v>319651.71</v>
      </c>
      <c r="AA68" s="38">
        <v>319651.71</v>
      </c>
      <c r="AB68" s="38">
        <v>0.0</v>
      </c>
      <c r="AC68" s="38">
        <v>1483.0</v>
      </c>
      <c r="AD68" s="38">
        <v>0.0</v>
      </c>
      <c r="AE68" s="38">
        <v>0.0</v>
      </c>
      <c r="AF68" s="38">
        <v>0.0</v>
      </c>
      <c r="AG68" s="38">
        <v>0.0</v>
      </c>
      <c r="AH68" s="38">
        <v>0.0</v>
      </c>
      <c r="AI68" s="38">
        <v>319651.71</v>
      </c>
      <c r="AJ68" s="38">
        <v>1247056.59</v>
      </c>
      <c r="AK68" s="38">
        <v>3.0</v>
      </c>
      <c r="AL68" s="38">
        <v>250.8</v>
      </c>
      <c r="AM68" s="38">
        <v>0.0</v>
      </c>
      <c r="AN68" s="34" t="s">
        <v>62</v>
      </c>
      <c r="AO68" s="34" t="s">
        <v>62</v>
      </c>
      <c r="AP68" s="34" t="s">
        <v>62</v>
      </c>
      <c r="AQ68" s="34" t="s">
        <v>62</v>
      </c>
      <c r="AR68" s="38">
        <v>0.0</v>
      </c>
      <c r="AS68" s="38" t="s">
        <v>2293</v>
      </c>
      <c r="AT68" s="35" t="s">
        <v>2294</v>
      </c>
      <c r="AU68" s="39" t="s">
        <v>2295</v>
      </c>
      <c r="AV68" s="40">
        <v>46164.0</v>
      </c>
    </row>
    <row r="69">
      <c r="A69" s="38">
        <v>326717.0</v>
      </c>
      <c r="B69" s="38">
        <v>326716.0</v>
      </c>
      <c r="C69" s="38">
        <v>326716.0</v>
      </c>
      <c r="D69" s="38">
        <v>590028.0</v>
      </c>
      <c r="E69" s="38">
        <v>590028.0</v>
      </c>
      <c r="F69" s="18" t="s">
        <v>419</v>
      </c>
      <c r="G69" s="18" t="s">
        <v>235</v>
      </c>
      <c r="H69" s="18" t="s">
        <v>2312</v>
      </c>
      <c r="I69" s="18" t="s">
        <v>172</v>
      </c>
      <c r="J69" s="18" t="s">
        <v>2205</v>
      </c>
      <c r="K69" s="18" t="s">
        <v>2313</v>
      </c>
      <c r="L69" s="18" t="s">
        <v>52</v>
      </c>
      <c r="M69" s="18" t="s">
        <v>89</v>
      </c>
      <c r="N69" s="18" t="s">
        <v>130</v>
      </c>
      <c r="O69" s="18" t="s">
        <v>126</v>
      </c>
      <c r="P69" s="18" t="s">
        <v>56</v>
      </c>
      <c r="Q69" s="18" t="s">
        <v>72</v>
      </c>
      <c r="R69" s="18" t="s">
        <v>143</v>
      </c>
      <c r="S69" s="18" t="s">
        <v>59</v>
      </c>
      <c r="T69" s="38">
        <v>2026.0</v>
      </c>
      <c r="U69" s="38">
        <v>5.0</v>
      </c>
      <c r="V69" s="38">
        <v>1.081522529E9</v>
      </c>
      <c r="W69" s="38">
        <v>1.081540599E9</v>
      </c>
      <c r="X69" s="18" t="s">
        <v>2199</v>
      </c>
      <c r="Y69" s="18" t="s">
        <v>2200</v>
      </c>
      <c r="Z69" s="38">
        <v>205065.8</v>
      </c>
      <c r="AA69" s="38">
        <v>205065.8</v>
      </c>
      <c r="AB69" s="38">
        <v>47322.87</v>
      </c>
      <c r="AC69" s="38">
        <v>630.0</v>
      </c>
      <c r="AD69" s="38">
        <v>0.0</v>
      </c>
      <c r="AE69" s="38">
        <v>0.0</v>
      </c>
      <c r="AF69" s="38">
        <v>0.0</v>
      </c>
      <c r="AG69" s="38">
        <v>0.0</v>
      </c>
      <c r="AH69" s="38">
        <v>0.0</v>
      </c>
      <c r="AI69" s="38">
        <v>205065.8</v>
      </c>
      <c r="AJ69" s="38">
        <v>205065.8</v>
      </c>
      <c r="AK69" s="38">
        <v>0.0</v>
      </c>
      <c r="AL69" s="38">
        <v>326.04</v>
      </c>
      <c r="AM69" s="38">
        <v>0.0</v>
      </c>
      <c r="AN69" s="34" t="s">
        <v>62</v>
      </c>
      <c r="AO69" s="34" t="s">
        <v>62</v>
      </c>
      <c r="AP69" s="34" t="s">
        <v>62</v>
      </c>
      <c r="AQ69" s="34" t="s">
        <v>62</v>
      </c>
      <c r="AR69" s="38">
        <v>0.0</v>
      </c>
      <c r="AS69" s="38" t="s">
        <v>2314</v>
      </c>
      <c r="AT69" s="35" t="s">
        <v>2202</v>
      </c>
      <c r="AU69" s="39" t="s">
        <v>2203</v>
      </c>
      <c r="AV69" s="40">
        <v>46163.0</v>
      </c>
    </row>
    <row r="70">
      <c r="A70" s="38">
        <v>326729.0</v>
      </c>
      <c r="B70" s="38">
        <v>326728.0</v>
      </c>
      <c r="C70" s="38">
        <v>326728.0</v>
      </c>
      <c r="D70" s="38">
        <v>590149.0</v>
      </c>
      <c r="E70" s="38">
        <v>590149.0</v>
      </c>
      <c r="F70" s="38">
        <v>8.00092777E8</v>
      </c>
      <c r="G70" s="18" t="s">
        <v>421</v>
      </c>
      <c r="H70" s="18" t="s">
        <v>2315</v>
      </c>
      <c r="I70" s="18" t="s">
        <v>422</v>
      </c>
      <c r="J70" s="18" t="s">
        <v>2205</v>
      </c>
      <c r="K70" s="18" t="s">
        <v>2316</v>
      </c>
      <c r="L70" s="18" t="s">
        <v>52</v>
      </c>
      <c r="M70" s="18" t="s">
        <v>89</v>
      </c>
      <c r="N70" s="18" t="s">
        <v>130</v>
      </c>
      <c r="O70" s="18" t="s">
        <v>126</v>
      </c>
      <c r="P70" s="18" t="s">
        <v>56</v>
      </c>
      <c r="Q70" s="18" t="s">
        <v>72</v>
      </c>
      <c r="R70" s="18" t="s">
        <v>58</v>
      </c>
      <c r="S70" s="18" t="s">
        <v>59</v>
      </c>
      <c r="T70" s="38">
        <v>2026.0</v>
      </c>
      <c r="U70" s="38">
        <v>5.0</v>
      </c>
      <c r="V70" s="38">
        <v>1.081522532E9</v>
      </c>
      <c r="W70" s="38">
        <v>1.081540602E9</v>
      </c>
      <c r="X70" s="18" t="s">
        <v>2199</v>
      </c>
      <c r="Y70" s="18" t="s">
        <v>2200</v>
      </c>
      <c r="Z70" s="38">
        <v>2635842.43</v>
      </c>
      <c r="AA70" s="38">
        <v>2635842.43</v>
      </c>
      <c r="AB70" s="38">
        <v>608271.33</v>
      </c>
      <c r="AC70" s="38">
        <v>10481.0</v>
      </c>
      <c r="AD70" s="38">
        <v>0.0</v>
      </c>
      <c r="AE70" s="38">
        <v>0.0</v>
      </c>
      <c r="AF70" s="38">
        <v>0.0</v>
      </c>
      <c r="AG70" s="38">
        <v>0.0</v>
      </c>
      <c r="AH70" s="38">
        <v>0.0</v>
      </c>
      <c r="AI70" s="38">
        <v>2622603.43</v>
      </c>
      <c r="AJ70" s="38">
        <v>2622603.43</v>
      </c>
      <c r="AK70" s="38">
        <v>0.0</v>
      </c>
      <c r="AL70" s="38">
        <v>326.04</v>
      </c>
      <c r="AM70" s="38">
        <v>0.0</v>
      </c>
      <c r="AN70" s="34" t="s">
        <v>62</v>
      </c>
      <c r="AO70" s="34" t="s">
        <v>62</v>
      </c>
      <c r="AP70" s="38">
        <v>13239.0</v>
      </c>
      <c r="AQ70" s="34" t="s">
        <v>62</v>
      </c>
      <c r="AR70" s="38">
        <v>0.0</v>
      </c>
      <c r="AS70" s="38" t="s">
        <v>2317</v>
      </c>
      <c r="AT70" s="35" t="s">
        <v>2202</v>
      </c>
      <c r="AU70" s="39" t="s">
        <v>2203</v>
      </c>
      <c r="AV70" s="40">
        <v>46169.0</v>
      </c>
    </row>
    <row r="71">
      <c r="A71" s="38">
        <v>326737.0</v>
      </c>
      <c r="B71" s="38">
        <v>326736.0</v>
      </c>
      <c r="C71" s="38">
        <v>326736.0</v>
      </c>
      <c r="D71" s="38">
        <v>590265.0</v>
      </c>
      <c r="E71" s="38">
        <v>590265.0</v>
      </c>
      <c r="F71" s="18" t="s">
        <v>424</v>
      </c>
      <c r="G71" s="18" t="s">
        <v>425</v>
      </c>
      <c r="H71" s="18" t="s">
        <v>2318</v>
      </c>
      <c r="I71" s="18" t="s">
        <v>172</v>
      </c>
      <c r="J71" s="18" t="s">
        <v>2205</v>
      </c>
      <c r="K71" s="18" t="s">
        <v>2205</v>
      </c>
      <c r="L71" s="18" t="s">
        <v>52</v>
      </c>
      <c r="M71" s="18" t="s">
        <v>89</v>
      </c>
      <c r="N71" s="18" t="s">
        <v>130</v>
      </c>
      <c r="O71" s="18" t="s">
        <v>126</v>
      </c>
      <c r="P71" s="18" t="s">
        <v>56</v>
      </c>
      <c r="Q71" s="18" t="s">
        <v>72</v>
      </c>
      <c r="R71" s="18" t="s">
        <v>143</v>
      </c>
      <c r="S71" s="18" t="s">
        <v>59</v>
      </c>
      <c r="T71" s="38">
        <v>2026.0</v>
      </c>
      <c r="U71" s="38">
        <v>5.0</v>
      </c>
      <c r="V71" s="38">
        <v>1.081522536E9</v>
      </c>
      <c r="W71" s="38">
        <v>1.081540606E9</v>
      </c>
      <c r="X71" s="18" t="s">
        <v>2199</v>
      </c>
      <c r="Y71" s="18" t="s">
        <v>2200</v>
      </c>
      <c r="Z71" s="38">
        <v>187054.23</v>
      </c>
      <c r="AA71" s="38">
        <v>187054.23</v>
      </c>
      <c r="AB71" s="38">
        <v>39920.25</v>
      </c>
      <c r="AC71" s="38">
        <v>500.0</v>
      </c>
      <c r="AD71" s="38">
        <v>14066.48</v>
      </c>
      <c r="AE71" s="38">
        <v>0.0</v>
      </c>
      <c r="AF71" s="38">
        <v>0.0</v>
      </c>
      <c r="AG71" s="38">
        <v>0.0</v>
      </c>
      <c r="AH71" s="38">
        <v>0.0</v>
      </c>
      <c r="AI71" s="38">
        <v>187054.23</v>
      </c>
      <c r="AJ71" s="38">
        <v>1181118.35</v>
      </c>
      <c r="AK71" s="38">
        <v>3.0</v>
      </c>
      <c r="AL71" s="38">
        <v>326.04</v>
      </c>
      <c r="AM71" s="38">
        <v>0.0</v>
      </c>
      <c r="AN71" s="34" t="s">
        <v>62</v>
      </c>
      <c r="AO71" s="34" t="s">
        <v>62</v>
      </c>
      <c r="AP71" s="34" t="s">
        <v>62</v>
      </c>
      <c r="AQ71" s="34" t="s">
        <v>62</v>
      </c>
      <c r="AR71" s="38">
        <v>0.0</v>
      </c>
      <c r="AS71" s="38" t="s">
        <v>2319</v>
      </c>
      <c r="AT71" s="35" t="s">
        <v>2202</v>
      </c>
      <c r="AU71" s="39" t="s">
        <v>2254</v>
      </c>
      <c r="AV71" s="40">
        <v>46167.0</v>
      </c>
    </row>
    <row r="72">
      <c r="A72" s="38">
        <v>455370.0</v>
      </c>
      <c r="B72" s="38">
        <v>3268.0</v>
      </c>
      <c r="C72" s="38">
        <v>3268.0</v>
      </c>
      <c r="D72" s="38">
        <v>8.0212726E7</v>
      </c>
      <c r="E72" s="38">
        <v>8.0212726E7</v>
      </c>
      <c r="F72" s="18" t="s">
        <v>148</v>
      </c>
      <c r="G72" s="18" t="s">
        <v>149</v>
      </c>
      <c r="H72" s="18" t="s">
        <v>2296</v>
      </c>
      <c r="I72" s="18" t="s">
        <v>167</v>
      </c>
      <c r="J72" s="18" t="s">
        <v>2205</v>
      </c>
      <c r="K72" s="18" t="s">
        <v>2292</v>
      </c>
      <c r="L72" s="18" t="s">
        <v>52</v>
      </c>
      <c r="M72" s="18" t="s">
        <v>138</v>
      </c>
      <c r="N72" s="18" t="s">
        <v>130</v>
      </c>
      <c r="O72" s="18" t="s">
        <v>126</v>
      </c>
      <c r="P72" s="18" t="s">
        <v>56</v>
      </c>
      <c r="Q72" s="18" t="s">
        <v>57</v>
      </c>
      <c r="R72" s="18" t="s">
        <v>143</v>
      </c>
      <c r="S72" s="18" t="s">
        <v>59</v>
      </c>
      <c r="T72" s="38">
        <v>2026.0</v>
      </c>
      <c r="U72" s="38">
        <v>5.0</v>
      </c>
      <c r="V72" s="38">
        <v>1.081522394E9</v>
      </c>
      <c r="W72" s="38">
        <v>1.081540464E9</v>
      </c>
      <c r="X72" s="18" t="s">
        <v>2199</v>
      </c>
      <c r="Y72" s="18" t="s">
        <v>2200</v>
      </c>
      <c r="Z72" s="38">
        <v>133067.5</v>
      </c>
      <c r="AA72" s="38">
        <v>133067.5</v>
      </c>
      <c r="AB72" s="38">
        <v>0.0</v>
      </c>
      <c r="AC72" s="38">
        <v>500.0</v>
      </c>
      <c r="AD72" s="38">
        <v>0.0</v>
      </c>
      <c r="AE72" s="38">
        <v>0.0</v>
      </c>
      <c r="AF72" s="38">
        <v>0.0</v>
      </c>
      <c r="AG72" s="38">
        <v>0.0</v>
      </c>
      <c r="AH72" s="38">
        <v>0.0</v>
      </c>
      <c r="AI72" s="38">
        <v>133067.5</v>
      </c>
      <c r="AJ72" s="38">
        <v>426239.7</v>
      </c>
      <c r="AK72" s="38">
        <v>3.0</v>
      </c>
      <c r="AL72" s="38">
        <v>250.8</v>
      </c>
      <c r="AM72" s="38">
        <v>0.0</v>
      </c>
      <c r="AN72" s="34" t="s">
        <v>62</v>
      </c>
      <c r="AO72" s="34" t="s">
        <v>62</v>
      </c>
      <c r="AP72" s="34" t="s">
        <v>62</v>
      </c>
      <c r="AQ72" s="34" t="s">
        <v>62</v>
      </c>
      <c r="AR72" s="38">
        <v>0.0</v>
      </c>
      <c r="AS72" s="38" t="s">
        <v>2293</v>
      </c>
      <c r="AT72" s="35" t="s">
        <v>2294</v>
      </c>
      <c r="AU72" s="39" t="s">
        <v>2295</v>
      </c>
      <c r="AV72" s="40">
        <v>46164.0</v>
      </c>
    </row>
    <row r="73">
      <c r="A73" s="38">
        <v>455370.0</v>
      </c>
      <c r="B73" s="38">
        <v>3272.0</v>
      </c>
      <c r="C73" s="38">
        <v>3272.0</v>
      </c>
      <c r="D73" s="38">
        <v>8.021273E7</v>
      </c>
      <c r="E73" s="38">
        <v>8.021273E7</v>
      </c>
      <c r="F73" s="18" t="s">
        <v>148</v>
      </c>
      <c r="G73" s="18" t="s">
        <v>149</v>
      </c>
      <c r="H73" s="18" t="s">
        <v>2296</v>
      </c>
      <c r="I73" s="18" t="s">
        <v>146</v>
      </c>
      <c r="J73" s="18" t="s">
        <v>2205</v>
      </c>
      <c r="K73" s="18" t="s">
        <v>2292</v>
      </c>
      <c r="L73" s="18" t="s">
        <v>52</v>
      </c>
      <c r="M73" s="18" t="s">
        <v>138</v>
      </c>
      <c r="N73" s="18" t="s">
        <v>130</v>
      </c>
      <c r="O73" s="18" t="s">
        <v>126</v>
      </c>
      <c r="P73" s="18" t="s">
        <v>56</v>
      </c>
      <c r="Q73" s="18" t="s">
        <v>57</v>
      </c>
      <c r="R73" s="18" t="s">
        <v>143</v>
      </c>
      <c r="S73" s="18" t="s">
        <v>59</v>
      </c>
      <c r="T73" s="38">
        <v>2026.0</v>
      </c>
      <c r="U73" s="38">
        <v>5.0</v>
      </c>
      <c r="V73" s="38">
        <v>1.081522397E9</v>
      </c>
      <c r="W73" s="38">
        <v>1.081540467E9</v>
      </c>
      <c r="X73" s="18" t="s">
        <v>2199</v>
      </c>
      <c r="Y73" s="18" t="s">
        <v>2200</v>
      </c>
      <c r="Z73" s="38">
        <v>322878.5</v>
      </c>
      <c r="AA73" s="38">
        <v>322878.5</v>
      </c>
      <c r="AB73" s="38">
        <v>0.0</v>
      </c>
      <c r="AC73" s="38">
        <v>1500.0</v>
      </c>
      <c r="AD73" s="38">
        <v>0.0</v>
      </c>
      <c r="AE73" s="38">
        <v>0.0</v>
      </c>
      <c r="AF73" s="38">
        <v>0.0</v>
      </c>
      <c r="AG73" s="38">
        <v>0.0</v>
      </c>
      <c r="AH73" s="38">
        <v>0.0</v>
      </c>
      <c r="AI73" s="38">
        <v>322878.5</v>
      </c>
      <c r="AJ73" s="38">
        <v>801303.7</v>
      </c>
      <c r="AK73" s="38">
        <v>3.0</v>
      </c>
      <c r="AL73" s="38">
        <v>250.8</v>
      </c>
      <c r="AM73" s="38">
        <v>0.0</v>
      </c>
      <c r="AN73" s="34" t="s">
        <v>62</v>
      </c>
      <c r="AO73" s="34" t="s">
        <v>62</v>
      </c>
      <c r="AP73" s="34" t="s">
        <v>62</v>
      </c>
      <c r="AQ73" s="34" t="s">
        <v>62</v>
      </c>
      <c r="AR73" s="38">
        <v>0.0</v>
      </c>
      <c r="AS73" s="38" t="s">
        <v>2293</v>
      </c>
      <c r="AT73" s="35" t="s">
        <v>2294</v>
      </c>
      <c r="AU73" s="39" t="s">
        <v>2295</v>
      </c>
      <c r="AV73" s="40">
        <v>46164.0</v>
      </c>
    </row>
    <row r="74">
      <c r="A74" s="38">
        <v>455370.0</v>
      </c>
      <c r="B74" s="38">
        <v>3276.0</v>
      </c>
      <c r="C74" s="38">
        <v>3276.0</v>
      </c>
      <c r="D74" s="38">
        <v>8.0212734E7</v>
      </c>
      <c r="E74" s="38">
        <v>8.0212734E7</v>
      </c>
      <c r="F74" s="18" t="s">
        <v>148</v>
      </c>
      <c r="G74" s="18" t="s">
        <v>149</v>
      </c>
      <c r="H74" s="18" t="s">
        <v>2296</v>
      </c>
      <c r="I74" s="18" t="s">
        <v>202</v>
      </c>
      <c r="J74" s="18" t="s">
        <v>2205</v>
      </c>
      <c r="K74" s="18" t="s">
        <v>2292</v>
      </c>
      <c r="L74" s="18" t="s">
        <v>52</v>
      </c>
      <c r="M74" s="18" t="s">
        <v>138</v>
      </c>
      <c r="N74" s="18" t="s">
        <v>130</v>
      </c>
      <c r="O74" s="18" t="s">
        <v>126</v>
      </c>
      <c r="P74" s="18" t="s">
        <v>56</v>
      </c>
      <c r="Q74" s="18" t="s">
        <v>57</v>
      </c>
      <c r="R74" s="18" t="s">
        <v>143</v>
      </c>
      <c r="S74" s="18" t="s">
        <v>59</v>
      </c>
      <c r="T74" s="38">
        <v>2026.0</v>
      </c>
      <c r="U74" s="38">
        <v>5.0</v>
      </c>
      <c r="V74" s="38">
        <v>1.081522401E9</v>
      </c>
      <c r="W74" s="38">
        <v>1.081540471E9</v>
      </c>
      <c r="X74" s="18" t="s">
        <v>2199</v>
      </c>
      <c r="Y74" s="18" t="s">
        <v>2200</v>
      </c>
      <c r="Z74" s="38">
        <v>133067.5</v>
      </c>
      <c r="AA74" s="38">
        <v>133067.5</v>
      </c>
      <c r="AB74" s="38">
        <v>0.0</v>
      </c>
      <c r="AC74" s="38">
        <v>500.0</v>
      </c>
      <c r="AD74" s="38">
        <v>0.0</v>
      </c>
      <c r="AE74" s="38">
        <v>0.0</v>
      </c>
      <c r="AF74" s="38">
        <v>0.0</v>
      </c>
      <c r="AG74" s="38">
        <v>0.0</v>
      </c>
      <c r="AH74" s="38">
        <v>0.0</v>
      </c>
      <c r="AI74" s="38">
        <v>133067.5</v>
      </c>
      <c r="AJ74" s="38">
        <v>426239.7</v>
      </c>
      <c r="AK74" s="38">
        <v>3.0</v>
      </c>
      <c r="AL74" s="38">
        <v>250.8</v>
      </c>
      <c r="AM74" s="38">
        <v>0.0</v>
      </c>
      <c r="AN74" s="34" t="s">
        <v>62</v>
      </c>
      <c r="AO74" s="34" t="s">
        <v>62</v>
      </c>
      <c r="AP74" s="34" t="s">
        <v>62</v>
      </c>
      <c r="AQ74" s="34" t="s">
        <v>62</v>
      </c>
      <c r="AR74" s="38">
        <v>0.0</v>
      </c>
      <c r="AS74" s="38" t="s">
        <v>2293</v>
      </c>
      <c r="AT74" s="35" t="s">
        <v>2294</v>
      </c>
      <c r="AU74" s="39" t="s">
        <v>2295</v>
      </c>
      <c r="AV74" s="40">
        <v>46164.0</v>
      </c>
    </row>
    <row r="75">
      <c r="A75" s="38">
        <v>455370.0</v>
      </c>
      <c r="B75" s="38">
        <v>3280.0</v>
      </c>
      <c r="C75" s="38">
        <v>3280.0</v>
      </c>
      <c r="D75" s="38">
        <v>8.0212738E7</v>
      </c>
      <c r="E75" s="38">
        <v>8.0212738E7</v>
      </c>
      <c r="F75" s="18" t="s">
        <v>148</v>
      </c>
      <c r="G75" s="18" t="s">
        <v>149</v>
      </c>
      <c r="H75" s="18" t="s">
        <v>2296</v>
      </c>
      <c r="I75" s="18" t="s">
        <v>376</v>
      </c>
      <c r="J75" s="18" t="s">
        <v>2205</v>
      </c>
      <c r="K75" s="18" t="s">
        <v>2292</v>
      </c>
      <c r="L75" s="18" t="s">
        <v>52</v>
      </c>
      <c r="M75" s="18" t="s">
        <v>138</v>
      </c>
      <c r="N75" s="18" t="s">
        <v>130</v>
      </c>
      <c r="O75" s="18" t="s">
        <v>126</v>
      </c>
      <c r="P75" s="18" t="s">
        <v>56</v>
      </c>
      <c r="Q75" s="18" t="s">
        <v>57</v>
      </c>
      <c r="R75" s="18" t="s">
        <v>143</v>
      </c>
      <c r="S75" s="18" t="s">
        <v>59</v>
      </c>
      <c r="T75" s="38">
        <v>2026.0</v>
      </c>
      <c r="U75" s="38">
        <v>5.0</v>
      </c>
      <c r="V75" s="38">
        <v>1.081522405E9</v>
      </c>
      <c r="W75" s="38">
        <v>1.081540475E9</v>
      </c>
      <c r="X75" s="18" t="s">
        <v>2199</v>
      </c>
      <c r="Y75" s="18" t="s">
        <v>2200</v>
      </c>
      <c r="Z75" s="38">
        <v>105544.91</v>
      </c>
      <c r="AA75" s="38">
        <v>105544.91</v>
      </c>
      <c r="AB75" s="38">
        <v>0.0</v>
      </c>
      <c r="AC75" s="38">
        <v>355.0</v>
      </c>
      <c r="AD75" s="38">
        <v>0.0</v>
      </c>
      <c r="AE75" s="38">
        <v>0.0</v>
      </c>
      <c r="AF75" s="38">
        <v>0.0</v>
      </c>
      <c r="AG75" s="38">
        <v>0.0</v>
      </c>
      <c r="AH75" s="38">
        <v>0.0</v>
      </c>
      <c r="AI75" s="38">
        <v>105544.91</v>
      </c>
      <c r="AJ75" s="38">
        <v>371855.43</v>
      </c>
      <c r="AK75" s="38">
        <v>3.0</v>
      </c>
      <c r="AL75" s="38">
        <v>250.8</v>
      </c>
      <c r="AM75" s="38">
        <v>0.0</v>
      </c>
      <c r="AN75" s="34" t="s">
        <v>62</v>
      </c>
      <c r="AO75" s="34" t="s">
        <v>62</v>
      </c>
      <c r="AP75" s="34" t="s">
        <v>62</v>
      </c>
      <c r="AQ75" s="34" t="s">
        <v>62</v>
      </c>
      <c r="AR75" s="38">
        <v>0.0</v>
      </c>
      <c r="AS75" s="38" t="s">
        <v>2293</v>
      </c>
      <c r="AT75" s="35" t="s">
        <v>2294</v>
      </c>
      <c r="AU75" s="39" t="s">
        <v>2295</v>
      </c>
      <c r="AV75" s="40">
        <v>46164.0</v>
      </c>
    </row>
    <row r="76">
      <c r="A76" s="38">
        <v>147.0</v>
      </c>
      <c r="B76" s="38">
        <v>3284.0</v>
      </c>
      <c r="C76" s="38">
        <v>3284.0</v>
      </c>
      <c r="D76" s="38">
        <v>8.0217309E7</v>
      </c>
      <c r="E76" s="38">
        <v>8.0217309E7</v>
      </c>
      <c r="F76" s="18" t="s">
        <v>179</v>
      </c>
      <c r="G76" s="18" t="s">
        <v>180</v>
      </c>
      <c r="H76" s="18" t="s">
        <v>2320</v>
      </c>
      <c r="I76" s="18" t="s">
        <v>224</v>
      </c>
      <c r="J76" s="18" t="s">
        <v>2205</v>
      </c>
      <c r="K76" s="18" t="s">
        <v>2289</v>
      </c>
      <c r="L76" s="18" t="s">
        <v>52</v>
      </c>
      <c r="M76" s="18" t="s">
        <v>89</v>
      </c>
      <c r="N76" s="18" t="s">
        <v>130</v>
      </c>
      <c r="O76" s="18" t="s">
        <v>126</v>
      </c>
      <c r="P76" s="18" t="s">
        <v>56</v>
      </c>
      <c r="Q76" s="18" t="s">
        <v>57</v>
      </c>
      <c r="R76" s="18" t="s">
        <v>143</v>
      </c>
      <c r="S76" s="18" t="s">
        <v>59</v>
      </c>
      <c r="T76" s="38">
        <v>2026.0</v>
      </c>
      <c r="U76" s="38">
        <v>5.0</v>
      </c>
      <c r="V76" s="38">
        <v>1.081522409E9</v>
      </c>
      <c r="W76" s="38">
        <v>1.081540479E9</v>
      </c>
      <c r="X76" s="18" t="s">
        <v>2199</v>
      </c>
      <c r="Y76" s="18" t="s">
        <v>2200</v>
      </c>
      <c r="Z76" s="38">
        <v>86089.29</v>
      </c>
      <c r="AA76" s="38">
        <v>86089.29</v>
      </c>
      <c r="AB76" s="38">
        <v>0.0</v>
      </c>
      <c r="AC76" s="38">
        <v>252.5</v>
      </c>
      <c r="AD76" s="38">
        <v>0.0</v>
      </c>
      <c r="AE76" s="38">
        <v>0.0</v>
      </c>
      <c r="AF76" s="38">
        <v>0.0</v>
      </c>
      <c r="AG76" s="38">
        <v>0.0</v>
      </c>
      <c r="AH76" s="38">
        <v>0.0</v>
      </c>
      <c r="AI76" s="38">
        <v>86089.29</v>
      </c>
      <c r="AJ76" s="38">
        <v>170944.69</v>
      </c>
      <c r="AK76" s="38">
        <v>1.0</v>
      </c>
      <c r="AL76" s="38">
        <v>250.8</v>
      </c>
      <c r="AM76" s="38">
        <v>0.0</v>
      </c>
      <c r="AN76" s="34" t="s">
        <v>62</v>
      </c>
      <c r="AO76" s="34" t="s">
        <v>62</v>
      </c>
      <c r="AP76" s="34" t="s">
        <v>62</v>
      </c>
      <c r="AQ76" s="34" t="s">
        <v>62</v>
      </c>
      <c r="AR76" s="38">
        <v>0.0</v>
      </c>
      <c r="AS76" s="38" t="s">
        <v>2321</v>
      </c>
      <c r="AT76" s="35" t="s">
        <v>2202</v>
      </c>
      <c r="AU76" s="39" t="s">
        <v>2203</v>
      </c>
      <c r="AV76" s="40">
        <v>46163.0</v>
      </c>
    </row>
    <row r="77">
      <c r="A77" s="38">
        <v>147.0</v>
      </c>
      <c r="B77" s="38">
        <v>3288.0</v>
      </c>
      <c r="C77" s="38">
        <v>3288.0</v>
      </c>
      <c r="D77" s="38">
        <v>8.0217313E7</v>
      </c>
      <c r="E77" s="38">
        <v>8.0217313E7</v>
      </c>
      <c r="F77" s="18" t="s">
        <v>179</v>
      </c>
      <c r="G77" s="18" t="s">
        <v>180</v>
      </c>
      <c r="H77" s="18" t="s">
        <v>2320</v>
      </c>
      <c r="I77" s="18" t="s">
        <v>432</v>
      </c>
      <c r="J77" s="18" t="s">
        <v>2205</v>
      </c>
      <c r="K77" s="18" t="s">
        <v>2289</v>
      </c>
      <c r="L77" s="18" t="s">
        <v>52</v>
      </c>
      <c r="M77" s="18" t="s">
        <v>89</v>
      </c>
      <c r="N77" s="18" t="s">
        <v>130</v>
      </c>
      <c r="O77" s="18" t="s">
        <v>126</v>
      </c>
      <c r="P77" s="18" t="s">
        <v>56</v>
      </c>
      <c r="Q77" s="18" t="s">
        <v>57</v>
      </c>
      <c r="R77" s="18" t="s">
        <v>143</v>
      </c>
      <c r="S77" s="18" t="s">
        <v>59</v>
      </c>
      <c r="T77" s="38">
        <v>2026.0</v>
      </c>
      <c r="U77" s="38">
        <v>5.0</v>
      </c>
      <c r="V77" s="38">
        <v>1.081522412E9</v>
      </c>
      <c r="W77" s="38">
        <v>1.081540482E9</v>
      </c>
      <c r="X77" s="18" t="s">
        <v>2199</v>
      </c>
      <c r="Y77" s="18" t="s">
        <v>2200</v>
      </c>
      <c r="Z77" s="38">
        <v>86089.29</v>
      </c>
      <c r="AA77" s="38">
        <v>86089.29</v>
      </c>
      <c r="AB77" s="38">
        <v>0.0</v>
      </c>
      <c r="AC77" s="38">
        <v>252.5</v>
      </c>
      <c r="AD77" s="38">
        <v>0.0</v>
      </c>
      <c r="AE77" s="38">
        <v>0.0</v>
      </c>
      <c r="AF77" s="38">
        <v>0.0</v>
      </c>
      <c r="AG77" s="38">
        <v>0.0</v>
      </c>
      <c r="AH77" s="38">
        <v>0.0</v>
      </c>
      <c r="AI77" s="38">
        <v>86089.29</v>
      </c>
      <c r="AJ77" s="38">
        <v>170944.69</v>
      </c>
      <c r="AK77" s="38">
        <v>1.0</v>
      </c>
      <c r="AL77" s="38">
        <v>250.8</v>
      </c>
      <c r="AM77" s="38">
        <v>0.0</v>
      </c>
      <c r="AN77" s="34" t="s">
        <v>62</v>
      </c>
      <c r="AO77" s="34" t="s">
        <v>62</v>
      </c>
      <c r="AP77" s="34" t="s">
        <v>62</v>
      </c>
      <c r="AQ77" s="34" t="s">
        <v>62</v>
      </c>
      <c r="AR77" s="38">
        <v>0.0</v>
      </c>
      <c r="AS77" s="38" t="s">
        <v>2321</v>
      </c>
      <c r="AT77" s="35" t="s">
        <v>2202</v>
      </c>
      <c r="AU77" s="39" t="s">
        <v>2203</v>
      </c>
      <c r="AV77" s="40">
        <v>46163.0</v>
      </c>
    </row>
    <row r="78">
      <c r="A78" s="38">
        <v>455370.0</v>
      </c>
      <c r="B78" s="38">
        <v>3292.0</v>
      </c>
      <c r="C78" s="38">
        <v>3292.0</v>
      </c>
      <c r="D78" s="38">
        <v>8.0218484E7</v>
      </c>
      <c r="E78" s="38">
        <v>8.0218484E7</v>
      </c>
      <c r="F78" s="18" t="s">
        <v>148</v>
      </c>
      <c r="G78" s="18" t="s">
        <v>149</v>
      </c>
      <c r="H78" s="18" t="s">
        <v>2296</v>
      </c>
      <c r="I78" s="18" t="s">
        <v>434</v>
      </c>
      <c r="J78" s="18" t="s">
        <v>2205</v>
      </c>
      <c r="K78" s="18" t="s">
        <v>2292</v>
      </c>
      <c r="L78" s="18" t="s">
        <v>52</v>
      </c>
      <c r="M78" s="18" t="s">
        <v>138</v>
      </c>
      <c r="N78" s="18" t="s">
        <v>130</v>
      </c>
      <c r="O78" s="18" t="s">
        <v>126</v>
      </c>
      <c r="P78" s="18" t="s">
        <v>56</v>
      </c>
      <c r="Q78" s="18" t="s">
        <v>57</v>
      </c>
      <c r="R78" s="18" t="s">
        <v>143</v>
      </c>
      <c r="S78" s="18" t="s">
        <v>59</v>
      </c>
      <c r="T78" s="38">
        <v>2026.0</v>
      </c>
      <c r="U78" s="38">
        <v>5.0</v>
      </c>
      <c r="V78" s="38">
        <v>1.081522416E9</v>
      </c>
      <c r="W78" s="38">
        <v>1.081540486E9</v>
      </c>
      <c r="X78" s="18" t="s">
        <v>2199</v>
      </c>
      <c r="Y78" s="18" t="s">
        <v>2200</v>
      </c>
      <c r="Z78" s="38">
        <v>397474.22</v>
      </c>
      <c r="AA78" s="38">
        <v>397474.22</v>
      </c>
      <c r="AB78" s="38">
        <v>0.0</v>
      </c>
      <c r="AC78" s="38">
        <v>1893.0</v>
      </c>
      <c r="AD78" s="38">
        <v>0.0</v>
      </c>
      <c r="AE78" s="38">
        <v>0.0</v>
      </c>
      <c r="AF78" s="38">
        <v>0.0</v>
      </c>
      <c r="AG78" s="38">
        <v>0.0</v>
      </c>
      <c r="AH78" s="38">
        <v>0.0</v>
      </c>
      <c r="AI78" s="38">
        <v>397474.22</v>
      </c>
      <c r="AJ78" s="38">
        <v>948703.85</v>
      </c>
      <c r="AK78" s="38">
        <v>3.0</v>
      </c>
      <c r="AL78" s="38">
        <v>250.8</v>
      </c>
      <c r="AM78" s="38">
        <v>0.0</v>
      </c>
      <c r="AN78" s="34" t="s">
        <v>62</v>
      </c>
      <c r="AO78" s="34" t="s">
        <v>62</v>
      </c>
      <c r="AP78" s="34" t="s">
        <v>62</v>
      </c>
      <c r="AQ78" s="34" t="s">
        <v>62</v>
      </c>
      <c r="AR78" s="38">
        <v>0.0</v>
      </c>
      <c r="AS78" s="38" t="s">
        <v>2293</v>
      </c>
      <c r="AT78" s="35" t="s">
        <v>2294</v>
      </c>
      <c r="AU78" s="39" t="s">
        <v>2295</v>
      </c>
      <c r="AV78" s="40">
        <v>46164.0</v>
      </c>
    </row>
    <row r="79">
      <c r="A79" s="38">
        <v>455370.0</v>
      </c>
      <c r="B79" s="38">
        <v>3296.0</v>
      </c>
      <c r="C79" s="38">
        <v>3296.0</v>
      </c>
      <c r="D79" s="38">
        <v>8.0218697E7</v>
      </c>
      <c r="E79" s="38">
        <v>8.0218697E7</v>
      </c>
      <c r="F79" s="18" t="s">
        <v>148</v>
      </c>
      <c r="G79" s="18" t="s">
        <v>149</v>
      </c>
      <c r="H79" s="18" t="s">
        <v>2296</v>
      </c>
      <c r="I79" s="18" t="s">
        <v>436</v>
      </c>
      <c r="J79" s="18" t="s">
        <v>2205</v>
      </c>
      <c r="K79" s="18" t="s">
        <v>2292</v>
      </c>
      <c r="L79" s="18" t="s">
        <v>52</v>
      </c>
      <c r="M79" s="18" t="s">
        <v>138</v>
      </c>
      <c r="N79" s="18" t="s">
        <v>130</v>
      </c>
      <c r="O79" s="18" t="s">
        <v>126</v>
      </c>
      <c r="P79" s="18" t="s">
        <v>56</v>
      </c>
      <c r="Q79" s="18" t="s">
        <v>57</v>
      </c>
      <c r="R79" s="18" t="s">
        <v>143</v>
      </c>
      <c r="S79" s="18" t="s">
        <v>59</v>
      </c>
      <c r="T79" s="38">
        <v>2026.0</v>
      </c>
      <c r="U79" s="38">
        <v>5.0</v>
      </c>
      <c r="V79" s="38">
        <v>1.08152242E9</v>
      </c>
      <c r="W79" s="38">
        <v>1.08154049E9</v>
      </c>
      <c r="X79" s="18" t="s">
        <v>2199</v>
      </c>
      <c r="Y79" s="18" t="s">
        <v>2200</v>
      </c>
      <c r="Z79" s="38">
        <v>86184.18</v>
      </c>
      <c r="AA79" s="38">
        <v>86184.18</v>
      </c>
      <c r="AB79" s="38">
        <v>0.0</v>
      </c>
      <c r="AC79" s="38">
        <v>253.0</v>
      </c>
      <c r="AD79" s="38">
        <v>0.0</v>
      </c>
      <c r="AE79" s="38">
        <v>0.0</v>
      </c>
      <c r="AF79" s="38">
        <v>0.0</v>
      </c>
      <c r="AG79" s="38">
        <v>0.0</v>
      </c>
      <c r="AH79" s="38">
        <v>0.0</v>
      </c>
      <c r="AI79" s="38">
        <v>86184.18</v>
      </c>
      <c r="AJ79" s="38">
        <v>333598.89</v>
      </c>
      <c r="AK79" s="38">
        <v>3.0</v>
      </c>
      <c r="AL79" s="38">
        <v>250.8</v>
      </c>
      <c r="AM79" s="38">
        <v>0.0</v>
      </c>
      <c r="AN79" s="34" t="s">
        <v>62</v>
      </c>
      <c r="AO79" s="34" t="s">
        <v>62</v>
      </c>
      <c r="AP79" s="34" t="s">
        <v>62</v>
      </c>
      <c r="AQ79" s="34" t="s">
        <v>62</v>
      </c>
      <c r="AR79" s="38">
        <v>0.0</v>
      </c>
      <c r="AS79" s="38" t="s">
        <v>2293</v>
      </c>
      <c r="AT79" s="35" t="s">
        <v>2294</v>
      </c>
      <c r="AU79" s="39" t="s">
        <v>2295</v>
      </c>
      <c r="AV79" s="40">
        <v>46164.0</v>
      </c>
    </row>
    <row r="80">
      <c r="A80" s="38">
        <v>455370.0</v>
      </c>
      <c r="B80" s="38">
        <v>3300.0</v>
      </c>
      <c r="C80" s="38">
        <v>3300.0</v>
      </c>
      <c r="D80" s="38">
        <v>8.0222597E7</v>
      </c>
      <c r="E80" s="38">
        <v>8.0222597E7</v>
      </c>
      <c r="F80" s="18" t="s">
        <v>148</v>
      </c>
      <c r="G80" s="18" t="s">
        <v>149</v>
      </c>
      <c r="H80" s="18" t="s">
        <v>2296</v>
      </c>
      <c r="I80" s="18" t="s">
        <v>181</v>
      </c>
      <c r="J80" s="18" t="s">
        <v>2205</v>
      </c>
      <c r="K80" s="18" t="s">
        <v>2292</v>
      </c>
      <c r="L80" s="18" t="s">
        <v>52</v>
      </c>
      <c r="M80" s="18" t="s">
        <v>138</v>
      </c>
      <c r="N80" s="18" t="s">
        <v>130</v>
      </c>
      <c r="O80" s="18" t="s">
        <v>126</v>
      </c>
      <c r="P80" s="18" t="s">
        <v>56</v>
      </c>
      <c r="Q80" s="18" t="s">
        <v>57</v>
      </c>
      <c r="R80" s="18" t="s">
        <v>143</v>
      </c>
      <c r="S80" s="18" t="s">
        <v>59</v>
      </c>
      <c r="T80" s="38">
        <v>2026.0</v>
      </c>
      <c r="U80" s="38">
        <v>5.0</v>
      </c>
      <c r="V80" s="38">
        <v>1.081522424E9</v>
      </c>
      <c r="W80" s="38">
        <v>1.081540494E9</v>
      </c>
      <c r="X80" s="18" t="s">
        <v>2199</v>
      </c>
      <c r="Y80" s="18" t="s">
        <v>2200</v>
      </c>
      <c r="Z80" s="38">
        <v>86184.18</v>
      </c>
      <c r="AA80" s="38">
        <v>86184.18</v>
      </c>
      <c r="AB80" s="38">
        <v>0.0</v>
      </c>
      <c r="AC80" s="38">
        <v>253.0</v>
      </c>
      <c r="AD80" s="38">
        <v>0.0</v>
      </c>
      <c r="AE80" s="38">
        <v>0.0</v>
      </c>
      <c r="AF80" s="38">
        <v>0.0</v>
      </c>
      <c r="AG80" s="38">
        <v>0.0</v>
      </c>
      <c r="AH80" s="38">
        <v>0.0</v>
      </c>
      <c r="AI80" s="38">
        <v>86184.18</v>
      </c>
      <c r="AJ80" s="38">
        <v>333598.89</v>
      </c>
      <c r="AK80" s="38">
        <v>3.0</v>
      </c>
      <c r="AL80" s="38">
        <v>250.8</v>
      </c>
      <c r="AM80" s="38">
        <v>0.0</v>
      </c>
      <c r="AN80" s="34" t="s">
        <v>62</v>
      </c>
      <c r="AO80" s="34" t="s">
        <v>62</v>
      </c>
      <c r="AP80" s="34" t="s">
        <v>62</v>
      </c>
      <c r="AQ80" s="34" t="s">
        <v>62</v>
      </c>
      <c r="AR80" s="38">
        <v>0.0</v>
      </c>
      <c r="AS80" s="38" t="s">
        <v>2293</v>
      </c>
      <c r="AT80" s="35" t="s">
        <v>2294</v>
      </c>
      <c r="AU80" s="39" t="s">
        <v>2295</v>
      </c>
      <c r="AV80" s="40">
        <v>46164.0</v>
      </c>
    </row>
    <row r="81">
      <c r="A81" s="38">
        <v>3309.0</v>
      </c>
      <c r="B81" s="38">
        <v>3308.0</v>
      </c>
      <c r="C81" s="38">
        <v>3308.0</v>
      </c>
      <c r="D81" s="38">
        <v>8.0228953E7</v>
      </c>
      <c r="E81" s="38">
        <v>8.0228953E7</v>
      </c>
      <c r="F81" s="38">
        <v>8507015.0</v>
      </c>
      <c r="G81" s="18" t="s">
        <v>439</v>
      </c>
      <c r="H81" s="18" t="s">
        <v>2322</v>
      </c>
      <c r="I81" s="18" t="s">
        <v>214</v>
      </c>
      <c r="J81" s="18" t="s">
        <v>2205</v>
      </c>
      <c r="K81" s="18" t="s">
        <v>2205</v>
      </c>
      <c r="L81" s="18" t="s">
        <v>52</v>
      </c>
      <c r="M81" s="18" t="s">
        <v>89</v>
      </c>
      <c r="N81" s="18" t="s">
        <v>130</v>
      </c>
      <c r="O81" s="18" t="s">
        <v>126</v>
      </c>
      <c r="P81" s="18" t="s">
        <v>56</v>
      </c>
      <c r="Q81" s="18" t="s">
        <v>90</v>
      </c>
      <c r="R81" s="18" t="s">
        <v>143</v>
      </c>
      <c r="S81" s="18" t="s">
        <v>59</v>
      </c>
      <c r="T81" s="38">
        <v>2026.0</v>
      </c>
      <c r="U81" s="38">
        <v>5.0</v>
      </c>
      <c r="V81" s="38">
        <v>1.081522428E9</v>
      </c>
      <c r="W81" s="38">
        <v>1.081540498E9</v>
      </c>
      <c r="X81" s="18" t="s">
        <v>2199</v>
      </c>
      <c r="Y81" s="18" t="s">
        <v>2200</v>
      </c>
      <c r="Z81" s="38">
        <v>419873.22</v>
      </c>
      <c r="AA81" s="38">
        <v>419873.22</v>
      </c>
      <c r="AB81" s="38">
        <v>87887.5</v>
      </c>
      <c r="AC81" s="38">
        <v>725.0</v>
      </c>
      <c r="AD81" s="38">
        <v>156210.74</v>
      </c>
      <c r="AE81" s="38">
        <v>0.0</v>
      </c>
      <c r="AF81" s="38">
        <v>0.0</v>
      </c>
      <c r="AG81" s="38">
        <v>0.0</v>
      </c>
      <c r="AH81" s="38">
        <v>0.0</v>
      </c>
      <c r="AI81" s="38">
        <v>419873.22</v>
      </c>
      <c r="AJ81" s="38">
        <v>1.115776608E7</v>
      </c>
      <c r="AK81" s="38">
        <v>36.0</v>
      </c>
      <c r="AL81" s="38">
        <v>376.2</v>
      </c>
      <c r="AM81" s="38">
        <v>0.0</v>
      </c>
      <c r="AN81" s="34" t="s">
        <v>62</v>
      </c>
      <c r="AO81" s="34" t="s">
        <v>62</v>
      </c>
      <c r="AP81" s="34" t="s">
        <v>62</v>
      </c>
      <c r="AQ81" s="34" t="s">
        <v>62</v>
      </c>
      <c r="AR81" s="38">
        <v>0.0</v>
      </c>
      <c r="AS81" s="38" t="s">
        <v>2323</v>
      </c>
      <c r="AT81" s="35" t="s">
        <v>2202</v>
      </c>
      <c r="AU81" s="39" t="s">
        <v>2254</v>
      </c>
      <c r="AV81" s="40">
        <v>46167.0</v>
      </c>
    </row>
    <row r="82">
      <c r="A82" s="38">
        <v>147.0</v>
      </c>
      <c r="B82" s="38">
        <v>3312.0</v>
      </c>
      <c r="C82" s="38">
        <v>3312.0</v>
      </c>
      <c r="D82" s="38">
        <v>8.0230161E7</v>
      </c>
      <c r="E82" s="38">
        <v>8.0230161E7</v>
      </c>
      <c r="F82" s="18" t="s">
        <v>179</v>
      </c>
      <c r="G82" s="18" t="s">
        <v>180</v>
      </c>
      <c r="H82" s="18" t="s">
        <v>2320</v>
      </c>
      <c r="I82" s="18" t="s">
        <v>401</v>
      </c>
      <c r="J82" s="18" t="s">
        <v>2205</v>
      </c>
      <c r="K82" s="18" t="s">
        <v>2289</v>
      </c>
      <c r="L82" s="18" t="s">
        <v>52</v>
      </c>
      <c r="M82" s="18" t="s">
        <v>89</v>
      </c>
      <c r="N82" s="18" t="s">
        <v>130</v>
      </c>
      <c r="O82" s="18" t="s">
        <v>126</v>
      </c>
      <c r="P82" s="18" t="s">
        <v>56</v>
      </c>
      <c r="Q82" s="18" t="s">
        <v>57</v>
      </c>
      <c r="R82" s="18" t="s">
        <v>58</v>
      </c>
      <c r="S82" s="18" t="s">
        <v>59</v>
      </c>
      <c r="T82" s="38">
        <v>2026.0</v>
      </c>
      <c r="U82" s="38">
        <v>5.0</v>
      </c>
      <c r="V82" s="38">
        <v>1.081522433E9</v>
      </c>
      <c r="W82" s="38">
        <v>1.081540503E9</v>
      </c>
      <c r="X82" s="18" t="s">
        <v>2199</v>
      </c>
      <c r="Y82" s="18" t="s">
        <v>2200</v>
      </c>
      <c r="Z82" s="38">
        <v>1587494.3</v>
      </c>
      <c r="AA82" s="38">
        <v>1587494.3</v>
      </c>
      <c r="AB82" s="38">
        <v>0.0</v>
      </c>
      <c r="AC82" s="38">
        <v>8162.5</v>
      </c>
      <c r="AD82" s="38">
        <v>0.0</v>
      </c>
      <c r="AE82" s="38">
        <v>0.0</v>
      </c>
      <c r="AF82" s="38">
        <v>0.0</v>
      </c>
      <c r="AG82" s="38">
        <v>0.0</v>
      </c>
      <c r="AH82" s="38">
        <v>0.0</v>
      </c>
      <c r="AI82" s="38">
        <v>1587494.3</v>
      </c>
      <c r="AJ82" s="38">
        <v>1.016624254E7</v>
      </c>
      <c r="AK82" s="38">
        <v>5.0</v>
      </c>
      <c r="AL82" s="38">
        <v>250.8</v>
      </c>
      <c r="AM82" s="38">
        <v>0.0</v>
      </c>
      <c r="AN82" s="34" t="s">
        <v>62</v>
      </c>
      <c r="AO82" s="34" t="s">
        <v>62</v>
      </c>
      <c r="AP82" s="34" t="s">
        <v>62</v>
      </c>
      <c r="AQ82" s="34" t="s">
        <v>62</v>
      </c>
      <c r="AR82" s="38">
        <v>0.0</v>
      </c>
      <c r="AS82" s="38" t="s">
        <v>2321</v>
      </c>
      <c r="AT82" s="35" t="s">
        <v>2202</v>
      </c>
      <c r="AU82" s="39" t="s">
        <v>2203</v>
      </c>
      <c r="AV82" s="40">
        <v>46163.0</v>
      </c>
    </row>
    <row r="83">
      <c r="A83" s="38">
        <v>3317.0</v>
      </c>
      <c r="B83" s="38">
        <v>3316.0</v>
      </c>
      <c r="C83" s="38">
        <v>3316.0</v>
      </c>
      <c r="D83" s="38">
        <v>8.0231078E7</v>
      </c>
      <c r="E83" s="38">
        <v>8.0231078E7</v>
      </c>
      <c r="F83" s="38">
        <v>9.01338746E8</v>
      </c>
      <c r="G83" s="18" t="s">
        <v>442</v>
      </c>
      <c r="H83" s="18" t="s">
        <v>2324</v>
      </c>
      <c r="I83" s="18" t="s">
        <v>443</v>
      </c>
      <c r="J83" s="18" t="s">
        <v>982</v>
      </c>
      <c r="K83" s="18" t="s">
        <v>982</v>
      </c>
      <c r="L83" s="18" t="s">
        <v>52</v>
      </c>
      <c r="M83" s="18" t="s">
        <v>89</v>
      </c>
      <c r="N83" s="18" t="s">
        <v>130</v>
      </c>
      <c r="O83" s="18" t="s">
        <v>126</v>
      </c>
      <c r="P83" s="18" t="s">
        <v>56</v>
      </c>
      <c r="Q83" s="18" t="s">
        <v>72</v>
      </c>
      <c r="R83" s="18" t="s">
        <v>143</v>
      </c>
      <c r="S83" s="18" t="s">
        <v>59</v>
      </c>
      <c r="T83" s="38">
        <v>2026.0</v>
      </c>
      <c r="U83" s="38">
        <v>5.0</v>
      </c>
      <c r="V83" s="38">
        <v>1.081522437E9</v>
      </c>
      <c r="W83" s="38">
        <v>1.081540507E9</v>
      </c>
      <c r="X83" s="18" t="s">
        <v>2199</v>
      </c>
      <c r="Y83" s="18" t="s">
        <v>2200</v>
      </c>
      <c r="Z83" s="38">
        <v>803388.89</v>
      </c>
      <c r="AA83" s="38">
        <v>803388.89</v>
      </c>
      <c r="AB83" s="38">
        <v>68391.9</v>
      </c>
      <c r="AC83" s="38">
        <v>1000.0</v>
      </c>
      <c r="AD83" s="38">
        <v>507023.99</v>
      </c>
      <c r="AE83" s="38">
        <v>0.0</v>
      </c>
      <c r="AF83" s="38">
        <v>0.0</v>
      </c>
      <c r="AG83" s="38">
        <v>0.0</v>
      </c>
      <c r="AH83" s="38">
        <v>0.0</v>
      </c>
      <c r="AI83" s="38">
        <v>803388.89</v>
      </c>
      <c r="AJ83" s="38">
        <v>5.033196841E7</v>
      </c>
      <c r="AK83" s="38">
        <v>125.0</v>
      </c>
      <c r="AL83" s="38">
        <v>326.04</v>
      </c>
      <c r="AM83" s="38">
        <v>0.0</v>
      </c>
      <c r="AN83" s="34" t="s">
        <v>62</v>
      </c>
      <c r="AO83" s="34" t="s">
        <v>62</v>
      </c>
      <c r="AP83" s="34" t="s">
        <v>62</v>
      </c>
      <c r="AQ83" s="34" t="s">
        <v>62</v>
      </c>
      <c r="AR83" s="38">
        <v>0.0</v>
      </c>
      <c r="AS83" s="38" t="s">
        <v>2325</v>
      </c>
      <c r="AT83" s="35" t="s">
        <v>2275</v>
      </c>
      <c r="AU83" s="39" t="s">
        <v>2326</v>
      </c>
      <c r="AV83" s="40">
        <v>46163.0</v>
      </c>
    </row>
    <row r="84">
      <c r="A84" s="38">
        <v>3321.0</v>
      </c>
      <c r="B84" s="38">
        <v>3320.0</v>
      </c>
      <c r="C84" s="38">
        <v>3320.0</v>
      </c>
      <c r="D84" s="38">
        <v>8.0231096E7</v>
      </c>
      <c r="E84" s="38">
        <v>8.0231096E7</v>
      </c>
      <c r="F84" s="38">
        <v>590029.0</v>
      </c>
      <c r="G84" s="18" t="s">
        <v>445</v>
      </c>
      <c r="H84" s="18" t="s">
        <v>2327</v>
      </c>
      <c r="I84" s="18" t="s">
        <v>214</v>
      </c>
      <c r="J84" s="18" t="s">
        <v>2205</v>
      </c>
      <c r="K84" s="18" t="s">
        <v>2205</v>
      </c>
      <c r="L84" s="18" t="s">
        <v>52</v>
      </c>
      <c r="M84" s="18" t="s">
        <v>89</v>
      </c>
      <c r="N84" s="18" t="s">
        <v>130</v>
      </c>
      <c r="O84" s="18" t="s">
        <v>126</v>
      </c>
      <c r="P84" s="18" t="s">
        <v>56</v>
      </c>
      <c r="Q84" s="18" t="s">
        <v>90</v>
      </c>
      <c r="R84" s="18" t="s">
        <v>143</v>
      </c>
      <c r="S84" s="18" t="s">
        <v>59</v>
      </c>
      <c r="T84" s="38">
        <v>2026.0</v>
      </c>
      <c r="U84" s="38">
        <v>5.0</v>
      </c>
      <c r="V84" s="38">
        <v>1.081522446E9</v>
      </c>
      <c r="W84" s="38">
        <v>1.081540516E9</v>
      </c>
      <c r="X84" s="18" t="s">
        <v>2199</v>
      </c>
      <c r="Y84" s="18" t="s">
        <v>2200</v>
      </c>
      <c r="Z84" s="38">
        <v>263662.48</v>
      </c>
      <c r="AA84" s="38">
        <v>263662.48</v>
      </c>
      <c r="AB84" s="38">
        <v>87887.5</v>
      </c>
      <c r="AC84" s="38">
        <v>725.0</v>
      </c>
      <c r="AD84" s="38">
        <v>0.0</v>
      </c>
      <c r="AE84" s="38">
        <v>0.0</v>
      </c>
      <c r="AF84" s="38">
        <v>0.0</v>
      </c>
      <c r="AG84" s="38">
        <v>0.0</v>
      </c>
      <c r="AH84" s="38">
        <v>0.0</v>
      </c>
      <c r="AI84" s="38">
        <v>204474.4</v>
      </c>
      <c r="AJ84" s="38">
        <v>204474.4</v>
      </c>
      <c r="AK84" s="38">
        <v>0.0</v>
      </c>
      <c r="AL84" s="38">
        <v>376.2</v>
      </c>
      <c r="AM84" s="38">
        <v>0.0</v>
      </c>
      <c r="AN84" s="34" t="s">
        <v>62</v>
      </c>
      <c r="AO84" s="34" t="s">
        <v>62</v>
      </c>
      <c r="AP84" s="38">
        <v>59188.08</v>
      </c>
      <c r="AQ84" s="34" t="s">
        <v>62</v>
      </c>
      <c r="AR84" s="38">
        <v>0.0</v>
      </c>
      <c r="AS84" s="38" t="s">
        <v>2328</v>
      </c>
      <c r="AT84" s="35" t="s">
        <v>2202</v>
      </c>
      <c r="AU84" s="39" t="s">
        <v>2254</v>
      </c>
      <c r="AV84" s="40">
        <v>46167.0</v>
      </c>
    </row>
    <row r="85">
      <c r="A85" s="38">
        <v>3329.0</v>
      </c>
      <c r="B85" s="38">
        <v>3328.0</v>
      </c>
      <c r="C85" s="38">
        <v>3328.0</v>
      </c>
      <c r="D85" s="38">
        <v>8.0256518E7</v>
      </c>
      <c r="E85" s="38">
        <v>8.0256518E7</v>
      </c>
      <c r="F85" s="38">
        <v>9.00770019E8</v>
      </c>
      <c r="G85" s="18" t="s">
        <v>447</v>
      </c>
      <c r="H85" s="18" t="s">
        <v>2329</v>
      </c>
      <c r="I85" s="18" t="s">
        <v>230</v>
      </c>
      <c r="J85" s="18" t="s">
        <v>2205</v>
      </c>
      <c r="K85" s="18" t="s">
        <v>2205</v>
      </c>
      <c r="L85" s="18" t="s">
        <v>52</v>
      </c>
      <c r="M85" s="18" t="s">
        <v>89</v>
      </c>
      <c r="N85" s="18" t="s">
        <v>130</v>
      </c>
      <c r="O85" s="18" t="s">
        <v>126</v>
      </c>
      <c r="P85" s="18" t="s">
        <v>56</v>
      </c>
      <c r="Q85" s="18" t="s">
        <v>90</v>
      </c>
      <c r="R85" s="18" t="s">
        <v>58</v>
      </c>
      <c r="S85" s="18" t="s">
        <v>59</v>
      </c>
      <c r="T85" s="38">
        <v>2026.0</v>
      </c>
      <c r="U85" s="38">
        <v>5.0</v>
      </c>
      <c r="V85" s="38">
        <v>1.081522448E9</v>
      </c>
      <c r="W85" s="38">
        <v>1.081540518E9</v>
      </c>
      <c r="X85" s="18" t="s">
        <v>2199</v>
      </c>
      <c r="Y85" s="18" t="s">
        <v>2200</v>
      </c>
      <c r="Z85" s="38">
        <v>655147.65</v>
      </c>
      <c r="AA85" s="38">
        <v>655147.65</v>
      </c>
      <c r="AB85" s="38">
        <v>218382.55</v>
      </c>
      <c r="AC85" s="38">
        <v>2100.0</v>
      </c>
      <c r="AD85" s="38">
        <v>0.0</v>
      </c>
      <c r="AE85" s="38">
        <v>0.0</v>
      </c>
      <c r="AF85" s="38">
        <v>0.0</v>
      </c>
      <c r="AG85" s="38">
        <v>0.0</v>
      </c>
      <c r="AH85" s="38">
        <v>0.0</v>
      </c>
      <c r="AI85" s="38">
        <v>655147.08</v>
      </c>
      <c r="AJ85" s="38">
        <v>655147.08</v>
      </c>
      <c r="AK85" s="38">
        <v>0.0</v>
      </c>
      <c r="AL85" s="38">
        <v>376.2</v>
      </c>
      <c r="AM85" s="38">
        <v>0.0</v>
      </c>
      <c r="AN85" s="34" t="s">
        <v>62</v>
      </c>
      <c r="AO85" s="34" t="s">
        <v>62</v>
      </c>
      <c r="AP85" s="38">
        <v>0.57</v>
      </c>
      <c r="AQ85" s="34" t="s">
        <v>62</v>
      </c>
      <c r="AR85" s="38">
        <v>0.0</v>
      </c>
      <c r="AS85" s="38" t="s">
        <v>2330</v>
      </c>
      <c r="AT85" s="35" t="s">
        <v>2202</v>
      </c>
      <c r="AU85" s="39" t="s">
        <v>2254</v>
      </c>
      <c r="AV85" s="40">
        <v>46167.0</v>
      </c>
    </row>
    <row r="86">
      <c r="A86" s="38">
        <v>147.0</v>
      </c>
      <c r="B86" s="38">
        <v>333928.0</v>
      </c>
      <c r="C86" s="38">
        <v>333928.0</v>
      </c>
      <c r="D86" s="38">
        <v>670211.0</v>
      </c>
      <c r="E86" s="38">
        <v>670211.0</v>
      </c>
      <c r="F86" s="18" t="s">
        <v>179</v>
      </c>
      <c r="G86" s="18" t="s">
        <v>180</v>
      </c>
      <c r="H86" s="18" t="s">
        <v>2320</v>
      </c>
      <c r="I86" s="18" t="s">
        <v>449</v>
      </c>
      <c r="J86" s="18" t="s">
        <v>2205</v>
      </c>
      <c r="K86" s="18" t="s">
        <v>2289</v>
      </c>
      <c r="L86" s="18" t="s">
        <v>52</v>
      </c>
      <c r="M86" s="18" t="s">
        <v>89</v>
      </c>
      <c r="N86" s="18" t="s">
        <v>130</v>
      </c>
      <c r="O86" s="18" t="s">
        <v>126</v>
      </c>
      <c r="P86" s="18" t="s">
        <v>56</v>
      </c>
      <c r="Q86" s="18" t="s">
        <v>57</v>
      </c>
      <c r="R86" s="18" t="s">
        <v>58</v>
      </c>
      <c r="S86" s="18" t="s">
        <v>59</v>
      </c>
      <c r="T86" s="38">
        <v>2026.0</v>
      </c>
      <c r="U86" s="38">
        <v>5.0</v>
      </c>
      <c r="V86" s="38">
        <v>1.08152254E9</v>
      </c>
      <c r="W86" s="38">
        <v>1.08154061E9</v>
      </c>
      <c r="X86" s="18" t="s">
        <v>2199</v>
      </c>
      <c r="Y86" s="18" t="s">
        <v>2200</v>
      </c>
      <c r="Z86" s="38">
        <v>664538.3</v>
      </c>
      <c r="AA86" s="38">
        <v>664538.3</v>
      </c>
      <c r="AB86" s="38">
        <v>0.0</v>
      </c>
      <c r="AC86" s="38">
        <v>3300.0</v>
      </c>
      <c r="AD86" s="38">
        <v>0.0</v>
      </c>
      <c r="AE86" s="38">
        <v>0.0</v>
      </c>
      <c r="AF86" s="38">
        <v>0.0</v>
      </c>
      <c r="AG86" s="38">
        <v>0.0</v>
      </c>
      <c r="AH86" s="38">
        <v>0.0</v>
      </c>
      <c r="AI86" s="38">
        <v>664538.3</v>
      </c>
      <c r="AJ86" s="38">
        <v>1008284.75</v>
      </c>
      <c r="AK86" s="38">
        <v>1.0</v>
      </c>
      <c r="AL86" s="38">
        <v>250.8</v>
      </c>
      <c r="AM86" s="38">
        <v>0.0</v>
      </c>
      <c r="AN86" s="34" t="s">
        <v>62</v>
      </c>
      <c r="AO86" s="34" t="s">
        <v>62</v>
      </c>
      <c r="AP86" s="34" t="s">
        <v>62</v>
      </c>
      <c r="AQ86" s="34" t="s">
        <v>62</v>
      </c>
      <c r="AR86" s="38">
        <v>0.0</v>
      </c>
      <c r="AS86" s="38" t="s">
        <v>2321</v>
      </c>
      <c r="AT86" s="35" t="s">
        <v>2202</v>
      </c>
      <c r="AU86" s="39" t="s">
        <v>2203</v>
      </c>
      <c r="AV86" s="40">
        <v>46163.0</v>
      </c>
    </row>
    <row r="87">
      <c r="A87" s="38">
        <v>334101.0</v>
      </c>
      <c r="B87" s="38">
        <v>334100.0</v>
      </c>
      <c r="C87" s="38">
        <v>334100.0</v>
      </c>
      <c r="D87" s="38">
        <v>674332.0</v>
      </c>
      <c r="E87" s="38">
        <v>674332.0</v>
      </c>
      <c r="F87" s="18" t="s">
        <v>451</v>
      </c>
      <c r="G87" s="18" t="s">
        <v>452</v>
      </c>
      <c r="H87" s="18" t="s">
        <v>2331</v>
      </c>
      <c r="I87" s="18" t="s">
        <v>172</v>
      </c>
      <c r="J87" s="18" t="s">
        <v>2205</v>
      </c>
      <c r="K87" s="18" t="s">
        <v>2313</v>
      </c>
      <c r="L87" s="18" t="s">
        <v>52</v>
      </c>
      <c r="M87" s="18" t="s">
        <v>89</v>
      </c>
      <c r="N87" s="18" t="s">
        <v>130</v>
      </c>
      <c r="O87" s="18" t="s">
        <v>126</v>
      </c>
      <c r="P87" s="18" t="s">
        <v>56</v>
      </c>
      <c r="Q87" s="18" t="s">
        <v>90</v>
      </c>
      <c r="R87" s="18" t="s">
        <v>143</v>
      </c>
      <c r="S87" s="18" t="s">
        <v>59</v>
      </c>
      <c r="T87" s="38">
        <v>2026.0</v>
      </c>
      <c r="U87" s="38">
        <v>5.0</v>
      </c>
      <c r="V87" s="38">
        <v>1.081522544E9</v>
      </c>
      <c r="W87" s="38">
        <v>1.081540614E9</v>
      </c>
      <c r="X87" s="18" t="s">
        <v>2199</v>
      </c>
      <c r="Y87" s="18" t="s">
        <v>2200</v>
      </c>
      <c r="Z87" s="38">
        <v>149775.88</v>
      </c>
      <c r="AA87" s="38">
        <v>149775.88</v>
      </c>
      <c r="AB87" s="38">
        <v>49925.3</v>
      </c>
      <c r="AC87" s="38">
        <v>325.0</v>
      </c>
      <c r="AD87" s="38">
        <v>0.0</v>
      </c>
      <c r="AE87" s="38">
        <v>0.0</v>
      </c>
      <c r="AF87" s="38">
        <v>0.0</v>
      </c>
      <c r="AG87" s="38">
        <v>0.0</v>
      </c>
      <c r="AH87" s="38">
        <v>0.0</v>
      </c>
      <c r="AI87" s="38">
        <v>149775.88</v>
      </c>
      <c r="AJ87" s="38">
        <v>149775.88</v>
      </c>
      <c r="AK87" s="38">
        <v>0.0</v>
      </c>
      <c r="AL87" s="38">
        <v>376.2</v>
      </c>
      <c r="AM87" s="38">
        <v>0.0</v>
      </c>
      <c r="AN87" s="34" t="s">
        <v>62</v>
      </c>
      <c r="AO87" s="34" t="s">
        <v>62</v>
      </c>
      <c r="AP87" s="34" t="s">
        <v>62</v>
      </c>
      <c r="AQ87" s="34" t="s">
        <v>62</v>
      </c>
      <c r="AR87" s="38">
        <v>0.0</v>
      </c>
      <c r="AS87" s="38" t="s">
        <v>2314</v>
      </c>
      <c r="AT87" s="35" t="s">
        <v>2202</v>
      </c>
      <c r="AU87" s="39" t="s">
        <v>2203</v>
      </c>
      <c r="AV87" s="40">
        <v>46163.0</v>
      </c>
    </row>
    <row r="88">
      <c r="A88" s="38">
        <v>365543.0</v>
      </c>
      <c r="B88" s="38">
        <v>360848.0</v>
      </c>
      <c r="C88" s="38">
        <v>362426.0</v>
      </c>
      <c r="D88" s="38">
        <v>1035546.0</v>
      </c>
      <c r="E88" s="38">
        <v>1035546.0</v>
      </c>
      <c r="F88" s="38">
        <v>1.090525771E9</v>
      </c>
      <c r="G88" s="18" t="s">
        <v>454</v>
      </c>
      <c r="H88" s="18" t="s">
        <v>2332</v>
      </c>
      <c r="I88" s="18" t="s">
        <v>455</v>
      </c>
      <c r="J88" s="18" t="s">
        <v>2205</v>
      </c>
      <c r="K88" s="18" t="s">
        <v>2205</v>
      </c>
      <c r="L88" s="18" t="s">
        <v>52</v>
      </c>
      <c r="M88" s="18" t="s">
        <v>89</v>
      </c>
      <c r="N88" s="18" t="s">
        <v>130</v>
      </c>
      <c r="O88" s="18" t="s">
        <v>456</v>
      </c>
      <c r="P88" s="18" t="s">
        <v>218</v>
      </c>
      <c r="Q88" s="18" t="s">
        <v>457</v>
      </c>
      <c r="R88" s="18" t="s">
        <v>133</v>
      </c>
      <c r="S88" s="18" t="s">
        <v>59</v>
      </c>
      <c r="T88" s="38">
        <v>2026.0</v>
      </c>
      <c r="U88" s="38">
        <v>5.0</v>
      </c>
      <c r="V88" s="38">
        <v>1.081522547E9</v>
      </c>
      <c r="W88" s="38">
        <v>1.081540617E9</v>
      </c>
      <c r="X88" s="18" t="s">
        <v>2199</v>
      </c>
      <c r="Y88" s="18" t="s">
        <v>2200</v>
      </c>
      <c r="Z88" s="38">
        <v>30080.82</v>
      </c>
      <c r="AA88" s="38">
        <v>30080.82</v>
      </c>
      <c r="AB88" s="38">
        <v>-8985.18</v>
      </c>
      <c r="AC88" s="38">
        <v>0.0</v>
      </c>
      <c r="AD88" s="38">
        <v>0.0</v>
      </c>
      <c r="AE88" s="38">
        <v>0.0</v>
      </c>
      <c r="AF88" s="38">
        <v>0.0</v>
      </c>
      <c r="AG88" s="38">
        <v>0.0</v>
      </c>
      <c r="AH88" s="38">
        <v>0.0</v>
      </c>
      <c r="AI88" s="38">
        <v>0.0</v>
      </c>
      <c r="AJ88" s="38">
        <v>0.0</v>
      </c>
      <c r="AK88" s="38">
        <v>0.0</v>
      </c>
      <c r="AL88" s="38">
        <v>193.12</v>
      </c>
      <c r="AM88" s="38">
        <v>0.0</v>
      </c>
      <c r="AN88" s="34" t="s">
        <v>62</v>
      </c>
      <c r="AO88" s="34" t="s">
        <v>62</v>
      </c>
      <c r="AP88" s="38">
        <v>30080.82</v>
      </c>
      <c r="AQ88" s="34" t="s">
        <v>62</v>
      </c>
      <c r="AR88" s="38">
        <v>77.18</v>
      </c>
      <c r="AS88" s="38" t="s">
        <v>2333</v>
      </c>
      <c r="AT88" s="35" t="s">
        <v>2202</v>
      </c>
      <c r="AU88" s="39" t="s">
        <v>2254</v>
      </c>
      <c r="AV88" s="40">
        <v>46167.0</v>
      </c>
    </row>
    <row r="89">
      <c r="A89" s="38">
        <v>285191.0</v>
      </c>
      <c r="B89" s="38">
        <v>365836.0</v>
      </c>
      <c r="C89" s="38">
        <v>371462.0</v>
      </c>
      <c r="D89" s="38">
        <v>1043375.0</v>
      </c>
      <c r="E89" s="38">
        <v>1043375.0</v>
      </c>
      <c r="F89" s="38">
        <v>9.00276962E8</v>
      </c>
      <c r="G89" s="18" t="s">
        <v>128</v>
      </c>
      <c r="H89" s="18" t="s">
        <v>2269</v>
      </c>
      <c r="I89" s="18" t="s">
        <v>401</v>
      </c>
      <c r="J89" s="18" t="s">
        <v>2205</v>
      </c>
      <c r="K89" s="18" t="s">
        <v>2270</v>
      </c>
      <c r="L89" s="18" t="s">
        <v>52</v>
      </c>
      <c r="M89" s="18" t="s">
        <v>89</v>
      </c>
      <c r="N89" s="18" t="s">
        <v>130</v>
      </c>
      <c r="O89" s="18" t="s">
        <v>126</v>
      </c>
      <c r="P89" s="18" t="s">
        <v>131</v>
      </c>
      <c r="Q89" s="18" t="s">
        <v>132</v>
      </c>
      <c r="R89" s="18" t="s">
        <v>133</v>
      </c>
      <c r="S89" s="18" t="s">
        <v>59</v>
      </c>
      <c r="T89" s="38">
        <v>2026.0</v>
      </c>
      <c r="U89" s="38">
        <v>5.0</v>
      </c>
      <c r="V89" s="38">
        <v>1.081522554E9</v>
      </c>
      <c r="W89" s="38">
        <v>1.081540624E9</v>
      </c>
      <c r="X89" s="18" t="s">
        <v>2199</v>
      </c>
      <c r="Y89" s="18" t="s">
        <v>2200</v>
      </c>
      <c r="Z89" s="38">
        <v>113911.5</v>
      </c>
      <c r="AA89" s="38">
        <v>113911.5</v>
      </c>
      <c r="AB89" s="38">
        <v>37970.5</v>
      </c>
      <c r="AC89" s="38">
        <v>0.0</v>
      </c>
      <c r="AD89" s="38">
        <v>0.0</v>
      </c>
      <c r="AE89" s="38">
        <v>0.0</v>
      </c>
      <c r="AF89" s="38">
        <v>0.0</v>
      </c>
      <c r="AG89" s="38">
        <v>0.0</v>
      </c>
      <c r="AH89" s="38">
        <v>0.0</v>
      </c>
      <c r="AI89" s="38">
        <v>113911.5</v>
      </c>
      <c r="AJ89" s="38">
        <v>113911.5</v>
      </c>
      <c r="AK89" s="38">
        <v>0.0</v>
      </c>
      <c r="AL89" s="38">
        <v>376.2</v>
      </c>
      <c r="AM89" s="38">
        <v>0.0</v>
      </c>
      <c r="AN89" s="34" t="s">
        <v>62</v>
      </c>
      <c r="AO89" s="34" t="s">
        <v>62</v>
      </c>
      <c r="AP89" s="34" t="s">
        <v>62</v>
      </c>
      <c r="AQ89" s="34" t="s">
        <v>62</v>
      </c>
      <c r="AR89" s="38">
        <v>0.0</v>
      </c>
      <c r="AS89" s="38" t="s">
        <v>2271</v>
      </c>
      <c r="AT89" s="35" t="s">
        <v>2202</v>
      </c>
      <c r="AU89" s="39" t="s">
        <v>2203</v>
      </c>
      <c r="AV89" s="40">
        <v>46163.0</v>
      </c>
    </row>
    <row r="90">
      <c r="A90" s="38">
        <v>382325.0</v>
      </c>
      <c r="B90" s="38">
        <v>367988.0</v>
      </c>
      <c r="C90" s="38">
        <v>375272.0</v>
      </c>
      <c r="D90" s="38">
        <v>1036713.0</v>
      </c>
      <c r="E90" s="38">
        <v>1036713.0</v>
      </c>
      <c r="F90" s="38">
        <v>9.00495013E8</v>
      </c>
      <c r="G90" s="18" t="s">
        <v>460</v>
      </c>
      <c r="H90" s="18" t="s">
        <v>2334</v>
      </c>
      <c r="I90" s="18" t="s">
        <v>172</v>
      </c>
      <c r="J90" s="18" t="s">
        <v>2205</v>
      </c>
      <c r="K90" s="18" t="s">
        <v>2205</v>
      </c>
      <c r="L90" s="18" t="s">
        <v>52</v>
      </c>
      <c r="M90" s="18" t="s">
        <v>89</v>
      </c>
      <c r="N90" s="18" t="s">
        <v>130</v>
      </c>
      <c r="O90" s="18" t="s">
        <v>126</v>
      </c>
      <c r="P90" s="18" t="s">
        <v>131</v>
      </c>
      <c r="Q90" s="18" t="s">
        <v>132</v>
      </c>
      <c r="R90" s="18" t="s">
        <v>133</v>
      </c>
      <c r="S90" s="18" t="s">
        <v>59</v>
      </c>
      <c r="T90" s="38">
        <v>2026.0</v>
      </c>
      <c r="U90" s="38">
        <v>5.0</v>
      </c>
      <c r="V90" s="38">
        <v>1.081522557E9</v>
      </c>
      <c r="W90" s="38">
        <v>1.081540627E9</v>
      </c>
      <c r="X90" s="18" t="s">
        <v>2199</v>
      </c>
      <c r="Y90" s="18" t="s">
        <v>2200</v>
      </c>
      <c r="Z90" s="38">
        <v>129389.55</v>
      </c>
      <c r="AA90" s="38">
        <v>129389.55</v>
      </c>
      <c r="AB90" s="38">
        <v>37970.5</v>
      </c>
      <c r="AC90" s="38">
        <v>0.0</v>
      </c>
      <c r="AD90" s="38">
        <v>15478.05</v>
      </c>
      <c r="AE90" s="38">
        <v>0.0</v>
      </c>
      <c r="AF90" s="38">
        <v>0.0</v>
      </c>
      <c r="AG90" s="38">
        <v>0.0</v>
      </c>
      <c r="AH90" s="38">
        <v>0.0</v>
      </c>
      <c r="AI90" s="38">
        <v>129389.55</v>
      </c>
      <c r="AJ90" s="38">
        <v>1078261.22</v>
      </c>
      <c r="AK90" s="38">
        <v>7.0</v>
      </c>
      <c r="AL90" s="38">
        <v>376.2</v>
      </c>
      <c r="AM90" s="38">
        <v>0.0</v>
      </c>
      <c r="AN90" s="34" t="s">
        <v>62</v>
      </c>
      <c r="AO90" s="34" t="s">
        <v>62</v>
      </c>
      <c r="AP90" s="34" t="s">
        <v>62</v>
      </c>
      <c r="AQ90" s="34" t="s">
        <v>62</v>
      </c>
      <c r="AR90" s="38">
        <v>0.0</v>
      </c>
      <c r="AS90" s="38" t="s">
        <v>2335</v>
      </c>
      <c r="AT90" s="35" t="s">
        <v>2202</v>
      </c>
      <c r="AU90" s="39" t="s">
        <v>2254</v>
      </c>
      <c r="AV90" s="40">
        <v>46167.0</v>
      </c>
    </row>
    <row r="91">
      <c r="A91" s="38">
        <v>3209.0</v>
      </c>
      <c r="B91" s="38">
        <v>424660.0</v>
      </c>
      <c r="C91" s="38">
        <v>440301.0</v>
      </c>
      <c r="D91" s="38">
        <v>1033314.0</v>
      </c>
      <c r="E91" s="38">
        <v>1033314.0</v>
      </c>
      <c r="F91" s="38">
        <v>9.01375954E8</v>
      </c>
      <c r="G91" s="18" t="s">
        <v>395</v>
      </c>
      <c r="H91" s="18" t="s">
        <v>2299</v>
      </c>
      <c r="I91" s="18" t="s">
        <v>208</v>
      </c>
      <c r="J91" s="18" t="s">
        <v>2273</v>
      </c>
      <c r="K91" s="18" t="s">
        <v>2205</v>
      </c>
      <c r="L91" s="18" t="s">
        <v>52</v>
      </c>
      <c r="M91" s="18" t="s">
        <v>89</v>
      </c>
      <c r="N91" s="18" t="s">
        <v>130</v>
      </c>
      <c r="O91" s="18" t="s">
        <v>126</v>
      </c>
      <c r="P91" s="18" t="s">
        <v>131</v>
      </c>
      <c r="Q91" s="18" t="s">
        <v>132</v>
      </c>
      <c r="R91" s="18" t="s">
        <v>133</v>
      </c>
      <c r="S91" s="18" t="s">
        <v>59</v>
      </c>
      <c r="T91" s="38">
        <v>2026.0</v>
      </c>
      <c r="U91" s="38">
        <v>5.0</v>
      </c>
      <c r="V91" s="38">
        <v>1.081522561E9</v>
      </c>
      <c r="W91" s="38">
        <v>1.081540631E9</v>
      </c>
      <c r="X91" s="18" t="s">
        <v>2199</v>
      </c>
      <c r="Y91" s="18" t="s">
        <v>2200</v>
      </c>
      <c r="Z91" s="38">
        <v>117405.93</v>
      </c>
      <c r="AA91" s="38">
        <v>117405.93</v>
      </c>
      <c r="AB91" s="38">
        <v>37970.5</v>
      </c>
      <c r="AC91" s="38">
        <v>0.0</v>
      </c>
      <c r="AD91" s="38">
        <v>3494.43</v>
      </c>
      <c r="AE91" s="38">
        <v>0.0</v>
      </c>
      <c r="AF91" s="38">
        <v>0.0</v>
      </c>
      <c r="AG91" s="38">
        <v>0.0</v>
      </c>
      <c r="AH91" s="38">
        <v>0.0</v>
      </c>
      <c r="AI91" s="38">
        <v>117405.93</v>
      </c>
      <c r="AJ91" s="38">
        <v>450918.18</v>
      </c>
      <c r="AK91" s="38">
        <v>3.0</v>
      </c>
      <c r="AL91" s="38">
        <v>376.2</v>
      </c>
      <c r="AM91" s="38">
        <v>0.0</v>
      </c>
      <c r="AN91" s="34" t="s">
        <v>62</v>
      </c>
      <c r="AO91" s="34" t="s">
        <v>62</v>
      </c>
      <c r="AP91" s="34" t="s">
        <v>62</v>
      </c>
      <c r="AQ91" s="34" t="s">
        <v>62</v>
      </c>
      <c r="AR91" s="38">
        <v>0.0</v>
      </c>
      <c r="AS91" s="38" t="s">
        <v>2300</v>
      </c>
      <c r="AT91" s="35" t="s">
        <v>2275</v>
      </c>
      <c r="AU91" s="39" t="s">
        <v>2276</v>
      </c>
      <c r="AV91" s="40">
        <v>46163.0</v>
      </c>
    </row>
    <row r="92">
      <c r="A92" s="38">
        <v>699.0</v>
      </c>
      <c r="B92" s="38">
        <v>436688.0</v>
      </c>
      <c r="C92" s="38">
        <v>459905.0</v>
      </c>
      <c r="D92" s="38">
        <v>1092716.0</v>
      </c>
      <c r="E92" s="38">
        <v>1092716.0</v>
      </c>
      <c r="F92" s="38">
        <v>9.00480569E8</v>
      </c>
      <c r="G92" s="18" t="s">
        <v>141</v>
      </c>
      <c r="H92" s="18" t="s">
        <v>2255</v>
      </c>
      <c r="I92" s="18" t="s">
        <v>165</v>
      </c>
      <c r="J92" s="18" t="s">
        <v>2205</v>
      </c>
      <c r="K92" s="18" t="s">
        <v>2256</v>
      </c>
      <c r="L92" s="18" t="s">
        <v>52</v>
      </c>
      <c r="M92" s="18" t="s">
        <v>138</v>
      </c>
      <c r="N92" s="18" t="s">
        <v>130</v>
      </c>
      <c r="O92" s="18" t="s">
        <v>126</v>
      </c>
      <c r="P92" s="18" t="s">
        <v>131</v>
      </c>
      <c r="Q92" s="18" t="s">
        <v>363</v>
      </c>
      <c r="R92" s="18" t="s">
        <v>133</v>
      </c>
      <c r="S92" s="18" t="s">
        <v>59</v>
      </c>
      <c r="T92" s="38">
        <v>2026.0</v>
      </c>
      <c r="U92" s="38">
        <v>5.0</v>
      </c>
      <c r="V92" s="38">
        <v>1.081522565E9</v>
      </c>
      <c r="W92" s="38">
        <v>1.081540635E9</v>
      </c>
      <c r="X92" s="18" t="s">
        <v>2199</v>
      </c>
      <c r="Y92" s="18" t="s">
        <v>2200</v>
      </c>
      <c r="Z92" s="38">
        <v>76141.5</v>
      </c>
      <c r="AA92" s="38">
        <v>76141.5</v>
      </c>
      <c r="AB92" s="38">
        <v>25380.5</v>
      </c>
      <c r="AC92" s="38">
        <v>0.0</v>
      </c>
      <c r="AD92" s="38">
        <v>0.0</v>
      </c>
      <c r="AE92" s="38">
        <v>0.0</v>
      </c>
      <c r="AF92" s="38">
        <v>0.0</v>
      </c>
      <c r="AG92" s="38">
        <v>0.0</v>
      </c>
      <c r="AH92" s="38">
        <v>0.0</v>
      </c>
      <c r="AI92" s="38">
        <v>76141.5</v>
      </c>
      <c r="AJ92" s="38">
        <v>151704.0</v>
      </c>
      <c r="AK92" s="38">
        <v>1.0</v>
      </c>
      <c r="AL92" s="38">
        <v>376.2</v>
      </c>
      <c r="AM92" s="38">
        <v>0.0</v>
      </c>
      <c r="AN92" s="34" t="s">
        <v>62</v>
      </c>
      <c r="AO92" s="34" t="s">
        <v>62</v>
      </c>
      <c r="AP92" s="34" t="s">
        <v>62</v>
      </c>
      <c r="AQ92" s="34" t="s">
        <v>62</v>
      </c>
      <c r="AR92" s="38">
        <v>0.0</v>
      </c>
      <c r="AS92" s="38" t="s">
        <v>2257</v>
      </c>
      <c r="AT92" s="35" t="s">
        <v>2202</v>
      </c>
      <c r="AU92" s="39" t="s">
        <v>2203</v>
      </c>
      <c r="AV92" s="40">
        <v>46163.0</v>
      </c>
    </row>
    <row r="93">
      <c r="A93" s="38">
        <v>595127.0</v>
      </c>
      <c r="B93" s="38">
        <v>498508.0</v>
      </c>
      <c r="C93" s="38">
        <v>551613.0</v>
      </c>
      <c r="D93" s="34" t="s">
        <v>62</v>
      </c>
      <c r="E93" s="34" t="s">
        <v>62</v>
      </c>
      <c r="F93" s="38">
        <v>1254985.0</v>
      </c>
      <c r="G93" s="18" t="s">
        <v>286</v>
      </c>
      <c r="H93" s="18" t="s">
        <v>2336</v>
      </c>
      <c r="I93" s="18" t="s">
        <v>217</v>
      </c>
      <c r="J93" s="18" t="s">
        <v>2337</v>
      </c>
      <c r="K93" s="18" t="s">
        <v>2337</v>
      </c>
      <c r="L93" s="18" t="s">
        <v>52</v>
      </c>
      <c r="M93" s="18" t="s">
        <v>89</v>
      </c>
      <c r="N93" s="18" t="s">
        <v>130</v>
      </c>
      <c r="O93" s="18" t="s">
        <v>126</v>
      </c>
      <c r="P93" s="18" t="s">
        <v>218</v>
      </c>
      <c r="Q93" s="18" t="s">
        <v>219</v>
      </c>
      <c r="R93" s="18" t="s">
        <v>133</v>
      </c>
      <c r="S93" s="18" t="s">
        <v>59</v>
      </c>
      <c r="T93" s="38">
        <v>2026.0</v>
      </c>
      <c r="U93" s="38">
        <v>5.0</v>
      </c>
      <c r="V93" s="38">
        <v>1.081522569E9</v>
      </c>
      <c r="W93" s="38">
        <v>1.081540639E9</v>
      </c>
      <c r="X93" s="18" t="s">
        <v>2199</v>
      </c>
      <c r="Y93" s="18" t="s">
        <v>2200</v>
      </c>
      <c r="Z93" s="38">
        <v>50434.76</v>
      </c>
      <c r="AA93" s="38">
        <v>50434.76</v>
      </c>
      <c r="AB93" s="38">
        <v>-1667.24</v>
      </c>
      <c r="AC93" s="38">
        <v>0.0</v>
      </c>
      <c r="AD93" s="38">
        <v>0.0</v>
      </c>
      <c r="AE93" s="38">
        <v>0.0</v>
      </c>
      <c r="AF93" s="38">
        <v>0.0</v>
      </c>
      <c r="AG93" s="38">
        <v>0.0</v>
      </c>
      <c r="AH93" s="38">
        <v>0.0</v>
      </c>
      <c r="AI93" s="38">
        <v>50434.76</v>
      </c>
      <c r="AJ93" s="38">
        <v>50434.76</v>
      </c>
      <c r="AK93" s="38">
        <v>0.0</v>
      </c>
      <c r="AL93" s="38">
        <v>242.77</v>
      </c>
      <c r="AM93" s="38">
        <v>0.0</v>
      </c>
      <c r="AN93" s="34" t="s">
        <v>62</v>
      </c>
      <c r="AO93" s="34" t="s">
        <v>62</v>
      </c>
      <c r="AP93" s="34" t="s">
        <v>62</v>
      </c>
      <c r="AQ93" s="34" t="s">
        <v>62</v>
      </c>
      <c r="AR93" s="38">
        <v>0.0</v>
      </c>
      <c r="AS93" s="34"/>
      <c r="AT93" s="38" t="s">
        <v>2275</v>
      </c>
      <c r="AU93" s="39" t="s">
        <v>2276</v>
      </c>
      <c r="AV93" s="40">
        <v>46164.0</v>
      </c>
    </row>
    <row r="94">
      <c r="A94" s="38">
        <v>595131.0</v>
      </c>
      <c r="B94" s="38">
        <v>498512.0</v>
      </c>
      <c r="C94" s="38">
        <v>551617.0</v>
      </c>
      <c r="D94" s="34" t="s">
        <v>62</v>
      </c>
      <c r="E94" s="34" t="s">
        <v>62</v>
      </c>
      <c r="F94" s="38">
        <v>1254989.0</v>
      </c>
      <c r="G94" s="18" t="s">
        <v>286</v>
      </c>
      <c r="H94" s="18" t="s">
        <v>2338</v>
      </c>
      <c r="I94" s="18" t="s">
        <v>217</v>
      </c>
      <c r="J94" s="18" t="s">
        <v>2337</v>
      </c>
      <c r="K94" s="18" t="s">
        <v>2337</v>
      </c>
      <c r="L94" s="18" t="s">
        <v>52</v>
      </c>
      <c r="M94" s="18" t="s">
        <v>89</v>
      </c>
      <c r="N94" s="18" t="s">
        <v>130</v>
      </c>
      <c r="O94" s="18" t="s">
        <v>126</v>
      </c>
      <c r="P94" s="18" t="s">
        <v>218</v>
      </c>
      <c r="Q94" s="18" t="s">
        <v>219</v>
      </c>
      <c r="R94" s="18" t="s">
        <v>133</v>
      </c>
      <c r="S94" s="18" t="s">
        <v>59</v>
      </c>
      <c r="T94" s="38">
        <v>2026.0</v>
      </c>
      <c r="U94" s="38">
        <v>5.0</v>
      </c>
      <c r="V94" s="38">
        <v>1.081522575E9</v>
      </c>
      <c r="W94" s="38">
        <v>1.081540645E9</v>
      </c>
      <c r="X94" s="18" t="s">
        <v>2199</v>
      </c>
      <c r="Y94" s="18" t="s">
        <v>2200</v>
      </c>
      <c r="Z94" s="38">
        <v>50434.76</v>
      </c>
      <c r="AA94" s="38">
        <v>50434.76</v>
      </c>
      <c r="AB94" s="38">
        <v>-1667.24</v>
      </c>
      <c r="AC94" s="38">
        <v>0.0</v>
      </c>
      <c r="AD94" s="38">
        <v>0.0</v>
      </c>
      <c r="AE94" s="38">
        <v>0.0</v>
      </c>
      <c r="AF94" s="38">
        <v>0.0</v>
      </c>
      <c r="AG94" s="38">
        <v>0.0</v>
      </c>
      <c r="AH94" s="38">
        <v>0.0</v>
      </c>
      <c r="AI94" s="38">
        <v>50434.76</v>
      </c>
      <c r="AJ94" s="38">
        <v>50434.76</v>
      </c>
      <c r="AK94" s="38">
        <v>0.0</v>
      </c>
      <c r="AL94" s="38">
        <v>242.77</v>
      </c>
      <c r="AM94" s="38">
        <v>0.0</v>
      </c>
      <c r="AN94" s="34" t="s">
        <v>62</v>
      </c>
      <c r="AO94" s="34" t="s">
        <v>62</v>
      </c>
      <c r="AP94" s="34" t="s">
        <v>62</v>
      </c>
      <c r="AQ94" s="34" t="s">
        <v>62</v>
      </c>
      <c r="AR94" s="38">
        <v>0.0</v>
      </c>
      <c r="AS94" s="34"/>
      <c r="AT94" s="38" t="s">
        <v>2275</v>
      </c>
      <c r="AU94" s="38" t="s">
        <v>2276</v>
      </c>
      <c r="AV94" s="40">
        <v>46164.0</v>
      </c>
    </row>
    <row r="95">
      <c r="A95" s="38">
        <v>595135.0</v>
      </c>
      <c r="B95" s="38">
        <v>498516.0</v>
      </c>
      <c r="C95" s="38">
        <v>551621.0</v>
      </c>
      <c r="D95" s="34" t="s">
        <v>62</v>
      </c>
      <c r="E95" s="34" t="s">
        <v>62</v>
      </c>
      <c r="F95" s="38">
        <v>1254993.0</v>
      </c>
      <c r="G95" s="18" t="s">
        <v>466</v>
      </c>
      <c r="H95" s="18" t="s">
        <v>2339</v>
      </c>
      <c r="I95" s="18" t="s">
        <v>217</v>
      </c>
      <c r="J95" s="18" t="s">
        <v>2337</v>
      </c>
      <c r="K95" s="18" t="s">
        <v>2337</v>
      </c>
      <c r="L95" s="18" t="s">
        <v>52</v>
      </c>
      <c r="M95" s="18" t="s">
        <v>89</v>
      </c>
      <c r="N95" s="18" t="s">
        <v>130</v>
      </c>
      <c r="O95" s="18" t="s">
        <v>126</v>
      </c>
      <c r="P95" s="18" t="s">
        <v>218</v>
      </c>
      <c r="Q95" s="18" t="s">
        <v>219</v>
      </c>
      <c r="R95" s="18" t="s">
        <v>133</v>
      </c>
      <c r="S95" s="18" t="s">
        <v>59</v>
      </c>
      <c r="T95" s="38">
        <v>2026.0</v>
      </c>
      <c r="U95" s="38">
        <v>5.0</v>
      </c>
      <c r="V95" s="38">
        <v>1.081522577E9</v>
      </c>
      <c r="W95" s="38">
        <v>1.081540647E9</v>
      </c>
      <c r="X95" s="18" t="s">
        <v>2199</v>
      </c>
      <c r="Y95" s="18" t="s">
        <v>2200</v>
      </c>
      <c r="Z95" s="38">
        <v>50434.76</v>
      </c>
      <c r="AA95" s="38">
        <v>50434.76</v>
      </c>
      <c r="AB95" s="38">
        <v>-1667.24</v>
      </c>
      <c r="AC95" s="38">
        <v>0.0</v>
      </c>
      <c r="AD95" s="38">
        <v>0.0</v>
      </c>
      <c r="AE95" s="38">
        <v>0.0</v>
      </c>
      <c r="AF95" s="38">
        <v>0.0</v>
      </c>
      <c r="AG95" s="38">
        <v>0.0</v>
      </c>
      <c r="AH95" s="38">
        <v>0.0</v>
      </c>
      <c r="AI95" s="38">
        <v>50434.76</v>
      </c>
      <c r="AJ95" s="38">
        <v>50434.76</v>
      </c>
      <c r="AK95" s="38">
        <v>0.0</v>
      </c>
      <c r="AL95" s="38">
        <v>242.77</v>
      </c>
      <c r="AM95" s="38">
        <v>0.0</v>
      </c>
      <c r="AN95" s="34" t="s">
        <v>62</v>
      </c>
      <c r="AO95" s="34" t="s">
        <v>62</v>
      </c>
      <c r="AP95" s="34" t="s">
        <v>62</v>
      </c>
      <c r="AQ95" s="34" t="s">
        <v>62</v>
      </c>
      <c r="AR95" s="38">
        <v>0.0</v>
      </c>
      <c r="AS95" s="34"/>
      <c r="AT95" s="38" t="s">
        <v>2275</v>
      </c>
      <c r="AU95" s="38" t="s">
        <v>2276</v>
      </c>
      <c r="AV95" s="40">
        <v>46164.0</v>
      </c>
    </row>
    <row r="96">
      <c r="A96" s="38">
        <v>595139.0</v>
      </c>
      <c r="B96" s="38">
        <v>498520.0</v>
      </c>
      <c r="C96" s="38">
        <v>551625.0</v>
      </c>
      <c r="D96" s="34" t="s">
        <v>62</v>
      </c>
      <c r="E96" s="34" t="s">
        <v>62</v>
      </c>
      <c r="F96" s="38">
        <v>1254997.0</v>
      </c>
      <c r="G96" s="18" t="s">
        <v>468</v>
      </c>
      <c r="H96" s="18" t="s">
        <v>2340</v>
      </c>
      <c r="I96" s="18" t="s">
        <v>217</v>
      </c>
      <c r="J96" s="18" t="s">
        <v>2337</v>
      </c>
      <c r="K96" s="18" t="s">
        <v>2337</v>
      </c>
      <c r="L96" s="18" t="s">
        <v>52</v>
      </c>
      <c r="M96" s="18" t="s">
        <v>89</v>
      </c>
      <c r="N96" s="18" t="s">
        <v>130</v>
      </c>
      <c r="O96" s="18" t="s">
        <v>126</v>
      </c>
      <c r="P96" s="18" t="s">
        <v>218</v>
      </c>
      <c r="Q96" s="18" t="s">
        <v>219</v>
      </c>
      <c r="R96" s="18" t="s">
        <v>133</v>
      </c>
      <c r="S96" s="18" t="s">
        <v>59</v>
      </c>
      <c r="T96" s="38">
        <v>2026.0</v>
      </c>
      <c r="U96" s="38">
        <v>5.0</v>
      </c>
      <c r="V96" s="38">
        <v>1.08152258E9</v>
      </c>
      <c r="W96" s="38">
        <v>1.08154065E9</v>
      </c>
      <c r="X96" s="18" t="s">
        <v>2199</v>
      </c>
      <c r="Y96" s="18" t="s">
        <v>2200</v>
      </c>
      <c r="Z96" s="38">
        <v>50598.63</v>
      </c>
      <c r="AA96" s="38">
        <v>50598.63</v>
      </c>
      <c r="AB96" s="38">
        <v>-1667.24</v>
      </c>
      <c r="AC96" s="38">
        <v>0.0</v>
      </c>
      <c r="AD96" s="38">
        <v>163.87</v>
      </c>
      <c r="AE96" s="38">
        <v>0.0</v>
      </c>
      <c r="AF96" s="38">
        <v>0.0</v>
      </c>
      <c r="AG96" s="38">
        <v>0.0</v>
      </c>
      <c r="AH96" s="38">
        <v>0.0</v>
      </c>
      <c r="AI96" s="38">
        <v>50598.63</v>
      </c>
      <c r="AJ96" s="38">
        <v>100942.83</v>
      </c>
      <c r="AK96" s="38">
        <v>1.0</v>
      </c>
      <c r="AL96" s="38">
        <v>242.77</v>
      </c>
      <c r="AM96" s="38">
        <v>0.0</v>
      </c>
      <c r="AN96" s="34" t="s">
        <v>62</v>
      </c>
      <c r="AO96" s="34" t="s">
        <v>62</v>
      </c>
      <c r="AP96" s="34" t="s">
        <v>62</v>
      </c>
      <c r="AQ96" s="34" t="s">
        <v>62</v>
      </c>
      <c r="AR96" s="38">
        <v>0.0</v>
      </c>
      <c r="AS96" s="34"/>
      <c r="AT96" s="38" t="s">
        <v>2275</v>
      </c>
      <c r="AU96" s="38" t="s">
        <v>2276</v>
      </c>
      <c r="AV96" s="40">
        <v>46164.0</v>
      </c>
    </row>
    <row r="97">
      <c r="A97" s="38">
        <v>595143.0</v>
      </c>
      <c r="B97" s="38">
        <v>498524.0</v>
      </c>
      <c r="C97" s="38">
        <v>551629.0</v>
      </c>
      <c r="D97" s="34" t="s">
        <v>62</v>
      </c>
      <c r="E97" s="34" t="s">
        <v>62</v>
      </c>
      <c r="F97" s="38">
        <v>1255001.0</v>
      </c>
      <c r="G97" s="18" t="s">
        <v>470</v>
      </c>
      <c r="H97" s="18" t="s">
        <v>2341</v>
      </c>
      <c r="I97" s="18" t="s">
        <v>217</v>
      </c>
      <c r="J97" s="18" t="s">
        <v>2337</v>
      </c>
      <c r="K97" s="18" t="s">
        <v>2337</v>
      </c>
      <c r="L97" s="18" t="s">
        <v>52</v>
      </c>
      <c r="M97" s="18" t="s">
        <v>89</v>
      </c>
      <c r="N97" s="18" t="s">
        <v>130</v>
      </c>
      <c r="O97" s="18" t="s">
        <v>126</v>
      </c>
      <c r="P97" s="18" t="s">
        <v>218</v>
      </c>
      <c r="Q97" s="18" t="s">
        <v>219</v>
      </c>
      <c r="R97" s="18" t="s">
        <v>133</v>
      </c>
      <c r="S97" s="18" t="s">
        <v>59</v>
      </c>
      <c r="T97" s="38">
        <v>2026.0</v>
      </c>
      <c r="U97" s="38">
        <v>5.0</v>
      </c>
      <c r="V97" s="38">
        <v>1.081522584E9</v>
      </c>
      <c r="W97" s="38">
        <v>1.081540654E9</v>
      </c>
      <c r="X97" s="18" t="s">
        <v>2199</v>
      </c>
      <c r="Y97" s="18" t="s">
        <v>2200</v>
      </c>
      <c r="Z97" s="38">
        <v>50434.76</v>
      </c>
      <c r="AA97" s="38">
        <v>50434.76</v>
      </c>
      <c r="AB97" s="38">
        <v>-1667.24</v>
      </c>
      <c r="AC97" s="38">
        <v>0.0</v>
      </c>
      <c r="AD97" s="38">
        <v>0.0</v>
      </c>
      <c r="AE97" s="38">
        <v>0.0</v>
      </c>
      <c r="AF97" s="38">
        <v>0.0</v>
      </c>
      <c r="AG97" s="38">
        <v>0.0</v>
      </c>
      <c r="AH97" s="38">
        <v>0.0</v>
      </c>
      <c r="AI97" s="38">
        <v>50434.76</v>
      </c>
      <c r="AJ97" s="38">
        <v>50434.76</v>
      </c>
      <c r="AK97" s="38">
        <v>0.0</v>
      </c>
      <c r="AL97" s="38">
        <v>242.77</v>
      </c>
      <c r="AM97" s="38">
        <v>0.0</v>
      </c>
      <c r="AN97" s="34" t="s">
        <v>62</v>
      </c>
      <c r="AO97" s="34" t="s">
        <v>62</v>
      </c>
      <c r="AP97" s="34" t="s">
        <v>62</v>
      </c>
      <c r="AQ97" s="34" t="s">
        <v>62</v>
      </c>
      <c r="AR97" s="38">
        <v>0.0</v>
      </c>
      <c r="AS97" s="34"/>
      <c r="AT97" s="38" t="s">
        <v>2275</v>
      </c>
      <c r="AU97" s="38" t="s">
        <v>2276</v>
      </c>
      <c r="AV97" s="40">
        <v>46164.0</v>
      </c>
    </row>
    <row r="98">
      <c r="A98" s="38">
        <v>595147.0</v>
      </c>
      <c r="B98" s="38">
        <v>498528.0</v>
      </c>
      <c r="C98" s="38">
        <v>551633.0</v>
      </c>
      <c r="D98" s="34" t="s">
        <v>62</v>
      </c>
      <c r="E98" s="34" t="s">
        <v>62</v>
      </c>
      <c r="F98" s="38">
        <v>1255005.0</v>
      </c>
      <c r="G98" s="18" t="s">
        <v>472</v>
      </c>
      <c r="H98" s="18" t="s">
        <v>2342</v>
      </c>
      <c r="I98" s="18" t="s">
        <v>217</v>
      </c>
      <c r="J98" s="18" t="s">
        <v>2337</v>
      </c>
      <c r="K98" s="18" t="s">
        <v>2337</v>
      </c>
      <c r="L98" s="18" t="s">
        <v>52</v>
      </c>
      <c r="M98" s="18" t="s">
        <v>89</v>
      </c>
      <c r="N98" s="18" t="s">
        <v>130</v>
      </c>
      <c r="O98" s="18" t="s">
        <v>126</v>
      </c>
      <c r="P98" s="18" t="s">
        <v>218</v>
      </c>
      <c r="Q98" s="18" t="s">
        <v>219</v>
      </c>
      <c r="R98" s="18" t="s">
        <v>133</v>
      </c>
      <c r="S98" s="18" t="s">
        <v>59</v>
      </c>
      <c r="T98" s="38">
        <v>2026.0</v>
      </c>
      <c r="U98" s="38">
        <v>5.0</v>
      </c>
      <c r="V98" s="38">
        <v>1.081522588E9</v>
      </c>
      <c r="W98" s="38">
        <v>1.081540658E9</v>
      </c>
      <c r="X98" s="18" t="s">
        <v>2199</v>
      </c>
      <c r="Y98" s="18" t="s">
        <v>2200</v>
      </c>
      <c r="Z98" s="38">
        <v>53638.77</v>
      </c>
      <c r="AA98" s="38">
        <v>53638.77</v>
      </c>
      <c r="AB98" s="38">
        <v>-1667.24</v>
      </c>
      <c r="AC98" s="38">
        <v>0.0</v>
      </c>
      <c r="AD98" s="38">
        <v>3204.01</v>
      </c>
      <c r="AE98" s="38">
        <v>0.0</v>
      </c>
      <c r="AF98" s="38">
        <v>0.0</v>
      </c>
      <c r="AG98" s="38">
        <v>0.0</v>
      </c>
      <c r="AH98" s="38">
        <v>0.0</v>
      </c>
      <c r="AI98" s="38">
        <v>53638.77</v>
      </c>
      <c r="AJ98" s="38">
        <v>283504.12</v>
      </c>
      <c r="AK98" s="38">
        <v>5.0</v>
      </c>
      <c r="AL98" s="38">
        <v>242.77</v>
      </c>
      <c r="AM98" s="38">
        <v>0.0</v>
      </c>
      <c r="AN98" s="34" t="s">
        <v>62</v>
      </c>
      <c r="AO98" s="34" t="s">
        <v>62</v>
      </c>
      <c r="AP98" s="34" t="s">
        <v>62</v>
      </c>
      <c r="AQ98" s="34" t="s">
        <v>62</v>
      </c>
      <c r="AR98" s="38">
        <v>0.0</v>
      </c>
      <c r="AS98" s="34"/>
      <c r="AT98" s="38" t="s">
        <v>2275</v>
      </c>
      <c r="AU98" s="38" t="s">
        <v>2276</v>
      </c>
      <c r="AV98" s="40">
        <v>46164.0</v>
      </c>
    </row>
    <row r="99">
      <c r="A99" s="38">
        <v>595151.0</v>
      </c>
      <c r="B99" s="38">
        <v>498532.0</v>
      </c>
      <c r="C99" s="38">
        <v>551637.0</v>
      </c>
      <c r="D99" s="34" t="s">
        <v>62</v>
      </c>
      <c r="E99" s="34" t="s">
        <v>62</v>
      </c>
      <c r="F99" s="38">
        <v>1255009.0</v>
      </c>
      <c r="G99" s="18" t="s">
        <v>474</v>
      </c>
      <c r="H99" s="18" t="s">
        <v>2343</v>
      </c>
      <c r="I99" s="18" t="s">
        <v>217</v>
      </c>
      <c r="J99" s="18" t="s">
        <v>2337</v>
      </c>
      <c r="K99" s="18" t="s">
        <v>2337</v>
      </c>
      <c r="L99" s="18" t="s">
        <v>52</v>
      </c>
      <c r="M99" s="18" t="s">
        <v>89</v>
      </c>
      <c r="N99" s="18" t="s">
        <v>130</v>
      </c>
      <c r="O99" s="18" t="s">
        <v>126</v>
      </c>
      <c r="P99" s="18" t="s">
        <v>218</v>
      </c>
      <c r="Q99" s="18" t="s">
        <v>219</v>
      </c>
      <c r="R99" s="18" t="s">
        <v>133</v>
      </c>
      <c r="S99" s="18" t="s">
        <v>59</v>
      </c>
      <c r="T99" s="38">
        <v>2026.0</v>
      </c>
      <c r="U99" s="38">
        <v>5.0</v>
      </c>
      <c r="V99" s="38">
        <v>1.081522592E9</v>
      </c>
      <c r="W99" s="38">
        <v>1.081540662E9</v>
      </c>
      <c r="X99" s="18" t="s">
        <v>2199</v>
      </c>
      <c r="Y99" s="18" t="s">
        <v>2200</v>
      </c>
      <c r="Z99" s="38">
        <v>50434.76</v>
      </c>
      <c r="AA99" s="38">
        <v>50434.76</v>
      </c>
      <c r="AB99" s="38">
        <v>-1667.24</v>
      </c>
      <c r="AC99" s="38">
        <v>0.0</v>
      </c>
      <c r="AD99" s="38">
        <v>0.0</v>
      </c>
      <c r="AE99" s="38">
        <v>0.0</v>
      </c>
      <c r="AF99" s="38">
        <v>0.0</v>
      </c>
      <c r="AG99" s="38">
        <v>0.0</v>
      </c>
      <c r="AH99" s="38">
        <v>0.0</v>
      </c>
      <c r="AI99" s="38">
        <v>50434.76</v>
      </c>
      <c r="AJ99" s="38">
        <v>50434.76</v>
      </c>
      <c r="AK99" s="38">
        <v>0.0</v>
      </c>
      <c r="AL99" s="38">
        <v>242.77</v>
      </c>
      <c r="AM99" s="38">
        <v>0.0</v>
      </c>
      <c r="AN99" s="34" t="s">
        <v>62</v>
      </c>
      <c r="AO99" s="34" t="s">
        <v>62</v>
      </c>
      <c r="AP99" s="34" t="s">
        <v>62</v>
      </c>
      <c r="AQ99" s="34" t="s">
        <v>62</v>
      </c>
      <c r="AR99" s="38">
        <v>0.0</v>
      </c>
      <c r="AS99" s="34"/>
      <c r="AT99" s="38" t="s">
        <v>2275</v>
      </c>
      <c r="AU99" s="38" t="s">
        <v>2276</v>
      </c>
      <c r="AV99" s="40">
        <v>46164.0</v>
      </c>
    </row>
    <row r="100">
      <c r="A100" s="38">
        <v>595155.0</v>
      </c>
      <c r="B100" s="38">
        <v>498536.0</v>
      </c>
      <c r="C100" s="38">
        <v>551641.0</v>
      </c>
      <c r="D100" s="34" t="s">
        <v>62</v>
      </c>
      <c r="E100" s="34" t="s">
        <v>62</v>
      </c>
      <c r="F100" s="38">
        <v>1255013.0</v>
      </c>
      <c r="G100" s="18" t="s">
        <v>476</v>
      </c>
      <c r="H100" s="18" t="s">
        <v>2344</v>
      </c>
      <c r="I100" s="18" t="s">
        <v>217</v>
      </c>
      <c r="J100" s="18" t="s">
        <v>2337</v>
      </c>
      <c r="K100" s="18" t="s">
        <v>2337</v>
      </c>
      <c r="L100" s="18" t="s">
        <v>52</v>
      </c>
      <c r="M100" s="18" t="s">
        <v>89</v>
      </c>
      <c r="N100" s="18" t="s">
        <v>130</v>
      </c>
      <c r="O100" s="18" t="s">
        <v>126</v>
      </c>
      <c r="P100" s="18" t="s">
        <v>218</v>
      </c>
      <c r="Q100" s="18" t="s">
        <v>219</v>
      </c>
      <c r="R100" s="18" t="s">
        <v>133</v>
      </c>
      <c r="S100" s="18" t="s">
        <v>59</v>
      </c>
      <c r="T100" s="38">
        <v>2026.0</v>
      </c>
      <c r="U100" s="38">
        <v>5.0</v>
      </c>
      <c r="V100" s="38">
        <v>1.081522595E9</v>
      </c>
      <c r="W100" s="38">
        <v>1.081540665E9</v>
      </c>
      <c r="X100" s="18" t="s">
        <v>2199</v>
      </c>
      <c r="Y100" s="18" t="s">
        <v>2200</v>
      </c>
      <c r="Z100" s="38">
        <v>50434.76</v>
      </c>
      <c r="AA100" s="38">
        <v>50434.76</v>
      </c>
      <c r="AB100" s="38">
        <v>-1667.24</v>
      </c>
      <c r="AC100" s="38">
        <v>0.0</v>
      </c>
      <c r="AD100" s="38">
        <v>0.0</v>
      </c>
      <c r="AE100" s="38">
        <v>0.0</v>
      </c>
      <c r="AF100" s="38">
        <v>0.0</v>
      </c>
      <c r="AG100" s="38">
        <v>0.0</v>
      </c>
      <c r="AH100" s="38">
        <v>0.0</v>
      </c>
      <c r="AI100" s="38">
        <v>50434.76</v>
      </c>
      <c r="AJ100" s="38">
        <v>50434.76</v>
      </c>
      <c r="AK100" s="38">
        <v>0.0</v>
      </c>
      <c r="AL100" s="38">
        <v>242.77</v>
      </c>
      <c r="AM100" s="38">
        <v>0.0</v>
      </c>
      <c r="AN100" s="34" t="s">
        <v>62</v>
      </c>
      <c r="AO100" s="34" t="s">
        <v>62</v>
      </c>
      <c r="AP100" s="34" t="s">
        <v>62</v>
      </c>
      <c r="AQ100" s="34" t="s">
        <v>62</v>
      </c>
      <c r="AR100" s="38">
        <v>0.0</v>
      </c>
      <c r="AS100" s="34"/>
      <c r="AT100" s="38" t="s">
        <v>2275</v>
      </c>
      <c r="AU100" s="38" t="s">
        <v>2276</v>
      </c>
      <c r="AV100" s="40">
        <v>46164.0</v>
      </c>
    </row>
    <row r="101">
      <c r="A101" s="38">
        <v>595159.0</v>
      </c>
      <c r="B101" s="38">
        <v>498540.0</v>
      </c>
      <c r="C101" s="38">
        <v>551645.0</v>
      </c>
      <c r="D101" s="34" t="s">
        <v>62</v>
      </c>
      <c r="E101" s="34" t="s">
        <v>62</v>
      </c>
      <c r="F101" s="38">
        <v>1255017.0</v>
      </c>
      <c r="G101" s="18" t="s">
        <v>478</v>
      </c>
      <c r="H101" s="18" t="s">
        <v>2345</v>
      </c>
      <c r="I101" s="18" t="s">
        <v>217</v>
      </c>
      <c r="J101" s="18" t="s">
        <v>2337</v>
      </c>
      <c r="K101" s="18" t="s">
        <v>2337</v>
      </c>
      <c r="L101" s="18" t="s">
        <v>52</v>
      </c>
      <c r="M101" s="18" t="s">
        <v>89</v>
      </c>
      <c r="N101" s="18" t="s">
        <v>130</v>
      </c>
      <c r="O101" s="18" t="s">
        <v>126</v>
      </c>
      <c r="P101" s="18" t="s">
        <v>218</v>
      </c>
      <c r="Q101" s="18" t="s">
        <v>219</v>
      </c>
      <c r="R101" s="18" t="s">
        <v>133</v>
      </c>
      <c r="S101" s="18" t="s">
        <v>59</v>
      </c>
      <c r="T101" s="38">
        <v>2026.0</v>
      </c>
      <c r="U101" s="38">
        <v>5.0</v>
      </c>
      <c r="V101" s="38">
        <v>1.081522599E9</v>
      </c>
      <c r="W101" s="38">
        <v>1.081540669E9</v>
      </c>
      <c r="X101" s="18" t="s">
        <v>2199</v>
      </c>
      <c r="Y101" s="18" t="s">
        <v>2200</v>
      </c>
      <c r="Z101" s="38">
        <v>50434.76</v>
      </c>
      <c r="AA101" s="38">
        <v>50434.76</v>
      </c>
      <c r="AB101" s="38">
        <v>-1667.24</v>
      </c>
      <c r="AC101" s="38">
        <v>0.0</v>
      </c>
      <c r="AD101" s="38">
        <v>0.0</v>
      </c>
      <c r="AE101" s="38">
        <v>0.0</v>
      </c>
      <c r="AF101" s="38">
        <v>0.0</v>
      </c>
      <c r="AG101" s="38">
        <v>0.0</v>
      </c>
      <c r="AH101" s="38">
        <v>0.0</v>
      </c>
      <c r="AI101" s="38">
        <v>50434.76</v>
      </c>
      <c r="AJ101" s="38">
        <v>100464.89</v>
      </c>
      <c r="AK101" s="38">
        <v>1.0</v>
      </c>
      <c r="AL101" s="38">
        <v>242.77</v>
      </c>
      <c r="AM101" s="38">
        <v>0.0</v>
      </c>
      <c r="AN101" s="34" t="s">
        <v>62</v>
      </c>
      <c r="AO101" s="34" t="s">
        <v>62</v>
      </c>
      <c r="AP101" s="34" t="s">
        <v>62</v>
      </c>
      <c r="AQ101" s="34" t="s">
        <v>62</v>
      </c>
      <c r="AR101" s="38">
        <v>0.0</v>
      </c>
      <c r="AS101" s="34"/>
      <c r="AT101" s="38" t="s">
        <v>2275</v>
      </c>
      <c r="AU101" s="38" t="s">
        <v>2276</v>
      </c>
      <c r="AV101" s="40">
        <v>46164.0</v>
      </c>
    </row>
    <row r="102">
      <c r="A102" s="38">
        <v>595163.0</v>
      </c>
      <c r="B102" s="38">
        <v>498544.0</v>
      </c>
      <c r="C102" s="38">
        <v>551649.0</v>
      </c>
      <c r="D102" s="34" t="s">
        <v>62</v>
      </c>
      <c r="E102" s="34" t="s">
        <v>62</v>
      </c>
      <c r="F102" s="38">
        <v>1255021.0</v>
      </c>
      <c r="G102" s="18" t="s">
        <v>480</v>
      </c>
      <c r="H102" s="18" t="s">
        <v>2346</v>
      </c>
      <c r="I102" s="18" t="s">
        <v>217</v>
      </c>
      <c r="J102" s="18" t="s">
        <v>2337</v>
      </c>
      <c r="K102" s="18" t="s">
        <v>2337</v>
      </c>
      <c r="L102" s="18" t="s">
        <v>52</v>
      </c>
      <c r="M102" s="18" t="s">
        <v>89</v>
      </c>
      <c r="N102" s="18" t="s">
        <v>130</v>
      </c>
      <c r="O102" s="18" t="s">
        <v>126</v>
      </c>
      <c r="P102" s="18" t="s">
        <v>218</v>
      </c>
      <c r="Q102" s="18" t="s">
        <v>219</v>
      </c>
      <c r="R102" s="18" t="s">
        <v>133</v>
      </c>
      <c r="S102" s="18" t="s">
        <v>59</v>
      </c>
      <c r="T102" s="38">
        <v>2026.0</v>
      </c>
      <c r="U102" s="38">
        <v>5.0</v>
      </c>
      <c r="V102" s="38">
        <v>1.081522603E9</v>
      </c>
      <c r="W102" s="38">
        <v>1.081540673E9</v>
      </c>
      <c r="X102" s="18" t="s">
        <v>2199</v>
      </c>
      <c r="Y102" s="18" t="s">
        <v>2200</v>
      </c>
      <c r="Z102" s="38">
        <v>50434.76</v>
      </c>
      <c r="AA102" s="38">
        <v>50434.76</v>
      </c>
      <c r="AB102" s="38">
        <v>-1667.24</v>
      </c>
      <c r="AC102" s="38">
        <v>0.0</v>
      </c>
      <c r="AD102" s="38">
        <v>0.0</v>
      </c>
      <c r="AE102" s="38">
        <v>0.0</v>
      </c>
      <c r="AF102" s="38">
        <v>0.0</v>
      </c>
      <c r="AG102" s="38">
        <v>0.0</v>
      </c>
      <c r="AH102" s="38">
        <v>0.0</v>
      </c>
      <c r="AI102" s="38">
        <v>50434.76</v>
      </c>
      <c r="AJ102" s="38">
        <v>50434.76</v>
      </c>
      <c r="AK102" s="38">
        <v>0.0</v>
      </c>
      <c r="AL102" s="38">
        <v>242.77</v>
      </c>
      <c r="AM102" s="38">
        <v>0.0</v>
      </c>
      <c r="AN102" s="34" t="s">
        <v>62</v>
      </c>
      <c r="AO102" s="34" t="s">
        <v>62</v>
      </c>
      <c r="AP102" s="34" t="s">
        <v>62</v>
      </c>
      <c r="AQ102" s="34" t="s">
        <v>62</v>
      </c>
      <c r="AR102" s="38">
        <v>0.0</v>
      </c>
      <c r="AS102" s="34"/>
      <c r="AT102" s="38" t="s">
        <v>2275</v>
      </c>
      <c r="AU102" s="38" t="s">
        <v>2276</v>
      </c>
      <c r="AV102" s="40">
        <v>46164.0</v>
      </c>
    </row>
    <row r="103">
      <c r="A103" s="38">
        <v>595167.0</v>
      </c>
      <c r="B103" s="38">
        <v>498548.0</v>
      </c>
      <c r="C103" s="38">
        <v>551653.0</v>
      </c>
      <c r="D103" s="34" t="s">
        <v>62</v>
      </c>
      <c r="E103" s="34" t="s">
        <v>62</v>
      </c>
      <c r="F103" s="38">
        <v>1255025.0</v>
      </c>
      <c r="G103" s="18" t="s">
        <v>482</v>
      </c>
      <c r="H103" s="18" t="s">
        <v>2347</v>
      </c>
      <c r="I103" s="18" t="s">
        <v>217</v>
      </c>
      <c r="J103" s="18" t="s">
        <v>2337</v>
      </c>
      <c r="K103" s="18" t="s">
        <v>2337</v>
      </c>
      <c r="L103" s="18" t="s">
        <v>52</v>
      </c>
      <c r="M103" s="18" t="s">
        <v>89</v>
      </c>
      <c r="N103" s="18" t="s">
        <v>130</v>
      </c>
      <c r="O103" s="18" t="s">
        <v>126</v>
      </c>
      <c r="P103" s="18" t="s">
        <v>218</v>
      </c>
      <c r="Q103" s="18" t="s">
        <v>219</v>
      </c>
      <c r="R103" s="18" t="s">
        <v>133</v>
      </c>
      <c r="S103" s="18" t="s">
        <v>59</v>
      </c>
      <c r="T103" s="38">
        <v>2026.0</v>
      </c>
      <c r="U103" s="38">
        <v>5.0</v>
      </c>
      <c r="V103" s="38">
        <v>1.081522607E9</v>
      </c>
      <c r="W103" s="38">
        <v>1.081540677E9</v>
      </c>
      <c r="X103" s="18" t="s">
        <v>2199</v>
      </c>
      <c r="Y103" s="18" t="s">
        <v>2200</v>
      </c>
      <c r="Z103" s="38">
        <v>53638.77</v>
      </c>
      <c r="AA103" s="38">
        <v>53638.77</v>
      </c>
      <c r="AB103" s="38">
        <v>-1667.24</v>
      </c>
      <c r="AC103" s="38">
        <v>0.0</v>
      </c>
      <c r="AD103" s="38">
        <v>3204.01</v>
      </c>
      <c r="AE103" s="38">
        <v>0.0</v>
      </c>
      <c r="AF103" s="38">
        <v>0.0</v>
      </c>
      <c r="AG103" s="38">
        <v>0.0</v>
      </c>
      <c r="AH103" s="38">
        <v>0.0</v>
      </c>
      <c r="AI103" s="38">
        <v>53638.77</v>
      </c>
      <c r="AJ103" s="38">
        <v>283504.12</v>
      </c>
      <c r="AK103" s="38">
        <v>5.0</v>
      </c>
      <c r="AL103" s="38">
        <v>242.77</v>
      </c>
      <c r="AM103" s="38">
        <v>0.0</v>
      </c>
      <c r="AN103" s="34" t="s">
        <v>62</v>
      </c>
      <c r="AO103" s="34" t="s">
        <v>62</v>
      </c>
      <c r="AP103" s="34" t="s">
        <v>62</v>
      </c>
      <c r="AQ103" s="34" t="s">
        <v>62</v>
      </c>
      <c r="AR103" s="38">
        <v>0.0</v>
      </c>
      <c r="AS103" s="34"/>
      <c r="AT103" s="38" t="s">
        <v>2275</v>
      </c>
      <c r="AU103" s="38" t="s">
        <v>2276</v>
      </c>
      <c r="AV103" s="40">
        <v>46164.0</v>
      </c>
    </row>
    <row r="104">
      <c r="A104" s="38">
        <v>595171.0</v>
      </c>
      <c r="B104" s="38">
        <v>498552.0</v>
      </c>
      <c r="C104" s="38">
        <v>551657.0</v>
      </c>
      <c r="D104" s="34" t="s">
        <v>62</v>
      </c>
      <c r="E104" s="34" t="s">
        <v>62</v>
      </c>
      <c r="F104" s="38">
        <v>1255029.0</v>
      </c>
      <c r="G104" s="18" t="s">
        <v>484</v>
      </c>
      <c r="H104" s="18" t="s">
        <v>2348</v>
      </c>
      <c r="I104" s="18" t="s">
        <v>217</v>
      </c>
      <c r="J104" s="18" t="s">
        <v>2337</v>
      </c>
      <c r="K104" s="18" t="s">
        <v>2337</v>
      </c>
      <c r="L104" s="18" t="s">
        <v>52</v>
      </c>
      <c r="M104" s="18" t="s">
        <v>89</v>
      </c>
      <c r="N104" s="18" t="s">
        <v>130</v>
      </c>
      <c r="O104" s="18" t="s">
        <v>126</v>
      </c>
      <c r="P104" s="18" t="s">
        <v>218</v>
      </c>
      <c r="Q104" s="18" t="s">
        <v>219</v>
      </c>
      <c r="R104" s="18" t="s">
        <v>133</v>
      </c>
      <c r="S104" s="18" t="s">
        <v>59</v>
      </c>
      <c r="T104" s="38">
        <v>2026.0</v>
      </c>
      <c r="U104" s="38">
        <v>5.0</v>
      </c>
      <c r="V104" s="38">
        <v>1.081522611E9</v>
      </c>
      <c r="W104" s="38">
        <v>1.081540681E9</v>
      </c>
      <c r="X104" s="18" t="s">
        <v>2199</v>
      </c>
      <c r="Y104" s="18" t="s">
        <v>2200</v>
      </c>
      <c r="Z104" s="38">
        <v>53638.77</v>
      </c>
      <c r="AA104" s="38">
        <v>53638.77</v>
      </c>
      <c r="AB104" s="38">
        <v>-1667.24</v>
      </c>
      <c r="AC104" s="38">
        <v>0.0</v>
      </c>
      <c r="AD104" s="38">
        <v>3204.01</v>
      </c>
      <c r="AE104" s="38">
        <v>0.0</v>
      </c>
      <c r="AF104" s="38">
        <v>0.0</v>
      </c>
      <c r="AG104" s="38">
        <v>0.0</v>
      </c>
      <c r="AH104" s="38">
        <v>0.0</v>
      </c>
      <c r="AI104" s="38">
        <v>53638.77</v>
      </c>
      <c r="AJ104" s="38">
        <v>283504.12</v>
      </c>
      <c r="AK104" s="38">
        <v>5.0</v>
      </c>
      <c r="AL104" s="38">
        <v>242.77</v>
      </c>
      <c r="AM104" s="38">
        <v>0.0</v>
      </c>
      <c r="AN104" s="34" t="s">
        <v>62</v>
      </c>
      <c r="AO104" s="34" t="s">
        <v>62</v>
      </c>
      <c r="AP104" s="34" t="s">
        <v>62</v>
      </c>
      <c r="AQ104" s="34" t="s">
        <v>62</v>
      </c>
      <c r="AR104" s="38">
        <v>0.0</v>
      </c>
      <c r="AS104" s="34"/>
      <c r="AT104" s="38" t="s">
        <v>2275</v>
      </c>
      <c r="AU104" s="38" t="s">
        <v>2276</v>
      </c>
      <c r="AV104" s="40">
        <v>46164.0</v>
      </c>
    </row>
    <row r="105">
      <c r="A105" s="38">
        <v>595175.0</v>
      </c>
      <c r="B105" s="38">
        <v>498556.0</v>
      </c>
      <c r="C105" s="38">
        <v>551661.0</v>
      </c>
      <c r="D105" s="34" t="s">
        <v>62</v>
      </c>
      <c r="E105" s="34" t="s">
        <v>62</v>
      </c>
      <c r="F105" s="38">
        <v>1255033.0</v>
      </c>
      <c r="G105" s="18" t="s">
        <v>486</v>
      </c>
      <c r="H105" s="18" t="s">
        <v>2349</v>
      </c>
      <c r="I105" s="18" t="s">
        <v>217</v>
      </c>
      <c r="J105" s="18" t="s">
        <v>2337</v>
      </c>
      <c r="K105" s="18" t="s">
        <v>2337</v>
      </c>
      <c r="L105" s="18" t="s">
        <v>52</v>
      </c>
      <c r="M105" s="18" t="s">
        <v>89</v>
      </c>
      <c r="N105" s="18" t="s">
        <v>130</v>
      </c>
      <c r="O105" s="18" t="s">
        <v>126</v>
      </c>
      <c r="P105" s="18" t="s">
        <v>218</v>
      </c>
      <c r="Q105" s="18" t="s">
        <v>219</v>
      </c>
      <c r="R105" s="18" t="s">
        <v>133</v>
      </c>
      <c r="S105" s="18" t="s">
        <v>59</v>
      </c>
      <c r="T105" s="38">
        <v>2026.0</v>
      </c>
      <c r="U105" s="38">
        <v>5.0</v>
      </c>
      <c r="V105" s="38">
        <v>1.081522615E9</v>
      </c>
      <c r="W105" s="38">
        <v>1.081540685E9</v>
      </c>
      <c r="X105" s="18" t="s">
        <v>2199</v>
      </c>
      <c r="Y105" s="18" t="s">
        <v>2200</v>
      </c>
      <c r="Z105" s="38">
        <v>50434.76</v>
      </c>
      <c r="AA105" s="38">
        <v>50434.76</v>
      </c>
      <c r="AB105" s="38">
        <v>-1667.24</v>
      </c>
      <c r="AC105" s="38">
        <v>0.0</v>
      </c>
      <c r="AD105" s="38">
        <v>0.0</v>
      </c>
      <c r="AE105" s="38">
        <v>0.0</v>
      </c>
      <c r="AF105" s="38">
        <v>0.0</v>
      </c>
      <c r="AG105" s="38">
        <v>0.0</v>
      </c>
      <c r="AH105" s="38">
        <v>0.0</v>
      </c>
      <c r="AI105" s="38">
        <v>50434.76</v>
      </c>
      <c r="AJ105" s="38">
        <v>50434.76</v>
      </c>
      <c r="AK105" s="38">
        <v>0.0</v>
      </c>
      <c r="AL105" s="38">
        <v>242.77</v>
      </c>
      <c r="AM105" s="38">
        <v>0.0</v>
      </c>
      <c r="AN105" s="34" t="s">
        <v>62</v>
      </c>
      <c r="AO105" s="34" t="s">
        <v>62</v>
      </c>
      <c r="AP105" s="34" t="s">
        <v>62</v>
      </c>
      <c r="AQ105" s="34" t="s">
        <v>62</v>
      </c>
      <c r="AR105" s="38">
        <v>0.0</v>
      </c>
      <c r="AS105" s="34"/>
      <c r="AT105" s="38" t="s">
        <v>2275</v>
      </c>
      <c r="AU105" s="38" t="s">
        <v>2276</v>
      </c>
      <c r="AV105" s="40">
        <v>46164.0</v>
      </c>
    </row>
    <row r="106">
      <c r="A106" s="38">
        <v>595179.0</v>
      </c>
      <c r="B106" s="38">
        <v>498560.0</v>
      </c>
      <c r="C106" s="38">
        <v>551665.0</v>
      </c>
      <c r="D106" s="34" t="s">
        <v>62</v>
      </c>
      <c r="E106" s="34" t="s">
        <v>62</v>
      </c>
      <c r="F106" s="38">
        <v>1255037.0</v>
      </c>
      <c r="G106" s="18" t="s">
        <v>488</v>
      </c>
      <c r="H106" s="18" t="s">
        <v>2350</v>
      </c>
      <c r="I106" s="18" t="s">
        <v>217</v>
      </c>
      <c r="J106" s="18" t="s">
        <v>2337</v>
      </c>
      <c r="K106" s="18" t="s">
        <v>2337</v>
      </c>
      <c r="L106" s="18" t="s">
        <v>52</v>
      </c>
      <c r="M106" s="18" t="s">
        <v>89</v>
      </c>
      <c r="N106" s="18" t="s">
        <v>130</v>
      </c>
      <c r="O106" s="18" t="s">
        <v>126</v>
      </c>
      <c r="P106" s="18" t="s">
        <v>218</v>
      </c>
      <c r="Q106" s="18" t="s">
        <v>219</v>
      </c>
      <c r="R106" s="18" t="s">
        <v>133</v>
      </c>
      <c r="S106" s="18" t="s">
        <v>59</v>
      </c>
      <c r="T106" s="38">
        <v>2026.0</v>
      </c>
      <c r="U106" s="38">
        <v>5.0</v>
      </c>
      <c r="V106" s="38">
        <v>1.081522619E9</v>
      </c>
      <c r="W106" s="38">
        <v>1.081540689E9</v>
      </c>
      <c r="X106" s="18" t="s">
        <v>2199</v>
      </c>
      <c r="Y106" s="18" t="s">
        <v>2200</v>
      </c>
      <c r="Z106" s="38">
        <v>50607.0</v>
      </c>
      <c r="AA106" s="38">
        <v>50607.0</v>
      </c>
      <c r="AB106" s="38">
        <v>-1667.24</v>
      </c>
      <c r="AC106" s="38">
        <v>0.0</v>
      </c>
      <c r="AD106" s="38">
        <v>172.24</v>
      </c>
      <c r="AE106" s="38">
        <v>0.0</v>
      </c>
      <c r="AF106" s="38">
        <v>0.0</v>
      </c>
      <c r="AG106" s="38">
        <v>0.0</v>
      </c>
      <c r="AH106" s="38">
        <v>0.0</v>
      </c>
      <c r="AI106" s="38">
        <v>50607.0</v>
      </c>
      <c r="AJ106" s="38">
        <v>50608.06</v>
      </c>
      <c r="AK106" s="38">
        <v>1.0</v>
      </c>
      <c r="AL106" s="38">
        <v>242.77</v>
      </c>
      <c r="AM106" s="38">
        <v>0.0</v>
      </c>
      <c r="AN106" s="34" t="s">
        <v>62</v>
      </c>
      <c r="AO106" s="34" t="s">
        <v>62</v>
      </c>
      <c r="AP106" s="34" t="s">
        <v>62</v>
      </c>
      <c r="AQ106" s="34" t="s">
        <v>62</v>
      </c>
      <c r="AR106" s="38">
        <v>0.0</v>
      </c>
      <c r="AS106" s="38" t="s">
        <v>2351</v>
      </c>
      <c r="AT106" s="38" t="s">
        <v>2275</v>
      </c>
      <c r="AU106" s="38" t="s">
        <v>2276</v>
      </c>
      <c r="AV106" s="40">
        <v>46164.0</v>
      </c>
    </row>
    <row r="107">
      <c r="A107" s="38">
        <v>595183.0</v>
      </c>
      <c r="B107" s="38">
        <v>498564.0</v>
      </c>
      <c r="C107" s="38">
        <v>551669.0</v>
      </c>
      <c r="D107" s="34" t="s">
        <v>62</v>
      </c>
      <c r="E107" s="34" t="s">
        <v>62</v>
      </c>
      <c r="F107" s="38">
        <v>1255041.0</v>
      </c>
      <c r="G107" s="18" t="s">
        <v>490</v>
      </c>
      <c r="H107" s="18" t="s">
        <v>2352</v>
      </c>
      <c r="I107" s="18" t="s">
        <v>217</v>
      </c>
      <c r="J107" s="18" t="s">
        <v>2337</v>
      </c>
      <c r="K107" s="18" t="s">
        <v>2337</v>
      </c>
      <c r="L107" s="18" t="s">
        <v>52</v>
      </c>
      <c r="M107" s="18" t="s">
        <v>89</v>
      </c>
      <c r="N107" s="18" t="s">
        <v>130</v>
      </c>
      <c r="O107" s="18" t="s">
        <v>126</v>
      </c>
      <c r="P107" s="18" t="s">
        <v>218</v>
      </c>
      <c r="Q107" s="18" t="s">
        <v>219</v>
      </c>
      <c r="R107" s="18" t="s">
        <v>133</v>
      </c>
      <c r="S107" s="18" t="s">
        <v>59</v>
      </c>
      <c r="T107" s="38">
        <v>2026.0</v>
      </c>
      <c r="U107" s="38">
        <v>5.0</v>
      </c>
      <c r="V107" s="38">
        <v>1.081522623E9</v>
      </c>
      <c r="W107" s="38">
        <v>1.081540693E9</v>
      </c>
      <c r="X107" s="18" t="s">
        <v>2199</v>
      </c>
      <c r="Y107" s="18" t="s">
        <v>2200</v>
      </c>
      <c r="Z107" s="38">
        <v>51639.98</v>
      </c>
      <c r="AA107" s="38">
        <v>51639.98</v>
      </c>
      <c r="AB107" s="38">
        <v>-1667.24</v>
      </c>
      <c r="AC107" s="38">
        <v>0.0</v>
      </c>
      <c r="AD107" s="38">
        <v>1205.22</v>
      </c>
      <c r="AE107" s="38">
        <v>0.0</v>
      </c>
      <c r="AF107" s="38">
        <v>0.0</v>
      </c>
      <c r="AG107" s="38">
        <v>0.0</v>
      </c>
      <c r="AH107" s="38">
        <v>0.0</v>
      </c>
      <c r="AI107" s="38">
        <v>51639.98</v>
      </c>
      <c r="AJ107" s="38">
        <v>102165.78</v>
      </c>
      <c r="AK107" s="38">
        <v>1.0</v>
      </c>
      <c r="AL107" s="38">
        <v>242.77</v>
      </c>
      <c r="AM107" s="38">
        <v>0.0</v>
      </c>
      <c r="AN107" s="34" t="s">
        <v>62</v>
      </c>
      <c r="AO107" s="34" t="s">
        <v>62</v>
      </c>
      <c r="AP107" s="34" t="s">
        <v>62</v>
      </c>
      <c r="AQ107" s="34" t="s">
        <v>62</v>
      </c>
      <c r="AR107" s="38">
        <v>0.0</v>
      </c>
      <c r="AS107" s="34"/>
      <c r="AT107" s="38" t="s">
        <v>2275</v>
      </c>
      <c r="AU107" s="38" t="s">
        <v>2276</v>
      </c>
      <c r="AV107" s="40">
        <v>46164.0</v>
      </c>
    </row>
    <row r="108">
      <c r="A108" s="38">
        <v>595187.0</v>
      </c>
      <c r="B108" s="38">
        <v>498568.0</v>
      </c>
      <c r="C108" s="38">
        <v>551673.0</v>
      </c>
      <c r="D108" s="34" t="s">
        <v>62</v>
      </c>
      <c r="E108" s="34" t="s">
        <v>62</v>
      </c>
      <c r="F108" s="38">
        <v>1255045.0</v>
      </c>
      <c r="G108" s="18" t="s">
        <v>492</v>
      </c>
      <c r="H108" s="18" t="s">
        <v>2353</v>
      </c>
      <c r="I108" s="18" t="s">
        <v>217</v>
      </c>
      <c r="J108" s="18" t="s">
        <v>2337</v>
      </c>
      <c r="K108" s="18" t="s">
        <v>2337</v>
      </c>
      <c r="L108" s="18" t="s">
        <v>52</v>
      </c>
      <c r="M108" s="18" t="s">
        <v>89</v>
      </c>
      <c r="N108" s="18" t="s">
        <v>130</v>
      </c>
      <c r="O108" s="18" t="s">
        <v>126</v>
      </c>
      <c r="P108" s="18" t="s">
        <v>218</v>
      </c>
      <c r="Q108" s="18" t="s">
        <v>219</v>
      </c>
      <c r="R108" s="18" t="s">
        <v>133</v>
      </c>
      <c r="S108" s="18" t="s">
        <v>59</v>
      </c>
      <c r="T108" s="38">
        <v>2026.0</v>
      </c>
      <c r="U108" s="38">
        <v>5.0</v>
      </c>
      <c r="V108" s="38">
        <v>1.081522627E9</v>
      </c>
      <c r="W108" s="38">
        <v>1.081540697E9</v>
      </c>
      <c r="X108" s="18" t="s">
        <v>2199</v>
      </c>
      <c r="Y108" s="18" t="s">
        <v>2200</v>
      </c>
      <c r="Z108" s="38">
        <v>50434.76</v>
      </c>
      <c r="AA108" s="38">
        <v>50434.76</v>
      </c>
      <c r="AB108" s="38">
        <v>-1667.24</v>
      </c>
      <c r="AC108" s="38">
        <v>0.0</v>
      </c>
      <c r="AD108" s="38">
        <v>0.0</v>
      </c>
      <c r="AE108" s="38">
        <v>0.0</v>
      </c>
      <c r="AF108" s="38">
        <v>0.0</v>
      </c>
      <c r="AG108" s="38">
        <v>0.0</v>
      </c>
      <c r="AH108" s="38">
        <v>0.0</v>
      </c>
      <c r="AI108" s="38">
        <v>50434.76</v>
      </c>
      <c r="AJ108" s="38">
        <v>50434.76</v>
      </c>
      <c r="AK108" s="38">
        <v>0.0</v>
      </c>
      <c r="AL108" s="38">
        <v>242.77</v>
      </c>
      <c r="AM108" s="38">
        <v>0.0</v>
      </c>
      <c r="AN108" s="34" t="s">
        <v>62</v>
      </c>
      <c r="AO108" s="34" t="s">
        <v>62</v>
      </c>
      <c r="AP108" s="34" t="s">
        <v>62</v>
      </c>
      <c r="AQ108" s="34" t="s">
        <v>62</v>
      </c>
      <c r="AR108" s="38">
        <v>0.0</v>
      </c>
      <c r="AS108" s="34"/>
      <c r="AT108" s="38" t="s">
        <v>2275</v>
      </c>
      <c r="AU108" s="38" t="s">
        <v>2276</v>
      </c>
      <c r="AV108" s="40">
        <v>46164.0</v>
      </c>
    </row>
    <row r="109">
      <c r="A109" s="38">
        <v>595191.0</v>
      </c>
      <c r="B109" s="38">
        <v>498572.0</v>
      </c>
      <c r="C109" s="38">
        <v>551677.0</v>
      </c>
      <c r="D109" s="34" t="s">
        <v>62</v>
      </c>
      <c r="E109" s="34" t="s">
        <v>62</v>
      </c>
      <c r="F109" s="38">
        <v>1255049.0</v>
      </c>
      <c r="G109" s="18" t="s">
        <v>494</v>
      </c>
      <c r="H109" s="18" t="s">
        <v>2354</v>
      </c>
      <c r="I109" s="18" t="s">
        <v>217</v>
      </c>
      <c r="J109" s="18" t="s">
        <v>2337</v>
      </c>
      <c r="K109" s="18" t="s">
        <v>2337</v>
      </c>
      <c r="L109" s="18" t="s">
        <v>52</v>
      </c>
      <c r="M109" s="18" t="s">
        <v>89</v>
      </c>
      <c r="N109" s="18" t="s">
        <v>130</v>
      </c>
      <c r="O109" s="18" t="s">
        <v>126</v>
      </c>
      <c r="P109" s="18" t="s">
        <v>218</v>
      </c>
      <c r="Q109" s="18" t="s">
        <v>219</v>
      </c>
      <c r="R109" s="18" t="s">
        <v>133</v>
      </c>
      <c r="S109" s="18" t="s">
        <v>59</v>
      </c>
      <c r="T109" s="38">
        <v>2026.0</v>
      </c>
      <c r="U109" s="38">
        <v>5.0</v>
      </c>
      <c r="V109" s="38">
        <v>1.081522631E9</v>
      </c>
      <c r="W109" s="38">
        <v>1.081540701E9</v>
      </c>
      <c r="X109" s="18" t="s">
        <v>2199</v>
      </c>
      <c r="Y109" s="18" t="s">
        <v>2200</v>
      </c>
      <c r="Z109" s="38">
        <v>50434.76</v>
      </c>
      <c r="AA109" s="38">
        <v>50434.76</v>
      </c>
      <c r="AB109" s="38">
        <v>-1667.24</v>
      </c>
      <c r="AC109" s="38">
        <v>0.0</v>
      </c>
      <c r="AD109" s="38">
        <v>0.0</v>
      </c>
      <c r="AE109" s="38">
        <v>0.0</v>
      </c>
      <c r="AF109" s="38">
        <v>0.0</v>
      </c>
      <c r="AG109" s="38">
        <v>0.0</v>
      </c>
      <c r="AH109" s="38">
        <v>0.0</v>
      </c>
      <c r="AI109" s="38">
        <v>50434.76</v>
      </c>
      <c r="AJ109" s="38">
        <v>50434.76</v>
      </c>
      <c r="AK109" s="38">
        <v>0.0</v>
      </c>
      <c r="AL109" s="38">
        <v>242.77</v>
      </c>
      <c r="AM109" s="38">
        <v>0.0</v>
      </c>
      <c r="AN109" s="34" t="s">
        <v>62</v>
      </c>
      <c r="AO109" s="34" t="s">
        <v>62</v>
      </c>
      <c r="AP109" s="34" t="s">
        <v>62</v>
      </c>
      <c r="AQ109" s="34" t="s">
        <v>62</v>
      </c>
      <c r="AR109" s="38">
        <v>0.0</v>
      </c>
      <c r="AS109" s="34"/>
      <c r="AT109" s="38" t="s">
        <v>2275</v>
      </c>
      <c r="AU109" s="38" t="s">
        <v>2276</v>
      </c>
      <c r="AV109" s="40">
        <v>46164.0</v>
      </c>
    </row>
    <row r="110">
      <c r="A110" s="38">
        <v>595195.0</v>
      </c>
      <c r="B110" s="38">
        <v>498576.0</v>
      </c>
      <c r="C110" s="38">
        <v>551681.0</v>
      </c>
      <c r="D110" s="34" t="s">
        <v>62</v>
      </c>
      <c r="E110" s="34" t="s">
        <v>62</v>
      </c>
      <c r="F110" s="38">
        <v>1255053.0</v>
      </c>
      <c r="G110" s="18" t="s">
        <v>496</v>
      </c>
      <c r="H110" s="18" t="s">
        <v>2355</v>
      </c>
      <c r="I110" s="18" t="s">
        <v>217</v>
      </c>
      <c r="J110" s="18" t="s">
        <v>2337</v>
      </c>
      <c r="K110" s="18" t="s">
        <v>2337</v>
      </c>
      <c r="L110" s="18" t="s">
        <v>52</v>
      </c>
      <c r="M110" s="18" t="s">
        <v>89</v>
      </c>
      <c r="N110" s="18" t="s">
        <v>130</v>
      </c>
      <c r="O110" s="18" t="s">
        <v>126</v>
      </c>
      <c r="P110" s="18" t="s">
        <v>218</v>
      </c>
      <c r="Q110" s="18" t="s">
        <v>219</v>
      </c>
      <c r="R110" s="18" t="s">
        <v>133</v>
      </c>
      <c r="S110" s="18" t="s">
        <v>59</v>
      </c>
      <c r="T110" s="38">
        <v>2026.0</v>
      </c>
      <c r="U110" s="38">
        <v>5.0</v>
      </c>
      <c r="V110" s="38">
        <v>1.081522635E9</v>
      </c>
      <c r="W110" s="38">
        <v>1.081540705E9</v>
      </c>
      <c r="X110" s="18" t="s">
        <v>2199</v>
      </c>
      <c r="Y110" s="18" t="s">
        <v>2200</v>
      </c>
      <c r="Z110" s="38">
        <v>50860.83</v>
      </c>
      <c r="AA110" s="38">
        <v>50860.83</v>
      </c>
      <c r="AB110" s="38">
        <v>-1667.24</v>
      </c>
      <c r="AC110" s="38">
        <v>0.0</v>
      </c>
      <c r="AD110" s="38">
        <v>426.07</v>
      </c>
      <c r="AE110" s="38">
        <v>0.0</v>
      </c>
      <c r="AF110" s="38">
        <v>0.0</v>
      </c>
      <c r="AG110" s="38">
        <v>0.0</v>
      </c>
      <c r="AH110" s="38">
        <v>0.0</v>
      </c>
      <c r="AI110" s="38">
        <v>50860.83</v>
      </c>
      <c r="AJ110" s="38">
        <v>101893.73</v>
      </c>
      <c r="AK110" s="38">
        <v>1.0</v>
      </c>
      <c r="AL110" s="38">
        <v>242.77</v>
      </c>
      <c r="AM110" s="38">
        <v>0.0</v>
      </c>
      <c r="AN110" s="34" t="s">
        <v>62</v>
      </c>
      <c r="AO110" s="34" t="s">
        <v>62</v>
      </c>
      <c r="AP110" s="34" t="s">
        <v>62</v>
      </c>
      <c r="AQ110" s="34" t="s">
        <v>62</v>
      </c>
      <c r="AR110" s="38">
        <v>0.0</v>
      </c>
      <c r="AS110" s="34"/>
      <c r="AT110" s="38" t="s">
        <v>2275</v>
      </c>
      <c r="AU110" s="38" t="s">
        <v>2276</v>
      </c>
      <c r="AV110" s="40">
        <v>46164.0</v>
      </c>
    </row>
    <row r="111">
      <c r="A111" s="38">
        <v>595199.0</v>
      </c>
      <c r="B111" s="38">
        <v>498580.0</v>
      </c>
      <c r="C111" s="38">
        <v>551685.0</v>
      </c>
      <c r="D111" s="34" t="s">
        <v>62</v>
      </c>
      <c r="E111" s="34" t="s">
        <v>62</v>
      </c>
      <c r="F111" s="38">
        <v>1255057.0</v>
      </c>
      <c r="G111" s="18" t="s">
        <v>498</v>
      </c>
      <c r="H111" s="18" t="s">
        <v>2356</v>
      </c>
      <c r="I111" s="18" t="s">
        <v>217</v>
      </c>
      <c r="J111" s="18" t="s">
        <v>2337</v>
      </c>
      <c r="K111" s="18" t="s">
        <v>2337</v>
      </c>
      <c r="L111" s="18" t="s">
        <v>52</v>
      </c>
      <c r="M111" s="18" t="s">
        <v>89</v>
      </c>
      <c r="N111" s="18" t="s">
        <v>130</v>
      </c>
      <c r="O111" s="18" t="s">
        <v>126</v>
      </c>
      <c r="P111" s="18" t="s">
        <v>218</v>
      </c>
      <c r="Q111" s="18" t="s">
        <v>219</v>
      </c>
      <c r="R111" s="18" t="s">
        <v>133</v>
      </c>
      <c r="S111" s="18" t="s">
        <v>59</v>
      </c>
      <c r="T111" s="38">
        <v>2026.0</v>
      </c>
      <c r="U111" s="38">
        <v>5.0</v>
      </c>
      <c r="V111" s="38">
        <v>1.081522639E9</v>
      </c>
      <c r="W111" s="38">
        <v>1.081540709E9</v>
      </c>
      <c r="X111" s="18" t="s">
        <v>2199</v>
      </c>
      <c r="Y111" s="18" t="s">
        <v>2200</v>
      </c>
      <c r="Z111" s="38">
        <v>53638.77</v>
      </c>
      <c r="AA111" s="38">
        <v>53638.77</v>
      </c>
      <c r="AB111" s="38">
        <v>-1667.24</v>
      </c>
      <c r="AC111" s="38">
        <v>0.0</v>
      </c>
      <c r="AD111" s="38">
        <v>3204.01</v>
      </c>
      <c r="AE111" s="38">
        <v>0.0</v>
      </c>
      <c r="AF111" s="38">
        <v>0.0</v>
      </c>
      <c r="AG111" s="38">
        <v>0.0</v>
      </c>
      <c r="AH111" s="38">
        <v>0.0</v>
      </c>
      <c r="AI111" s="38">
        <v>53638.77</v>
      </c>
      <c r="AJ111" s="38">
        <v>283504.12</v>
      </c>
      <c r="AK111" s="38">
        <v>5.0</v>
      </c>
      <c r="AL111" s="38">
        <v>242.77</v>
      </c>
      <c r="AM111" s="38">
        <v>0.0</v>
      </c>
      <c r="AN111" s="34" t="s">
        <v>62</v>
      </c>
      <c r="AO111" s="34" t="s">
        <v>62</v>
      </c>
      <c r="AP111" s="34" t="s">
        <v>62</v>
      </c>
      <c r="AQ111" s="34" t="s">
        <v>62</v>
      </c>
      <c r="AR111" s="38">
        <v>0.0</v>
      </c>
      <c r="AS111" s="34"/>
      <c r="AT111" s="38" t="s">
        <v>2275</v>
      </c>
      <c r="AU111" s="38" t="s">
        <v>2276</v>
      </c>
      <c r="AV111" s="40">
        <v>46164.0</v>
      </c>
    </row>
    <row r="112">
      <c r="A112" s="38">
        <v>595203.0</v>
      </c>
      <c r="B112" s="38">
        <v>498584.0</v>
      </c>
      <c r="C112" s="38">
        <v>551689.0</v>
      </c>
      <c r="D112" s="34" t="s">
        <v>62</v>
      </c>
      <c r="E112" s="34" t="s">
        <v>62</v>
      </c>
      <c r="F112" s="38">
        <v>1255061.0</v>
      </c>
      <c r="G112" s="18" t="s">
        <v>500</v>
      </c>
      <c r="H112" s="18" t="s">
        <v>2357</v>
      </c>
      <c r="I112" s="18" t="s">
        <v>217</v>
      </c>
      <c r="J112" s="18" t="s">
        <v>2337</v>
      </c>
      <c r="K112" s="18" t="s">
        <v>2337</v>
      </c>
      <c r="L112" s="18" t="s">
        <v>52</v>
      </c>
      <c r="M112" s="18" t="s">
        <v>89</v>
      </c>
      <c r="N112" s="18" t="s">
        <v>130</v>
      </c>
      <c r="O112" s="18" t="s">
        <v>126</v>
      </c>
      <c r="P112" s="18" t="s">
        <v>218</v>
      </c>
      <c r="Q112" s="18" t="s">
        <v>219</v>
      </c>
      <c r="R112" s="18" t="s">
        <v>133</v>
      </c>
      <c r="S112" s="18" t="s">
        <v>59</v>
      </c>
      <c r="T112" s="38">
        <v>2026.0</v>
      </c>
      <c r="U112" s="38">
        <v>5.0</v>
      </c>
      <c r="V112" s="38">
        <v>1.081522643E9</v>
      </c>
      <c r="W112" s="38">
        <v>1.081540713E9</v>
      </c>
      <c r="X112" s="18" t="s">
        <v>2199</v>
      </c>
      <c r="Y112" s="18" t="s">
        <v>2200</v>
      </c>
      <c r="Z112" s="38">
        <v>50549.59</v>
      </c>
      <c r="AA112" s="38">
        <v>50549.59</v>
      </c>
      <c r="AB112" s="38">
        <v>-1667.24</v>
      </c>
      <c r="AC112" s="38">
        <v>0.0</v>
      </c>
      <c r="AD112" s="38">
        <v>114.83</v>
      </c>
      <c r="AE112" s="38">
        <v>0.0</v>
      </c>
      <c r="AF112" s="38">
        <v>0.0</v>
      </c>
      <c r="AG112" s="38">
        <v>0.0</v>
      </c>
      <c r="AH112" s="38">
        <v>0.0</v>
      </c>
      <c r="AI112" s="38">
        <v>50549.59</v>
      </c>
      <c r="AJ112" s="38">
        <v>100579.72</v>
      </c>
      <c r="AK112" s="38">
        <v>1.0</v>
      </c>
      <c r="AL112" s="38">
        <v>242.77</v>
      </c>
      <c r="AM112" s="38">
        <v>0.0</v>
      </c>
      <c r="AN112" s="34" t="s">
        <v>62</v>
      </c>
      <c r="AO112" s="34" t="s">
        <v>62</v>
      </c>
      <c r="AP112" s="34" t="s">
        <v>62</v>
      </c>
      <c r="AQ112" s="34" t="s">
        <v>62</v>
      </c>
      <c r="AR112" s="38">
        <v>0.0</v>
      </c>
      <c r="AS112" s="34"/>
      <c r="AT112" s="38" t="s">
        <v>2275</v>
      </c>
      <c r="AU112" s="38" t="s">
        <v>2276</v>
      </c>
      <c r="AV112" s="40">
        <v>46164.0</v>
      </c>
    </row>
    <row r="113">
      <c r="A113" s="38">
        <v>595207.0</v>
      </c>
      <c r="B113" s="38">
        <v>498588.0</v>
      </c>
      <c r="C113" s="38">
        <v>551693.0</v>
      </c>
      <c r="D113" s="34" t="s">
        <v>62</v>
      </c>
      <c r="E113" s="34" t="s">
        <v>62</v>
      </c>
      <c r="F113" s="38">
        <v>1255065.0</v>
      </c>
      <c r="G113" s="18" t="s">
        <v>286</v>
      </c>
      <c r="H113" s="18" t="s">
        <v>2358</v>
      </c>
      <c r="I113" s="18" t="s">
        <v>217</v>
      </c>
      <c r="J113" s="18" t="s">
        <v>2337</v>
      </c>
      <c r="K113" s="18" t="s">
        <v>2337</v>
      </c>
      <c r="L113" s="18" t="s">
        <v>52</v>
      </c>
      <c r="M113" s="18" t="s">
        <v>89</v>
      </c>
      <c r="N113" s="18" t="s">
        <v>130</v>
      </c>
      <c r="O113" s="18" t="s">
        <v>126</v>
      </c>
      <c r="P113" s="18" t="s">
        <v>218</v>
      </c>
      <c r="Q113" s="18" t="s">
        <v>219</v>
      </c>
      <c r="R113" s="18" t="s">
        <v>133</v>
      </c>
      <c r="S113" s="18" t="s">
        <v>59</v>
      </c>
      <c r="T113" s="38">
        <v>2026.0</v>
      </c>
      <c r="U113" s="38">
        <v>5.0</v>
      </c>
      <c r="V113" s="38">
        <v>1.081522647E9</v>
      </c>
      <c r="W113" s="38">
        <v>1.081540717E9</v>
      </c>
      <c r="X113" s="18" t="s">
        <v>2199</v>
      </c>
      <c r="Y113" s="18" t="s">
        <v>2200</v>
      </c>
      <c r="Z113" s="38">
        <v>50434.76</v>
      </c>
      <c r="AA113" s="38">
        <v>50434.76</v>
      </c>
      <c r="AB113" s="38">
        <v>-1667.24</v>
      </c>
      <c r="AC113" s="38">
        <v>0.0</v>
      </c>
      <c r="AD113" s="38">
        <v>0.0</v>
      </c>
      <c r="AE113" s="38">
        <v>0.0</v>
      </c>
      <c r="AF113" s="38">
        <v>0.0</v>
      </c>
      <c r="AG113" s="38">
        <v>0.0</v>
      </c>
      <c r="AH113" s="38">
        <v>0.0</v>
      </c>
      <c r="AI113" s="38">
        <v>50434.76</v>
      </c>
      <c r="AJ113" s="38">
        <v>50434.76</v>
      </c>
      <c r="AK113" s="38">
        <v>0.0</v>
      </c>
      <c r="AL113" s="38">
        <v>242.77</v>
      </c>
      <c r="AM113" s="38">
        <v>0.0</v>
      </c>
      <c r="AN113" s="34" t="s">
        <v>62</v>
      </c>
      <c r="AO113" s="34" t="s">
        <v>62</v>
      </c>
      <c r="AP113" s="34" t="s">
        <v>62</v>
      </c>
      <c r="AQ113" s="34" t="s">
        <v>62</v>
      </c>
      <c r="AR113" s="38">
        <v>0.0</v>
      </c>
      <c r="AS113" s="34"/>
      <c r="AT113" s="38" t="s">
        <v>2275</v>
      </c>
      <c r="AU113" s="38" t="s">
        <v>2276</v>
      </c>
      <c r="AV113" s="40">
        <v>46164.0</v>
      </c>
    </row>
    <row r="114">
      <c r="A114" s="38">
        <v>595211.0</v>
      </c>
      <c r="B114" s="38">
        <v>498592.0</v>
      </c>
      <c r="C114" s="38">
        <v>551697.0</v>
      </c>
      <c r="D114" s="34" t="s">
        <v>62</v>
      </c>
      <c r="E114" s="34" t="s">
        <v>62</v>
      </c>
      <c r="F114" s="38">
        <v>1255069.0</v>
      </c>
      <c r="G114" s="18" t="s">
        <v>503</v>
      </c>
      <c r="H114" s="18" t="s">
        <v>2359</v>
      </c>
      <c r="I114" s="18" t="s">
        <v>217</v>
      </c>
      <c r="J114" s="18" t="s">
        <v>2337</v>
      </c>
      <c r="K114" s="18" t="s">
        <v>2337</v>
      </c>
      <c r="L114" s="18" t="s">
        <v>52</v>
      </c>
      <c r="M114" s="18" t="s">
        <v>89</v>
      </c>
      <c r="N114" s="18" t="s">
        <v>130</v>
      </c>
      <c r="O114" s="18" t="s">
        <v>126</v>
      </c>
      <c r="P114" s="18" t="s">
        <v>218</v>
      </c>
      <c r="Q114" s="18" t="s">
        <v>219</v>
      </c>
      <c r="R114" s="18" t="s">
        <v>133</v>
      </c>
      <c r="S114" s="18" t="s">
        <v>59</v>
      </c>
      <c r="T114" s="38">
        <v>2026.0</v>
      </c>
      <c r="U114" s="38">
        <v>5.0</v>
      </c>
      <c r="V114" s="38">
        <v>1.081522651E9</v>
      </c>
      <c r="W114" s="38">
        <v>1.081540721E9</v>
      </c>
      <c r="X114" s="18" t="s">
        <v>2199</v>
      </c>
      <c r="Y114" s="18" t="s">
        <v>2200</v>
      </c>
      <c r="Z114" s="38">
        <v>51209.61</v>
      </c>
      <c r="AA114" s="38">
        <v>51209.61</v>
      </c>
      <c r="AB114" s="38">
        <v>-1667.24</v>
      </c>
      <c r="AC114" s="38">
        <v>0.0</v>
      </c>
      <c r="AD114" s="38">
        <v>774.85</v>
      </c>
      <c r="AE114" s="38">
        <v>0.0</v>
      </c>
      <c r="AF114" s="38">
        <v>0.0</v>
      </c>
      <c r="AG114" s="38">
        <v>0.0</v>
      </c>
      <c r="AH114" s="38">
        <v>0.0</v>
      </c>
      <c r="AI114" s="38">
        <v>51209.61</v>
      </c>
      <c r="AJ114" s="38">
        <v>51210.4</v>
      </c>
      <c r="AK114" s="38">
        <v>1.0</v>
      </c>
      <c r="AL114" s="38">
        <v>242.77</v>
      </c>
      <c r="AM114" s="38">
        <v>0.0</v>
      </c>
      <c r="AN114" s="34" t="s">
        <v>62</v>
      </c>
      <c r="AO114" s="34" t="s">
        <v>62</v>
      </c>
      <c r="AP114" s="34" t="s">
        <v>62</v>
      </c>
      <c r="AQ114" s="34" t="s">
        <v>62</v>
      </c>
      <c r="AR114" s="38">
        <v>0.0</v>
      </c>
      <c r="AS114" s="34"/>
      <c r="AT114" s="38" t="s">
        <v>2275</v>
      </c>
      <c r="AU114" s="38" t="s">
        <v>2276</v>
      </c>
      <c r="AV114" s="40">
        <v>46164.0</v>
      </c>
    </row>
    <row r="115">
      <c r="A115" s="38">
        <v>595215.0</v>
      </c>
      <c r="B115" s="38">
        <v>498596.0</v>
      </c>
      <c r="C115" s="38">
        <v>551701.0</v>
      </c>
      <c r="D115" s="34" t="s">
        <v>62</v>
      </c>
      <c r="E115" s="34" t="s">
        <v>62</v>
      </c>
      <c r="F115" s="38">
        <v>1255073.0</v>
      </c>
      <c r="G115" s="18" t="s">
        <v>505</v>
      </c>
      <c r="H115" s="18" t="s">
        <v>2360</v>
      </c>
      <c r="I115" s="18" t="s">
        <v>217</v>
      </c>
      <c r="J115" s="18" t="s">
        <v>2337</v>
      </c>
      <c r="K115" s="18" t="s">
        <v>2337</v>
      </c>
      <c r="L115" s="18" t="s">
        <v>52</v>
      </c>
      <c r="M115" s="18" t="s">
        <v>89</v>
      </c>
      <c r="N115" s="18" t="s">
        <v>130</v>
      </c>
      <c r="O115" s="18" t="s">
        <v>126</v>
      </c>
      <c r="P115" s="18" t="s">
        <v>218</v>
      </c>
      <c r="Q115" s="18" t="s">
        <v>219</v>
      </c>
      <c r="R115" s="18" t="s">
        <v>133</v>
      </c>
      <c r="S115" s="18" t="s">
        <v>59</v>
      </c>
      <c r="T115" s="38">
        <v>2026.0</v>
      </c>
      <c r="U115" s="38">
        <v>5.0</v>
      </c>
      <c r="V115" s="38">
        <v>1.081522655E9</v>
      </c>
      <c r="W115" s="38">
        <v>1.081540725E9</v>
      </c>
      <c r="X115" s="18" t="s">
        <v>2199</v>
      </c>
      <c r="Y115" s="18" t="s">
        <v>2200</v>
      </c>
      <c r="Z115" s="38">
        <v>50434.76</v>
      </c>
      <c r="AA115" s="38">
        <v>50434.76</v>
      </c>
      <c r="AB115" s="38">
        <v>-1667.24</v>
      </c>
      <c r="AC115" s="38">
        <v>0.0</v>
      </c>
      <c r="AD115" s="38">
        <v>0.0</v>
      </c>
      <c r="AE115" s="38">
        <v>0.0</v>
      </c>
      <c r="AF115" s="38">
        <v>0.0</v>
      </c>
      <c r="AG115" s="38">
        <v>0.0</v>
      </c>
      <c r="AH115" s="38">
        <v>0.0</v>
      </c>
      <c r="AI115" s="38">
        <v>50434.76</v>
      </c>
      <c r="AJ115" s="38">
        <v>57106.92</v>
      </c>
      <c r="AK115" s="38">
        <v>1.0</v>
      </c>
      <c r="AL115" s="38">
        <v>242.77</v>
      </c>
      <c r="AM115" s="38">
        <v>0.0</v>
      </c>
      <c r="AN115" s="34" t="s">
        <v>62</v>
      </c>
      <c r="AO115" s="34" t="s">
        <v>62</v>
      </c>
      <c r="AP115" s="34" t="s">
        <v>62</v>
      </c>
      <c r="AQ115" s="34" t="s">
        <v>62</v>
      </c>
      <c r="AR115" s="38">
        <v>0.0</v>
      </c>
      <c r="AS115" s="34"/>
      <c r="AT115" s="38" t="s">
        <v>2275</v>
      </c>
      <c r="AU115" s="38" t="s">
        <v>2276</v>
      </c>
      <c r="AV115" s="40">
        <v>46164.0</v>
      </c>
    </row>
    <row r="116">
      <c r="A116" s="38">
        <v>595219.0</v>
      </c>
      <c r="B116" s="38">
        <v>498600.0</v>
      </c>
      <c r="C116" s="38">
        <v>551705.0</v>
      </c>
      <c r="D116" s="34" t="s">
        <v>62</v>
      </c>
      <c r="E116" s="34" t="s">
        <v>62</v>
      </c>
      <c r="F116" s="38">
        <v>1255077.0</v>
      </c>
      <c r="G116" s="18" t="s">
        <v>507</v>
      </c>
      <c r="H116" s="18" t="s">
        <v>2361</v>
      </c>
      <c r="I116" s="18" t="s">
        <v>217</v>
      </c>
      <c r="J116" s="18" t="s">
        <v>2337</v>
      </c>
      <c r="K116" s="18" t="s">
        <v>2337</v>
      </c>
      <c r="L116" s="18" t="s">
        <v>52</v>
      </c>
      <c r="M116" s="18" t="s">
        <v>89</v>
      </c>
      <c r="N116" s="18" t="s">
        <v>130</v>
      </c>
      <c r="O116" s="18" t="s">
        <v>126</v>
      </c>
      <c r="P116" s="18" t="s">
        <v>218</v>
      </c>
      <c r="Q116" s="18" t="s">
        <v>219</v>
      </c>
      <c r="R116" s="18" t="s">
        <v>133</v>
      </c>
      <c r="S116" s="18" t="s">
        <v>59</v>
      </c>
      <c r="T116" s="38">
        <v>2026.0</v>
      </c>
      <c r="U116" s="38">
        <v>5.0</v>
      </c>
      <c r="V116" s="38">
        <v>1.081522659E9</v>
      </c>
      <c r="W116" s="38">
        <v>1.081540729E9</v>
      </c>
      <c r="X116" s="18" t="s">
        <v>2199</v>
      </c>
      <c r="Y116" s="18" t="s">
        <v>2200</v>
      </c>
      <c r="Z116" s="38">
        <v>53638.77</v>
      </c>
      <c r="AA116" s="38">
        <v>53638.77</v>
      </c>
      <c r="AB116" s="38">
        <v>-1667.24</v>
      </c>
      <c r="AC116" s="38">
        <v>0.0</v>
      </c>
      <c r="AD116" s="38">
        <v>3204.01</v>
      </c>
      <c r="AE116" s="38">
        <v>0.0</v>
      </c>
      <c r="AF116" s="38">
        <v>0.0</v>
      </c>
      <c r="AG116" s="38">
        <v>0.0</v>
      </c>
      <c r="AH116" s="38">
        <v>0.0</v>
      </c>
      <c r="AI116" s="38">
        <v>53638.77</v>
      </c>
      <c r="AJ116" s="38">
        <v>283504.12</v>
      </c>
      <c r="AK116" s="38">
        <v>5.0</v>
      </c>
      <c r="AL116" s="38">
        <v>242.77</v>
      </c>
      <c r="AM116" s="38">
        <v>0.0</v>
      </c>
      <c r="AN116" s="34" t="s">
        <v>62</v>
      </c>
      <c r="AO116" s="34" t="s">
        <v>62</v>
      </c>
      <c r="AP116" s="34" t="s">
        <v>62</v>
      </c>
      <c r="AQ116" s="34" t="s">
        <v>62</v>
      </c>
      <c r="AR116" s="38">
        <v>0.0</v>
      </c>
      <c r="AS116" s="34"/>
      <c r="AT116" s="38" t="s">
        <v>2275</v>
      </c>
      <c r="AU116" s="38" t="s">
        <v>2276</v>
      </c>
      <c r="AV116" s="40">
        <v>46164.0</v>
      </c>
    </row>
    <row r="117">
      <c r="A117" s="38">
        <v>595223.0</v>
      </c>
      <c r="B117" s="38">
        <v>498604.0</v>
      </c>
      <c r="C117" s="38">
        <v>551709.0</v>
      </c>
      <c r="D117" s="34" t="s">
        <v>62</v>
      </c>
      <c r="E117" s="34" t="s">
        <v>62</v>
      </c>
      <c r="F117" s="38">
        <v>1255081.0</v>
      </c>
      <c r="G117" s="18" t="s">
        <v>509</v>
      </c>
      <c r="H117" s="18" t="s">
        <v>2362</v>
      </c>
      <c r="I117" s="18" t="s">
        <v>217</v>
      </c>
      <c r="J117" s="18" t="s">
        <v>2337</v>
      </c>
      <c r="K117" s="18" t="s">
        <v>2337</v>
      </c>
      <c r="L117" s="18" t="s">
        <v>52</v>
      </c>
      <c r="M117" s="18" t="s">
        <v>89</v>
      </c>
      <c r="N117" s="18" t="s">
        <v>130</v>
      </c>
      <c r="O117" s="18" t="s">
        <v>126</v>
      </c>
      <c r="P117" s="18" t="s">
        <v>218</v>
      </c>
      <c r="Q117" s="18" t="s">
        <v>219</v>
      </c>
      <c r="R117" s="18" t="s">
        <v>133</v>
      </c>
      <c r="S117" s="18" t="s">
        <v>59</v>
      </c>
      <c r="T117" s="38">
        <v>2026.0</v>
      </c>
      <c r="U117" s="38">
        <v>5.0</v>
      </c>
      <c r="V117" s="38">
        <v>1.081522663E9</v>
      </c>
      <c r="W117" s="38">
        <v>1.081540733E9</v>
      </c>
      <c r="X117" s="18" t="s">
        <v>2199</v>
      </c>
      <c r="Y117" s="18" t="s">
        <v>2200</v>
      </c>
      <c r="Z117" s="38">
        <v>50693.12</v>
      </c>
      <c r="AA117" s="38">
        <v>50693.12</v>
      </c>
      <c r="AB117" s="38">
        <v>-1667.24</v>
      </c>
      <c r="AC117" s="38">
        <v>0.0</v>
      </c>
      <c r="AD117" s="38">
        <v>258.36</v>
      </c>
      <c r="AE117" s="38">
        <v>0.0</v>
      </c>
      <c r="AF117" s="38">
        <v>0.0</v>
      </c>
      <c r="AG117" s="38">
        <v>0.0</v>
      </c>
      <c r="AH117" s="38">
        <v>0.0</v>
      </c>
      <c r="AI117" s="38">
        <v>50693.12</v>
      </c>
      <c r="AJ117" s="38">
        <v>100723.25</v>
      </c>
      <c r="AK117" s="38">
        <v>1.0</v>
      </c>
      <c r="AL117" s="38">
        <v>242.77</v>
      </c>
      <c r="AM117" s="38">
        <v>0.0</v>
      </c>
      <c r="AN117" s="34" t="s">
        <v>62</v>
      </c>
      <c r="AO117" s="34" t="s">
        <v>62</v>
      </c>
      <c r="AP117" s="34" t="s">
        <v>62</v>
      </c>
      <c r="AQ117" s="34" t="s">
        <v>62</v>
      </c>
      <c r="AR117" s="38">
        <v>0.0</v>
      </c>
      <c r="AS117" s="34"/>
      <c r="AT117" s="38" t="s">
        <v>2275</v>
      </c>
      <c r="AU117" s="38" t="s">
        <v>2276</v>
      </c>
      <c r="AV117" s="40">
        <v>46164.0</v>
      </c>
    </row>
    <row r="118">
      <c r="A118" s="38">
        <v>595227.0</v>
      </c>
      <c r="B118" s="38">
        <v>498608.0</v>
      </c>
      <c r="C118" s="38">
        <v>551713.0</v>
      </c>
      <c r="D118" s="34" t="s">
        <v>62</v>
      </c>
      <c r="E118" s="34" t="s">
        <v>62</v>
      </c>
      <c r="F118" s="38">
        <v>1255085.0</v>
      </c>
      <c r="G118" s="18" t="s">
        <v>511</v>
      </c>
      <c r="H118" s="18" t="s">
        <v>2363</v>
      </c>
      <c r="I118" s="18" t="s">
        <v>217</v>
      </c>
      <c r="J118" s="18" t="s">
        <v>2337</v>
      </c>
      <c r="K118" s="18" t="s">
        <v>2337</v>
      </c>
      <c r="L118" s="18" t="s">
        <v>52</v>
      </c>
      <c r="M118" s="18" t="s">
        <v>89</v>
      </c>
      <c r="N118" s="18" t="s">
        <v>130</v>
      </c>
      <c r="O118" s="18" t="s">
        <v>126</v>
      </c>
      <c r="P118" s="18" t="s">
        <v>218</v>
      </c>
      <c r="Q118" s="18" t="s">
        <v>219</v>
      </c>
      <c r="R118" s="18" t="s">
        <v>133</v>
      </c>
      <c r="S118" s="18" t="s">
        <v>59</v>
      </c>
      <c r="T118" s="38">
        <v>2026.0</v>
      </c>
      <c r="U118" s="38">
        <v>5.0</v>
      </c>
      <c r="V118" s="38">
        <v>1.081522667E9</v>
      </c>
      <c r="W118" s="38">
        <v>1.081540737E9</v>
      </c>
      <c r="X118" s="18" t="s">
        <v>2199</v>
      </c>
      <c r="Y118" s="18" t="s">
        <v>2200</v>
      </c>
      <c r="Z118" s="38">
        <v>53638.77</v>
      </c>
      <c r="AA118" s="38">
        <v>53638.77</v>
      </c>
      <c r="AB118" s="38">
        <v>-1667.24</v>
      </c>
      <c r="AC118" s="38">
        <v>0.0</v>
      </c>
      <c r="AD118" s="38">
        <v>3204.01</v>
      </c>
      <c r="AE118" s="38">
        <v>0.0</v>
      </c>
      <c r="AF118" s="38">
        <v>0.0</v>
      </c>
      <c r="AG118" s="38">
        <v>0.0</v>
      </c>
      <c r="AH118" s="38">
        <v>0.0</v>
      </c>
      <c r="AI118" s="38">
        <v>53638.77</v>
      </c>
      <c r="AJ118" s="38">
        <v>283504.12</v>
      </c>
      <c r="AK118" s="38">
        <v>5.0</v>
      </c>
      <c r="AL118" s="38">
        <v>242.77</v>
      </c>
      <c r="AM118" s="38">
        <v>0.0</v>
      </c>
      <c r="AN118" s="34" t="s">
        <v>62</v>
      </c>
      <c r="AO118" s="34" t="s">
        <v>62</v>
      </c>
      <c r="AP118" s="34" t="s">
        <v>62</v>
      </c>
      <c r="AQ118" s="34" t="s">
        <v>62</v>
      </c>
      <c r="AR118" s="38">
        <v>0.0</v>
      </c>
      <c r="AS118" s="34"/>
      <c r="AT118" s="38" t="s">
        <v>2275</v>
      </c>
      <c r="AU118" s="38" t="s">
        <v>2276</v>
      </c>
      <c r="AV118" s="40">
        <v>46164.0</v>
      </c>
    </row>
    <row r="119">
      <c r="A119" s="38">
        <v>595231.0</v>
      </c>
      <c r="B119" s="38">
        <v>498612.0</v>
      </c>
      <c r="C119" s="38">
        <v>551717.0</v>
      </c>
      <c r="D119" s="34" t="s">
        <v>62</v>
      </c>
      <c r="E119" s="34" t="s">
        <v>62</v>
      </c>
      <c r="F119" s="38">
        <v>1255089.0</v>
      </c>
      <c r="G119" s="18" t="s">
        <v>513</v>
      </c>
      <c r="H119" s="18" t="s">
        <v>2364</v>
      </c>
      <c r="I119" s="18" t="s">
        <v>217</v>
      </c>
      <c r="J119" s="18" t="s">
        <v>2337</v>
      </c>
      <c r="K119" s="18" t="s">
        <v>2337</v>
      </c>
      <c r="L119" s="18" t="s">
        <v>52</v>
      </c>
      <c r="M119" s="18" t="s">
        <v>89</v>
      </c>
      <c r="N119" s="18" t="s">
        <v>130</v>
      </c>
      <c r="O119" s="18" t="s">
        <v>126</v>
      </c>
      <c r="P119" s="18" t="s">
        <v>218</v>
      </c>
      <c r="Q119" s="18" t="s">
        <v>219</v>
      </c>
      <c r="R119" s="18" t="s">
        <v>133</v>
      </c>
      <c r="S119" s="18" t="s">
        <v>59</v>
      </c>
      <c r="T119" s="38">
        <v>2026.0</v>
      </c>
      <c r="U119" s="38">
        <v>5.0</v>
      </c>
      <c r="V119" s="38">
        <v>1.08152267E9</v>
      </c>
      <c r="W119" s="38">
        <v>1.08154074E9</v>
      </c>
      <c r="X119" s="18" t="s">
        <v>2199</v>
      </c>
      <c r="Y119" s="18" t="s">
        <v>2200</v>
      </c>
      <c r="Z119" s="38">
        <v>51057.48</v>
      </c>
      <c r="AA119" s="38">
        <v>51057.48</v>
      </c>
      <c r="AB119" s="38">
        <v>-1667.24</v>
      </c>
      <c r="AC119" s="38">
        <v>0.0</v>
      </c>
      <c r="AD119" s="38">
        <v>622.72</v>
      </c>
      <c r="AE119" s="38">
        <v>0.0</v>
      </c>
      <c r="AF119" s="38">
        <v>0.0</v>
      </c>
      <c r="AG119" s="38">
        <v>0.0</v>
      </c>
      <c r="AH119" s="38">
        <v>0.0</v>
      </c>
      <c r="AI119" s="38">
        <v>51057.48</v>
      </c>
      <c r="AJ119" s="38">
        <v>151155.63</v>
      </c>
      <c r="AK119" s="38">
        <v>2.0</v>
      </c>
      <c r="AL119" s="38">
        <v>242.77</v>
      </c>
      <c r="AM119" s="38">
        <v>0.0</v>
      </c>
      <c r="AN119" s="34" t="s">
        <v>62</v>
      </c>
      <c r="AO119" s="34" t="s">
        <v>62</v>
      </c>
      <c r="AP119" s="34" t="s">
        <v>62</v>
      </c>
      <c r="AQ119" s="34" t="s">
        <v>62</v>
      </c>
      <c r="AR119" s="38">
        <v>0.0</v>
      </c>
      <c r="AS119" s="34"/>
      <c r="AT119" s="38" t="s">
        <v>2275</v>
      </c>
      <c r="AU119" s="38" t="s">
        <v>2276</v>
      </c>
      <c r="AV119" s="40">
        <v>46164.0</v>
      </c>
    </row>
    <row r="120">
      <c r="A120" s="38">
        <v>595235.0</v>
      </c>
      <c r="B120" s="38">
        <v>498616.0</v>
      </c>
      <c r="C120" s="38">
        <v>551721.0</v>
      </c>
      <c r="D120" s="34" t="s">
        <v>62</v>
      </c>
      <c r="E120" s="34" t="s">
        <v>62</v>
      </c>
      <c r="F120" s="38">
        <v>1255093.0</v>
      </c>
      <c r="G120" s="18" t="s">
        <v>515</v>
      </c>
      <c r="H120" s="18" t="s">
        <v>2365</v>
      </c>
      <c r="I120" s="18" t="s">
        <v>217</v>
      </c>
      <c r="J120" s="18" t="s">
        <v>2337</v>
      </c>
      <c r="K120" s="18" t="s">
        <v>2337</v>
      </c>
      <c r="L120" s="18" t="s">
        <v>52</v>
      </c>
      <c r="M120" s="18" t="s">
        <v>89</v>
      </c>
      <c r="N120" s="18" t="s">
        <v>130</v>
      </c>
      <c r="O120" s="18" t="s">
        <v>126</v>
      </c>
      <c r="P120" s="18" t="s">
        <v>218</v>
      </c>
      <c r="Q120" s="18" t="s">
        <v>219</v>
      </c>
      <c r="R120" s="18" t="s">
        <v>133</v>
      </c>
      <c r="S120" s="18" t="s">
        <v>59</v>
      </c>
      <c r="T120" s="38">
        <v>2026.0</v>
      </c>
      <c r="U120" s="38">
        <v>5.0</v>
      </c>
      <c r="V120" s="38">
        <v>1.081522673E9</v>
      </c>
      <c r="W120" s="38">
        <v>1.081540743E9</v>
      </c>
      <c r="X120" s="18" t="s">
        <v>2199</v>
      </c>
      <c r="Y120" s="18" t="s">
        <v>2200</v>
      </c>
      <c r="Z120" s="38">
        <v>53638.77</v>
      </c>
      <c r="AA120" s="38">
        <v>53638.77</v>
      </c>
      <c r="AB120" s="38">
        <v>-1667.24</v>
      </c>
      <c r="AC120" s="38">
        <v>0.0</v>
      </c>
      <c r="AD120" s="38">
        <v>3204.01</v>
      </c>
      <c r="AE120" s="38">
        <v>0.0</v>
      </c>
      <c r="AF120" s="38">
        <v>0.0</v>
      </c>
      <c r="AG120" s="38">
        <v>0.0</v>
      </c>
      <c r="AH120" s="38">
        <v>0.0</v>
      </c>
      <c r="AI120" s="38">
        <v>53638.77</v>
      </c>
      <c r="AJ120" s="38">
        <v>283504.12</v>
      </c>
      <c r="AK120" s="38">
        <v>5.0</v>
      </c>
      <c r="AL120" s="38">
        <v>242.77</v>
      </c>
      <c r="AM120" s="38">
        <v>0.0</v>
      </c>
      <c r="AN120" s="34" t="s">
        <v>62</v>
      </c>
      <c r="AO120" s="34" t="s">
        <v>62</v>
      </c>
      <c r="AP120" s="34" t="s">
        <v>62</v>
      </c>
      <c r="AQ120" s="34" t="s">
        <v>62</v>
      </c>
      <c r="AR120" s="38">
        <v>0.0</v>
      </c>
      <c r="AS120" s="34"/>
      <c r="AT120" s="38" t="s">
        <v>2275</v>
      </c>
      <c r="AU120" s="38" t="s">
        <v>2276</v>
      </c>
      <c r="AV120" s="40">
        <v>46164.0</v>
      </c>
    </row>
    <row r="121">
      <c r="A121" s="38">
        <v>285191.0</v>
      </c>
      <c r="B121" s="38">
        <v>217711.0</v>
      </c>
      <c r="C121" s="38">
        <v>217711.0</v>
      </c>
      <c r="D121" s="38">
        <v>40520.0</v>
      </c>
      <c r="E121" s="38">
        <v>40520.0</v>
      </c>
      <c r="F121" s="38">
        <v>9.00276962E8</v>
      </c>
      <c r="G121" s="18" t="s">
        <v>128</v>
      </c>
      <c r="H121" s="18" t="s">
        <v>2269</v>
      </c>
      <c r="I121" s="18" t="s">
        <v>129</v>
      </c>
      <c r="J121" s="18" t="s">
        <v>2205</v>
      </c>
      <c r="K121" s="18" t="s">
        <v>2270</v>
      </c>
      <c r="L121" s="18" t="s">
        <v>52</v>
      </c>
      <c r="M121" s="18" t="s">
        <v>89</v>
      </c>
      <c r="N121" s="18" t="s">
        <v>130</v>
      </c>
      <c r="O121" s="18" t="s">
        <v>126</v>
      </c>
      <c r="P121" s="18" t="s">
        <v>131</v>
      </c>
      <c r="Q121" s="18" t="s">
        <v>132</v>
      </c>
      <c r="R121" s="18" t="s">
        <v>133</v>
      </c>
      <c r="S121" s="18" t="s">
        <v>59</v>
      </c>
      <c r="T121" s="38">
        <v>2026.0</v>
      </c>
      <c r="U121" s="38">
        <v>5.0</v>
      </c>
      <c r="V121" s="38">
        <v>1.081522457E9</v>
      </c>
      <c r="W121" s="38">
        <v>1.081540527E9</v>
      </c>
      <c r="X121" s="18" t="s">
        <v>2199</v>
      </c>
      <c r="Y121" s="18" t="s">
        <v>2200</v>
      </c>
      <c r="Z121" s="38">
        <v>113911.5</v>
      </c>
      <c r="AA121" s="38">
        <v>113911.5</v>
      </c>
      <c r="AB121" s="38">
        <v>37970.5</v>
      </c>
      <c r="AC121" s="38">
        <v>0.0</v>
      </c>
      <c r="AD121" s="38">
        <v>0.0</v>
      </c>
      <c r="AE121" s="38">
        <v>0.0</v>
      </c>
      <c r="AF121" s="38">
        <v>0.0</v>
      </c>
      <c r="AG121" s="38">
        <v>0.0</v>
      </c>
      <c r="AH121" s="38">
        <v>0.0</v>
      </c>
      <c r="AI121" s="38">
        <v>113911.5</v>
      </c>
      <c r="AJ121" s="38">
        <v>113911.5</v>
      </c>
      <c r="AK121" s="38">
        <v>0.0</v>
      </c>
      <c r="AL121" s="38">
        <v>376.2</v>
      </c>
      <c r="AM121" s="38">
        <v>0.0</v>
      </c>
      <c r="AN121" s="34" t="s">
        <v>62</v>
      </c>
      <c r="AO121" s="34" t="s">
        <v>62</v>
      </c>
      <c r="AP121" s="34" t="s">
        <v>62</v>
      </c>
      <c r="AQ121" s="34" t="s">
        <v>62</v>
      </c>
      <c r="AR121" s="38">
        <v>0.0</v>
      </c>
      <c r="AS121" s="38" t="s">
        <v>2271</v>
      </c>
      <c r="AT121" s="35" t="s">
        <v>2202</v>
      </c>
      <c r="AU121" s="39" t="s">
        <v>2203</v>
      </c>
      <c r="AV121" s="40">
        <v>46163.0</v>
      </c>
    </row>
    <row r="122">
      <c r="A122" s="38">
        <v>297.0</v>
      </c>
      <c r="B122" s="38">
        <v>223223.0</v>
      </c>
      <c r="C122" s="38">
        <v>223223.0</v>
      </c>
      <c r="D122" s="38">
        <v>46258.0</v>
      </c>
      <c r="E122" s="38">
        <v>46258.0</v>
      </c>
      <c r="F122" s="18" t="s">
        <v>135</v>
      </c>
      <c r="G122" s="18" t="s">
        <v>136</v>
      </c>
      <c r="H122" s="18" t="s">
        <v>2258</v>
      </c>
      <c r="I122" s="18" t="s">
        <v>137</v>
      </c>
      <c r="J122" s="18" t="s">
        <v>2205</v>
      </c>
      <c r="K122" s="18" t="s">
        <v>2259</v>
      </c>
      <c r="L122" s="18" t="s">
        <v>52</v>
      </c>
      <c r="M122" s="18" t="s">
        <v>138</v>
      </c>
      <c r="N122" s="18" t="s">
        <v>130</v>
      </c>
      <c r="O122" s="18" t="s">
        <v>126</v>
      </c>
      <c r="P122" s="18" t="s">
        <v>131</v>
      </c>
      <c r="Q122" s="18" t="s">
        <v>139</v>
      </c>
      <c r="R122" s="18" t="s">
        <v>133</v>
      </c>
      <c r="S122" s="18" t="s">
        <v>59</v>
      </c>
      <c r="T122" s="38">
        <v>2026.0</v>
      </c>
      <c r="U122" s="38">
        <v>5.0</v>
      </c>
      <c r="V122" s="38">
        <v>1.081522461E9</v>
      </c>
      <c r="W122" s="38">
        <v>1.081540531E9</v>
      </c>
      <c r="X122" s="18" t="s">
        <v>2199</v>
      </c>
      <c r="Y122" s="18" t="s">
        <v>2200</v>
      </c>
      <c r="Z122" s="38">
        <v>63352.0</v>
      </c>
      <c r="AA122" s="38">
        <v>63352.0</v>
      </c>
      <c r="AB122" s="38">
        <v>0.0</v>
      </c>
      <c r="AC122" s="38">
        <v>0.0</v>
      </c>
      <c r="AD122" s="38">
        <v>0.0</v>
      </c>
      <c r="AE122" s="38">
        <v>0.0</v>
      </c>
      <c r="AF122" s="38">
        <v>0.0</v>
      </c>
      <c r="AG122" s="38">
        <v>0.0</v>
      </c>
      <c r="AH122" s="38">
        <v>0.0</v>
      </c>
      <c r="AI122" s="38">
        <v>63352.0</v>
      </c>
      <c r="AJ122" s="38">
        <v>63352.0</v>
      </c>
      <c r="AK122" s="38">
        <v>0.0</v>
      </c>
      <c r="AL122" s="38">
        <v>250.8</v>
      </c>
      <c r="AM122" s="38">
        <v>0.0</v>
      </c>
      <c r="AN122" s="34" t="s">
        <v>62</v>
      </c>
      <c r="AO122" s="34" t="s">
        <v>62</v>
      </c>
      <c r="AP122" s="34" t="s">
        <v>62</v>
      </c>
      <c r="AQ122" s="34" t="s">
        <v>62</v>
      </c>
      <c r="AR122" s="38">
        <v>0.0</v>
      </c>
      <c r="AS122" s="38" t="s">
        <v>2260</v>
      </c>
      <c r="AT122" s="35" t="s">
        <v>2202</v>
      </c>
      <c r="AU122" s="39" t="s">
        <v>2203</v>
      </c>
      <c r="AV122" s="40">
        <v>46164.0</v>
      </c>
    </row>
    <row r="123">
      <c r="A123" s="38">
        <v>699.0</v>
      </c>
      <c r="B123" s="38">
        <v>225199.0</v>
      </c>
      <c r="C123" s="38">
        <v>225199.0</v>
      </c>
      <c r="D123" s="38">
        <v>48272.0</v>
      </c>
      <c r="E123" s="38">
        <v>48272.0</v>
      </c>
      <c r="F123" s="38">
        <v>9.00480569E8</v>
      </c>
      <c r="G123" s="18" t="s">
        <v>141</v>
      </c>
      <c r="H123" s="18" t="s">
        <v>2255</v>
      </c>
      <c r="I123" s="18" t="s">
        <v>142</v>
      </c>
      <c r="J123" s="18" t="s">
        <v>2205</v>
      </c>
      <c r="K123" s="18" t="s">
        <v>2256</v>
      </c>
      <c r="L123" s="18" t="s">
        <v>52</v>
      </c>
      <c r="M123" s="18" t="s">
        <v>138</v>
      </c>
      <c r="N123" s="18" t="s">
        <v>130</v>
      </c>
      <c r="O123" s="18" t="s">
        <v>126</v>
      </c>
      <c r="P123" s="18" t="s">
        <v>56</v>
      </c>
      <c r="Q123" s="18" t="s">
        <v>90</v>
      </c>
      <c r="R123" s="18" t="s">
        <v>143</v>
      </c>
      <c r="S123" s="18" t="s">
        <v>59</v>
      </c>
      <c r="T123" s="38">
        <v>2026.0</v>
      </c>
      <c r="U123" s="38">
        <v>5.0</v>
      </c>
      <c r="V123" s="38">
        <v>1.081522466E9</v>
      </c>
      <c r="W123" s="38">
        <v>1.081540536E9</v>
      </c>
      <c r="X123" s="18" t="s">
        <v>2199</v>
      </c>
      <c r="Y123" s="18" t="s">
        <v>2200</v>
      </c>
      <c r="Z123" s="38">
        <v>680202.71</v>
      </c>
      <c r="AA123" s="38">
        <v>680202.71</v>
      </c>
      <c r="AB123" s="38">
        <v>226734.24</v>
      </c>
      <c r="AC123" s="38">
        <v>2188.0</v>
      </c>
      <c r="AD123" s="38">
        <v>0.0</v>
      </c>
      <c r="AE123" s="38">
        <v>0.0</v>
      </c>
      <c r="AF123" s="38">
        <v>0.0</v>
      </c>
      <c r="AG123" s="38">
        <v>0.0</v>
      </c>
      <c r="AH123" s="38">
        <v>0.0</v>
      </c>
      <c r="AI123" s="38">
        <v>680202.71</v>
      </c>
      <c r="AJ123" s="38">
        <v>680202.71</v>
      </c>
      <c r="AK123" s="38">
        <v>0.0</v>
      </c>
      <c r="AL123" s="38">
        <v>376.2</v>
      </c>
      <c r="AM123" s="38">
        <v>0.0</v>
      </c>
      <c r="AN123" s="34" t="s">
        <v>62</v>
      </c>
      <c r="AO123" s="34" t="s">
        <v>62</v>
      </c>
      <c r="AP123" s="34" t="s">
        <v>62</v>
      </c>
      <c r="AQ123" s="34" t="s">
        <v>62</v>
      </c>
      <c r="AR123" s="38">
        <v>0.0</v>
      </c>
      <c r="AS123" s="38" t="s">
        <v>2257</v>
      </c>
      <c r="AT123" s="35" t="s">
        <v>2202</v>
      </c>
      <c r="AU123" s="39" t="s">
        <v>2203</v>
      </c>
      <c r="AV123" s="40">
        <v>46163.0</v>
      </c>
    </row>
    <row r="124">
      <c r="A124" s="38">
        <v>141.0</v>
      </c>
      <c r="B124" s="38">
        <v>237851.0</v>
      </c>
      <c r="C124" s="38">
        <v>237851.0</v>
      </c>
      <c r="D124" s="38">
        <v>307920.0</v>
      </c>
      <c r="E124" s="38">
        <v>307920.0</v>
      </c>
      <c r="F124" s="38">
        <v>8.90500514E8</v>
      </c>
      <c r="G124" s="18" t="s">
        <v>145</v>
      </c>
      <c r="H124" s="18" t="s">
        <v>2266</v>
      </c>
      <c r="I124" s="18" t="s">
        <v>146</v>
      </c>
      <c r="J124" s="18" t="s">
        <v>2205</v>
      </c>
      <c r="K124" s="18" t="s">
        <v>2267</v>
      </c>
      <c r="L124" s="18" t="s">
        <v>52</v>
      </c>
      <c r="M124" s="18" t="s">
        <v>138</v>
      </c>
      <c r="N124" s="18" t="s">
        <v>130</v>
      </c>
      <c r="O124" s="18" t="s">
        <v>126</v>
      </c>
      <c r="P124" s="18" t="s">
        <v>56</v>
      </c>
      <c r="Q124" s="18" t="s">
        <v>90</v>
      </c>
      <c r="R124" s="18" t="s">
        <v>58</v>
      </c>
      <c r="S124" s="18" t="s">
        <v>59</v>
      </c>
      <c r="T124" s="38">
        <v>2026.0</v>
      </c>
      <c r="U124" s="38">
        <v>5.0</v>
      </c>
      <c r="V124" s="38">
        <v>1.081522471E9</v>
      </c>
      <c r="W124" s="38">
        <v>1.081540541E9</v>
      </c>
      <c r="X124" s="18" t="s">
        <v>2199</v>
      </c>
      <c r="Y124" s="18" t="s">
        <v>2200</v>
      </c>
      <c r="Z124" s="38">
        <v>1858074.88</v>
      </c>
      <c r="AA124" s="38">
        <v>1858074.88</v>
      </c>
      <c r="AB124" s="38">
        <v>619358.3</v>
      </c>
      <c r="AC124" s="38">
        <v>6325.0</v>
      </c>
      <c r="AD124" s="38">
        <v>0.0</v>
      </c>
      <c r="AE124" s="38">
        <v>0.0</v>
      </c>
      <c r="AF124" s="38">
        <v>0.0</v>
      </c>
      <c r="AG124" s="38">
        <v>0.0</v>
      </c>
      <c r="AH124" s="38">
        <v>0.0</v>
      </c>
      <c r="AI124" s="38">
        <v>1858074.88</v>
      </c>
      <c r="AJ124" s="38">
        <v>1858074.88</v>
      </c>
      <c r="AK124" s="38">
        <v>0.0</v>
      </c>
      <c r="AL124" s="38">
        <v>376.2</v>
      </c>
      <c r="AM124" s="38">
        <v>0.0</v>
      </c>
      <c r="AN124" s="34" t="s">
        <v>62</v>
      </c>
      <c r="AO124" s="34" t="s">
        <v>62</v>
      </c>
      <c r="AP124" s="34" t="s">
        <v>62</v>
      </c>
      <c r="AQ124" s="34" t="s">
        <v>62</v>
      </c>
      <c r="AR124" s="38">
        <v>0.0</v>
      </c>
      <c r="AS124" s="38" t="s">
        <v>2268</v>
      </c>
      <c r="AT124" s="35" t="s">
        <v>2202</v>
      </c>
      <c r="AU124" s="39" t="s">
        <v>2203</v>
      </c>
      <c r="AV124" s="40">
        <v>46163.0</v>
      </c>
    </row>
    <row r="125">
      <c r="A125" s="38">
        <v>455370.0</v>
      </c>
      <c r="B125" s="38">
        <v>267583.0</v>
      </c>
      <c r="C125" s="38">
        <v>267583.0</v>
      </c>
      <c r="D125" s="38">
        <v>661467.0</v>
      </c>
      <c r="E125" s="38">
        <v>661467.0</v>
      </c>
      <c r="F125" s="18" t="s">
        <v>148</v>
      </c>
      <c r="G125" s="18" t="s">
        <v>149</v>
      </c>
      <c r="H125" s="18" t="s">
        <v>2296</v>
      </c>
      <c r="I125" s="18" t="s">
        <v>150</v>
      </c>
      <c r="J125" s="18" t="s">
        <v>2205</v>
      </c>
      <c r="K125" s="18" t="s">
        <v>2292</v>
      </c>
      <c r="L125" s="18" t="s">
        <v>52</v>
      </c>
      <c r="M125" s="18" t="s">
        <v>138</v>
      </c>
      <c r="N125" s="18" t="s">
        <v>130</v>
      </c>
      <c r="O125" s="18" t="s">
        <v>126</v>
      </c>
      <c r="P125" s="18" t="s">
        <v>131</v>
      </c>
      <c r="Q125" s="18" t="s">
        <v>151</v>
      </c>
      <c r="R125" s="18" t="s">
        <v>133</v>
      </c>
      <c r="S125" s="18" t="s">
        <v>59</v>
      </c>
      <c r="T125" s="38">
        <v>2026.0</v>
      </c>
      <c r="U125" s="38">
        <v>5.0</v>
      </c>
      <c r="V125" s="38">
        <v>1.081522473E9</v>
      </c>
      <c r="W125" s="38">
        <v>1.081540543E9</v>
      </c>
      <c r="X125" s="18" t="s">
        <v>2199</v>
      </c>
      <c r="Y125" s="18" t="s">
        <v>2200</v>
      </c>
      <c r="Z125" s="38">
        <v>75941.0</v>
      </c>
      <c r="AA125" s="38">
        <v>75941.0</v>
      </c>
      <c r="AB125" s="38">
        <v>0.0</v>
      </c>
      <c r="AC125" s="38">
        <v>0.0</v>
      </c>
      <c r="AD125" s="38">
        <v>0.0</v>
      </c>
      <c r="AE125" s="38">
        <v>0.0</v>
      </c>
      <c r="AF125" s="38">
        <v>0.0</v>
      </c>
      <c r="AG125" s="38">
        <v>0.0</v>
      </c>
      <c r="AH125" s="38">
        <v>0.0</v>
      </c>
      <c r="AI125" s="38">
        <v>75941.0</v>
      </c>
      <c r="AJ125" s="38">
        <v>150891.0</v>
      </c>
      <c r="AK125" s="38">
        <v>1.0</v>
      </c>
      <c r="AL125" s="38">
        <v>250.8</v>
      </c>
      <c r="AM125" s="38">
        <v>0.0</v>
      </c>
      <c r="AN125" s="34" t="s">
        <v>62</v>
      </c>
      <c r="AO125" s="34" t="s">
        <v>62</v>
      </c>
      <c r="AP125" s="34" t="s">
        <v>62</v>
      </c>
      <c r="AQ125" s="34" t="s">
        <v>62</v>
      </c>
      <c r="AR125" s="38">
        <v>0.0</v>
      </c>
      <c r="AS125" s="38" t="s">
        <v>2293</v>
      </c>
      <c r="AT125" s="35" t="s">
        <v>2294</v>
      </c>
      <c r="AU125" s="39" t="s">
        <v>2295</v>
      </c>
      <c r="AV125" s="40">
        <v>46164.0</v>
      </c>
    </row>
    <row r="126">
      <c r="A126" s="38">
        <v>269532.0</v>
      </c>
      <c r="B126" s="38">
        <v>269531.0</v>
      </c>
      <c r="C126" s="38">
        <v>269531.0</v>
      </c>
      <c r="D126" s="38">
        <v>676425.0</v>
      </c>
      <c r="E126" s="38">
        <v>676425.0</v>
      </c>
      <c r="F126" s="18" t="s">
        <v>153</v>
      </c>
      <c r="G126" s="18" t="s">
        <v>154</v>
      </c>
      <c r="H126" s="18" t="s">
        <v>2366</v>
      </c>
      <c r="I126" s="18" t="s">
        <v>155</v>
      </c>
      <c r="J126" s="18" t="s">
        <v>2205</v>
      </c>
      <c r="K126" s="18" t="s">
        <v>2205</v>
      </c>
      <c r="L126" s="18" t="s">
        <v>52</v>
      </c>
      <c r="M126" s="18" t="s">
        <v>89</v>
      </c>
      <c r="N126" s="18" t="s">
        <v>130</v>
      </c>
      <c r="O126" s="18" t="s">
        <v>126</v>
      </c>
      <c r="P126" s="18" t="s">
        <v>131</v>
      </c>
      <c r="Q126" s="18" t="s">
        <v>132</v>
      </c>
      <c r="R126" s="18" t="s">
        <v>133</v>
      </c>
      <c r="S126" s="18" t="s">
        <v>59</v>
      </c>
      <c r="T126" s="38">
        <v>2026.0</v>
      </c>
      <c r="U126" s="38">
        <v>5.0</v>
      </c>
      <c r="V126" s="38">
        <v>1.081522479E9</v>
      </c>
      <c r="W126" s="38">
        <v>1.081540549E9</v>
      </c>
      <c r="X126" s="18" t="s">
        <v>2199</v>
      </c>
      <c r="Y126" s="18" t="s">
        <v>2200</v>
      </c>
      <c r="Z126" s="38">
        <v>113911.5</v>
      </c>
      <c r="AA126" s="38">
        <v>113911.5</v>
      </c>
      <c r="AB126" s="38">
        <v>37970.5</v>
      </c>
      <c r="AC126" s="38">
        <v>0.0</v>
      </c>
      <c r="AD126" s="38">
        <v>0.0</v>
      </c>
      <c r="AE126" s="38">
        <v>0.0</v>
      </c>
      <c r="AF126" s="38">
        <v>0.0</v>
      </c>
      <c r="AG126" s="38">
        <v>0.0</v>
      </c>
      <c r="AH126" s="38">
        <v>0.0</v>
      </c>
      <c r="AI126" s="38">
        <v>113911.5</v>
      </c>
      <c r="AJ126" s="38">
        <v>113911.5</v>
      </c>
      <c r="AK126" s="38">
        <v>0.0</v>
      </c>
      <c r="AL126" s="38">
        <v>376.2</v>
      </c>
      <c r="AM126" s="38">
        <v>0.0</v>
      </c>
      <c r="AN126" s="34" t="s">
        <v>62</v>
      </c>
      <c r="AO126" s="34" t="s">
        <v>62</v>
      </c>
      <c r="AP126" s="34" t="s">
        <v>62</v>
      </c>
      <c r="AQ126" s="34" t="s">
        <v>62</v>
      </c>
      <c r="AR126" s="38">
        <v>0.0</v>
      </c>
      <c r="AS126" s="38" t="s">
        <v>2213</v>
      </c>
      <c r="AT126" s="35" t="s">
        <v>2202</v>
      </c>
      <c r="AU126" s="39" t="s">
        <v>2254</v>
      </c>
      <c r="AV126" s="40">
        <v>46167.0</v>
      </c>
    </row>
    <row r="127">
      <c r="A127" s="38">
        <v>699.0</v>
      </c>
      <c r="B127" s="38">
        <v>274211.0</v>
      </c>
      <c r="C127" s="38">
        <v>274211.0</v>
      </c>
      <c r="D127" s="38">
        <v>1731.0</v>
      </c>
      <c r="E127" s="38">
        <v>1731.0</v>
      </c>
      <c r="F127" s="38">
        <v>9.00480569E8</v>
      </c>
      <c r="G127" s="18" t="s">
        <v>141</v>
      </c>
      <c r="H127" s="18" t="s">
        <v>2255</v>
      </c>
      <c r="I127" s="18" t="s">
        <v>157</v>
      </c>
      <c r="J127" s="18" t="s">
        <v>2205</v>
      </c>
      <c r="K127" s="18" t="s">
        <v>2256</v>
      </c>
      <c r="L127" s="18" t="s">
        <v>52</v>
      </c>
      <c r="M127" s="18" t="s">
        <v>138</v>
      </c>
      <c r="N127" s="18" t="s">
        <v>130</v>
      </c>
      <c r="O127" s="18" t="s">
        <v>126</v>
      </c>
      <c r="P127" s="18" t="s">
        <v>56</v>
      </c>
      <c r="Q127" s="18" t="s">
        <v>90</v>
      </c>
      <c r="R127" s="18" t="s">
        <v>143</v>
      </c>
      <c r="S127" s="18" t="s">
        <v>59</v>
      </c>
      <c r="T127" s="38">
        <v>2026.0</v>
      </c>
      <c r="U127" s="38">
        <v>5.0</v>
      </c>
      <c r="V127" s="38">
        <v>1.081522483E9</v>
      </c>
      <c r="W127" s="38">
        <v>1.081540553E9</v>
      </c>
      <c r="X127" s="18" t="s">
        <v>2199</v>
      </c>
      <c r="Y127" s="18" t="s">
        <v>2200</v>
      </c>
      <c r="Z127" s="38">
        <v>477199.86</v>
      </c>
      <c r="AA127" s="38">
        <v>477199.86</v>
      </c>
      <c r="AB127" s="38">
        <v>159066.63</v>
      </c>
      <c r="AC127" s="38">
        <v>1475.0</v>
      </c>
      <c r="AD127" s="38">
        <v>0.0</v>
      </c>
      <c r="AE127" s="38">
        <v>0.0</v>
      </c>
      <c r="AF127" s="38">
        <v>0.0</v>
      </c>
      <c r="AG127" s="38">
        <v>0.0</v>
      </c>
      <c r="AH127" s="38">
        <v>0.0</v>
      </c>
      <c r="AI127" s="38">
        <v>477199.86</v>
      </c>
      <c r="AJ127" s="38">
        <v>477199.86</v>
      </c>
      <c r="AK127" s="38">
        <v>0.0</v>
      </c>
      <c r="AL127" s="38">
        <v>376.2</v>
      </c>
      <c r="AM127" s="38">
        <v>0.0</v>
      </c>
      <c r="AN127" s="34" t="s">
        <v>62</v>
      </c>
      <c r="AO127" s="34" t="s">
        <v>62</v>
      </c>
      <c r="AP127" s="34" t="s">
        <v>62</v>
      </c>
      <c r="AQ127" s="34" t="s">
        <v>62</v>
      </c>
      <c r="AR127" s="38">
        <v>0.0</v>
      </c>
      <c r="AS127" s="38" t="s">
        <v>2257</v>
      </c>
      <c r="AT127" s="35" t="s">
        <v>2202</v>
      </c>
      <c r="AU127" s="39" t="s">
        <v>2203</v>
      </c>
      <c r="AV127" s="40">
        <v>46163.0</v>
      </c>
    </row>
    <row r="128">
      <c r="A128" s="38">
        <v>699.0</v>
      </c>
      <c r="B128" s="38">
        <v>276691.0</v>
      </c>
      <c r="C128" s="38">
        <v>276691.0</v>
      </c>
      <c r="D128" s="38">
        <v>18151.0</v>
      </c>
      <c r="E128" s="38">
        <v>18151.0</v>
      </c>
      <c r="F128" s="38">
        <v>9.00480569E8</v>
      </c>
      <c r="G128" s="18" t="s">
        <v>141</v>
      </c>
      <c r="H128" s="18" t="s">
        <v>2255</v>
      </c>
      <c r="I128" s="18" t="s">
        <v>159</v>
      </c>
      <c r="J128" s="18" t="s">
        <v>2205</v>
      </c>
      <c r="K128" s="18" t="s">
        <v>2256</v>
      </c>
      <c r="L128" s="18" t="s">
        <v>52</v>
      </c>
      <c r="M128" s="18" t="s">
        <v>138</v>
      </c>
      <c r="N128" s="18" t="s">
        <v>130</v>
      </c>
      <c r="O128" s="18" t="s">
        <v>126</v>
      </c>
      <c r="P128" s="18" t="s">
        <v>56</v>
      </c>
      <c r="Q128" s="18" t="s">
        <v>90</v>
      </c>
      <c r="R128" s="18" t="s">
        <v>143</v>
      </c>
      <c r="S128" s="18" t="s">
        <v>59</v>
      </c>
      <c r="T128" s="38">
        <v>2026.0</v>
      </c>
      <c r="U128" s="38">
        <v>5.0</v>
      </c>
      <c r="V128" s="38">
        <v>1.081522486E9</v>
      </c>
      <c r="W128" s="38">
        <v>1.081540556E9</v>
      </c>
      <c r="X128" s="18" t="s">
        <v>2199</v>
      </c>
      <c r="Y128" s="18" t="s">
        <v>2200</v>
      </c>
      <c r="Z128" s="38">
        <v>358473.07</v>
      </c>
      <c r="AA128" s="38">
        <v>358473.07</v>
      </c>
      <c r="AB128" s="38">
        <v>119491.03</v>
      </c>
      <c r="AC128" s="38">
        <v>1058.0</v>
      </c>
      <c r="AD128" s="38">
        <v>0.0</v>
      </c>
      <c r="AE128" s="38">
        <v>0.0</v>
      </c>
      <c r="AF128" s="38">
        <v>0.0</v>
      </c>
      <c r="AG128" s="38">
        <v>0.0</v>
      </c>
      <c r="AH128" s="38">
        <v>0.0</v>
      </c>
      <c r="AI128" s="38">
        <v>358473.07</v>
      </c>
      <c r="AJ128" s="38">
        <v>358473.07</v>
      </c>
      <c r="AK128" s="38">
        <v>0.0</v>
      </c>
      <c r="AL128" s="38">
        <v>376.2</v>
      </c>
      <c r="AM128" s="38">
        <v>0.0</v>
      </c>
      <c r="AN128" s="34" t="s">
        <v>62</v>
      </c>
      <c r="AO128" s="34" t="s">
        <v>62</v>
      </c>
      <c r="AP128" s="34" t="s">
        <v>62</v>
      </c>
      <c r="AQ128" s="34" t="s">
        <v>62</v>
      </c>
      <c r="AR128" s="38">
        <v>0.0</v>
      </c>
      <c r="AS128" s="38" t="s">
        <v>2257</v>
      </c>
      <c r="AT128" s="35" t="s">
        <v>2202</v>
      </c>
      <c r="AU128" s="39" t="s">
        <v>2203</v>
      </c>
      <c r="AV128" s="40">
        <v>46163.0</v>
      </c>
    </row>
    <row r="129">
      <c r="A129" s="38">
        <v>280920.0</v>
      </c>
      <c r="B129" s="38">
        <v>279767.0</v>
      </c>
      <c r="C129" s="38">
        <v>279767.0</v>
      </c>
      <c r="D129" s="38">
        <v>24737.0</v>
      </c>
      <c r="E129" s="38">
        <v>24737.0</v>
      </c>
      <c r="F129" s="38">
        <v>9.00576569E8</v>
      </c>
      <c r="G129" s="18" t="s">
        <v>161</v>
      </c>
      <c r="H129" s="18" t="s">
        <v>2261</v>
      </c>
      <c r="I129" s="18" t="s">
        <v>162</v>
      </c>
      <c r="J129" s="18" t="s">
        <v>2205</v>
      </c>
      <c r="K129" s="18" t="s">
        <v>2262</v>
      </c>
      <c r="L129" s="18" t="s">
        <v>52</v>
      </c>
      <c r="M129" s="18" t="s">
        <v>89</v>
      </c>
      <c r="N129" s="18" t="s">
        <v>130</v>
      </c>
      <c r="O129" s="18" t="s">
        <v>126</v>
      </c>
      <c r="P129" s="18" t="s">
        <v>131</v>
      </c>
      <c r="Q129" s="18" t="s">
        <v>132</v>
      </c>
      <c r="R129" s="18" t="s">
        <v>133</v>
      </c>
      <c r="S129" s="18" t="s">
        <v>163</v>
      </c>
      <c r="T129" s="38">
        <v>2026.0</v>
      </c>
      <c r="U129" s="38">
        <v>5.0</v>
      </c>
      <c r="V129" s="38">
        <v>1.08152249E9</v>
      </c>
      <c r="W129" s="38">
        <v>1.08154056E9</v>
      </c>
      <c r="X129" s="18" t="s">
        <v>2199</v>
      </c>
      <c r="Y129" s="18" t="s">
        <v>2200</v>
      </c>
      <c r="Z129" s="38">
        <v>92626.86</v>
      </c>
      <c r="AA129" s="38">
        <v>92626.86</v>
      </c>
      <c r="AB129" s="38">
        <v>18873.0</v>
      </c>
      <c r="AC129" s="38">
        <v>0.0</v>
      </c>
      <c r="AD129" s="38">
        <v>36007.86</v>
      </c>
      <c r="AE129" s="38">
        <v>0.0</v>
      </c>
      <c r="AF129" s="38">
        <v>0.0</v>
      </c>
      <c r="AG129" s="38">
        <v>0.0</v>
      </c>
      <c r="AH129" s="38">
        <v>0.0</v>
      </c>
      <c r="AI129" s="38">
        <v>92626.86</v>
      </c>
      <c r="AJ129" s="38">
        <v>2041439.19</v>
      </c>
      <c r="AK129" s="38">
        <v>14.0</v>
      </c>
      <c r="AL129" s="38">
        <v>376.2</v>
      </c>
      <c r="AM129" s="38">
        <v>0.0</v>
      </c>
      <c r="AN129" s="34" t="s">
        <v>62</v>
      </c>
      <c r="AO129" s="34" t="s">
        <v>62</v>
      </c>
      <c r="AP129" s="34" t="s">
        <v>62</v>
      </c>
      <c r="AQ129" s="34" t="s">
        <v>62</v>
      </c>
      <c r="AR129" s="38">
        <v>0.0</v>
      </c>
      <c r="AS129" s="38" t="s">
        <v>2263</v>
      </c>
      <c r="AT129" s="35" t="s">
        <v>2202</v>
      </c>
      <c r="AU129" s="39" t="s">
        <v>2203</v>
      </c>
      <c r="AV129" s="40">
        <v>46163.0</v>
      </c>
    </row>
    <row r="130">
      <c r="A130" s="38">
        <v>280920.0</v>
      </c>
      <c r="B130" s="38">
        <v>280919.0</v>
      </c>
      <c r="C130" s="38">
        <v>280919.0</v>
      </c>
      <c r="D130" s="38">
        <v>29336.0</v>
      </c>
      <c r="E130" s="38">
        <v>29336.0</v>
      </c>
      <c r="F130" s="38">
        <v>9.00576569E8</v>
      </c>
      <c r="G130" s="18" t="s">
        <v>161</v>
      </c>
      <c r="H130" s="18" t="s">
        <v>2261</v>
      </c>
      <c r="I130" s="18" t="s">
        <v>165</v>
      </c>
      <c r="J130" s="18" t="s">
        <v>2205</v>
      </c>
      <c r="K130" s="18" t="s">
        <v>2262</v>
      </c>
      <c r="L130" s="18" t="s">
        <v>52</v>
      </c>
      <c r="M130" s="18" t="s">
        <v>89</v>
      </c>
      <c r="N130" s="18" t="s">
        <v>130</v>
      </c>
      <c r="O130" s="18" t="s">
        <v>126</v>
      </c>
      <c r="P130" s="18" t="s">
        <v>56</v>
      </c>
      <c r="Q130" s="18" t="s">
        <v>90</v>
      </c>
      <c r="R130" s="18" t="s">
        <v>143</v>
      </c>
      <c r="S130" s="18" t="s">
        <v>59</v>
      </c>
      <c r="T130" s="38">
        <v>2026.0</v>
      </c>
      <c r="U130" s="38">
        <v>5.0</v>
      </c>
      <c r="V130" s="38">
        <v>1.081522493E9</v>
      </c>
      <c r="W130" s="38">
        <v>1.081540563E9</v>
      </c>
      <c r="X130" s="18" t="s">
        <v>2199</v>
      </c>
      <c r="Y130" s="18" t="s">
        <v>2200</v>
      </c>
      <c r="Z130" s="38">
        <v>1717162.44</v>
      </c>
      <c r="AA130" s="38">
        <v>1717162.44</v>
      </c>
      <c r="AB130" s="38">
        <v>543671.17</v>
      </c>
      <c r="AC130" s="38">
        <v>5527.5</v>
      </c>
      <c r="AD130" s="38">
        <v>86148.96</v>
      </c>
      <c r="AE130" s="38">
        <v>0.0</v>
      </c>
      <c r="AF130" s="38">
        <v>0.0</v>
      </c>
      <c r="AG130" s="38">
        <v>0.0</v>
      </c>
      <c r="AH130" s="38">
        <v>0.0</v>
      </c>
      <c r="AI130" s="38">
        <v>1717162.44</v>
      </c>
      <c r="AJ130" s="38">
        <v>3310260.88</v>
      </c>
      <c r="AK130" s="38">
        <v>2.0</v>
      </c>
      <c r="AL130" s="38">
        <v>376.2</v>
      </c>
      <c r="AM130" s="38">
        <v>0.0</v>
      </c>
      <c r="AN130" s="34" t="s">
        <v>62</v>
      </c>
      <c r="AO130" s="34" t="s">
        <v>62</v>
      </c>
      <c r="AP130" s="34" t="s">
        <v>62</v>
      </c>
      <c r="AQ130" s="34" t="s">
        <v>62</v>
      </c>
      <c r="AR130" s="38">
        <v>0.0</v>
      </c>
      <c r="AS130" s="38" t="s">
        <v>2263</v>
      </c>
      <c r="AT130" s="35" t="s">
        <v>2202</v>
      </c>
      <c r="AU130" s="39" t="s">
        <v>2203</v>
      </c>
      <c r="AV130" s="40">
        <v>46163.0</v>
      </c>
    </row>
    <row r="131">
      <c r="A131" s="38">
        <v>297.0</v>
      </c>
      <c r="B131" s="38">
        <v>292435.0</v>
      </c>
      <c r="C131" s="38">
        <v>292435.0</v>
      </c>
      <c r="D131" s="38">
        <v>101989.0</v>
      </c>
      <c r="E131" s="38">
        <v>101989.0</v>
      </c>
      <c r="F131" s="18" t="s">
        <v>135</v>
      </c>
      <c r="G131" s="18" t="s">
        <v>136</v>
      </c>
      <c r="H131" s="18" t="s">
        <v>2258</v>
      </c>
      <c r="I131" s="18" t="s">
        <v>167</v>
      </c>
      <c r="J131" s="18" t="s">
        <v>2205</v>
      </c>
      <c r="K131" s="18" t="s">
        <v>2259</v>
      </c>
      <c r="L131" s="18" t="s">
        <v>52</v>
      </c>
      <c r="M131" s="18" t="s">
        <v>138</v>
      </c>
      <c r="N131" s="18" t="s">
        <v>130</v>
      </c>
      <c r="O131" s="18" t="s">
        <v>126</v>
      </c>
      <c r="P131" s="18" t="s">
        <v>131</v>
      </c>
      <c r="Q131" s="18" t="s">
        <v>151</v>
      </c>
      <c r="R131" s="18" t="s">
        <v>133</v>
      </c>
      <c r="S131" s="18" t="s">
        <v>59</v>
      </c>
      <c r="T131" s="38">
        <v>2026.0</v>
      </c>
      <c r="U131" s="38">
        <v>5.0</v>
      </c>
      <c r="V131" s="38">
        <v>1.0815225E9</v>
      </c>
      <c r="W131" s="38">
        <v>1.08154057E9</v>
      </c>
      <c r="X131" s="18" t="s">
        <v>2199</v>
      </c>
      <c r="Y131" s="18" t="s">
        <v>2200</v>
      </c>
      <c r="Z131" s="38">
        <v>75941.0</v>
      </c>
      <c r="AA131" s="38">
        <v>75941.0</v>
      </c>
      <c r="AB131" s="38">
        <v>0.0</v>
      </c>
      <c r="AC131" s="38">
        <v>0.0</v>
      </c>
      <c r="AD131" s="38">
        <v>0.0</v>
      </c>
      <c r="AE131" s="38">
        <v>0.0</v>
      </c>
      <c r="AF131" s="38">
        <v>0.0</v>
      </c>
      <c r="AG131" s="38">
        <v>0.0</v>
      </c>
      <c r="AH131" s="38">
        <v>0.0</v>
      </c>
      <c r="AI131" s="38">
        <v>75941.0</v>
      </c>
      <c r="AJ131" s="38">
        <v>75941.0</v>
      </c>
      <c r="AK131" s="38">
        <v>0.0</v>
      </c>
      <c r="AL131" s="38">
        <v>250.8</v>
      </c>
      <c r="AM131" s="38">
        <v>0.0</v>
      </c>
      <c r="AN131" s="34" t="s">
        <v>62</v>
      </c>
      <c r="AO131" s="34" t="s">
        <v>62</v>
      </c>
      <c r="AP131" s="34" t="s">
        <v>62</v>
      </c>
      <c r="AQ131" s="34" t="s">
        <v>62</v>
      </c>
      <c r="AR131" s="38">
        <v>0.0</v>
      </c>
      <c r="AS131" s="38" t="s">
        <v>2260</v>
      </c>
      <c r="AT131" s="35" t="s">
        <v>2202</v>
      </c>
      <c r="AU131" s="39" t="s">
        <v>2203</v>
      </c>
      <c r="AV131" s="40">
        <v>46164.0</v>
      </c>
    </row>
    <row r="132">
      <c r="A132" s="38">
        <v>297.0</v>
      </c>
      <c r="B132" s="38">
        <v>292975.0</v>
      </c>
      <c r="C132" s="38">
        <v>292975.0</v>
      </c>
      <c r="D132" s="38">
        <v>155089.0</v>
      </c>
      <c r="E132" s="38">
        <v>155089.0</v>
      </c>
      <c r="F132" s="18" t="s">
        <v>135</v>
      </c>
      <c r="G132" s="18" t="s">
        <v>136</v>
      </c>
      <c r="H132" s="18" t="s">
        <v>2258</v>
      </c>
      <c r="I132" s="18" t="s">
        <v>165</v>
      </c>
      <c r="J132" s="18" t="s">
        <v>2205</v>
      </c>
      <c r="K132" s="18" t="s">
        <v>2259</v>
      </c>
      <c r="L132" s="18" t="s">
        <v>52</v>
      </c>
      <c r="M132" s="18" t="s">
        <v>138</v>
      </c>
      <c r="N132" s="18" t="s">
        <v>130</v>
      </c>
      <c r="O132" s="18" t="s">
        <v>126</v>
      </c>
      <c r="P132" s="18" t="s">
        <v>131</v>
      </c>
      <c r="Q132" s="18" t="s">
        <v>139</v>
      </c>
      <c r="R132" s="18" t="s">
        <v>133</v>
      </c>
      <c r="S132" s="18" t="s">
        <v>59</v>
      </c>
      <c r="T132" s="38">
        <v>2026.0</v>
      </c>
      <c r="U132" s="38">
        <v>5.0</v>
      </c>
      <c r="V132" s="38">
        <v>1.081522503E9</v>
      </c>
      <c r="W132" s="38">
        <v>1.081540573E9</v>
      </c>
      <c r="X132" s="18" t="s">
        <v>2199</v>
      </c>
      <c r="Y132" s="18" t="s">
        <v>2200</v>
      </c>
      <c r="Z132" s="38">
        <v>63352.0</v>
      </c>
      <c r="AA132" s="38">
        <v>63352.0</v>
      </c>
      <c r="AB132" s="38">
        <v>0.0</v>
      </c>
      <c r="AC132" s="38">
        <v>0.0</v>
      </c>
      <c r="AD132" s="38">
        <v>0.0</v>
      </c>
      <c r="AE132" s="38">
        <v>0.0</v>
      </c>
      <c r="AF132" s="38">
        <v>0.0</v>
      </c>
      <c r="AG132" s="38">
        <v>0.0</v>
      </c>
      <c r="AH132" s="38">
        <v>0.0</v>
      </c>
      <c r="AI132" s="38">
        <v>63352.0</v>
      </c>
      <c r="AJ132" s="38">
        <v>63352.0</v>
      </c>
      <c r="AK132" s="38">
        <v>0.0</v>
      </c>
      <c r="AL132" s="38">
        <v>250.8</v>
      </c>
      <c r="AM132" s="38">
        <v>0.0</v>
      </c>
      <c r="AN132" s="34" t="s">
        <v>62</v>
      </c>
      <c r="AO132" s="34" t="s">
        <v>62</v>
      </c>
      <c r="AP132" s="34" t="s">
        <v>62</v>
      </c>
      <c r="AQ132" s="34" t="s">
        <v>62</v>
      </c>
      <c r="AR132" s="38">
        <v>0.0</v>
      </c>
      <c r="AS132" s="38" t="s">
        <v>2260</v>
      </c>
      <c r="AT132" s="35" t="s">
        <v>2202</v>
      </c>
      <c r="AU132" s="39" t="s">
        <v>2203</v>
      </c>
      <c r="AV132" s="40">
        <v>46164.0</v>
      </c>
    </row>
    <row r="133">
      <c r="A133" s="38">
        <v>297.0</v>
      </c>
      <c r="B133" s="38">
        <v>295095.0</v>
      </c>
      <c r="C133" s="38">
        <v>295095.0</v>
      </c>
      <c r="D133" s="38">
        <v>186399.0</v>
      </c>
      <c r="E133" s="38">
        <v>186399.0</v>
      </c>
      <c r="F133" s="18" t="s">
        <v>135</v>
      </c>
      <c r="G133" s="18" t="s">
        <v>136</v>
      </c>
      <c r="H133" s="18" t="s">
        <v>2258</v>
      </c>
      <c r="I133" s="18" t="s">
        <v>146</v>
      </c>
      <c r="J133" s="18" t="s">
        <v>2205</v>
      </c>
      <c r="K133" s="18" t="s">
        <v>2259</v>
      </c>
      <c r="L133" s="18" t="s">
        <v>52</v>
      </c>
      <c r="M133" s="18" t="s">
        <v>138</v>
      </c>
      <c r="N133" s="18" t="s">
        <v>130</v>
      </c>
      <c r="O133" s="18" t="s">
        <v>126</v>
      </c>
      <c r="P133" s="18" t="s">
        <v>56</v>
      </c>
      <c r="Q133" s="18" t="s">
        <v>57</v>
      </c>
      <c r="R133" s="18" t="s">
        <v>143</v>
      </c>
      <c r="S133" s="18" t="s">
        <v>59</v>
      </c>
      <c r="T133" s="38">
        <v>2026.0</v>
      </c>
      <c r="U133" s="38">
        <v>5.0</v>
      </c>
      <c r="V133" s="38">
        <v>1.081522507E9</v>
      </c>
      <c r="W133" s="38">
        <v>1.081540577E9</v>
      </c>
      <c r="X133" s="18" t="s">
        <v>2199</v>
      </c>
      <c r="Y133" s="18" t="s">
        <v>2200</v>
      </c>
      <c r="Z133" s="38">
        <v>104595.85</v>
      </c>
      <c r="AA133" s="38">
        <v>104595.85</v>
      </c>
      <c r="AB133" s="38">
        <v>0.0</v>
      </c>
      <c r="AC133" s="38">
        <v>350.0</v>
      </c>
      <c r="AD133" s="38">
        <v>0.0</v>
      </c>
      <c r="AE133" s="38">
        <v>0.0</v>
      </c>
      <c r="AF133" s="38">
        <v>0.0</v>
      </c>
      <c r="AG133" s="38">
        <v>0.0</v>
      </c>
      <c r="AH133" s="38">
        <v>0.0</v>
      </c>
      <c r="AI133" s="38">
        <v>104595.85</v>
      </c>
      <c r="AJ133" s="38">
        <v>104595.85</v>
      </c>
      <c r="AK133" s="38">
        <v>0.0</v>
      </c>
      <c r="AL133" s="38">
        <v>250.8</v>
      </c>
      <c r="AM133" s="38">
        <v>0.0</v>
      </c>
      <c r="AN133" s="34" t="s">
        <v>62</v>
      </c>
      <c r="AO133" s="34" t="s">
        <v>62</v>
      </c>
      <c r="AP133" s="34" t="s">
        <v>62</v>
      </c>
      <c r="AQ133" s="34" t="s">
        <v>62</v>
      </c>
      <c r="AR133" s="38">
        <v>0.0</v>
      </c>
      <c r="AS133" s="38" t="s">
        <v>2260</v>
      </c>
      <c r="AT133" s="35" t="s">
        <v>2202</v>
      </c>
      <c r="AU133" s="39" t="s">
        <v>2203</v>
      </c>
      <c r="AV133" s="40">
        <v>46164.0</v>
      </c>
    </row>
    <row r="134">
      <c r="A134" s="38">
        <v>299352.0</v>
      </c>
      <c r="B134" s="38">
        <v>299351.0</v>
      </c>
      <c r="C134" s="38">
        <v>299351.0</v>
      </c>
      <c r="D134" s="38">
        <v>206188.0</v>
      </c>
      <c r="E134" s="38">
        <v>206188.0</v>
      </c>
      <c r="F134" s="38">
        <v>6.0353386E7</v>
      </c>
      <c r="G134" s="18" t="s">
        <v>171</v>
      </c>
      <c r="H134" s="18" t="s">
        <v>2367</v>
      </c>
      <c r="I134" s="18" t="s">
        <v>172</v>
      </c>
      <c r="J134" s="18" t="s">
        <v>2205</v>
      </c>
      <c r="K134" s="18" t="s">
        <v>2205</v>
      </c>
      <c r="L134" s="18" t="s">
        <v>52</v>
      </c>
      <c r="M134" s="18" t="s">
        <v>89</v>
      </c>
      <c r="N134" s="18" t="s">
        <v>130</v>
      </c>
      <c r="O134" s="18" t="s">
        <v>126</v>
      </c>
      <c r="P134" s="18" t="s">
        <v>56</v>
      </c>
      <c r="Q134" s="18" t="s">
        <v>72</v>
      </c>
      <c r="R134" s="18" t="s">
        <v>58</v>
      </c>
      <c r="S134" s="18" t="s">
        <v>59</v>
      </c>
      <c r="T134" s="38">
        <v>2026.0</v>
      </c>
      <c r="U134" s="38">
        <v>5.0</v>
      </c>
      <c r="V134" s="38">
        <v>1.081522511E9</v>
      </c>
      <c r="W134" s="38">
        <v>1.081540581E9</v>
      </c>
      <c r="X134" s="18" t="s">
        <v>2199</v>
      </c>
      <c r="Y134" s="18" t="s">
        <v>2200</v>
      </c>
      <c r="Z134" s="38">
        <v>925994.12</v>
      </c>
      <c r="AA134" s="38">
        <v>925994.12</v>
      </c>
      <c r="AB134" s="38">
        <v>208614.77</v>
      </c>
      <c r="AC134" s="38">
        <v>3462.5</v>
      </c>
      <c r="AD134" s="38">
        <v>21996.75</v>
      </c>
      <c r="AE134" s="38">
        <v>0.0</v>
      </c>
      <c r="AF134" s="38">
        <v>0.0</v>
      </c>
      <c r="AG134" s="38">
        <v>0.0</v>
      </c>
      <c r="AH134" s="38">
        <v>0.0</v>
      </c>
      <c r="AI134" s="38">
        <v>925994.12</v>
      </c>
      <c r="AJ134" s="38">
        <v>3012684.61</v>
      </c>
      <c r="AK134" s="38">
        <v>2.0</v>
      </c>
      <c r="AL134" s="38">
        <v>326.04</v>
      </c>
      <c r="AM134" s="38">
        <v>0.0</v>
      </c>
      <c r="AN134" s="34" t="s">
        <v>62</v>
      </c>
      <c r="AO134" s="34" t="s">
        <v>62</v>
      </c>
      <c r="AP134" s="34" t="s">
        <v>62</v>
      </c>
      <c r="AQ134" s="34" t="s">
        <v>62</v>
      </c>
      <c r="AR134" s="38">
        <v>0.0</v>
      </c>
      <c r="AS134" s="38" t="s">
        <v>2368</v>
      </c>
      <c r="AT134" s="35" t="s">
        <v>2202</v>
      </c>
      <c r="AU134" s="39" t="s">
        <v>2254</v>
      </c>
      <c r="AV134" s="40">
        <v>46167.0</v>
      </c>
    </row>
    <row r="135">
      <c r="A135" s="38">
        <v>297.0</v>
      </c>
      <c r="B135" s="38">
        <v>307735.0</v>
      </c>
      <c r="C135" s="38">
        <v>307735.0</v>
      </c>
      <c r="D135" s="38">
        <v>307162.0</v>
      </c>
      <c r="E135" s="38">
        <v>307162.0</v>
      </c>
      <c r="F135" s="18" t="s">
        <v>135</v>
      </c>
      <c r="G135" s="18" t="s">
        <v>136</v>
      </c>
      <c r="H135" s="18" t="s">
        <v>2258</v>
      </c>
      <c r="I135" s="18" t="s">
        <v>157</v>
      </c>
      <c r="J135" s="18" t="s">
        <v>2205</v>
      </c>
      <c r="K135" s="18" t="s">
        <v>2259</v>
      </c>
      <c r="L135" s="18" t="s">
        <v>52</v>
      </c>
      <c r="M135" s="18" t="s">
        <v>138</v>
      </c>
      <c r="N135" s="18" t="s">
        <v>130</v>
      </c>
      <c r="O135" s="18" t="s">
        <v>126</v>
      </c>
      <c r="P135" s="18" t="s">
        <v>56</v>
      </c>
      <c r="Q135" s="18" t="s">
        <v>57</v>
      </c>
      <c r="R135" s="18" t="s">
        <v>143</v>
      </c>
      <c r="S135" s="18" t="s">
        <v>59</v>
      </c>
      <c r="T135" s="38">
        <v>2026.0</v>
      </c>
      <c r="U135" s="38">
        <v>5.0</v>
      </c>
      <c r="V135" s="38">
        <v>1.081522517E9</v>
      </c>
      <c r="W135" s="38">
        <v>1.081540587E9</v>
      </c>
      <c r="X135" s="18" t="s">
        <v>2199</v>
      </c>
      <c r="Y135" s="18" t="s">
        <v>2200</v>
      </c>
      <c r="Z135" s="38">
        <v>106493.96</v>
      </c>
      <c r="AA135" s="38">
        <v>106493.96</v>
      </c>
      <c r="AB135" s="38">
        <v>0.0</v>
      </c>
      <c r="AC135" s="38">
        <v>360.0</v>
      </c>
      <c r="AD135" s="38">
        <v>0.0</v>
      </c>
      <c r="AE135" s="38">
        <v>0.0</v>
      </c>
      <c r="AF135" s="38">
        <v>0.0</v>
      </c>
      <c r="AG135" s="38">
        <v>0.0</v>
      </c>
      <c r="AH135" s="38">
        <v>0.0</v>
      </c>
      <c r="AI135" s="38">
        <v>106493.96</v>
      </c>
      <c r="AJ135" s="38">
        <v>106493.96</v>
      </c>
      <c r="AK135" s="38">
        <v>0.0</v>
      </c>
      <c r="AL135" s="38">
        <v>250.8</v>
      </c>
      <c r="AM135" s="38">
        <v>0.0</v>
      </c>
      <c r="AN135" s="34" t="s">
        <v>62</v>
      </c>
      <c r="AO135" s="34" t="s">
        <v>62</v>
      </c>
      <c r="AP135" s="34" t="s">
        <v>62</v>
      </c>
      <c r="AQ135" s="34" t="s">
        <v>62</v>
      </c>
      <c r="AR135" s="38">
        <v>0.0</v>
      </c>
      <c r="AS135" s="38" t="s">
        <v>2260</v>
      </c>
      <c r="AT135" s="35" t="s">
        <v>2202</v>
      </c>
      <c r="AU135" s="39" t="s">
        <v>2203</v>
      </c>
      <c r="AV135" s="40">
        <v>46164.0</v>
      </c>
    </row>
    <row r="136">
      <c r="A136" s="38">
        <v>297.0</v>
      </c>
      <c r="B136" s="38">
        <v>314723.0</v>
      </c>
      <c r="C136" s="38">
        <v>314723.0</v>
      </c>
      <c r="D136" s="38">
        <v>451064.0</v>
      </c>
      <c r="E136" s="38">
        <v>451064.0</v>
      </c>
      <c r="F136" s="18" t="s">
        <v>135</v>
      </c>
      <c r="G136" s="18" t="s">
        <v>136</v>
      </c>
      <c r="H136" s="18" t="s">
        <v>2258</v>
      </c>
      <c r="I136" s="18" t="s">
        <v>175</v>
      </c>
      <c r="J136" s="18" t="s">
        <v>2205</v>
      </c>
      <c r="K136" s="18" t="s">
        <v>2259</v>
      </c>
      <c r="L136" s="18" t="s">
        <v>52</v>
      </c>
      <c r="M136" s="18" t="s">
        <v>138</v>
      </c>
      <c r="N136" s="18" t="s">
        <v>130</v>
      </c>
      <c r="O136" s="18" t="s">
        <v>126</v>
      </c>
      <c r="P136" s="18" t="s">
        <v>131</v>
      </c>
      <c r="Q136" s="18" t="s">
        <v>139</v>
      </c>
      <c r="R136" s="18" t="s">
        <v>133</v>
      </c>
      <c r="S136" s="18" t="s">
        <v>59</v>
      </c>
      <c r="T136" s="38">
        <v>2026.0</v>
      </c>
      <c r="U136" s="38">
        <v>5.0</v>
      </c>
      <c r="V136" s="38">
        <v>1.08152252E9</v>
      </c>
      <c r="W136" s="38">
        <v>1.08154059E9</v>
      </c>
      <c r="X136" s="18" t="s">
        <v>2199</v>
      </c>
      <c r="Y136" s="18" t="s">
        <v>2200</v>
      </c>
      <c r="Z136" s="38">
        <v>63352.0</v>
      </c>
      <c r="AA136" s="38">
        <v>63352.0</v>
      </c>
      <c r="AB136" s="38">
        <v>0.0</v>
      </c>
      <c r="AC136" s="38">
        <v>0.0</v>
      </c>
      <c r="AD136" s="38">
        <v>0.0</v>
      </c>
      <c r="AE136" s="38">
        <v>0.0</v>
      </c>
      <c r="AF136" s="38">
        <v>0.0</v>
      </c>
      <c r="AG136" s="38">
        <v>0.0</v>
      </c>
      <c r="AH136" s="38">
        <v>0.0</v>
      </c>
      <c r="AI136" s="38">
        <v>63352.0</v>
      </c>
      <c r="AJ136" s="38">
        <v>63352.0</v>
      </c>
      <c r="AK136" s="38">
        <v>0.0</v>
      </c>
      <c r="AL136" s="38">
        <v>250.8</v>
      </c>
      <c r="AM136" s="38">
        <v>0.0</v>
      </c>
      <c r="AN136" s="34" t="s">
        <v>62</v>
      </c>
      <c r="AO136" s="34" t="s">
        <v>62</v>
      </c>
      <c r="AP136" s="34" t="s">
        <v>62</v>
      </c>
      <c r="AQ136" s="34" t="s">
        <v>62</v>
      </c>
      <c r="AR136" s="38">
        <v>0.0</v>
      </c>
      <c r="AS136" s="38" t="s">
        <v>2260</v>
      </c>
      <c r="AT136" s="35" t="s">
        <v>2202</v>
      </c>
      <c r="AU136" s="39" t="s">
        <v>2203</v>
      </c>
      <c r="AV136" s="40">
        <v>46164.0</v>
      </c>
    </row>
    <row r="137">
      <c r="A137" s="38">
        <v>3156.0</v>
      </c>
      <c r="B137" s="38">
        <v>3155.0</v>
      </c>
      <c r="C137" s="38">
        <v>3155.0</v>
      </c>
      <c r="D137" s="38">
        <v>8.0123481E7</v>
      </c>
      <c r="E137" s="38">
        <v>8.0123481E7</v>
      </c>
      <c r="F137" s="38">
        <v>8.00084244E8</v>
      </c>
      <c r="G137" s="18" t="s">
        <v>177</v>
      </c>
      <c r="H137" s="18" t="s">
        <v>2369</v>
      </c>
      <c r="I137" s="18" t="s">
        <v>172</v>
      </c>
      <c r="J137" s="18" t="s">
        <v>2205</v>
      </c>
      <c r="K137" s="18" t="s">
        <v>2205</v>
      </c>
      <c r="L137" s="18" t="s">
        <v>52</v>
      </c>
      <c r="M137" s="18" t="s">
        <v>89</v>
      </c>
      <c r="N137" s="18" t="s">
        <v>130</v>
      </c>
      <c r="O137" s="18" t="s">
        <v>126</v>
      </c>
      <c r="P137" s="18" t="s">
        <v>56</v>
      </c>
      <c r="Q137" s="18" t="s">
        <v>72</v>
      </c>
      <c r="R137" s="18" t="s">
        <v>143</v>
      </c>
      <c r="S137" s="18" t="s">
        <v>59</v>
      </c>
      <c r="T137" s="38">
        <v>2026.0</v>
      </c>
      <c r="U137" s="38">
        <v>5.0</v>
      </c>
      <c r="V137" s="38">
        <v>1.081522298E9</v>
      </c>
      <c r="W137" s="38">
        <v>1.081540368E9</v>
      </c>
      <c r="X137" s="18" t="s">
        <v>2199</v>
      </c>
      <c r="Y137" s="18" t="s">
        <v>2200</v>
      </c>
      <c r="Z137" s="38">
        <v>115786.87</v>
      </c>
      <c r="AA137" s="38">
        <v>115786.87</v>
      </c>
      <c r="AB137" s="38">
        <v>26396.21</v>
      </c>
      <c r="AC137" s="38">
        <v>262.5</v>
      </c>
      <c r="AD137" s="38">
        <v>1403.26</v>
      </c>
      <c r="AE137" s="38">
        <v>0.0</v>
      </c>
      <c r="AF137" s="38">
        <v>0.0</v>
      </c>
      <c r="AG137" s="38">
        <v>0.0</v>
      </c>
      <c r="AH137" s="38">
        <v>0.0</v>
      </c>
      <c r="AI137" s="38">
        <v>115786.87</v>
      </c>
      <c r="AJ137" s="38">
        <v>228527.77</v>
      </c>
      <c r="AK137" s="38">
        <v>2.0</v>
      </c>
      <c r="AL137" s="38">
        <v>326.04</v>
      </c>
      <c r="AM137" s="38">
        <v>0.0</v>
      </c>
      <c r="AN137" s="34" t="s">
        <v>62</v>
      </c>
      <c r="AO137" s="34" t="s">
        <v>62</v>
      </c>
      <c r="AP137" s="34" t="s">
        <v>62</v>
      </c>
      <c r="AQ137" s="34" t="s">
        <v>62</v>
      </c>
      <c r="AR137" s="38">
        <v>0.0</v>
      </c>
      <c r="AS137" s="38" t="s">
        <v>2370</v>
      </c>
      <c r="AT137" s="35" t="s">
        <v>2202</v>
      </c>
      <c r="AU137" s="39" t="s">
        <v>2254</v>
      </c>
      <c r="AV137" s="40">
        <v>46167.0</v>
      </c>
    </row>
    <row r="138">
      <c r="A138" s="38">
        <v>147.0</v>
      </c>
      <c r="B138" s="38">
        <v>3159.0</v>
      </c>
      <c r="C138" s="38">
        <v>3159.0</v>
      </c>
      <c r="D138" s="38">
        <v>8.0123485E7</v>
      </c>
      <c r="E138" s="38">
        <v>8.0123485E7</v>
      </c>
      <c r="F138" s="18" t="s">
        <v>179</v>
      </c>
      <c r="G138" s="18" t="s">
        <v>180</v>
      </c>
      <c r="H138" s="18" t="s">
        <v>2320</v>
      </c>
      <c r="I138" s="18" t="s">
        <v>181</v>
      </c>
      <c r="J138" s="18" t="s">
        <v>2205</v>
      </c>
      <c r="K138" s="18" t="s">
        <v>2289</v>
      </c>
      <c r="L138" s="18" t="s">
        <v>52</v>
      </c>
      <c r="M138" s="18" t="s">
        <v>89</v>
      </c>
      <c r="N138" s="18" t="s">
        <v>130</v>
      </c>
      <c r="O138" s="18" t="s">
        <v>126</v>
      </c>
      <c r="P138" s="18" t="s">
        <v>56</v>
      </c>
      <c r="Q138" s="18" t="s">
        <v>57</v>
      </c>
      <c r="R138" s="18" t="s">
        <v>143</v>
      </c>
      <c r="S138" s="18" t="s">
        <v>59</v>
      </c>
      <c r="T138" s="38">
        <v>2026.0</v>
      </c>
      <c r="U138" s="38">
        <v>5.0</v>
      </c>
      <c r="V138" s="38">
        <v>1.081522303E9</v>
      </c>
      <c r="W138" s="38">
        <v>1.081540373E9</v>
      </c>
      <c r="X138" s="18" t="s">
        <v>2199</v>
      </c>
      <c r="Y138" s="18" t="s">
        <v>2200</v>
      </c>
      <c r="Z138" s="38">
        <v>288332.9</v>
      </c>
      <c r="AA138" s="38">
        <v>288332.9</v>
      </c>
      <c r="AB138" s="38">
        <v>0.0</v>
      </c>
      <c r="AC138" s="38">
        <v>1318.0</v>
      </c>
      <c r="AD138" s="38">
        <v>0.0</v>
      </c>
      <c r="AE138" s="38">
        <v>0.0</v>
      </c>
      <c r="AF138" s="38">
        <v>0.0</v>
      </c>
      <c r="AG138" s="38">
        <v>0.0</v>
      </c>
      <c r="AH138" s="38">
        <v>0.0</v>
      </c>
      <c r="AI138" s="38">
        <v>288332.9</v>
      </c>
      <c r="AJ138" s="38">
        <v>570575.36</v>
      </c>
      <c r="AK138" s="38">
        <v>1.0</v>
      </c>
      <c r="AL138" s="38">
        <v>250.8</v>
      </c>
      <c r="AM138" s="38">
        <v>0.0</v>
      </c>
      <c r="AN138" s="34" t="s">
        <v>62</v>
      </c>
      <c r="AO138" s="34" t="s">
        <v>62</v>
      </c>
      <c r="AP138" s="34" t="s">
        <v>62</v>
      </c>
      <c r="AQ138" s="34" t="s">
        <v>62</v>
      </c>
      <c r="AR138" s="38">
        <v>0.0</v>
      </c>
      <c r="AS138" s="38" t="s">
        <v>2321</v>
      </c>
      <c r="AT138" s="35" t="s">
        <v>2202</v>
      </c>
      <c r="AU138" s="39" t="s">
        <v>2203</v>
      </c>
      <c r="AV138" s="40">
        <v>46163.0</v>
      </c>
    </row>
    <row r="139">
      <c r="A139" s="38">
        <v>455370.0</v>
      </c>
      <c r="B139" s="38">
        <v>3163.0</v>
      </c>
      <c r="C139" s="38">
        <v>3163.0</v>
      </c>
      <c r="D139" s="38">
        <v>8.0123489E7</v>
      </c>
      <c r="E139" s="38">
        <v>8.0123489E7</v>
      </c>
      <c r="F139" s="18" t="s">
        <v>148</v>
      </c>
      <c r="G139" s="18" t="s">
        <v>149</v>
      </c>
      <c r="H139" s="18" t="s">
        <v>2296</v>
      </c>
      <c r="I139" s="18" t="s">
        <v>183</v>
      </c>
      <c r="J139" s="18" t="s">
        <v>2205</v>
      </c>
      <c r="K139" s="18" t="s">
        <v>2292</v>
      </c>
      <c r="L139" s="18" t="s">
        <v>52</v>
      </c>
      <c r="M139" s="18" t="s">
        <v>138</v>
      </c>
      <c r="N139" s="18" t="s">
        <v>130</v>
      </c>
      <c r="O139" s="18" t="s">
        <v>126</v>
      </c>
      <c r="P139" s="18" t="s">
        <v>56</v>
      </c>
      <c r="Q139" s="18" t="s">
        <v>57</v>
      </c>
      <c r="R139" s="18" t="s">
        <v>143</v>
      </c>
      <c r="S139" s="18" t="s">
        <v>59</v>
      </c>
      <c r="T139" s="38">
        <v>2026.0</v>
      </c>
      <c r="U139" s="38">
        <v>5.0</v>
      </c>
      <c r="V139" s="38">
        <v>1.081522305E9</v>
      </c>
      <c r="W139" s="38">
        <v>1.081540375E9</v>
      </c>
      <c r="X139" s="18" t="s">
        <v>2199</v>
      </c>
      <c r="Y139" s="18" t="s">
        <v>2200</v>
      </c>
      <c r="Z139" s="38">
        <v>512689.5</v>
      </c>
      <c r="AA139" s="38">
        <v>512689.5</v>
      </c>
      <c r="AB139" s="38">
        <v>0.0</v>
      </c>
      <c r="AC139" s="38">
        <v>2500.0</v>
      </c>
      <c r="AD139" s="38">
        <v>0.0</v>
      </c>
      <c r="AE139" s="38">
        <v>0.0</v>
      </c>
      <c r="AF139" s="38">
        <v>0.0</v>
      </c>
      <c r="AG139" s="38">
        <v>0.0</v>
      </c>
      <c r="AH139" s="38">
        <v>0.0</v>
      </c>
      <c r="AI139" s="38">
        <v>512689.5</v>
      </c>
      <c r="AJ139" s="38">
        <v>1176367.7</v>
      </c>
      <c r="AK139" s="38">
        <v>3.0</v>
      </c>
      <c r="AL139" s="38">
        <v>250.8</v>
      </c>
      <c r="AM139" s="38">
        <v>0.0</v>
      </c>
      <c r="AN139" s="34" t="s">
        <v>62</v>
      </c>
      <c r="AO139" s="34" t="s">
        <v>62</v>
      </c>
      <c r="AP139" s="34" t="s">
        <v>62</v>
      </c>
      <c r="AQ139" s="34" t="s">
        <v>62</v>
      </c>
      <c r="AR139" s="38">
        <v>0.0</v>
      </c>
      <c r="AS139" s="38" t="s">
        <v>2293</v>
      </c>
      <c r="AT139" s="35" t="s">
        <v>2294</v>
      </c>
      <c r="AU139" s="39" t="s">
        <v>2295</v>
      </c>
      <c r="AV139" s="40">
        <v>46164.0</v>
      </c>
    </row>
    <row r="140">
      <c r="A140" s="38">
        <v>455370.0</v>
      </c>
      <c r="B140" s="38">
        <v>3167.0</v>
      </c>
      <c r="C140" s="38">
        <v>3167.0</v>
      </c>
      <c r="D140" s="38">
        <v>8.0123493E7</v>
      </c>
      <c r="E140" s="38">
        <v>8.0123493E7</v>
      </c>
      <c r="F140" s="18" t="s">
        <v>148</v>
      </c>
      <c r="G140" s="18" t="s">
        <v>149</v>
      </c>
      <c r="H140" s="18" t="s">
        <v>2296</v>
      </c>
      <c r="I140" s="18" t="s">
        <v>185</v>
      </c>
      <c r="J140" s="18" t="s">
        <v>2205</v>
      </c>
      <c r="K140" s="18" t="s">
        <v>2292</v>
      </c>
      <c r="L140" s="18" t="s">
        <v>52</v>
      </c>
      <c r="M140" s="18" t="s">
        <v>138</v>
      </c>
      <c r="N140" s="18" t="s">
        <v>130</v>
      </c>
      <c r="O140" s="18" t="s">
        <v>126</v>
      </c>
      <c r="P140" s="18" t="s">
        <v>56</v>
      </c>
      <c r="Q140" s="18" t="s">
        <v>57</v>
      </c>
      <c r="R140" s="18" t="s">
        <v>143</v>
      </c>
      <c r="S140" s="18" t="s">
        <v>59</v>
      </c>
      <c r="T140" s="38">
        <v>2026.0</v>
      </c>
      <c r="U140" s="38">
        <v>5.0</v>
      </c>
      <c r="V140" s="38">
        <v>1.081522308E9</v>
      </c>
      <c r="W140" s="38">
        <v>1.081540378E9</v>
      </c>
      <c r="X140" s="18" t="s">
        <v>2199</v>
      </c>
      <c r="Y140" s="18" t="s">
        <v>2200</v>
      </c>
      <c r="Z140" s="38">
        <v>190010.8</v>
      </c>
      <c r="AA140" s="38">
        <v>190010.8</v>
      </c>
      <c r="AB140" s="38">
        <v>0.0</v>
      </c>
      <c r="AC140" s="38">
        <v>800.0</v>
      </c>
      <c r="AD140" s="38">
        <v>0.0</v>
      </c>
      <c r="AE140" s="38">
        <v>0.0</v>
      </c>
      <c r="AF140" s="38">
        <v>0.0</v>
      </c>
      <c r="AG140" s="38">
        <v>0.0</v>
      </c>
      <c r="AH140" s="38">
        <v>0.0</v>
      </c>
      <c r="AI140" s="38">
        <v>190010.8</v>
      </c>
      <c r="AJ140" s="38">
        <v>538758.9</v>
      </c>
      <c r="AK140" s="38">
        <v>3.0</v>
      </c>
      <c r="AL140" s="38">
        <v>250.8</v>
      </c>
      <c r="AM140" s="38">
        <v>0.0</v>
      </c>
      <c r="AN140" s="34" t="s">
        <v>62</v>
      </c>
      <c r="AO140" s="34" t="s">
        <v>62</v>
      </c>
      <c r="AP140" s="34" t="s">
        <v>62</v>
      </c>
      <c r="AQ140" s="34" t="s">
        <v>62</v>
      </c>
      <c r="AR140" s="38">
        <v>0.0</v>
      </c>
      <c r="AS140" s="38" t="s">
        <v>2293</v>
      </c>
      <c r="AT140" s="35" t="s">
        <v>2294</v>
      </c>
      <c r="AU140" s="39" t="s">
        <v>2295</v>
      </c>
      <c r="AV140" s="40">
        <v>46164.0</v>
      </c>
    </row>
    <row r="141">
      <c r="A141" s="38">
        <v>455370.0</v>
      </c>
      <c r="B141" s="38">
        <v>3171.0</v>
      </c>
      <c r="C141" s="38">
        <v>3171.0</v>
      </c>
      <c r="D141" s="38">
        <v>8.0123497E7</v>
      </c>
      <c r="E141" s="38">
        <v>8.0123497E7</v>
      </c>
      <c r="F141" s="18" t="s">
        <v>148</v>
      </c>
      <c r="G141" s="18" t="s">
        <v>149</v>
      </c>
      <c r="H141" s="18" t="s">
        <v>2296</v>
      </c>
      <c r="I141" s="18" t="s">
        <v>187</v>
      </c>
      <c r="J141" s="18" t="s">
        <v>2205</v>
      </c>
      <c r="K141" s="18" t="s">
        <v>2292</v>
      </c>
      <c r="L141" s="18" t="s">
        <v>52</v>
      </c>
      <c r="M141" s="18" t="s">
        <v>138</v>
      </c>
      <c r="N141" s="18" t="s">
        <v>130</v>
      </c>
      <c r="O141" s="18" t="s">
        <v>126</v>
      </c>
      <c r="P141" s="18" t="s">
        <v>56</v>
      </c>
      <c r="Q141" s="18" t="s">
        <v>57</v>
      </c>
      <c r="R141" s="18" t="s">
        <v>143</v>
      </c>
      <c r="S141" s="18" t="s">
        <v>59</v>
      </c>
      <c r="T141" s="38">
        <v>2026.0</v>
      </c>
      <c r="U141" s="38">
        <v>5.0</v>
      </c>
      <c r="V141" s="38">
        <v>1.081522312E9</v>
      </c>
      <c r="W141" s="38">
        <v>1.081540382E9</v>
      </c>
      <c r="X141" s="18" t="s">
        <v>2199</v>
      </c>
      <c r="Y141" s="18" t="s">
        <v>2200</v>
      </c>
      <c r="Z141" s="38">
        <v>346604.88</v>
      </c>
      <c r="AA141" s="38">
        <v>346604.88</v>
      </c>
      <c r="AB141" s="38">
        <v>0.0</v>
      </c>
      <c r="AC141" s="38">
        <v>1625.0</v>
      </c>
      <c r="AD141" s="38">
        <v>0.0</v>
      </c>
      <c r="AE141" s="38">
        <v>0.0</v>
      </c>
      <c r="AF141" s="38">
        <v>0.0</v>
      </c>
      <c r="AG141" s="38">
        <v>0.0</v>
      </c>
      <c r="AH141" s="38">
        <v>0.0</v>
      </c>
      <c r="AI141" s="38">
        <v>346604.88</v>
      </c>
      <c r="AJ141" s="38">
        <v>848186.71</v>
      </c>
      <c r="AK141" s="38">
        <v>3.0</v>
      </c>
      <c r="AL141" s="38">
        <v>250.8</v>
      </c>
      <c r="AM141" s="38">
        <v>0.0</v>
      </c>
      <c r="AN141" s="34" t="s">
        <v>62</v>
      </c>
      <c r="AO141" s="34" t="s">
        <v>62</v>
      </c>
      <c r="AP141" s="34" t="s">
        <v>62</v>
      </c>
      <c r="AQ141" s="34" t="s">
        <v>62</v>
      </c>
      <c r="AR141" s="38">
        <v>0.0</v>
      </c>
      <c r="AS141" s="38" t="s">
        <v>2293</v>
      </c>
      <c r="AT141" s="35" t="s">
        <v>2294</v>
      </c>
      <c r="AU141" s="39" t="s">
        <v>2295</v>
      </c>
      <c r="AV141" s="40">
        <v>46164.0</v>
      </c>
    </row>
    <row r="142">
      <c r="A142" s="38">
        <v>455370.0</v>
      </c>
      <c r="B142" s="38">
        <v>3175.0</v>
      </c>
      <c r="C142" s="38">
        <v>3175.0</v>
      </c>
      <c r="D142" s="38">
        <v>8.0123501E7</v>
      </c>
      <c r="E142" s="38">
        <v>8.0123501E7</v>
      </c>
      <c r="F142" s="18" t="s">
        <v>148</v>
      </c>
      <c r="G142" s="18" t="s">
        <v>149</v>
      </c>
      <c r="H142" s="18" t="s">
        <v>2296</v>
      </c>
      <c r="I142" s="18" t="s">
        <v>189</v>
      </c>
      <c r="J142" s="18" t="s">
        <v>2205</v>
      </c>
      <c r="K142" s="18" t="s">
        <v>2292</v>
      </c>
      <c r="L142" s="18" t="s">
        <v>52</v>
      </c>
      <c r="M142" s="18" t="s">
        <v>138</v>
      </c>
      <c r="N142" s="18" t="s">
        <v>130</v>
      </c>
      <c r="O142" s="18" t="s">
        <v>126</v>
      </c>
      <c r="P142" s="18" t="s">
        <v>56</v>
      </c>
      <c r="Q142" s="18" t="s">
        <v>57</v>
      </c>
      <c r="R142" s="18" t="s">
        <v>143</v>
      </c>
      <c r="S142" s="18" t="s">
        <v>59</v>
      </c>
      <c r="T142" s="38">
        <v>2026.0</v>
      </c>
      <c r="U142" s="38">
        <v>5.0</v>
      </c>
      <c r="V142" s="38">
        <v>1.081522315E9</v>
      </c>
      <c r="W142" s="38">
        <v>1.081540385E9</v>
      </c>
      <c r="X142" s="18" t="s">
        <v>2199</v>
      </c>
      <c r="Y142" s="18" t="s">
        <v>2200</v>
      </c>
      <c r="Z142" s="38">
        <v>339012.44</v>
      </c>
      <c r="AA142" s="38">
        <v>339012.44</v>
      </c>
      <c r="AB142" s="38">
        <v>0.0</v>
      </c>
      <c r="AC142" s="38">
        <v>1585.0</v>
      </c>
      <c r="AD142" s="38">
        <v>0.0</v>
      </c>
      <c r="AE142" s="38">
        <v>0.0</v>
      </c>
      <c r="AF142" s="38">
        <v>0.0</v>
      </c>
      <c r="AG142" s="38">
        <v>0.0</v>
      </c>
      <c r="AH142" s="38">
        <v>0.0</v>
      </c>
      <c r="AI142" s="38">
        <v>339012.44</v>
      </c>
      <c r="AJ142" s="38">
        <v>833184.15</v>
      </c>
      <c r="AK142" s="38">
        <v>3.0</v>
      </c>
      <c r="AL142" s="38">
        <v>250.8</v>
      </c>
      <c r="AM142" s="38">
        <v>0.0</v>
      </c>
      <c r="AN142" s="34" t="s">
        <v>62</v>
      </c>
      <c r="AO142" s="34" t="s">
        <v>62</v>
      </c>
      <c r="AP142" s="34" t="s">
        <v>62</v>
      </c>
      <c r="AQ142" s="34" t="s">
        <v>62</v>
      </c>
      <c r="AR142" s="38">
        <v>0.0</v>
      </c>
      <c r="AS142" s="38" t="s">
        <v>2293</v>
      </c>
      <c r="AT142" s="35" t="s">
        <v>2294</v>
      </c>
      <c r="AU142" s="39" t="s">
        <v>2295</v>
      </c>
      <c r="AV142" s="40">
        <v>46164.0</v>
      </c>
    </row>
    <row r="143">
      <c r="A143" s="38">
        <v>3180.0</v>
      </c>
      <c r="B143" s="38">
        <v>3179.0</v>
      </c>
      <c r="C143" s="38">
        <v>3179.0</v>
      </c>
      <c r="D143" s="38">
        <v>8.0123505E7</v>
      </c>
      <c r="E143" s="38">
        <v>8.0123505E7</v>
      </c>
      <c r="F143" s="38">
        <v>8.90502572E8</v>
      </c>
      <c r="G143" s="18" t="s">
        <v>191</v>
      </c>
      <c r="H143" s="18" t="s">
        <v>2371</v>
      </c>
      <c r="I143" s="18" t="s">
        <v>172</v>
      </c>
      <c r="J143" s="18" t="s">
        <v>2205</v>
      </c>
      <c r="K143" s="18" t="s">
        <v>2205</v>
      </c>
      <c r="L143" s="18" t="s">
        <v>52</v>
      </c>
      <c r="M143" s="18" t="s">
        <v>89</v>
      </c>
      <c r="N143" s="18" t="s">
        <v>130</v>
      </c>
      <c r="O143" s="18" t="s">
        <v>126</v>
      </c>
      <c r="P143" s="18" t="s">
        <v>56</v>
      </c>
      <c r="Q143" s="18" t="s">
        <v>72</v>
      </c>
      <c r="R143" s="18" t="s">
        <v>58</v>
      </c>
      <c r="S143" s="18" t="s">
        <v>59</v>
      </c>
      <c r="T143" s="38">
        <v>2026.0</v>
      </c>
      <c r="U143" s="38">
        <v>5.0</v>
      </c>
      <c r="V143" s="38">
        <v>1.081522318E9</v>
      </c>
      <c r="W143" s="38">
        <v>1.081540388E9</v>
      </c>
      <c r="X143" s="18" t="s">
        <v>2199</v>
      </c>
      <c r="Y143" s="18" t="s">
        <v>2200</v>
      </c>
      <c r="Z143" s="38">
        <v>412030.97</v>
      </c>
      <c r="AA143" s="38">
        <v>412030.97</v>
      </c>
      <c r="AB143" s="38">
        <v>95084.07</v>
      </c>
      <c r="AC143" s="38">
        <v>1468.75</v>
      </c>
      <c r="AD143" s="38">
        <v>0.0</v>
      </c>
      <c r="AE143" s="38">
        <v>0.0</v>
      </c>
      <c r="AF143" s="38">
        <v>0.0</v>
      </c>
      <c r="AG143" s="38">
        <v>0.0</v>
      </c>
      <c r="AH143" s="38">
        <v>0.0</v>
      </c>
      <c r="AI143" s="38">
        <v>412030.97</v>
      </c>
      <c r="AJ143" s="38">
        <v>412031.83</v>
      </c>
      <c r="AK143" s="38">
        <v>1.0</v>
      </c>
      <c r="AL143" s="38">
        <v>326.04</v>
      </c>
      <c r="AM143" s="38">
        <v>0.0</v>
      </c>
      <c r="AN143" s="34" t="s">
        <v>62</v>
      </c>
      <c r="AO143" s="34" t="s">
        <v>62</v>
      </c>
      <c r="AP143" s="34" t="s">
        <v>62</v>
      </c>
      <c r="AQ143" s="34" t="s">
        <v>62</v>
      </c>
      <c r="AR143" s="38">
        <v>0.0</v>
      </c>
      <c r="AS143" s="38" t="s">
        <v>2372</v>
      </c>
      <c r="AT143" s="35" t="s">
        <v>2202</v>
      </c>
      <c r="AU143" s="39" t="s">
        <v>2254</v>
      </c>
      <c r="AV143" s="40">
        <v>46167.0</v>
      </c>
    </row>
    <row r="144">
      <c r="A144" s="38">
        <v>232.0</v>
      </c>
      <c r="B144" s="38">
        <v>3183.0</v>
      </c>
      <c r="C144" s="38">
        <v>3183.0</v>
      </c>
      <c r="D144" s="38">
        <v>8.0123509E7</v>
      </c>
      <c r="E144" s="38">
        <v>8.0123509E7</v>
      </c>
      <c r="F144" s="38">
        <v>8.30122566E8</v>
      </c>
      <c r="G144" s="18" t="s">
        <v>193</v>
      </c>
      <c r="H144" s="18" t="s">
        <v>2282</v>
      </c>
      <c r="I144" s="18" t="s">
        <v>194</v>
      </c>
      <c r="J144" s="18" t="s">
        <v>2205</v>
      </c>
      <c r="K144" s="18" t="s">
        <v>2283</v>
      </c>
      <c r="L144" s="18" t="s">
        <v>52</v>
      </c>
      <c r="M144" s="18" t="s">
        <v>138</v>
      </c>
      <c r="N144" s="18" t="s">
        <v>130</v>
      </c>
      <c r="O144" s="18" t="s">
        <v>126</v>
      </c>
      <c r="P144" s="18" t="s">
        <v>131</v>
      </c>
      <c r="Q144" s="18" t="s">
        <v>132</v>
      </c>
      <c r="R144" s="18" t="s">
        <v>133</v>
      </c>
      <c r="S144" s="18" t="s">
        <v>59</v>
      </c>
      <c r="T144" s="38">
        <v>2026.0</v>
      </c>
      <c r="U144" s="38">
        <v>5.0</v>
      </c>
      <c r="V144" s="38">
        <v>1.081522324E9</v>
      </c>
      <c r="W144" s="38">
        <v>1.081540394E9</v>
      </c>
      <c r="X144" s="18" t="s">
        <v>2199</v>
      </c>
      <c r="Y144" s="18" t="s">
        <v>2200</v>
      </c>
      <c r="Z144" s="38">
        <v>113911.5</v>
      </c>
      <c r="AA144" s="38">
        <v>113911.5</v>
      </c>
      <c r="AB144" s="38">
        <v>37970.5</v>
      </c>
      <c r="AC144" s="38">
        <v>0.0</v>
      </c>
      <c r="AD144" s="38">
        <v>0.0</v>
      </c>
      <c r="AE144" s="38">
        <v>0.0</v>
      </c>
      <c r="AF144" s="38">
        <v>0.0</v>
      </c>
      <c r="AG144" s="38">
        <v>0.0</v>
      </c>
      <c r="AH144" s="38">
        <v>0.0</v>
      </c>
      <c r="AI144" s="38">
        <v>113911.5</v>
      </c>
      <c r="AJ144" s="38">
        <v>231015.37</v>
      </c>
      <c r="AK144" s="38">
        <v>1.0</v>
      </c>
      <c r="AL144" s="38">
        <v>376.2</v>
      </c>
      <c r="AM144" s="38">
        <v>0.0</v>
      </c>
      <c r="AN144" s="34" t="s">
        <v>62</v>
      </c>
      <c r="AO144" s="34" t="s">
        <v>62</v>
      </c>
      <c r="AP144" s="34" t="s">
        <v>62</v>
      </c>
      <c r="AQ144" s="34" t="s">
        <v>62</v>
      </c>
      <c r="AR144" s="38">
        <v>0.0</v>
      </c>
      <c r="AS144" s="38" t="s">
        <v>2284</v>
      </c>
      <c r="AT144" s="35" t="s">
        <v>2202</v>
      </c>
      <c r="AU144" s="39" t="s">
        <v>2203</v>
      </c>
      <c r="AV144" s="40">
        <v>46164.0</v>
      </c>
    </row>
    <row r="145">
      <c r="A145" s="38">
        <v>455370.0</v>
      </c>
      <c r="B145" s="38">
        <v>3187.0</v>
      </c>
      <c r="C145" s="38">
        <v>3187.0</v>
      </c>
      <c r="D145" s="38">
        <v>8.0123513E7</v>
      </c>
      <c r="E145" s="38">
        <v>8.0123513E7</v>
      </c>
      <c r="F145" s="18" t="s">
        <v>148</v>
      </c>
      <c r="G145" s="18" t="s">
        <v>149</v>
      </c>
      <c r="H145" s="18" t="s">
        <v>2296</v>
      </c>
      <c r="I145" s="18" t="s">
        <v>196</v>
      </c>
      <c r="J145" s="18" t="s">
        <v>2205</v>
      </c>
      <c r="K145" s="18" t="s">
        <v>2292</v>
      </c>
      <c r="L145" s="18" t="s">
        <v>52</v>
      </c>
      <c r="M145" s="18" t="s">
        <v>138</v>
      </c>
      <c r="N145" s="18" t="s">
        <v>130</v>
      </c>
      <c r="O145" s="18" t="s">
        <v>126</v>
      </c>
      <c r="P145" s="18" t="s">
        <v>56</v>
      </c>
      <c r="Q145" s="18" t="s">
        <v>57</v>
      </c>
      <c r="R145" s="18" t="s">
        <v>143</v>
      </c>
      <c r="S145" s="18" t="s">
        <v>59</v>
      </c>
      <c r="T145" s="38">
        <v>2026.0</v>
      </c>
      <c r="U145" s="38">
        <v>5.0</v>
      </c>
      <c r="V145" s="38">
        <v>1.081522331E9</v>
      </c>
      <c r="W145" s="38">
        <v>1.081540401E9</v>
      </c>
      <c r="X145" s="18" t="s">
        <v>2199</v>
      </c>
      <c r="Y145" s="18" t="s">
        <v>2200</v>
      </c>
      <c r="Z145" s="38">
        <v>201019.84</v>
      </c>
      <c r="AA145" s="38">
        <v>201019.84</v>
      </c>
      <c r="AB145" s="38">
        <v>0.0</v>
      </c>
      <c r="AC145" s="38">
        <v>858.0</v>
      </c>
      <c r="AD145" s="38">
        <v>0.0</v>
      </c>
      <c r="AE145" s="38">
        <v>0.0</v>
      </c>
      <c r="AF145" s="38">
        <v>0.0</v>
      </c>
      <c r="AG145" s="38">
        <v>0.0</v>
      </c>
      <c r="AH145" s="38">
        <v>0.0</v>
      </c>
      <c r="AI145" s="38">
        <v>201019.84</v>
      </c>
      <c r="AJ145" s="38">
        <v>560512.62</v>
      </c>
      <c r="AK145" s="38">
        <v>3.0</v>
      </c>
      <c r="AL145" s="38">
        <v>250.8</v>
      </c>
      <c r="AM145" s="38">
        <v>0.0</v>
      </c>
      <c r="AN145" s="34" t="s">
        <v>62</v>
      </c>
      <c r="AO145" s="34" t="s">
        <v>62</v>
      </c>
      <c r="AP145" s="34" t="s">
        <v>62</v>
      </c>
      <c r="AQ145" s="34" t="s">
        <v>62</v>
      </c>
      <c r="AR145" s="38">
        <v>0.0</v>
      </c>
      <c r="AS145" s="38" t="s">
        <v>2293</v>
      </c>
      <c r="AT145" s="35" t="s">
        <v>2294</v>
      </c>
      <c r="AU145" s="39" t="s">
        <v>2295</v>
      </c>
      <c r="AV145" s="40">
        <v>46164.0</v>
      </c>
    </row>
    <row r="146">
      <c r="A146" s="38">
        <v>455370.0</v>
      </c>
      <c r="B146" s="38">
        <v>3191.0</v>
      </c>
      <c r="C146" s="38">
        <v>3191.0</v>
      </c>
      <c r="D146" s="38">
        <v>8.0123517E7</v>
      </c>
      <c r="E146" s="38">
        <v>8.0123517E7</v>
      </c>
      <c r="F146" s="18" t="s">
        <v>148</v>
      </c>
      <c r="G146" s="18" t="s">
        <v>149</v>
      </c>
      <c r="H146" s="18" t="s">
        <v>2296</v>
      </c>
      <c r="I146" s="18" t="s">
        <v>198</v>
      </c>
      <c r="J146" s="18" t="s">
        <v>2205</v>
      </c>
      <c r="K146" s="18" t="s">
        <v>2292</v>
      </c>
      <c r="L146" s="18" t="s">
        <v>52</v>
      </c>
      <c r="M146" s="18" t="s">
        <v>138</v>
      </c>
      <c r="N146" s="18" t="s">
        <v>130</v>
      </c>
      <c r="O146" s="18" t="s">
        <v>126</v>
      </c>
      <c r="P146" s="18" t="s">
        <v>56</v>
      </c>
      <c r="Q146" s="18" t="s">
        <v>57</v>
      </c>
      <c r="R146" s="18" t="s">
        <v>143</v>
      </c>
      <c r="S146" s="18" t="s">
        <v>59</v>
      </c>
      <c r="T146" s="38">
        <v>2026.0</v>
      </c>
      <c r="U146" s="38">
        <v>5.0</v>
      </c>
      <c r="V146" s="38">
        <v>1.081522335E9</v>
      </c>
      <c r="W146" s="38">
        <v>1.081540405E9</v>
      </c>
      <c r="X146" s="18" t="s">
        <v>2199</v>
      </c>
      <c r="Y146" s="18" t="s">
        <v>2200</v>
      </c>
      <c r="Z146" s="38">
        <v>172927.81</v>
      </c>
      <c r="AA146" s="38">
        <v>172927.81</v>
      </c>
      <c r="AB146" s="38">
        <v>0.0</v>
      </c>
      <c r="AC146" s="38">
        <v>710.0</v>
      </c>
      <c r="AD146" s="38">
        <v>0.0</v>
      </c>
      <c r="AE146" s="38">
        <v>0.0</v>
      </c>
      <c r="AF146" s="38">
        <v>0.0</v>
      </c>
      <c r="AG146" s="38">
        <v>0.0</v>
      </c>
      <c r="AH146" s="38">
        <v>0.0</v>
      </c>
      <c r="AI146" s="38">
        <v>172927.81</v>
      </c>
      <c r="AJ146" s="38">
        <v>505003.14</v>
      </c>
      <c r="AK146" s="38">
        <v>3.0</v>
      </c>
      <c r="AL146" s="38">
        <v>250.8</v>
      </c>
      <c r="AM146" s="38">
        <v>0.0</v>
      </c>
      <c r="AN146" s="34" t="s">
        <v>62</v>
      </c>
      <c r="AO146" s="34" t="s">
        <v>62</v>
      </c>
      <c r="AP146" s="34" t="s">
        <v>62</v>
      </c>
      <c r="AQ146" s="34" t="s">
        <v>62</v>
      </c>
      <c r="AR146" s="38">
        <v>0.0</v>
      </c>
      <c r="AS146" s="38" t="s">
        <v>2293</v>
      </c>
      <c r="AT146" s="35" t="s">
        <v>2294</v>
      </c>
      <c r="AU146" s="39" t="s">
        <v>2295</v>
      </c>
      <c r="AV146" s="40">
        <v>46164.0</v>
      </c>
    </row>
    <row r="147">
      <c r="A147" s="38">
        <v>232.0</v>
      </c>
      <c r="B147" s="38">
        <v>3195.0</v>
      </c>
      <c r="C147" s="38">
        <v>3195.0</v>
      </c>
      <c r="D147" s="38">
        <v>8.0123521E7</v>
      </c>
      <c r="E147" s="38">
        <v>8.0123521E7</v>
      </c>
      <c r="F147" s="38">
        <v>8.30122566E8</v>
      </c>
      <c r="G147" s="18" t="s">
        <v>193</v>
      </c>
      <c r="H147" s="18" t="s">
        <v>2282</v>
      </c>
      <c r="I147" s="18" t="s">
        <v>200</v>
      </c>
      <c r="J147" s="18" t="s">
        <v>2205</v>
      </c>
      <c r="K147" s="18" t="s">
        <v>2283</v>
      </c>
      <c r="L147" s="18" t="s">
        <v>52</v>
      </c>
      <c r="M147" s="18" t="s">
        <v>138</v>
      </c>
      <c r="N147" s="18" t="s">
        <v>130</v>
      </c>
      <c r="O147" s="18" t="s">
        <v>126</v>
      </c>
      <c r="P147" s="18" t="s">
        <v>131</v>
      </c>
      <c r="Q147" s="18" t="s">
        <v>132</v>
      </c>
      <c r="R147" s="18" t="s">
        <v>133</v>
      </c>
      <c r="S147" s="18" t="s">
        <v>59</v>
      </c>
      <c r="T147" s="38">
        <v>2026.0</v>
      </c>
      <c r="U147" s="38">
        <v>5.0</v>
      </c>
      <c r="V147" s="38">
        <v>1.081522339E9</v>
      </c>
      <c r="W147" s="38">
        <v>1.081540409E9</v>
      </c>
      <c r="X147" s="18" t="s">
        <v>2199</v>
      </c>
      <c r="Y147" s="18" t="s">
        <v>2200</v>
      </c>
      <c r="Z147" s="38">
        <v>117159.2</v>
      </c>
      <c r="AA147" s="38">
        <v>117159.2</v>
      </c>
      <c r="AB147" s="38">
        <v>37970.5</v>
      </c>
      <c r="AC147" s="38">
        <v>0.0</v>
      </c>
      <c r="AD147" s="38">
        <v>3247.7</v>
      </c>
      <c r="AE147" s="38">
        <v>0.0</v>
      </c>
      <c r="AF147" s="38">
        <v>0.0</v>
      </c>
      <c r="AG147" s="38">
        <v>0.0</v>
      </c>
      <c r="AH147" s="38">
        <v>0.0</v>
      </c>
      <c r="AI147" s="38">
        <v>117159.2</v>
      </c>
      <c r="AJ147" s="38">
        <v>232506.52</v>
      </c>
      <c r="AK147" s="38">
        <v>1.0</v>
      </c>
      <c r="AL147" s="38">
        <v>376.2</v>
      </c>
      <c r="AM147" s="38">
        <v>0.0</v>
      </c>
      <c r="AN147" s="34" t="s">
        <v>62</v>
      </c>
      <c r="AO147" s="34" t="s">
        <v>62</v>
      </c>
      <c r="AP147" s="34" t="s">
        <v>62</v>
      </c>
      <c r="AQ147" s="34" t="s">
        <v>62</v>
      </c>
      <c r="AR147" s="38">
        <v>0.0</v>
      </c>
      <c r="AS147" s="38" t="s">
        <v>2284</v>
      </c>
      <c r="AT147" s="35" t="s">
        <v>2202</v>
      </c>
      <c r="AU147" s="39" t="s">
        <v>2203</v>
      </c>
      <c r="AV147" s="40">
        <v>46164.0</v>
      </c>
    </row>
    <row r="148">
      <c r="A148" s="38">
        <v>455370.0</v>
      </c>
      <c r="B148" s="38">
        <v>3199.0</v>
      </c>
      <c r="C148" s="38">
        <v>3199.0</v>
      </c>
      <c r="D148" s="38">
        <v>8.0123525E7</v>
      </c>
      <c r="E148" s="38">
        <v>8.0123525E7</v>
      </c>
      <c r="F148" s="18" t="s">
        <v>148</v>
      </c>
      <c r="G148" s="18" t="s">
        <v>149</v>
      </c>
      <c r="H148" s="18" t="s">
        <v>2296</v>
      </c>
      <c r="I148" s="18" t="s">
        <v>202</v>
      </c>
      <c r="J148" s="18" t="s">
        <v>2205</v>
      </c>
      <c r="K148" s="18" t="s">
        <v>2292</v>
      </c>
      <c r="L148" s="18" t="s">
        <v>52</v>
      </c>
      <c r="M148" s="18" t="s">
        <v>138</v>
      </c>
      <c r="N148" s="18" t="s">
        <v>130</v>
      </c>
      <c r="O148" s="18" t="s">
        <v>126</v>
      </c>
      <c r="P148" s="18" t="s">
        <v>56</v>
      </c>
      <c r="Q148" s="18" t="s">
        <v>57</v>
      </c>
      <c r="R148" s="18" t="s">
        <v>143</v>
      </c>
      <c r="S148" s="18" t="s">
        <v>59</v>
      </c>
      <c r="T148" s="38">
        <v>2026.0</v>
      </c>
      <c r="U148" s="38">
        <v>5.0</v>
      </c>
      <c r="V148" s="38">
        <v>1.081522343E9</v>
      </c>
      <c r="W148" s="38">
        <v>1.081540413E9</v>
      </c>
      <c r="X148" s="18" t="s">
        <v>2199</v>
      </c>
      <c r="Y148" s="18" t="s">
        <v>2200</v>
      </c>
      <c r="Z148" s="38">
        <v>354766.75</v>
      </c>
      <c r="AA148" s="38">
        <v>354766.75</v>
      </c>
      <c r="AB148" s="38">
        <v>0.0</v>
      </c>
      <c r="AC148" s="38">
        <v>1668.0</v>
      </c>
      <c r="AD148" s="38">
        <v>0.0</v>
      </c>
      <c r="AE148" s="38">
        <v>0.0</v>
      </c>
      <c r="AF148" s="38">
        <v>0.0</v>
      </c>
      <c r="AG148" s="38">
        <v>0.0</v>
      </c>
      <c r="AH148" s="38">
        <v>0.0</v>
      </c>
      <c r="AI148" s="38">
        <v>354766.75</v>
      </c>
      <c r="AJ148" s="38">
        <v>864314.46</v>
      </c>
      <c r="AK148" s="38">
        <v>3.0</v>
      </c>
      <c r="AL148" s="38">
        <v>250.8</v>
      </c>
      <c r="AM148" s="38">
        <v>0.0</v>
      </c>
      <c r="AN148" s="34" t="s">
        <v>62</v>
      </c>
      <c r="AO148" s="34" t="s">
        <v>62</v>
      </c>
      <c r="AP148" s="34" t="s">
        <v>62</v>
      </c>
      <c r="AQ148" s="34" t="s">
        <v>62</v>
      </c>
      <c r="AR148" s="38">
        <v>0.0</v>
      </c>
      <c r="AS148" s="38" t="s">
        <v>2293</v>
      </c>
      <c r="AT148" s="35" t="s">
        <v>2294</v>
      </c>
      <c r="AU148" s="39" t="s">
        <v>2295</v>
      </c>
      <c r="AV148" s="40">
        <v>46164.0</v>
      </c>
    </row>
    <row r="149">
      <c r="A149" s="38">
        <v>3204.0</v>
      </c>
      <c r="B149" s="38">
        <v>3203.0</v>
      </c>
      <c r="C149" s="38">
        <v>3203.0</v>
      </c>
      <c r="D149" s="38">
        <v>8.0123529E7</v>
      </c>
      <c r="E149" s="38">
        <v>8.0123529E7</v>
      </c>
      <c r="F149" s="38">
        <v>9.0119939E8</v>
      </c>
      <c r="G149" s="18" t="s">
        <v>204</v>
      </c>
      <c r="H149" s="18" t="s">
        <v>2373</v>
      </c>
      <c r="I149" s="18" t="s">
        <v>205</v>
      </c>
      <c r="J149" s="18" t="s">
        <v>2273</v>
      </c>
      <c r="K149" s="18" t="s">
        <v>2205</v>
      </c>
      <c r="L149" s="18" t="s">
        <v>52</v>
      </c>
      <c r="M149" s="18" t="s">
        <v>89</v>
      </c>
      <c r="N149" s="18" t="s">
        <v>130</v>
      </c>
      <c r="O149" s="18" t="s">
        <v>126</v>
      </c>
      <c r="P149" s="18" t="s">
        <v>56</v>
      </c>
      <c r="Q149" s="18" t="s">
        <v>90</v>
      </c>
      <c r="R149" s="18" t="s">
        <v>143</v>
      </c>
      <c r="S149" s="18" t="s">
        <v>59</v>
      </c>
      <c r="T149" s="38">
        <v>2026.0</v>
      </c>
      <c r="U149" s="38">
        <v>5.0</v>
      </c>
      <c r="V149" s="38">
        <v>1.081522346E9</v>
      </c>
      <c r="W149" s="38">
        <v>1.081540416E9</v>
      </c>
      <c r="X149" s="18" t="s">
        <v>2199</v>
      </c>
      <c r="Y149" s="18" t="s">
        <v>2200</v>
      </c>
      <c r="Z149" s="38">
        <v>199601.25</v>
      </c>
      <c r="AA149" s="38">
        <v>199601.25</v>
      </c>
      <c r="AB149" s="38">
        <v>66533.75</v>
      </c>
      <c r="AC149" s="38">
        <v>500.0</v>
      </c>
      <c r="AD149" s="38">
        <v>0.0</v>
      </c>
      <c r="AE149" s="38">
        <v>0.0</v>
      </c>
      <c r="AF149" s="38">
        <v>0.0</v>
      </c>
      <c r="AG149" s="38">
        <v>0.0</v>
      </c>
      <c r="AH149" s="38">
        <v>0.0</v>
      </c>
      <c r="AI149" s="38">
        <v>199601.25</v>
      </c>
      <c r="AJ149" s="38">
        <v>199601.25</v>
      </c>
      <c r="AK149" s="38">
        <v>0.0</v>
      </c>
      <c r="AL149" s="38">
        <v>376.2</v>
      </c>
      <c r="AM149" s="38">
        <v>0.0</v>
      </c>
      <c r="AN149" s="34" t="s">
        <v>62</v>
      </c>
      <c r="AO149" s="34" t="s">
        <v>62</v>
      </c>
      <c r="AP149" s="34" t="s">
        <v>62</v>
      </c>
      <c r="AQ149" s="34" t="s">
        <v>62</v>
      </c>
      <c r="AR149" s="38">
        <v>0.0</v>
      </c>
      <c r="AS149" s="38" t="s">
        <v>2374</v>
      </c>
      <c r="AT149" s="35" t="s">
        <v>2275</v>
      </c>
      <c r="AU149" s="39" t="s">
        <v>2276</v>
      </c>
      <c r="AV149" s="40">
        <v>46163.0</v>
      </c>
    </row>
    <row r="150">
      <c r="A150" s="38">
        <v>3208.0</v>
      </c>
      <c r="B150" s="38">
        <v>3207.0</v>
      </c>
      <c r="C150" s="38">
        <v>3207.0</v>
      </c>
      <c r="D150" s="38">
        <v>8.0127923E7</v>
      </c>
      <c r="E150" s="38">
        <v>8.0127923E7</v>
      </c>
      <c r="F150" s="38">
        <v>9.01134015E8</v>
      </c>
      <c r="G150" s="18" t="s">
        <v>207</v>
      </c>
      <c r="H150" s="18" t="s">
        <v>2375</v>
      </c>
      <c r="I150" s="18" t="s">
        <v>208</v>
      </c>
      <c r="J150" s="18" t="s">
        <v>2205</v>
      </c>
      <c r="K150" s="18" t="s">
        <v>2205</v>
      </c>
      <c r="L150" s="18" t="s">
        <v>52</v>
      </c>
      <c r="M150" s="18" t="s">
        <v>89</v>
      </c>
      <c r="N150" s="18" t="s">
        <v>130</v>
      </c>
      <c r="O150" s="18" t="s">
        <v>126</v>
      </c>
      <c r="P150" s="18" t="s">
        <v>56</v>
      </c>
      <c r="Q150" s="18" t="s">
        <v>90</v>
      </c>
      <c r="R150" s="18" t="s">
        <v>143</v>
      </c>
      <c r="S150" s="18" t="s">
        <v>59</v>
      </c>
      <c r="T150" s="38">
        <v>2026.0</v>
      </c>
      <c r="U150" s="38">
        <v>5.0</v>
      </c>
      <c r="V150" s="38">
        <v>1.081522351E9</v>
      </c>
      <c r="W150" s="38">
        <v>1.081540421E9</v>
      </c>
      <c r="X150" s="18" t="s">
        <v>2199</v>
      </c>
      <c r="Y150" s="18" t="s">
        <v>2200</v>
      </c>
      <c r="Z150" s="38">
        <v>130862.55</v>
      </c>
      <c r="AA150" s="38">
        <v>130862.55</v>
      </c>
      <c r="AB150" s="38">
        <v>43092.1</v>
      </c>
      <c r="AC150" s="38">
        <v>253.0</v>
      </c>
      <c r="AD150" s="38">
        <v>1586.27</v>
      </c>
      <c r="AE150" s="38">
        <v>0.0</v>
      </c>
      <c r="AF150" s="38">
        <v>0.0</v>
      </c>
      <c r="AG150" s="38">
        <v>0.0</v>
      </c>
      <c r="AH150" s="38">
        <v>0.0</v>
      </c>
      <c r="AI150" s="38">
        <v>130862.55</v>
      </c>
      <c r="AJ150" s="38">
        <v>385637.58</v>
      </c>
      <c r="AK150" s="38">
        <v>2.0</v>
      </c>
      <c r="AL150" s="38">
        <v>376.2</v>
      </c>
      <c r="AM150" s="38">
        <v>0.0</v>
      </c>
      <c r="AN150" s="34" t="s">
        <v>62</v>
      </c>
      <c r="AO150" s="34" t="s">
        <v>62</v>
      </c>
      <c r="AP150" s="34" t="s">
        <v>62</v>
      </c>
      <c r="AQ150" s="34" t="s">
        <v>62</v>
      </c>
      <c r="AR150" s="38">
        <v>0.0</v>
      </c>
      <c r="AS150" s="38" t="s">
        <v>2376</v>
      </c>
      <c r="AT150" s="35" t="s">
        <v>2202</v>
      </c>
      <c r="AU150" s="39" t="s">
        <v>2254</v>
      </c>
      <c r="AV150" s="40">
        <v>46167.0</v>
      </c>
    </row>
    <row r="151">
      <c r="A151" s="38">
        <v>3212.0</v>
      </c>
      <c r="B151" s="38">
        <v>3211.0</v>
      </c>
      <c r="C151" s="38">
        <v>3211.0</v>
      </c>
      <c r="D151" s="38">
        <v>8.0195803E7</v>
      </c>
      <c r="E151" s="38">
        <v>8.0195803E7</v>
      </c>
      <c r="F151" s="38">
        <v>8.6001664E8</v>
      </c>
      <c r="G151" s="18" t="s">
        <v>210</v>
      </c>
      <c r="H151" s="18" t="s">
        <v>2377</v>
      </c>
      <c r="I151" s="18" t="s">
        <v>181</v>
      </c>
      <c r="J151" s="18" t="s">
        <v>2205</v>
      </c>
      <c r="K151" s="18" t="s">
        <v>2205</v>
      </c>
      <c r="L151" s="18" t="s">
        <v>52</v>
      </c>
      <c r="M151" s="18" t="s">
        <v>89</v>
      </c>
      <c r="N151" s="18" t="s">
        <v>130</v>
      </c>
      <c r="O151" s="18" t="s">
        <v>126</v>
      </c>
      <c r="P151" s="18" t="s">
        <v>56</v>
      </c>
      <c r="Q151" s="18" t="s">
        <v>90</v>
      </c>
      <c r="R151" s="18" t="s">
        <v>58</v>
      </c>
      <c r="S151" s="18" t="s">
        <v>59</v>
      </c>
      <c r="T151" s="38">
        <v>2026.0</v>
      </c>
      <c r="U151" s="38">
        <v>5.0</v>
      </c>
      <c r="V151" s="38">
        <v>1.081522355E9</v>
      </c>
      <c r="W151" s="38">
        <v>1.081540425E9</v>
      </c>
      <c r="X151" s="18" t="s">
        <v>2199</v>
      </c>
      <c r="Y151" s="18" t="s">
        <v>2200</v>
      </c>
      <c r="Z151" s="38">
        <v>448728.21</v>
      </c>
      <c r="AA151" s="38">
        <v>448728.21</v>
      </c>
      <c r="AB151" s="38">
        <v>149576.08</v>
      </c>
      <c r="AC151" s="38">
        <v>1375.0</v>
      </c>
      <c r="AD151" s="38">
        <v>0.0</v>
      </c>
      <c r="AE151" s="38">
        <v>0.0</v>
      </c>
      <c r="AF151" s="38">
        <v>0.0</v>
      </c>
      <c r="AG151" s="38">
        <v>0.0</v>
      </c>
      <c r="AH151" s="38">
        <v>0.0</v>
      </c>
      <c r="AI151" s="38">
        <v>448728.21</v>
      </c>
      <c r="AJ151" s="38">
        <v>448728.21</v>
      </c>
      <c r="AK151" s="38">
        <v>0.0</v>
      </c>
      <c r="AL151" s="38">
        <v>376.2</v>
      </c>
      <c r="AM151" s="38">
        <v>0.0</v>
      </c>
      <c r="AN151" s="34" t="s">
        <v>62</v>
      </c>
      <c r="AO151" s="34" t="s">
        <v>62</v>
      </c>
      <c r="AP151" s="34" t="s">
        <v>62</v>
      </c>
      <c r="AQ151" s="34" t="s">
        <v>62</v>
      </c>
      <c r="AR151" s="38">
        <v>0.0</v>
      </c>
      <c r="AS151" s="38" t="s">
        <v>2378</v>
      </c>
      <c r="AT151" s="35" t="s">
        <v>2202</v>
      </c>
      <c r="AU151" s="39" t="s">
        <v>2254</v>
      </c>
      <c r="AV151" s="40">
        <v>46167.0</v>
      </c>
    </row>
    <row r="152">
      <c r="A152" s="38">
        <v>670.0</v>
      </c>
      <c r="B152" s="38">
        <v>3215.0</v>
      </c>
      <c r="C152" s="38">
        <v>3215.0</v>
      </c>
      <c r="D152" s="38">
        <v>8.0204161E7</v>
      </c>
      <c r="E152" s="38">
        <v>8.0204161E7</v>
      </c>
      <c r="F152" s="18" t="s">
        <v>212</v>
      </c>
      <c r="G152" s="18" t="s">
        <v>213</v>
      </c>
      <c r="H152" s="18" t="s">
        <v>2379</v>
      </c>
      <c r="I152" s="18" t="s">
        <v>214</v>
      </c>
      <c r="J152" s="18" t="s">
        <v>2205</v>
      </c>
      <c r="K152" s="18" t="s">
        <v>2205</v>
      </c>
      <c r="L152" s="18" t="s">
        <v>52</v>
      </c>
      <c r="M152" s="18" t="s">
        <v>138</v>
      </c>
      <c r="N152" s="18" t="s">
        <v>130</v>
      </c>
      <c r="O152" s="18" t="s">
        <v>126</v>
      </c>
      <c r="P152" s="18" t="s">
        <v>56</v>
      </c>
      <c r="Q152" s="18" t="s">
        <v>90</v>
      </c>
      <c r="R152" s="18" t="s">
        <v>143</v>
      </c>
      <c r="S152" s="18" t="s">
        <v>59</v>
      </c>
      <c r="T152" s="38">
        <v>2026.0</v>
      </c>
      <c r="U152" s="38">
        <v>5.0</v>
      </c>
      <c r="V152" s="38">
        <v>1.081522359E9</v>
      </c>
      <c r="W152" s="38">
        <v>1.081540429E9</v>
      </c>
      <c r="X152" s="18" t="s">
        <v>2199</v>
      </c>
      <c r="Y152" s="18" t="s">
        <v>2200</v>
      </c>
      <c r="Z152" s="38">
        <v>263662.48</v>
      </c>
      <c r="AA152" s="38">
        <v>263662.48</v>
      </c>
      <c r="AB152" s="38">
        <v>87887.5</v>
      </c>
      <c r="AC152" s="38">
        <v>725.0</v>
      </c>
      <c r="AD152" s="38">
        <v>0.0</v>
      </c>
      <c r="AE152" s="38">
        <v>0.0</v>
      </c>
      <c r="AF152" s="38">
        <v>0.0</v>
      </c>
      <c r="AG152" s="38">
        <v>0.0</v>
      </c>
      <c r="AH152" s="38">
        <v>0.0</v>
      </c>
      <c r="AI152" s="38">
        <v>263662.48</v>
      </c>
      <c r="AJ152" s="38">
        <v>263662.48</v>
      </c>
      <c r="AK152" s="38">
        <v>0.0</v>
      </c>
      <c r="AL152" s="38">
        <v>376.2</v>
      </c>
      <c r="AM152" s="38">
        <v>0.0</v>
      </c>
      <c r="AN152" s="34" t="s">
        <v>62</v>
      </c>
      <c r="AO152" s="34" t="s">
        <v>62</v>
      </c>
      <c r="AP152" s="34" t="s">
        <v>62</v>
      </c>
      <c r="AQ152" s="34" t="s">
        <v>62</v>
      </c>
      <c r="AR152" s="38">
        <v>0.0</v>
      </c>
      <c r="AS152" s="38" t="s">
        <v>2380</v>
      </c>
      <c r="AT152" s="35" t="s">
        <v>2202</v>
      </c>
      <c r="AU152" s="39" t="s">
        <v>2254</v>
      </c>
      <c r="AV152" s="40">
        <v>46167.0</v>
      </c>
    </row>
    <row r="153">
      <c r="A153" s="38">
        <v>3220.0</v>
      </c>
      <c r="B153" s="38">
        <v>3219.0</v>
      </c>
      <c r="C153" s="38">
        <v>3219.0</v>
      </c>
      <c r="D153" s="38">
        <v>8.0205197E7</v>
      </c>
      <c r="E153" s="38">
        <v>8.0205197E7</v>
      </c>
      <c r="F153" s="38">
        <v>9.00069828E8</v>
      </c>
      <c r="G153" s="18" t="s">
        <v>216</v>
      </c>
      <c r="H153" s="18" t="s">
        <v>2381</v>
      </c>
      <c r="I153" s="18" t="s">
        <v>217</v>
      </c>
      <c r="J153" s="18" t="s">
        <v>2337</v>
      </c>
      <c r="K153" s="18" t="s">
        <v>2337</v>
      </c>
      <c r="L153" s="18" t="s">
        <v>52</v>
      </c>
      <c r="M153" s="18" t="s">
        <v>89</v>
      </c>
      <c r="N153" s="18" t="s">
        <v>130</v>
      </c>
      <c r="O153" s="18" t="s">
        <v>126</v>
      </c>
      <c r="P153" s="18" t="s">
        <v>218</v>
      </c>
      <c r="Q153" s="18" t="s">
        <v>219</v>
      </c>
      <c r="R153" s="18" t="s">
        <v>133</v>
      </c>
      <c r="S153" s="18" t="s">
        <v>59</v>
      </c>
      <c r="T153" s="38">
        <v>2026.0</v>
      </c>
      <c r="U153" s="38">
        <v>5.0</v>
      </c>
      <c r="V153" s="38">
        <v>1.081522363E9</v>
      </c>
      <c r="W153" s="38">
        <v>1.081540433E9</v>
      </c>
      <c r="X153" s="18" t="s">
        <v>2199</v>
      </c>
      <c r="Y153" s="18" t="s">
        <v>2200</v>
      </c>
      <c r="Z153" s="38">
        <v>416758.76</v>
      </c>
      <c r="AA153" s="38">
        <v>50434.76</v>
      </c>
      <c r="AB153" s="38">
        <v>-1667.24</v>
      </c>
      <c r="AC153" s="38">
        <v>0.0</v>
      </c>
      <c r="AD153" s="38">
        <v>0.0</v>
      </c>
      <c r="AE153" s="38">
        <v>2197944.0</v>
      </c>
      <c r="AF153" s="38">
        <v>366324.0</v>
      </c>
      <c r="AG153" s="38">
        <v>0.0</v>
      </c>
      <c r="AH153" s="38">
        <v>0.0</v>
      </c>
      <c r="AI153" s="38">
        <v>416758.76</v>
      </c>
      <c r="AJ153" s="38">
        <v>416758.76</v>
      </c>
      <c r="AK153" s="38">
        <v>0.0</v>
      </c>
      <c r="AL153" s="38">
        <v>242.77</v>
      </c>
      <c r="AM153" s="38">
        <v>0.0</v>
      </c>
      <c r="AN153" s="34" t="s">
        <v>62</v>
      </c>
      <c r="AO153" s="34" t="s">
        <v>62</v>
      </c>
      <c r="AP153" s="34" t="s">
        <v>62</v>
      </c>
      <c r="AQ153" s="34" t="s">
        <v>62</v>
      </c>
      <c r="AR153" s="38">
        <v>0.0</v>
      </c>
      <c r="AS153" s="38" t="s">
        <v>2382</v>
      </c>
      <c r="AT153" s="38" t="s">
        <v>2275</v>
      </c>
      <c r="AU153" s="38" t="s">
        <v>2276</v>
      </c>
      <c r="AV153" s="40">
        <v>46164.0</v>
      </c>
    </row>
    <row r="154">
      <c r="A154" s="38">
        <v>455370.0</v>
      </c>
      <c r="B154" s="38">
        <v>3223.0</v>
      </c>
      <c r="C154" s="38">
        <v>3223.0</v>
      </c>
      <c r="D154" s="38">
        <v>8.0206517E7</v>
      </c>
      <c r="E154" s="38">
        <v>8.0206517E7</v>
      </c>
      <c r="F154" s="18" t="s">
        <v>148</v>
      </c>
      <c r="G154" s="18" t="s">
        <v>149</v>
      </c>
      <c r="H154" s="18" t="s">
        <v>2296</v>
      </c>
      <c r="I154" s="18" t="s">
        <v>106</v>
      </c>
      <c r="J154" s="18" t="s">
        <v>2205</v>
      </c>
      <c r="K154" s="18" t="s">
        <v>2292</v>
      </c>
      <c r="L154" s="18" t="s">
        <v>52</v>
      </c>
      <c r="M154" s="18" t="s">
        <v>138</v>
      </c>
      <c r="N154" s="18" t="s">
        <v>130</v>
      </c>
      <c r="O154" s="18" t="s">
        <v>126</v>
      </c>
      <c r="P154" s="18" t="s">
        <v>56</v>
      </c>
      <c r="Q154" s="18" t="s">
        <v>57</v>
      </c>
      <c r="R154" s="18" t="s">
        <v>143</v>
      </c>
      <c r="S154" s="18" t="s">
        <v>59</v>
      </c>
      <c r="T154" s="38">
        <v>2026.0</v>
      </c>
      <c r="U154" s="38">
        <v>5.0</v>
      </c>
      <c r="V154" s="38">
        <v>1.081522368E9</v>
      </c>
      <c r="W154" s="38">
        <v>1.081540438E9</v>
      </c>
      <c r="X154" s="18" t="s">
        <v>2199</v>
      </c>
      <c r="Y154" s="18" t="s">
        <v>2200</v>
      </c>
      <c r="Z154" s="38">
        <v>237083.93</v>
      </c>
      <c r="AA154" s="38">
        <v>237083.93</v>
      </c>
      <c r="AB154" s="38">
        <v>0.0</v>
      </c>
      <c r="AC154" s="38">
        <v>1048.0</v>
      </c>
      <c r="AD154" s="38">
        <v>0.0</v>
      </c>
      <c r="AE154" s="38">
        <v>0.0</v>
      </c>
      <c r="AF154" s="38">
        <v>0.0</v>
      </c>
      <c r="AG154" s="38">
        <v>0.0</v>
      </c>
      <c r="AH154" s="38">
        <v>0.0</v>
      </c>
      <c r="AI154" s="38">
        <v>237083.93</v>
      </c>
      <c r="AJ154" s="38">
        <v>631774.78</v>
      </c>
      <c r="AK154" s="38">
        <v>3.0</v>
      </c>
      <c r="AL154" s="38">
        <v>250.8</v>
      </c>
      <c r="AM154" s="38">
        <v>0.0</v>
      </c>
      <c r="AN154" s="34" t="s">
        <v>62</v>
      </c>
      <c r="AO154" s="34" t="s">
        <v>62</v>
      </c>
      <c r="AP154" s="34" t="s">
        <v>62</v>
      </c>
      <c r="AQ154" s="34" t="s">
        <v>62</v>
      </c>
      <c r="AR154" s="38">
        <v>0.0</v>
      </c>
      <c r="AS154" s="38" t="s">
        <v>2293</v>
      </c>
      <c r="AT154" s="35" t="s">
        <v>2294</v>
      </c>
      <c r="AU154" s="39" t="s">
        <v>2295</v>
      </c>
      <c r="AV154" s="40">
        <v>46164.0</v>
      </c>
    </row>
    <row r="155">
      <c r="A155" s="38">
        <v>455370.0</v>
      </c>
      <c r="B155" s="38">
        <v>3227.0</v>
      </c>
      <c r="C155" s="38">
        <v>3227.0</v>
      </c>
      <c r="D155" s="38">
        <v>8.0206521E7</v>
      </c>
      <c r="E155" s="38">
        <v>8.0206521E7</v>
      </c>
      <c r="F155" s="18" t="s">
        <v>148</v>
      </c>
      <c r="G155" s="18" t="s">
        <v>149</v>
      </c>
      <c r="H155" s="18" t="s">
        <v>2296</v>
      </c>
      <c r="I155" s="18" t="s">
        <v>222</v>
      </c>
      <c r="J155" s="18" t="s">
        <v>2205</v>
      </c>
      <c r="K155" s="18" t="s">
        <v>2292</v>
      </c>
      <c r="L155" s="18" t="s">
        <v>52</v>
      </c>
      <c r="M155" s="18" t="s">
        <v>138</v>
      </c>
      <c r="N155" s="18" t="s">
        <v>130</v>
      </c>
      <c r="O155" s="18" t="s">
        <v>126</v>
      </c>
      <c r="P155" s="18" t="s">
        <v>56</v>
      </c>
      <c r="Q155" s="18" t="s">
        <v>57</v>
      </c>
      <c r="R155" s="18" t="s">
        <v>143</v>
      </c>
      <c r="S155" s="18" t="s">
        <v>59</v>
      </c>
      <c r="T155" s="38">
        <v>2026.0</v>
      </c>
      <c r="U155" s="38">
        <v>5.0</v>
      </c>
      <c r="V155" s="38">
        <v>1.081522372E9</v>
      </c>
      <c r="W155" s="38">
        <v>1.081540442E9</v>
      </c>
      <c r="X155" s="18" t="s">
        <v>2199</v>
      </c>
      <c r="Y155" s="18" t="s">
        <v>2200</v>
      </c>
      <c r="Z155" s="38">
        <v>238982.04</v>
      </c>
      <c r="AA155" s="38">
        <v>238982.04</v>
      </c>
      <c r="AB155" s="38">
        <v>0.0</v>
      </c>
      <c r="AC155" s="38">
        <v>1058.0</v>
      </c>
      <c r="AD155" s="38">
        <v>0.0</v>
      </c>
      <c r="AE155" s="38">
        <v>0.0</v>
      </c>
      <c r="AF155" s="38">
        <v>0.0</v>
      </c>
      <c r="AG155" s="38">
        <v>0.0</v>
      </c>
      <c r="AH155" s="38">
        <v>0.0</v>
      </c>
      <c r="AI155" s="38">
        <v>238982.04</v>
      </c>
      <c r="AJ155" s="38">
        <v>635525.42</v>
      </c>
      <c r="AK155" s="38">
        <v>3.0</v>
      </c>
      <c r="AL155" s="38">
        <v>250.8</v>
      </c>
      <c r="AM155" s="38">
        <v>0.0</v>
      </c>
      <c r="AN155" s="34" t="s">
        <v>62</v>
      </c>
      <c r="AO155" s="34" t="s">
        <v>62</v>
      </c>
      <c r="AP155" s="34" t="s">
        <v>62</v>
      </c>
      <c r="AQ155" s="34" t="s">
        <v>62</v>
      </c>
      <c r="AR155" s="38">
        <v>0.0</v>
      </c>
      <c r="AS155" s="38" t="s">
        <v>2293</v>
      </c>
      <c r="AT155" s="35" t="s">
        <v>2294</v>
      </c>
      <c r="AU155" s="39" t="s">
        <v>2295</v>
      </c>
      <c r="AV155" s="40">
        <v>46164.0</v>
      </c>
    </row>
    <row r="156">
      <c r="A156" s="38">
        <v>455370.0</v>
      </c>
      <c r="B156" s="38">
        <v>3231.0</v>
      </c>
      <c r="C156" s="38">
        <v>3231.0</v>
      </c>
      <c r="D156" s="38">
        <v>8.0206525E7</v>
      </c>
      <c r="E156" s="38">
        <v>8.0206525E7</v>
      </c>
      <c r="F156" s="18" t="s">
        <v>148</v>
      </c>
      <c r="G156" s="18" t="s">
        <v>149</v>
      </c>
      <c r="H156" s="18" t="s">
        <v>2296</v>
      </c>
      <c r="I156" s="18" t="s">
        <v>224</v>
      </c>
      <c r="J156" s="18" t="s">
        <v>2205</v>
      </c>
      <c r="K156" s="18" t="s">
        <v>2292</v>
      </c>
      <c r="L156" s="18" t="s">
        <v>52</v>
      </c>
      <c r="M156" s="18" t="s">
        <v>138</v>
      </c>
      <c r="N156" s="18" t="s">
        <v>130</v>
      </c>
      <c r="O156" s="18" t="s">
        <v>126</v>
      </c>
      <c r="P156" s="18" t="s">
        <v>56</v>
      </c>
      <c r="Q156" s="18" t="s">
        <v>57</v>
      </c>
      <c r="R156" s="18" t="s">
        <v>143</v>
      </c>
      <c r="S156" s="18" t="s">
        <v>59</v>
      </c>
      <c r="T156" s="38">
        <v>2026.0</v>
      </c>
      <c r="U156" s="38">
        <v>5.0</v>
      </c>
      <c r="V156" s="38">
        <v>1.081522376E9</v>
      </c>
      <c r="W156" s="38">
        <v>1.081540446E9</v>
      </c>
      <c r="X156" s="18" t="s">
        <v>2199</v>
      </c>
      <c r="Y156" s="18" t="s">
        <v>2200</v>
      </c>
      <c r="Z156" s="38">
        <v>987217.0</v>
      </c>
      <c r="AA156" s="38">
        <v>987217.0</v>
      </c>
      <c r="AB156" s="38">
        <v>0.0</v>
      </c>
      <c r="AC156" s="38">
        <v>5000.0</v>
      </c>
      <c r="AD156" s="38">
        <v>0.0</v>
      </c>
      <c r="AE156" s="38">
        <v>0.0</v>
      </c>
      <c r="AF156" s="38">
        <v>0.0</v>
      </c>
      <c r="AG156" s="38">
        <v>0.0</v>
      </c>
      <c r="AH156" s="38">
        <v>0.0</v>
      </c>
      <c r="AI156" s="38">
        <v>987217.0</v>
      </c>
      <c r="AJ156" s="38">
        <v>2114027.7</v>
      </c>
      <c r="AK156" s="38">
        <v>3.0</v>
      </c>
      <c r="AL156" s="38">
        <v>250.8</v>
      </c>
      <c r="AM156" s="38">
        <v>0.0</v>
      </c>
      <c r="AN156" s="34" t="s">
        <v>62</v>
      </c>
      <c r="AO156" s="34" t="s">
        <v>62</v>
      </c>
      <c r="AP156" s="34" t="s">
        <v>62</v>
      </c>
      <c r="AQ156" s="34" t="s">
        <v>62</v>
      </c>
      <c r="AR156" s="38">
        <v>0.0</v>
      </c>
      <c r="AS156" s="38" t="s">
        <v>2293</v>
      </c>
      <c r="AT156" s="35" t="s">
        <v>2294</v>
      </c>
      <c r="AU156" s="39" t="s">
        <v>2295</v>
      </c>
      <c r="AV156" s="40">
        <v>46164.0</v>
      </c>
    </row>
    <row r="157">
      <c r="A157" s="38">
        <v>3236.0</v>
      </c>
      <c r="B157" s="38">
        <v>3235.0</v>
      </c>
      <c r="C157" s="38">
        <v>3235.0</v>
      </c>
      <c r="D157" s="38">
        <v>8.0211584E7</v>
      </c>
      <c r="E157" s="38">
        <v>8.0211584E7</v>
      </c>
      <c r="F157" s="38">
        <v>8.00083514E8</v>
      </c>
      <c r="G157" s="18" t="s">
        <v>226</v>
      </c>
      <c r="H157" s="18" t="s">
        <v>2383</v>
      </c>
      <c r="I157" s="18" t="s">
        <v>172</v>
      </c>
      <c r="J157" s="18" t="s">
        <v>2205</v>
      </c>
      <c r="K157" s="18" t="s">
        <v>2205</v>
      </c>
      <c r="L157" s="18" t="s">
        <v>52</v>
      </c>
      <c r="M157" s="18" t="s">
        <v>89</v>
      </c>
      <c r="N157" s="18" t="s">
        <v>130</v>
      </c>
      <c r="O157" s="18" t="s">
        <v>126</v>
      </c>
      <c r="P157" s="18" t="s">
        <v>56</v>
      </c>
      <c r="Q157" s="18" t="s">
        <v>72</v>
      </c>
      <c r="R157" s="18" t="s">
        <v>143</v>
      </c>
      <c r="S157" s="18" t="s">
        <v>59</v>
      </c>
      <c r="T157" s="38">
        <v>2026.0</v>
      </c>
      <c r="U157" s="38">
        <v>5.0</v>
      </c>
      <c r="V157" s="38">
        <v>1.08152238E9</v>
      </c>
      <c r="W157" s="38">
        <v>1.08154045E9</v>
      </c>
      <c r="X157" s="18" t="s">
        <v>2199</v>
      </c>
      <c r="Y157" s="18" t="s">
        <v>2200</v>
      </c>
      <c r="Z157" s="38">
        <v>111916.08</v>
      </c>
      <c r="AA157" s="38">
        <v>111916.08</v>
      </c>
      <c r="AB157" s="38">
        <v>25826.79</v>
      </c>
      <c r="AC157" s="38">
        <v>252.5</v>
      </c>
      <c r="AD157" s="38">
        <v>0.0</v>
      </c>
      <c r="AE157" s="38">
        <v>0.0</v>
      </c>
      <c r="AF157" s="38">
        <v>0.0</v>
      </c>
      <c r="AG157" s="38">
        <v>0.0</v>
      </c>
      <c r="AH157" s="38">
        <v>0.0</v>
      </c>
      <c r="AI157" s="38">
        <v>111916.08</v>
      </c>
      <c r="AJ157" s="38">
        <v>111916.81</v>
      </c>
      <c r="AK157" s="38">
        <v>1.0</v>
      </c>
      <c r="AL157" s="38">
        <v>326.04</v>
      </c>
      <c r="AM157" s="38">
        <v>0.0</v>
      </c>
      <c r="AN157" s="34" t="s">
        <v>62</v>
      </c>
      <c r="AO157" s="34" t="s">
        <v>62</v>
      </c>
      <c r="AP157" s="34" t="s">
        <v>62</v>
      </c>
      <c r="AQ157" s="34" t="s">
        <v>62</v>
      </c>
      <c r="AR157" s="38">
        <v>0.0</v>
      </c>
      <c r="AS157" s="38" t="s">
        <v>2384</v>
      </c>
      <c r="AT157" s="35" t="s">
        <v>2202</v>
      </c>
      <c r="AU157" s="39" t="s">
        <v>2254</v>
      </c>
      <c r="AV157" s="40">
        <v>46167.0</v>
      </c>
    </row>
    <row r="158">
      <c r="A158" s="38">
        <v>455370.0</v>
      </c>
      <c r="B158" s="38">
        <v>3239.0</v>
      </c>
      <c r="C158" s="38">
        <v>3239.0</v>
      </c>
      <c r="D158" s="38">
        <v>8.0212697E7</v>
      </c>
      <c r="E158" s="38">
        <v>8.0212697E7</v>
      </c>
      <c r="F158" s="18" t="s">
        <v>148</v>
      </c>
      <c r="G158" s="18" t="s">
        <v>149</v>
      </c>
      <c r="H158" s="18" t="s">
        <v>2296</v>
      </c>
      <c r="I158" s="18" t="s">
        <v>228</v>
      </c>
      <c r="J158" s="18" t="s">
        <v>2205</v>
      </c>
      <c r="K158" s="18" t="s">
        <v>2292</v>
      </c>
      <c r="L158" s="18" t="s">
        <v>52</v>
      </c>
      <c r="M158" s="18" t="s">
        <v>138</v>
      </c>
      <c r="N158" s="18" t="s">
        <v>130</v>
      </c>
      <c r="O158" s="18" t="s">
        <v>126</v>
      </c>
      <c r="P158" s="18" t="s">
        <v>56</v>
      </c>
      <c r="Q158" s="18" t="s">
        <v>57</v>
      </c>
      <c r="R158" s="18" t="s">
        <v>143</v>
      </c>
      <c r="S158" s="18" t="s">
        <v>59</v>
      </c>
      <c r="T158" s="38">
        <v>2026.0</v>
      </c>
      <c r="U158" s="38">
        <v>5.0</v>
      </c>
      <c r="V158" s="38">
        <v>1.081522384E9</v>
      </c>
      <c r="W158" s="38">
        <v>1.081540454E9</v>
      </c>
      <c r="X158" s="18" t="s">
        <v>2199</v>
      </c>
      <c r="Y158" s="18" t="s">
        <v>2200</v>
      </c>
      <c r="Z158" s="38">
        <v>133067.5</v>
      </c>
      <c r="AA158" s="38">
        <v>133067.5</v>
      </c>
      <c r="AB158" s="38">
        <v>0.0</v>
      </c>
      <c r="AC158" s="38">
        <v>500.0</v>
      </c>
      <c r="AD158" s="38">
        <v>0.0</v>
      </c>
      <c r="AE158" s="38">
        <v>0.0</v>
      </c>
      <c r="AF158" s="38">
        <v>0.0</v>
      </c>
      <c r="AG158" s="38">
        <v>0.0</v>
      </c>
      <c r="AH158" s="38">
        <v>0.0</v>
      </c>
      <c r="AI158" s="38">
        <v>133067.5</v>
      </c>
      <c r="AJ158" s="38">
        <v>426239.7</v>
      </c>
      <c r="AK158" s="38">
        <v>3.0</v>
      </c>
      <c r="AL158" s="38">
        <v>250.8</v>
      </c>
      <c r="AM158" s="38">
        <v>0.0</v>
      </c>
      <c r="AN158" s="34" t="s">
        <v>62</v>
      </c>
      <c r="AO158" s="34" t="s">
        <v>62</v>
      </c>
      <c r="AP158" s="34" t="s">
        <v>62</v>
      </c>
      <c r="AQ158" s="34" t="s">
        <v>62</v>
      </c>
      <c r="AR158" s="38">
        <v>0.0</v>
      </c>
      <c r="AS158" s="38" t="s">
        <v>2293</v>
      </c>
      <c r="AT158" s="35" t="s">
        <v>2294</v>
      </c>
      <c r="AU158" s="39" t="s">
        <v>2295</v>
      </c>
      <c r="AV158" s="40">
        <v>46164.0</v>
      </c>
    </row>
    <row r="159">
      <c r="A159" s="38">
        <v>455370.0</v>
      </c>
      <c r="B159" s="38">
        <v>3243.0</v>
      </c>
      <c r="C159" s="38">
        <v>3243.0</v>
      </c>
      <c r="D159" s="38">
        <v>8.0212701E7</v>
      </c>
      <c r="E159" s="38">
        <v>8.0212701E7</v>
      </c>
      <c r="F159" s="18" t="s">
        <v>148</v>
      </c>
      <c r="G159" s="18" t="s">
        <v>149</v>
      </c>
      <c r="H159" s="18" t="s">
        <v>2296</v>
      </c>
      <c r="I159" s="18" t="s">
        <v>230</v>
      </c>
      <c r="J159" s="18" t="s">
        <v>2205</v>
      </c>
      <c r="K159" s="18" t="s">
        <v>2292</v>
      </c>
      <c r="L159" s="18" t="s">
        <v>52</v>
      </c>
      <c r="M159" s="18" t="s">
        <v>138</v>
      </c>
      <c r="N159" s="18" t="s">
        <v>130</v>
      </c>
      <c r="O159" s="18" t="s">
        <v>126</v>
      </c>
      <c r="P159" s="18" t="s">
        <v>56</v>
      </c>
      <c r="Q159" s="18" t="s">
        <v>57</v>
      </c>
      <c r="R159" s="18" t="s">
        <v>143</v>
      </c>
      <c r="S159" s="18" t="s">
        <v>59</v>
      </c>
      <c r="T159" s="38">
        <v>2026.0</v>
      </c>
      <c r="U159" s="38">
        <v>5.0</v>
      </c>
      <c r="V159" s="38">
        <v>1.081522388E9</v>
      </c>
      <c r="W159" s="38">
        <v>1.081540458E9</v>
      </c>
      <c r="X159" s="18" t="s">
        <v>2199</v>
      </c>
      <c r="Y159" s="18" t="s">
        <v>2200</v>
      </c>
      <c r="Z159" s="38">
        <v>191529.29</v>
      </c>
      <c r="AA159" s="38">
        <v>191529.29</v>
      </c>
      <c r="AB159" s="38">
        <v>0.0</v>
      </c>
      <c r="AC159" s="38">
        <v>808.0</v>
      </c>
      <c r="AD159" s="38">
        <v>0.0</v>
      </c>
      <c r="AE159" s="38">
        <v>0.0</v>
      </c>
      <c r="AF159" s="38">
        <v>0.0</v>
      </c>
      <c r="AG159" s="38">
        <v>0.0</v>
      </c>
      <c r="AH159" s="38">
        <v>0.0</v>
      </c>
      <c r="AI159" s="38">
        <v>191529.29</v>
      </c>
      <c r="AJ159" s="38">
        <v>541759.42</v>
      </c>
      <c r="AK159" s="38">
        <v>3.0</v>
      </c>
      <c r="AL159" s="38">
        <v>250.8</v>
      </c>
      <c r="AM159" s="38">
        <v>0.0</v>
      </c>
      <c r="AN159" s="34" t="s">
        <v>62</v>
      </c>
      <c r="AO159" s="34" t="s">
        <v>62</v>
      </c>
      <c r="AP159" s="34" t="s">
        <v>62</v>
      </c>
      <c r="AQ159" s="34" t="s">
        <v>62</v>
      </c>
      <c r="AR159" s="38">
        <v>0.0</v>
      </c>
      <c r="AS159" s="38" t="s">
        <v>2293</v>
      </c>
      <c r="AT159" s="35" t="s">
        <v>2294</v>
      </c>
      <c r="AU159" s="39" t="s">
        <v>2295</v>
      </c>
      <c r="AV159" s="40">
        <v>46164.0</v>
      </c>
    </row>
    <row r="160">
      <c r="A160" s="38">
        <v>455370.0</v>
      </c>
      <c r="B160" s="38">
        <v>3247.0</v>
      </c>
      <c r="C160" s="38">
        <v>3247.0</v>
      </c>
      <c r="D160" s="38">
        <v>8.0212705E7</v>
      </c>
      <c r="E160" s="38">
        <v>8.0212705E7</v>
      </c>
      <c r="F160" s="18" t="s">
        <v>148</v>
      </c>
      <c r="G160" s="18" t="s">
        <v>149</v>
      </c>
      <c r="H160" s="18" t="s">
        <v>2296</v>
      </c>
      <c r="I160" s="18" t="s">
        <v>232</v>
      </c>
      <c r="J160" s="18" t="s">
        <v>2205</v>
      </c>
      <c r="K160" s="18" t="s">
        <v>2292</v>
      </c>
      <c r="L160" s="18" t="s">
        <v>52</v>
      </c>
      <c r="M160" s="18" t="s">
        <v>138</v>
      </c>
      <c r="N160" s="18" t="s">
        <v>130</v>
      </c>
      <c r="O160" s="18" t="s">
        <v>126</v>
      </c>
      <c r="P160" s="18" t="s">
        <v>56</v>
      </c>
      <c r="Q160" s="18" t="s">
        <v>57</v>
      </c>
      <c r="R160" s="18" t="s">
        <v>143</v>
      </c>
      <c r="S160" s="18" t="s">
        <v>59</v>
      </c>
      <c r="T160" s="38">
        <v>2026.0</v>
      </c>
      <c r="U160" s="38">
        <v>5.0</v>
      </c>
      <c r="V160" s="38">
        <v>1.081522392E9</v>
      </c>
      <c r="W160" s="38">
        <v>1.081540462E9</v>
      </c>
      <c r="X160" s="18" t="s">
        <v>2199</v>
      </c>
      <c r="Y160" s="18" t="s">
        <v>2200</v>
      </c>
      <c r="Z160" s="38">
        <v>200450.41</v>
      </c>
      <c r="AA160" s="38">
        <v>200450.41</v>
      </c>
      <c r="AB160" s="38">
        <v>0.0</v>
      </c>
      <c r="AC160" s="38">
        <v>855.0</v>
      </c>
      <c r="AD160" s="38">
        <v>0.0</v>
      </c>
      <c r="AE160" s="38">
        <v>0.0</v>
      </c>
      <c r="AF160" s="38">
        <v>0.0</v>
      </c>
      <c r="AG160" s="38">
        <v>0.0</v>
      </c>
      <c r="AH160" s="38">
        <v>0.0</v>
      </c>
      <c r="AI160" s="38">
        <v>200450.41</v>
      </c>
      <c r="AJ160" s="38">
        <v>559387.43</v>
      </c>
      <c r="AK160" s="38">
        <v>3.0</v>
      </c>
      <c r="AL160" s="38">
        <v>250.8</v>
      </c>
      <c r="AM160" s="38">
        <v>0.0</v>
      </c>
      <c r="AN160" s="34" t="s">
        <v>62</v>
      </c>
      <c r="AO160" s="34" t="s">
        <v>62</v>
      </c>
      <c r="AP160" s="34" t="s">
        <v>62</v>
      </c>
      <c r="AQ160" s="34" t="s">
        <v>62</v>
      </c>
      <c r="AR160" s="38">
        <v>0.0</v>
      </c>
      <c r="AS160" s="38" t="s">
        <v>2293</v>
      </c>
      <c r="AT160" s="35" t="s">
        <v>2294</v>
      </c>
      <c r="AU160" s="39" t="s">
        <v>2295</v>
      </c>
      <c r="AV160" s="40">
        <v>46164.0</v>
      </c>
    </row>
    <row r="161">
      <c r="A161" s="38">
        <v>455370.0</v>
      </c>
      <c r="B161" s="38">
        <v>3251.0</v>
      </c>
      <c r="C161" s="38">
        <v>3251.0</v>
      </c>
      <c r="D161" s="38">
        <v>8.0212709E7</v>
      </c>
      <c r="E161" s="38">
        <v>8.0212709E7</v>
      </c>
      <c r="F161" s="18" t="s">
        <v>148</v>
      </c>
      <c r="G161" s="18" t="s">
        <v>149</v>
      </c>
      <c r="H161" s="18" t="s">
        <v>2296</v>
      </c>
      <c r="I161" s="18" t="s">
        <v>185</v>
      </c>
      <c r="J161" s="18" t="s">
        <v>2205</v>
      </c>
      <c r="K161" s="18" t="s">
        <v>2292</v>
      </c>
      <c r="L161" s="18" t="s">
        <v>52</v>
      </c>
      <c r="M161" s="18" t="s">
        <v>138</v>
      </c>
      <c r="N161" s="18" t="s">
        <v>130</v>
      </c>
      <c r="O161" s="18" t="s">
        <v>126</v>
      </c>
      <c r="P161" s="18" t="s">
        <v>56</v>
      </c>
      <c r="Q161" s="18" t="s">
        <v>57</v>
      </c>
      <c r="R161" s="18" t="s">
        <v>143</v>
      </c>
      <c r="S161" s="18" t="s">
        <v>59</v>
      </c>
      <c r="T161" s="38">
        <v>2026.0</v>
      </c>
      <c r="U161" s="38">
        <v>5.0</v>
      </c>
      <c r="V161" s="38">
        <v>1.081522396E9</v>
      </c>
      <c r="W161" s="38">
        <v>1.081540466E9</v>
      </c>
      <c r="X161" s="18" t="s">
        <v>2199</v>
      </c>
      <c r="Y161" s="18" t="s">
        <v>2200</v>
      </c>
      <c r="Z161" s="38">
        <v>134585.99</v>
      </c>
      <c r="AA161" s="38">
        <v>134585.99</v>
      </c>
      <c r="AB161" s="38">
        <v>0.0</v>
      </c>
      <c r="AC161" s="38">
        <v>508.0</v>
      </c>
      <c r="AD161" s="38">
        <v>0.0</v>
      </c>
      <c r="AE161" s="38">
        <v>0.0</v>
      </c>
      <c r="AF161" s="38">
        <v>0.0</v>
      </c>
      <c r="AG161" s="38">
        <v>0.0</v>
      </c>
      <c r="AH161" s="38">
        <v>0.0</v>
      </c>
      <c r="AI161" s="38">
        <v>134585.99</v>
      </c>
      <c r="AJ161" s="38">
        <v>429240.22</v>
      </c>
      <c r="AK161" s="38">
        <v>3.0</v>
      </c>
      <c r="AL161" s="38">
        <v>250.8</v>
      </c>
      <c r="AM161" s="38">
        <v>0.0</v>
      </c>
      <c r="AN161" s="34" t="s">
        <v>62</v>
      </c>
      <c r="AO161" s="34" t="s">
        <v>62</v>
      </c>
      <c r="AP161" s="34" t="s">
        <v>62</v>
      </c>
      <c r="AQ161" s="34" t="s">
        <v>62</v>
      </c>
      <c r="AR161" s="38">
        <v>0.0</v>
      </c>
      <c r="AS161" s="38" t="s">
        <v>2293</v>
      </c>
      <c r="AT161" s="35" t="s">
        <v>2294</v>
      </c>
      <c r="AU161" s="39" t="s">
        <v>2295</v>
      </c>
      <c r="AV161" s="40">
        <v>46164.0</v>
      </c>
    </row>
    <row r="162">
      <c r="A162" s="38">
        <v>328522.0</v>
      </c>
      <c r="B162" s="38">
        <v>325715.0</v>
      </c>
      <c r="C162" s="38">
        <v>325715.0</v>
      </c>
      <c r="D162" s="38">
        <v>572351.0</v>
      </c>
      <c r="E162" s="38">
        <v>572351.0</v>
      </c>
      <c r="F162" s="38">
        <v>9.01959258E8</v>
      </c>
      <c r="G162" s="18" t="s">
        <v>235</v>
      </c>
      <c r="H162" s="18" t="s">
        <v>2385</v>
      </c>
      <c r="I162" s="18" t="s">
        <v>172</v>
      </c>
      <c r="J162" s="18" t="s">
        <v>2273</v>
      </c>
      <c r="K162" s="18" t="s">
        <v>2313</v>
      </c>
      <c r="L162" s="18" t="s">
        <v>52</v>
      </c>
      <c r="M162" s="18" t="s">
        <v>89</v>
      </c>
      <c r="N162" s="18" t="s">
        <v>130</v>
      </c>
      <c r="O162" s="18" t="s">
        <v>126</v>
      </c>
      <c r="P162" s="18" t="s">
        <v>131</v>
      </c>
      <c r="Q162" s="18" t="s">
        <v>132</v>
      </c>
      <c r="R162" s="18" t="s">
        <v>133</v>
      </c>
      <c r="S162" s="18" t="s">
        <v>59</v>
      </c>
      <c r="T162" s="38">
        <v>2026.0</v>
      </c>
      <c r="U162" s="38">
        <v>5.0</v>
      </c>
      <c r="V162" s="38">
        <v>1.081522524E9</v>
      </c>
      <c r="W162" s="38">
        <v>1.081540594E9</v>
      </c>
      <c r="X162" s="18" t="s">
        <v>2199</v>
      </c>
      <c r="Y162" s="18" t="s">
        <v>2200</v>
      </c>
      <c r="Z162" s="38">
        <v>113911.5</v>
      </c>
      <c r="AA162" s="38">
        <v>113911.5</v>
      </c>
      <c r="AB162" s="38">
        <v>37970.5</v>
      </c>
      <c r="AC162" s="38">
        <v>0.0</v>
      </c>
      <c r="AD162" s="38">
        <v>0.0</v>
      </c>
      <c r="AE162" s="38">
        <v>0.0</v>
      </c>
      <c r="AF162" s="38">
        <v>0.0</v>
      </c>
      <c r="AG162" s="38">
        <v>0.0</v>
      </c>
      <c r="AH162" s="38">
        <v>0.0</v>
      </c>
      <c r="AI162" s="38">
        <v>113911.5</v>
      </c>
      <c r="AJ162" s="38">
        <v>113911.5</v>
      </c>
      <c r="AK162" s="38">
        <v>0.0</v>
      </c>
      <c r="AL162" s="38">
        <v>376.2</v>
      </c>
      <c r="AM162" s="38">
        <v>0.0</v>
      </c>
      <c r="AN162" s="34" t="s">
        <v>62</v>
      </c>
      <c r="AO162" s="34" t="s">
        <v>62</v>
      </c>
      <c r="AP162" s="34" t="s">
        <v>62</v>
      </c>
      <c r="AQ162" s="34" t="s">
        <v>62</v>
      </c>
      <c r="AR162" s="38">
        <v>0.0</v>
      </c>
      <c r="AS162" s="38" t="s">
        <v>2314</v>
      </c>
      <c r="AT162" s="38" t="s">
        <v>2386</v>
      </c>
      <c r="AU162" s="39" t="s">
        <v>2203</v>
      </c>
      <c r="AV162" s="40">
        <v>46163.0</v>
      </c>
    </row>
    <row r="163">
      <c r="A163" s="38">
        <v>455370.0</v>
      </c>
      <c r="B163" s="38">
        <v>3259.0</v>
      </c>
      <c r="C163" s="38">
        <v>3259.0</v>
      </c>
      <c r="D163" s="38">
        <v>8.0212717E7</v>
      </c>
      <c r="E163" s="38">
        <v>8.0212717E7</v>
      </c>
      <c r="F163" s="18" t="s">
        <v>148</v>
      </c>
      <c r="G163" s="18" t="s">
        <v>149</v>
      </c>
      <c r="H163" s="18" t="s">
        <v>2296</v>
      </c>
      <c r="I163" s="18" t="s">
        <v>196</v>
      </c>
      <c r="J163" s="18" t="s">
        <v>2205</v>
      </c>
      <c r="K163" s="18" t="s">
        <v>2292</v>
      </c>
      <c r="L163" s="18" t="s">
        <v>52</v>
      </c>
      <c r="M163" s="18" t="s">
        <v>138</v>
      </c>
      <c r="N163" s="18" t="s">
        <v>130</v>
      </c>
      <c r="O163" s="18" t="s">
        <v>126</v>
      </c>
      <c r="P163" s="18" t="s">
        <v>56</v>
      </c>
      <c r="Q163" s="18" t="s">
        <v>57</v>
      </c>
      <c r="R163" s="18" t="s">
        <v>143</v>
      </c>
      <c r="S163" s="18" t="s">
        <v>59</v>
      </c>
      <c r="T163" s="38">
        <v>2026.0</v>
      </c>
      <c r="U163" s="38">
        <v>5.0</v>
      </c>
      <c r="V163" s="38">
        <v>1.0815224E9</v>
      </c>
      <c r="W163" s="38">
        <v>1.08154047E9</v>
      </c>
      <c r="X163" s="18" t="s">
        <v>2199</v>
      </c>
      <c r="Y163" s="18" t="s">
        <v>2200</v>
      </c>
      <c r="Z163" s="38">
        <v>301619.67</v>
      </c>
      <c r="AA163" s="38">
        <v>301619.67</v>
      </c>
      <c r="AB163" s="38">
        <v>0.0</v>
      </c>
      <c r="AC163" s="38">
        <v>1388.0</v>
      </c>
      <c r="AD163" s="38">
        <v>0.0</v>
      </c>
      <c r="AE163" s="38">
        <v>0.0</v>
      </c>
      <c r="AF163" s="38">
        <v>0.0</v>
      </c>
      <c r="AG163" s="38">
        <v>0.0</v>
      </c>
      <c r="AH163" s="38">
        <v>0.0</v>
      </c>
      <c r="AI163" s="38">
        <v>301619.67</v>
      </c>
      <c r="AJ163" s="38">
        <v>759296.54</v>
      </c>
      <c r="AK163" s="38">
        <v>3.0</v>
      </c>
      <c r="AL163" s="38">
        <v>250.8</v>
      </c>
      <c r="AM163" s="38">
        <v>0.0</v>
      </c>
      <c r="AN163" s="34" t="s">
        <v>62</v>
      </c>
      <c r="AO163" s="34" t="s">
        <v>62</v>
      </c>
      <c r="AP163" s="34" t="s">
        <v>62</v>
      </c>
      <c r="AQ163" s="34" t="s">
        <v>62</v>
      </c>
      <c r="AR163" s="38">
        <v>0.0</v>
      </c>
      <c r="AS163" s="38" t="s">
        <v>2293</v>
      </c>
      <c r="AT163" s="35" t="s">
        <v>2294</v>
      </c>
      <c r="AU163" s="39" t="s">
        <v>2295</v>
      </c>
      <c r="AV163" s="40">
        <v>46164.0</v>
      </c>
    </row>
    <row r="164">
      <c r="A164" s="38">
        <v>455370.0</v>
      </c>
      <c r="B164" s="38">
        <v>3263.0</v>
      </c>
      <c r="C164" s="38">
        <v>3263.0</v>
      </c>
      <c r="D164" s="38">
        <v>8.0212721E7</v>
      </c>
      <c r="E164" s="38">
        <v>8.0212721E7</v>
      </c>
      <c r="F164" s="18" t="s">
        <v>148</v>
      </c>
      <c r="G164" s="18" t="s">
        <v>149</v>
      </c>
      <c r="H164" s="18" t="s">
        <v>2296</v>
      </c>
      <c r="I164" s="18" t="s">
        <v>238</v>
      </c>
      <c r="J164" s="18" t="s">
        <v>2205</v>
      </c>
      <c r="K164" s="18" t="s">
        <v>2292</v>
      </c>
      <c r="L164" s="18" t="s">
        <v>52</v>
      </c>
      <c r="M164" s="18" t="s">
        <v>138</v>
      </c>
      <c r="N164" s="18" t="s">
        <v>130</v>
      </c>
      <c r="O164" s="18" t="s">
        <v>126</v>
      </c>
      <c r="P164" s="18" t="s">
        <v>56</v>
      </c>
      <c r="Q164" s="18" t="s">
        <v>57</v>
      </c>
      <c r="R164" s="18" t="s">
        <v>143</v>
      </c>
      <c r="S164" s="18" t="s">
        <v>59</v>
      </c>
      <c r="T164" s="38">
        <v>2026.0</v>
      </c>
      <c r="U164" s="38">
        <v>5.0</v>
      </c>
      <c r="V164" s="38">
        <v>1.081522404E9</v>
      </c>
      <c r="W164" s="38">
        <v>1.081540474E9</v>
      </c>
      <c r="X164" s="18" t="s">
        <v>2199</v>
      </c>
      <c r="Y164" s="18" t="s">
        <v>2200</v>
      </c>
      <c r="Z164" s="38">
        <v>165904.8</v>
      </c>
      <c r="AA164" s="38">
        <v>165904.8</v>
      </c>
      <c r="AB164" s="38">
        <v>0.0</v>
      </c>
      <c r="AC164" s="38">
        <v>673.0</v>
      </c>
      <c r="AD164" s="38">
        <v>0.0</v>
      </c>
      <c r="AE164" s="38">
        <v>0.0</v>
      </c>
      <c r="AF164" s="38">
        <v>0.0</v>
      </c>
      <c r="AG164" s="38">
        <v>0.0</v>
      </c>
      <c r="AH164" s="38">
        <v>0.0</v>
      </c>
      <c r="AI164" s="38">
        <v>165904.8</v>
      </c>
      <c r="AJ164" s="38">
        <v>491125.77</v>
      </c>
      <c r="AK164" s="38">
        <v>3.0</v>
      </c>
      <c r="AL164" s="38">
        <v>250.8</v>
      </c>
      <c r="AM164" s="38">
        <v>0.0</v>
      </c>
      <c r="AN164" s="34" t="s">
        <v>62</v>
      </c>
      <c r="AO164" s="34" t="s">
        <v>62</v>
      </c>
      <c r="AP164" s="34" t="s">
        <v>62</v>
      </c>
      <c r="AQ164" s="34" t="s">
        <v>62</v>
      </c>
      <c r="AR164" s="38">
        <v>0.0</v>
      </c>
      <c r="AS164" s="38" t="s">
        <v>2293</v>
      </c>
      <c r="AT164" s="35" t="s">
        <v>2294</v>
      </c>
      <c r="AU164" s="39" t="s">
        <v>2295</v>
      </c>
      <c r="AV164" s="40">
        <v>46164.0</v>
      </c>
    </row>
    <row r="165">
      <c r="A165" s="38">
        <v>455370.0</v>
      </c>
      <c r="B165" s="38">
        <v>3267.0</v>
      </c>
      <c r="C165" s="38">
        <v>3267.0</v>
      </c>
      <c r="D165" s="38">
        <v>8.0212725E7</v>
      </c>
      <c r="E165" s="38">
        <v>8.0212725E7</v>
      </c>
      <c r="F165" s="18" t="s">
        <v>148</v>
      </c>
      <c r="G165" s="18" t="s">
        <v>149</v>
      </c>
      <c r="H165" s="18" t="s">
        <v>2296</v>
      </c>
      <c r="I165" s="18" t="s">
        <v>167</v>
      </c>
      <c r="J165" s="18" t="s">
        <v>2205</v>
      </c>
      <c r="K165" s="18" t="s">
        <v>2292</v>
      </c>
      <c r="L165" s="18" t="s">
        <v>52</v>
      </c>
      <c r="M165" s="18" t="s">
        <v>138</v>
      </c>
      <c r="N165" s="18" t="s">
        <v>130</v>
      </c>
      <c r="O165" s="18" t="s">
        <v>126</v>
      </c>
      <c r="P165" s="18" t="s">
        <v>56</v>
      </c>
      <c r="Q165" s="18" t="s">
        <v>57</v>
      </c>
      <c r="R165" s="18" t="s">
        <v>143</v>
      </c>
      <c r="S165" s="18" t="s">
        <v>59</v>
      </c>
      <c r="T165" s="38">
        <v>2026.0</v>
      </c>
      <c r="U165" s="38">
        <v>5.0</v>
      </c>
      <c r="V165" s="38">
        <v>1.081522408E9</v>
      </c>
      <c r="W165" s="38">
        <v>1.081540478E9</v>
      </c>
      <c r="X165" s="18" t="s">
        <v>2199</v>
      </c>
      <c r="Y165" s="18" t="s">
        <v>2200</v>
      </c>
      <c r="Z165" s="38">
        <v>417784.0</v>
      </c>
      <c r="AA165" s="38">
        <v>417784.0</v>
      </c>
      <c r="AB165" s="38">
        <v>0.0</v>
      </c>
      <c r="AC165" s="38">
        <v>2000.0</v>
      </c>
      <c r="AD165" s="38">
        <v>0.0</v>
      </c>
      <c r="AE165" s="38">
        <v>0.0</v>
      </c>
      <c r="AF165" s="38">
        <v>0.0</v>
      </c>
      <c r="AG165" s="38">
        <v>0.0</v>
      </c>
      <c r="AH165" s="38">
        <v>0.0</v>
      </c>
      <c r="AI165" s="38">
        <v>417784.0</v>
      </c>
      <c r="AJ165" s="38">
        <v>988835.7</v>
      </c>
      <c r="AK165" s="38">
        <v>3.0</v>
      </c>
      <c r="AL165" s="38">
        <v>250.8</v>
      </c>
      <c r="AM165" s="38">
        <v>0.0</v>
      </c>
      <c r="AN165" s="34" t="s">
        <v>62</v>
      </c>
      <c r="AO165" s="34" t="s">
        <v>62</v>
      </c>
      <c r="AP165" s="34" t="s">
        <v>62</v>
      </c>
      <c r="AQ165" s="34" t="s">
        <v>62</v>
      </c>
      <c r="AR165" s="38">
        <v>0.0</v>
      </c>
      <c r="AS165" s="38" t="s">
        <v>2293</v>
      </c>
      <c r="AT165" s="35" t="s">
        <v>2294</v>
      </c>
      <c r="AU165" s="39" t="s">
        <v>2295</v>
      </c>
      <c r="AV165" s="40">
        <v>46164.0</v>
      </c>
    </row>
    <row r="166">
      <c r="A166" s="38">
        <v>326716.0</v>
      </c>
      <c r="B166" s="38">
        <v>326715.0</v>
      </c>
      <c r="C166" s="38">
        <v>326715.0</v>
      </c>
      <c r="D166" s="38">
        <v>590022.0</v>
      </c>
      <c r="E166" s="38">
        <v>590022.0</v>
      </c>
      <c r="F166" s="38">
        <v>8.60010973E8</v>
      </c>
      <c r="G166" s="18" t="s">
        <v>241</v>
      </c>
      <c r="H166" s="18" t="s">
        <v>2387</v>
      </c>
      <c r="I166" s="18" t="s">
        <v>162</v>
      </c>
      <c r="J166" s="18" t="s">
        <v>2205</v>
      </c>
      <c r="K166" s="18" t="s">
        <v>2205</v>
      </c>
      <c r="L166" s="18" t="s">
        <v>52</v>
      </c>
      <c r="M166" s="18" t="s">
        <v>89</v>
      </c>
      <c r="N166" s="18" t="s">
        <v>130</v>
      </c>
      <c r="O166" s="18" t="s">
        <v>126</v>
      </c>
      <c r="P166" s="18" t="s">
        <v>56</v>
      </c>
      <c r="Q166" s="18" t="s">
        <v>72</v>
      </c>
      <c r="R166" s="18" t="s">
        <v>143</v>
      </c>
      <c r="S166" s="18" t="s">
        <v>59</v>
      </c>
      <c r="T166" s="38">
        <v>2026.0</v>
      </c>
      <c r="U166" s="38">
        <v>5.0</v>
      </c>
      <c r="V166" s="38">
        <v>1.081522528E9</v>
      </c>
      <c r="W166" s="38">
        <v>1.081540598E9</v>
      </c>
      <c r="X166" s="18" t="s">
        <v>2199</v>
      </c>
      <c r="Y166" s="18" t="s">
        <v>2200</v>
      </c>
      <c r="Z166" s="38">
        <v>127338.21</v>
      </c>
      <c r="AA166" s="38">
        <v>127338.21</v>
      </c>
      <c r="AB166" s="38">
        <v>29385.74</v>
      </c>
      <c r="AC166" s="38">
        <v>315.0</v>
      </c>
      <c r="AD166" s="38">
        <v>0.0</v>
      </c>
      <c r="AE166" s="38">
        <v>0.0</v>
      </c>
      <c r="AF166" s="38">
        <v>0.0</v>
      </c>
      <c r="AG166" s="38">
        <v>0.0</v>
      </c>
      <c r="AH166" s="38">
        <v>0.0</v>
      </c>
      <c r="AI166" s="38">
        <v>127338.21</v>
      </c>
      <c r="AJ166" s="38">
        <v>127339.02</v>
      </c>
      <c r="AK166" s="38">
        <v>1.0</v>
      </c>
      <c r="AL166" s="38">
        <v>326.04</v>
      </c>
      <c r="AM166" s="38">
        <v>0.0</v>
      </c>
      <c r="AN166" s="34" t="s">
        <v>62</v>
      </c>
      <c r="AO166" s="34" t="s">
        <v>62</v>
      </c>
      <c r="AP166" s="34" t="s">
        <v>62</v>
      </c>
      <c r="AQ166" s="34" t="s">
        <v>62</v>
      </c>
      <c r="AR166" s="38">
        <v>0.0</v>
      </c>
      <c r="AS166" s="38" t="s">
        <v>2388</v>
      </c>
      <c r="AT166" s="35" t="s">
        <v>2202</v>
      </c>
      <c r="AU166" s="39" t="s">
        <v>2254</v>
      </c>
      <c r="AV166" s="40">
        <v>46167.0</v>
      </c>
    </row>
    <row r="167">
      <c r="A167" s="38">
        <v>326728.0</v>
      </c>
      <c r="B167" s="38">
        <v>326727.0</v>
      </c>
      <c r="C167" s="38">
        <v>326727.0</v>
      </c>
      <c r="D167" s="38">
        <v>590147.0</v>
      </c>
      <c r="E167" s="38">
        <v>590147.0</v>
      </c>
      <c r="F167" s="18" t="s">
        <v>243</v>
      </c>
      <c r="G167" s="18" t="s">
        <v>244</v>
      </c>
      <c r="H167" s="18" t="s">
        <v>2389</v>
      </c>
      <c r="I167" s="18" t="s">
        <v>172</v>
      </c>
      <c r="J167" s="18" t="s">
        <v>2205</v>
      </c>
      <c r="K167" s="18" t="s">
        <v>2316</v>
      </c>
      <c r="L167" s="18" t="s">
        <v>52</v>
      </c>
      <c r="M167" s="18" t="s">
        <v>138</v>
      </c>
      <c r="N167" s="18" t="s">
        <v>130</v>
      </c>
      <c r="O167" s="18" t="s">
        <v>126</v>
      </c>
      <c r="P167" s="18" t="s">
        <v>56</v>
      </c>
      <c r="Q167" s="18" t="s">
        <v>72</v>
      </c>
      <c r="R167" s="18" t="s">
        <v>143</v>
      </c>
      <c r="S167" s="18" t="s">
        <v>59</v>
      </c>
      <c r="T167" s="38">
        <v>2026.0</v>
      </c>
      <c r="U167" s="38">
        <v>5.0</v>
      </c>
      <c r="V167" s="38">
        <v>1.081522531E9</v>
      </c>
      <c r="W167" s="38">
        <v>1.081540601E9</v>
      </c>
      <c r="X167" s="18" t="s">
        <v>2199</v>
      </c>
      <c r="Y167" s="18" t="s">
        <v>2200</v>
      </c>
      <c r="Z167" s="38">
        <v>112494.98</v>
      </c>
      <c r="AA167" s="38">
        <v>112494.98</v>
      </c>
      <c r="AB167" s="38">
        <v>25826.79</v>
      </c>
      <c r="AC167" s="38">
        <v>252.5</v>
      </c>
      <c r="AD167" s="38">
        <v>578.9</v>
      </c>
      <c r="AE167" s="38">
        <v>0.0</v>
      </c>
      <c r="AF167" s="38">
        <v>0.0</v>
      </c>
      <c r="AG167" s="38">
        <v>0.0</v>
      </c>
      <c r="AH167" s="38">
        <v>0.0</v>
      </c>
      <c r="AI167" s="38">
        <v>112494.98</v>
      </c>
      <c r="AJ167" s="38">
        <v>133967.25</v>
      </c>
      <c r="AK167" s="38">
        <v>1.0</v>
      </c>
      <c r="AL167" s="38">
        <v>326.04</v>
      </c>
      <c r="AM167" s="38">
        <v>0.0</v>
      </c>
      <c r="AN167" s="34" t="s">
        <v>62</v>
      </c>
      <c r="AO167" s="34" t="s">
        <v>62</v>
      </c>
      <c r="AP167" s="34" t="s">
        <v>62</v>
      </c>
      <c r="AQ167" s="34" t="s">
        <v>62</v>
      </c>
      <c r="AR167" s="38">
        <v>0.0</v>
      </c>
      <c r="AS167" s="38" t="s">
        <v>2317</v>
      </c>
      <c r="AT167" s="35" t="s">
        <v>2202</v>
      </c>
      <c r="AU167" s="39" t="s">
        <v>2203</v>
      </c>
      <c r="AV167" s="40">
        <v>46169.0</v>
      </c>
    </row>
    <row r="168">
      <c r="A168" s="38">
        <v>326736.0</v>
      </c>
      <c r="B168" s="38">
        <v>326735.0</v>
      </c>
      <c r="C168" s="38">
        <v>326735.0</v>
      </c>
      <c r="D168" s="38">
        <v>590264.0</v>
      </c>
      <c r="E168" s="38">
        <v>590264.0</v>
      </c>
      <c r="F168" s="18" t="s">
        <v>246</v>
      </c>
      <c r="G168" s="18" t="s">
        <v>247</v>
      </c>
      <c r="H168" s="18" t="s">
        <v>2390</v>
      </c>
      <c r="I168" s="18" t="s">
        <v>172</v>
      </c>
      <c r="J168" s="18" t="s">
        <v>2205</v>
      </c>
      <c r="K168" s="18" t="s">
        <v>2205</v>
      </c>
      <c r="L168" s="18" t="s">
        <v>52</v>
      </c>
      <c r="M168" s="18" t="s">
        <v>89</v>
      </c>
      <c r="N168" s="18" t="s">
        <v>130</v>
      </c>
      <c r="O168" s="18" t="s">
        <v>126</v>
      </c>
      <c r="P168" s="18" t="s">
        <v>56</v>
      </c>
      <c r="Q168" s="18" t="s">
        <v>72</v>
      </c>
      <c r="R168" s="18" t="s">
        <v>143</v>
      </c>
      <c r="S168" s="18" t="s">
        <v>59</v>
      </c>
      <c r="T168" s="38">
        <v>2026.0</v>
      </c>
      <c r="U168" s="38">
        <v>5.0</v>
      </c>
      <c r="V168" s="38">
        <v>1.081522535E9</v>
      </c>
      <c r="W168" s="38">
        <v>1.081540605E9</v>
      </c>
      <c r="X168" s="18" t="s">
        <v>2199</v>
      </c>
      <c r="Y168" s="18" t="s">
        <v>2200</v>
      </c>
      <c r="Z168" s="38">
        <v>143377.23</v>
      </c>
      <c r="AA168" s="38">
        <v>143377.23</v>
      </c>
      <c r="AB168" s="38">
        <v>33087.05</v>
      </c>
      <c r="AC168" s="38">
        <v>380.0</v>
      </c>
      <c r="AD168" s="38">
        <v>0.0</v>
      </c>
      <c r="AE168" s="38">
        <v>0.0</v>
      </c>
      <c r="AF168" s="38">
        <v>0.0</v>
      </c>
      <c r="AG168" s="38">
        <v>0.0</v>
      </c>
      <c r="AH168" s="38">
        <v>0.0</v>
      </c>
      <c r="AI168" s="38">
        <v>143376.52</v>
      </c>
      <c r="AJ168" s="38">
        <v>143376.52</v>
      </c>
      <c r="AK168" s="38">
        <v>0.0</v>
      </c>
      <c r="AL168" s="38">
        <v>326.04</v>
      </c>
      <c r="AM168" s="38">
        <v>0.0</v>
      </c>
      <c r="AN168" s="34" t="s">
        <v>62</v>
      </c>
      <c r="AO168" s="34" t="s">
        <v>62</v>
      </c>
      <c r="AP168" s="38">
        <v>0.71</v>
      </c>
      <c r="AQ168" s="34" t="s">
        <v>62</v>
      </c>
      <c r="AR168" s="38">
        <v>0.0</v>
      </c>
      <c r="AS168" s="38" t="s">
        <v>2391</v>
      </c>
      <c r="AT168" s="35" t="s">
        <v>2202</v>
      </c>
      <c r="AU168" s="39" t="s">
        <v>2254</v>
      </c>
      <c r="AV168" s="40">
        <v>46169.0</v>
      </c>
    </row>
    <row r="169">
      <c r="A169" s="38">
        <v>326740.0</v>
      </c>
      <c r="B169" s="38">
        <v>326739.0</v>
      </c>
      <c r="C169" s="38">
        <v>326739.0</v>
      </c>
      <c r="D169" s="38">
        <v>590298.0</v>
      </c>
      <c r="E169" s="38">
        <v>590298.0</v>
      </c>
      <c r="F169" s="18" t="s">
        <v>249</v>
      </c>
      <c r="G169" s="18" t="s">
        <v>250</v>
      </c>
      <c r="H169" s="18" t="s">
        <v>2392</v>
      </c>
      <c r="I169" s="18" t="s">
        <v>172</v>
      </c>
      <c r="J169" s="18" t="s">
        <v>2205</v>
      </c>
      <c r="K169" s="18" t="s">
        <v>2205</v>
      </c>
      <c r="L169" s="18" t="s">
        <v>52</v>
      </c>
      <c r="M169" s="18" t="s">
        <v>89</v>
      </c>
      <c r="N169" s="18" t="s">
        <v>130</v>
      </c>
      <c r="O169" s="18" t="s">
        <v>126</v>
      </c>
      <c r="P169" s="18" t="s">
        <v>56</v>
      </c>
      <c r="Q169" s="18" t="s">
        <v>72</v>
      </c>
      <c r="R169" s="18" t="s">
        <v>143</v>
      </c>
      <c r="S169" s="18" t="s">
        <v>59</v>
      </c>
      <c r="T169" s="38">
        <v>2026.0</v>
      </c>
      <c r="U169" s="38">
        <v>5.0</v>
      </c>
      <c r="V169" s="38">
        <v>1.081522537E9</v>
      </c>
      <c r="W169" s="38">
        <v>1.081540607E9</v>
      </c>
      <c r="X169" s="18" t="s">
        <v>2199</v>
      </c>
      <c r="Y169" s="18" t="s">
        <v>2200</v>
      </c>
      <c r="Z169" s="38">
        <v>206299.59</v>
      </c>
      <c r="AA169" s="38">
        <v>206299.59</v>
      </c>
      <c r="AB169" s="38">
        <v>47607.6</v>
      </c>
      <c r="AC169" s="38">
        <v>635.0</v>
      </c>
      <c r="AD169" s="38">
        <v>0.0</v>
      </c>
      <c r="AE169" s="38">
        <v>0.0</v>
      </c>
      <c r="AF169" s="38">
        <v>0.0</v>
      </c>
      <c r="AG169" s="38">
        <v>0.0</v>
      </c>
      <c r="AH169" s="38">
        <v>0.0</v>
      </c>
      <c r="AI169" s="38">
        <v>206299.59</v>
      </c>
      <c r="AJ169" s="38">
        <v>206299.59</v>
      </c>
      <c r="AK169" s="38">
        <v>0.0</v>
      </c>
      <c r="AL169" s="38">
        <v>326.04</v>
      </c>
      <c r="AM169" s="38">
        <v>0.0</v>
      </c>
      <c r="AN169" s="34" t="s">
        <v>62</v>
      </c>
      <c r="AO169" s="34" t="s">
        <v>62</v>
      </c>
      <c r="AP169" s="34" t="s">
        <v>62</v>
      </c>
      <c r="AQ169" s="34" t="s">
        <v>62</v>
      </c>
      <c r="AR169" s="38">
        <v>0.0</v>
      </c>
      <c r="AS169" s="38" t="s">
        <v>2393</v>
      </c>
      <c r="AT169" s="35" t="s">
        <v>2202</v>
      </c>
      <c r="AU169" s="39" t="s">
        <v>2254</v>
      </c>
      <c r="AV169" s="40">
        <v>46169.0</v>
      </c>
    </row>
    <row r="170">
      <c r="A170" s="38">
        <v>455370.0</v>
      </c>
      <c r="B170" s="38">
        <v>3271.0</v>
      </c>
      <c r="C170" s="38">
        <v>3271.0</v>
      </c>
      <c r="D170" s="38">
        <v>8.0212729E7</v>
      </c>
      <c r="E170" s="38">
        <v>8.0212729E7</v>
      </c>
      <c r="F170" s="18" t="s">
        <v>148</v>
      </c>
      <c r="G170" s="18" t="s">
        <v>149</v>
      </c>
      <c r="H170" s="18" t="s">
        <v>2296</v>
      </c>
      <c r="I170" s="18" t="s">
        <v>146</v>
      </c>
      <c r="J170" s="18" t="s">
        <v>2205</v>
      </c>
      <c r="K170" s="18" t="s">
        <v>2292</v>
      </c>
      <c r="L170" s="18" t="s">
        <v>52</v>
      </c>
      <c r="M170" s="18" t="s">
        <v>138</v>
      </c>
      <c r="N170" s="18" t="s">
        <v>130</v>
      </c>
      <c r="O170" s="18" t="s">
        <v>126</v>
      </c>
      <c r="P170" s="18" t="s">
        <v>56</v>
      </c>
      <c r="Q170" s="18" t="s">
        <v>57</v>
      </c>
      <c r="R170" s="18" t="s">
        <v>143</v>
      </c>
      <c r="S170" s="18" t="s">
        <v>59</v>
      </c>
      <c r="T170" s="38">
        <v>2026.0</v>
      </c>
      <c r="U170" s="38">
        <v>5.0</v>
      </c>
      <c r="V170" s="38">
        <v>1.081522411E9</v>
      </c>
      <c r="W170" s="38">
        <v>1.081540481E9</v>
      </c>
      <c r="X170" s="18" t="s">
        <v>2199</v>
      </c>
      <c r="Y170" s="18" t="s">
        <v>2200</v>
      </c>
      <c r="Z170" s="38">
        <v>200450.41</v>
      </c>
      <c r="AA170" s="38">
        <v>200450.41</v>
      </c>
      <c r="AB170" s="38">
        <v>0.0</v>
      </c>
      <c r="AC170" s="38">
        <v>855.0</v>
      </c>
      <c r="AD170" s="38">
        <v>0.0</v>
      </c>
      <c r="AE170" s="38">
        <v>0.0</v>
      </c>
      <c r="AF170" s="38">
        <v>0.0</v>
      </c>
      <c r="AG170" s="38">
        <v>0.0</v>
      </c>
      <c r="AH170" s="38">
        <v>0.0</v>
      </c>
      <c r="AI170" s="38">
        <v>200450.41</v>
      </c>
      <c r="AJ170" s="38">
        <v>559387.43</v>
      </c>
      <c r="AK170" s="38">
        <v>3.0</v>
      </c>
      <c r="AL170" s="38">
        <v>250.8</v>
      </c>
      <c r="AM170" s="38">
        <v>0.0</v>
      </c>
      <c r="AN170" s="34" t="s">
        <v>62</v>
      </c>
      <c r="AO170" s="34" t="s">
        <v>62</v>
      </c>
      <c r="AP170" s="34" t="s">
        <v>62</v>
      </c>
      <c r="AQ170" s="34" t="s">
        <v>62</v>
      </c>
      <c r="AR170" s="38">
        <v>0.0</v>
      </c>
      <c r="AS170" s="38" t="s">
        <v>2293</v>
      </c>
      <c r="AT170" s="35" t="s">
        <v>2294</v>
      </c>
      <c r="AU170" s="39" t="s">
        <v>2295</v>
      </c>
      <c r="AV170" s="40">
        <v>46164.0</v>
      </c>
    </row>
    <row r="171">
      <c r="A171" s="38">
        <v>455370.0</v>
      </c>
      <c r="B171" s="38">
        <v>3275.0</v>
      </c>
      <c r="C171" s="38">
        <v>3275.0</v>
      </c>
      <c r="D171" s="38">
        <v>8.0212733E7</v>
      </c>
      <c r="E171" s="38">
        <v>8.0212733E7</v>
      </c>
      <c r="F171" s="18" t="s">
        <v>148</v>
      </c>
      <c r="G171" s="18" t="s">
        <v>149</v>
      </c>
      <c r="H171" s="18" t="s">
        <v>2296</v>
      </c>
      <c r="I171" s="18" t="s">
        <v>253</v>
      </c>
      <c r="J171" s="18" t="s">
        <v>2205</v>
      </c>
      <c r="K171" s="18" t="s">
        <v>2292</v>
      </c>
      <c r="L171" s="18" t="s">
        <v>52</v>
      </c>
      <c r="M171" s="18" t="s">
        <v>138</v>
      </c>
      <c r="N171" s="18" t="s">
        <v>130</v>
      </c>
      <c r="O171" s="18" t="s">
        <v>126</v>
      </c>
      <c r="P171" s="18" t="s">
        <v>56</v>
      </c>
      <c r="Q171" s="18" t="s">
        <v>57</v>
      </c>
      <c r="R171" s="18" t="s">
        <v>143</v>
      </c>
      <c r="S171" s="18" t="s">
        <v>59</v>
      </c>
      <c r="T171" s="38">
        <v>2026.0</v>
      </c>
      <c r="U171" s="38">
        <v>5.0</v>
      </c>
      <c r="V171" s="38">
        <v>1.081522415E9</v>
      </c>
      <c r="W171" s="38">
        <v>1.081540485E9</v>
      </c>
      <c r="X171" s="18" t="s">
        <v>2199</v>
      </c>
      <c r="Y171" s="18" t="s">
        <v>2200</v>
      </c>
      <c r="Z171" s="38">
        <v>179191.57</v>
      </c>
      <c r="AA171" s="38">
        <v>179191.57</v>
      </c>
      <c r="AB171" s="38">
        <v>0.0</v>
      </c>
      <c r="AC171" s="38">
        <v>743.0</v>
      </c>
      <c r="AD171" s="38">
        <v>0.0</v>
      </c>
      <c r="AE171" s="38">
        <v>0.0</v>
      </c>
      <c r="AF171" s="38">
        <v>0.0</v>
      </c>
      <c r="AG171" s="38">
        <v>0.0</v>
      </c>
      <c r="AH171" s="38">
        <v>0.0</v>
      </c>
      <c r="AI171" s="38">
        <v>179191.57</v>
      </c>
      <c r="AJ171" s="38">
        <v>517380.25</v>
      </c>
      <c r="AK171" s="38">
        <v>3.0</v>
      </c>
      <c r="AL171" s="38">
        <v>250.8</v>
      </c>
      <c r="AM171" s="38">
        <v>0.0</v>
      </c>
      <c r="AN171" s="34" t="s">
        <v>62</v>
      </c>
      <c r="AO171" s="34" t="s">
        <v>62</v>
      </c>
      <c r="AP171" s="34" t="s">
        <v>62</v>
      </c>
      <c r="AQ171" s="34" t="s">
        <v>62</v>
      </c>
      <c r="AR171" s="38">
        <v>0.0</v>
      </c>
      <c r="AS171" s="38" t="s">
        <v>2293</v>
      </c>
      <c r="AT171" s="35" t="s">
        <v>2294</v>
      </c>
      <c r="AU171" s="39" t="s">
        <v>2295</v>
      </c>
      <c r="AV171" s="40">
        <v>46164.0</v>
      </c>
    </row>
    <row r="172">
      <c r="A172" s="38">
        <v>455370.0</v>
      </c>
      <c r="B172" s="38">
        <v>3279.0</v>
      </c>
      <c r="C172" s="38">
        <v>3279.0</v>
      </c>
      <c r="D172" s="38">
        <v>8.0212737E7</v>
      </c>
      <c r="E172" s="38">
        <v>8.0212737E7</v>
      </c>
      <c r="F172" s="18" t="s">
        <v>148</v>
      </c>
      <c r="G172" s="18" t="s">
        <v>149</v>
      </c>
      <c r="H172" s="18" t="s">
        <v>2296</v>
      </c>
      <c r="I172" s="18" t="s">
        <v>255</v>
      </c>
      <c r="J172" s="18" t="s">
        <v>2205</v>
      </c>
      <c r="K172" s="18" t="s">
        <v>2292</v>
      </c>
      <c r="L172" s="18" t="s">
        <v>52</v>
      </c>
      <c r="M172" s="18" t="s">
        <v>138</v>
      </c>
      <c r="N172" s="18" t="s">
        <v>130</v>
      </c>
      <c r="O172" s="18" t="s">
        <v>126</v>
      </c>
      <c r="P172" s="18" t="s">
        <v>56</v>
      </c>
      <c r="Q172" s="18" t="s">
        <v>57</v>
      </c>
      <c r="R172" s="18" t="s">
        <v>143</v>
      </c>
      <c r="S172" s="18" t="s">
        <v>59</v>
      </c>
      <c r="T172" s="38">
        <v>2026.0</v>
      </c>
      <c r="U172" s="38">
        <v>5.0</v>
      </c>
      <c r="V172" s="38">
        <v>1.081522419E9</v>
      </c>
      <c r="W172" s="38">
        <v>1.081540489E9</v>
      </c>
      <c r="X172" s="18" t="s">
        <v>2199</v>
      </c>
      <c r="Y172" s="18" t="s">
        <v>2200</v>
      </c>
      <c r="Z172" s="38">
        <v>286814.41</v>
      </c>
      <c r="AA172" s="38">
        <v>286814.41</v>
      </c>
      <c r="AB172" s="38">
        <v>0.0</v>
      </c>
      <c r="AC172" s="38">
        <v>1310.0</v>
      </c>
      <c r="AD172" s="38">
        <v>0.0</v>
      </c>
      <c r="AE172" s="38">
        <v>0.0</v>
      </c>
      <c r="AF172" s="38">
        <v>0.0</v>
      </c>
      <c r="AG172" s="38">
        <v>0.0</v>
      </c>
      <c r="AH172" s="38">
        <v>0.0</v>
      </c>
      <c r="AI172" s="38">
        <v>286814.41</v>
      </c>
      <c r="AJ172" s="38">
        <v>730041.54</v>
      </c>
      <c r="AK172" s="38">
        <v>3.0</v>
      </c>
      <c r="AL172" s="38">
        <v>250.8</v>
      </c>
      <c r="AM172" s="38">
        <v>0.0</v>
      </c>
      <c r="AN172" s="34" t="s">
        <v>62</v>
      </c>
      <c r="AO172" s="34" t="s">
        <v>62</v>
      </c>
      <c r="AP172" s="34" t="s">
        <v>62</v>
      </c>
      <c r="AQ172" s="34" t="s">
        <v>62</v>
      </c>
      <c r="AR172" s="38">
        <v>0.0</v>
      </c>
      <c r="AS172" s="38" t="s">
        <v>2293</v>
      </c>
      <c r="AT172" s="35" t="s">
        <v>2294</v>
      </c>
      <c r="AU172" s="39" t="s">
        <v>2295</v>
      </c>
      <c r="AV172" s="40">
        <v>46164.0</v>
      </c>
    </row>
    <row r="173">
      <c r="A173" s="38">
        <v>455370.0</v>
      </c>
      <c r="B173" s="38">
        <v>3283.0</v>
      </c>
      <c r="C173" s="38">
        <v>3283.0</v>
      </c>
      <c r="D173" s="38">
        <v>8.0215347E7</v>
      </c>
      <c r="E173" s="38">
        <v>8.0215347E7</v>
      </c>
      <c r="F173" s="18" t="s">
        <v>148</v>
      </c>
      <c r="G173" s="18" t="s">
        <v>149</v>
      </c>
      <c r="H173" s="18" t="s">
        <v>2296</v>
      </c>
      <c r="I173" s="18" t="s">
        <v>224</v>
      </c>
      <c r="J173" s="18" t="s">
        <v>2205</v>
      </c>
      <c r="K173" s="18" t="s">
        <v>2292</v>
      </c>
      <c r="L173" s="18" t="s">
        <v>52</v>
      </c>
      <c r="M173" s="18" t="s">
        <v>138</v>
      </c>
      <c r="N173" s="18" t="s">
        <v>130</v>
      </c>
      <c r="O173" s="18" t="s">
        <v>126</v>
      </c>
      <c r="P173" s="18" t="s">
        <v>56</v>
      </c>
      <c r="Q173" s="18" t="s">
        <v>57</v>
      </c>
      <c r="R173" s="18" t="s">
        <v>143</v>
      </c>
      <c r="S173" s="18" t="s">
        <v>59</v>
      </c>
      <c r="T173" s="38">
        <v>2026.0</v>
      </c>
      <c r="U173" s="38">
        <v>5.0</v>
      </c>
      <c r="V173" s="38">
        <v>1.081522423E9</v>
      </c>
      <c r="W173" s="38">
        <v>1.081540493E9</v>
      </c>
      <c r="X173" s="18" t="s">
        <v>2199</v>
      </c>
      <c r="Y173" s="18" t="s">
        <v>2200</v>
      </c>
      <c r="Z173" s="38">
        <v>86184.18</v>
      </c>
      <c r="AA173" s="38">
        <v>86184.18</v>
      </c>
      <c r="AB173" s="38">
        <v>0.0</v>
      </c>
      <c r="AC173" s="38">
        <v>253.0</v>
      </c>
      <c r="AD173" s="38">
        <v>0.0</v>
      </c>
      <c r="AE173" s="38">
        <v>0.0</v>
      </c>
      <c r="AF173" s="38">
        <v>0.0</v>
      </c>
      <c r="AG173" s="38">
        <v>0.0</v>
      </c>
      <c r="AH173" s="38">
        <v>0.0</v>
      </c>
      <c r="AI173" s="38">
        <v>86184.18</v>
      </c>
      <c r="AJ173" s="38">
        <v>333598.89</v>
      </c>
      <c r="AK173" s="38">
        <v>3.0</v>
      </c>
      <c r="AL173" s="38">
        <v>250.8</v>
      </c>
      <c r="AM173" s="38">
        <v>0.0</v>
      </c>
      <c r="AN173" s="34" t="s">
        <v>62</v>
      </c>
      <c r="AO173" s="34" t="s">
        <v>62</v>
      </c>
      <c r="AP173" s="34" t="s">
        <v>62</v>
      </c>
      <c r="AQ173" s="34" t="s">
        <v>62</v>
      </c>
      <c r="AR173" s="38">
        <v>0.0</v>
      </c>
      <c r="AS173" s="38" t="s">
        <v>2293</v>
      </c>
      <c r="AT173" s="35" t="s">
        <v>2294</v>
      </c>
      <c r="AU173" s="39" t="s">
        <v>2295</v>
      </c>
      <c r="AV173" s="40">
        <v>46164.0</v>
      </c>
    </row>
    <row r="174">
      <c r="A174" s="38">
        <v>503.0</v>
      </c>
      <c r="B174" s="38">
        <v>3287.0</v>
      </c>
      <c r="C174" s="38">
        <v>3287.0</v>
      </c>
      <c r="D174" s="38">
        <v>8.0217312E7</v>
      </c>
      <c r="E174" s="38">
        <v>8.0217312E7</v>
      </c>
      <c r="F174" s="18" t="s">
        <v>258</v>
      </c>
      <c r="G174" s="18" t="s">
        <v>259</v>
      </c>
      <c r="H174" s="18" t="s">
        <v>2394</v>
      </c>
      <c r="I174" s="18" t="s">
        <v>214</v>
      </c>
      <c r="J174" s="18" t="s">
        <v>2205</v>
      </c>
      <c r="K174" s="18" t="s">
        <v>2395</v>
      </c>
      <c r="L174" s="18" t="s">
        <v>52</v>
      </c>
      <c r="M174" s="18" t="s">
        <v>89</v>
      </c>
      <c r="N174" s="18" t="s">
        <v>130</v>
      </c>
      <c r="O174" s="18" t="s">
        <v>126</v>
      </c>
      <c r="P174" s="18" t="s">
        <v>56</v>
      </c>
      <c r="Q174" s="18" t="s">
        <v>90</v>
      </c>
      <c r="R174" s="18" t="s">
        <v>143</v>
      </c>
      <c r="S174" s="18" t="s">
        <v>59</v>
      </c>
      <c r="T174" s="38">
        <v>2026.0</v>
      </c>
      <c r="U174" s="38">
        <v>5.0</v>
      </c>
      <c r="V174" s="38">
        <v>1.081522427E9</v>
      </c>
      <c r="W174" s="38">
        <v>1.081540497E9</v>
      </c>
      <c r="X174" s="18" t="s">
        <v>2199</v>
      </c>
      <c r="Y174" s="18" t="s">
        <v>2200</v>
      </c>
      <c r="Z174" s="38">
        <v>263662.48</v>
      </c>
      <c r="AA174" s="38">
        <v>263662.48</v>
      </c>
      <c r="AB174" s="38">
        <v>87887.5</v>
      </c>
      <c r="AC174" s="38">
        <v>725.0</v>
      </c>
      <c r="AD174" s="38">
        <v>0.0</v>
      </c>
      <c r="AE174" s="38">
        <v>0.0</v>
      </c>
      <c r="AF174" s="38">
        <v>0.0</v>
      </c>
      <c r="AG174" s="38">
        <v>0.0</v>
      </c>
      <c r="AH174" s="38">
        <v>0.0</v>
      </c>
      <c r="AI174" s="38">
        <v>263662.48</v>
      </c>
      <c r="AJ174" s="38">
        <v>263662.48</v>
      </c>
      <c r="AK174" s="38">
        <v>0.0</v>
      </c>
      <c r="AL174" s="38">
        <v>376.2</v>
      </c>
      <c r="AM174" s="38">
        <v>0.0</v>
      </c>
      <c r="AN174" s="34" t="s">
        <v>62</v>
      </c>
      <c r="AO174" s="34" t="s">
        <v>62</v>
      </c>
      <c r="AP174" s="34" t="s">
        <v>62</v>
      </c>
      <c r="AQ174" s="34" t="s">
        <v>62</v>
      </c>
      <c r="AR174" s="38">
        <v>0.0</v>
      </c>
      <c r="AS174" s="38" t="s">
        <v>2396</v>
      </c>
      <c r="AT174" s="35" t="s">
        <v>2202</v>
      </c>
      <c r="AU174" s="39" t="s">
        <v>2203</v>
      </c>
      <c r="AV174" s="40">
        <v>46168.0</v>
      </c>
    </row>
    <row r="175">
      <c r="A175" s="38">
        <v>455370.0</v>
      </c>
      <c r="B175" s="38">
        <v>3291.0</v>
      </c>
      <c r="C175" s="38">
        <v>3291.0</v>
      </c>
      <c r="D175" s="38">
        <v>8.0218483E7</v>
      </c>
      <c r="E175" s="38">
        <v>8.0218483E7</v>
      </c>
      <c r="F175" s="18" t="s">
        <v>148</v>
      </c>
      <c r="G175" s="18" t="s">
        <v>149</v>
      </c>
      <c r="H175" s="18" t="s">
        <v>2296</v>
      </c>
      <c r="I175" s="18" t="s">
        <v>261</v>
      </c>
      <c r="J175" s="18" t="s">
        <v>2205</v>
      </c>
      <c r="K175" s="18" t="s">
        <v>2292</v>
      </c>
      <c r="L175" s="18" t="s">
        <v>52</v>
      </c>
      <c r="M175" s="18" t="s">
        <v>138</v>
      </c>
      <c r="N175" s="18" t="s">
        <v>130</v>
      </c>
      <c r="O175" s="18" t="s">
        <v>126</v>
      </c>
      <c r="P175" s="18" t="s">
        <v>56</v>
      </c>
      <c r="Q175" s="18" t="s">
        <v>57</v>
      </c>
      <c r="R175" s="18" t="s">
        <v>143</v>
      </c>
      <c r="S175" s="18" t="s">
        <v>59</v>
      </c>
      <c r="T175" s="38">
        <v>2026.0</v>
      </c>
      <c r="U175" s="38">
        <v>5.0</v>
      </c>
      <c r="V175" s="38">
        <v>1.081522431E9</v>
      </c>
      <c r="W175" s="38">
        <v>1.081540501E9</v>
      </c>
      <c r="X175" s="18" t="s">
        <v>2199</v>
      </c>
      <c r="Y175" s="18" t="s">
        <v>2200</v>
      </c>
      <c r="Z175" s="38">
        <v>569632.8</v>
      </c>
      <c r="AA175" s="38">
        <v>569632.8</v>
      </c>
      <c r="AB175" s="38">
        <v>0.0</v>
      </c>
      <c r="AC175" s="38">
        <v>2800.0</v>
      </c>
      <c r="AD175" s="38">
        <v>0.0</v>
      </c>
      <c r="AE175" s="38">
        <v>0.0</v>
      </c>
      <c r="AF175" s="38">
        <v>0.0</v>
      </c>
      <c r="AG175" s="38">
        <v>0.0</v>
      </c>
      <c r="AH175" s="38">
        <v>0.0</v>
      </c>
      <c r="AI175" s="38">
        <v>569632.8</v>
      </c>
      <c r="AJ175" s="38">
        <v>1288886.9</v>
      </c>
      <c r="AK175" s="38">
        <v>3.0</v>
      </c>
      <c r="AL175" s="38">
        <v>250.8</v>
      </c>
      <c r="AM175" s="38">
        <v>0.0</v>
      </c>
      <c r="AN175" s="34" t="s">
        <v>62</v>
      </c>
      <c r="AO175" s="34" t="s">
        <v>62</v>
      </c>
      <c r="AP175" s="34" t="s">
        <v>62</v>
      </c>
      <c r="AQ175" s="34" t="s">
        <v>62</v>
      </c>
      <c r="AR175" s="38">
        <v>0.0</v>
      </c>
      <c r="AS175" s="38" t="s">
        <v>2293</v>
      </c>
      <c r="AT175" s="35" t="s">
        <v>2294</v>
      </c>
      <c r="AU175" s="39" t="s">
        <v>2295</v>
      </c>
      <c r="AV175" s="40">
        <v>46164.0</v>
      </c>
    </row>
    <row r="176">
      <c r="A176" s="38">
        <v>3300.0</v>
      </c>
      <c r="B176" s="38">
        <v>3299.0</v>
      </c>
      <c r="C176" s="38">
        <v>3299.0</v>
      </c>
      <c r="D176" s="38">
        <v>8.0222486E7</v>
      </c>
      <c r="E176" s="38">
        <v>8.0222486E7</v>
      </c>
      <c r="F176" s="38">
        <v>8.99999239E8</v>
      </c>
      <c r="G176" s="18" t="s">
        <v>263</v>
      </c>
      <c r="H176" s="18" t="s">
        <v>2397</v>
      </c>
      <c r="I176" s="18" t="s">
        <v>208</v>
      </c>
      <c r="J176" s="18" t="s">
        <v>2205</v>
      </c>
      <c r="K176" s="18" t="s">
        <v>2398</v>
      </c>
      <c r="L176" s="18" t="s">
        <v>52</v>
      </c>
      <c r="M176" s="18" t="s">
        <v>89</v>
      </c>
      <c r="N176" s="18" t="s">
        <v>130</v>
      </c>
      <c r="O176" s="18" t="s">
        <v>126</v>
      </c>
      <c r="P176" s="18" t="s">
        <v>56</v>
      </c>
      <c r="Q176" s="18" t="s">
        <v>57</v>
      </c>
      <c r="R176" s="18" t="s">
        <v>143</v>
      </c>
      <c r="S176" s="18" t="s">
        <v>59</v>
      </c>
      <c r="T176" s="38">
        <v>2026.0</v>
      </c>
      <c r="U176" s="38">
        <v>5.0</v>
      </c>
      <c r="V176" s="38">
        <v>1.081522435E9</v>
      </c>
      <c r="W176" s="38">
        <v>1.081540505E9</v>
      </c>
      <c r="X176" s="18" t="s">
        <v>2199</v>
      </c>
      <c r="Y176" s="18" t="s">
        <v>2200</v>
      </c>
      <c r="Z176" s="38">
        <v>86089.29</v>
      </c>
      <c r="AA176" s="38">
        <v>86089.29</v>
      </c>
      <c r="AB176" s="38">
        <v>0.0</v>
      </c>
      <c r="AC176" s="38">
        <v>252.5</v>
      </c>
      <c r="AD176" s="38">
        <v>0.0</v>
      </c>
      <c r="AE176" s="38">
        <v>0.0</v>
      </c>
      <c r="AF176" s="38">
        <v>0.0</v>
      </c>
      <c r="AG176" s="38">
        <v>0.0</v>
      </c>
      <c r="AH176" s="38">
        <v>0.0</v>
      </c>
      <c r="AI176" s="38">
        <v>86089.29</v>
      </c>
      <c r="AJ176" s="38">
        <v>86089.29</v>
      </c>
      <c r="AK176" s="38">
        <v>0.0</v>
      </c>
      <c r="AL176" s="38">
        <v>250.8</v>
      </c>
      <c r="AM176" s="38">
        <v>0.0</v>
      </c>
      <c r="AN176" s="34" t="s">
        <v>62</v>
      </c>
      <c r="AO176" s="34" t="s">
        <v>62</v>
      </c>
      <c r="AP176" s="34" t="s">
        <v>62</v>
      </c>
      <c r="AQ176" s="34" t="s">
        <v>62</v>
      </c>
      <c r="AR176" s="38">
        <v>0.0</v>
      </c>
      <c r="AS176" s="38" t="s">
        <v>2399</v>
      </c>
      <c r="AT176" s="35" t="s">
        <v>2202</v>
      </c>
      <c r="AU176" s="39" t="s">
        <v>2203</v>
      </c>
      <c r="AV176" s="40">
        <v>46163.0</v>
      </c>
    </row>
    <row r="177">
      <c r="A177" s="38">
        <v>3304.0</v>
      </c>
      <c r="B177" s="38">
        <v>3303.0</v>
      </c>
      <c r="C177" s="38">
        <v>3303.0</v>
      </c>
      <c r="D177" s="38">
        <v>8.0223054E7</v>
      </c>
      <c r="E177" s="38">
        <v>8.0223054E7</v>
      </c>
      <c r="F177" s="38">
        <v>9.01447404E8</v>
      </c>
      <c r="G177" s="18" t="s">
        <v>265</v>
      </c>
      <c r="H177" s="18" t="s">
        <v>2400</v>
      </c>
      <c r="I177" s="18" t="s">
        <v>172</v>
      </c>
      <c r="J177" s="18" t="s">
        <v>2205</v>
      </c>
      <c r="K177" s="18" t="s">
        <v>2205</v>
      </c>
      <c r="L177" s="18" t="s">
        <v>52</v>
      </c>
      <c r="M177" s="18" t="s">
        <v>89</v>
      </c>
      <c r="N177" s="18" t="s">
        <v>130</v>
      </c>
      <c r="O177" s="18" t="s">
        <v>126</v>
      </c>
      <c r="P177" s="18" t="s">
        <v>131</v>
      </c>
      <c r="Q177" s="18" t="s">
        <v>266</v>
      </c>
      <c r="R177" s="18" t="s">
        <v>133</v>
      </c>
      <c r="S177" s="18" t="s">
        <v>59</v>
      </c>
      <c r="T177" s="38">
        <v>2026.0</v>
      </c>
      <c r="U177" s="38">
        <v>5.0</v>
      </c>
      <c r="V177" s="38">
        <v>1.081522439E9</v>
      </c>
      <c r="W177" s="38">
        <v>1.081540509E9</v>
      </c>
      <c r="X177" s="18" t="s">
        <v>2199</v>
      </c>
      <c r="Y177" s="18" t="s">
        <v>2200</v>
      </c>
      <c r="Z177" s="38">
        <v>98723.3</v>
      </c>
      <c r="AA177" s="38">
        <v>98723.3</v>
      </c>
      <c r="AB177" s="38">
        <v>22782.3</v>
      </c>
      <c r="AC177" s="38">
        <v>0.0</v>
      </c>
      <c r="AD177" s="38">
        <v>0.0</v>
      </c>
      <c r="AE177" s="38">
        <v>0.0</v>
      </c>
      <c r="AF177" s="38">
        <v>0.0</v>
      </c>
      <c r="AG177" s="38">
        <v>0.0</v>
      </c>
      <c r="AH177" s="38">
        <v>0.0</v>
      </c>
      <c r="AI177" s="38">
        <v>98723.3</v>
      </c>
      <c r="AJ177" s="38">
        <v>98723.3</v>
      </c>
      <c r="AK177" s="38">
        <v>0.0</v>
      </c>
      <c r="AL177" s="38">
        <v>326.04</v>
      </c>
      <c r="AM177" s="38">
        <v>0.0</v>
      </c>
      <c r="AN177" s="34" t="s">
        <v>62</v>
      </c>
      <c r="AO177" s="34" t="s">
        <v>62</v>
      </c>
      <c r="AP177" s="34" t="s">
        <v>62</v>
      </c>
      <c r="AQ177" s="34" t="s">
        <v>62</v>
      </c>
      <c r="AR177" s="38">
        <v>0.0</v>
      </c>
      <c r="AS177" s="38" t="s">
        <v>2401</v>
      </c>
      <c r="AT177" s="35" t="s">
        <v>2202</v>
      </c>
      <c r="AU177" s="39" t="s">
        <v>2254</v>
      </c>
      <c r="AV177" s="40">
        <v>46169.0</v>
      </c>
    </row>
    <row r="178">
      <c r="A178" s="38">
        <v>147.0</v>
      </c>
      <c r="B178" s="38">
        <v>3311.0</v>
      </c>
      <c r="C178" s="38">
        <v>3311.0</v>
      </c>
      <c r="D178" s="38">
        <v>8.023016E7</v>
      </c>
      <c r="E178" s="38">
        <v>8.023016E7</v>
      </c>
      <c r="F178" s="18" t="s">
        <v>179</v>
      </c>
      <c r="G178" s="18" t="s">
        <v>180</v>
      </c>
      <c r="H178" s="18" t="s">
        <v>2320</v>
      </c>
      <c r="I178" s="18" t="s">
        <v>268</v>
      </c>
      <c r="J178" s="18" t="s">
        <v>2205</v>
      </c>
      <c r="K178" s="18" t="s">
        <v>2289</v>
      </c>
      <c r="L178" s="18" t="s">
        <v>52</v>
      </c>
      <c r="M178" s="18" t="s">
        <v>269</v>
      </c>
      <c r="N178" s="18" t="s">
        <v>130</v>
      </c>
      <c r="O178" s="18" t="s">
        <v>126</v>
      </c>
      <c r="P178" s="18" t="s">
        <v>56</v>
      </c>
      <c r="Q178" s="18" t="s">
        <v>57</v>
      </c>
      <c r="R178" s="18" t="s">
        <v>143</v>
      </c>
      <c r="S178" s="18" t="s">
        <v>59</v>
      </c>
      <c r="T178" s="38">
        <v>2026.0</v>
      </c>
      <c r="U178" s="38">
        <v>5.0</v>
      </c>
      <c r="V178" s="38">
        <v>1.081522443E9</v>
      </c>
      <c r="W178" s="38">
        <v>1.081540513E9</v>
      </c>
      <c r="X178" s="18" t="s">
        <v>2199</v>
      </c>
      <c r="Y178" s="18" t="s">
        <v>2200</v>
      </c>
      <c r="Z178" s="38">
        <v>51725.29</v>
      </c>
      <c r="AA178" s="38">
        <v>51725.29</v>
      </c>
      <c r="AB178" s="38">
        <v>0.0</v>
      </c>
      <c r="AC178" s="38">
        <v>252.5</v>
      </c>
      <c r="AD178" s="38">
        <v>0.0</v>
      </c>
      <c r="AE178" s="38">
        <v>0.0</v>
      </c>
      <c r="AF178" s="38">
        <v>0.0</v>
      </c>
      <c r="AG178" s="38">
        <v>0.0</v>
      </c>
      <c r="AH178" s="38">
        <v>0.0</v>
      </c>
      <c r="AI178" s="38">
        <v>51725.29</v>
      </c>
      <c r="AJ178" s="38">
        <v>102195.69</v>
      </c>
      <c r="AK178" s="38">
        <v>1.0</v>
      </c>
      <c r="AL178" s="38">
        <v>250.8</v>
      </c>
      <c r="AM178" s="38">
        <v>0.0</v>
      </c>
      <c r="AN178" s="34" t="s">
        <v>62</v>
      </c>
      <c r="AO178" s="34" t="s">
        <v>62</v>
      </c>
      <c r="AP178" s="34" t="s">
        <v>62</v>
      </c>
      <c r="AQ178" s="34" t="s">
        <v>62</v>
      </c>
      <c r="AR178" s="38">
        <v>0.0</v>
      </c>
      <c r="AS178" s="38" t="s">
        <v>2321</v>
      </c>
      <c r="AT178" s="35" t="s">
        <v>2202</v>
      </c>
      <c r="AU178" s="39" t="s">
        <v>2203</v>
      </c>
      <c r="AV178" s="40">
        <v>46163.0</v>
      </c>
    </row>
    <row r="179">
      <c r="A179" s="38">
        <v>3320.0</v>
      </c>
      <c r="B179" s="38">
        <v>3319.0</v>
      </c>
      <c r="C179" s="38">
        <v>3319.0</v>
      </c>
      <c r="D179" s="38">
        <v>8.0231088E7</v>
      </c>
      <c r="E179" s="38">
        <v>8.0231088E7</v>
      </c>
      <c r="F179" s="18" t="s">
        <v>271</v>
      </c>
      <c r="G179" s="18" t="s">
        <v>272</v>
      </c>
      <c r="H179" s="18" t="s">
        <v>2402</v>
      </c>
      <c r="I179" s="18" t="s">
        <v>230</v>
      </c>
      <c r="J179" s="18" t="s">
        <v>2205</v>
      </c>
      <c r="K179" s="18" t="s">
        <v>2205</v>
      </c>
      <c r="L179" s="18" t="s">
        <v>52</v>
      </c>
      <c r="M179" s="18" t="s">
        <v>89</v>
      </c>
      <c r="N179" s="18" t="s">
        <v>130</v>
      </c>
      <c r="O179" s="18" t="s">
        <v>126</v>
      </c>
      <c r="P179" s="18" t="s">
        <v>56</v>
      </c>
      <c r="Q179" s="18" t="s">
        <v>72</v>
      </c>
      <c r="R179" s="18" t="s">
        <v>143</v>
      </c>
      <c r="S179" s="18" t="s">
        <v>59</v>
      </c>
      <c r="T179" s="38">
        <v>2026.0</v>
      </c>
      <c r="U179" s="38">
        <v>5.0</v>
      </c>
      <c r="V179" s="38">
        <v>1.081522447E9</v>
      </c>
      <c r="W179" s="38">
        <v>1.081540517E9</v>
      </c>
      <c r="X179" s="18" t="s">
        <v>2199</v>
      </c>
      <c r="Y179" s="18" t="s">
        <v>2200</v>
      </c>
      <c r="Z179" s="38">
        <v>1511629.84</v>
      </c>
      <c r="AA179" s="38">
        <v>1511629.84</v>
      </c>
      <c r="AB179" s="38">
        <v>348837.66</v>
      </c>
      <c r="AC179" s="38">
        <v>5925.0</v>
      </c>
      <c r="AD179" s="38">
        <v>0.0</v>
      </c>
      <c r="AE179" s="38">
        <v>0.0</v>
      </c>
      <c r="AF179" s="38">
        <v>0.0</v>
      </c>
      <c r="AG179" s="38">
        <v>0.0</v>
      </c>
      <c r="AH179" s="38">
        <v>0.0</v>
      </c>
      <c r="AI179" s="38">
        <v>1511629.84</v>
      </c>
      <c r="AJ179" s="38">
        <v>1511630.79</v>
      </c>
      <c r="AK179" s="38">
        <v>1.0</v>
      </c>
      <c r="AL179" s="38">
        <v>326.04</v>
      </c>
      <c r="AM179" s="38">
        <v>0.0</v>
      </c>
      <c r="AN179" s="34" t="s">
        <v>62</v>
      </c>
      <c r="AO179" s="34" t="s">
        <v>62</v>
      </c>
      <c r="AP179" s="34" t="s">
        <v>62</v>
      </c>
      <c r="AQ179" s="34" t="s">
        <v>62</v>
      </c>
      <c r="AR179" s="38">
        <v>0.0</v>
      </c>
      <c r="AS179" s="38" t="s">
        <v>2403</v>
      </c>
      <c r="AT179" s="35" t="s">
        <v>2202</v>
      </c>
      <c r="AU179" s="39" t="s">
        <v>2254</v>
      </c>
      <c r="AV179" s="40">
        <v>46169.0</v>
      </c>
    </row>
    <row r="180">
      <c r="A180" s="38">
        <v>3324.0</v>
      </c>
      <c r="B180" s="38">
        <v>3323.0</v>
      </c>
      <c r="C180" s="38">
        <v>3323.0</v>
      </c>
      <c r="D180" s="38">
        <v>8.0231294E7</v>
      </c>
      <c r="E180" s="38">
        <v>8.0231294E7</v>
      </c>
      <c r="F180" s="38">
        <v>9.01376551E8</v>
      </c>
      <c r="G180" s="18" t="s">
        <v>274</v>
      </c>
      <c r="H180" s="18" t="s">
        <v>2404</v>
      </c>
      <c r="I180" s="18" t="s">
        <v>224</v>
      </c>
      <c r="J180" s="18" t="s">
        <v>2205</v>
      </c>
      <c r="K180" s="18" t="s">
        <v>2205</v>
      </c>
      <c r="L180" s="18" t="s">
        <v>52</v>
      </c>
      <c r="M180" s="18" t="s">
        <v>89</v>
      </c>
      <c r="N180" s="18" t="s">
        <v>130</v>
      </c>
      <c r="O180" s="18" t="s">
        <v>126</v>
      </c>
      <c r="P180" s="18" t="s">
        <v>56</v>
      </c>
      <c r="Q180" s="18" t="s">
        <v>72</v>
      </c>
      <c r="R180" s="18" t="s">
        <v>143</v>
      </c>
      <c r="S180" s="18" t="s">
        <v>59</v>
      </c>
      <c r="T180" s="38">
        <v>2026.0</v>
      </c>
      <c r="U180" s="38">
        <v>5.0</v>
      </c>
      <c r="V180" s="38">
        <v>1.081522451E9</v>
      </c>
      <c r="W180" s="38">
        <v>1.081540521E9</v>
      </c>
      <c r="X180" s="18" t="s">
        <v>2199</v>
      </c>
      <c r="Y180" s="18" t="s">
        <v>2200</v>
      </c>
      <c r="Z180" s="38">
        <v>142143.48</v>
      </c>
      <c r="AA180" s="38">
        <v>142143.48</v>
      </c>
      <c r="AB180" s="38">
        <v>32802.35</v>
      </c>
      <c r="AC180" s="38">
        <v>375.0</v>
      </c>
      <c r="AD180" s="38">
        <v>0.0</v>
      </c>
      <c r="AE180" s="38">
        <v>0.0</v>
      </c>
      <c r="AF180" s="38">
        <v>0.0</v>
      </c>
      <c r="AG180" s="38">
        <v>0.0</v>
      </c>
      <c r="AH180" s="38">
        <v>0.0</v>
      </c>
      <c r="AI180" s="38">
        <v>142143.48</v>
      </c>
      <c r="AJ180" s="38">
        <v>142143.48</v>
      </c>
      <c r="AK180" s="38">
        <v>0.0</v>
      </c>
      <c r="AL180" s="38">
        <v>326.04</v>
      </c>
      <c r="AM180" s="38">
        <v>0.0</v>
      </c>
      <c r="AN180" s="34" t="s">
        <v>62</v>
      </c>
      <c r="AO180" s="34" t="s">
        <v>62</v>
      </c>
      <c r="AP180" s="34" t="s">
        <v>62</v>
      </c>
      <c r="AQ180" s="34" t="s">
        <v>62</v>
      </c>
      <c r="AR180" s="38">
        <v>0.0</v>
      </c>
      <c r="AS180" s="38" t="s">
        <v>2405</v>
      </c>
      <c r="AT180" s="35" t="s">
        <v>2202</v>
      </c>
      <c r="AU180" s="39" t="s">
        <v>2254</v>
      </c>
      <c r="AV180" s="40">
        <v>46169.0</v>
      </c>
    </row>
    <row r="181">
      <c r="A181" s="38">
        <v>379563.0</v>
      </c>
      <c r="B181" s="38">
        <v>3331.0</v>
      </c>
      <c r="C181" s="38">
        <v>3331.0</v>
      </c>
      <c r="D181" s="38">
        <v>8.0268022E7</v>
      </c>
      <c r="E181" s="38">
        <v>8.0268022E7</v>
      </c>
      <c r="F181" s="38">
        <v>8.05003626E8</v>
      </c>
      <c r="G181" s="18" t="s">
        <v>276</v>
      </c>
      <c r="H181" s="18" t="s">
        <v>2406</v>
      </c>
      <c r="I181" s="18" t="s">
        <v>214</v>
      </c>
      <c r="J181" s="18" t="s">
        <v>2205</v>
      </c>
      <c r="K181" s="18" t="s">
        <v>2395</v>
      </c>
      <c r="L181" s="18" t="s">
        <v>52</v>
      </c>
      <c r="M181" s="18" t="s">
        <v>138</v>
      </c>
      <c r="N181" s="18" t="s">
        <v>130</v>
      </c>
      <c r="O181" s="18" t="s">
        <v>126</v>
      </c>
      <c r="P181" s="18" t="s">
        <v>56</v>
      </c>
      <c r="Q181" s="18" t="s">
        <v>90</v>
      </c>
      <c r="R181" s="18" t="s">
        <v>143</v>
      </c>
      <c r="S181" s="18" t="s">
        <v>59</v>
      </c>
      <c r="T181" s="38">
        <v>2026.0</v>
      </c>
      <c r="U181" s="38">
        <v>5.0</v>
      </c>
      <c r="V181" s="38">
        <v>1.081522453E9</v>
      </c>
      <c r="W181" s="38">
        <v>1.081540523E9</v>
      </c>
      <c r="X181" s="18" t="s">
        <v>2199</v>
      </c>
      <c r="Y181" s="18" t="s">
        <v>2200</v>
      </c>
      <c r="Z181" s="38">
        <v>263662.48</v>
      </c>
      <c r="AA181" s="38">
        <v>263662.48</v>
      </c>
      <c r="AB181" s="38">
        <v>87887.5</v>
      </c>
      <c r="AC181" s="38">
        <v>725.0</v>
      </c>
      <c r="AD181" s="38">
        <v>0.0</v>
      </c>
      <c r="AE181" s="38">
        <v>0.0</v>
      </c>
      <c r="AF181" s="38">
        <v>0.0</v>
      </c>
      <c r="AG181" s="38">
        <v>0.0</v>
      </c>
      <c r="AH181" s="38">
        <v>0.0</v>
      </c>
      <c r="AI181" s="38">
        <v>263662.48</v>
      </c>
      <c r="AJ181" s="38">
        <v>263662.48</v>
      </c>
      <c r="AK181" s="38">
        <v>0.0</v>
      </c>
      <c r="AL181" s="38">
        <v>376.2</v>
      </c>
      <c r="AM181" s="38">
        <v>0.0</v>
      </c>
      <c r="AN181" s="34" t="s">
        <v>62</v>
      </c>
      <c r="AO181" s="34" t="s">
        <v>62</v>
      </c>
      <c r="AP181" s="34" t="s">
        <v>62</v>
      </c>
      <c r="AQ181" s="34" t="s">
        <v>62</v>
      </c>
      <c r="AR181" s="38">
        <v>0.0</v>
      </c>
      <c r="AS181" s="38" t="s">
        <v>2396</v>
      </c>
      <c r="AT181" s="35" t="s">
        <v>2202</v>
      </c>
      <c r="AU181" s="39" t="s">
        <v>2203</v>
      </c>
      <c r="AV181" s="40">
        <v>46168.0</v>
      </c>
    </row>
    <row r="182">
      <c r="A182" s="38">
        <v>341068.0</v>
      </c>
      <c r="B182" s="38">
        <v>341067.0</v>
      </c>
      <c r="C182" s="38">
        <v>341067.0</v>
      </c>
      <c r="D182" s="38">
        <v>134.0</v>
      </c>
      <c r="E182" s="38">
        <v>134.0</v>
      </c>
      <c r="F182" s="38">
        <v>8.90401958E8</v>
      </c>
      <c r="G182" s="18" t="s">
        <v>278</v>
      </c>
      <c r="H182" s="18" t="s">
        <v>2407</v>
      </c>
      <c r="I182" s="18" t="s">
        <v>279</v>
      </c>
      <c r="J182" s="18" t="s">
        <v>2205</v>
      </c>
      <c r="K182" s="18" t="s">
        <v>2205</v>
      </c>
      <c r="L182" s="18" t="s">
        <v>52</v>
      </c>
      <c r="M182" s="18" t="s">
        <v>89</v>
      </c>
      <c r="N182" s="18" t="s">
        <v>130</v>
      </c>
      <c r="O182" s="18" t="s">
        <v>126</v>
      </c>
      <c r="P182" s="18" t="s">
        <v>56</v>
      </c>
      <c r="Q182" s="18" t="s">
        <v>72</v>
      </c>
      <c r="R182" s="18" t="s">
        <v>143</v>
      </c>
      <c r="S182" s="18" t="s">
        <v>59</v>
      </c>
      <c r="T182" s="38">
        <v>2026.0</v>
      </c>
      <c r="U182" s="38">
        <v>5.0</v>
      </c>
      <c r="V182" s="38">
        <v>1.081522541E9</v>
      </c>
      <c r="W182" s="38">
        <v>1.081540611E9</v>
      </c>
      <c r="X182" s="18" t="s">
        <v>2199</v>
      </c>
      <c r="Y182" s="18" t="s">
        <v>2200</v>
      </c>
      <c r="Z182" s="38">
        <v>737047.71</v>
      </c>
      <c r="AA182" s="38">
        <v>737047.71</v>
      </c>
      <c r="AB182" s="38">
        <v>168042.68</v>
      </c>
      <c r="AC182" s="38">
        <v>2750.0</v>
      </c>
      <c r="AD182" s="38">
        <v>8862.78</v>
      </c>
      <c r="AE182" s="38">
        <v>0.0</v>
      </c>
      <c r="AF182" s="38">
        <v>0.0</v>
      </c>
      <c r="AG182" s="38">
        <v>0.0</v>
      </c>
      <c r="AH182" s="38">
        <v>0.0</v>
      </c>
      <c r="AI182" s="38">
        <v>737047.71</v>
      </c>
      <c r="AJ182" s="38">
        <v>2171634.24</v>
      </c>
      <c r="AK182" s="38">
        <v>2.0</v>
      </c>
      <c r="AL182" s="38">
        <v>326.04</v>
      </c>
      <c r="AM182" s="38">
        <v>0.0</v>
      </c>
      <c r="AN182" s="34" t="s">
        <v>62</v>
      </c>
      <c r="AO182" s="34" t="s">
        <v>62</v>
      </c>
      <c r="AP182" s="34" t="s">
        <v>62</v>
      </c>
      <c r="AQ182" s="34" t="s">
        <v>62</v>
      </c>
      <c r="AR182" s="38">
        <v>0.0</v>
      </c>
      <c r="AS182" s="38" t="s">
        <v>2408</v>
      </c>
      <c r="AT182" s="35" t="s">
        <v>2202</v>
      </c>
      <c r="AU182" s="39" t="s">
        <v>2254</v>
      </c>
      <c r="AV182" s="40">
        <v>46169.0</v>
      </c>
    </row>
    <row r="183">
      <c r="A183" s="38">
        <v>699.0</v>
      </c>
      <c r="B183" s="38">
        <v>359375.0</v>
      </c>
      <c r="C183" s="38">
        <v>359814.0</v>
      </c>
      <c r="D183" s="38">
        <v>1032589.0</v>
      </c>
      <c r="E183" s="38">
        <v>1032589.0</v>
      </c>
      <c r="F183" s="38">
        <v>9.00480569E8</v>
      </c>
      <c r="G183" s="18" t="s">
        <v>141</v>
      </c>
      <c r="H183" s="18" t="s">
        <v>2255</v>
      </c>
      <c r="I183" s="18" t="s">
        <v>222</v>
      </c>
      <c r="J183" s="18" t="s">
        <v>2205</v>
      </c>
      <c r="K183" s="18" t="s">
        <v>2256</v>
      </c>
      <c r="L183" s="18" t="s">
        <v>52</v>
      </c>
      <c r="M183" s="18" t="s">
        <v>138</v>
      </c>
      <c r="N183" s="18" t="s">
        <v>130</v>
      </c>
      <c r="O183" s="18" t="s">
        <v>126</v>
      </c>
      <c r="P183" s="18" t="s">
        <v>56</v>
      </c>
      <c r="Q183" s="18" t="s">
        <v>90</v>
      </c>
      <c r="R183" s="18" t="s">
        <v>143</v>
      </c>
      <c r="S183" s="18" t="s">
        <v>59</v>
      </c>
      <c r="T183" s="38">
        <v>2026.0</v>
      </c>
      <c r="U183" s="38">
        <v>5.0</v>
      </c>
      <c r="V183" s="38">
        <v>1.081522545E9</v>
      </c>
      <c r="W183" s="38">
        <v>1.081540615E9</v>
      </c>
      <c r="X183" s="18" t="s">
        <v>2199</v>
      </c>
      <c r="Y183" s="18" t="s">
        <v>2200</v>
      </c>
      <c r="Z183" s="38">
        <v>440186.71</v>
      </c>
      <c r="AA183" s="38">
        <v>440186.71</v>
      </c>
      <c r="AB183" s="38">
        <v>146728.91</v>
      </c>
      <c r="AC183" s="38">
        <v>1345.0</v>
      </c>
      <c r="AD183" s="38">
        <v>0.0</v>
      </c>
      <c r="AE183" s="38">
        <v>0.0</v>
      </c>
      <c r="AF183" s="38">
        <v>0.0</v>
      </c>
      <c r="AG183" s="38">
        <v>0.0</v>
      </c>
      <c r="AH183" s="38">
        <v>0.0</v>
      </c>
      <c r="AI183" s="38">
        <v>440186.71</v>
      </c>
      <c r="AJ183" s="38">
        <v>440186.71</v>
      </c>
      <c r="AK183" s="38">
        <v>0.0</v>
      </c>
      <c r="AL183" s="38">
        <v>376.2</v>
      </c>
      <c r="AM183" s="38">
        <v>0.0</v>
      </c>
      <c r="AN183" s="34" t="s">
        <v>62</v>
      </c>
      <c r="AO183" s="34" t="s">
        <v>62</v>
      </c>
      <c r="AP183" s="34" t="s">
        <v>62</v>
      </c>
      <c r="AQ183" s="34" t="s">
        <v>62</v>
      </c>
      <c r="AR183" s="38">
        <v>0.0</v>
      </c>
      <c r="AS183" s="38" t="s">
        <v>2257</v>
      </c>
      <c r="AT183" s="35" t="s">
        <v>2202</v>
      </c>
      <c r="AU183" s="39" t="s">
        <v>2203</v>
      </c>
      <c r="AV183" s="40">
        <v>46163.0</v>
      </c>
    </row>
    <row r="184">
      <c r="A184" s="38">
        <v>699.0</v>
      </c>
      <c r="B184" s="38">
        <v>384359.0</v>
      </c>
      <c r="C184" s="38">
        <v>398615.0</v>
      </c>
      <c r="D184" s="38">
        <v>1062121.0</v>
      </c>
      <c r="E184" s="38">
        <v>1062121.0</v>
      </c>
      <c r="F184" s="38">
        <v>9.00480569E8</v>
      </c>
      <c r="G184" s="18" t="s">
        <v>141</v>
      </c>
      <c r="H184" s="18" t="s">
        <v>2255</v>
      </c>
      <c r="I184" s="18" t="s">
        <v>183</v>
      </c>
      <c r="J184" s="18" t="s">
        <v>2205</v>
      </c>
      <c r="K184" s="18" t="s">
        <v>2256</v>
      </c>
      <c r="L184" s="18" t="s">
        <v>52</v>
      </c>
      <c r="M184" s="18" t="s">
        <v>138</v>
      </c>
      <c r="N184" s="18" t="s">
        <v>130</v>
      </c>
      <c r="O184" s="18" t="s">
        <v>126</v>
      </c>
      <c r="P184" s="18" t="s">
        <v>56</v>
      </c>
      <c r="Q184" s="18" t="s">
        <v>90</v>
      </c>
      <c r="R184" s="18" t="s">
        <v>143</v>
      </c>
      <c r="S184" s="18" t="s">
        <v>59</v>
      </c>
      <c r="T184" s="38">
        <v>2026.0</v>
      </c>
      <c r="U184" s="38">
        <v>5.0</v>
      </c>
      <c r="V184" s="38">
        <v>1.081522548E9</v>
      </c>
      <c r="W184" s="38">
        <v>1.081540618E9</v>
      </c>
      <c r="X184" s="18" t="s">
        <v>2199</v>
      </c>
      <c r="Y184" s="18" t="s">
        <v>2200</v>
      </c>
      <c r="Z184" s="38">
        <v>685042.9</v>
      </c>
      <c r="AA184" s="38">
        <v>685042.9</v>
      </c>
      <c r="AB184" s="38">
        <v>228347.64</v>
      </c>
      <c r="AC184" s="38">
        <v>2205.0</v>
      </c>
      <c r="AD184" s="38">
        <v>0.0</v>
      </c>
      <c r="AE184" s="38">
        <v>0.0</v>
      </c>
      <c r="AF184" s="38">
        <v>0.0</v>
      </c>
      <c r="AG184" s="38">
        <v>0.0</v>
      </c>
      <c r="AH184" s="38">
        <v>0.0</v>
      </c>
      <c r="AI184" s="38">
        <v>685042.9</v>
      </c>
      <c r="AJ184" s="38">
        <v>685044.28</v>
      </c>
      <c r="AK184" s="38">
        <v>1.0</v>
      </c>
      <c r="AL184" s="38">
        <v>376.2</v>
      </c>
      <c r="AM184" s="38">
        <v>0.0</v>
      </c>
      <c r="AN184" s="34" t="s">
        <v>62</v>
      </c>
      <c r="AO184" s="34" t="s">
        <v>62</v>
      </c>
      <c r="AP184" s="34" t="s">
        <v>62</v>
      </c>
      <c r="AQ184" s="34" t="s">
        <v>62</v>
      </c>
      <c r="AR184" s="38">
        <v>0.0</v>
      </c>
      <c r="AS184" s="38" t="s">
        <v>2257</v>
      </c>
      <c r="AT184" s="35" t="s">
        <v>2202</v>
      </c>
      <c r="AU184" s="39" t="s">
        <v>2203</v>
      </c>
      <c r="AV184" s="40">
        <v>46163.0</v>
      </c>
    </row>
    <row r="185">
      <c r="A185" s="38">
        <v>699.0</v>
      </c>
      <c r="B185" s="38">
        <v>424607.0</v>
      </c>
      <c r="C185" s="38">
        <v>440248.0</v>
      </c>
      <c r="D185" s="38">
        <v>1040382.0</v>
      </c>
      <c r="E185" s="38">
        <v>1040382.0</v>
      </c>
      <c r="F185" s="38">
        <v>9.00480569E8</v>
      </c>
      <c r="G185" s="18" t="s">
        <v>141</v>
      </c>
      <c r="H185" s="18" t="s">
        <v>2255</v>
      </c>
      <c r="I185" s="18" t="s">
        <v>214</v>
      </c>
      <c r="J185" s="18" t="s">
        <v>2205</v>
      </c>
      <c r="K185" s="18" t="s">
        <v>2256</v>
      </c>
      <c r="L185" s="18" t="s">
        <v>52</v>
      </c>
      <c r="M185" s="18" t="s">
        <v>138</v>
      </c>
      <c r="N185" s="18" t="s">
        <v>130</v>
      </c>
      <c r="O185" s="18" t="s">
        <v>126</v>
      </c>
      <c r="P185" s="18" t="s">
        <v>56</v>
      </c>
      <c r="Q185" s="18" t="s">
        <v>90</v>
      </c>
      <c r="R185" s="18" t="s">
        <v>143</v>
      </c>
      <c r="S185" s="18" t="s">
        <v>59</v>
      </c>
      <c r="T185" s="38">
        <v>2026.0</v>
      </c>
      <c r="U185" s="38">
        <v>5.0</v>
      </c>
      <c r="V185" s="38">
        <v>1.081522551E9</v>
      </c>
      <c r="W185" s="38">
        <v>1.081540621E9</v>
      </c>
      <c r="X185" s="18" t="s">
        <v>2199</v>
      </c>
      <c r="Y185" s="18" t="s">
        <v>2200</v>
      </c>
      <c r="Z185" s="38">
        <v>676501.41</v>
      </c>
      <c r="AA185" s="38">
        <v>676501.41</v>
      </c>
      <c r="AB185" s="38">
        <v>225500.48</v>
      </c>
      <c r="AC185" s="38">
        <v>2175.0</v>
      </c>
      <c r="AD185" s="38">
        <v>0.0</v>
      </c>
      <c r="AE185" s="38">
        <v>0.0</v>
      </c>
      <c r="AF185" s="38">
        <v>0.0</v>
      </c>
      <c r="AG185" s="38">
        <v>0.0</v>
      </c>
      <c r="AH185" s="38">
        <v>0.0</v>
      </c>
      <c r="AI185" s="38">
        <v>676501.41</v>
      </c>
      <c r="AJ185" s="38">
        <v>676501.41</v>
      </c>
      <c r="AK185" s="38">
        <v>0.0</v>
      </c>
      <c r="AL185" s="38">
        <v>376.2</v>
      </c>
      <c r="AM185" s="38">
        <v>0.0</v>
      </c>
      <c r="AN185" s="34" t="s">
        <v>62</v>
      </c>
      <c r="AO185" s="34" t="s">
        <v>62</v>
      </c>
      <c r="AP185" s="34" t="s">
        <v>62</v>
      </c>
      <c r="AQ185" s="34" t="s">
        <v>62</v>
      </c>
      <c r="AR185" s="38">
        <v>0.0</v>
      </c>
      <c r="AS185" s="38" t="s">
        <v>2257</v>
      </c>
      <c r="AT185" s="35" t="s">
        <v>2202</v>
      </c>
      <c r="AU185" s="39" t="s">
        <v>2203</v>
      </c>
      <c r="AV185" s="40">
        <v>46163.0</v>
      </c>
    </row>
    <row r="186">
      <c r="A186" s="38">
        <v>551414.0</v>
      </c>
      <c r="B186" s="38">
        <v>476095.0</v>
      </c>
      <c r="C186" s="38">
        <v>517335.0</v>
      </c>
      <c r="D186" s="34" t="s">
        <v>62</v>
      </c>
      <c r="E186" s="34" t="s">
        <v>62</v>
      </c>
      <c r="F186" s="38">
        <v>9.01461238E8</v>
      </c>
      <c r="G186" s="18" t="s">
        <v>284</v>
      </c>
      <c r="H186" s="18" t="s">
        <v>2409</v>
      </c>
      <c r="I186" s="18" t="s">
        <v>76</v>
      </c>
      <c r="J186" s="18" t="s">
        <v>2205</v>
      </c>
      <c r="K186" s="18" t="s">
        <v>2205</v>
      </c>
      <c r="L186" s="18" t="s">
        <v>52</v>
      </c>
      <c r="M186" s="18" t="s">
        <v>89</v>
      </c>
      <c r="N186" s="18" t="s">
        <v>130</v>
      </c>
      <c r="O186" s="18" t="s">
        <v>126</v>
      </c>
      <c r="P186" s="18" t="s">
        <v>56</v>
      </c>
      <c r="Q186" s="18" t="s">
        <v>90</v>
      </c>
      <c r="R186" s="18" t="s">
        <v>143</v>
      </c>
      <c r="S186" s="18" t="s">
        <v>59</v>
      </c>
      <c r="T186" s="38">
        <v>2026.0</v>
      </c>
      <c r="U186" s="38">
        <v>5.0</v>
      </c>
      <c r="V186" s="38">
        <v>1.081522555E9</v>
      </c>
      <c r="W186" s="38">
        <v>1.081540625E9</v>
      </c>
      <c r="X186" s="18" t="s">
        <v>2199</v>
      </c>
      <c r="Y186" s="18" t="s">
        <v>2200</v>
      </c>
      <c r="Z186" s="38">
        <v>227663.58</v>
      </c>
      <c r="AA186" s="38">
        <v>227663.58</v>
      </c>
      <c r="AB186" s="38">
        <v>66533.75</v>
      </c>
      <c r="AC186" s="38">
        <v>500.0</v>
      </c>
      <c r="AD186" s="38">
        <v>28062.33</v>
      </c>
      <c r="AE186" s="38">
        <v>0.0</v>
      </c>
      <c r="AF186" s="38">
        <v>0.0</v>
      </c>
      <c r="AG186" s="38">
        <v>0.0</v>
      </c>
      <c r="AH186" s="38">
        <v>0.0</v>
      </c>
      <c r="AI186" s="38">
        <v>227663.58</v>
      </c>
      <c r="AJ186" s="38">
        <v>1943651.47</v>
      </c>
      <c r="AK186" s="38">
        <v>9.0</v>
      </c>
      <c r="AL186" s="38">
        <v>376.2</v>
      </c>
      <c r="AM186" s="38">
        <v>0.0</v>
      </c>
      <c r="AN186" s="34" t="s">
        <v>62</v>
      </c>
      <c r="AO186" s="34" t="s">
        <v>62</v>
      </c>
      <c r="AP186" s="34" t="s">
        <v>62</v>
      </c>
      <c r="AQ186" s="34" t="s">
        <v>62</v>
      </c>
      <c r="AR186" s="38">
        <v>0.0</v>
      </c>
      <c r="AS186" s="38" t="s">
        <v>2410</v>
      </c>
      <c r="AT186" s="35" t="s">
        <v>2202</v>
      </c>
      <c r="AU186" s="39" t="s">
        <v>2254</v>
      </c>
      <c r="AV186" s="40">
        <v>46169.0</v>
      </c>
    </row>
    <row r="187">
      <c r="A187" s="38">
        <v>595130.0</v>
      </c>
      <c r="B187" s="38">
        <v>498511.0</v>
      </c>
      <c r="C187" s="38">
        <v>551616.0</v>
      </c>
      <c r="D187" s="34" t="s">
        <v>62</v>
      </c>
      <c r="E187" s="34" t="s">
        <v>62</v>
      </c>
      <c r="F187" s="38">
        <v>1254988.0</v>
      </c>
      <c r="G187" s="18" t="s">
        <v>286</v>
      </c>
      <c r="H187" s="18" t="s">
        <v>2411</v>
      </c>
      <c r="I187" s="18" t="s">
        <v>217</v>
      </c>
      <c r="J187" s="18" t="s">
        <v>2337</v>
      </c>
      <c r="K187" s="18" t="s">
        <v>2337</v>
      </c>
      <c r="L187" s="18" t="s">
        <v>52</v>
      </c>
      <c r="M187" s="18" t="s">
        <v>89</v>
      </c>
      <c r="N187" s="18" t="s">
        <v>130</v>
      </c>
      <c r="O187" s="18" t="s">
        <v>126</v>
      </c>
      <c r="P187" s="18" t="s">
        <v>218</v>
      </c>
      <c r="Q187" s="18" t="s">
        <v>219</v>
      </c>
      <c r="R187" s="18" t="s">
        <v>133</v>
      </c>
      <c r="S187" s="18" t="s">
        <v>59</v>
      </c>
      <c r="T187" s="38">
        <v>2026.0</v>
      </c>
      <c r="U187" s="38">
        <v>5.0</v>
      </c>
      <c r="V187" s="38">
        <v>1.08152256E9</v>
      </c>
      <c r="W187" s="38">
        <v>1.08154063E9</v>
      </c>
      <c r="X187" s="18" t="s">
        <v>2199</v>
      </c>
      <c r="Y187" s="18" t="s">
        <v>2200</v>
      </c>
      <c r="Z187" s="38">
        <v>50434.76</v>
      </c>
      <c r="AA187" s="38">
        <v>50434.76</v>
      </c>
      <c r="AB187" s="38">
        <v>-1667.24</v>
      </c>
      <c r="AC187" s="38">
        <v>0.0</v>
      </c>
      <c r="AD187" s="38">
        <v>0.0</v>
      </c>
      <c r="AE187" s="38">
        <v>0.0</v>
      </c>
      <c r="AF187" s="38">
        <v>0.0</v>
      </c>
      <c r="AG187" s="38">
        <v>0.0</v>
      </c>
      <c r="AH187" s="38">
        <v>0.0</v>
      </c>
      <c r="AI187" s="38">
        <v>50434.76</v>
      </c>
      <c r="AJ187" s="38">
        <v>50434.76</v>
      </c>
      <c r="AK187" s="38">
        <v>0.0</v>
      </c>
      <c r="AL187" s="38">
        <v>242.77</v>
      </c>
      <c r="AM187" s="38">
        <v>0.0</v>
      </c>
      <c r="AN187" s="34" t="s">
        <v>62</v>
      </c>
      <c r="AO187" s="34" t="s">
        <v>62</v>
      </c>
      <c r="AP187" s="34" t="s">
        <v>62</v>
      </c>
      <c r="AQ187" s="34" t="s">
        <v>62</v>
      </c>
      <c r="AR187" s="38">
        <v>0.0</v>
      </c>
      <c r="AS187" s="34"/>
      <c r="AT187" s="38" t="s">
        <v>2275</v>
      </c>
      <c r="AU187" s="38" t="s">
        <v>2276</v>
      </c>
      <c r="AV187" s="40">
        <v>46164.0</v>
      </c>
    </row>
    <row r="188">
      <c r="A188" s="38">
        <v>595134.0</v>
      </c>
      <c r="B188" s="38">
        <v>498515.0</v>
      </c>
      <c r="C188" s="38">
        <v>551620.0</v>
      </c>
      <c r="D188" s="34" t="s">
        <v>62</v>
      </c>
      <c r="E188" s="34" t="s">
        <v>62</v>
      </c>
      <c r="F188" s="38">
        <v>1254992.0</v>
      </c>
      <c r="G188" s="18" t="s">
        <v>288</v>
      </c>
      <c r="H188" s="18" t="s">
        <v>2412</v>
      </c>
      <c r="I188" s="18" t="s">
        <v>217</v>
      </c>
      <c r="J188" s="18" t="s">
        <v>2337</v>
      </c>
      <c r="K188" s="18" t="s">
        <v>2337</v>
      </c>
      <c r="L188" s="18" t="s">
        <v>52</v>
      </c>
      <c r="M188" s="18" t="s">
        <v>89</v>
      </c>
      <c r="N188" s="18" t="s">
        <v>130</v>
      </c>
      <c r="O188" s="18" t="s">
        <v>126</v>
      </c>
      <c r="P188" s="18" t="s">
        <v>218</v>
      </c>
      <c r="Q188" s="18" t="s">
        <v>219</v>
      </c>
      <c r="R188" s="18" t="s">
        <v>133</v>
      </c>
      <c r="S188" s="18" t="s">
        <v>59</v>
      </c>
      <c r="T188" s="38">
        <v>2026.0</v>
      </c>
      <c r="U188" s="38">
        <v>5.0</v>
      </c>
      <c r="V188" s="38">
        <v>1.081522563E9</v>
      </c>
      <c r="W188" s="38">
        <v>1.081540633E9</v>
      </c>
      <c r="X188" s="18" t="s">
        <v>2199</v>
      </c>
      <c r="Y188" s="18" t="s">
        <v>2200</v>
      </c>
      <c r="Z188" s="38">
        <v>50434.76</v>
      </c>
      <c r="AA188" s="38">
        <v>50434.76</v>
      </c>
      <c r="AB188" s="38">
        <v>-1667.24</v>
      </c>
      <c r="AC188" s="38">
        <v>0.0</v>
      </c>
      <c r="AD188" s="38">
        <v>0.0</v>
      </c>
      <c r="AE188" s="38">
        <v>0.0</v>
      </c>
      <c r="AF188" s="38">
        <v>0.0</v>
      </c>
      <c r="AG188" s="38">
        <v>0.0</v>
      </c>
      <c r="AH188" s="38">
        <v>0.0</v>
      </c>
      <c r="AI188" s="38">
        <v>50434.76</v>
      </c>
      <c r="AJ188" s="38">
        <v>50434.76</v>
      </c>
      <c r="AK188" s="38">
        <v>0.0</v>
      </c>
      <c r="AL188" s="38">
        <v>242.77</v>
      </c>
      <c r="AM188" s="38">
        <v>0.0</v>
      </c>
      <c r="AN188" s="34" t="s">
        <v>62</v>
      </c>
      <c r="AO188" s="34" t="s">
        <v>62</v>
      </c>
      <c r="AP188" s="34" t="s">
        <v>62</v>
      </c>
      <c r="AQ188" s="34" t="s">
        <v>62</v>
      </c>
      <c r="AR188" s="38">
        <v>0.0</v>
      </c>
      <c r="AS188" s="34"/>
      <c r="AT188" s="38" t="s">
        <v>2275</v>
      </c>
      <c r="AU188" s="38" t="s">
        <v>2276</v>
      </c>
      <c r="AV188" s="40">
        <v>46164.0</v>
      </c>
    </row>
    <row r="189">
      <c r="A189" s="38">
        <v>595138.0</v>
      </c>
      <c r="B189" s="38">
        <v>498519.0</v>
      </c>
      <c r="C189" s="38">
        <v>551624.0</v>
      </c>
      <c r="D189" s="34" t="s">
        <v>62</v>
      </c>
      <c r="E189" s="34" t="s">
        <v>62</v>
      </c>
      <c r="F189" s="38">
        <v>1254996.0</v>
      </c>
      <c r="G189" s="18" t="s">
        <v>290</v>
      </c>
      <c r="H189" s="18" t="s">
        <v>2413</v>
      </c>
      <c r="I189" s="18" t="s">
        <v>217</v>
      </c>
      <c r="J189" s="18" t="s">
        <v>2337</v>
      </c>
      <c r="K189" s="18" t="s">
        <v>2337</v>
      </c>
      <c r="L189" s="18" t="s">
        <v>52</v>
      </c>
      <c r="M189" s="18" t="s">
        <v>89</v>
      </c>
      <c r="N189" s="18" t="s">
        <v>130</v>
      </c>
      <c r="O189" s="18" t="s">
        <v>126</v>
      </c>
      <c r="P189" s="18" t="s">
        <v>218</v>
      </c>
      <c r="Q189" s="18" t="s">
        <v>219</v>
      </c>
      <c r="R189" s="18" t="s">
        <v>133</v>
      </c>
      <c r="S189" s="18" t="s">
        <v>59</v>
      </c>
      <c r="T189" s="38">
        <v>2026.0</v>
      </c>
      <c r="U189" s="38">
        <v>5.0</v>
      </c>
      <c r="V189" s="38">
        <v>1.081522566E9</v>
      </c>
      <c r="W189" s="38">
        <v>1.081540636E9</v>
      </c>
      <c r="X189" s="18" t="s">
        <v>2199</v>
      </c>
      <c r="Y189" s="18" t="s">
        <v>2200</v>
      </c>
      <c r="Z189" s="38">
        <v>50721.84</v>
      </c>
      <c r="AA189" s="38">
        <v>50721.84</v>
      </c>
      <c r="AB189" s="38">
        <v>-1667.24</v>
      </c>
      <c r="AC189" s="38">
        <v>0.0</v>
      </c>
      <c r="AD189" s="38">
        <v>287.08</v>
      </c>
      <c r="AE189" s="38">
        <v>0.0</v>
      </c>
      <c r="AF189" s="38">
        <v>0.0</v>
      </c>
      <c r="AG189" s="38">
        <v>0.0</v>
      </c>
      <c r="AH189" s="38">
        <v>0.0</v>
      </c>
      <c r="AI189" s="38">
        <v>50721.84</v>
      </c>
      <c r="AJ189" s="38">
        <v>100752.93</v>
      </c>
      <c r="AK189" s="38">
        <v>2.0</v>
      </c>
      <c r="AL189" s="38">
        <v>242.77</v>
      </c>
      <c r="AM189" s="38">
        <v>0.0</v>
      </c>
      <c r="AN189" s="34" t="s">
        <v>62</v>
      </c>
      <c r="AO189" s="34" t="s">
        <v>62</v>
      </c>
      <c r="AP189" s="34" t="s">
        <v>62</v>
      </c>
      <c r="AQ189" s="34" t="s">
        <v>62</v>
      </c>
      <c r="AR189" s="38">
        <v>0.0</v>
      </c>
      <c r="AS189" s="34"/>
      <c r="AT189" s="38" t="s">
        <v>2275</v>
      </c>
      <c r="AU189" s="38" t="s">
        <v>2276</v>
      </c>
      <c r="AV189" s="40">
        <v>46164.0</v>
      </c>
    </row>
    <row r="190">
      <c r="A190" s="38">
        <v>595142.0</v>
      </c>
      <c r="B190" s="38">
        <v>498523.0</v>
      </c>
      <c r="C190" s="38">
        <v>551628.0</v>
      </c>
      <c r="D190" s="34" t="s">
        <v>62</v>
      </c>
      <c r="E190" s="34" t="s">
        <v>62</v>
      </c>
      <c r="F190" s="38">
        <v>1255000.0</v>
      </c>
      <c r="G190" s="18" t="s">
        <v>292</v>
      </c>
      <c r="H190" s="18" t="s">
        <v>2414</v>
      </c>
      <c r="I190" s="18" t="s">
        <v>217</v>
      </c>
      <c r="J190" s="18" t="s">
        <v>2337</v>
      </c>
      <c r="K190" s="18" t="s">
        <v>2337</v>
      </c>
      <c r="L190" s="18" t="s">
        <v>52</v>
      </c>
      <c r="M190" s="18" t="s">
        <v>89</v>
      </c>
      <c r="N190" s="18" t="s">
        <v>130</v>
      </c>
      <c r="O190" s="18" t="s">
        <v>126</v>
      </c>
      <c r="P190" s="18" t="s">
        <v>218</v>
      </c>
      <c r="Q190" s="18" t="s">
        <v>219</v>
      </c>
      <c r="R190" s="18" t="s">
        <v>133</v>
      </c>
      <c r="S190" s="18" t="s">
        <v>59</v>
      </c>
      <c r="T190" s="38">
        <v>2026.0</v>
      </c>
      <c r="U190" s="38">
        <v>5.0</v>
      </c>
      <c r="V190" s="38">
        <v>1.08152257E9</v>
      </c>
      <c r="W190" s="38">
        <v>1.08154064E9</v>
      </c>
      <c r="X190" s="18" t="s">
        <v>2199</v>
      </c>
      <c r="Y190" s="18" t="s">
        <v>2200</v>
      </c>
      <c r="Z190" s="38">
        <v>53638.77</v>
      </c>
      <c r="AA190" s="38">
        <v>53638.77</v>
      </c>
      <c r="AB190" s="38">
        <v>-1667.24</v>
      </c>
      <c r="AC190" s="38">
        <v>0.0</v>
      </c>
      <c r="AD190" s="38">
        <v>3204.01</v>
      </c>
      <c r="AE190" s="38">
        <v>0.0</v>
      </c>
      <c r="AF190" s="38">
        <v>0.0</v>
      </c>
      <c r="AG190" s="38">
        <v>0.0</v>
      </c>
      <c r="AH190" s="38">
        <v>0.0</v>
      </c>
      <c r="AI190" s="38">
        <v>53638.77</v>
      </c>
      <c r="AJ190" s="38">
        <v>283504.12</v>
      </c>
      <c r="AK190" s="38">
        <v>5.0</v>
      </c>
      <c r="AL190" s="38">
        <v>242.77</v>
      </c>
      <c r="AM190" s="38">
        <v>0.0</v>
      </c>
      <c r="AN190" s="34" t="s">
        <v>62</v>
      </c>
      <c r="AO190" s="34" t="s">
        <v>62</v>
      </c>
      <c r="AP190" s="34" t="s">
        <v>62</v>
      </c>
      <c r="AQ190" s="34" t="s">
        <v>62</v>
      </c>
      <c r="AR190" s="38">
        <v>0.0</v>
      </c>
      <c r="AS190" s="34"/>
      <c r="AT190" s="38" t="s">
        <v>2275</v>
      </c>
      <c r="AU190" s="38" t="s">
        <v>2276</v>
      </c>
      <c r="AV190" s="40">
        <v>46164.0</v>
      </c>
    </row>
    <row r="191">
      <c r="A191" s="38">
        <v>595146.0</v>
      </c>
      <c r="B191" s="38">
        <v>498527.0</v>
      </c>
      <c r="C191" s="38">
        <v>551632.0</v>
      </c>
      <c r="D191" s="34" t="s">
        <v>62</v>
      </c>
      <c r="E191" s="34" t="s">
        <v>62</v>
      </c>
      <c r="F191" s="38">
        <v>1255004.0</v>
      </c>
      <c r="G191" s="18" t="s">
        <v>294</v>
      </c>
      <c r="H191" s="18" t="s">
        <v>2415</v>
      </c>
      <c r="I191" s="18" t="s">
        <v>217</v>
      </c>
      <c r="J191" s="18" t="s">
        <v>2337</v>
      </c>
      <c r="K191" s="18" t="s">
        <v>2337</v>
      </c>
      <c r="L191" s="18" t="s">
        <v>52</v>
      </c>
      <c r="M191" s="18" t="s">
        <v>89</v>
      </c>
      <c r="N191" s="18" t="s">
        <v>130</v>
      </c>
      <c r="O191" s="18" t="s">
        <v>126</v>
      </c>
      <c r="P191" s="18" t="s">
        <v>218</v>
      </c>
      <c r="Q191" s="18" t="s">
        <v>219</v>
      </c>
      <c r="R191" s="18" t="s">
        <v>133</v>
      </c>
      <c r="S191" s="18" t="s">
        <v>59</v>
      </c>
      <c r="T191" s="38">
        <v>2026.0</v>
      </c>
      <c r="U191" s="38">
        <v>5.0</v>
      </c>
      <c r="V191" s="38">
        <v>1.081522573E9</v>
      </c>
      <c r="W191" s="38">
        <v>1.081540643E9</v>
      </c>
      <c r="X191" s="18" t="s">
        <v>2199</v>
      </c>
      <c r="Y191" s="18" t="s">
        <v>2200</v>
      </c>
      <c r="Z191" s="38">
        <v>53638.77</v>
      </c>
      <c r="AA191" s="38">
        <v>53638.77</v>
      </c>
      <c r="AB191" s="38">
        <v>-1667.24</v>
      </c>
      <c r="AC191" s="38">
        <v>0.0</v>
      </c>
      <c r="AD191" s="38">
        <v>3204.01</v>
      </c>
      <c r="AE191" s="38">
        <v>0.0</v>
      </c>
      <c r="AF191" s="38">
        <v>0.0</v>
      </c>
      <c r="AG191" s="38">
        <v>0.0</v>
      </c>
      <c r="AH191" s="38">
        <v>0.0</v>
      </c>
      <c r="AI191" s="38">
        <v>53638.77</v>
      </c>
      <c r="AJ191" s="38">
        <v>283504.12</v>
      </c>
      <c r="AK191" s="38">
        <v>5.0</v>
      </c>
      <c r="AL191" s="38">
        <v>242.77</v>
      </c>
      <c r="AM191" s="38">
        <v>0.0</v>
      </c>
      <c r="AN191" s="34" t="s">
        <v>62</v>
      </c>
      <c r="AO191" s="34" t="s">
        <v>62</v>
      </c>
      <c r="AP191" s="34" t="s">
        <v>62</v>
      </c>
      <c r="AQ191" s="34" t="s">
        <v>62</v>
      </c>
      <c r="AR191" s="38">
        <v>0.0</v>
      </c>
      <c r="AS191" s="34"/>
      <c r="AT191" s="38" t="s">
        <v>2275</v>
      </c>
      <c r="AU191" s="38" t="s">
        <v>2276</v>
      </c>
      <c r="AV191" s="40">
        <v>46164.0</v>
      </c>
    </row>
    <row r="192">
      <c r="A192" s="38">
        <v>595150.0</v>
      </c>
      <c r="B192" s="38">
        <v>498531.0</v>
      </c>
      <c r="C192" s="38">
        <v>551636.0</v>
      </c>
      <c r="D192" s="34" t="s">
        <v>62</v>
      </c>
      <c r="E192" s="34" t="s">
        <v>62</v>
      </c>
      <c r="F192" s="38">
        <v>1255008.0</v>
      </c>
      <c r="G192" s="18" t="s">
        <v>296</v>
      </c>
      <c r="H192" s="18" t="s">
        <v>2416</v>
      </c>
      <c r="I192" s="18" t="s">
        <v>217</v>
      </c>
      <c r="J192" s="18" t="s">
        <v>2337</v>
      </c>
      <c r="K192" s="18" t="s">
        <v>2337</v>
      </c>
      <c r="L192" s="18" t="s">
        <v>52</v>
      </c>
      <c r="M192" s="18" t="s">
        <v>89</v>
      </c>
      <c r="N192" s="18" t="s">
        <v>130</v>
      </c>
      <c r="O192" s="18" t="s">
        <v>126</v>
      </c>
      <c r="P192" s="18" t="s">
        <v>218</v>
      </c>
      <c r="Q192" s="18" t="s">
        <v>219</v>
      </c>
      <c r="R192" s="18" t="s">
        <v>133</v>
      </c>
      <c r="S192" s="18" t="s">
        <v>59</v>
      </c>
      <c r="T192" s="38">
        <v>2026.0</v>
      </c>
      <c r="U192" s="38">
        <v>5.0</v>
      </c>
      <c r="V192" s="38">
        <v>1.081522578E9</v>
      </c>
      <c r="W192" s="38">
        <v>1.081540648E9</v>
      </c>
      <c r="X192" s="18" t="s">
        <v>2199</v>
      </c>
      <c r="Y192" s="18" t="s">
        <v>2200</v>
      </c>
      <c r="Z192" s="38">
        <v>50565.87</v>
      </c>
      <c r="AA192" s="38">
        <v>50565.87</v>
      </c>
      <c r="AB192" s="38">
        <v>-1667.24</v>
      </c>
      <c r="AC192" s="38">
        <v>0.0</v>
      </c>
      <c r="AD192" s="38">
        <v>131.11</v>
      </c>
      <c r="AE192" s="38">
        <v>0.0</v>
      </c>
      <c r="AF192" s="38">
        <v>0.0</v>
      </c>
      <c r="AG192" s="38">
        <v>0.0</v>
      </c>
      <c r="AH192" s="38">
        <v>0.0</v>
      </c>
      <c r="AI192" s="38">
        <v>50565.87</v>
      </c>
      <c r="AJ192" s="38">
        <v>100701.48</v>
      </c>
      <c r="AK192" s="38">
        <v>1.0</v>
      </c>
      <c r="AL192" s="38">
        <v>242.77</v>
      </c>
      <c r="AM192" s="38">
        <v>0.0</v>
      </c>
      <c r="AN192" s="34" t="s">
        <v>62</v>
      </c>
      <c r="AO192" s="34" t="s">
        <v>62</v>
      </c>
      <c r="AP192" s="34" t="s">
        <v>62</v>
      </c>
      <c r="AQ192" s="34" t="s">
        <v>62</v>
      </c>
      <c r="AR192" s="38">
        <v>0.0</v>
      </c>
      <c r="AS192" s="34"/>
      <c r="AT192" s="38" t="s">
        <v>2275</v>
      </c>
      <c r="AU192" s="38" t="s">
        <v>2276</v>
      </c>
      <c r="AV192" s="40">
        <v>46164.0</v>
      </c>
    </row>
    <row r="193">
      <c r="A193" s="38">
        <v>595154.0</v>
      </c>
      <c r="B193" s="38">
        <v>498535.0</v>
      </c>
      <c r="C193" s="38">
        <v>551640.0</v>
      </c>
      <c r="D193" s="34" t="s">
        <v>62</v>
      </c>
      <c r="E193" s="34" t="s">
        <v>62</v>
      </c>
      <c r="F193" s="38">
        <v>1255012.0</v>
      </c>
      <c r="G193" s="18" t="s">
        <v>298</v>
      </c>
      <c r="H193" s="18" t="s">
        <v>2417</v>
      </c>
      <c r="I193" s="18" t="s">
        <v>217</v>
      </c>
      <c r="J193" s="18" t="s">
        <v>2337</v>
      </c>
      <c r="K193" s="18" t="s">
        <v>2337</v>
      </c>
      <c r="L193" s="18" t="s">
        <v>52</v>
      </c>
      <c r="M193" s="18" t="s">
        <v>89</v>
      </c>
      <c r="N193" s="18" t="s">
        <v>130</v>
      </c>
      <c r="O193" s="18" t="s">
        <v>126</v>
      </c>
      <c r="P193" s="18" t="s">
        <v>218</v>
      </c>
      <c r="Q193" s="18" t="s">
        <v>219</v>
      </c>
      <c r="R193" s="18" t="s">
        <v>133</v>
      </c>
      <c r="S193" s="18" t="s">
        <v>59</v>
      </c>
      <c r="T193" s="38">
        <v>2026.0</v>
      </c>
      <c r="U193" s="38">
        <v>5.0</v>
      </c>
      <c r="V193" s="38">
        <v>1.081522581E9</v>
      </c>
      <c r="W193" s="38">
        <v>1.081540651E9</v>
      </c>
      <c r="X193" s="18" t="s">
        <v>2199</v>
      </c>
      <c r="Y193" s="18" t="s">
        <v>2200</v>
      </c>
      <c r="Z193" s="38">
        <v>53638.77</v>
      </c>
      <c r="AA193" s="38">
        <v>53638.77</v>
      </c>
      <c r="AB193" s="38">
        <v>-1667.24</v>
      </c>
      <c r="AC193" s="38">
        <v>0.0</v>
      </c>
      <c r="AD193" s="38">
        <v>3204.01</v>
      </c>
      <c r="AE193" s="38">
        <v>0.0</v>
      </c>
      <c r="AF193" s="38">
        <v>0.0</v>
      </c>
      <c r="AG193" s="38">
        <v>0.0</v>
      </c>
      <c r="AH193" s="38">
        <v>0.0</v>
      </c>
      <c r="AI193" s="38">
        <v>53638.77</v>
      </c>
      <c r="AJ193" s="38">
        <v>283504.12</v>
      </c>
      <c r="AK193" s="38">
        <v>5.0</v>
      </c>
      <c r="AL193" s="38">
        <v>242.77</v>
      </c>
      <c r="AM193" s="38">
        <v>0.0</v>
      </c>
      <c r="AN193" s="34" t="s">
        <v>62</v>
      </c>
      <c r="AO193" s="34" t="s">
        <v>62</v>
      </c>
      <c r="AP193" s="34" t="s">
        <v>62</v>
      </c>
      <c r="AQ193" s="34" t="s">
        <v>62</v>
      </c>
      <c r="AR193" s="38">
        <v>0.0</v>
      </c>
      <c r="AS193" s="34"/>
      <c r="AT193" s="38" t="s">
        <v>2275</v>
      </c>
      <c r="AU193" s="38" t="s">
        <v>2276</v>
      </c>
      <c r="AV193" s="40">
        <v>46164.0</v>
      </c>
    </row>
    <row r="194">
      <c r="A194" s="38">
        <v>595158.0</v>
      </c>
      <c r="B194" s="38">
        <v>498539.0</v>
      </c>
      <c r="C194" s="38">
        <v>551644.0</v>
      </c>
      <c r="D194" s="34" t="s">
        <v>62</v>
      </c>
      <c r="E194" s="34" t="s">
        <v>62</v>
      </c>
      <c r="F194" s="38">
        <v>1255016.0</v>
      </c>
      <c r="G194" s="18" t="s">
        <v>300</v>
      </c>
      <c r="H194" s="18" t="s">
        <v>2418</v>
      </c>
      <c r="I194" s="18" t="s">
        <v>217</v>
      </c>
      <c r="J194" s="18" t="s">
        <v>2337</v>
      </c>
      <c r="K194" s="18" t="s">
        <v>2337</v>
      </c>
      <c r="L194" s="18" t="s">
        <v>52</v>
      </c>
      <c r="M194" s="18" t="s">
        <v>89</v>
      </c>
      <c r="N194" s="18" t="s">
        <v>130</v>
      </c>
      <c r="O194" s="18" t="s">
        <v>126</v>
      </c>
      <c r="P194" s="18" t="s">
        <v>218</v>
      </c>
      <c r="Q194" s="18" t="s">
        <v>219</v>
      </c>
      <c r="R194" s="18" t="s">
        <v>133</v>
      </c>
      <c r="S194" s="18" t="s">
        <v>59</v>
      </c>
      <c r="T194" s="38">
        <v>2026.0</v>
      </c>
      <c r="U194" s="38">
        <v>5.0</v>
      </c>
      <c r="V194" s="38">
        <v>1.081522585E9</v>
      </c>
      <c r="W194" s="38">
        <v>1.081540655E9</v>
      </c>
      <c r="X194" s="18" t="s">
        <v>2199</v>
      </c>
      <c r="Y194" s="18" t="s">
        <v>2200</v>
      </c>
      <c r="Z194" s="38">
        <v>53638.77</v>
      </c>
      <c r="AA194" s="38">
        <v>53638.77</v>
      </c>
      <c r="AB194" s="38">
        <v>-1667.24</v>
      </c>
      <c r="AC194" s="38">
        <v>0.0</v>
      </c>
      <c r="AD194" s="38">
        <v>3204.01</v>
      </c>
      <c r="AE194" s="38">
        <v>0.0</v>
      </c>
      <c r="AF194" s="38">
        <v>0.0</v>
      </c>
      <c r="AG194" s="38">
        <v>0.0</v>
      </c>
      <c r="AH194" s="38">
        <v>0.0</v>
      </c>
      <c r="AI194" s="38">
        <v>53638.77</v>
      </c>
      <c r="AJ194" s="38">
        <v>283504.12</v>
      </c>
      <c r="AK194" s="38">
        <v>5.0</v>
      </c>
      <c r="AL194" s="38">
        <v>242.77</v>
      </c>
      <c r="AM194" s="38">
        <v>0.0</v>
      </c>
      <c r="AN194" s="34" t="s">
        <v>62</v>
      </c>
      <c r="AO194" s="34" t="s">
        <v>62</v>
      </c>
      <c r="AP194" s="34" t="s">
        <v>62</v>
      </c>
      <c r="AQ194" s="34" t="s">
        <v>62</v>
      </c>
      <c r="AR194" s="38">
        <v>0.0</v>
      </c>
      <c r="AS194" s="34"/>
      <c r="AT194" s="38" t="s">
        <v>2275</v>
      </c>
      <c r="AU194" s="38" t="s">
        <v>2276</v>
      </c>
      <c r="AV194" s="40">
        <v>46164.0</v>
      </c>
    </row>
    <row r="195">
      <c r="A195" s="38">
        <v>595162.0</v>
      </c>
      <c r="B195" s="38">
        <v>498543.0</v>
      </c>
      <c r="C195" s="38">
        <v>551648.0</v>
      </c>
      <c r="D195" s="34" t="s">
        <v>62</v>
      </c>
      <c r="E195" s="34" t="s">
        <v>62</v>
      </c>
      <c r="F195" s="38">
        <v>1255020.0</v>
      </c>
      <c r="G195" s="18" t="s">
        <v>302</v>
      </c>
      <c r="H195" s="18" t="s">
        <v>2419</v>
      </c>
      <c r="I195" s="18" t="s">
        <v>217</v>
      </c>
      <c r="J195" s="18" t="s">
        <v>2337</v>
      </c>
      <c r="K195" s="18" t="s">
        <v>2337</v>
      </c>
      <c r="L195" s="18" t="s">
        <v>52</v>
      </c>
      <c r="M195" s="18" t="s">
        <v>89</v>
      </c>
      <c r="N195" s="18" t="s">
        <v>130</v>
      </c>
      <c r="O195" s="18" t="s">
        <v>126</v>
      </c>
      <c r="P195" s="18" t="s">
        <v>218</v>
      </c>
      <c r="Q195" s="18" t="s">
        <v>219</v>
      </c>
      <c r="R195" s="18" t="s">
        <v>133</v>
      </c>
      <c r="S195" s="18" t="s">
        <v>59</v>
      </c>
      <c r="T195" s="38">
        <v>2026.0</v>
      </c>
      <c r="U195" s="38">
        <v>5.0</v>
      </c>
      <c r="V195" s="38">
        <v>1.081522589E9</v>
      </c>
      <c r="W195" s="38">
        <v>1.081540659E9</v>
      </c>
      <c r="X195" s="18" t="s">
        <v>2199</v>
      </c>
      <c r="Y195" s="18" t="s">
        <v>2200</v>
      </c>
      <c r="Z195" s="38">
        <v>50434.76</v>
      </c>
      <c r="AA195" s="38">
        <v>50434.76</v>
      </c>
      <c r="AB195" s="38">
        <v>-1667.24</v>
      </c>
      <c r="AC195" s="38">
        <v>0.0</v>
      </c>
      <c r="AD195" s="38">
        <v>0.0</v>
      </c>
      <c r="AE195" s="38">
        <v>0.0</v>
      </c>
      <c r="AF195" s="38">
        <v>0.0</v>
      </c>
      <c r="AG195" s="38">
        <v>0.0</v>
      </c>
      <c r="AH195" s="38">
        <v>0.0</v>
      </c>
      <c r="AI195" s="38">
        <v>50434.76</v>
      </c>
      <c r="AJ195" s="38">
        <v>50434.76</v>
      </c>
      <c r="AK195" s="38">
        <v>0.0</v>
      </c>
      <c r="AL195" s="38">
        <v>242.77</v>
      </c>
      <c r="AM195" s="38">
        <v>0.0</v>
      </c>
      <c r="AN195" s="34" t="s">
        <v>62</v>
      </c>
      <c r="AO195" s="34" t="s">
        <v>62</v>
      </c>
      <c r="AP195" s="34" t="s">
        <v>62</v>
      </c>
      <c r="AQ195" s="34" t="s">
        <v>62</v>
      </c>
      <c r="AR195" s="38">
        <v>0.0</v>
      </c>
      <c r="AS195" s="34"/>
      <c r="AT195" s="38" t="s">
        <v>2275</v>
      </c>
      <c r="AU195" s="38" t="s">
        <v>2276</v>
      </c>
      <c r="AV195" s="40">
        <v>46164.0</v>
      </c>
    </row>
    <row r="196">
      <c r="A196" s="38">
        <v>595166.0</v>
      </c>
      <c r="B196" s="38">
        <v>498547.0</v>
      </c>
      <c r="C196" s="38">
        <v>551652.0</v>
      </c>
      <c r="D196" s="34" t="s">
        <v>62</v>
      </c>
      <c r="E196" s="34" t="s">
        <v>62</v>
      </c>
      <c r="F196" s="38">
        <v>1255024.0</v>
      </c>
      <c r="G196" s="18" t="s">
        <v>304</v>
      </c>
      <c r="H196" s="18" t="s">
        <v>2420</v>
      </c>
      <c r="I196" s="18" t="s">
        <v>217</v>
      </c>
      <c r="J196" s="18" t="s">
        <v>2337</v>
      </c>
      <c r="K196" s="18" t="s">
        <v>2337</v>
      </c>
      <c r="L196" s="18" t="s">
        <v>52</v>
      </c>
      <c r="M196" s="18" t="s">
        <v>89</v>
      </c>
      <c r="N196" s="18" t="s">
        <v>130</v>
      </c>
      <c r="O196" s="18" t="s">
        <v>126</v>
      </c>
      <c r="P196" s="18" t="s">
        <v>218</v>
      </c>
      <c r="Q196" s="18" t="s">
        <v>219</v>
      </c>
      <c r="R196" s="18" t="s">
        <v>133</v>
      </c>
      <c r="S196" s="18" t="s">
        <v>59</v>
      </c>
      <c r="T196" s="38">
        <v>2026.0</v>
      </c>
      <c r="U196" s="38">
        <v>5.0</v>
      </c>
      <c r="V196" s="38">
        <v>1.081522593E9</v>
      </c>
      <c r="W196" s="38">
        <v>1.081540663E9</v>
      </c>
      <c r="X196" s="18" t="s">
        <v>2199</v>
      </c>
      <c r="Y196" s="18" t="s">
        <v>2200</v>
      </c>
      <c r="Z196" s="38">
        <v>53638.77</v>
      </c>
      <c r="AA196" s="38">
        <v>53638.77</v>
      </c>
      <c r="AB196" s="38">
        <v>-1667.24</v>
      </c>
      <c r="AC196" s="38">
        <v>0.0</v>
      </c>
      <c r="AD196" s="38">
        <v>3204.01</v>
      </c>
      <c r="AE196" s="38">
        <v>0.0</v>
      </c>
      <c r="AF196" s="38">
        <v>0.0</v>
      </c>
      <c r="AG196" s="38">
        <v>0.0</v>
      </c>
      <c r="AH196" s="38">
        <v>0.0</v>
      </c>
      <c r="AI196" s="38">
        <v>53638.77</v>
      </c>
      <c r="AJ196" s="38">
        <v>283504.12</v>
      </c>
      <c r="AK196" s="38">
        <v>5.0</v>
      </c>
      <c r="AL196" s="38">
        <v>242.77</v>
      </c>
      <c r="AM196" s="38">
        <v>0.0</v>
      </c>
      <c r="AN196" s="34" t="s">
        <v>62</v>
      </c>
      <c r="AO196" s="34" t="s">
        <v>62</v>
      </c>
      <c r="AP196" s="34" t="s">
        <v>62</v>
      </c>
      <c r="AQ196" s="34" t="s">
        <v>62</v>
      </c>
      <c r="AR196" s="38">
        <v>0.0</v>
      </c>
      <c r="AS196" s="34"/>
      <c r="AT196" s="38" t="s">
        <v>2275</v>
      </c>
      <c r="AU196" s="38" t="s">
        <v>2276</v>
      </c>
      <c r="AV196" s="40">
        <v>46164.0</v>
      </c>
    </row>
    <row r="197">
      <c r="A197" s="38">
        <v>595170.0</v>
      </c>
      <c r="B197" s="38">
        <v>498551.0</v>
      </c>
      <c r="C197" s="38">
        <v>551656.0</v>
      </c>
      <c r="D197" s="34" t="s">
        <v>62</v>
      </c>
      <c r="E197" s="34" t="s">
        <v>62</v>
      </c>
      <c r="F197" s="38">
        <v>1255028.0</v>
      </c>
      <c r="G197" s="18" t="s">
        <v>306</v>
      </c>
      <c r="H197" s="18" t="s">
        <v>2421</v>
      </c>
      <c r="I197" s="18" t="s">
        <v>217</v>
      </c>
      <c r="J197" s="18" t="s">
        <v>2337</v>
      </c>
      <c r="K197" s="18" t="s">
        <v>2337</v>
      </c>
      <c r="L197" s="18" t="s">
        <v>52</v>
      </c>
      <c r="M197" s="18" t="s">
        <v>89</v>
      </c>
      <c r="N197" s="18" t="s">
        <v>130</v>
      </c>
      <c r="O197" s="18" t="s">
        <v>126</v>
      </c>
      <c r="P197" s="18" t="s">
        <v>218</v>
      </c>
      <c r="Q197" s="18" t="s">
        <v>219</v>
      </c>
      <c r="R197" s="18" t="s">
        <v>133</v>
      </c>
      <c r="S197" s="18" t="s">
        <v>59</v>
      </c>
      <c r="T197" s="38">
        <v>2026.0</v>
      </c>
      <c r="U197" s="38">
        <v>5.0</v>
      </c>
      <c r="V197" s="38">
        <v>1.081522597E9</v>
      </c>
      <c r="W197" s="38">
        <v>1.081540667E9</v>
      </c>
      <c r="X197" s="18" t="s">
        <v>2199</v>
      </c>
      <c r="Y197" s="18" t="s">
        <v>2200</v>
      </c>
      <c r="Z197" s="38">
        <v>50434.76</v>
      </c>
      <c r="AA197" s="38">
        <v>50434.76</v>
      </c>
      <c r="AB197" s="38">
        <v>-1667.24</v>
      </c>
      <c r="AC197" s="38">
        <v>0.0</v>
      </c>
      <c r="AD197" s="38">
        <v>0.0</v>
      </c>
      <c r="AE197" s="38">
        <v>0.0</v>
      </c>
      <c r="AF197" s="38">
        <v>0.0</v>
      </c>
      <c r="AG197" s="38">
        <v>0.0</v>
      </c>
      <c r="AH197" s="38">
        <v>0.0</v>
      </c>
      <c r="AI197" s="38">
        <v>50434.76</v>
      </c>
      <c r="AJ197" s="38">
        <v>100464.89</v>
      </c>
      <c r="AK197" s="38">
        <v>1.0</v>
      </c>
      <c r="AL197" s="38">
        <v>242.77</v>
      </c>
      <c r="AM197" s="38">
        <v>0.0</v>
      </c>
      <c r="AN197" s="34" t="s">
        <v>62</v>
      </c>
      <c r="AO197" s="34" t="s">
        <v>62</v>
      </c>
      <c r="AP197" s="34" t="s">
        <v>62</v>
      </c>
      <c r="AQ197" s="34" t="s">
        <v>62</v>
      </c>
      <c r="AR197" s="38">
        <v>0.0</v>
      </c>
      <c r="AS197" s="34"/>
      <c r="AT197" s="38" t="s">
        <v>2275</v>
      </c>
      <c r="AU197" s="38" t="s">
        <v>2276</v>
      </c>
      <c r="AV197" s="40">
        <v>46164.0</v>
      </c>
    </row>
    <row r="198">
      <c r="A198" s="38">
        <v>595174.0</v>
      </c>
      <c r="B198" s="38">
        <v>498555.0</v>
      </c>
      <c r="C198" s="38">
        <v>551660.0</v>
      </c>
      <c r="D198" s="34" t="s">
        <v>62</v>
      </c>
      <c r="E198" s="34" t="s">
        <v>62</v>
      </c>
      <c r="F198" s="38">
        <v>1255032.0</v>
      </c>
      <c r="G198" s="18" t="s">
        <v>2422</v>
      </c>
      <c r="H198" s="18" t="s">
        <v>2423</v>
      </c>
      <c r="I198" s="18" t="s">
        <v>217</v>
      </c>
      <c r="J198" s="18" t="s">
        <v>2337</v>
      </c>
      <c r="K198" s="18" t="s">
        <v>2337</v>
      </c>
      <c r="L198" s="18" t="s">
        <v>52</v>
      </c>
      <c r="M198" s="18" t="s">
        <v>89</v>
      </c>
      <c r="N198" s="18" t="s">
        <v>130</v>
      </c>
      <c r="O198" s="18" t="s">
        <v>126</v>
      </c>
      <c r="P198" s="18" t="s">
        <v>218</v>
      </c>
      <c r="Q198" s="18" t="s">
        <v>219</v>
      </c>
      <c r="R198" s="18" t="s">
        <v>133</v>
      </c>
      <c r="S198" s="18" t="s">
        <v>59</v>
      </c>
      <c r="T198" s="38">
        <v>2026.0</v>
      </c>
      <c r="U198" s="38">
        <v>5.0</v>
      </c>
      <c r="V198" s="38">
        <v>1.0815226E9</v>
      </c>
      <c r="W198" s="38">
        <v>1.08154067E9</v>
      </c>
      <c r="X198" s="18" t="s">
        <v>2199</v>
      </c>
      <c r="Y198" s="18" t="s">
        <v>2200</v>
      </c>
      <c r="Z198" s="38">
        <v>50607.0</v>
      </c>
      <c r="AA198" s="38">
        <v>50607.0</v>
      </c>
      <c r="AB198" s="38">
        <v>-1667.24</v>
      </c>
      <c r="AC198" s="38">
        <v>0.0</v>
      </c>
      <c r="AD198" s="38">
        <v>172.24</v>
      </c>
      <c r="AE198" s="38">
        <v>0.0</v>
      </c>
      <c r="AF198" s="38">
        <v>0.0</v>
      </c>
      <c r="AG198" s="38">
        <v>0.0</v>
      </c>
      <c r="AH198" s="38">
        <v>0.0</v>
      </c>
      <c r="AI198" s="38">
        <v>50607.0</v>
      </c>
      <c r="AJ198" s="38">
        <v>100637.13</v>
      </c>
      <c r="AK198" s="38">
        <v>1.0</v>
      </c>
      <c r="AL198" s="38">
        <v>242.77</v>
      </c>
      <c r="AM198" s="38">
        <v>0.0</v>
      </c>
      <c r="AN198" s="34" t="s">
        <v>62</v>
      </c>
      <c r="AO198" s="34" t="s">
        <v>62</v>
      </c>
      <c r="AP198" s="34" t="s">
        <v>62</v>
      </c>
      <c r="AQ198" s="34" t="s">
        <v>62</v>
      </c>
      <c r="AR198" s="38">
        <v>0.0</v>
      </c>
      <c r="AS198" s="34"/>
      <c r="AT198" s="38" t="s">
        <v>2275</v>
      </c>
      <c r="AU198" s="38" t="s">
        <v>2276</v>
      </c>
      <c r="AV198" s="40">
        <v>46164.0</v>
      </c>
    </row>
    <row r="199">
      <c r="A199" s="38">
        <v>595178.0</v>
      </c>
      <c r="B199" s="38">
        <v>498559.0</v>
      </c>
      <c r="C199" s="38">
        <v>551664.0</v>
      </c>
      <c r="D199" s="34" t="s">
        <v>62</v>
      </c>
      <c r="E199" s="34" t="s">
        <v>62</v>
      </c>
      <c r="F199" s="38">
        <v>1255036.0</v>
      </c>
      <c r="G199" s="18" t="s">
        <v>310</v>
      </c>
      <c r="H199" s="18" t="s">
        <v>2424</v>
      </c>
      <c r="I199" s="18" t="s">
        <v>217</v>
      </c>
      <c r="J199" s="18" t="s">
        <v>2337</v>
      </c>
      <c r="K199" s="18" t="s">
        <v>2337</v>
      </c>
      <c r="L199" s="18" t="s">
        <v>52</v>
      </c>
      <c r="M199" s="18" t="s">
        <v>89</v>
      </c>
      <c r="N199" s="18" t="s">
        <v>130</v>
      </c>
      <c r="O199" s="18" t="s">
        <v>126</v>
      </c>
      <c r="P199" s="18" t="s">
        <v>218</v>
      </c>
      <c r="Q199" s="18" t="s">
        <v>219</v>
      </c>
      <c r="R199" s="18" t="s">
        <v>133</v>
      </c>
      <c r="S199" s="18" t="s">
        <v>59</v>
      </c>
      <c r="T199" s="38">
        <v>2026.0</v>
      </c>
      <c r="U199" s="38">
        <v>5.0</v>
      </c>
      <c r="V199" s="38">
        <v>1.081522605E9</v>
      </c>
      <c r="W199" s="38">
        <v>1.081540675E9</v>
      </c>
      <c r="X199" s="18" t="s">
        <v>2199</v>
      </c>
      <c r="Y199" s="18" t="s">
        <v>2200</v>
      </c>
      <c r="Z199" s="38">
        <v>50434.76</v>
      </c>
      <c r="AA199" s="38">
        <v>50434.76</v>
      </c>
      <c r="AB199" s="38">
        <v>-1667.24</v>
      </c>
      <c r="AC199" s="38">
        <v>0.0</v>
      </c>
      <c r="AD199" s="38">
        <v>0.0</v>
      </c>
      <c r="AE199" s="38">
        <v>0.0</v>
      </c>
      <c r="AF199" s="38">
        <v>0.0</v>
      </c>
      <c r="AG199" s="38">
        <v>0.0</v>
      </c>
      <c r="AH199" s="38">
        <v>0.0</v>
      </c>
      <c r="AI199" s="38">
        <v>50434.76</v>
      </c>
      <c r="AJ199" s="38">
        <v>50434.76</v>
      </c>
      <c r="AK199" s="38">
        <v>0.0</v>
      </c>
      <c r="AL199" s="38">
        <v>242.77</v>
      </c>
      <c r="AM199" s="38">
        <v>0.0</v>
      </c>
      <c r="AN199" s="34" t="s">
        <v>62</v>
      </c>
      <c r="AO199" s="34" t="s">
        <v>62</v>
      </c>
      <c r="AP199" s="34" t="s">
        <v>62</v>
      </c>
      <c r="AQ199" s="34" t="s">
        <v>62</v>
      </c>
      <c r="AR199" s="38">
        <v>0.0</v>
      </c>
      <c r="AS199" s="34"/>
      <c r="AT199" s="38" t="s">
        <v>2275</v>
      </c>
      <c r="AU199" s="38" t="s">
        <v>2276</v>
      </c>
      <c r="AV199" s="40">
        <v>46164.0</v>
      </c>
    </row>
    <row r="200">
      <c r="A200" s="38">
        <v>595182.0</v>
      </c>
      <c r="B200" s="38">
        <v>498563.0</v>
      </c>
      <c r="C200" s="38">
        <v>551668.0</v>
      </c>
      <c r="D200" s="34" t="s">
        <v>62</v>
      </c>
      <c r="E200" s="34" t="s">
        <v>62</v>
      </c>
      <c r="F200" s="38">
        <v>1255040.0</v>
      </c>
      <c r="G200" s="18" t="s">
        <v>312</v>
      </c>
      <c r="H200" s="18" t="s">
        <v>2425</v>
      </c>
      <c r="I200" s="18" t="s">
        <v>217</v>
      </c>
      <c r="J200" s="18" t="s">
        <v>2337</v>
      </c>
      <c r="K200" s="18" t="s">
        <v>2337</v>
      </c>
      <c r="L200" s="18" t="s">
        <v>52</v>
      </c>
      <c r="M200" s="18" t="s">
        <v>89</v>
      </c>
      <c r="N200" s="18" t="s">
        <v>130</v>
      </c>
      <c r="O200" s="18" t="s">
        <v>126</v>
      </c>
      <c r="P200" s="18" t="s">
        <v>218</v>
      </c>
      <c r="Q200" s="18" t="s">
        <v>219</v>
      </c>
      <c r="R200" s="18" t="s">
        <v>133</v>
      </c>
      <c r="S200" s="18" t="s">
        <v>59</v>
      </c>
      <c r="T200" s="38">
        <v>2026.0</v>
      </c>
      <c r="U200" s="38">
        <v>5.0</v>
      </c>
      <c r="V200" s="38">
        <v>1.081522608E9</v>
      </c>
      <c r="W200" s="38">
        <v>1.081540678E9</v>
      </c>
      <c r="X200" s="18" t="s">
        <v>2199</v>
      </c>
      <c r="Y200" s="18" t="s">
        <v>2200</v>
      </c>
      <c r="Z200" s="38">
        <v>52014.18</v>
      </c>
      <c r="AA200" s="38">
        <v>52014.18</v>
      </c>
      <c r="AB200" s="38">
        <v>-1667.24</v>
      </c>
      <c r="AC200" s="38">
        <v>0.0</v>
      </c>
      <c r="AD200" s="38">
        <v>1579.42</v>
      </c>
      <c r="AE200" s="38">
        <v>0.0</v>
      </c>
      <c r="AF200" s="38">
        <v>0.0</v>
      </c>
      <c r="AG200" s="38">
        <v>0.0</v>
      </c>
      <c r="AH200" s="38">
        <v>0.0</v>
      </c>
      <c r="AI200" s="38">
        <v>52006.53</v>
      </c>
      <c r="AJ200" s="38">
        <v>52006.53</v>
      </c>
      <c r="AK200" s="38">
        <v>0.0</v>
      </c>
      <c r="AL200" s="38">
        <v>242.77</v>
      </c>
      <c r="AM200" s="38">
        <v>0.0</v>
      </c>
      <c r="AN200" s="34" t="s">
        <v>62</v>
      </c>
      <c r="AO200" s="34" t="s">
        <v>62</v>
      </c>
      <c r="AP200" s="38">
        <v>7.65</v>
      </c>
      <c r="AQ200" s="34" t="s">
        <v>62</v>
      </c>
      <c r="AR200" s="38">
        <v>0.0</v>
      </c>
      <c r="AS200" s="34"/>
      <c r="AT200" s="38" t="s">
        <v>2275</v>
      </c>
      <c r="AU200" s="38" t="s">
        <v>2276</v>
      </c>
      <c r="AV200" s="40">
        <v>46164.0</v>
      </c>
    </row>
    <row r="201">
      <c r="A201" s="38">
        <v>595186.0</v>
      </c>
      <c r="B201" s="38">
        <v>498567.0</v>
      </c>
      <c r="C201" s="38">
        <v>551672.0</v>
      </c>
      <c r="D201" s="34" t="s">
        <v>62</v>
      </c>
      <c r="E201" s="34" t="s">
        <v>62</v>
      </c>
      <c r="F201" s="38">
        <v>1255044.0</v>
      </c>
      <c r="G201" s="18" t="s">
        <v>314</v>
      </c>
      <c r="H201" s="18" t="s">
        <v>2426</v>
      </c>
      <c r="I201" s="18" t="s">
        <v>217</v>
      </c>
      <c r="J201" s="18" t="s">
        <v>2337</v>
      </c>
      <c r="K201" s="18" t="s">
        <v>2337</v>
      </c>
      <c r="L201" s="18" t="s">
        <v>52</v>
      </c>
      <c r="M201" s="18" t="s">
        <v>89</v>
      </c>
      <c r="N201" s="18" t="s">
        <v>130</v>
      </c>
      <c r="O201" s="18" t="s">
        <v>126</v>
      </c>
      <c r="P201" s="18" t="s">
        <v>218</v>
      </c>
      <c r="Q201" s="18" t="s">
        <v>219</v>
      </c>
      <c r="R201" s="18" t="s">
        <v>133</v>
      </c>
      <c r="S201" s="18" t="s">
        <v>59</v>
      </c>
      <c r="T201" s="38">
        <v>2026.0</v>
      </c>
      <c r="U201" s="38">
        <v>5.0</v>
      </c>
      <c r="V201" s="38">
        <v>1.081522613E9</v>
      </c>
      <c r="W201" s="38">
        <v>1.081540683E9</v>
      </c>
      <c r="X201" s="18" t="s">
        <v>2199</v>
      </c>
      <c r="Y201" s="18" t="s">
        <v>2200</v>
      </c>
      <c r="Z201" s="38">
        <v>50565.86</v>
      </c>
      <c r="AA201" s="38">
        <v>50565.86</v>
      </c>
      <c r="AB201" s="38">
        <v>-1667.24</v>
      </c>
      <c r="AC201" s="38">
        <v>0.0</v>
      </c>
      <c r="AD201" s="38">
        <v>131.1</v>
      </c>
      <c r="AE201" s="38">
        <v>0.0</v>
      </c>
      <c r="AF201" s="38">
        <v>0.0</v>
      </c>
      <c r="AG201" s="38">
        <v>0.0</v>
      </c>
      <c r="AH201" s="38">
        <v>0.0</v>
      </c>
      <c r="AI201" s="38">
        <v>50565.86</v>
      </c>
      <c r="AJ201" s="38">
        <v>57348.33</v>
      </c>
      <c r="AK201" s="38">
        <v>1.0</v>
      </c>
      <c r="AL201" s="38">
        <v>242.77</v>
      </c>
      <c r="AM201" s="38">
        <v>0.0</v>
      </c>
      <c r="AN201" s="34" t="s">
        <v>62</v>
      </c>
      <c r="AO201" s="34" t="s">
        <v>62</v>
      </c>
      <c r="AP201" s="34" t="s">
        <v>62</v>
      </c>
      <c r="AQ201" s="34" t="s">
        <v>62</v>
      </c>
      <c r="AR201" s="38">
        <v>0.0</v>
      </c>
      <c r="AS201" s="34"/>
      <c r="AT201" s="38" t="s">
        <v>2275</v>
      </c>
      <c r="AU201" s="38" t="s">
        <v>2276</v>
      </c>
      <c r="AV201" s="40">
        <v>46164.0</v>
      </c>
    </row>
    <row r="202">
      <c r="A202" s="38">
        <v>595190.0</v>
      </c>
      <c r="B202" s="38">
        <v>498571.0</v>
      </c>
      <c r="C202" s="38">
        <v>551676.0</v>
      </c>
      <c r="D202" s="34" t="s">
        <v>62</v>
      </c>
      <c r="E202" s="34" t="s">
        <v>62</v>
      </c>
      <c r="F202" s="38">
        <v>1255048.0</v>
      </c>
      <c r="G202" s="18" t="s">
        <v>316</v>
      </c>
      <c r="H202" s="18" t="s">
        <v>2427</v>
      </c>
      <c r="I202" s="18" t="s">
        <v>217</v>
      </c>
      <c r="J202" s="18" t="s">
        <v>2337</v>
      </c>
      <c r="K202" s="18" t="s">
        <v>2337</v>
      </c>
      <c r="L202" s="18" t="s">
        <v>52</v>
      </c>
      <c r="M202" s="18" t="s">
        <v>89</v>
      </c>
      <c r="N202" s="18" t="s">
        <v>130</v>
      </c>
      <c r="O202" s="18" t="s">
        <v>126</v>
      </c>
      <c r="P202" s="18" t="s">
        <v>218</v>
      </c>
      <c r="Q202" s="18" t="s">
        <v>219</v>
      </c>
      <c r="R202" s="18" t="s">
        <v>133</v>
      </c>
      <c r="S202" s="18" t="s">
        <v>59</v>
      </c>
      <c r="T202" s="38">
        <v>2026.0</v>
      </c>
      <c r="U202" s="38">
        <v>5.0</v>
      </c>
      <c r="V202" s="38">
        <v>1.081522616E9</v>
      </c>
      <c r="W202" s="38">
        <v>1.081540686E9</v>
      </c>
      <c r="X202" s="18" t="s">
        <v>2199</v>
      </c>
      <c r="Y202" s="18" t="s">
        <v>2200</v>
      </c>
      <c r="Z202" s="38">
        <v>50434.77</v>
      </c>
      <c r="AA202" s="38">
        <v>50434.77</v>
      </c>
      <c r="AB202" s="38">
        <v>-1667.24</v>
      </c>
      <c r="AC202" s="38">
        <v>0.0</v>
      </c>
      <c r="AD202" s="38">
        <v>0.01</v>
      </c>
      <c r="AE202" s="38">
        <v>0.0</v>
      </c>
      <c r="AF202" s="38">
        <v>0.0</v>
      </c>
      <c r="AG202" s="38">
        <v>0.0</v>
      </c>
      <c r="AH202" s="38">
        <v>0.0</v>
      </c>
      <c r="AI202" s="38">
        <v>50434.77</v>
      </c>
      <c r="AJ202" s="38">
        <v>50435.35</v>
      </c>
      <c r="AK202" s="38">
        <v>1.0</v>
      </c>
      <c r="AL202" s="38">
        <v>242.77</v>
      </c>
      <c r="AM202" s="38">
        <v>0.0</v>
      </c>
      <c r="AN202" s="34" t="s">
        <v>62</v>
      </c>
      <c r="AO202" s="34" t="s">
        <v>62</v>
      </c>
      <c r="AP202" s="34" t="s">
        <v>62</v>
      </c>
      <c r="AQ202" s="34" t="s">
        <v>62</v>
      </c>
      <c r="AR202" s="38">
        <v>0.0</v>
      </c>
      <c r="AS202" s="34"/>
      <c r="AT202" s="38" t="s">
        <v>2275</v>
      </c>
      <c r="AU202" s="38" t="s">
        <v>2276</v>
      </c>
      <c r="AV202" s="40">
        <v>46164.0</v>
      </c>
    </row>
    <row r="203">
      <c r="A203" s="38">
        <v>595194.0</v>
      </c>
      <c r="B203" s="38">
        <v>498575.0</v>
      </c>
      <c r="C203" s="38">
        <v>551680.0</v>
      </c>
      <c r="D203" s="34" t="s">
        <v>62</v>
      </c>
      <c r="E203" s="34" t="s">
        <v>62</v>
      </c>
      <c r="F203" s="38">
        <v>1255052.0</v>
      </c>
      <c r="G203" s="18" t="s">
        <v>318</v>
      </c>
      <c r="H203" s="18" t="s">
        <v>2428</v>
      </c>
      <c r="I203" s="18" t="s">
        <v>217</v>
      </c>
      <c r="J203" s="18" t="s">
        <v>2337</v>
      </c>
      <c r="K203" s="18" t="s">
        <v>2337</v>
      </c>
      <c r="L203" s="18" t="s">
        <v>52</v>
      </c>
      <c r="M203" s="18" t="s">
        <v>89</v>
      </c>
      <c r="N203" s="18" t="s">
        <v>130</v>
      </c>
      <c r="O203" s="18" t="s">
        <v>126</v>
      </c>
      <c r="P203" s="18" t="s">
        <v>218</v>
      </c>
      <c r="Q203" s="18" t="s">
        <v>219</v>
      </c>
      <c r="R203" s="18" t="s">
        <v>133</v>
      </c>
      <c r="S203" s="18" t="s">
        <v>59</v>
      </c>
      <c r="T203" s="38">
        <v>2026.0</v>
      </c>
      <c r="U203" s="38">
        <v>5.0</v>
      </c>
      <c r="V203" s="38">
        <v>1.08152262E9</v>
      </c>
      <c r="W203" s="38">
        <v>1.08154069E9</v>
      </c>
      <c r="X203" s="18" t="s">
        <v>2199</v>
      </c>
      <c r="Y203" s="18" t="s">
        <v>2200</v>
      </c>
      <c r="Z203" s="38">
        <v>50434.76</v>
      </c>
      <c r="AA203" s="38">
        <v>50434.76</v>
      </c>
      <c r="AB203" s="38">
        <v>-1667.24</v>
      </c>
      <c r="AC203" s="38">
        <v>0.0</v>
      </c>
      <c r="AD203" s="38">
        <v>0.0</v>
      </c>
      <c r="AE203" s="38">
        <v>0.0</v>
      </c>
      <c r="AF203" s="38">
        <v>0.0</v>
      </c>
      <c r="AG203" s="38">
        <v>0.0</v>
      </c>
      <c r="AH203" s="38">
        <v>0.0</v>
      </c>
      <c r="AI203" s="38">
        <v>50434.11</v>
      </c>
      <c r="AJ203" s="38">
        <v>50434.11</v>
      </c>
      <c r="AK203" s="38">
        <v>0.0</v>
      </c>
      <c r="AL203" s="38">
        <v>242.77</v>
      </c>
      <c r="AM203" s="38">
        <v>0.0</v>
      </c>
      <c r="AN203" s="34" t="s">
        <v>62</v>
      </c>
      <c r="AO203" s="34" t="s">
        <v>62</v>
      </c>
      <c r="AP203" s="38">
        <v>0.65</v>
      </c>
      <c r="AQ203" s="34" t="s">
        <v>62</v>
      </c>
      <c r="AR203" s="38">
        <v>0.0</v>
      </c>
      <c r="AS203" s="34"/>
      <c r="AT203" s="38" t="s">
        <v>2275</v>
      </c>
      <c r="AU203" s="38" t="s">
        <v>2276</v>
      </c>
      <c r="AV203" s="40">
        <v>46164.0</v>
      </c>
    </row>
    <row r="204">
      <c r="A204" s="38">
        <v>595198.0</v>
      </c>
      <c r="B204" s="38">
        <v>498579.0</v>
      </c>
      <c r="C204" s="38">
        <v>551684.0</v>
      </c>
      <c r="D204" s="34" t="s">
        <v>62</v>
      </c>
      <c r="E204" s="34" t="s">
        <v>62</v>
      </c>
      <c r="F204" s="38">
        <v>1255056.0</v>
      </c>
      <c r="G204" s="18" t="s">
        <v>320</v>
      </c>
      <c r="H204" s="18" t="s">
        <v>2429</v>
      </c>
      <c r="I204" s="18" t="s">
        <v>217</v>
      </c>
      <c r="J204" s="18" t="s">
        <v>2337</v>
      </c>
      <c r="K204" s="18" t="s">
        <v>2337</v>
      </c>
      <c r="L204" s="18" t="s">
        <v>52</v>
      </c>
      <c r="M204" s="18" t="s">
        <v>89</v>
      </c>
      <c r="N204" s="18" t="s">
        <v>130</v>
      </c>
      <c r="O204" s="18" t="s">
        <v>126</v>
      </c>
      <c r="P204" s="18" t="s">
        <v>218</v>
      </c>
      <c r="Q204" s="18" t="s">
        <v>219</v>
      </c>
      <c r="R204" s="18" t="s">
        <v>133</v>
      </c>
      <c r="S204" s="18" t="s">
        <v>59</v>
      </c>
      <c r="T204" s="38">
        <v>2026.0</v>
      </c>
      <c r="U204" s="38">
        <v>5.0</v>
      </c>
      <c r="V204" s="38">
        <v>1.081522624E9</v>
      </c>
      <c r="W204" s="38">
        <v>1.081540694E9</v>
      </c>
      <c r="X204" s="18" t="s">
        <v>2199</v>
      </c>
      <c r="Y204" s="18" t="s">
        <v>2200</v>
      </c>
      <c r="Z204" s="38">
        <v>50888.47</v>
      </c>
      <c r="AA204" s="38">
        <v>50888.47</v>
      </c>
      <c r="AB204" s="38">
        <v>-1667.24</v>
      </c>
      <c r="AC204" s="38">
        <v>0.0</v>
      </c>
      <c r="AD204" s="38">
        <v>453.71</v>
      </c>
      <c r="AE204" s="38">
        <v>0.0</v>
      </c>
      <c r="AF204" s="38">
        <v>0.0</v>
      </c>
      <c r="AG204" s="38">
        <v>0.0</v>
      </c>
      <c r="AH204" s="38">
        <v>0.0</v>
      </c>
      <c r="AI204" s="38">
        <v>50888.47</v>
      </c>
      <c r="AJ204" s="38">
        <v>124756.14</v>
      </c>
      <c r="AK204" s="38">
        <v>2.0</v>
      </c>
      <c r="AL204" s="38">
        <v>242.77</v>
      </c>
      <c r="AM204" s="38">
        <v>0.0</v>
      </c>
      <c r="AN204" s="34" t="s">
        <v>62</v>
      </c>
      <c r="AO204" s="34" t="s">
        <v>62</v>
      </c>
      <c r="AP204" s="34" t="s">
        <v>62</v>
      </c>
      <c r="AQ204" s="34" t="s">
        <v>62</v>
      </c>
      <c r="AR204" s="38">
        <v>0.0</v>
      </c>
      <c r="AS204" s="34"/>
      <c r="AT204" s="38" t="s">
        <v>2275</v>
      </c>
      <c r="AU204" s="38" t="s">
        <v>2276</v>
      </c>
      <c r="AV204" s="40">
        <v>46164.0</v>
      </c>
    </row>
    <row r="205">
      <c r="A205" s="38">
        <v>595202.0</v>
      </c>
      <c r="B205" s="38">
        <v>498583.0</v>
      </c>
      <c r="C205" s="38">
        <v>551688.0</v>
      </c>
      <c r="D205" s="34" t="s">
        <v>62</v>
      </c>
      <c r="E205" s="34" t="s">
        <v>62</v>
      </c>
      <c r="F205" s="38">
        <v>1255060.0</v>
      </c>
      <c r="G205" s="18" t="s">
        <v>322</v>
      </c>
      <c r="H205" s="18" t="s">
        <v>2430</v>
      </c>
      <c r="I205" s="18" t="s">
        <v>217</v>
      </c>
      <c r="J205" s="18" t="s">
        <v>2337</v>
      </c>
      <c r="K205" s="18" t="s">
        <v>2337</v>
      </c>
      <c r="L205" s="18" t="s">
        <v>52</v>
      </c>
      <c r="M205" s="18" t="s">
        <v>89</v>
      </c>
      <c r="N205" s="18" t="s">
        <v>130</v>
      </c>
      <c r="O205" s="18" t="s">
        <v>126</v>
      </c>
      <c r="P205" s="18" t="s">
        <v>218</v>
      </c>
      <c r="Q205" s="18" t="s">
        <v>219</v>
      </c>
      <c r="R205" s="18" t="s">
        <v>133</v>
      </c>
      <c r="S205" s="18" t="s">
        <v>59</v>
      </c>
      <c r="T205" s="38">
        <v>2026.0</v>
      </c>
      <c r="U205" s="38">
        <v>5.0</v>
      </c>
      <c r="V205" s="38">
        <v>1.081522628E9</v>
      </c>
      <c r="W205" s="38">
        <v>1.081540698E9</v>
      </c>
      <c r="X205" s="18" t="s">
        <v>2199</v>
      </c>
      <c r="Y205" s="18" t="s">
        <v>2200</v>
      </c>
      <c r="Z205" s="38">
        <v>53638.77</v>
      </c>
      <c r="AA205" s="38">
        <v>53638.77</v>
      </c>
      <c r="AB205" s="38">
        <v>-1667.24</v>
      </c>
      <c r="AC205" s="38">
        <v>0.0</v>
      </c>
      <c r="AD205" s="38">
        <v>3204.01</v>
      </c>
      <c r="AE205" s="38">
        <v>0.0</v>
      </c>
      <c r="AF205" s="38">
        <v>0.0</v>
      </c>
      <c r="AG205" s="38">
        <v>0.0</v>
      </c>
      <c r="AH205" s="38">
        <v>0.0</v>
      </c>
      <c r="AI205" s="38">
        <v>53638.77</v>
      </c>
      <c r="AJ205" s="38">
        <v>283504.12</v>
      </c>
      <c r="AK205" s="38">
        <v>5.0</v>
      </c>
      <c r="AL205" s="38">
        <v>242.77</v>
      </c>
      <c r="AM205" s="38">
        <v>0.0</v>
      </c>
      <c r="AN205" s="34" t="s">
        <v>62</v>
      </c>
      <c r="AO205" s="34" t="s">
        <v>62</v>
      </c>
      <c r="AP205" s="34" t="s">
        <v>62</v>
      </c>
      <c r="AQ205" s="34" t="s">
        <v>62</v>
      </c>
      <c r="AR205" s="38">
        <v>0.0</v>
      </c>
      <c r="AS205" s="34"/>
      <c r="AT205" s="38" t="s">
        <v>2275</v>
      </c>
      <c r="AU205" s="38" t="s">
        <v>2276</v>
      </c>
      <c r="AV205" s="40">
        <v>46164.0</v>
      </c>
    </row>
    <row r="206">
      <c r="A206" s="38">
        <v>595206.0</v>
      </c>
      <c r="B206" s="38">
        <v>498587.0</v>
      </c>
      <c r="C206" s="38">
        <v>551692.0</v>
      </c>
      <c r="D206" s="34" t="s">
        <v>62</v>
      </c>
      <c r="E206" s="34" t="s">
        <v>62</v>
      </c>
      <c r="F206" s="38">
        <v>1255064.0</v>
      </c>
      <c r="G206" s="18" t="s">
        <v>324</v>
      </c>
      <c r="H206" s="18" t="s">
        <v>2431</v>
      </c>
      <c r="I206" s="18" t="s">
        <v>217</v>
      </c>
      <c r="J206" s="18" t="s">
        <v>2337</v>
      </c>
      <c r="K206" s="18" t="s">
        <v>2337</v>
      </c>
      <c r="L206" s="18" t="s">
        <v>52</v>
      </c>
      <c r="M206" s="18" t="s">
        <v>89</v>
      </c>
      <c r="N206" s="18" t="s">
        <v>130</v>
      </c>
      <c r="O206" s="18" t="s">
        <v>126</v>
      </c>
      <c r="P206" s="18" t="s">
        <v>218</v>
      </c>
      <c r="Q206" s="18" t="s">
        <v>219</v>
      </c>
      <c r="R206" s="18" t="s">
        <v>133</v>
      </c>
      <c r="S206" s="18" t="s">
        <v>59</v>
      </c>
      <c r="T206" s="38">
        <v>2026.0</v>
      </c>
      <c r="U206" s="38">
        <v>5.0</v>
      </c>
      <c r="V206" s="38">
        <v>1.081522632E9</v>
      </c>
      <c r="W206" s="38">
        <v>1.081540702E9</v>
      </c>
      <c r="X206" s="18" t="s">
        <v>2199</v>
      </c>
      <c r="Y206" s="18" t="s">
        <v>2200</v>
      </c>
      <c r="Z206" s="38">
        <v>51947.39</v>
      </c>
      <c r="AA206" s="38">
        <v>51947.39</v>
      </c>
      <c r="AB206" s="38">
        <v>-1667.24</v>
      </c>
      <c r="AC206" s="38">
        <v>0.0</v>
      </c>
      <c r="AD206" s="38">
        <v>1512.63</v>
      </c>
      <c r="AE206" s="38">
        <v>0.0</v>
      </c>
      <c r="AF206" s="38">
        <v>0.0</v>
      </c>
      <c r="AG206" s="38">
        <v>0.0</v>
      </c>
      <c r="AH206" s="38">
        <v>0.0</v>
      </c>
      <c r="AI206" s="38">
        <v>51947.39</v>
      </c>
      <c r="AJ206" s="38">
        <v>196276.71</v>
      </c>
      <c r="AK206" s="38">
        <v>3.0</v>
      </c>
      <c r="AL206" s="38">
        <v>242.77</v>
      </c>
      <c r="AM206" s="38">
        <v>0.0</v>
      </c>
      <c r="AN206" s="34" t="s">
        <v>62</v>
      </c>
      <c r="AO206" s="34" t="s">
        <v>62</v>
      </c>
      <c r="AP206" s="34" t="s">
        <v>62</v>
      </c>
      <c r="AQ206" s="34" t="s">
        <v>62</v>
      </c>
      <c r="AR206" s="38">
        <v>0.0</v>
      </c>
      <c r="AS206" s="34"/>
      <c r="AT206" s="38" t="s">
        <v>2275</v>
      </c>
      <c r="AU206" s="38" t="s">
        <v>2276</v>
      </c>
      <c r="AV206" s="40">
        <v>46164.0</v>
      </c>
    </row>
    <row r="207">
      <c r="A207" s="38">
        <v>595210.0</v>
      </c>
      <c r="B207" s="38">
        <v>498591.0</v>
      </c>
      <c r="C207" s="38">
        <v>551696.0</v>
      </c>
      <c r="D207" s="34" t="s">
        <v>62</v>
      </c>
      <c r="E207" s="34" t="s">
        <v>62</v>
      </c>
      <c r="F207" s="38">
        <v>1255068.0</v>
      </c>
      <c r="G207" s="18" t="s">
        <v>286</v>
      </c>
      <c r="H207" s="18" t="s">
        <v>2432</v>
      </c>
      <c r="I207" s="18" t="s">
        <v>217</v>
      </c>
      <c r="J207" s="18" t="s">
        <v>2337</v>
      </c>
      <c r="K207" s="18" t="s">
        <v>2337</v>
      </c>
      <c r="L207" s="18" t="s">
        <v>52</v>
      </c>
      <c r="M207" s="18" t="s">
        <v>89</v>
      </c>
      <c r="N207" s="18" t="s">
        <v>130</v>
      </c>
      <c r="O207" s="18" t="s">
        <v>126</v>
      </c>
      <c r="P207" s="18" t="s">
        <v>218</v>
      </c>
      <c r="Q207" s="18" t="s">
        <v>219</v>
      </c>
      <c r="R207" s="18" t="s">
        <v>133</v>
      </c>
      <c r="S207" s="18" t="s">
        <v>59</v>
      </c>
      <c r="T207" s="38">
        <v>2026.0</v>
      </c>
      <c r="U207" s="38">
        <v>5.0</v>
      </c>
      <c r="V207" s="38">
        <v>1.081522636E9</v>
      </c>
      <c r="W207" s="38">
        <v>1.081540706E9</v>
      </c>
      <c r="X207" s="18" t="s">
        <v>2199</v>
      </c>
      <c r="Y207" s="18" t="s">
        <v>2200</v>
      </c>
      <c r="Z207" s="38">
        <v>50434.76</v>
      </c>
      <c r="AA207" s="38">
        <v>50434.76</v>
      </c>
      <c r="AB207" s="38">
        <v>-1667.24</v>
      </c>
      <c r="AC207" s="38">
        <v>0.0</v>
      </c>
      <c r="AD207" s="38">
        <v>0.0</v>
      </c>
      <c r="AE207" s="38">
        <v>0.0</v>
      </c>
      <c r="AF207" s="38">
        <v>0.0</v>
      </c>
      <c r="AG207" s="38">
        <v>0.0</v>
      </c>
      <c r="AH207" s="38">
        <v>0.0</v>
      </c>
      <c r="AI207" s="38">
        <v>50434.76</v>
      </c>
      <c r="AJ207" s="38">
        <v>50434.76</v>
      </c>
      <c r="AK207" s="38">
        <v>0.0</v>
      </c>
      <c r="AL207" s="38">
        <v>242.77</v>
      </c>
      <c r="AM207" s="38">
        <v>0.0</v>
      </c>
      <c r="AN207" s="34" t="s">
        <v>62</v>
      </c>
      <c r="AO207" s="34" t="s">
        <v>62</v>
      </c>
      <c r="AP207" s="34" t="s">
        <v>62</v>
      </c>
      <c r="AQ207" s="34" t="s">
        <v>62</v>
      </c>
      <c r="AR207" s="38">
        <v>0.0</v>
      </c>
      <c r="AS207" s="34"/>
      <c r="AT207" s="38" t="s">
        <v>2275</v>
      </c>
      <c r="AU207" s="38" t="s">
        <v>2276</v>
      </c>
      <c r="AV207" s="40">
        <v>46164.0</v>
      </c>
    </row>
    <row r="208">
      <c r="A208" s="38">
        <v>595214.0</v>
      </c>
      <c r="B208" s="38">
        <v>498595.0</v>
      </c>
      <c r="C208" s="38">
        <v>551700.0</v>
      </c>
      <c r="D208" s="34" t="s">
        <v>62</v>
      </c>
      <c r="E208" s="34" t="s">
        <v>62</v>
      </c>
      <c r="F208" s="38">
        <v>1255072.0</v>
      </c>
      <c r="G208" s="18" t="s">
        <v>327</v>
      </c>
      <c r="H208" s="18" t="s">
        <v>2433</v>
      </c>
      <c r="I208" s="18" t="s">
        <v>217</v>
      </c>
      <c r="J208" s="18" t="s">
        <v>2337</v>
      </c>
      <c r="K208" s="18" t="s">
        <v>2337</v>
      </c>
      <c r="L208" s="18" t="s">
        <v>52</v>
      </c>
      <c r="M208" s="18" t="s">
        <v>89</v>
      </c>
      <c r="N208" s="18" t="s">
        <v>130</v>
      </c>
      <c r="O208" s="18" t="s">
        <v>126</v>
      </c>
      <c r="P208" s="18" t="s">
        <v>218</v>
      </c>
      <c r="Q208" s="18" t="s">
        <v>219</v>
      </c>
      <c r="R208" s="18" t="s">
        <v>133</v>
      </c>
      <c r="S208" s="18" t="s">
        <v>59</v>
      </c>
      <c r="T208" s="38">
        <v>2026.0</v>
      </c>
      <c r="U208" s="38">
        <v>5.0</v>
      </c>
      <c r="V208" s="38">
        <v>1.08152264E9</v>
      </c>
      <c r="W208" s="38">
        <v>1.08154071E9</v>
      </c>
      <c r="X208" s="18" t="s">
        <v>2199</v>
      </c>
      <c r="Y208" s="18" t="s">
        <v>2200</v>
      </c>
      <c r="Z208" s="38">
        <v>51762.95</v>
      </c>
      <c r="AA208" s="38">
        <v>51762.95</v>
      </c>
      <c r="AB208" s="38">
        <v>-1667.24</v>
      </c>
      <c r="AC208" s="38">
        <v>0.0</v>
      </c>
      <c r="AD208" s="38">
        <v>1328.19</v>
      </c>
      <c r="AE208" s="38">
        <v>0.0</v>
      </c>
      <c r="AF208" s="38">
        <v>0.0</v>
      </c>
      <c r="AG208" s="38">
        <v>0.0</v>
      </c>
      <c r="AH208" s="38">
        <v>0.0</v>
      </c>
      <c r="AI208" s="38">
        <v>51762.95</v>
      </c>
      <c r="AJ208" s="38">
        <v>102288.82</v>
      </c>
      <c r="AK208" s="38">
        <v>1.0</v>
      </c>
      <c r="AL208" s="38">
        <v>242.77</v>
      </c>
      <c r="AM208" s="38">
        <v>0.0</v>
      </c>
      <c r="AN208" s="34" t="s">
        <v>62</v>
      </c>
      <c r="AO208" s="34" t="s">
        <v>62</v>
      </c>
      <c r="AP208" s="34" t="s">
        <v>62</v>
      </c>
      <c r="AQ208" s="34" t="s">
        <v>62</v>
      </c>
      <c r="AR208" s="38">
        <v>0.0</v>
      </c>
      <c r="AS208" s="34"/>
      <c r="AT208" s="38" t="s">
        <v>2275</v>
      </c>
      <c r="AU208" s="38" t="s">
        <v>2276</v>
      </c>
      <c r="AV208" s="40">
        <v>46164.0</v>
      </c>
    </row>
    <row r="209">
      <c r="A209" s="38">
        <v>595218.0</v>
      </c>
      <c r="B209" s="38">
        <v>498599.0</v>
      </c>
      <c r="C209" s="38">
        <v>551704.0</v>
      </c>
      <c r="D209" s="34" t="s">
        <v>62</v>
      </c>
      <c r="E209" s="34" t="s">
        <v>62</v>
      </c>
      <c r="F209" s="38">
        <v>1255076.0</v>
      </c>
      <c r="G209" s="18" t="s">
        <v>329</v>
      </c>
      <c r="H209" s="18" t="s">
        <v>2434</v>
      </c>
      <c r="I209" s="18" t="s">
        <v>217</v>
      </c>
      <c r="J209" s="18" t="s">
        <v>2337</v>
      </c>
      <c r="K209" s="18" t="s">
        <v>2337</v>
      </c>
      <c r="L209" s="18" t="s">
        <v>52</v>
      </c>
      <c r="M209" s="18" t="s">
        <v>89</v>
      </c>
      <c r="N209" s="18" t="s">
        <v>130</v>
      </c>
      <c r="O209" s="18" t="s">
        <v>126</v>
      </c>
      <c r="P209" s="18" t="s">
        <v>218</v>
      </c>
      <c r="Q209" s="18" t="s">
        <v>219</v>
      </c>
      <c r="R209" s="18" t="s">
        <v>133</v>
      </c>
      <c r="S209" s="18" t="s">
        <v>59</v>
      </c>
      <c r="T209" s="38">
        <v>2026.0</v>
      </c>
      <c r="U209" s="38">
        <v>5.0</v>
      </c>
      <c r="V209" s="38">
        <v>1.081522644E9</v>
      </c>
      <c r="W209" s="38">
        <v>1.081540714E9</v>
      </c>
      <c r="X209" s="18" t="s">
        <v>2199</v>
      </c>
      <c r="Y209" s="18" t="s">
        <v>2200</v>
      </c>
      <c r="Z209" s="38">
        <v>53638.77</v>
      </c>
      <c r="AA209" s="38">
        <v>53638.77</v>
      </c>
      <c r="AB209" s="38">
        <v>-1667.24</v>
      </c>
      <c r="AC209" s="38">
        <v>0.0</v>
      </c>
      <c r="AD209" s="38">
        <v>3204.01</v>
      </c>
      <c r="AE209" s="38">
        <v>0.0</v>
      </c>
      <c r="AF209" s="38">
        <v>0.0</v>
      </c>
      <c r="AG209" s="38">
        <v>0.0</v>
      </c>
      <c r="AH209" s="38">
        <v>0.0</v>
      </c>
      <c r="AI209" s="38">
        <v>53638.77</v>
      </c>
      <c r="AJ209" s="38">
        <v>283504.12</v>
      </c>
      <c r="AK209" s="38">
        <v>5.0</v>
      </c>
      <c r="AL209" s="38">
        <v>242.77</v>
      </c>
      <c r="AM209" s="38">
        <v>0.0</v>
      </c>
      <c r="AN209" s="34" t="s">
        <v>62</v>
      </c>
      <c r="AO209" s="34" t="s">
        <v>62</v>
      </c>
      <c r="AP209" s="34" t="s">
        <v>62</v>
      </c>
      <c r="AQ209" s="34" t="s">
        <v>62</v>
      </c>
      <c r="AR209" s="38">
        <v>0.0</v>
      </c>
      <c r="AS209" s="34"/>
      <c r="AT209" s="38" t="s">
        <v>2275</v>
      </c>
      <c r="AU209" s="38" t="s">
        <v>2276</v>
      </c>
      <c r="AV209" s="40">
        <v>46164.0</v>
      </c>
    </row>
    <row r="210">
      <c r="A210" s="38">
        <v>595222.0</v>
      </c>
      <c r="B210" s="38">
        <v>498603.0</v>
      </c>
      <c r="C210" s="38">
        <v>551708.0</v>
      </c>
      <c r="D210" s="34" t="s">
        <v>62</v>
      </c>
      <c r="E210" s="34" t="s">
        <v>62</v>
      </c>
      <c r="F210" s="38">
        <v>1255080.0</v>
      </c>
      <c r="G210" s="18" t="s">
        <v>331</v>
      </c>
      <c r="H210" s="18" t="s">
        <v>2435</v>
      </c>
      <c r="I210" s="18" t="s">
        <v>217</v>
      </c>
      <c r="J210" s="18" t="s">
        <v>2337</v>
      </c>
      <c r="K210" s="18" t="s">
        <v>2337</v>
      </c>
      <c r="L210" s="18" t="s">
        <v>52</v>
      </c>
      <c r="M210" s="18" t="s">
        <v>89</v>
      </c>
      <c r="N210" s="18" t="s">
        <v>130</v>
      </c>
      <c r="O210" s="18" t="s">
        <v>126</v>
      </c>
      <c r="P210" s="18" t="s">
        <v>218</v>
      </c>
      <c r="Q210" s="18" t="s">
        <v>219</v>
      </c>
      <c r="R210" s="18" t="s">
        <v>133</v>
      </c>
      <c r="S210" s="18" t="s">
        <v>59</v>
      </c>
      <c r="T210" s="38">
        <v>2026.0</v>
      </c>
      <c r="U210" s="38">
        <v>5.0</v>
      </c>
      <c r="V210" s="38">
        <v>1.081522648E9</v>
      </c>
      <c r="W210" s="38">
        <v>1.081540718E9</v>
      </c>
      <c r="X210" s="18" t="s">
        <v>2199</v>
      </c>
      <c r="Y210" s="18" t="s">
        <v>2200</v>
      </c>
      <c r="Z210" s="38">
        <v>50434.77</v>
      </c>
      <c r="AA210" s="38">
        <v>50434.77</v>
      </c>
      <c r="AB210" s="38">
        <v>-1667.24</v>
      </c>
      <c r="AC210" s="38">
        <v>0.0</v>
      </c>
      <c r="AD210" s="38">
        <v>0.01</v>
      </c>
      <c r="AE210" s="38">
        <v>0.0</v>
      </c>
      <c r="AF210" s="38">
        <v>0.0</v>
      </c>
      <c r="AG210" s="38">
        <v>0.0</v>
      </c>
      <c r="AH210" s="38">
        <v>0.0</v>
      </c>
      <c r="AI210" s="38">
        <v>50434.77</v>
      </c>
      <c r="AJ210" s="38">
        <v>101708.14</v>
      </c>
      <c r="AK210" s="38">
        <v>2.0</v>
      </c>
      <c r="AL210" s="38">
        <v>242.77</v>
      </c>
      <c r="AM210" s="38">
        <v>0.0</v>
      </c>
      <c r="AN210" s="34" t="s">
        <v>62</v>
      </c>
      <c r="AO210" s="34" t="s">
        <v>62</v>
      </c>
      <c r="AP210" s="34" t="s">
        <v>62</v>
      </c>
      <c r="AQ210" s="34" t="s">
        <v>62</v>
      </c>
      <c r="AR210" s="38">
        <v>0.0</v>
      </c>
      <c r="AS210" s="34"/>
      <c r="AT210" s="38" t="s">
        <v>2275</v>
      </c>
      <c r="AU210" s="38" t="s">
        <v>2276</v>
      </c>
      <c r="AV210" s="40">
        <v>46164.0</v>
      </c>
    </row>
    <row r="211">
      <c r="A211" s="38">
        <v>595226.0</v>
      </c>
      <c r="B211" s="38">
        <v>498607.0</v>
      </c>
      <c r="C211" s="38">
        <v>551712.0</v>
      </c>
      <c r="D211" s="34" t="s">
        <v>62</v>
      </c>
      <c r="E211" s="34" t="s">
        <v>62</v>
      </c>
      <c r="F211" s="38">
        <v>1255084.0</v>
      </c>
      <c r="G211" s="18" t="s">
        <v>333</v>
      </c>
      <c r="H211" s="18" t="s">
        <v>2436</v>
      </c>
      <c r="I211" s="18" t="s">
        <v>217</v>
      </c>
      <c r="J211" s="18" t="s">
        <v>2337</v>
      </c>
      <c r="K211" s="18" t="s">
        <v>2337</v>
      </c>
      <c r="L211" s="18" t="s">
        <v>52</v>
      </c>
      <c r="M211" s="18" t="s">
        <v>89</v>
      </c>
      <c r="N211" s="18" t="s">
        <v>130</v>
      </c>
      <c r="O211" s="18" t="s">
        <v>126</v>
      </c>
      <c r="P211" s="18" t="s">
        <v>218</v>
      </c>
      <c r="Q211" s="18" t="s">
        <v>219</v>
      </c>
      <c r="R211" s="18" t="s">
        <v>133</v>
      </c>
      <c r="S211" s="18" t="s">
        <v>59</v>
      </c>
      <c r="T211" s="38">
        <v>2026.0</v>
      </c>
      <c r="U211" s="38">
        <v>5.0</v>
      </c>
      <c r="V211" s="38">
        <v>1.081522652E9</v>
      </c>
      <c r="W211" s="38">
        <v>1.081540722E9</v>
      </c>
      <c r="X211" s="18" t="s">
        <v>2199</v>
      </c>
      <c r="Y211" s="18" t="s">
        <v>2200</v>
      </c>
      <c r="Z211" s="38">
        <v>53638.77</v>
      </c>
      <c r="AA211" s="38">
        <v>53638.77</v>
      </c>
      <c r="AB211" s="38">
        <v>-1667.24</v>
      </c>
      <c r="AC211" s="38">
        <v>0.0</v>
      </c>
      <c r="AD211" s="38">
        <v>3204.01</v>
      </c>
      <c r="AE211" s="38">
        <v>0.0</v>
      </c>
      <c r="AF211" s="38">
        <v>0.0</v>
      </c>
      <c r="AG211" s="38">
        <v>0.0</v>
      </c>
      <c r="AH211" s="38">
        <v>0.0</v>
      </c>
      <c r="AI211" s="38">
        <v>53638.77</v>
      </c>
      <c r="AJ211" s="38">
        <v>283504.12</v>
      </c>
      <c r="AK211" s="38">
        <v>5.0</v>
      </c>
      <c r="AL211" s="38">
        <v>242.77</v>
      </c>
      <c r="AM211" s="38">
        <v>0.0</v>
      </c>
      <c r="AN211" s="34" t="s">
        <v>62</v>
      </c>
      <c r="AO211" s="34" t="s">
        <v>62</v>
      </c>
      <c r="AP211" s="34" t="s">
        <v>62</v>
      </c>
      <c r="AQ211" s="34" t="s">
        <v>62</v>
      </c>
      <c r="AR211" s="38">
        <v>0.0</v>
      </c>
      <c r="AS211" s="34"/>
      <c r="AT211" s="38" t="s">
        <v>2275</v>
      </c>
      <c r="AU211" s="38" t="s">
        <v>2276</v>
      </c>
      <c r="AV211" s="40">
        <v>46164.0</v>
      </c>
    </row>
    <row r="212">
      <c r="A212" s="38">
        <v>595230.0</v>
      </c>
      <c r="B212" s="38">
        <v>498611.0</v>
      </c>
      <c r="C212" s="38">
        <v>551716.0</v>
      </c>
      <c r="D212" s="34" t="s">
        <v>62</v>
      </c>
      <c r="E212" s="34" t="s">
        <v>62</v>
      </c>
      <c r="F212" s="38">
        <v>1255088.0</v>
      </c>
      <c r="G212" s="18" t="s">
        <v>335</v>
      </c>
      <c r="H212" s="18" t="s">
        <v>2437</v>
      </c>
      <c r="I212" s="18" t="s">
        <v>217</v>
      </c>
      <c r="J212" s="18" t="s">
        <v>2337</v>
      </c>
      <c r="K212" s="18" t="s">
        <v>2337</v>
      </c>
      <c r="L212" s="18" t="s">
        <v>52</v>
      </c>
      <c r="M212" s="18" t="s">
        <v>89</v>
      </c>
      <c r="N212" s="18" t="s">
        <v>130</v>
      </c>
      <c r="O212" s="18" t="s">
        <v>126</v>
      </c>
      <c r="P212" s="18" t="s">
        <v>218</v>
      </c>
      <c r="Q212" s="18" t="s">
        <v>219</v>
      </c>
      <c r="R212" s="18" t="s">
        <v>133</v>
      </c>
      <c r="S212" s="18" t="s">
        <v>59</v>
      </c>
      <c r="T212" s="38">
        <v>2026.0</v>
      </c>
      <c r="U212" s="38">
        <v>5.0</v>
      </c>
      <c r="V212" s="38">
        <v>1.081522656E9</v>
      </c>
      <c r="W212" s="38">
        <v>1.081540726E9</v>
      </c>
      <c r="X212" s="18" t="s">
        <v>2199</v>
      </c>
      <c r="Y212" s="18" t="s">
        <v>2200</v>
      </c>
      <c r="Z212" s="38">
        <v>53638.77</v>
      </c>
      <c r="AA212" s="38">
        <v>53638.77</v>
      </c>
      <c r="AB212" s="38">
        <v>-1667.24</v>
      </c>
      <c r="AC212" s="38">
        <v>0.0</v>
      </c>
      <c r="AD212" s="38">
        <v>3204.01</v>
      </c>
      <c r="AE212" s="38">
        <v>0.0</v>
      </c>
      <c r="AF212" s="38">
        <v>0.0</v>
      </c>
      <c r="AG212" s="38">
        <v>0.0</v>
      </c>
      <c r="AH212" s="38">
        <v>0.0</v>
      </c>
      <c r="AI212" s="38">
        <v>53638.77</v>
      </c>
      <c r="AJ212" s="38">
        <v>283504.12</v>
      </c>
      <c r="AK212" s="38">
        <v>5.0</v>
      </c>
      <c r="AL212" s="38">
        <v>242.77</v>
      </c>
      <c r="AM212" s="38">
        <v>0.0</v>
      </c>
      <c r="AN212" s="34" t="s">
        <v>62</v>
      </c>
      <c r="AO212" s="34" t="s">
        <v>62</v>
      </c>
      <c r="AP212" s="34" t="s">
        <v>62</v>
      </c>
      <c r="AQ212" s="34" t="s">
        <v>62</v>
      </c>
      <c r="AR212" s="38">
        <v>0.0</v>
      </c>
      <c r="AS212" s="34"/>
      <c r="AT212" s="38" t="s">
        <v>2275</v>
      </c>
      <c r="AU212" s="38" t="s">
        <v>2276</v>
      </c>
      <c r="AV212" s="40">
        <v>46164.0</v>
      </c>
    </row>
    <row r="213">
      <c r="A213" s="38">
        <v>595234.0</v>
      </c>
      <c r="B213" s="38">
        <v>498615.0</v>
      </c>
      <c r="C213" s="38">
        <v>551720.0</v>
      </c>
      <c r="D213" s="34" t="s">
        <v>62</v>
      </c>
      <c r="E213" s="34" t="s">
        <v>62</v>
      </c>
      <c r="F213" s="38">
        <v>1255092.0</v>
      </c>
      <c r="G213" s="18" t="s">
        <v>337</v>
      </c>
      <c r="H213" s="18" t="s">
        <v>2438</v>
      </c>
      <c r="I213" s="18" t="s">
        <v>217</v>
      </c>
      <c r="J213" s="18" t="s">
        <v>2337</v>
      </c>
      <c r="K213" s="18" t="s">
        <v>2337</v>
      </c>
      <c r="L213" s="18" t="s">
        <v>52</v>
      </c>
      <c r="M213" s="18" t="s">
        <v>89</v>
      </c>
      <c r="N213" s="18" t="s">
        <v>130</v>
      </c>
      <c r="O213" s="18" t="s">
        <v>126</v>
      </c>
      <c r="P213" s="18" t="s">
        <v>218</v>
      </c>
      <c r="Q213" s="18" t="s">
        <v>219</v>
      </c>
      <c r="R213" s="18" t="s">
        <v>133</v>
      </c>
      <c r="S213" s="18" t="s">
        <v>59</v>
      </c>
      <c r="T213" s="38">
        <v>2026.0</v>
      </c>
      <c r="U213" s="38">
        <v>5.0</v>
      </c>
      <c r="V213" s="38">
        <v>1.08152266E9</v>
      </c>
      <c r="W213" s="38">
        <v>1.08154073E9</v>
      </c>
      <c r="X213" s="18" t="s">
        <v>2199</v>
      </c>
      <c r="Y213" s="18" t="s">
        <v>2200</v>
      </c>
      <c r="Z213" s="38">
        <v>50434.77</v>
      </c>
      <c r="AA213" s="38">
        <v>50434.77</v>
      </c>
      <c r="AB213" s="38">
        <v>-1667.24</v>
      </c>
      <c r="AC213" s="38">
        <v>0.0</v>
      </c>
      <c r="AD213" s="38">
        <v>0.01</v>
      </c>
      <c r="AE213" s="38">
        <v>0.0</v>
      </c>
      <c r="AF213" s="38">
        <v>0.0</v>
      </c>
      <c r="AG213" s="38">
        <v>0.0</v>
      </c>
      <c r="AH213" s="38">
        <v>0.0</v>
      </c>
      <c r="AI213" s="38">
        <v>50434.77</v>
      </c>
      <c r="AJ213" s="38">
        <v>100465.56</v>
      </c>
      <c r="AK213" s="38">
        <v>2.0</v>
      </c>
      <c r="AL213" s="38">
        <v>242.77</v>
      </c>
      <c r="AM213" s="38">
        <v>0.0</v>
      </c>
      <c r="AN213" s="34" t="s">
        <v>62</v>
      </c>
      <c r="AO213" s="34" t="s">
        <v>62</v>
      </c>
      <c r="AP213" s="34" t="s">
        <v>62</v>
      </c>
      <c r="AQ213" s="34" t="s">
        <v>62</v>
      </c>
      <c r="AR213" s="38">
        <v>0.0</v>
      </c>
      <c r="AS213" s="34"/>
      <c r="AT213" s="38" t="s">
        <v>2275</v>
      </c>
      <c r="AU213" s="38" t="s">
        <v>2276</v>
      </c>
      <c r="AV213" s="40">
        <v>46164.0</v>
      </c>
    </row>
    <row r="214">
      <c r="A214" s="38">
        <v>595238.0</v>
      </c>
      <c r="B214" s="38">
        <v>498619.0</v>
      </c>
      <c r="C214" s="38">
        <v>551724.0</v>
      </c>
      <c r="D214" s="34" t="s">
        <v>62</v>
      </c>
      <c r="E214" s="34" t="s">
        <v>62</v>
      </c>
      <c r="F214" s="38">
        <v>1255096.0</v>
      </c>
      <c r="G214" s="18" t="s">
        <v>339</v>
      </c>
      <c r="H214" s="18" t="s">
        <v>2439</v>
      </c>
      <c r="I214" s="18" t="s">
        <v>217</v>
      </c>
      <c r="J214" s="18" t="s">
        <v>2337</v>
      </c>
      <c r="K214" s="18" t="s">
        <v>2337</v>
      </c>
      <c r="L214" s="18" t="s">
        <v>52</v>
      </c>
      <c r="M214" s="18" t="s">
        <v>89</v>
      </c>
      <c r="N214" s="18" t="s">
        <v>130</v>
      </c>
      <c r="O214" s="18" t="s">
        <v>126</v>
      </c>
      <c r="P214" s="18" t="s">
        <v>218</v>
      </c>
      <c r="Q214" s="18" t="s">
        <v>219</v>
      </c>
      <c r="R214" s="18" t="s">
        <v>133</v>
      </c>
      <c r="S214" s="18" t="s">
        <v>59</v>
      </c>
      <c r="T214" s="38">
        <v>2026.0</v>
      </c>
      <c r="U214" s="38">
        <v>5.0</v>
      </c>
      <c r="V214" s="38">
        <v>1.081522664E9</v>
      </c>
      <c r="W214" s="38">
        <v>1.081540734E9</v>
      </c>
      <c r="X214" s="18" t="s">
        <v>2199</v>
      </c>
      <c r="Y214" s="18" t="s">
        <v>2200</v>
      </c>
      <c r="Z214" s="38">
        <v>53638.77</v>
      </c>
      <c r="AA214" s="38">
        <v>53638.77</v>
      </c>
      <c r="AB214" s="38">
        <v>-1667.24</v>
      </c>
      <c r="AC214" s="38">
        <v>0.0</v>
      </c>
      <c r="AD214" s="38">
        <v>3204.01</v>
      </c>
      <c r="AE214" s="38">
        <v>0.0</v>
      </c>
      <c r="AF214" s="38">
        <v>0.0</v>
      </c>
      <c r="AG214" s="38">
        <v>0.0</v>
      </c>
      <c r="AH214" s="38">
        <v>0.0</v>
      </c>
      <c r="AI214" s="38">
        <v>53638.77</v>
      </c>
      <c r="AJ214" s="38">
        <v>283504.12</v>
      </c>
      <c r="AK214" s="38">
        <v>5.0</v>
      </c>
      <c r="AL214" s="38">
        <v>242.77</v>
      </c>
      <c r="AM214" s="38">
        <v>0.0</v>
      </c>
      <c r="AN214" s="34" t="s">
        <v>62</v>
      </c>
      <c r="AO214" s="34" t="s">
        <v>62</v>
      </c>
      <c r="AP214" s="34" t="s">
        <v>62</v>
      </c>
      <c r="AQ214" s="34" t="s">
        <v>62</v>
      </c>
      <c r="AR214" s="38">
        <v>0.0</v>
      </c>
      <c r="AS214" s="34"/>
      <c r="AT214" s="38" t="s">
        <v>2275</v>
      </c>
      <c r="AU214" s="38" t="s">
        <v>2276</v>
      </c>
      <c r="AV214" s="40">
        <v>46164.0</v>
      </c>
    </row>
    <row r="215">
      <c r="A215" s="38">
        <v>205535.0</v>
      </c>
      <c r="B215" s="38">
        <v>205534.0</v>
      </c>
      <c r="C215" s="38">
        <v>205534.0</v>
      </c>
      <c r="D215" s="38">
        <v>357.0</v>
      </c>
      <c r="E215" s="38">
        <v>357.0</v>
      </c>
      <c r="F215" s="38">
        <v>9.00844774E8</v>
      </c>
      <c r="G215" s="18" t="s">
        <v>517</v>
      </c>
      <c r="H215" s="18" t="s">
        <v>2440</v>
      </c>
      <c r="I215" s="18" t="s">
        <v>172</v>
      </c>
      <c r="J215" s="18" t="s">
        <v>2205</v>
      </c>
      <c r="K215" s="18" t="s">
        <v>2205</v>
      </c>
      <c r="L215" s="18" t="s">
        <v>52</v>
      </c>
      <c r="M215" s="18" t="s">
        <v>89</v>
      </c>
      <c r="N215" s="18" t="s">
        <v>130</v>
      </c>
      <c r="O215" s="18" t="s">
        <v>126</v>
      </c>
      <c r="P215" s="18" t="s">
        <v>56</v>
      </c>
      <c r="Q215" s="18" t="s">
        <v>90</v>
      </c>
      <c r="R215" s="18" t="s">
        <v>143</v>
      </c>
      <c r="S215" s="18" t="s">
        <v>59</v>
      </c>
      <c r="T215" s="38">
        <v>2026.0</v>
      </c>
      <c r="U215" s="38">
        <v>5.0</v>
      </c>
      <c r="V215" s="38">
        <v>1.081522464E9</v>
      </c>
      <c r="W215" s="38">
        <v>1.081540534E9</v>
      </c>
      <c r="X215" s="18" t="s">
        <v>2199</v>
      </c>
      <c r="Y215" s="18" t="s">
        <v>2200</v>
      </c>
      <c r="Z215" s="38">
        <v>132123.44</v>
      </c>
      <c r="AA215" s="38">
        <v>132123.44</v>
      </c>
      <c r="AB215" s="38">
        <v>44041.15</v>
      </c>
      <c r="AC215" s="38">
        <v>263.0</v>
      </c>
      <c r="AD215" s="38">
        <v>0.0</v>
      </c>
      <c r="AE215" s="38">
        <v>0.0</v>
      </c>
      <c r="AF215" s="38">
        <v>0.0</v>
      </c>
      <c r="AG215" s="38">
        <v>0.0</v>
      </c>
      <c r="AH215" s="38">
        <v>0.0</v>
      </c>
      <c r="AI215" s="38">
        <v>132123.44</v>
      </c>
      <c r="AJ215" s="38">
        <v>132123.44</v>
      </c>
      <c r="AK215" s="38">
        <v>0.0</v>
      </c>
      <c r="AL215" s="38">
        <v>376.2</v>
      </c>
      <c r="AM215" s="38">
        <v>0.0</v>
      </c>
      <c r="AN215" s="34" t="s">
        <v>62</v>
      </c>
      <c r="AO215" s="34" t="s">
        <v>62</v>
      </c>
      <c r="AP215" s="34" t="s">
        <v>62</v>
      </c>
      <c r="AQ215" s="34" t="s">
        <v>62</v>
      </c>
      <c r="AR215" s="38">
        <v>0.0</v>
      </c>
      <c r="AS215" s="38" t="s">
        <v>2441</v>
      </c>
      <c r="AT215" s="35" t="s">
        <v>2202</v>
      </c>
      <c r="AU215" s="39" t="s">
        <v>2254</v>
      </c>
      <c r="AV215" s="40">
        <v>46169.0</v>
      </c>
    </row>
    <row r="216">
      <c r="A216" s="38">
        <v>699.0</v>
      </c>
      <c r="B216" s="38">
        <v>223418.0</v>
      </c>
      <c r="C216" s="38">
        <v>223418.0</v>
      </c>
      <c r="D216" s="38">
        <v>46462.0</v>
      </c>
      <c r="E216" s="38">
        <v>46462.0</v>
      </c>
      <c r="F216" s="38">
        <v>9.00480569E8</v>
      </c>
      <c r="G216" s="18" t="s">
        <v>141</v>
      </c>
      <c r="H216" s="18" t="s">
        <v>2255</v>
      </c>
      <c r="I216" s="18" t="s">
        <v>137</v>
      </c>
      <c r="J216" s="18" t="s">
        <v>2205</v>
      </c>
      <c r="K216" s="18" t="s">
        <v>2256</v>
      </c>
      <c r="L216" s="18" t="s">
        <v>52</v>
      </c>
      <c r="M216" s="18" t="s">
        <v>138</v>
      </c>
      <c r="N216" s="18" t="s">
        <v>130</v>
      </c>
      <c r="O216" s="18" t="s">
        <v>126</v>
      </c>
      <c r="P216" s="18" t="s">
        <v>56</v>
      </c>
      <c r="Q216" s="18" t="s">
        <v>90</v>
      </c>
      <c r="R216" s="18" t="s">
        <v>143</v>
      </c>
      <c r="S216" s="18" t="s">
        <v>59</v>
      </c>
      <c r="T216" s="38">
        <v>2026.0</v>
      </c>
      <c r="U216" s="38">
        <v>5.0</v>
      </c>
      <c r="V216" s="38">
        <v>1.081522468E9</v>
      </c>
      <c r="W216" s="38">
        <v>1.081540538E9</v>
      </c>
      <c r="X216" s="18" t="s">
        <v>2199</v>
      </c>
      <c r="Y216" s="18" t="s">
        <v>2200</v>
      </c>
      <c r="Z216" s="38">
        <v>567739.69</v>
      </c>
      <c r="AA216" s="38">
        <v>567739.69</v>
      </c>
      <c r="AB216" s="38">
        <v>189246.57</v>
      </c>
      <c r="AC216" s="38">
        <v>1793.0</v>
      </c>
      <c r="AD216" s="38">
        <v>0.0</v>
      </c>
      <c r="AE216" s="38">
        <v>0.0</v>
      </c>
      <c r="AF216" s="38">
        <v>0.0</v>
      </c>
      <c r="AG216" s="38">
        <v>0.0</v>
      </c>
      <c r="AH216" s="38">
        <v>0.0</v>
      </c>
      <c r="AI216" s="38">
        <v>567739.69</v>
      </c>
      <c r="AJ216" s="38">
        <v>567740.56</v>
      </c>
      <c r="AK216" s="38">
        <v>1.0</v>
      </c>
      <c r="AL216" s="38">
        <v>376.2</v>
      </c>
      <c r="AM216" s="38">
        <v>0.0</v>
      </c>
      <c r="AN216" s="34" t="s">
        <v>62</v>
      </c>
      <c r="AO216" s="34" t="s">
        <v>62</v>
      </c>
      <c r="AP216" s="34" t="s">
        <v>62</v>
      </c>
      <c r="AQ216" s="34" t="s">
        <v>62</v>
      </c>
      <c r="AR216" s="38">
        <v>0.0</v>
      </c>
      <c r="AS216" s="38" t="s">
        <v>2257</v>
      </c>
      <c r="AT216" s="35" t="s">
        <v>2202</v>
      </c>
      <c r="AU216" s="39" t="s">
        <v>2203</v>
      </c>
      <c r="AV216" s="40">
        <v>46163.0</v>
      </c>
    </row>
    <row r="217">
      <c r="A217" s="38">
        <v>297.0</v>
      </c>
      <c r="B217" s="38">
        <v>231546.0</v>
      </c>
      <c r="C217" s="38">
        <v>231546.0</v>
      </c>
      <c r="D217" s="38">
        <v>204768.0</v>
      </c>
      <c r="E217" s="38">
        <v>204768.0</v>
      </c>
      <c r="F217" s="18" t="s">
        <v>135</v>
      </c>
      <c r="G217" s="18" t="s">
        <v>136</v>
      </c>
      <c r="H217" s="18" t="s">
        <v>2258</v>
      </c>
      <c r="I217" s="18" t="s">
        <v>202</v>
      </c>
      <c r="J217" s="18" t="s">
        <v>2205</v>
      </c>
      <c r="K217" s="18" t="s">
        <v>2259</v>
      </c>
      <c r="L217" s="18" t="s">
        <v>52</v>
      </c>
      <c r="M217" s="18" t="s">
        <v>138</v>
      </c>
      <c r="N217" s="18" t="s">
        <v>130</v>
      </c>
      <c r="O217" s="18" t="s">
        <v>126</v>
      </c>
      <c r="P217" s="18" t="s">
        <v>131</v>
      </c>
      <c r="Q217" s="18" t="s">
        <v>151</v>
      </c>
      <c r="R217" s="18" t="s">
        <v>133</v>
      </c>
      <c r="S217" s="18" t="s">
        <v>59</v>
      </c>
      <c r="T217" s="38">
        <v>2026.0</v>
      </c>
      <c r="U217" s="38">
        <v>5.0</v>
      </c>
      <c r="V217" s="38">
        <v>1.081522472E9</v>
      </c>
      <c r="W217" s="38">
        <v>1.081540542E9</v>
      </c>
      <c r="X217" s="18" t="s">
        <v>2199</v>
      </c>
      <c r="Y217" s="18" t="s">
        <v>2200</v>
      </c>
      <c r="Z217" s="38">
        <v>75941.0</v>
      </c>
      <c r="AA217" s="38">
        <v>75941.0</v>
      </c>
      <c r="AB217" s="38">
        <v>0.0</v>
      </c>
      <c r="AC217" s="38">
        <v>0.0</v>
      </c>
      <c r="AD217" s="38">
        <v>0.0</v>
      </c>
      <c r="AE217" s="38">
        <v>0.0</v>
      </c>
      <c r="AF217" s="38">
        <v>0.0</v>
      </c>
      <c r="AG217" s="38">
        <v>0.0</v>
      </c>
      <c r="AH217" s="38">
        <v>0.0</v>
      </c>
      <c r="AI217" s="38">
        <v>75941.0</v>
      </c>
      <c r="AJ217" s="38">
        <v>75941.0</v>
      </c>
      <c r="AK217" s="38">
        <v>0.0</v>
      </c>
      <c r="AL217" s="38">
        <v>250.8</v>
      </c>
      <c r="AM217" s="38">
        <v>0.0</v>
      </c>
      <c r="AN217" s="34" t="s">
        <v>62</v>
      </c>
      <c r="AO217" s="34" t="s">
        <v>62</v>
      </c>
      <c r="AP217" s="34" t="s">
        <v>62</v>
      </c>
      <c r="AQ217" s="34" t="s">
        <v>62</v>
      </c>
      <c r="AR217" s="38">
        <v>0.0</v>
      </c>
      <c r="AS217" s="38" t="s">
        <v>2260</v>
      </c>
      <c r="AT217" s="35" t="s">
        <v>2202</v>
      </c>
      <c r="AU217" s="39" t="s">
        <v>2203</v>
      </c>
      <c r="AV217" s="40">
        <v>46164.0</v>
      </c>
    </row>
    <row r="218">
      <c r="A218" s="38">
        <v>297.0</v>
      </c>
      <c r="B218" s="38">
        <v>237126.0</v>
      </c>
      <c r="C218" s="38">
        <v>237126.0</v>
      </c>
      <c r="D218" s="38">
        <v>302764.0</v>
      </c>
      <c r="E218" s="38">
        <v>302764.0</v>
      </c>
      <c r="F218" s="18" t="s">
        <v>135</v>
      </c>
      <c r="G218" s="18" t="s">
        <v>136</v>
      </c>
      <c r="H218" s="18" t="s">
        <v>2258</v>
      </c>
      <c r="I218" s="18" t="s">
        <v>142</v>
      </c>
      <c r="J218" s="18" t="s">
        <v>2205</v>
      </c>
      <c r="K218" s="18" t="s">
        <v>2259</v>
      </c>
      <c r="L218" s="18" t="s">
        <v>52</v>
      </c>
      <c r="M218" s="18" t="s">
        <v>138</v>
      </c>
      <c r="N218" s="18" t="s">
        <v>130</v>
      </c>
      <c r="O218" s="18" t="s">
        <v>126</v>
      </c>
      <c r="P218" s="18" t="s">
        <v>56</v>
      </c>
      <c r="Q218" s="18" t="s">
        <v>57</v>
      </c>
      <c r="R218" s="18" t="s">
        <v>143</v>
      </c>
      <c r="S218" s="18" t="s">
        <v>59</v>
      </c>
      <c r="T218" s="38">
        <v>2026.0</v>
      </c>
      <c r="U218" s="38">
        <v>5.0</v>
      </c>
      <c r="V218" s="38">
        <v>1.081522476E9</v>
      </c>
      <c r="W218" s="38">
        <v>1.081540546E9</v>
      </c>
      <c r="X218" s="18" t="s">
        <v>2199</v>
      </c>
      <c r="Y218" s="18" t="s">
        <v>2200</v>
      </c>
      <c r="Z218" s="38">
        <v>103172.28</v>
      </c>
      <c r="AA218" s="38">
        <v>103172.28</v>
      </c>
      <c r="AB218" s="38">
        <v>0.0</v>
      </c>
      <c r="AC218" s="38">
        <v>342.5</v>
      </c>
      <c r="AD218" s="38">
        <v>0.0</v>
      </c>
      <c r="AE218" s="38">
        <v>0.0</v>
      </c>
      <c r="AF218" s="38">
        <v>0.0</v>
      </c>
      <c r="AG218" s="38">
        <v>0.0</v>
      </c>
      <c r="AH218" s="38">
        <v>0.0</v>
      </c>
      <c r="AI218" s="38">
        <v>103172.28</v>
      </c>
      <c r="AJ218" s="38">
        <v>103172.28</v>
      </c>
      <c r="AK218" s="38">
        <v>0.0</v>
      </c>
      <c r="AL218" s="38">
        <v>250.8</v>
      </c>
      <c r="AM218" s="38">
        <v>0.0</v>
      </c>
      <c r="AN218" s="34" t="s">
        <v>62</v>
      </c>
      <c r="AO218" s="34" t="s">
        <v>62</v>
      </c>
      <c r="AP218" s="34" t="s">
        <v>62</v>
      </c>
      <c r="AQ218" s="34" t="s">
        <v>62</v>
      </c>
      <c r="AR218" s="38">
        <v>0.0</v>
      </c>
      <c r="AS218" s="38" t="s">
        <v>2260</v>
      </c>
      <c r="AT218" s="35" t="s">
        <v>2202</v>
      </c>
      <c r="AU218" s="39" t="s">
        <v>2203</v>
      </c>
      <c r="AV218" s="40">
        <v>46164.0</v>
      </c>
    </row>
    <row r="219">
      <c r="A219" s="38">
        <v>297.0</v>
      </c>
      <c r="B219" s="38">
        <v>239762.0</v>
      </c>
      <c r="C219" s="38">
        <v>239762.0</v>
      </c>
      <c r="D219" s="38">
        <v>402470.0</v>
      </c>
      <c r="E219" s="38">
        <v>402470.0</v>
      </c>
      <c r="F219" s="18" t="s">
        <v>135</v>
      </c>
      <c r="G219" s="18" t="s">
        <v>136</v>
      </c>
      <c r="H219" s="18" t="s">
        <v>2258</v>
      </c>
      <c r="I219" s="18" t="s">
        <v>253</v>
      </c>
      <c r="J219" s="18" t="s">
        <v>2205</v>
      </c>
      <c r="K219" s="18" t="s">
        <v>2259</v>
      </c>
      <c r="L219" s="18" t="s">
        <v>52</v>
      </c>
      <c r="M219" s="18" t="s">
        <v>138</v>
      </c>
      <c r="N219" s="18" t="s">
        <v>130</v>
      </c>
      <c r="O219" s="18" t="s">
        <v>126</v>
      </c>
      <c r="P219" s="18" t="s">
        <v>56</v>
      </c>
      <c r="Q219" s="18" t="s">
        <v>57</v>
      </c>
      <c r="R219" s="18" t="s">
        <v>143</v>
      </c>
      <c r="S219" s="18" t="s">
        <v>59</v>
      </c>
      <c r="T219" s="38">
        <v>2026.0</v>
      </c>
      <c r="U219" s="38">
        <v>5.0</v>
      </c>
      <c r="V219" s="38">
        <v>1.08152248E9</v>
      </c>
      <c r="W219" s="38">
        <v>1.08154055E9</v>
      </c>
      <c r="X219" s="18" t="s">
        <v>2199</v>
      </c>
      <c r="Y219" s="18" t="s">
        <v>2200</v>
      </c>
      <c r="Z219" s="38">
        <v>532145.14</v>
      </c>
      <c r="AA219" s="38">
        <v>532145.14</v>
      </c>
      <c r="AB219" s="38">
        <v>0.0</v>
      </c>
      <c r="AC219" s="38">
        <v>2602.5</v>
      </c>
      <c r="AD219" s="38">
        <v>0.0</v>
      </c>
      <c r="AE219" s="38">
        <v>0.0</v>
      </c>
      <c r="AF219" s="38">
        <v>0.0</v>
      </c>
      <c r="AG219" s="38">
        <v>0.0</v>
      </c>
      <c r="AH219" s="38">
        <v>0.0</v>
      </c>
      <c r="AI219" s="38">
        <v>532145.14</v>
      </c>
      <c r="AJ219" s="38">
        <v>532145.14</v>
      </c>
      <c r="AK219" s="38">
        <v>0.0</v>
      </c>
      <c r="AL219" s="38">
        <v>250.8</v>
      </c>
      <c r="AM219" s="38">
        <v>0.0</v>
      </c>
      <c r="AN219" s="34" t="s">
        <v>62</v>
      </c>
      <c r="AO219" s="34" t="s">
        <v>62</v>
      </c>
      <c r="AP219" s="34" t="s">
        <v>62</v>
      </c>
      <c r="AQ219" s="34" t="s">
        <v>62</v>
      </c>
      <c r="AR219" s="38">
        <v>0.0</v>
      </c>
      <c r="AS219" s="38" t="s">
        <v>2260</v>
      </c>
      <c r="AT219" s="35" t="s">
        <v>2202</v>
      </c>
      <c r="AU219" s="39" t="s">
        <v>2203</v>
      </c>
      <c r="AV219" s="40">
        <v>46164.0</v>
      </c>
    </row>
    <row r="220">
      <c r="A220" s="38">
        <v>141.0</v>
      </c>
      <c r="B220" s="38">
        <v>240430.0</v>
      </c>
      <c r="C220" s="38">
        <v>240430.0</v>
      </c>
      <c r="D220" s="38">
        <v>413625.0</v>
      </c>
      <c r="E220" s="38">
        <v>413625.0</v>
      </c>
      <c r="F220" s="38">
        <v>8.90500514E8</v>
      </c>
      <c r="G220" s="18" t="s">
        <v>145</v>
      </c>
      <c r="H220" s="18" t="s">
        <v>2266</v>
      </c>
      <c r="I220" s="18" t="s">
        <v>523</v>
      </c>
      <c r="J220" s="18" t="s">
        <v>2205</v>
      </c>
      <c r="K220" s="18" t="s">
        <v>2267</v>
      </c>
      <c r="L220" s="18" t="s">
        <v>52</v>
      </c>
      <c r="M220" s="18" t="s">
        <v>138</v>
      </c>
      <c r="N220" s="18" t="s">
        <v>130</v>
      </c>
      <c r="O220" s="18" t="s">
        <v>126</v>
      </c>
      <c r="P220" s="18" t="s">
        <v>56</v>
      </c>
      <c r="Q220" s="18" t="s">
        <v>90</v>
      </c>
      <c r="R220" s="18" t="s">
        <v>58</v>
      </c>
      <c r="S220" s="18" t="s">
        <v>59</v>
      </c>
      <c r="T220" s="38">
        <v>2026.0</v>
      </c>
      <c r="U220" s="38">
        <v>5.0</v>
      </c>
      <c r="V220" s="38">
        <v>1.081522484E9</v>
      </c>
      <c r="W220" s="38">
        <v>1.081540554E9</v>
      </c>
      <c r="X220" s="18" t="s">
        <v>2199</v>
      </c>
      <c r="Y220" s="18" t="s">
        <v>2200</v>
      </c>
      <c r="Z220" s="38">
        <v>377549.08</v>
      </c>
      <c r="AA220" s="38">
        <v>377549.08</v>
      </c>
      <c r="AB220" s="38">
        <v>125849.7</v>
      </c>
      <c r="AC220" s="38">
        <v>1125.0</v>
      </c>
      <c r="AD220" s="38">
        <v>0.0</v>
      </c>
      <c r="AE220" s="38">
        <v>0.0</v>
      </c>
      <c r="AF220" s="38">
        <v>0.0</v>
      </c>
      <c r="AG220" s="38">
        <v>0.0</v>
      </c>
      <c r="AH220" s="38">
        <v>0.0</v>
      </c>
      <c r="AI220" s="38">
        <v>377549.08</v>
      </c>
      <c r="AJ220" s="38">
        <v>377549.08</v>
      </c>
      <c r="AK220" s="38">
        <v>0.0</v>
      </c>
      <c r="AL220" s="38">
        <v>376.2</v>
      </c>
      <c r="AM220" s="38">
        <v>0.0</v>
      </c>
      <c r="AN220" s="34" t="s">
        <v>62</v>
      </c>
      <c r="AO220" s="34" t="s">
        <v>62</v>
      </c>
      <c r="AP220" s="34" t="s">
        <v>62</v>
      </c>
      <c r="AQ220" s="34" t="s">
        <v>62</v>
      </c>
      <c r="AR220" s="38">
        <v>0.0</v>
      </c>
      <c r="AS220" s="38" t="s">
        <v>2268</v>
      </c>
      <c r="AT220" s="35" t="s">
        <v>2202</v>
      </c>
      <c r="AU220" s="39" t="s">
        <v>2203</v>
      </c>
      <c r="AV220" s="40">
        <v>46163.0</v>
      </c>
    </row>
    <row r="221">
      <c r="A221" s="38">
        <v>242563.0</v>
      </c>
      <c r="B221" s="38">
        <v>242562.0</v>
      </c>
      <c r="C221" s="38">
        <v>242562.0</v>
      </c>
      <c r="D221" s="38">
        <v>450742.0</v>
      </c>
      <c r="E221" s="38">
        <v>450742.0</v>
      </c>
      <c r="F221" s="38">
        <v>450742.0</v>
      </c>
      <c r="G221" s="18" t="s">
        <v>525</v>
      </c>
      <c r="H221" s="18" t="s">
        <v>2442</v>
      </c>
      <c r="I221" s="18" t="s">
        <v>222</v>
      </c>
      <c r="J221" s="18" t="s">
        <v>2205</v>
      </c>
      <c r="K221" s="18" t="s">
        <v>2270</v>
      </c>
      <c r="L221" s="18" t="s">
        <v>52</v>
      </c>
      <c r="M221" s="18" t="s">
        <v>138</v>
      </c>
      <c r="N221" s="18" t="s">
        <v>130</v>
      </c>
      <c r="O221" s="18" t="s">
        <v>126</v>
      </c>
      <c r="P221" s="18" t="s">
        <v>131</v>
      </c>
      <c r="Q221" s="18" t="s">
        <v>132</v>
      </c>
      <c r="R221" s="18" t="s">
        <v>133</v>
      </c>
      <c r="S221" s="18" t="s">
        <v>59</v>
      </c>
      <c r="T221" s="38">
        <v>2026.0</v>
      </c>
      <c r="U221" s="38">
        <v>5.0</v>
      </c>
      <c r="V221" s="38">
        <v>1.081522488E9</v>
      </c>
      <c r="W221" s="38">
        <v>1.081540558E9</v>
      </c>
      <c r="X221" s="18" t="s">
        <v>2199</v>
      </c>
      <c r="Y221" s="18" t="s">
        <v>2200</v>
      </c>
      <c r="Z221" s="38">
        <v>335245.0</v>
      </c>
      <c r="AA221" s="38">
        <v>335245.0</v>
      </c>
      <c r="AB221" s="38">
        <v>38680.0</v>
      </c>
      <c r="AC221" s="38">
        <v>0.0</v>
      </c>
      <c r="AD221" s="38">
        <v>0.0</v>
      </c>
      <c r="AE221" s="38">
        <v>0.0</v>
      </c>
      <c r="AF221" s="38">
        <v>0.0</v>
      </c>
      <c r="AG221" s="38">
        <v>0.0</v>
      </c>
      <c r="AH221" s="38">
        <v>0.0</v>
      </c>
      <c r="AI221" s="38">
        <v>335245.0</v>
      </c>
      <c r="AJ221" s="38">
        <v>449729.5</v>
      </c>
      <c r="AK221" s="38">
        <v>1.0</v>
      </c>
      <c r="AL221" s="38">
        <v>225625.0</v>
      </c>
      <c r="AM221" s="38">
        <v>0.0</v>
      </c>
      <c r="AN221" s="34" t="s">
        <v>62</v>
      </c>
      <c r="AO221" s="34" t="s">
        <v>62</v>
      </c>
      <c r="AP221" s="34" t="s">
        <v>62</v>
      </c>
      <c r="AQ221" s="34" t="s">
        <v>62</v>
      </c>
      <c r="AR221" s="38">
        <v>0.0</v>
      </c>
      <c r="AS221" s="38" t="s">
        <v>2271</v>
      </c>
      <c r="AT221" s="38" t="s">
        <v>2202</v>
      </c>
      <c r="AU221" s="39" t="s">
        <v>2203</v>
      </c>
      <c r="AV221" s="40">
        <v>46163.0</v>
      </c>
    </row>
    <row r="222">
      <c r="A222" s="38">
        <v>297.0</v>
      </c>
      <c r="B222" s="38">
        <v>245458.0</v>
      </c>
      <c r="C222" s="38">
        <v>245458.0</v>
      </c>
      <c r="D222" s="38">
        <v>494305.0</v>
      </c>
      <c r="E222" s="38">
        <v>494305.0</v>
      </c>
      <c r="F222" s="18" t="s">
        <v>135</v>
      </c>
      <c r="G222" s="18" t="s">
        <v>136</v>
      </c>
      <c r="H222" s="18" t="s">
        <v>2258</v>
      </c>
      <c r="I222" s="18" t="s">
        <v>255</v>
      </c>
      <c r="J222" s="18" t="s">
        <v>2205</v>
      </c>
      <c r="K222" s="18" t="s">
        <v>2259</v>
      </c>
      <c r="L222" s="18" t="s">
        <v>52</v>
      </c>
      <c r="M222" s="18" t="s">
        <v>138</v>
      </c>
      <c r="N222" s="18" t="s">
        <v>130</v>
      </c>
      <c r="O222" s="18" t="s">
        <v>126</v>
      </c>
      <c r="P222" s="18" t="s">
        <v>131</v>
      </c>
      <c r="Q222" s="18" t="s">
        <v>151</v>
      </c>
      <c r="R222" s="18" t="s">
        <v>133</v>
      </c>
      <c r="S222" s="18" t="s">
        <v>59</v>
      </c>
      <c r="T222" s="38">
        <v>2026.0</v>
      </c>
      <c r="U222" s="38">
        <v>5.0</v>
      </c>
      <c r="V222" s="38">
        <v>1.081522494E9</v>
      </c>
      <c r="W222" s="38">
        <v>1.081540564E9</v>
      </c>
      <c r="X222" s="18" t="s">
        <v>2199</v>
      </c>
      <c r="Y222" s="18" t="s">
        <v>2200</v>
      </c>
      <c r="Z222" s="38">
        <v>75941.0</v>
      </c>
      <c r="AA222" s="38">
        <v>75941.0</v>
      </c>
      <c r="AB222" s="38">
        <v>0.0</v>
      </c>
      <c r="AC222" s="38">
        <v>0.0</v>
      </c>
      <c r="AD222" s="38">
        <v>0.0</v>
      </c>
      <c r="AE222" s="38">
        <v>0.0</v>
      </c>
      <c r="AF222" s="38">
        <v>0.0</v>
      </c>
      <c r="AG222" s="38">
        <v>0.0</v>
      </c>
      <c r="AH222" s="38">
        <v>0.0</v>
      </c>
      <c r="AI222" s="38">
        <v>75941.0</v>
      </c>
      <c r="AJ222" s="38">
        <v>75941.0</v>
      </c>
      <c r="AK222" s="38">
        <v>0.0</v>
      </c>
      <c r="AL222" s="38">
        <v>250.8</v>
      </c>
      <c r="AM222" s="38">
        <v>0.0</v>
      </c>
      <c r="AN222" s="34" t="s">
        <v>62</v>
      </c>
      <c r="AO222" s="34" t="s">
        <v>62</v>
      </c>
      <c r="AP222" s="34" t="s">
        <v>62</v>
      </c>
      <c r="AQ222" s="34" t="s">
        <v>62</v>
      </c>
      <c r="AR222" s="38">
        <v>0.0</v>
      </c>
      <c r="AS222" s="38" t="s">
        <v>2260</v>
      </c>
      <c r="AT222" s="35" t="s">
        <v>2202</v>
      </c>
      <c r="AU222" s="39" t="s">
        <v>2203</v>
      </c>
      <c r="AV222" s="40">
        <v>46164.0</v>
      </c>
    </row>
    <row r="223">
      <c r="A223" s="38">
        <v>141.0</v>
      </c>
      <c r="B223" s="38">
        <v>247246.0</v>
      </c>
      <c r="C223" s="38">
        <v>247246.0</v>
      </c>
      <c r="D223" s="38">
        <v>517200.0</v>
      </c>
      <c r="E223" s="38">
        <v>517200.0</v>
      </c>
      <c r="F223" s="38">
        <v>8.90500514E8</v>
      </c>
      <c r="G223" s="18" t="s">
        <v>145</v>
      </c>
      <c r="H223" s="18" t="s">
        <v>2266</v>
      </c>
      <c r="I223" s="18" t="s">
        <v>528</v>
      </c>
      <c r="J223" s="18" t="s">
        <v>2205</v>
      </c>
      <c r="K223" s="18" t="s">
        <v>2267</v>
      </c>
      <c r="L223" s="18" t="s">
        <v>52</v>
      </c>
      <c r="M223" s="18" t="s">
        <v>138</v>
      </c>
      <c r="N223" s="18" t="s">
        <v>130</v>
      </c>
      <c r="O223" s="18" t="s">
        <v>126</v>
      </c>
      <c r="P223" s="18" t="s">
        <v>56</v>
      </c>
      <c r="Q223" s="18" t="s">
        <v>90</v>
      </c>
      <c r="R223" s="18" t="s">
        <v>143</v>
      </c>
      <c r="S223" s="18" t="s">
        <v>59</v>
      </c>
      <c r="T223" s="38">
        <v>2026.0</v>
      </c>
      <c r="U223" s="38">
        <v>5.0</v>
      </c>
      <c r="V223" s="38">
        <v>1.081522497E9</v>
      </c>
      <c r="W223" s="38">
        <v>1.081540567E9</v>
      </c>
      <c r="X223" s="18" t="s">
        <v>2199</v>
      </c>
      <c r="Y223" s="18" t="s">
        <v>2200</v>
      </c>
      <c r="Z223" s="38">
        <v>129133.94</v>
      </c>
      <c r="AA223" s="38">
        <v>129133.94</v>
      </c>
      <c r="AB223" s="38">
        <v>43044.65</v>
      </c>
      <c r="AC223" s="38">
        <v>252.5</v>
      </c>
      <c r="AD223" s="38">
        <v>0.0</v>
      </c>
      <c r="AE223" s="38">
        <v>0.0</v>
      </c>
      <c r="AF223" s="38">
        <v>0.0</v>
      </c>
      <c r="AG223" s="38">
        <v>0.0</v>
      </c>
      <c r="AH223" s="38">
        <v>0.0</v>
      </c>
      <c r="AI223" s="38">
        <v>129133.94</v>
      </c>
      <c r="AJ223" s="38">
        <v>129133.94</v>
      </c>
      <c r="AK223" s="38">
        <v>0.0</v>
      </c>
      <c r="AL223" s="38">
        <v>376.2</v>
      </c>
      <c r="AM223" s="38">
        <v>0.0</v>
      </c>
      <c r="AN223" s="34" t="s">
        <v>62</v>
      </c>
      <c r="AO223" s="34" t="s">
        <v>62</v>
      </c>
      <c r="AP223" s="34" t="s">
        <v>62</v>
      </c>
      <c r="AQ223" s="34" t="s">
        <v>62</v>
      </c>
      <c r="AR223" s="38">
        <v>0.0</v>
      </c>
      <c r="AS223" s="38" t="s">
        <v>2268</v>
      </c>
      <c r="AT223" s="35" t="s">
        <v>2202</v>
      </c>
      <c r="AU223" s="39" t="s">
        <v>2203</v>
      </c>
      <c r="AV223" s="40">
        <v>46163.0</v>
      </c>
    </row>
    <row r="224">
      <c r="A224" s="38">
        <v>147.0</v>
      </c>
      <c r="B224" s="38">
        <v>266826.0</v>
      </c>
      <c r="C224" s="38">
        <v>266826.0</v>
      </c>
      <c r="D224" s="38">
        <v>657379.0</v>
      </c>
      <c r="E224" s="38">
        <v>657379.0</v>
      </c>
      <c r="F224" s="18" t="s">
        <v>179</v>
      </c>
      <c r="G224" s="18" t="s">
        <v>180</v>
      </c>
      <c r="H224" s="18" t="s">
        <v>2320</v>
      </c>
      <c r="I224" s="18" t="s">
        <v>530</v>
      </c>
      <c r="J224" s="18" t="s">
        <v>2205</v>
      </c>
      <c r="K224" s="18" t="s">
        <v>2289</v>
      </c>
      <c r="L224" s="18" t="s">
        <v>52</v>
      </c>
      <c r="M224" s="18" t="s">
        <v>89</v>
      </c>
      <c r="N224" s="18" t="s">
        <v>130</v>
      </c>
      <c r="O224" s="18" t="s">
        <v>126</v>
      </c>
      <c r="P224" s="18" t="s">
        <v>56</v>
      </c>
      <c r="Q224" s="18" t="s">
        <v>57</v>
      </c>
      <c r="R224" s="18" t="s">
        <v>143</v>
      </c>
      <c r="S224" s="18" t="s">
        <v>59</v>
      </c>
      <c r="T224" s="38">
        <v>2026.0</v>
      </c>
      <c r="U224" s="38">
        <v>5.0</v>
      </c>
      <c r="V224" s="38">
        <v>1.081522501E9</v>
      </c>
      <c r="W224" s="38">
        <v>1.081540571E9</v>
      </c>
      <c r="X224" s="18" t="s">
        <v>2199</v>
      </c>
      <c r="Y224" s="18" t="s">
        <v>2200</v>
      </c>
      <c r="Z224" s="38">
        <v>86184.18</v>
      </c>
      <c r="AA224" s="38">
        <v>86184.18</v>
      </c>
      <c r="AB224" s="38">
        <v>0.0</v>
      </c>
      <c r="AC224" s="38">
        <v>253.0</v>
      </c>
      <c r="AD224" s="38">
        <v>0.0</v>
      </c>
      <c r="AE224" s="38">
        <v>0.0</v>
      </c>
      <c r="AF224" s="38">
        <v>0.0</v>
      </c>
      <c r="AG224" s="38">
        <v>0.0</v>
      </c>
      <c r="AH224" s="38">
        <v>0.0</v>
      </c>
      <c r="AI224" s="38">
        <v>86184.18</v>
      </c>
      <c r="AJ224" s="38">
        <v>171132.19</v>
      </c>
      <c r="AK224" s="38">
        <v>1.0</v>
      </c>
      <c r="AL224" s="38">
        <v>250.8</v>
      </c>
      <c r="AM224" s="38">
        <v>0.0</v>
      </c>
      <c r="AN224" s="34" t="s">
        <v>62</v>
      </c>
      <c r="AO224" s="34" t="s">
        <v>62</v>
      </c>
      <c r="AP224" s="34" t="s">
        <v>62</v>
      </c>
      <c r="AQ224" s="34" t="s">
        <v>62</v>
      </c>
      <c r="AR224" s="38">
        <v>0.0</v>
      </c>
      <c r="AS224" s="38" t="s">
        <v>2321</v>
      </c>
      <c r="AT224" s="35" t="s">
        <v>2202</v>
      </c>
      <c r="AU224" s="39" t="s">
        <v>2203</v>
      </c>
      <c r="AV224" s="40">
        <v>46163.0</v>
      </c>
    </row>
    <row r="225">
      <c r="A225" s="38">
        <v>285031.0</v>
      </c>
      <c r="B225" s="38">
        <v>285030.0</v>
      </c>
      <c r="C225" s="38">
        <v>285030.0</v>
      </c>
      <c r="D225" s="38">
        <v>59981.0</v>
      </c>
      <c r="E225" s="38">
        <v>59981.0</v>
      </c>
      <c r="F225" s="38">
        <v>9.01141621E8</v>
      </c>
      <c r="G225" s="18" t="s">
        <v>532</v>
      </c>
      <c r="H225" s="18" t="s">
        <v>2443</v>
      </c>
      <c r="I225" s="18" t="s">
        <v>172</v>
      </c>
      <c r="J225" s="18" t="s">
        <v>2205</v>
      </c>
      <c r="K225" s="18" t="s">
        <v>2205</v>
      </c>
      <c r="L225" s="18" t="s">
        <v>52</v>
      </c>
      <c r="M225" s="18" t="s">
        <v>89</v>
      </c>
      <c r="N225" s="18" t="s">
        <v>130</v>
      </c>
      <c r="O225" s="18" t="s">
        <v>126</v>
      </c>
      <c r="P225" s="18" t="s">
        <v>56</v>
      </c>
      <c r="Q225" s="18" t="s">
        <v>90</v>
      </c>
      <c r="R225" s="18" t="s">
        <v>143</v>
      </c>
      <c r="S225" s="18" t="s">
        <v>59</v>
      </c>
      <c r="T225" s="38">
        <v>2026.0</v>
      </c>
      <c r="U225" s="38">
        <v>5.0</v>
      </c>
      <c r="V225" s="38">
        <v>1.081522504E9</v>
      </c>
      <c r="W225" s="38">
        <v>1.081540574E9</v>
      </c>
      <c r="X225" s="18" t="s">
        <v>2199</v>
      </c>
      <c r="Y225" s="18" t="s">
        <v>2200</v>
      </c>
      <c r="Z225" s="38">
        <v>142657.95</v>
      </c>
      <c r="AA225" s="38">
        <v>142657.95</v>
      </c>
      <c r="AB225" s="38">
        <v>47552.65</v>
      </c>
      <c r="AC225" s="38">
        <v>300.0</v>
      </c>
      <c r="AD225" s="38">
        <v>0.0</v>
      </c>
      <c r="AE225" s="38">
        <v>0.0</v>
      </c>
      <c r="AF225" s="38">
        <v>0.0</v>
      </c>
      <c r="AG225" s="38">
        <v>0.0</v>
      </c>
      <c r="AH225" s="38">
        <v>0.0</v>
      </c>
      <c r="AI225" s="38">
        <v>142657.95</v>
      </c>
      <c r="AJ225" s="38">
        <v>142657.95</v>
      </c>
      <c r="AK225" s="38">
        <v>0.0</v>
      </c>
      <c r="AL225" s="38">
        <v>376.2</v>
      </c>
      <c r="AM225" s="38">
        <v>0.0</v>
      </c>
      <c r="AN225" s="34" t="s">
        <v>62</v>
      </c>
      <c r="AO225" s="34" t="s">
        <v>62</v>
      </c>
      <c r="AP225" s="34" t="s">
        <v>62</v>
      </c>
      <c r="AQ225" s="34" t="s">
        <v>62</v>
      </c>
      <c r="AR225" s="38">
        <v>0.0</v>
      </c>
      <c r="AS225" s="38" t="s">
        <v>2444</v>
      </c>
      <c r="AT225" s="35" t="s">
        <v>2202</v>
      </c>
      <c r="AU225" s="39" t="s">
        <v>2254</v>
      </c>
      <c r="AV225" s="40">
        <v>46169.0</v>
      </c>
    </row>
    <row r="226">
      <c r="A226" s="38">
        <v>285191.0</v>
      </c>
      <c r="B226" s="38">
        <v>285190.0</v>
      </c>
      <c r="C226" s="38">
        <v>285190.0</v>
      </c>
      <c r="D226" s="38">
        <v>60203.0</v>
      </c>
      <c r="E226" s="38">
        <v>60203.0</v>
      </c>
      <c r="F226" s="38">
        <v>9.00276962E8</v>
      </c>
      <c r="G226" s="18" t="s">
        <v>128</v>
      </c>
      <c r="H226" s="18" t="s">
        <v>2269</v>
      </c>
      <c r="I226" s="18" t="s">
        <v>208</v>
      </c>
      <c r="J226" s="18" t="s">
        <v>2205</v>
      </c>
      <c r="K226" s="18" t="s">
        <v>2270</v>
      </c>
      <c r="L226" s="18" t="s">
        <v>52</v>
      </c>
      <c r="M226" s="18" t="s">
        <v>89</v>
      </c>
      <c r="N226" s="18" t="s">
        <v>130</v>
      </c>
      <c r="O226" s="18" t="s">
        <v>126</v>
      </c>
      <c r="P226" s="18" t="s">
        <v>56</v>
      </c>
      <c r="Q226" s="18" t="s">
        <v>72</v>
      </c>
      <c r="R226" s="18" t="s">
        <v>143</v>
      </c>
      <c r="S226" s="18" t="s">
        <v>59</v>
      </c>
      <c r="T226" s="38">
        <v>2026.0</v>
      </c>
      <c r="U226" s="38">
        <v>5.0</v>
      </c>
      <c r="V226" s="38">
        <v>1.081522508E9</v>
      </c>
      <c r="W226" s="38">
        <v>1.081540578E9</v>
      </c>
      <c r="X226" s="18" t="s">
        <v>2199</v>
      </c>
      <c r="Y226" s="18" t="s">
        <v>2200</v>
      </c>
      <c r="Z226" s="38">
        <v>112039.43</v>
      </c>
      <c r="AA226" s="38">
        <v>112039.43</v>
      </c>
      <c r="AB226" s="38">
        <v>25855.25</v>
      </c>
      <c r="AC226" s="38">
        <v>253.0</v>
      </c>
      <c r="AD226" s="38">
        <v>0.0</v>
      </c>
      <c r="AE226" s="38">
        <v>0.0</v>
      </c>
      <c r="AF226" s="38">
        <v>0.0</v>
      </c>
      <c r="AG226" s="38">
        <v>0.0</v>
      </c>
      <c r="AH226" s="38">
        <v>0.0</v>
      </c>
      <c r="AI226" s="38">
        <v>112039.43</v>
      </c>
      <c r="AJ226" s="38">
        <v>112039.43</v>
      </c>
      <c r="AK226" s="38">
        <v>0.0</v>
      </c>
      <c r="AL226" s="38">
        <v>326.04</v>
      </c>
      <c r="AM226" s="38">
        <v>0.0</v>
      </c>
      <c r="AN226" s="34" t="s">
        <v>62</v>
      </c>
      <c r="AO226" s="34" t="s">
        <v>62</v>
      </c>
      <c r="AP226" s="34" t="s">
        <v>62</v>
      </c>
      <c r="AQ226" s="34" t="s">
        <v>62</v>
      </c>
      <c r="AR226" s="38">
        <v>0.0</v>
      </c>
      <c r="AS226" s="38" t="s">
        <v>2271</v>
      </c>
      <c r="AT226" s="35" t="s">
        <v>2202</v>
      </c>
      <c r="AU226" s="39" t="s">
        <v>2203</v>
      </c>
      <c r="AV226" s="40">
        <v>46163.0</v>
      </c>
    </row>
    <row r="227">
      <c r="A227" s="38">
        <v>286975.0</v>
      </c>
      <c r="B227" s="38">
        <v>286974.0</v>
      </c>
      <c r="C227" s="38">
        <v>286974.0</v>
      </c>
      <c r="D227" s="38">
        <v>62130.0</v>
      </c>
      <c r="E227" s="38">
        <v>62130.0</v>
      </c>
      <c r="F227" s="38">
        <v>62130.0</v>
      </c>
      <c r="G227" s="18" t="s">
        <v>535</v>
      </c>
      <c r="H227" s="18" t="s">
        <v>2445</v>
      </c>
      <c r="I227" s="18" t="s">
        <v>523</v>
      </c>
      <c r="J227" s="18" t="s">
        <v>2205</v>
      </c>
      <c r="K227" s="18" t="s">
        <v>2270</v>
      </c>
      <c r="L227" s="18" t="s">
        <v>52</v>
      </c>
      <c r="M227" s="18" t="s">
        <v>138</v>
      </c>
      <c r="N227" s="18" t="s">
        <v>130</v>
      </c>
      <c r="O227" s="18" t="s">
        <v>126</v>
      </c>
      <c r="P227" s="18" t="s">
        <v>131</v>
      </c>
      <c r="Q227" s="18" t="s">
        <v>132</v>
      </c>
      <c r="R227" s="18" t="s">
        <v>133</v>
      </c>
      <c r="S227" s="18" t="s">
        <v>59</v>
      </c>
      <c r="T227" s="38">
        <v>2026.0</v>
      </c>
      <c r="U227" s="38">
        <v>5.0</v>
      </c>
      <c r="V227" s="38">
        <v>1.081522512E9</v>
      </c>
      <c r="W227" s="38">
        <v>1.081540582E9</v>
      </c>
      <c r="X227" s="18" t="s">
        <v>2199</v>
      </c>
      <c r="Y227" s="18" t="s">
        <v>2200</v>
      </c>
      <c r="Z227" s="38">
        <v>167280.0</v>
      </c>
      <c r="AA227" s="38">
        <v>167280.0</v>
      </c>
      <c r="AB227" s="38">
        <v>38680.0</v>
      </c>
      <c r="AC227" s="38">
        <v>0.0</v>
      </c>
      <c r="AD227" s="38">
        <v>0.0</v>
      </c>
      <c r="AE227" s="38">
        <v>0.0</v>
      </c>
      <c r="AF227" s="38">
        <v>0.0</v>
      </c>
      <c r="AG227" s="38">
        <v>0.0</v>
      </c>
      <c r="AH227" s="38">
        <v>0.0</v>
      </c>
      <c r="AI227" s="38">
        <v>167280.0</v>
      </c>
      <c r="AJ227" s="38">
        <v>218639.2</v>
      </c>
      <c r="AK227" s="38">
        <v>1.0</v>
      </c>
      <c r="AL227" s="38">
        <v>57660.0</v>
      </c>
      <c r="AM227" s="38">
        <v>0.0</v>
      </c>
      <c r="AN227" s="34" t="s">
        <v>62</v>
      </c>
      <c r="AO227" s="34" t="s">
        <v>62</v>
      </c>
      <c r="AP227" s="34" t="s">
        <v>62</v>
      </c>
      <c r="AQ227" s="34" t="s">
        <v>62</v>
      </c>
      <c r="AR227" s="38">
        <v>0.0</v>
      </c>
      <c r="AS227" s="38" t="s">
        <v>2271</v>
      </c>
      <c r="AT227" s="38" t="s">
        <v>2202</v>
      </c>
      <c r="AU227" s="39" t="s">
        <v>2203</v>
      </c>
      <c r="AV227" s="40">
        <v>46163.0</v>
      </c>
    </row>
    <row r="228">
      <c r="A228" s="38">
        <v>287151.0</v>
      </c>
      <c r="B228" s="38">
        <v>287150.0</v>
      </c>
      <c r="C228" s="38">
        <v>287150.0</v>
      </c>
      <c r="D228" s="38">
        <v>62319.0</v>
      </c>
      <c r="E228" s="38">
        <v>62319.0</v>
      </c>
      <c r="F228" s="38">
        <v>9.00688317E8</v>
      </c>
      <c r="G228" s="18" t="s">
        <v>537</v>
      </c>
      <c r="H228" s="18" t="s">
        <v>2446</v>
      </c>
      <c r="I228" s="18" t="s">
        <v>172</v>
      </c>
      <c r="J228" s="18" t="s">
        <v>2205</v>
      </c>
      <c r="K228" s="18" t="s">
        <v>2205</v>
      </c>
      <c r="L228" s="18" t="s">
        <v>52</v>
      </c>
      <c r="M228" s="18" t="s">
        <v>89</v>
      </c>
      <c r="N228" s="18" t="s">
        <v>130</v>
      </c>
      <c r="O228" s="18" t="s">
        <v>126</v>
      </c>
      <c r="P228" s="18" t="s">
        <v>131</v>
      </c>
      <c r="Q228" s="18" t="s">
        <v>538</v>
      </c>
      <c r="R228" s="18" t="s">
        <v>133</v>
      </c>
      <c r="S228" s="18" t="s">
        <v>59</v>
      </c>
      <c r="T228" s="38">
        <v>2026.0</v>
      </c>
      <c r="U228" s="38">
        <v>5.0</v>
      </c>
      <c r="V228" s="38">
        <v>1.081522515E9</v>
      </c>
      <c r="W228" s="38">
        <v>1.081540585E9</v>
      </c>
      <c r="X228" s="18" t="s">
        <v>2199</v>
      </c>
      <c r="Y228" s="18" t="s">
        <v>2200</v>
      </c>
      <c r="Z228" s="38">
        <v>102854.69</v>
      </c>
      <c r="AA228" s="38">
        <v>102854.69</v>
      </c>
      <c r="AB228" s="38">
        <v>31676.0</v>
      </c>
      <c r="AC228" s="38">
        <v>0.0</v>
      </c>
      <c r="AD228" s="38">
        <v>7826.69</v>
      </c>
      <c r="AE228" s="38">
        <v>0.0</v>
      </c>
      <c r="AF228" s="38">
        <v>0.0</v>
      </c>
      <c r="AG228" s="38">
        <v>0.0</v>
      </c>
      <c r="AH228" s="38">
        <v>0.0</v>
      </c>
      <c r="AI228" s="38">
        <v>102854.69</v>
      </c>
      <c r="AJ228" s="38">
        <v>628485.13</v>
      </c>
      <c r="AK228" s="38">
        <v>6.0</v>
      </c>
      <c r="AL228" s="38">
        <v>376.2</v>
      </c>
      <c r="AM228" s="38">
        <v>0.0</v>
      </c>
      <c r="AN228" s="34" t="s">
        <v>62</v>
      </c>
      <c r="AO228" s="34" t="s">
        <v>62</v>
      </c>
      <c r="AP228" s="34" t="s">
        <v>62</v>
      </c>
      <c r="AQ228" s="34" t="s">
        <v>62</v>
      </c>
      <c r="AR228" s="38">
        <v>0.0</v>
      </c>
      <c r="AS228" s="38" t="s">
        <v>2447</v>
      </c>
      <c r="AT228" s="35" t="s">
        <v>2202</v>
      </c>
      <c r="AU228" s="39" t="s">
        <v>2254</v>
      </c>
      <c r="AV228" s="40">
        <v>46169.0</v>
      </c>
    </row>
    <row r="229">
      <c r="A229" s="38">
        <v>328522.0</v>
      </c>
      <c r="B229" s="38">
        <v>287174.0</v>
      </c>
      <c r="C229" s="38">
        <v>287174.0</v>
      </c>
      <c r="D229" s="38">
        <v>62354.0</v>
      </c>
      <c r="E229" s="38">
        <v>62354.0</v>
      </c>
      <c r="F229" s="38">
        <v>9.01959258E8</v>
      </c>
      <c r="G229" s="18" t="s">
        <v>235</v>
      </c>
      <c r="H229" s="18" t="s">
        <v>2385</v>
      </c>
      <c r="I229" s="18" t="s">
        <v>172</v>
      </c>
      <c r="J229" s="18" t="s">
        <v>2205</v>
      </c>
      <c r="K229" s="18" t="s">
        <v>2313</v>
      </c>
      <c r="L229" s="18" t="s">
        <v>52</v>
      </c>
      <c r="M229" s="18" t="s">
        <v>89</v>
      </c>
      <c r="N229" s="18" t="s">
        <v>130</v>
      </c>
      <c r="O229" s="18" t="s">
        <v>126</v>
      </c>
      <c r="P229" s="18" t="s">
        <v>56</v>
      </c>
      <c r="Q229" s="18" t="s">
        <v>72</v>
      </c>
      <c r="R229" s="18" t="s">
        <v>143</v>
      </c>
      <c r="S229" s="18" t="s">
        <v>59</v>
      </c>
      <c r="T229" s="38">
        <v>2026.0</v>
      </c>
      <c r="U229" s="38">
        <v>5.0</v>
      </c>
      <c r="V229" s="38">
        <v>1.081522519E9</v>
      </c>
      <c r="W229" s="38">
        <v>1.081540589E9</v>
      </c>
      <c r="X229" s="18" t="s">
        <v>2199</v>
      </c>
      <c r="Y229" s="18" t="s">
        <v>2200</v>
      </c>
      <c r="Z229" s="38">
        <v>221845.11</v>
      </c>
      <c r="AA229" s="38">
        <v>221845.11</v>
      </c>
      <c r="AB229" s="38">
        <v>51195.03</v>
      </c>
      <c r="AC229" s="38">
        <v>698.0</v>
      </c>
      <c r="AD229" s="38">
        <v>0.0</v>
      </c>
      <c r="AE229" s="38">
        <v>0.0</v>
      </c>
      <c r="AF229" s="38">
        <v>0.0</v>
      </c>
      <c r="AG229" s="38">
        <v>0.0</v>
      </c>
      <c r="AH229" s="38">
        <v>0.0</v>
      </c>
      <c r="AI229" s="38">
        <v>221845.11</v>
      </c>
      <c r="AJ229" s="38">
        <v>221845.11</v>
      </c>
      <c r="AK229" s="38">
        <v>0.0</v>
      </c>
      <c r="AL229" s="38">
        <v>326.04</v>
      </c>
      <c r="AM229" s="38">
        <v>0.0</v>
      </c>
      <c r="AN229" s="34" t="s">
        <v>62</v>
      </c>
      <c r="AO229" s="34" t="s">
        <v>62</v>
      </c>
      <c r="AP229" s="34" t="s">
        <v>62</v>
      </c>
      <c r="AQ229" s="34" t="s">
        <v>62</v>
      </c>
      <c r="AR229" s="38">
        <v>0.0</v>
      </c>
      <c r="AS229" s="38" t="s">
        <v>2314</v>
      </c>
      <c r="AT229" s="35" t="s">
        <v>2202</v>
      </c>
      <c r="AU229" s="39" t="s">
        <v>2203</v>
      </c>
      <c r="AV229" s="40">
        <v>46163.0</v>
      </c>
    </row>
    <row r="230">
      <c r="A230" s="38">
        <v>287191.0</v>
      </c>
      <c r="B230" s="38">
        <v>287190.0</v>
      </c>
      <c r="C230" s="38">
        <v>287190.0</v>
      </c>
      <c r="D230" s="38">
        <v>62381.0</v>
      </c>
      <c r="E230" s="38">
        <v>62381.0</v>
      </c>
      <c r="F230" s="38">
        <v>8.90800718E8</v>
      </c>
      <c r="G230" s="18" t="s">
        <v>541</v>
      </c>
      <c r="H230" s="18" t="s">
        <v>2448</v>
      </c>
      <c r="I230" s="18" t="s">
        <v>172</v>
      </c>
      <c r="J230" s="18" t="s">
        <v>2205</v>
      </c>
      <c r="K230" s="18" t="s">
        <v>2205</v>
      </c>
      <c r="L230" s="18" t="s">
        <v>52</v>
      </c>
      <c r="M230" s="18" t="s">
        <v>89</v>
      </c>
      <c r="N230" s="18" t="s">
        <v>130</v>
      </c>
      <c r="O230" s="18" t="s">
        <v>126</v>
      </c>
      <c r="P230" s="18" t="s">
        <v>56</v>
      </c>
      <c r="Q230" s="18" t="s">
        <v>90</v>
      </c>
      <c r="R230" s="18" t="s">
        <v>143</v>
      </c>
      <c r="S230" s="18" t="s">
        <v>59</v>
      </c>
      <c r="T230" s="38">
        <v>2026.0</v>
      </c>
      <c r="U230" s="38">
        <v>5.0</v>
      </c>
      <c r="V230" s="38">
        <v>1.081522523E9</v>
      </c>
      <c r="W230" s="38">
        <v>1.081540593E9</v>
      </c>
      <c r="X230" s="18" t="s">
        <v>2199</v>
      </c>
      <c r="Y230" s="18" t="s">
        <v>2200</v>
      </c>
      <c r="Z230" s="38">
        <v>153477.19</v>
      </c>
      <c r="AA230" s="38">
        <v>153477.19</v>
      </c>
      <c r="AB230" s="38">
        <v>51159.07</v>
      </c>
      <c r="AC230" s="38">
        <v>338.0</v>
      </c>
      <c r="AD230" s="38">
        <v>0.0</v>
      </c>
      <c r="AE230" s="38">
        <v>0.0</v>
      </c>
      <c r="AF230" s="38">
        <v>0.0</v>
      </c>
      <c r="AG230" s="38">
        <v>0.0</v>
      </c>
      <c r="AH230" s="38">
        <v>0.0</v>
      </c>
      <c r="AI230" s="38">
        <v>153477.19</v>
      </c>
      <c r="AJ230" s="38">
        <v>153477.19</v>
      </c>
      <c r="AK230" s="38">
        <v>0.0</v>
      </c>
      <c r="AL230" s="38">
        <v>376.2</v>
      </c>
      <c r="AM230" s="38">
        <v>0.0</v>
      </c>
      <c r="AN230" s="34" t="s">
        <v>62</v>
      </c>
      <c r="AO230" s="34" t="s">
        <v>62</v>
      </c>
      <c r="AP230" s="34" t="s">
        <v>62</v>
      </c>
      <c r="AQ230" s="34" t="s">
        <v>62</v>
      </c>
      <c r="AR230" s="38">
        <v>0.0</v>
      </c>
      <c r="AS230" s="38" t="s">
        <v>2449</v>
      </c>
      <c r="AT230" s="35" t="s">
        <v>2202</v>
      </c>
      <c r="AU230" s="39" t="s">
        <v>2254</v>
      </c>
      <c r="AV230" s="40">
        <v>46169.0</v>
      </c>
    </row>
    <row r="231">
      <c r="A231" s="38">
        <v>287459.0</v>
      </c>
      <c r="B231" s="38">
        <v>287458.0</v>
      </c>
      <c r="C231" s="38">
        <v>287458.0</v>
      </c>
      <c r="D231" s="38">
        <v>62663.0</v>
      </c>
      <c r="E231" s="38">
        <v>62663.0</v>
      </c>
      <c r="F231" s="18" t="s">
        <v>543</v>
      </c>
      <c r="G231" s="18" t="s">
        <v>544</v>
      </c>
      <c r="H231" s="18" t="s">
        <v>2450</v>
      </c>
      <c r="I231" s="38">
        <v>0.0</v>
      </c>
      <c r="J231" s="18" t="s">
        <v>2273</v>
      </c>
      <c r="K231" s="18" t="s">
        <v>2205</v>
      </c>
      <c r="L231" s="18" t="s">
        <v>52</v>
      </c>
      <c r="M231" s="18" t="s">
        <v>89</v>
      </c>
      <c r="N231" s="18" t="s">
        <v>130</v>
      </c>
      <c r="O231" s="18" t="s">
        <v>126</v>
      </c>
      <c r="P231" s="18" t="s">
        <v>56</v>
      </c>
      <c r="Q231" s="18" t="s">
        <v>90</v>
      </c>
      <c r="R231" s="18" t="s">
        <v>143</v>
      </c>
      <c r="S231" s="18" t="s">
        <v>59</v>
      </c>
      <c r="T231" s="38">
        <v>2026.0</v>
      </c>
      <c r="U231" s="38">
        <v>5.0</v>
      </c>
      <c r="V231" s="38">
        <v>1.081522527E9</v>
      </c>
      <c r="W231" s="38">
        <v>1.081540597E9</v>
      </c>
      <c r="X231" s="18" t="s">
        <v>2199</v>
      </c>
      <c r="Y231" s="18" t="s">
        <v>2200</v>
      </c>
      <c r="Z231" s="38">
        <v>171983.75</v>
      </c>
      <c r="AA231" s="38">
        <v>171983.75</v>
      </c>
      <c r="AB231" s="38">
        <v>57327.92</v>
      </c>
      <c r="AC231" s="38">
        <v>403.0</v>
      </c>
      <c r="AD231" s="38">
        <v>0.0</v>
      </c>
      <c r="AE231" s="38">
        <v>0.0</v>
      </c>
      <c r="AF231" s="38">
        <v>0.0</v>
      </c>
      <c r="AG231" s="38">
        <v>0.0</v>
      </c>
      <c r="AH231" s="38">
        <v>0.0</v>
      </c>
      <c r="AI231" s="38">
        <v>171983.75</v>
      </c>
      <c r="AJ231" s="38">
        <v>171984.59</v>
      </c>
      <c r="AK231" s="38">
        <v>1.0</v>
      </c>
      <c r="AL231" s="38">
        <v>376.2</v>
      </c>
      <c r="AM231" s="38">
        <v>0.0</v>
      </c>
      <c r="AN231" s="34" t="s">
        <v>62</v>
      </c>
      <c r="AO231" s="34" t="s">
        <v>62</v>
      </c>
      <c r="AP231" s="34" t="s">
        <v>62</v>
      </c>
      <c r="AQ231" s="34" t="s">
        <v>62</v>
      </c>
      <c r="AR231" s="38">
        <v>0.0</v>
      </c>
      <c r="AS231" s="38" t="s">
        <v>2451</v>
      </c>
      <c r="AT231" s="35" t="s">
        <v>2275</v>
      </c>
      <c r="AU231" s="39" t="s">
        <v>2276</v>
      </c>
      <c r="AV231" s="40">
        <v>46163.0</v>
      </c>
    </row>
    <row r="232">
      <c r="A232" s="38">
        <v>291863.0</v>
      </c>
      <c r="B232" s="38">
        <v>291862.0</v>
      </c>
      <c r="C232" s="38">
        <v>291862.0</v>
      </c>
      <c r="D232" s="38">
        <v>76895.0</v>
      </c>
      <c r="E232" s="38">
        <v>76895.0</v>
      </c>
      <c r="F232" s="38">
        <v>76895.0</v>
      </c>
      <c r="G232" s="18" t="s">
        <v>546</v>
      </c>
      <c r="H232" s="18" t="s">
        <v>2452</v>
      </c>
      <c r="I232" s="18" t="s">
        <v>376</v>
      </c>
      <c r="J232" s="18" t="s">
        <v>2205</v>
      </c>
      <c r="K232" s="18" t="s">
        <v>2205</v>
      </c>
      <c r="L232" s="18" t="s">
        <v>52</v>
      </c>
      <c r="M232" s="18" t="s">
        <v>89</v>
      </c>
      <c r="N232" s="18" t="s">
        <v>130</v>
      </c>
      <c r="O232" s="18" t="s">
        <v>126</v>
      </c>
      <c r="P232" s="18" t="s">
        <v>56</v>
      </c>
      <c r="Q232" s="18" t="s">
        <v>72</v>
      </c>
      <c r="R232" s="18" t="s">
        <v>143</v>
      </c>
      <c r="S232" s="18" t="s">
        <v>59</v>
      </c>
      <c r="T232" s="38">
        <v>2026.0</v>
      </c>
      <c r="U232" s="38">
        <v>5.0</v>
      </c>
      <c r="V232" s="38">
        <v>1.08152253E9</v>
      </c>
      <c r="W232" s="38">
        <v>1.0815406E9</v>
      </c>
      <c r="X232" s="18" t="s">
        <v>2199</v>
      </c>
      <c r="Y232" s="18" t="s">
        <v>2200</v>
      </c>
      <c r="Z232" s="38">
        <v>113414.2</v>
      </c>
      <c r="AA232" s="38">
        <v>113414.2</v>
      </c>
      <c r="AB232" s="38">
        <v>25855.25</v>
      </c>
      <c r="AC232" s="38">
        <v>253.0</v>
      </c>
      <c r="AD232" s="38">
        <v>1374.77</v>
      </c>
      <c r="AE232" s="38">
        <v>0.0</v>
      </c>
      <c r="AF232" s="38">
        <v>0.0</v>
      </c>
      <c r="AG232" s="38">
        <v>0.0</v>
      </c>
      <c r="AH232" s="38">
        <v>0.0</v>
      </c>
      <c r="AI232" s="38">
        <v>113414.2</v>
      </c>
      <c r="AJ232" s="38">
        <v>335644.43</v>
      </c>
      <c r="AK232" s="38">
        <v>2.0</v>
      </c>
      <c r="AL232" s="38">
        <v>326.04</v>
      </c>
      <c r="AM232" s="38">
        <v>0.0</v>
      </c>
      <c r="AN232" s="34" t="s">
        <v>62</v>
      </c>
      <c r="AO232" s="34" t="s">
        <v>62</v>
      </c>
      <c r="AP232" s="34" t="s">
        <v>62</v>
      </c>
      <c r="AQ232" s="34" t="s">
        <v>62</v>
      </c>
      <c r="AR232" s="38">
        <v>0.0</v>
      </c>
      <c r="AS232" s="38" t="s">
        <v>2453</v>
      </c>
      <c r="AT232" s="35" t="s">
        <v>2202</v>
      </c>
      <c r="AU232" s="39" t="s">
        <v>2254</v>
      </c>
      <c r="AV232" s="40">
        <v>46169.0</v>
      </c>
    </row>
    <row r="233">
      <c r="A233" s="38">
        <v>297.0</v>
      </c>
      <c r="B233" s="38">
        <v>296290.0</v>
      </c>
      <c r="C233" s="38">
        <v>296290.0</v>
      </c>
      <c r="D233" s="38">
        <v>191156.0</v>
      </c>
      <c r="E233" s="38">
        <v>191156.0</v>
      </c>
      <c r="F233" s="18" t="s">
        <v>135</v>
      </c>
      <c r="G233" s="18" t="s">
        <v>136</v>
      </c>
      <c r="H233" s="18" t="s">
        <v>2258</v>
      </c>
      <c r="I233" s="18" t="s">
        <v>381</v>
      </c>
      <c r="J233" s="18" t="s">
        <v>2205</v>
      </c>
      <c r="K233" s="18" t="s">
        <v>2259</v>
      </c>
      <c r="L233" s="18" t="s">
        <v>52</v>
      </c>
      <c r="M233" s="18" t="s">
        <v>138</v>
      </c>
      <c r="N233" s="18" t="s">
        <v>130</v>
      </c>
      <c r="O233" s="18" t="s">
        <v>126</v>
      </c>
      <c r="P233" s="18" t="s">
        <v>131</v>
      </c>
      <c r="Q233" s="18" t="s">
        <v>139</v>
      </c>
      <c r="R233" s="18" t="s">
        <v>133</v>
      </c>
      <c r="S233" s="18" t="s">
        <v>59</v>
      </c>
      <c r="T233" s="38">
        <v>2026.0</v>
      </c>
      <c r="U233" s="38">
        <v>5.0</v>
      </c>
      <c r="V233" s="38">
        <v>1.081522534E9</v>
      </c>
      <c r="W233" s="38">
        <v>1.081540604E9</v>
      </c>
      <c r="X233" s="18" t="s">
        <v>2199</v>
      </c>
      <c r="Y233" s="18" t="s">
        <v>2200</v>
      </c>
      <c r="Z233" s="38">
        <v>63352.0</v>
      </c>
      <c r="AA233" s="38">
        <v>63352.0</v>
      </c>
      <c r="AB233" s="38">
        <v>0.0</v>
      </c>
      <c r="AC233" s="38">
        <v>0.0</v>
      </c>
      <c r="AD233" s="38">
        <v>0.0</v>
      </c>
      <c r="AE233" s="38">
        <v>0.0</v>
      </c>
      <c r="AF233" s="38">
        <v>0.0</v>
      </c>
      <c r="AG233" s="38">
        <v>0.0</v>
      </c>
      <c r="AH233" s="38">
        <v>0.0</v>
      </c>
      <c r="AI233" s="38">
        <v>63352.0</v>
      </c>
      <c r="AJ233" s="38">
        <v>63352.0</v>
      </c>
      <c r="AK233" s="38">
        <v>0.0</v>
      </c>
      <c r="AL233" s="38">
        <v>250.8</v>
      </c>
      <c r="AM233" s="38">
        <v>0.0</v>
      </c>
      <c r="AN233" s="34" t="s">
        <v>62</v>
      </c>
      <c r="AO233" s="34" t="s">
        <v>62</v>
      </c>
      <c r="AP233" s="34" t="s">
        <v>62</v>
      </c>
      <c r="AQ233" s="34" t="s">
        <v>62</v>
      </c>
      <c r="AR233" s="38">
        <v>0.0</v>
      </c>
      <c r="AS233" s="38" t="s">
        <v>2260</v>
      </c>
      <c r="AT233" s="35" t="s">
        <v>2202</v>
      </c>
      <c r="AU233" s="39" t="s">
        <v>2203</v>
      </c>
      <c r="AV233" s="40">
        <v>46164.0</v>
      </c>
    </row>
    <row r="234">
      <c r="A234" s="38">
        <v>350.0</v>
      </c>
      <c r="B234" s="38">
        <v>300314.0</v>
      </c>
      <c r="C234" s="38">
        <v>300314.0</v>
      </c>
      <c r="D234" s="38">
        <v>212494.0</v>
      </c>
      <c r="E234" s="38">
        <v>212494.0</v>
      </c>
      <c r="F234" s="38">
        <v>9.00603041E8</v>
      </c>
      <c r="G234" s="18" t="s">
        <v>400</v>
      </c>
      <c r="H234" s="18" t="s">
        <v>2304</v>
      </c>
      <c r="I234" s="18" t="s">
        <v>549</v>
      </c>
      <c r="J234" s="18" t="s">
        <v>2205</v>
      </c>
      <c r="K234" s="18" t="s">
        <v>2305</v>
      </c>
      <c r="L234" s="18" t="s">
        <v>52</v>
      </c>
      <c r="M234" s="18" t="s">
        <v>138</v>
      </c>
      <c r="N234" s="18" t="s">
        <v>130</v>
      </c>
      <c r="O234" s="18" t="s">
        <v>126</v>
      </c>
      <c r="P234" s="18" t="s">
        <v>56</v>
      </c>
      <c r="Q234" s="18" t="s">
        <v>90</v>
      </c>
      <c r="R234" s="18" t="s">
        <v>143</v>
      </c>
      <c r="S234" s="18" t="s">
        <v>59</v>
      </c>
      <c r="T234" s="38">
        <v>2026.0</v>
      </c>
      <c r="U234" s="38">
        <v>5.0</v>
      </c>
      <c r="V234" s="38">
        <v>1.081522539E9</v>
      </c>
      <c r="W234" s="38">
        <v>1.081540609E9</v>
      </c>
      <c r="X234" s="18" t="s">
        <v>2199</v>
      </c>
      <c r="Y234" s="18" t="s">
        <v>2200</v>
      </c>
      <c r="Z234" s="38">
        <v>1142854.53</v>
      </c>
      <c r="AA234" s="38">
        <v>1142854.53</v>
      </c>
      <c r="AB234" s="38">
        <v>374976.63</v>
      </c>
      <c r="AC234" s="38">
        <v>3750.0</v>
      </c>
      <c r="AD234" s="38">
        <v>17924.65</v>
      </c>
      <c r="AE234" s="38">
        <v>0.0</v>
      </c>
      <c r="AF234" s="38">
        <v>0.0</v>
      </c>
      <c r="AG234" s="38">
        <v>0.0</v>
      </c>
      <c r="AH234" s="38">
        <v>0.0</v>
      </c>
      <c r="AI234" s="38">
        <v>1142854.53</v>
      </c>
      <c r="AJ234" s="38">
        <v>3343538.56</v>
      </c>
      <c r="AK234" s="38">
        <v>2.0</v>
      </c>
      <c r="AL234" s="38">
        <v>376.2</v>
      </c>
      <c r="AM234" s="38">
        <v>0.0</v>
      </c>
      <c r="AN234" s="34" t="s">
        <v>62</v>
      </c>
      <c r="AO234" s="34" t="s">
        <v>62</v>
      </c>
      <c r="AP234" s="34" t="s">
        <v>62</v>
      </c>
      <c r="AQ234" s="34" t="s">
        <v>62</v>
      </c>
      <c r="AR234" s="38">
        <v>0.0</v>
      </c>
      <c r="AS234" s="38" t="s">
        <v>2306</v>
      </c>
      <c r="AT234" s="35" t="s">
        <v>2202</v>
      </c>
      <c r="AU234" s="39" t="s">
        <v>2203</v>
      </c>
      <c r="AV234" s="40">
        <v>46164.0</v>
      </c>
    </row>
    <row r="235">
      <c r="A235" s="38">
        <v>297.0</v>
      </c>
      <c r="B235" s="38">
        <v>309014.0</v>
      </c>
      <c r="C235" s="38">
        <v>309014.0</v>
      </c>
      <c r="D235" s="38">
        <v>320571.0</v>
      </c>
      <c r="E235" s="38">
        <v>320571.0</v>
      </c>
      <c r="F235" s="18" t="s">
        <v>135</v>
      </c>
      <c r="G235" s="18" t="s">
        <v>136</v>
      </c>
      <c r="H235" s="18" t="s">
        <v>2258</v>
      </c>
      <c r="I235" s="18" t="s">
        <v>189</v>
      </c>
      <c r="J235" s="18" t="s">
        <v>2205</v>
      </c>
      <c r="K235" s="18" t="s">
        <v>2259</v>
      </c>
      <c r="L235" s="18" t="s">
        <v>52</v>
      </c>
      <c r="M235" s="18" t="s">
        <v>138</v>
      </c>
      <c r="N235" s="18" t="s">
        <v>130</v>
      </c>
      <c r="O235" s="18" t="s">
        <v>126</v>
      </c>
      <c r="P235" s="18" t="s">
        <v>56</v>
      </c>
      <c r="Q235" s="18" t="s">
        <v>57</v>
      </c>
      <c r="R235" s="18" t="s">
        <v>143</v>
      </c>
      <c r="S235" s="18" t="s">
        <v>59</v>
      </c>
      <c r="T235" s="38">
        <v>2026.0</v>
      </c>
      <c r="U235" s="38">
        <v>5.0</v>
      </c>
      <c r="V235" s="38">
        <v>1.081522543E9</v>
      </c>
      <c r="W235" s="38">
        <v>1.081540613E9</v>
      </c>
      <c r="X235" s="18" t="s">
        <v>2199</v>
      </c>
      <c r="Y235" s="18" t="s">
        <v>2200</v>
      </c>
      <c r="Z235" s="38">
        <v>104595.85</v>
      </c>
      <c r="AA235" s="38">
        <v>104595.85</v>
      </c>
      <c r="AB235" s="38">
        <v>0.0</v>
      </c>
      <c r="AC235" s="38">
        <v>350.0</v>
      </c>
      <c r="AD235" s="38">
        <v>0.0</v>
      </c>
      <c r="AE235" s="38">
        <v>0.0</v>
      </c>
      <c r="AF235" s="38">
        <v>0.0</v>
      </c>
      <c r="AG235" s="38">
        <v>0.0</v>
      </c>
      <c r="AH235" s="38">
        <v>0.0</v>
      </c>
      <c r="AI235" s="38">
        <v>104595.85</v>
      </c>
      <c r="AJ235" s="38">
        <v>104595.85</v>
      </c>
      <c r="AK235" s="38">
        <v>0.0</v>
      </c>
      <c r="AL235" s="38">
        <v>250.8</v>
      </c>
      <c r="AM235" s="38">
        <v>0.0</v>
      </c>
      <c r="AN235" s="34" t="s">
        <v>62</v>
      </c>
      <c r="AO235" s="34" t="s">
        <v>62</v>
      </c>
      <c r="AP235" s="34" t="s">
        <v>62</v>
      </c>
      <c r="AQ235" s="34" t="s">
        <v>62</v>
      </c>
      <c r="AR235" s="38">
        <v>0.0</v>
      </c>
      <c r="AS235" s="38" t="s">
        <v>2260</v>
      </c>
      <c r="AT235" s="35" t="s">
        <v>2202</v>
      </c>
      <c r="AU235" s="39" t="s">
        <v>2203</v>
      </c>
      <c r="AV235" s="40">
        <v>46164.0</v>
      </c>
    </row>
    <row r="236">
      <c r="A236" s="38">
        <v>297.0</v>
      </c>
      <c r="B236" s="38">
        <v>312078.0</v>
      </c>
      <c r="C236" s="38">
        <v>312078.0</v>
      </c>
      <c r="D236" s="38">
        <v>424806.0</v>
      </c>
      <c r="E236" s="38">
        <v>424806.0</v>
      </c>
      <c r="F236" s="18" t="s">
        <v>135</v>
      </c>
      <c r="G236" s="18" t="s">
        <v>136</v>
      </c>
      <c r="H236" s="18" t="s">
        <v>2258</v>
      </c>
      <c r="I236" s="18" t="s">
        <v>183</v>
      </c>
      <c r="J236" s="18" t="s">
        <v>2205</v>
      </c>
      <c r="K236" s="18" t="s">
        <v>2259</v>
      </c>
      <c r="L236" s="18" t="s">
        <v>52</v>
      </c>
      <c r="M236" s="18" t="s">
        <v>138</v>
      </c>
      <c r="N236" s="18" t="s">
        <v>130</v>
      </c>
      <c r="O236" s="18" t="s">
        <v>126</v>
      </c>
      <c r="P236" s="18" t="s">
        <v>131</v>
      </c>
      <c r="Q236" s="18" t="s">
        <v>139</v>
      </c>
      <c r="R236" s="18" t="s">
        <v>133</v>
      </c>
      <c r="S236" s="18" t="s">
        <v>59</v>
      </c>
      <c r="T236" s="38">
        <v>2026.0</v>
      </c>
      <c r="U236" s="38">
        <v>5.0</v>
      </c>
      <c r="V236" s="38">
        <v>1.081522546E9</v>
      </c>
      <c r="W236" s="38">
        <v>1.081540616E9</v>
      </c>
      <c r="X236" s="18" t="s">
        <v>2199</v>
      </c>
      <c r="Y236" s="18" t="s">
        <v>2200</v>
      </c>
      <c r="Z236" s="38">
        <v>63352.0</v>
      </c>
      <c r="AA236" s="38">
        <v>63352.0</v>
      </c>
      <c r="AB236" s="38">
        <v>0.0</v>
      </c>
      <c r="AC236" s="38">
        <v>0.0</v>
      </c>
      <c r="AD236" s="38">
        <v>0.0</v>
      </c>
      <c r="AE236" s="38">
        <v>0.0</v>
      </c>
      <c r="AF236" s="38">
        <v>0.0</v>
      </c>
      <c r="AG236" s="38">
        <v>0.0</v>
      </c>
      <c r="AH236" s="38">
        <v>0.0</v>
      </c>
      <c r="AI236" s="38">
        <v>63352.0</v>
      </c>
      <c r="AJ236" s="38">
        <v>63352.0</v>
      </c>
      <c r="AK236" s="38">
        <v>0.0</v>
      </c>
      <c r="AL236" s="38">
        <v>250.8</v>
      </c>
      <c r="AM236" s="38">
        <v>0.0</v>
      </c>
      <c r="AN236" s="34" t="s">
        <v>62</v>
      </c>
      <c r="AO236" s="34" t="s">
        <v>62</v>
      </c>
      <c r="AP236" s="34" t="s">
        <v>62</v>
      </c>
      <c r="AQ236" s="34" t="s">
        <v>62</v>
      </c>
      <c r="AR236" s="38">
        <v>0.0</v>
      </c>
      <c r="AS236" s="38" t="s">
        <v>2260</v>
      </c>
      <c r="AT236" s="35" t="s">
        <v>2202</v>
      </c>
      <c r="AU236" s="39" t="s">
        <v>2203</v>
      </c>
      <c r="AV236" s="40">
        <v>46164.0</v>
      </c>
    </row>
    <row r="237">
      <c r="A237" s="38">
        <v>699.0</v>
      </c>
      <c r="B237" s="38">
        <v>313426.0</v>
      </c>
      <c r="C237" s="38">
        <v>313426.0</v>
      </c>
      <c r="D237" s="38">
        <v>440188.0</v>
      </c>
      <c r="E237" s="38">
        <v>440188.0</v>
      </c>
      <c r="F237" s="38">
        <v>9.00480569E8</v>
      </c>
      <c r="G237" s="18" t="s">
        <v>141</v>
      </c>
      <c r="H237" s="18" t="s">
        <v>2255</v>
      </c>
      <c r="I237" s="18" t="s">
        <v>224</v>
      </c>
      <c r="J237" s="18" t="s">
        <v>2205</v>
      </c>
      <c r="K237" s="18" t="s">
        <v>2256</v>
      </c>
      <c r="L237" s="18" t="s">
        <v>52</v>
      </c>
      <c r="M237" s="18" t="s">
        <v>138</v>
      </c>
      <c r="N237" s="18" t="s">
        <v>130</v>
      </c>
      <c r="O237" s="18" t="s">
        <v>126</v>
      </c>
      <c r="P237" s="18" t="s">
        <v>131</v>
      </c>
      <c r="Q237" s="18" t="s">
        <v>132</v>
      </c>
      <c r="R237" s="18" t="s">
        <v>133</v>
      </c>
      <c r="S237" s="18" t="s">
        <v>59</v>
      </c>
      <c r="T237" s="38">
        <v>2026.0</v>
      </c>
      <c r="U237" s="38">
        <v>5.0</v>
      </c>
      <c r="V237" s="38">
        <v>1.081522549E9</v>
      </c>
      <c r="W237" s="38">
        <v>1.081540619E9</v>
      </c>
      <c r="X237" s="18" t="s">
        <v>2199</v>
      </c>
      <c r="Y237" s="18" t="s">
        <v>2200</v>
      </c>
      <c r="Z237" s="38">
        <v>120098.81</v>
      </c>
      <c r="AA237" s="38">
        <v>120098.81</v>
      </c>
      <c r="AB237" s="38">
        <v>37970.5</v>
      </c>
      <c r="AC237" s="38">
        <v>0.0</v>
      </c>
      <c r="AD237" s="38">
        <v>6187.31</v>
      </c>
      <c r="AE237" s="38">
        <v>0.0</v>
      </c>
      <c r="AF237" s="38">
        <v>0.0</v>
      </c>
      <c r="AG237" s="38">
        <v>0.0</v>
      </c>
      <c r="AH237" s="38">
        <v>0.0</v>
      </c>
      <c r="AI237" s="38">
        <v>120098.68</v>
      </c>
      <c r="AJ237" s="38">
        <v>120098.68</v>
      </c>
      <c r="AK237" s="38">
        <v>0.0</v>
      </c>
      <c r="AL237" s="38">
        <v>376.2</v>
      </c>
      <c r="AM237" s="38">
        <v>0.0</v>
      </c>
      <c r="AN237" s="34" t="s">
        <v>62</v>
      </c>
      <c r="AO237" s="34" t="s">
        <v>62</v>
      </c>
      <c r="AP237" s="38">
        <v>0.13</v>
      </c>
      <c r="AQ237" s="34" t="s">
        <v>62</v>
      </c>
      <c r="AR237" s="38">
        <v>0.0</v>
      </c>
      <c r="AS237" s="38" t="s">
        <v>2257</v>
      </c>
      <c r="AT237" s="35" t="s">
        <v>2202</v>
      </c>
      <c r="AU237" s="39" t="s">
        <v>2203</v>
      </c>
      <c r="AV237" s="40">
        <v>46163.0</v>
      </c>
    </row>
    <row r="238">
      <c r="A238" s="38">
        <v>3159.0</v>
      </c>
      <c r="B238" s="38">
        <v>3158.0</v>
      </c>
      <c r="C238" s="38">
        <v>3158.0</v>
      </c>
      <c r="D238" s="38">
        <v>8.0123484E7</v>
      </c>
      <c r="E238" s="38">
        <v>8.0123484E7</v>
      </c>
      <c r="F238" s="38">
        <v>8.60013798E8</v>
      </c>
      <c r="G238" s="18" t="s">
        <v>554</v>
      </c>
      <c r="H238" s="18" t="s">
        <v>2454</v>
      </c>
      <c r="I238" s="18" t="s">
        <v>181</v>
      </c>
      <c r="J238" s="18" t="s">
        <v>2205</v>
      </c>
      <c r="K238" s="18" t="s">
        <v>2205</v>
      </c>
      <c r="L238" s="18" t="s">
        <v>52</v>
      </c>
      <c r="M238" s="18" t="s">
        <v>89</v>
      </c>
      <c r="N238" s="18" t="s">
        <v>130</v>
      </c>
      <c r="O238" s="18" t="s">
        <v>126</v>
      </c>
      <c r="P238" s="18" t="s">
        <v>56</v>
      </c>
      <c r="Q238" s="18" t="s">
        <v>90</v>
      </c>
      <c r="R238" s="18" t="s">
        <v>58</v>
      </c>
      <c r="S238" s="18" t="s">
        <v>59</v>
      </c>
      <c r="T238" s="38">
        <v>2026.0</v>
      </c>
      <c r="U238" s="38">
        <v>5.0</v>
      </c>
      <c r="V238" s="38">
        <v>1.081522296E9</v>
      </c>
      <c r="W238" s="38">
        <v>1.081540366E9</v>
      </c>
      <c r="X238" s="18" t="s">
        <v>2199</v>
      </c>
      <c r="Y238" s="18" t="s">
        <v>2200</v>
      </c>
      <c r="Z238" s="38">
        <v>2875936.35</v>
      </c>
      <c r="AA238" s="38">
        <v>2875936.35</v>
      </c>
      <c r="AB238" s="38">
        <v>958645.45</v>
      </c>
      <c r="AC238" s="38">
        <v>9900.0</v>
      </c>
      <c r="AD238" s="38">
        <v>0.0</v>
      </c>
      <c r="AE238" s="38">
        <v>0.0</v>
      </c>
      <c r="AF238" s="38">
        <v>0.0</v>
      </c>
      <c r="AG238" s="38">
        <v>0.0</v>
      </c>
      <c r="AH238" s="38">
        <v>0.0</v>
      </c>
      <c r="AI238" s="38">
        <v>2875936.35</v>
      </c>
      <c r="AJ238" s="38">
        <v>2875936.35</v>
      </c>
      <c r="AK238" s="38">
        <v>0.0</v>
      </c>
      <c r="AL238" s="38">
        <v>376.2</v>
      </c>
      <c r="AM238" s="38">
        <v>0.0</v>
      </c>
      <c r="AN238" s="34" t="s">
        <v>62</v>
      </c>
      <c r="AO238" s="34" t="s">
        <v>62</v>
      </c>
      <c r="AP238" s="34" t="s">
        <v>62</v>
      </c>
      <c r="AQ238" s="34" t="s">
        <v>62</v>
      </c>
      <c r="AR238" s="38">
        <v>0.0</v>
      </c>
      <c r="AS238" s="38" t="s">
        <v>2455</v>
      </c>
      <c r="AT238" s="35" t="s">
        <v>2202</v>
      </c>
      <c r="AU238" s="39" t="s">
        <v>2254</v>
      </c>
      <c r="AV238" s="40">
        <v>46169.0</v>
      </c>
    </row>
    <row r="239">
      <c r="A239" s="38">
        <v>455370.0</v>
      </c>
      <c r="B239" s="38">
        <v>3162.0</v>
      </c>
      <c r="C239" s="38">
        <v>3162.0</v>
      </c>
      <c r="D239" s="38">
        <v>8.0123488E7</v>
      </c>
      <c r="E239" s="38">
        <v>8.0123488E7</v>
      </c>
      <c r="F239" s="18" t="s">
        <v>148</v>
      </c>
      <c r="G239" s="18" t="s">
        <v>149</v>
      </c>
      <c r="H239" s="18" t="s">
        <v>2296</v>
      </c>
      <c r="I239" s="18" t="s">
        <v>362</v>
      </c>
      <c r="J239" s="18" t="s">
        <v>2205</v>
      </c>
      <c r="K239" s="18" t="s">
        <v>2292</v>
      </c>
      <c r="L239" s="18" t="s">
        <v>52</v>
      </c>
      <c r="M239" s="18" t="s">
        <v>138</v>
      </c>
      <c r="N239" s="18" t="s">
        <v>130</v>
      </c>
      <c r="O239" s="18" t="s">
        <v>126</v>
      </c>
      <c r="P239" s="18" t="s">
        <v>56</v>
      </c>
      <c r="Q239" s="18" t="s">
        <v>57</v>
      </c>
      <c r="R239" s="18" t="s">
        <v>143</v>
      </c>
      <c r="S239" s="18" t="s">
        <v>59</v>
      </c>
      <c r="T239" s="38">
        <v>2026.0</v>
      </c>
      <c r="U239" s="38">
        <v>5.0</v>
      </c>
      <c r="V239" s="38">
        <v>1.0815223E9</v>
      </c>
      <c r="W239" s="38">
        <v>1.08154037E9</v>
      </c>
      <c r="X239" s="18" t="s">
        <v>2199</v>
      </c>
      <c r="Y239" s="18" t="s">
        <v>2200</v>
      </c>
      <c r="Z239" s="38">
        <v>152048.6</v>
      </c>
      <c r="AA239" s="38">
        <v>152048.6</v>
      </c>
      <c r="AB239" s="38">
        <v>0.0</v>
      </c>
      <c r="AC239" s="38">
        <v>600.0</v>
      </c>
      <c r="AD239" s="38">
        <v>0.0</v>
      </c>
      <c r="AE239" s="38">
        <v>0.0</v>
      </c>
      <c r="AF239" s="38">
        <v>0.0</v>
      </c>
      <c r="AG239" s="38">
        <v>0.0</v>
      </c>
      <c r="AH239" s="38">
        <v>0.0</v>
      </c>
      <c r="AI239" s="38">
        <v>152048.6</v>
      </c>
      <c r="AJ239" s="38">
        <v>463746.1</v>
      </c>
      <c r="AK239" s="38">
        <v>3.0</v>
      </c>
      <c r="AL239" s="38">
        <v>250.8</v>
      </c>
      <c r="AM239" s="38">
        <v>0.0</v>
      </c>
      <c r="AN239" s="34" t="s">
        <v>62</v>
      </c>
      <c r="AO239" s="34" t="s">
        <v>62</v>
      </c>
      <c r="AP239" s="34" t="s">
        <v>62</v>
      </c>
      <c r="AQ239" s="34" t="s">
        <v>62</v>
      </c>
      <c r="AR239" s="38">
        <v>0.0</v>
      </c>
      <c r="AS239" s="38" t="s">
        <v>2293</v>
      </c>
      <c r="AT239" s="35" t="s">
        <v>2294</v>
      </c>
      <c r="AU239" s="39" t="s">
        <v>2295</v>
      </c>
      <c r="AV239" s="40">
        <v>46164.0</v>
      </c>
    </row>
    <row r="240">
      <c r="A240" s="38">
        <v>455370.0</v>
      </c>
      <c r="B240" s="38">
        <v>3170.0</v>
      </c>
      <c r="C240" s="38">
        <v>3170.0</v>
      </c>
      <c r="D240" s="38">
        <v>8.0123496E7</v>
      </c>
      <c r="E240" s="38">
        <v>8.0123496E7</v>
      </c>
      <c r="F240" s="18" t="s">
        <v>148</v>
      </c>
      <c r="G240" s="18" t="s">
        <v>149</v>
      </c>
      <c r="H240" s="18" t="s">
        <v>2296</v>
      </c>
      <c r="I240" s="18" t="s">
        <v>157</v>
      </c>
      <c r="J240" s="18" t="s">
        <v>2205</v>
      </c>
      <c r="K240" s="18" t="s">
        <v>2292</v>
      </c>
      <c r="L240" s="18" t="s">
        <v>52</v>
      </c>
      <c r="M240" s="18" t="s">
        <v>138</v>
      </c>
      <c r="N240" s="18" t="s">
        <v>130</v>
      </c>
      <c r="O240" s="18" t="s">
        <v>126</v>
      </c>
      <c r="P240" s="18" t="s">
        <v>56</v>
      </c>
      <c r="Q240" s="18" t="s">
        <v>57</v>
      </c>
      <c r="R240" s="18" t="s">
        <v>143</v>
      </c>
      <c r="S240" s="18" t="s">
        <v>59</v>
      </c>
      <c r="T240" s="38">
        <v>2026.0</v>
      </c>
      <c r="U240" s="38">
        <v>5.0</v>
      </c>
      <c r="V240" s="38">
        <v>1.081522307E9</v>
      </c>
      <c r="W240" s="38">
        <v>1.081540377E9</v>
      </c>
      <c r="X240" s="18" t="s">
        <v>2199</v>
      </c>
      <c r="Y240" s="18" t="s">
        <v>2200</v>
      </c>
      <c r="Z240" s="38">
        <v>422149.65</v>
      </c>
      <c r="AA240" s="38">
        <v>422149.65</v>
      </c>
      <c r="AB240" s="38">
        <v>0.0</v>
      </c>
      <c r="AC240" s="38">
        <v>2023.0</v>
      </c>
      <c r="AD240" s="38">
        <v>0.0</v>
      </c>
      <c r="AE240" s="38">
        <v>0.0</v>
      </c>
      <c r="AF240" s="38">
        <v>0.0</v>
      </c>
      <c r="AG240" s="38">
        <v>0.0</v>
      </c>
      <c r="AH240" s="38">
        <v>0.0</v>
      </c>
      <c r="AI240" s="38">
        <v>422149.65</v>
      </c>
      <c r="AJ240" s="38">
        <v>997462.17</v>
      </c>
      <c r="AK240" s="38">
        <v>3.0</v>
      </c>
      <c r="AL240" s="38">
        <v>250.8</v>
      </c>
      <c r="AM240" s="38">
        <v>0.0</v>
      </c>
      <c r="AN240" s="34" t="s">
        <v>62</v>
      </c>
      <c r="AO240" s="34" t="s">
        <v>62</v>
      </c>
      <c r="AP240" s="34" t="s">
        <v>62</v>
      </c>
      <c r="AQ240" s="34" t="s">
        <v>62</v>
      </c>
      <c r="AR240" s="38">
        <v>0.0</v>
      </c>
      <c r="AS240" s="38" t="s">
        <v>2293</v>
      </c>
      <c r="AT240" s="35" t="s">
        <v>2294</v>
      </c>
      <c r="AU240" s="39" t="s">
        <v>2295</v>
      </c>
      <c r="AV240" s="40">
        <v>46164.0</v>
      </c>
    </row>
    <row r="241">
      <c r="A241" s="38">
        <v>455370.0</v>
      </c>
      <c r="B241" s="38">
        <v>3174.0</v>
      </c>
      <c r="C241" s="38">
        <v>3174.0</v>
      </c>
      <c r="D241" s="38">
        <v>8.01235E7</v>
      </c>
      <c r="E241" s="38">
        <v>8.01235E7</v>
      </c>
      <c r="F241" s="18" t="s">
        <v>148</v>
      </c>
      <c r="G241" s="18" t="s">
        <v>149</v>
      </c>
      <c r="H241" s="18" t="s">
        <v>2296</v>
      </c>
      <c r="I241" s="18" t="s">
        <v>409</v>
      </c>
      <c r="J241" s="18" t="s">
        <v>2205</v>
      </c>
      <c r="K241" s="18" t="s">
        <v>2292</v>
      </c>
      <c r="L241" s="18" t="s">
        <v>52</v>
      </c>
      <c r="M241" s="18" t="s">
        <v>138</v>
      </c>
      <c r="N241" s="18" t="s">
        <v>130</v>
      </c>
      <c r="O241" s="18" t="s">
        <v>126</v>
      </c>
      <c r="P241" s="18" t="s">
        <v>56</v>
      </c>
      <c r="Q241" s="18" t="s">
        <v>57</v>
      </c>
      <c r="R241" s="18" t="s">
        <v>143</v>
      </c>
      <c r="S241" s="18" t="s">
        <v>59</v>
      </c>
      <c r="T241" s="38">
        <v>2026.0</v>
      </c>
      <c r="U241" s="38">
        <v>5.0</v>
      </c>
      <c r="V241" s="38">
        <v>1.08152231E9</v>
      </c>
      <c r="W241" s="38">
        <v>1.08154038E9</v>
      </c>
      <c r="X241" s="18" t="s">
        <v>2199</v>
      </c>
      <c r="Y241" s="18" t="s">
        <v>2200</v>
      </c>
      <c r="Z241" s="38">
        <v>322878.5</v>
      </c>
      <c r="AA241" s="38">
        <v>322878.5</v>
      </c>
      <c r="AB241" s="38">
        <v>0.0</v>
      </c>
      <c r="AC241" s="38">
        <v>1500.0</v>
      </c>
      <c r="AD241" s="38">
        <v>0.0</v>
      </c>
      <c r="AE241" s="38">
        <v>0.0</v>
      </c>
      <c r="AF241" s="38">
        <v>0.0</v>
      </c>
      <c r="AG241" s="38">
        <v>0.0</v>
      </c>
      <c r="AH241" s="38">
        <v>0.0</v>
      </c>
      <c r="AI241" s="38">
        <v>322878.5</v>
      </c>
      <c r="AJ241" s="38">
        <v>801303.7</v>
      </c>
      <c r="AK241" s="38">
        <v>3.0</v>
      </c>
      <c r="AL241" s="38">
        <v>250.8</v>
      </c>
      <c r="AM241" s="38">
        <v>0.0</v>
      </c>
      <c r="AN241" s="34" t="s">
        <v>62</v>
      </c>
      <c r="AO241" s="34" t="s">
        <v>62</v>
      </c>
      <c r="AP241" s="34" t="s">
        <v>62</v>
      </c>
      <c r="AQ241" s="34" t="s">
        <v>62</v>
      </c>
      <c r="AR241" s="38">
        <v>0.0</v>
      </c>
      <c r="AS241" s="38" t="s">
        <v>2293</v>
      </c>
      <c r="AT241" s="35" t="s">
        <v>2294</v>
      </c>
      <c r="AU241" s="39" t="s">
        <v>2295</v>
      </c>
      <c r="AV241" s="40">
        <v>46164.0</v>
      </c>
    </row>
    <row r="242">
      <c r="A242" s="38">
        <v>3179.0</v>
      </c>
      <c r="B242" s="38">
        <v>3178.0</v>
      </c>
      <c r="C242" s="38">
        <v>3178.0</v>
      </c>
      <c r="D242" s="38">
        <v>8.0123504E7</v>
      </c>
      <c r="E242" s="38">
        <v>8.0123504E7</v>
      </c>
      <c r="F242" s="38">
        <v>8.60020382E8</v>
      </c>
      <c r="G242" s="18" t="s">
        <v>559</v>
      </c>
      <c r="H242" s="18" t="s">
        <v>2456</v>
      </c>
      <c r="I242" s="18" t="s">
        <v>172</v>
      </c>
      <c r="J242" s="18" t="s">
        <v>2205</v>
      </c>
      <c r="K242" s="18" t="s">
        <v>2205</v>
      </c>
      <c r="L242" s="18" t="s">
        <v>52</v>
      </c>
      <c r="M242" s="18" t="s">
        <v>89</v>
      </c>
      <c r="N242" s="18" t="s">
        <v>130</v>
      </c>
      <c r="O242" s="18" t="s">
        <v>126</v>
      </c>
      <c r="P242" s="18" t="s">
        <v>56</v>
      </c>
      <c r="Q242" s="18" t="s">
        <v>90</v>
      </c>
      <c r="R242" s="18" t="s">
        <v>143</v>
      </c>
      <c r="S242" s="18" t="s">
        <v>59</v>
      </c>
      <c r="T242" s="38">
        <v>2026.0</v>
      </c>
      <c r="U242" s="38">
        <v>5.0</v>
      </c>
      <c r="V242" s="38">
        <v>1.081522313E9</v>
      </c>
      <c r="W242" s="38">
        <v>1.081540383E9</v>
      </c>
      <c r="X242" s="18" t="s">
        <v>2199</v>
      </c>
      <c r="Y242" s="18" t="s">
        <v>2200</v>
      </c>
      <c r="Z242" s="38">
        <v>235190.83</v>
      </c>
      <c r="AA242" s="38">
        <v>235190.83</v>
      </c>
      <c r="AB242" s="38">
        <v>78396.95</v>
      </c>
      <c r="AC242" s="38">
        <v>625.0</v>
      </c>
      <c r="AD242" s="38">
        <v>0.0</v>
      </c>
      <c r="AE242" s="38">
        <v>0.0</v>
      </c>
      <c r="AF242" s="38">
        <v>0.0</v>
      </c>
      <c r="AG242" s="38">
        <v>0.0</v>
      </c>
      <c r="AH242" s="38">
        <v>0.0</v>
      </c>
      <c r="AI242" s="38">
        <v>235190.83</v>
      </c>
      <c r="AJ242" s="38">
        <v>235190.83</v>
      </c>
      <c r="AK242" s="38">
        <v>0.0</v>
      </c>
      <c r="AL242" s="38">
        <v>376.2</v>
      </c>
      <c r="AM242" s="38">
        <v>0.0</v>
      </c>
      <c r="AN242" s="34" t="s">
        <v>62</v>
      </c>
      <c r="AO242" s="34" t="s">
        <v>62</v>
      </c>
      <c r="AP242" s="34" t="s">
        <v>62</v>
      </c>
      <c r="AQ242" s="34" t="s">
        <v>62</v>
      </c>
      <c r="AR242" s="38">
        <v>0.0</v>
      </c>
      <c r="AS242" s="38" t="s">
        <v>2457</v>
      </c>
      <c r="AT242" s="35" t="s">
        <v>2202</v>
      </c>
      <c r="AU242" s="39" t="s">
        <v>2254</v>
      </c>
      <c r="AV242" s="40">
        <v>46169.0</v>
      </c>
    </row>
    <row r="243">
      <c r="A243" s="38">
        <v>699.0</v>
      </c>
      <c r="B243" s="38">
        <v>317890.0</v>
      </c>
      <c r="C243" s="38">
        <v>317890.0</v>
      </c>
      <c r="D243" s="38">
        <v>486690.0</v>
      </c>
      <c r="E243" s="38">
        <v>486690.0</v>
      </c>
      <c r="F243" s="38">
        <v>9.00480569E8</v>
      </c>
      <c r="G243" s="18" t="s">
        <v>141</v>
      </c>
      <c r="H243" s="18" t="s">
        <v>2255</v>
      </c>
      <c r="I243" s="18" t="s">
        <v>561</v>
      </c>
      <c r="J243" s="18" t="s">
        <v>2205</v>
      </c>
      <c r="K243" s="18" t="s">
        <v>2256</v>
      </c>
      <c r="L243" s="18" t="s">
        <v>52</v>
      </c>
      <c r="M243" s="18" t="s">
        <v>138</v>
      </c>
      <c r="N243" s="18" t="s">
        <v>130</v>
      </c>
      <c r="O243" s="18" t="s">
        <v>126</v>
      </c>
      <c r="P243" s="18" t="s">
        <v>131</v>
      </c>
      <c r="Q243" s="18" t="s">
        <v>538</v>
      </c>
      <c r="R243" s="18" t="s">
        <v>133</v>
      </c>
      <c r="S243" s="18" t="s">
        <v>59</v>
      </c>
      <c r="T243" s="38">
        <v>2026.0</v>
      </c>
      <c r="U243" s="38">
        <v>5.0</v>
      </c>
      <c r="V243" s="38">
        <v>1.081522552E9</v>
      </c>
      <c r="W243" s="38">
        <v>1.081540622E9</v>
      </c>
      <c r="X243" s="18" t="s">
        <v>2199</v>
      </c>
      <c r="Y243" s="18" t="s">
        <v>2200</v>
      </c>
      <c r="Z243" s="38">
        <v>104533.77</v>
      </c>
      <c r="AA243" s="38">
        <v>104533.77</v>
      </c>
      <c r="AB243" s="38">
        <v>31676.0</v>
      </c>
      <c r="AC243" s="38">
        <v>0.0</v>
      </c>
      <c r="AD243" s="38">
        <v>9505.77</v>
      </c>
      <c r="AE243" s="38">
        <v>0.0</v>
      </c>
      <c r="AF243" s="38">
        <v>0.0</v>
      </c>
      <c r="AG243" s="38">
        <v>0.0</v>
      </c>
      <c r="AH243" s="38">
        <v>0.0</v>
      </c>
      <c r="AI243" s="38">
        <v>104533.77</v>
      </c>
      <c r="AJ243" s="38">
        <v>717230.16</v>
      </c>
      <c r="AK243" s="38">
        <v>7.0</v>
      </c>
      <c r="AL243" s="38">
        <v>376.2</v>
      </c>
      <c r="AM243" s="38">
        <v>0.0</v>
      </c>
      <c r="AN243" s="34" t="s">
        <v>62</v>
      </c>
      <c r="AO243" s="34" t="s">
        <v>62</v>
      </c>
      <c r="AP243" s="34" t="s">
        <v>62</v>
      </c>
      <c r="AQ243" s="34" t="s">
        <v>62</v>
      </c>
      <c r="AR243" s="38">
        <v>0.0</v>
      </c>
      <c r="AS243" s="38" t="s">
        <v>2257</v>
      </c>
      <c r="AT243" s="35" t="s">
        <v>2202</v>
      </c>
      <c r="AU243" s="39" t="s">
        <v>2203</v>
      </c>
      <c r="AV243" s="40">
        <v>46163.0</v>
      </c>
    </row>
    <row r="244">
      <c r="A244" s="38">
        <v>455370.0</v>
      </c>
      <c r="B244" s="38">
        <v>3182.0</v>
      </c>
      <c r="C244" s="38">
        <v>3182.0</v>
      </c>
      <c r="D244" s="38">
        <v>8.0123508E7</v>
      </c>
      <c r="E244" s="38">
        <v>8.0123508E7</v>
      </c>
      <c r="F244" s="18" t="s">
        <v>148</v>
      </c>
      <c r="G244" s="18" t="s">
        <v>149</v>
      </c>
      <c r="H244" s="18" t="s">
        <v>2296</v>
      </c>
      <c r="I244" s="18" t="s">
        <v>417</v>
      </c>
      <c r="J244" s="18" t="s">
        <v>2205</v>
      </c>
      <c r="K244" s="18" t="s">
        <v>2292</v>
      </c>
      <c r="L244" s="18" t="s">
        <v>52</v>
      </c>
      <c r="M244" s="18" t="s">
        <v>138</v>
      </c>
      <c r="N244" s="18" t="s">
        <v>130</v>
      </c>
      <c r="O244" s="18" t="s">
        <v>126</v>
      </c>
      <c r="P244" s="18" t="s">
        <v>56</v>
      </c>
      <c r="Q244" s="18" t="s">
        <v>57</v>
      </c>
      <c r="R244" s="18" t="s">
        <v>143</v>
      </c>
      <c r="S244" s="18" t="s">
        <v>59</v>
      </c>
      <c r="T244" s="38">
        <v>2026.0</v>
      </c>
      <c r="U244" s="38">
        <v>5.0</v>
      </c>
      <c r="V244" s="38">
        <v>1.081522319E9</v>
      </c>
      <c r="W244" s="38">
        <v>1.081540389E9</v>
      </c>
      <c r="X244" s="18" t="s">
        <v>2199</v>
      </c>
      <c r="Y244" s="18" t="s">
        <v>2200</v>
      </c>
      <c r="Z244" s="38">
        <v>177673.09</v>
      </c>
      <c r="AA244" s="38">
        <v>177673.09</v>
      </c>
      <c r="AB244" s="38">
        <v>0.0</v>
      </c>
      <c r="AC244" s="38">
        <v>735.0</v>
      </c>
      <c r="AD244" s="38">
        <v>0.0</v>
      </c>
      <c r="AE244" s="38">
        <v>0.0</v>
      </c>
      <c r="AF244" s="38">
        <v>0.0</v>
      </c>
      <c r="AG244" s="38">
        <v>0.0</v>
      </c>
      <c r="AH244" s="38">
        <v>0.0</v>
      </c>
      <c r="AI244" s="38">
        <v>177673.09</v>
      </c>
      <c r="AJ244" s="38">
        <v>514379.75</v>
      </c>
      <c r="AK244" s="38">
        <v>3.0</v>
      </c>
      <c r="AL244" s="38">
        <v>250.8</v>
      </c>
      <c r="AM244" s="38">
        <v>0.0</v>
      </c>
      <c r="AN244" s="34" t="s">
        <v>62</v>
      </c>
      <c r="AO244" s="34" t="s">
        <v>62</v>
      </c>
      <c r="AP244" s="34" t="s">
        <v>62</v>
      </c>
      <c r="AQ244" s="34" t="s">
        <v>62</v>
      </c>
      <c r="AR244" s="38">
        <v>0.0</v>
      </c>
      <c r="AS244" s="38" t="s">
        <v>2293</v>
      </c>
      <c r="AT244" s="35" t="s">
        <v>2294</v>
      </c>
      <c r="AU244" s="39" t="s">
        <v>2295</v>
      </c>
      <c r="AV244" s="40">
        <v>46164.0</v>
      </c>
    </row>
    <row r="245">
      <c r="A245" s="38">
        <v>455370.0</v>
      </c>
      <c r="B245" s="38">
        <v>3186.0</v>
      </c>
      <c r="C245" s="38">
        <v>3186.0</v>
      </c>
      <c r="D245" s="38">
        <v>8.0123512E7</v>
      </c>
      <c r="E245" s="38">
        <v>8.0123512E7</v>
      </c>
      <c r="F245" s="18" t="s">
        <v>148</v>
      </c>
      <c r="G245" s="18" t="s">
        <v>149</v>
      </c>
      <c r="H245" s="18" t="s">
        <v>2296</v>
      </c>
      <c r="I245" s="18" t="s">
        <v>196</v>
      </c>
      <c r="J245" s="18" t="s">
        <v>2205</v>
      </c>
      <c r="K245" s="18" t="s">
        <v>2292</v>
      </c>
      <c r="L245" s="18" t="s">
        <v>52</v>
      </c>
      <c r="M245" s="18" t="s">
        <v>138</v>
      </c>
      <c r="N245" s="18" t="s">
        <v>130</v>
      </c>
      <c r="O245" s="18" t="s">
        <v>126</v>
      </c>
      <c r="P245" s="18" t="s">
        <v>56</v>
      </c>
      <c r="Q245" s="18" t="s">
        <v>57</v>
      </c>
      <c r="R245" s="18" t="s">
        <v>143</v>
      </c>
      <c r="S245" s="18" t="s">
        <v>59</v>
      </c>
      <c r="T245" s="38">
        <v>2026.0</v>
      </c>
      <c r="U245" s="38">
        <v>5.0</v>
      </c>
      <c r="V245" s="38">
        <v>1.081522322E9</v>
      </c>
      <c r="W245" s="38">
        <v>1.081540392E9</v>
      </c>
      <c r="X245" s="18" t="s">
        <v>2199</v>
      </c>
      <c r="Y245" s="18" t="s">
        <v>2200</v>
      </c>
      <c r="Z245" s="38">
        <v>386465.19</v>
      </c>
      <c r="AA245" s="38">
        <v>386465.19</v>
      </c>
      <c r="AB245" s="38">
        <v>0.0</v>
      </c>
      <c r="AC245" s="38">
        <v>1835.0</v>
      </c>
      <c r="AD245" s="38">
        <v>0.0</v>
      </c>
      <c r="AE245" s="38">
        <v>0.0</v>
      </c>
      <c r="AF245" s="38">
        <v>0.0</v>
      </c>
      <c r="AG245" s="38">
        <v>0.0</v>
      </c>
      <c r="AH245" s="38">
        <v>0.0</v>
      </c>
      <c r="AI245" s="38">
        <v>386465.19</v>
      </c>
      <c r="AJ245" s="38">
        <v>926950.15</v>
      </c>
      <c r="AK245" s="38">
        <v>3.0</v>
      </c>
      <c r="AL245" s="38">
        <v>250.8</v>
      </c>
      <c r="AM245" s="38">
        <v>0.0</v>
      </c>
      <c r="AN245" s="34" t="s">
        <v>62</v>
      </c>
      <c r="AO245" s="34" t="s">
        <v>62</v>
      </c>
      <c r="AP245" s="34" t="s">
        <v>62</v>
      </c>
      <c r="AQ245" s="34" t="s">
        <v>62</v>
      </c>
      <c r="AR245" s="38">
        <v>0.0</v>
      </c>
      <c r="AS245" s="38" t="s">
        <v>2293</v>
      </c>
      <c r="AT245" s="35" t="s">
        <v>2294</v>
      </c>
      <c r="AU245" s="39" t="s">
        <v>2295</v>
      </c>
      <c r="AV245" s="40">
        <v>46164.0</v>
      </c>
    </row>
    <row r="246">
      <c r="A246" s="38">
        <v>147.0</v>
      </c>
      <c r="B246" s="38">
        <v>3190.0</v>
      </c>
      <c r="C246" s="38">
        <v>3190.0</v>
      </c>
      <c r="D246" s="38">
        <v>8.0123516E7</v>
      </c>
      <c r="E246" s="38">
        <v>8.0123516E7</v>
      </c>
      <c r="F246" s="18" t="s">
        <v>179</v>
      </c>
      <c r="G246" s="18" t="s">
        <v>180</v>
      </c>
      <c r="H246" s="18" t="s">
        <v>2320</v>
      </c>
      <c r="I246" s="18" t="s">
        <v>181</v>
      </c>
      <c r="J246" s="18" t="s">
        <v>2205</v>
      </c>
      <c r="K246" s="18" t="s">
        <v>2289</v>
      </c>
      <c r="L246" s="18" t="s">
        <v>52</v>
      </c>
      <c r="M246" s="18" t="s">
        <v>89</v>
      </c>
      <c r="N246" s="18" t="s">
        <v>130</v>
      </c>
      <c r="O246" s="18" t="s">
        <v>126</v>
      </c>
      <c r="P246" s="18" t="s">
        <v>56</v>
      </c>
      <c r="Q246" s="18" t="s">
        <v>57</v>
      </c>
      <c r="R246" s="18" t="s">
        <v>143</v>
      </c>
      <c r="S246" s="18" t="s">
        <v>59</v>
      </c>
      <c r="T246" s="38">
        <v>2026.0</v>
      </c>
      <c r="U246" s="38">
        <v>5.0</v>
      </c>
      <c r="V246" s="38">
        <v>1.081522326E9</v>
      </c>
      <c r="W246" s="38">
        <v>1.081540396E9</v>
      </c>
      <c r="X246" s="18" t="s">
        <v>2199</v>
      </c>
      <c r="Y246" s="18" t="s">
        <v>2200</v>
      </c>
      <c r="Z246" s="38">
        <v>119780.73</v>
      </c>
      <c r="AA246" s="38">
        <v>119780.73</v>
      </c>
      <c r="AB246" s="38">
        <v>0.0</v>
      </c>
      <c r="AC246" s="38">
        <v>430.0</v>
      </c>
      <c r="AD246" s="38">
        <v>0.0</v>
      </c>
      <c r="AE246" s="38">
        <v>0.0</v>
      </c>
      <c r="AF246" s="38">
        <v>0.0</v>
      </c>
      <c r="AG246" s="38">
        <v>0.0</v>
      </c>
      <c r="AH246" s="38">
        <v>0.0</v>
      </c>
      <c r="AI246" s="38">
        <v>119780.73</v>
      </c>
      <c r="AJ246" s="38">
        <v>237518.52</v>
      </c>
      <c r="AK246" s="38">
        <v>1.0</v>
      </c>
      <c r="AL246" s="38">
        <v>250.8</v>
      </c>
      <c r="AM246" s="38">
        <v>0.0</v>
      </c>
      <c r="AN246" s="34" t="s">
        <v>62</v>
      </c>
      <c r="AO246" s="34" t="s">
        <v>62</v>
      </c>
      <c r="AP246" s="34" t="s">
        <v>62</v>
      </c>
      <c r="AQ246" s="34" t="s">
        <v>62</v>
      </c>
      <c r="AR246" s="38">
        <v>0.0</v>
      </c>
      <c r="AS246" s="38" t="s">
        <v>2321</v>
      </c>
      <c r="AT246" s="35" t="s">
        <v>2202</v>
      </c>
      <c r="AU246" s="39" t="s">
        <v>2203</v>
      </c>
      <c r="AV246" s="40">
        <v>46163.0</v>
      </c>
    </row>
    <row r="247">
      <c r="A247" s="38">
        <v>455370.0</v>
      </c>
      <c r="B247" s="38">
        <v>3194.0</v>
      </c>
      <c r="C247" s="38">
        <v>3194.0</v>
      </c>
      <c r="D247" s="38">
        <v>8.012352E7</v>
      </c>
      <c r="E247" s="38">
        <v>8.012352E7</v>
      </c>
      <c r="F247" s="18" t="s">
        <v>148</v>
      </c>
      <c r="G247" s="18" t="s">
        <v>149</v>
      </c>
      <c r="H247" s="18" t="s">
        <v>2296</v>
      </c>
      <c r="I247" s="18" t="s">
        <v>200</v>
      </c>
      <c r="J247" s="18" t="s">
        <v>2205</v>
      </c>
      <c r="K247" s="18" t="s">
        <v>2292</v>
      </c>
      <c r="L247" s="18" t="s">
        <v>52</v>
      </c>
      <c r="M247" s="18" t="s">
        <v>138</v>
      </c>
      <c r="N247" s="18" t="s">
        <v>130</v>
      </c>
      <c r="O247" s="18" t="s">
        <v>126</v>
      </c>
      <c r="P247" s="18" t="s">
        <v>56</v>
      </c>
      <c r="Q247" s="18" t="s">
        <v>57</v>
      </c>
      <c r="R247" s="18" t="s">
        <v>143</v>
      </c>
      <c r="S247" s="18" t="s">
        <v>59</v>
      </c>
      <c r="T247" s="38">
        <v>2026.0</v>
      </c>
      <c r="U247" s="38">
        <v>5.0</v>
      </c>
      <c r="V247" s="38">
        <v>1.081522329E9</v>
      </c>
      <c r="W247" s="38">
        <v>1.081540399E9</v>
      </c>
      <c r="X247" s="18" t="s">
        <v>2199</v>
      </c>
      <c r="Y247" s="18" t="s">
        <v>2200</v>
      </c>
      <c r="Z247" s="38">
        <v>321549.82</v>
      </c>
      <c r="AA247" s="38">
        <v>321549.82</v>
      </c>
      <c r="AB247" s="38">
        <v>0.0</v>
      </c>
      <c r="AC247" s="38">
        <v>1493.0</v>
      </c>
      <c r="AD247" s="38">
        <v>0.0</v>
      </c>
      <c r="AE247" s="38">
        <v>0.0</v>
      </c>
      <c r="AF247" s="38">
        <v>0.0</v>
      </c>
      <c r="AG247" s="38">
        <v>0.0</v>
      </c>
      <c r="AH247" s="38">
        <v>0.0</v>
      </c>
      <c r="AI247" s="38">
        <v>321549.82</v>
      </c>
      <c r="AJ247" s="38">
        <v>798678.25</v>
      </c>
      <c r="AK247" s="38">
        <v>3.0</v>
      </c>
      <c r="AL247" s="38">
        <v>250.8</v>
      </c>
      <c r="AM247" s="38">
        <v>0.0</v>
      </c>
      <c r="AN247" s="34" t="s">
        <v>62</v>
      </c>
      <c r="AO247" s="34" t="s">
        <v>62</v>
      </c>
      <c r="AP247" s="34" t="s">
        <v>62</v>
      </c>
      <c r="AQ247" s="34" t="s">
        <v>62</v>
      </c>
      <c r="AR247" s="38">
        <v>0.0</v>
      </c>
      <c r="AS247" s="38" t="s">
        <v>2293</v>
      </c>
      <c r="AT247" s="35" t="s">
        <v>2294</v>
      </c>
      <c r="AU247" s="39" t="s">
        <v>2295</v>
      </c>
      <c r="AV247" s="40">
        <v>46164.0</v>
      </c>
    </row>
    <row r="248">
      <c r="A248" s="38">
        <v>455370.0</v>
      </c>
      <c r="B248" s="38">
        <v>3198.0</v>
      </c>
      <c r="C248" s="38">
        <v>3198.0</v>
      </c>
      <c r="D248" s="38">
        <v>8.0123524E7</v>
      </c>
      <c r="E248" s="38">
        <v>8.0123524E7</v>
      </c>
      <c r="F248" s="18" t="s">
        <v>148</v>
      </c>
      <c r="G248" s="18" t="s">
        <v>149</v>
      </c>
      <c r="H248" s="18" t="s">
        <v>2296</v>
      </c>
      <c r="I248" s="18" t="s">
        <v>567</v>
      </c>
      <c r="J248" s="18" t="s">
        <v>2205</v>
      </c>
      <c r="K248" s="18" t="s">
        <v>2292</v>
      </c>
      <c r="L248" s="18" t="s">
        <v>52</v>
      </c>
      <c r="M248" s="18" t="s">
        <v>138</v>
      </c>
      <c r="N248" s="18" t="s">
        <v>130</v>
      </c>
      <c r="O248" s="18" t="s">
        <v>126</v>
      </c>
      <c r="P248" s="18" t="s">
        <v>56</v>
      </c>
      <c r="Q248" s="18" t="s">
        <v>57</v>
      </c>
      <c r="R248" s="18" t="s">
        <v>143</v>
      </c>
      <c r="S248" s="18" t="s">
        <v>59</v>
      </c>
      <c r="T248" s="38">
        <v>2026.0</v>
      </c>
      <c r="U248" s="38">
        <v>5.0</v>
      </c>
      <c r="V248" s="38">
        <v>1.081522333E9</v>
      </c>
      <c r="W248" s="38">
        <v>1.081540403E9</v>
      </c>
      <c r="X248" s="18" t="s">
        <v>2199</v>
      </c>
      <c r="Y248" s="18" t="s">
        <v>2200</v>
      </c>
      <c r="Z248" s="38">
        <v>252268.81</v>
      </c>
      <c r="AA248" s="38">
        <v>252268.81</v>
      </c>
      <c r="AB248" s="38">
        <v>0.0</v>
      </c>
      <c r="AC248" s="38">
        <v>1128.0</v>
      </c>
      <c r="AD248" s="38">
        <v>0.0</v>
      </c>
      <c r="AE248" s="38">
        <v>0.0</v>
      </c>
      <c r="AF248" s="38">
        <v>0.0</v>
      </c>
      <c r="AG248" s="38">
        <v>0.0</v>
      </c>
      <c r="AH248" s="38">
        <v>0.0</v>
      </c>
      <c r="AI248" s="38">
        <v>252268.81</v>
      </c>
      <c r="AJ248" s="38">
        <v>661779.9</v>
      </c>
      <c r="AK248" s="38">
        <v>3.0</v>
      </c>
      <c r="AL248" s="38">
        <v>250.8</v>
      </c>
      <c r="AM248" s="38">
        <v>0.0</v>
      </c>
      <c r="AN248" s="34" t="s">
        <v>62</v>
      </c>
      <c r="AO248" s="34" t="s">
        <v>62</v>
      </c>
      <c r="AP248" s="34" t="s">
        <v>62</v>
      </c>
      <c r="AQ248" s="34" t="s">
        <v>62</v>
      </c>
      <c r="AR248" s="38">
        <v>0.0</v>
      </c>
      <c r="AS248" s="38" t="s">
        <v>2293</v>
      </c>
      <c r="AT248" s="35" t="s">
        <v>2294</v>
      </c>
      <c r="AU248" s="39" t="s">
        <v>2295</v>
      </c>
      <c r="AV248" s="40">
        <v>46164.0</v>
      </c>
    </row>
    <row r="249">
      <c r="A249" s="38">
        <v>455370.0</v>
      </c>
      <c r="B249" s="38">
        <v>3202.0</v>
      </c>
      <c r="C249" s="38">
        <v>3202.0</v>
      </c>
      <c r="D249" s="38">
        <v>8.0123528E7</v>
      </c>
      <c r="E249" s="38">
        <v>8.0123528E7</v>
      </c>
      <c r="F249" s="18" t="s">
        <v>148</v>
      </c>
      <c r="G249" s="18" t="s">
        <v>149</v>
      </c>
      <c r="H249" s="18" t="s">
        <v>2296</v>
      </c>
      <c r="I249" s="18" t="s">
        <v>409</v>
      </c>
      <c r="J249" s="18" t="s">
        <v>2205</v>
      </c>
      <c r="K249" s="18" t="s">
        <v>2292</v>
      </c>
      <c r="L249" s="18" t="s">
        <v>52</v>
      </c>
      <c r="M249" s="18" t="s">
        <v>138</v>
      </c>
      <c r="N249" s="18" t="s">
        <v>130</v>
      </c>
      <c r="O249" s="18" t="s">
        <v>126</v>
      </c>
      <c r="P249" s="18" t="s">
        <v>56</v>
      </c>
      <c r="Q249" s="18" t="s">
        <v>57</v>
      </c>
      <c r="R249" s="18" t="s">
        <v>143</v>
      </c>
      <c r="S249" s="18" t="s">
        <v>59</v>
      </c>
      <c r="T249" s="38">
        <v>2026.0</v>
      </c>
      <c r="U249" s="38">
        <v>5.0</v>
      </c>
      <c r="V249" s="38">
        <v>1.081522337E9</v>
      </c>
      <c r="W249" s="38">
        <v>1.081540407E9</v>
      </c>
      <c r="X249" s="18" t="s">
        <v>2199</v>
      </c>
      <c r="Y249" s="18" t="s">
        <v>2200</v>
      </c>
      <c r="Z249" s="38">
        <v>354766.75</v>
      </c>
      <c r="AA249" s="38">
        <v>354766.75</v>
      </c>
      <c r="AB249" s="38">
        <v>0.0</v>
      </c>
      <c r="AC249" s="38">
        <v>1668.0</v>
      </c>
      <c r="AD249" s="38">
        <v>0.0</v>
      </c>
      <c r="AE249" s="38">
        <v>0.0</v>
      </c>
      <c r="AF249" s="38">
        <v>0.0</v>
      </c>
      <c r="AG249" s="38">
        <v>0.0</v>
      </c>
      <c r="AH249" s="38">
        <v>0.0</v>
      </c>
      <c r="AI249" s="38">
        <v>354766.75</v>
      </c>
      <c r="AJ249" s="38">
        <v>864314.46</v>
      </c>
      <c r="AK249" s="38">
        <v>3.0</v>
      </c>
      <c r="AL249" s="38">
        <v>250.8</v>
      </c>
      <c r="AM249" s="38">
        <v>0.0</v>
      </c>
      <c r="AN249" s="34" t="s">
        <v>62</v>
      </c>
      <c r="AO249" s="34" t="s">
        <v>62</v>
      </c>
      <c r="AP249" s="34" t="s">
        <v>62</v>
      </c>
      <c r="AQ249" s="34" t="s">
        <v>62</v>
      </c>
      <c r="AR249" s="38">
        <v>0.0</v>
      </c>
      <c r="AS249" s="38" t="s">
        <v>2293</v>
      </c>
      <c r="AT249" s="35" t="s">
        <v>2294</v>
      </c>
      <c r="AU249" s="39" t="s">
        <v>2295</v>
      </c>
      <c r="AV249" s="40">
        <v>46164.0</v>
      </c>
    </row>
    <row r="250">
      <c r="A250" s="38">
        <v>3207.0</v>
      </c>
      <c r="B250" s="38">
        <v>3206.0</v>
      </c>
      <c r="C250" s="38">
        <v>3206.0</v>
      </c>
      <c r="D250" s="38">
        <v>8.0127913E7</v>
      </c>
      <c r="E250" s="38">
        <v>8.0127913E7</v>
      </c>
      <c r="F250" s="18" t="s">
        <v>570</v>
      </c>
      <c r="G250" s="18" t="s">
        <v>571</v>
      </c>
      <c r="H250" s="18" t="s">
        <v>2458</v>
      </c>
      <c r="I250" s="18" t="s">
        <v>230</v>
      </c>
      <c r="J250" s="18" t="s">
        <v>2205</v>
      </c>
      <c r="K250" s="18" t="s">
        <v>2205</v>
      </c>
      <c r="L250" s="18" t="s">
        <v>52</v>
      </c>
      <c r="M250" s="18" t="s">
        <v>89</v>
      </c>
      <c r="N250" s="18" t="s">
        <v>130</v>
      </c>
      <c r="O250" s="18" t="s">
        <v>126</v>
      </c>
      <c r="P250" s="18" t="s">
        <v>56</v>
      </c>
      <c r="Q250" s="18" t="s">
        <v>90</v>
      </c>
      <c r="R250" s="18" t="s">
        <v>143</v>
      </c>
      <c r="S250" s="18" t="s">
        <v>59</v>
      </c>
      <c r="T250" s="38">
        <v>2026.0</v>
      </c>
      <c r="U250" s="38">
        <v>5.0</v>
      </c>
      <c r="V250" s="38">
        <v>1.081522342E9</v>
      </c>
      <c r="W250" s="38">
        <v>1.081540412E9</v>
      </c>
      <c r="X250" s="18" t="s">
        <v>2199</v>
      </c>
      <c r="Y250" s="18" t="s">
        <v>2200</v>
      </c>
      <c r="Z250" s="38">
        <v>129133.94</v>
      </c>
      <c r="AA250" s="38">
        <v>129133.94</v>
      </c>
      <c r="AB250" s="38">
        <v>43044.65</v>
      </c>
      <c r="AC250" s="38">
        <v>252.5</v>
      </c>
      <c r="AD250" s="38">
        <v>0.0</v>
      </c>
      <c r="AE250" s="38">
        <v>0.0</v>
      </c>
      <c r="AF250" s="38">
        <v>0.0</v>
      </c>
      <c r="AG250" s="38">
        <v>0.0</v>
      </c>
      <c r="AH250" s="38">
        <v>0.0</v>
      </c>
      <c r="AI250" s="38">
        <v>129133.94</v>
      </c>
      <c r="AJ250" s="38">
        <v>129133.94</v>
      </c>
      <c r="AK250" s="38">
        <v>0.0</v>
      </c>
      <c r="AL250" s="38">
        <v>376.2</v>
      </c>
      <c r="AM250" s="38">
        <v>0.0</v>
      </c>
      <c r="AN250" s="34" t="s">
        <v>62</v>
      </c>
      <c r="AO250" s="34" t="s">
        <v>62</v>
      </c>
      <c r="AP250" s="34" t="s">
        <v>62</v>
      </c>
      <c r="AQ250" s="34" t="s">
        <v>62</v>
      </c>
      <c r="AR250" s="38">
        <v>0.0</v>
      </c>
      <c r="AS250" s="38" t="s">
        <v>2459</v>
      </c>
      <c r="AT250" s="35" t="s">
        <v>2202</v>
      </c>
      <c r="AU250" s="39" t="s">
        <v>2254</v>
      </c>
      <c r="AV250" s="40">
        <v>46169.0</v>
      </c>
    </row>
    <row r="251">
      <c r="A251" s="38">
        <v>3211.0</v>
      </c>
      <c r="B251" s="38">
        <v>3210.0</v>
      </c>
      <c r="C251" s="38">
        <v>3210.0</v>
      </c>
      <c r="D251" s="38">
        <v>8.0147581E7</v>
      </c>
      <c r="E251" s="38">
        <v>8.0147581E7</v>
      </c>
      <c r="F251" s="38">
        <v>8.30503366E8</v>
      </c>
      <c r="G251" s="18" t="s">
        <v>573</v>
      </c>
      <c r="H251" s="18" t="s">
        <v>2460</v>
      </c>
      <c r="I251" s="18" t="s">
        <v>162</v>
      </c>
      <c r="J251" s="18" t="s">
        <v>2205</v>
      </c>
      <c r="K251" s="18" t="s">
        <v>2205</v>
      </c>
      <c r="L251" s="18" t="s">
        <v>52</v>
      </c>
      <c r="M251" s="18" t="s">
        <v>89</v>
      </c>
      <c r="N251" s="18" t="s">
        <v>130</v>
      </c>
      <c r="O251" s="18" t="s">
        <v>126</v>
      </c>
      <c r="P251" s="18" t="s">
        <v>218</v>
      </c>
      <c r="Q251" s="18" t="s">
        <v>219</v>
      </c>
      <c r="R251" s="18" t="s">
        <v>133</v>
      </c>
      <c r="S251" s="18" t="s">
        <v>59</v>
      </c>
      <c r="T251" s="38">
        <v>2026.0</v>
      </c>
      <c r="U251" s="38">
        <v>5.0</v>
      </c>
      <c r="V251" s="38">
        <v>1.081522345E9</v>
      </c>
      <c r="W251" s="38">
        <v>1.081540415E9</v>
      </c>
      <c r="X251" s="18" t="s">
        <v>2199</v>
      </c>
      <c r="Y251" s="18" t="s">
        <v>2200</v>
      </c>
      <c r="Z251" s="38">
        <v>50434.76</v>
      </c>
      <c r="AA251" s="38">
        <v>50434.76</v>
      </c>
      <c r="AB251" s="38">
        <v>-1667.24</v>
      </c>
      <c r="AC251" s="38">
        <v>0.0</v>
      </c>
      <c r="AD251" s="38">
        <v>0.0</v>
      </c>
      <c r="AE251" s="38">
        <v>0.0</v>
      </c>
      <c r="AF251" s="38">
        <v>0.0</v>
      </c>
      <c r="AG251" s="38">
        <v>0.0</v>
      </c>
      <c r="AH251" s="38">
        <v>0.0</v>
      </c>
      <c r="AI251" s="38">
        <v>50434.24</v>
      </c>
      <c r="AJ251" s="38">
        <v>50434.24</v>
      </c>
      <c r="AK251" s="38">
        <v>0.0</v>
      </c>
      <c r="AL251" s="38">
        <v>242.77</v>
      </c>
      <c r="AM251" s="38">
        <v>0.0</v>
      </c>
      <c r="AN251" s="34" t="s">
        <v>62</v>
      </c>
      <c r="AO251" s="34" t="s">
        <v>62</v>
      </c>
      <c r="AP251" s="38">
        <v>0.52</v>
      </c>
      <c r="AQ251" s="34" t="s">
        <v>62</v>
      </c>
      <c r="AR251" s="38">
        <v>0.0</v>
      </c>
      <c r="AS251" s="38" t="s">
        <v>2461</v>
      </c>
      <c r="AT251" s="35" t="s">
        <v>2202</v>
      </c>
      <c r="AU251" s="39" t="s">
        <v>2254</v>
      </c>
      <c r="AV251" s="40">
        <v>46169.0</v>
      </c>
    </row>
    <row r="252">
      <c r="A252" s="38">
        <v>3215.0</v>
      </c>
      <c r="B252" s="38">
        <v>3214.0</v>
      </c>
      <c r="C252" s="38">
        <v>3214.0</v>
      </c>
      <c r="D252" s="38">
        <v>8.0203023E7</v>
      </c>
      <c r="E252" s="38">
        <v>8.0203023E7</v>
      </c>
      <c r="F252" s="18" t="s">
        <v>575</v>
      </c>
      <c r="G252" s="18" t="s">
        <v>576</v>
      </c>
      <c r="H252" s="18" t="s">
        <v>2462</v>
      </c>
      <c r="I252" s="18" t="s">
        <v>401</v>
      </c>
      <c r="J252" s="18" t="s">
        <v>2273</v>
      </c>
      <c r="K252" s="18" t="s">
        <v>2205</v>
      </c>
      <c r="L252" s="18" t="s">
        <v>52</v>
      </c>
      <c r="M252" s="18" t="s">
        <v>89</v>
      </c>
      <c r="N252" s="18" t="s">
        <v>130</v>
      </c>
      <c r="O252" s="18" t="s">
        <v>126</v>
      </c>
      <c r="P252" s="18" t="s">
        <v>56</v>
      </c>
      <c r="Q252" s="18" t="s">
        <v>57</v>
      </c>
      <c r="R252" s="18" t="s">
        <v>143</v>
      </c>
      <c r="S252" s="18" t="s">
        <v>59</v>
      </c>
      <c r="T252" s="38">
        <v>2026.0</v>
      </c>
      <c r="U252" s="38">
        <v>5.0</v>
      </c>
      <c r="V252" s="38">
        <v>1.08152235E9</v>
      </c>
      <c r="W252" s="38">
        <v>1.08154042E9</v>
      </c>
      <c r="X252" s="18" t="s">
        <v>2199</v>
      </c>
      <c r="Y252" s="18" t="s">
        <v>2200</v>
      </c>
      <c r="Z252" s="38">
        <v>8579657.0</v>
      </c>
      <c r="AA252" s="38">
        <v>8579657.0</v>
      </c>
      <c r="AB252" s="38">
        <v>0.0</v>
      </c>
      <c r="AC252" s="38">
        <v>45000.0</v>
      </c>
      <c r="AD252" s="38">
        <v>0.0</v>
      </c>
      <c r="AE252" s="38">
        <v>0.0</v>
      </c>
      <c r="AF252" s="38">
        <v>0.0</v>
      </c>
      <c r="AG252" s="38">
        <v>0.0</v>
      </c>
      <c r="AH252" s="38">
        <v>0.0</v>
      </c>
      <c r="AI252" s="38">
        <v>8579657.0</v>
      </c>
      <c r="AJ252" s="38">
        <v>1.2214844096E8</v>
      </c>
      <c r="AK252" s="38">
        <v>4.0</v>
      </c>
      <c r="AL252" s="38">
        <v>250.8</v>
      </c>
      <c r="AM252" s="38">
        <v>0.0</v>
      </c>
      <c r="AN252" s="34" t="s">
        <v>62</v>
      </c>
      <c r="AO252" s="34" t="s">
        <v>62</v>
      </c>
      <c r="AP252" s="34" t="s">
        <v>62</v>
      </c>
      <c r="AQ252" s="34" t="s">
        <v>62</v>
      </c>
      <c r="AR252" s="38">
        <v>0.0</v>
      </c>
      <c r="AS252" s="38" t="s">
        <v>2463</v>
      </c>
      <c r="AT252" s="35" t="s">
        <v>2275</v>
      </c>
      <c r="AU252" s="39" t="s">
        <v>2276</v>
      </c>
      <c r="AV252" s="40">
        <v>46163.0</v>
      </c>
    </row>
    <row r="253">
      <c r="A253" s="38">
        <v>3219.0</v>
      </c>
      <c r="B253" s="38">
        <v>3218.0</v>
      </c>
      <c r="C253" s="38">
        <v>3218.0</v>
      </c>
      <c r="D253" s="38">
        <v>8.0205196E7</v>
      </c>
      <c r="E253" s="38">
        <v>8.0205196E7</v>
      </c>
      <c r="F253" s="38">
        <v>8.00092898E8</v>
      </c>
      <c r="G253" s="18" t="s">
        <v>578</v>
      </c>
      <c r="H253" s="18" t="s">
        <v>2464</v>
      </c>
      <c r="I253" s="18" t="s">
        <v>172</v>
      </c>
      <c r="J253" s="18" t="s">
        <v>2205</v>
      </c>
      <c r="K253" s="18" t="s">
        <v>2205</v>
      </c>
      <c r="L253" s="18" t="s">
        <v>52</v>
      </c>
      <c r="M253" s="18" t="s">
        <v>89</v>
      </c>
      <c r="N253" s="18" t="s">
        <v>130</v>
      </c>
      <c r="O253" s="18" t="s">
        <v>126</v>
      </c>
      <c r="P253" s="18" t="s">
        <v>56</v>
      </c>
      <c r="Q253" s="18" t="s">
        <v>72</v>
      </c>
      <c r="R253" s="18" t="s">
        <v>58</v>
      </c>
      <c r="S253" s="18" t="s">
        <v>59</v>
      </c>
      <c r="T253" s="38">
        <v>2026.0</v>
      </c>
      <c r="U253" s="38">
        <v>5.0</v>
      </c>
      <c r="V253" s="38">
        <v>1.081522353E9</v>
      </c>
      <c r="W253" s="38">
        <v>1.081540423E9</v>
      </c>
      <c r="X253" s="18" t="s">
        <v>2199</v>
      </c>
      <c r="Y253" s="18" t="s">
        <v>2200</v>
      </c>
      <c r="Z253" s="38">
        <v>188471.58</v>
      </c>
      <c r="AA253" s="38">
        <v>188471.58</v>
      </c>
      <c r="AB253" s="38">
        <v>43493.44</v>
      </c>
      <c r="AC253" s="38">
        <v>562.75</v>
      </c>
      <c r="AD253" s="38">
        <v>0.0</v>
      </c>
      <c r="AE253" s="38">
        <v>0.0</v>
      </c>
      <c r="AF253" s="38">
        <v>0.0</v>
      </c>
      <c r="AG253" s="38">
        <v>0.0</v>
      </c>
      <c r="AH253" s="38">
        <v>0.0</v>
      </c>
      <c r="AI253" s="38">
        <v>188470.84</v>
      </c>
      <c r="AJ253" s="38">
        <v>188470.84</v>
      </c>
      <c r="AK253" s="38">
        <v>0.0</v>
      </c>
      <c r="AL253" s="38">
        <v>326.04</v>
      </c>
      <c r="AM253" s="38">
        <v>0.0</v>
      </c>
      <c r="AN253" s="34" t="s">
        <v>62</v>
      </c>
      <c r="AO253" s="34" t="s">
        <v>62</v>
      </c>
      <c r="AP253" s="38">
        <v>0.74</v>
      </c>
      <c r="AQ253" s="34" t="s">
        <v>62</v>
      </c>
      <c r="AR253" s="38">
        <v>0.0</v>
      </c>
      <c r="AS253" s="38" t="s">
        <v>2465</v>
      </c>
      <c r="AT253" s="35" t="s">
        <v>2202</v>
      </c>
      <c r="AU253" s="39" t="s">
        <v>2254</v>
      </c>
      <c r="AV253" s="40">
        <v>46169.0</v>
      </c>
    </row>
    <row r="254">
      <c r="A254" s="38">
        <v>455370.0</v>
      </c>
      <c r="B254" s="38">
        <v>3222.0</v>
      </c>
      <c r="C254" s="38">
        <v>3222.0</v>
      </c>
      <c r="D254" s="38">
        <v>8.0206516E7</v>
      </c>
      <c r="E254" s="38">
        <v>8.0206516E7</v>
      </c>
      <c r="F254" s="18" t="s">
        <v>148</v>
      </c>
      <c r="G254" s="18" t="s">
        <v>149</v>
      </c>
      <c r="H254" s="18" t="s">
        <v>2296</v>
      </c>
      <c r="I254" s="18" t="s">
        <v>580</v>
      </c>
      <c r="J254" s="18" t="s">
        <v>2205</v>
      </c>
      <c r="K254" s="18" t="s">
        <v>2292</v>
      </c>
      <c r="L254" s="18" t="s">
        <v>52</v>
      </c>
      <c r="M254" s="18" t="s">
        <v>138</v>
      </c>
      <c r="N254" s="18" t="s">
        <v>130</v>
      </c>
      <c r="O254" s="18" t="s">
        <v>126</v>
      </c>
      <c r="P254" s="18" t="s">
        <v>56</v>
      </c>
      <c r="Q254" s="18" t="s">
        <v>57</v>
      </c>
      <c r="R254" s="18" t="s">
        <v>143</v>
      </c>
      <c r="S254" s="18" t="s">
        <v>59</v>
      </c>
      <c r="T254" s="38">
        <v>2026.0</v>
      </c>
      <c r="U254" s="38">
        <v>5.0</v>
      </c>
      <c r="V254" s="38">
        <v>1.081522358E9</v>
      </c>
      <c r="W254" s="38">
        <v>1.081540428E9</v>
      </c>
      <c r="X254" s="18" t="s">
        <v>2199</v>
      </c>
      <c r="Y254" s="18" t="s">
        <v>2200</v>
      </c>
      <c r="Z254" s="38">
        <v>200450.41</v>
      </c>
      <c r="AA254" s="38">
        <v>200450.41</v>
      </c>
      <c r="AB254" s="38">
        <v>0.0</v>
      </c>
      <c r="AC254" s="38">
        <v>855.0</v>
      </c>
      <c r="AD254" s="38">
        <v>0.0</v>
      </c>
      <c r="AE254" s="38">
        <v>0.0</v>
      </c>
      <c r="AF254" s="38">
        <v>0.0</v>
      </c>
      <c r="AG254" s="38">
        <v>0.0</v>
      </c>
      <c r="AH254" s="38">
        <v>0.0</v>
      </c>
      <c r="AI254" s="38">
        <v>200450.41</v>
      </c>
      <c r="AJ254" s="38">
        <v>559387.43</v>
      </c>
      <c r="AK254" s="38">
        <v>3.0</v>
      </c>
      <c r="AL254" s="38">
        <v>250.8</v>
      </c>
      <c r="AM254" s="38">
        <v>0.0</v>
      </c>
      <c r="AN254" s="34" t="s">
        <v>62</v>
      </c>
      <c r="AO254" s="34" t="s">
        <v>62</v>
      </c>
      <c r="AP254" s="34" t="s">
        <v>62</v>
      </c>
      <c r="AQ254" s="34" t="s">
        <v>62</v>
      </c>
      <c r="AR254" s="38">
        <v>0.0</v>
      </c>
      <c r="AS254" s="38" t="s">
        <v>2293</v>
      </c>
      <c r="AT254" s="35" t="s">
        <v>2294</v>
      </c>
      <c r="AU254" s="39" t="s">
        <v>2295</v>
      </c>
      <c r="AV254" s="40">
        <v>46164.0</v>
      </c>
    </row>
    <row r="255">
      <c r="A255" s="38">
        <v>455370.0</v>
      </c>
      <c r="B255" s="38">
        <v>3226.0</v>
      </c>
      <c r="C255" s="38">
        <v>3226.0</v>
      </c>
      <c r="D255" s="38">
        <v>8.020652E7</v>
      </c>
      <c r="E255" s="38">
        <v>8.020652E7</v>
      </c>
      <c r="F255" s="18" t="s">
        <v>148</v>
      </c>
      <c r="G255" s="18" t="s">
        <v>149</v>
      </c>
      <c r="H255" s="18" t="s">
        <v>2296</v>
      </c>
      <c r="I255" s="18" t="s">
        <v>165</v>
      </c>
      <c r="J255" s="18" t="s">
        <v>2205</v>
      </c>
      <c r="K255" s="18" t="s">
        <v>2292</v>
      </c>
      <c r="L255" s="18" t="s">
        <v>52</v>
      </c>
      <c r="M255" s="18" t="s">
        <v>138</v>
      </c>
      <c r="N255" s="18" t="s">
        <v>130</v>
      </c>
      <c r="O255" s="18" t="s">
        <v>126</v>
      </c>
      <c r="P255" s="18" t="s">
        <v>56</v>
      </c>
      <c r="Q255" s="18" t="s">
        <v>57</v>
      </c>
      <c r="R255" s="18" t="s">
        <v>143</v>
      </c>
      <c r="S255" s="18" t="s">
        <v>59</v>
      </c>
      <c r="T255" s="38">
        <v>2026.0</v>
      </c>
      <c r="U255" s="38">
        <v>5.0</v>
      </c>
      <c r="V255" s="38">
        <v>1.081522362E9</v>
      </c>
      <c r="W255" s="38">
        <v>1.081540432E9</v>
      </c>
      <c r="X255" s="18" t="s">
        <v>2199</v>
      </c>
      <c r="Y255" s="18" t="s">
        <v>2200</v>
      </c>
      <c r="Z255" s="38">
        <v>174825.92</v>
      </c>
      <c r="AA255" s="38">
        <v>174825.92</v>
      </c>
      <c r="AB255" s="38">
        <v>0.0</v>
      </c>
      <c r="AC255" s="38">
        <v>720.0</v>
      </c>
      <c r="AD255" s="38">
        <v>0.0</v>
      </c>
      <c r="AE255" s="38">
        <v>0.0</v>
      </c>
      <c r="AF255" s="38">
        <v>0.0</v>
      </c>
      <c r="AG255" s="38">
        <v>0.0</v>
      </c>
      <c r="AH255" s="38">
        <v>0.0</v>
      </c>
      <c r="AI255" s="38">
        <v>174825.92</v>
      </c>
      <c r="AJ255" s="38">
        <v>508753.78</v>
      </c>
      <c r="AK255" s="38">
        <v>3.0</v>
      </c>
      <c r="AL255" s="38">
        <v>250.8</v>
      </c>
      <c r="AM255" s="38">
        <v>0.0</v>
      </c>
      <c r="AN255" s="34" t="s">
        <v>62</v>
      </c>
      <c r="AO255" s="34" t="s">
        <v>62</v>
      </c>
      <c r="AP255" s="34" t="s">
        <v>62</v>
      </c>
      <c r="AQ255" s="34" t="s">
        <v>62</v>
      </c>
      <c r="AR255" s="38">
        <v>0.0</v>
      </c>
      <c r="AS255" s="38" t="s">
        <v>2293</v>
      </c>
      <c r="AT255" s="35" t="s">
        <v>2294</v>
      </c>
      <c r="AU255" s="39" t="s">
        <v>2295</v>
      </c>
      <c r="AV255" s="40">
        <v>46164.0</v>
      </c>
    </row>
    <row r="256">
      <c r="A256" s="38">
        <v>455370.0</v>
      </c>
      <c r="B256" s="38">
        <v>3230.0</v>
      </c>
      <c r="C256" s="38">
        <v>3230.0</v>
      </c>
      <c r="D256" s="38">
        <v>8.0206524E7</v>
      </c>
      <c r="E256" s="38">
        <v>8.0206524E7</v>
      </c>
      <c r="F256" s="18" t="s">
        <v>148</v>
      </c>
      <c r="G256" s="18" t="s">
        <v>149</v>
      </c>
      <c r="H256" s="18" t="s">
        <v>2296</v>
      </c>
      <c r="I256" s="18" t="s">
        <v>583</v>
      </c>
      <c r="J256" s="18" t="s">
        <v>2205</v>
      </c>
      <c r="K256" s="18" t="s">
        <v>2292</v>
      </c>
      <c r="L256" s="18" t="s">
        <v>52</v>
      </c>
      <c r="M256" s="18" t="s">
        <v>138</v>
      </c>
      <c r="N256" s="18" t="s">
        <v>130</v>
      </c>
      <c r="O256" s="18" t="s">
        <v>126</v>
      </c>
      <c r="P256" s="18" t="s">
        <v>56</v>
      </c>
      <c r="Q256" s="18" t="s">
        <v>57</v>
      </c>
      <c r="R256" s="18" t="s">
        <v>143</v>
      </c>
      <c r="S256" s="18" t="s">
        <v>59</v>
      </c>
      <c r="T256" s="38">
        <v>2026.0</v>
      </c>
      <c r="U256" s="38">
        <v>5.0</v>
      </c>
      <c r="V256" s="38">
        <v>1.081522366E9</v>
      </c>
      <c r="W256" s="38">
        <v>1.081540436E9</v>
      </c>
      <c r="X256" s="18" t="s">
        <v>2199</v>
      </c>
      <c r="Y256" s="18" t="s">
        <v>2200</v>
      </c>
      <c r="Z256" s="38">
        <v>184885.9</v>
      </c>
      <c r="AA256" s="38">
        <v>184885.9</v>
      </c>
      <c r="AB256" s="38">
        <v>0.0</v>
      </c>
      <c r="AC256" s="38">
        <v>773.0</v>
      </c>
      <c r="AD256" s="38">
        <v>0.0</v>
      </c>
      <c r="AE256" s="38">
        <v>0.0</v>
      </c>
      <c r="AF256" s="38">
        <v>0.0</v>
      </c>
      <c r="AG256" s="38">
        <v>0.0</v>
      </c>
      <c r="AH256" s="38">
        <v>0.0</v>
      </c>
      <c r="AI256" s="38">
        <v>184885.9</v>
      </c>
      <c r="AJ256" s="38">
        <v>528632.17</v>
      </c>
      <c r="AK256" s="38">
        <v>3.0</v>
      </c>
      <c r="AL256" s="38">
        <v>250.8</v>
      </c>
      <c r="AM256" s="38">
        <v>0.0</v>
      </c>
      <c r="AN256" s="34" t="s">
        <v>62</v>
      </c>
      <c r="AO256" s="34" t="s">
        <v>62</v>
      </c>
      <c r="AP256" s="34" t="s">
        <v>62</v>
      </c>
      <c r="AQ256" s="34" t="s">
        <v>62</v>
      </c>
      <c r="AR256" s="38">
        <v>0.0</v>
      </c>
      <c r="AS256" s="38" t="s">
        <v>2293</v>
      </c>
      <c r="AT256" s="35" t="s">
        <v>2294</v>
      </c>
      <c r="AU256" s="39" t="s">
        <v>2295</v>
      </c>
      <c r="AV256" s="40">
        <v>46164.0</v>
      </c>
    </row>
    <row r="257">
      <c r="A257" s="38">
        <v>455370.0</v>
      </c>
      <c r="B257" s="38">
        <v>3234.0</v>
      </c>
      <c r="C257" s="38">
        <v>3234.0</v>
      </c>
      <c r="D257" s="38">
        <v>8.0208644E7</v>
      </c>
      <c r="E257" s="38">
        <v>8.0208644E7</v>
      </c>
      <c r="F257" s="18" t="s">
        <v>148</v>
      </c>
      <c r="G257" s="18" t="s">
        <v>149</v>
      </c>
      <c r="H257" s="18" t="s">
        <v>2296</v>
      </c>
      <c r="I257" s="18" t="s">
        <v>200</v>
      </c>
      <c r="J257" s="18" t="s">
        <v>2205</v>
      </c>
      <c r="K257" s="18" t="s">
        <v>2292</v>
      </c>
      <c r="L257" s="18" t="s">
        <v>52</v>
      </c>
      <c r="M257" s="18" t="s">
        <v>138</v>
      </c>
      <c r="N257" s="18" t="s">
        <v>130</v>
      </c>
      <c r="O257" s="18" t="s">
        <v>126</v>
      </c>
      <c r="P257" s="18" t="s">
        <v>56</v>
      </c>
      <c r="Q257" s="18" t="s">
        <v>57</v>
      </c>
      <c r="R257" s="18" t="s">
        <v>143</v>
      </c>
      <c r="S257" s="18" t="s">
        <v>59</v>
      </c>
      <c r="T257" s="38">
        <v>2026.0</v>
      </c>
      <c r="U257" s="38">
        <v>5.0</v>
      </c>
      <c r="V257" s="38">
        <v>1.08152237E9</v>
      </c>
      <c r="W257" s="38">
        <v>1.08154044E9</v>
      </c>
      <c r="X257" s="18" t="s">
        <v>2199</v>
      </c>
      <c r="Y257" s="18" t="s">
        <v>2200</v>
      </c>
      <c r="Z257" s="38">
        <v>408862.88</v>
      </c>
      <c r="AA257" s="38">
        <v>408862.88</v>
      </c>
      <c r="AB257" s="38">
        <v>0.0</v>
      </c>
      <c r="AC257" s="38">
        <v>1953.0</v>
      </c>
      <c r="AD257" s="38">
        <v>0.0</v>
      </c>
      <c r="AE257" s="38">
        <v>0.0</v>
      </c>
      <c r="AF257" s="38">
        <v>0.0</v>
      </c>
      <c r="AG257" s="38">
        <v>0.0</v>
      </c>
      <c r="AH257" s="38">
        <v>0.0</v>
      </c>
      <c r="AI257" s="38">
        <v>408862.88</v>
      </c>
      <c r="AJ257" s="38">
        <v>971207.69</v>
      </c>
      <c r="AK257" s="38">
        <v>3.0</v>
      </c>
      <c r="AL257" s="38">
        <v>250.8</v>
      </c>
      <c r="AM257" s="38">
        <v>0.0</v>
      </c>
      <c r="AN257" s="34" t="s">
        <v>62</v>
      </c>
      <c r="AO257" s="34" t="s">
        <v>62</v>
      </c>
      <c r="AP257" s="34" t="s">
        <v>62</v>
      </c>
      <c r="AQ257" s="34" t="s">
        <v>62</v>
      </c>
      <c r="AR257" s="38">
        <v>0.0</v>
      </c>
      <c r="AS257" s="38" t="s">
        <v>2293</v>
      </c>
      <c r="AT257" s="35" t="s">
        <v>2294</v>
      </c>
      <c r="AU257" s="39" t="s">
        <v>2295</v>
      </c>
      <c r="AV257" s="40">
        <v>46164.0</v>
      </c>
    </row>
    <row r="258">
      <c r="A258" s="38">
        <v>455370.0</v>
      </c>
      <c r="B258" s="38">
        <v>3238.0</v>
      </c>
      <c r="C258" s="38">
        <v>3238.0</v>
      </c>
      <c r="D258" s="38">
        <v>8.0212696E7</v>
      </c>
      <c r="E258" s="38">
        <v>8.0212696E7</v>
      </c>
      <c r="F258" s="18" t="s">
        <v>148</v>
      </c>
      <c r="G258" s="18" t="s">
        <v>149</v>
      </c>
      <c r="H258" s="18" t="s">
        <v>2296</v>
      </c>
      <c r="I258" s="18" t="s">
        <v>228</v>
      </c>
      <c r="J258" s="18" t="s">
        <v>2205</v>
      </c>
      <c r="K258" s="18" t="s">
        <v>2292</v>
      </c>
      <c r="L258" s="18" t="s">
        <v>52</v>
      </c>
      <c r="M258" s="18" t="s">
        <v>138</v>
      </c>
      <c r="N258" s="18" t="s">
        <v>130</v>
      </c>
      <c r="O258" s="18" t="s">
        <v>126</v>
      </c>
      <c r="P258" s="18" t="s">
        <v>56</v>
      </c>
      <c r="Q258" s="18" t="s">
        <v>57</v>
      </c>
      <c r="R258" s="18" t="s">
        <v>143</v>
      </c>
      <c r="S258" s="18" t="s">
        <v>59</v>
      </c>
      <c r="T258" s="38">
        <v>2026.0</v>
      </c>
      <c r="U258" s="38">
        <v>5.0</v>
      </c>
      <c r="V258" s="38">
        <v>1.081522374E9</v>
      </c>
      <c r="W258" s="38">
        <v>1.081540444E9</v>
      </c>
      <c r="X258" s="18" t="s">
        <v>2199</v>
      </c>
      <c r="Y258" s="18" t="s">
        <v>2200</v>
      </c>
      <c r="Z258" s="38">
        <v>322878.5</v>
      </c>
      <c r="AA258" s="38">
        <v>322878.5</v>
      </c>
      <c r="AB258" s="38">
        <v>0.0</v>
      </c>
      <c r="AC258" s="38">
        <v>1500.0</v>
      </c>
      <c r="AD258" s="38">
        <v>0.0</v>
      </c>
      <c r="AE258" s="38">
        <v>0.0</v>
      </c>
      <c r="AF258" s="38">
        <v>0.0</v>
      </c>
      <c r="AG258" s="38">
        <v>0.0</v>
      </c>
      <c r="AH258" s="38">
        <v>0.0</v>
      </c>
      <c r="AI258" s="38">
        <v>322878.5</v>
      </c>
      <c r="AJ258" s="38">
        <v>801303.7</v>
      </c>
      <c r="AK258" s="38">
        <v>3.0</v>
      </c>
      <c r="AL258" s="38">
        <v>250.8</v>
      </c>
      <c r="AM258" s="38">
        <v>0.0</v>
      </c>
      <c r="AN258" s="34" t="s">
        <v>62</v>
      </c>
      <c r="AO258" s="34" t="s">
        <v>62</v>
      </c>
      <c r="AP258" s="34" t="s">
        <v>62</v>
      </c>
      <c r="AQ258" s="34" t="s">
        <v>62</v>
      </c>
      <c r="AR258" s="38">
        <v>0.0</v>
      </c>
      <c r="AS258" s="38" t="s">
        <v>2293</v>
      </c>
      <c r="AT258" s="35" t="s">
        <v>2294</v>
      </c>
      <c r="AU258" s="39" t="s">
        <v>2295</v>
      </c>
      <c r="AV258" s="40">
        <v>46164.0</v>
      </c>
    </row>
    <row r="259">
      <c r="A259" s="38">
        <v>455370.0</v>
      </c>
      <c r="B259" s="38">
        <v>3242.0</v>
      </c>
      <c r="C259" s="38">
        <v>3242.0</v>
      </c>
      <c r="D259" s="38">
        <v>8.02127E7</v>
      </c>
      <c r="E259" s="38">
        <v>8.02127E7</v>
      </c>
      <c r="F259" s="18" t="s">
        <v>148</v>
      </c>
      <c r="G259" s="18" t="s">
        <v>149</v>
      </c>
      <c r="H259" s="18" t="s">
        <v>2296</v>
      </c>
      <c r="I259" s="18" t="s">
        <v>230</v>
      </c>
      <c r="J259" s="18" t="s">
        <v>2205</v>
      </c>
      <c r="K259" s="18" t="s">
        <v>2292</v>
      </c>
      <c r="L259" s="18" t="s">
        <v>52</v>
      </c>
      <c r="M259" s="18" t="s">
        <v>138</v>
      </c>
      <c r="N259" s="18" t="s">
        <v>130</v>
      </c>
      <c r="O259" s="18" t="s">
        <v>126</v>
      </c>
      <c r="P259" s="18" t="s">
        <v>56</v>
      </c>
      <c r="Q259" s="18" t="s">
        <v>57</v>
      </c>
      <c r="R259" s="18" t="s">
        <v>143</v>
      </c>
      <c r="S259" s="18" t="s">
        <v>59</v>
      </c>
      <c r="T259" s="38">
        <v>2026.0</v>
      </c>
      <c r="U259" s="38">
        <v>5.0</v>
      </c>
      <c r="V259" s="38">
        <v>1.081522377E9</v>
      </c>
      <c r="W259" s="38">
        <v>1.081540447E9</v>
      </c>
      <c r="X259" s="18" t="s">
        <v>2199</v>
      </c>
      <c r="Y259" s="18" t="s">
        <v>2200</v>
      </c>
      <c r="Z259" s="38">
        <v>86184.18</v>
      </c>
      <c r="AA259" s="38">
        <v>86184.18</v>
      </c>
      <c r="AB259" s="38">
        <v>0.0</v>
      </c>
      <c r="AC259" s="38">
        <v>253.0</v>
      </c>
      <c r="AD259" s="38">
        <v>0.0</v>
      </c>
      <c r="AE259" s="38">
        <v>0.0</v>
      </c>
      <c r="AF259" s="38">
        <v>0.0</v>
      </c>
      <c r="AG259" s="38">
        <v>0.0</v>
      </c>
      <c r="AH259" s="38">
        <v>0.0</v>
      </c>
      <c r="AI259" s="38">
        <v>86184.18</v>
      </c>
      <c r="AJ259" s="38">
        <v>333598.89</v>
      </c>
      <c r="AK259" s="38">
        <v>3.0</v>
      </c>
      <c r="AL259" s="38">
        <v>250.8</v>
      </c>
      <c r="AM259" s="38">
        <v>0.0</v>
      </c>
      <c r="AN259" s="34" t="s">
        <v>62</v>
      </c>
      <c r="AO259" s="34" t="s">
        <v>62</v>
      </c>
      <c r="AP259" s="34" t="s">
        <v>62</v>
      </c>
      <c r="AQ259" s="34" t="s">
        <v>62</v>
      </c>
      <c r="AR259" s="38">
        <v>0.0</v>
      </c>
      <c r="AS259" s="38" t="s">
        <v>2293</v>
      </c>
      <c r="AT259" s="35" t="s">
        <v>2294</v>
      </c>
      <c r="AU259" s="39" t="s">
        <v>2295</v>
      </c>
      <c r="AV259" s="40">
        <v>46164.0</v>
      </c>
    </row>
    <row r="260">
      <c r="A260" s="38">
        <v>455370.0</v>
      </c>
      <c r="B260" s="38">
        <v>3246.0</v>
      </c>
      <c r="C260" s="38">
        <v>3246.0</v>
      </c>
      <c r="D260" s="38">
        <v>8.0212704E7</v>
      </c>
      <c r="E260" s="38">
        <v>8.0212704E7</v>
      </c>
      <c r="F260" s="18" t="s">
        <v>148</v>
      </c>
      <c r="G260" s="18" t="s">
        <v>149</v>
      </c>
      <c r="H260" s="18" t="s">
        <v>2296</v>
      </c>
      <c r="I260" s="18" t="s">
        <v>157</v>
      </c>
      <c r="J260" s="18" t="s">
        <v>2205</v>
      </c>
      <c r="K260" s="18" t="s">
        <v>2292</v>
      </c>
      <c r="L260" s="18" t="s">
        <v>52</v>
      </c>
      <c r="M260" s="18" t="s">
        <v>138</v>
      </c>
      <c r="N260" s="18" t="s">
        <v>130</v>
      </c>
      <c r="O260" s="18" t="s">
        <v>126</v>
      </c>
      <c r="P260" s="18" t="s">
        <v>56</v>
      </c>
      <c r="Q260" s="18" t="s">
        <v>57</v>
      </c>
      <c r="R260" s="18" t="s">
        <v>143</v>
      </c>
      <c r="S260" s="18" t="s">
        <v>59</v>
      </c>
      <c r="T260" s="38">
        <v>2026.0</v>
      </c>
      <c r="U260" s="38">
        <v>5.0</v>
      </c>
      <c r="V260" s="38">
        <v>1.081522381E9</v>
      </c>
      <c r="W260" s="38">
        <v>1.081540451E9</v>
      </c>
      <c r="X260" s="18" t="s">
        <v>2199</v>
      </c>
      <c r="Y260" s="18" t="s">
        <v>2200</v>
      </c>
      <c r="Z260" s="38">
        <v>566785.64</v>
      </c>
      <c r="AA260" s="38">
        <v>566785.64</v>
      </c>
      <c r="AB260" s="38">
        <v>0.0</v>
      </c>
      <c r="AC260" s="38">
        <v>2785.0</v>
      </c>
      <c r="AD260" s="38">
        <v>0.0</v>
      </c>
      <c r="AE260" s="38">
        <v>0.0</v>
      </c>
      <c r="AF260" s="38">
        <v>0.0</v>
      </c>
      <c r="AG260" s="38">
        <v>0.0</v>
      </c>
      <c r="AH260" s="38">
        <v>0.0</v>
      </c>
      <c r="AI260" s="38">
        <v>566785.64</v>
      </c>
      <c r="AJ260" s="38">
        <v>1283260.95</v>
      </c>
      <c r="AK260" s="38">
        <v>3.0</v>
      </c>
      <c r="AL260" s="38">
        <v>250.8</v>
      </c>
      <c r="AM260" s="38">
        <v>0.0</v>
      </c>
      <c r="AN260" s="34" t="s">
        <v>62</v>
      </c>
      <c r="AO260" s="34" t="s">
        <v>62</v>
      </c>
      <c r="AP260" s="34" t="s">
        <v>62</v>
      </c>
      <c r="AQ260" s="34" t="s">
        <v>62</v>
      </c>
      <c r="AR260" s="38">
        <v>0.0</v>
      </c>
      <c r="AS260" s="38" t="s">
        <v>2293</v>
      </c>
      <c r="AT260" s="35" t="s">
        <v>2294</v>
      </c>
      <c r="AU260" s="39" t="s">
        <v>2295</v>
      </c>
      <c r="AV260" s="40">
        <v>46164.0</v>
      </c>
    </row>
    <row r="261">
      <c r="A261" s="38">
        <v>455370.0</v>
      </c>
      <c r="B261" s="38">
        <v>3250.0</v>
      </c>
      <c r="C261" s="38">
        <v>3250.0</v>
      </c>
      <c r="D261" s="38">
        <v>8.0212708E7</v>
      </c>
      <c r="E261" s="38">
        <v>8.0212708E7</v>
      </c>
      <c r="F261" s="18" t="s">
        <v>148</v>
      </c>
      <c r="G261" s="18" t="s">
        <v>149</v>
      </c>
      <c r="H261" s="18" t="s">
        <v>2296</v>
      </c>
      <c r="I261" s="18" t="s">
        <v>589</v>
      </c>
      <c r="J261" s="18" t="s">
        <v>2205</v>
      </c>
      <c r="K261" s="18" t="s">
        <v>2292</v>
      </c>
      <c r="L261" s="18" t="s">
        <v>52</v>
      </c>
      <c r="M261" s="18" t="s">
        <v>138</v>
      </c>
      <c r="N261" s="18" t="s">
        <v>130</v>
      </c>
      <c r="O261" s="18" t="s">
        <v>126</v>
      </c>
      <c r="P261" s="18" t="s">
        <v>56</v>
      </c>
      <c r="Q261" s="18" t="s">
        <v>57</v>
      </c>
      <c r="R261" s="18" t="s">
        <v>143</v>
      </c>
      <c r="S261" s="18" t="s">
        <v>59</v>
      </c>
      <c r="T261" s="38">
        <v>2026.0</v>
      </c>
      <c r="U261" s="38">
        <v>5.0</v>
      </c>
      <c r="V261" s="38">
        <v>1.081522385E9</v>
      </c>
      <c r="W261" s="38">
        <v>1.081540455E9</v>
      </c>
      <c r="X261" s="18" t="s">
        <v>2199</v>
      </c>
      <c r="Y261" s="18" t="s">
        <v>2200</v>
      </c>
      <c r="Z261" s="38">
        <v>200450.41</v>
      </c>
      <c r="AA261" s="38">
        <v>200450.41</v>
      </c>
      <c r="AB261" s="38">
        <v>0.0</v>
      </c>
      <c r="AC261" s="38">
        <v>855.0</v>
      </c>
      <c r="AD261" s="38">
        <v>0.0</v>
      </c>
      <c r="AE261" s="38">
        <v>0.0</v>
      </c>
      <c r="AF261" s="38">
        <v>0.0</v>
      </c>
      <c r="AG261" s="38">
        <v>0.0</v>
      </c>
      <c r="AH261" s="38">
        <v>0.0</v>
      </c>
      <c r="AI261" s="38">
        <v>200450.41</v>
      </c>
      <c r="AJ261" s="38">
        <v>559387.43</v>
      </c>
      <c r="AK261" s="38">
        <v>3.0</v>
      </c>
      <c r="AL261" s="38">
        <v>250.8</v>
      </c>
      <c r="AM261" s="38">
        <v>0.0</v>
      </c>
      <c r="AN261" s="34" t="s">
        <v>62</v>
      </c>
      <c r="AO261" s="34" t="s">
        <v>62</v>
      </c>
      <c r="AP261" s="34" t="s">
        <v>62</v>
      </c>
      <c r="AQ261" s="34" t="s">
        <v>62</v>
      </c>
      <c r="AR261" s="38">
        <v>0.0</v>
      </c>
      <c r="AS261" s="38" t="s">
        <v>2293</v>
      </c>
      <c r="AT261" s="35" t="s">
        <v>2294</v>
      </c>
      <c r="AU261" s="39" t="s">
        <v>2295</v>
      </c>
      <c r="AV261" s="40">
        <v>46164.0</v>
      </c>
    </row>
    <row r="262">
      <c r="A262" s="38">
        <v>455370.0</v>
      </c>
      <c r="B262" s="38">
        <v>3254.0</v>
      </c>
      <c r="C262" s="38">
        <v>3254.0</v>
      </c>
      <c r="D262" s="38">
        <v>8.0212712E7</v>
      </c>
      <c r="E262" s="38">
        <v>8.0212712E7</v>
      </c>
      <c r="F262" s="18" t="s">
        <v>148</v>
      </c>
      <c r="G262" s="18" t="s">
        <v>149</v>
      </c>
      <c r="H262" s="18" t="s">
        <v>2296</v>
      </c>
      <c r="I262" s="18" t="s">
        <v>194</v>
      </c>
      <c r="J262" s="18" t="s">
        <v>2205</v>
      </c>
      <c r="K262" s="18" t="s">
        <v>2292</v>
      </c>
      <c r="L262" s="18" t="s">
        <v>52</v>
      </c>
      <c r="M262" s="18" t="s">
        <v>138</v>
      </c>
      <c r="N262" s="18" t="s">
        <v>130</v>
      </c>
      <c r="O262" s="18" t="s">
        <v>126</v>
      </c>
      <c r="P262" s="18" t="s">
        <v>56</v>
      </c>
      <c r="Q262" s="18" t="s">
        <v>57</v>
      </c>
      <c r="R262" s="18" t="s">
        <v>143</v>
      </c>
      <c r="S262" s="18" t="s">
        <v>59</v>
      </c>
      <c r="T262" s="38">
        <v>2026.0</v>
      </c>
      <c r="U262" s="38">
        <v>5.0</v>
      </c>
      <c r="V262" s="38">
        <v>1.081522389E9</v>
      </c>
      <c r="W262" s="38">
        <v>1.081540459E9</v>
      </c>
      <c r="X262" s="18" t="s">
        <v>2199</v>
      </c>
      <c r="Y262" s="18" t="s">
        <v>2200</v>
      </c>
      <c r="Z262" s="38">
        <v>452899.04</v>
      </c>
      <c r="AA262" s="38">
        <v>452899.04</v>
      </c>
      <c r="AB262" s="38">
        <v>0.0</v>
      </c>
      <c r="AC262" s="38">
        <v>2185.0</v>
      </c>
      <c r="AD262" s="38">
        <v>0.0</v>
      </c>
      <c r="AE262" s="38">
        <v>0.0</v>
      </c>
      <c r="AF262" s="38">
        <v>0.0</v>
      </c>
      <c r="AG262" s="38">
        <v>0.0</v>
      </c>
      <c r="AH262" s="38">
        <v>0.0</v>
      </c>
      <c r="AI262" s="38">
        <v>452899.04</v>
      </c>
      <c r="AJ262" s="38">
        <v>1058222.55</v>
      </c>
      <c r="AK262" s="38">
        <v>3.0</v>
      </c>
      <c r="AL262" s="38">
        <v>250.8</v>
      </c>
      <c r="AM262" s="38">
        <v>0.0</v>
      </c>
      <c r="AN262" s="34" t="s">
        <v>62</v>
      </c>
      <c r="AO262" s="34" t="s">
        <v>62</v>
      </c>
      <c r="AP262" s="34" t="s">
        <v>62</v>
      </c>
      <c r="AQ262" s="34" t="s">
        <v>62</v>
      </c>
      <c r="AR262" s="38">
        <v>0.0</v>
      </c>
      <c r="AS262" s="38" t="s">
        <v>2293</v>
      </c>
      <c r="AT262" s="35" t="s">
        <v>2294</v>
      </c>
      <c r="AU262" s="39" t="s">
        <v>2295</v>
      </c>
      <c r="AV262" s="40">
        <v>46164.0</v>
      </c>
    </row>
    <row r="263">
      <c r="A263" s="38">
        <v>455370.0</v>
      </c>
      <c r="B263" s="38">
        <v>3258.0</v>
      </c>
      <c r="C263" s="38">
        <v>3258.0</v>
      </c>
      <c r="D263" s="38">
        <v>8.0212716E7</v>
      </c>
      <c r="E263" s="38">
        <v>8.0212716E7</v>
      </c>
      <c r="F263" s="18" t="s">
        <v>148</v>
      </c>
      <c r="G263" s="18" t="s">
        <v>149</v>
      </c>
      <c r="H263" s="18" t="s">
        <v>2296</v>
      </c>
      <c r="I263" s="18" t="s">
        <v>165</v>
      </c>
      <c r="J263" s="18" t="s">
        <v>2205</v>
      </c>
      <c r="K263" s="18" t="s">
        <v>2292</v>
      </c>
      <c r="L263" s="18" t="s">
        <v>52</v>
      </c>
      <c r="M263" s="18" t="s">
        <v>138</v>
      </c>
      <c r="N263" s="18" t="s">
        <v>130</v>
      </c>
      <c r="O263" s="18" t="s">
        <v>126</v>
      </c>
      <c r="P263" s="18" t="s">
        <v>56</v>
      </c>
      <c r="Q263" s="18" t="s">
        <v>57</v>
      </c>
      <c r="R263" s="18" t="s">
        <v>143</v>
      </c>
      <c r="S263" s="18" t="s">
        <v>59</v>
      </c>
      <c r="T263" s="38">
        <v>2026.0</v>
      </c>
      <c r="U263" s="38">
        <v>5.0</v>
      </c>
      <c r="V263" s="38">
        <v>1.081522393E9</v>
      </c>
      <c r="W263" s="38">
        <v>1.081540463E9</v>
      </c>
      <c r="X263" s="18" t="s">
        <v>2199</v>
      </c>
      <c r="Y263" s="18" t="s">
        <v>2200</v>
      </c>
      <c r="Z263" s="38">
        <v>481370.69</v>
      </c>
      <c r="AA263" s="38">
        <v>481370.69</v>
      </c>
      <c r="AB263" s="38">
        <v>0.0</v>
      </c>
      <c r="AC263" s="38">
        <v>2335.0</v>
      </c>
      <c r="AD263" s="38">
        <v>0.0</v>
      </c>
      <c r="AE263" s="38">
        <v>0.0</v>
      </c>
      <c r="AF263" s="38">
        <v>0.0</v>
      </c>
      <c r="AG263" s="38">
        <v>0.0</v>
      </c>
      <c r="AH263" s="38">
        <v>0.0</v>
      </c>
      <c r="AI263" s="38">
        <v>481370.69</v>
      </c>
      <c r="AJ263" s="38">
        <v>1114482.15</v>
      </c>
      <c r="AK263" s="38">
        <v>3.0</v>
      </c>
      <c r="AL263" s="38">
        <v>250.8</v>
      </c>
      <c r="AM263" s="38">
        <v>0.0</v>
      </c>
      <c r="AN263" s="34" t="s">
        <v>62</v>
      </c>
      <c r="AO263" s="34" t="s">
        <v>62</v>
      </c>
      <c r="AP263" s="34" t="s">
        <v>62</v>
      </c>
      <c r="AQ263" s="34" t="s">
        <v>62</v>
      </c>
      <c r="AR263" s="38">
        <v>0.0</v>
      </c>
      <c r="AS263" s="38" t="s">
        <v>2293</v>
      </c>
      <c r="AT263" s="35" t="s">
        <v>2294</v>
      </c>
      <c r="AU263" s="39" t="s">
        <v>2295</v>
      </c>
      <c r="AV263" s="40">
        <v>46164.0</v>
      </c>
    </row>
    <row r="264">
      <c r="A264" s="38">
        <v>455370.0</v>
      </c>
      <c r="B264" s="38">
        <v>3262.0</v>
      </c>
      <c r="C264" s="38">
        <v>3262.0</v>
      </c>
      <c r="D264" s="38">
        <v>8.021272E7</v>
      </c>
      <c r="E264" s="38">
        <v>8.021272E7</v>
      </c>
      <c r="F264" s="18" t="s">
        <v>148</v>
      </c>
      <c r="G264" s="18" t="s">
        <v>149</v>
      </c>
      <c r="H264" s="18" t="s">
        <v>2296</v>
      </c>
      <c r="I264" s="18" t="s">
        <v>165</v>
      </c>
      <c r="J264" s="18" t="s">
        <v>2205</v>
      </c>
      <c r="K264" s="18" t="s">
        <v>2292</v>
      </c>
      <c r="L264" s="18" t="s">
        <v>52</v>
      </c>
      <c r="M264" s="18" t="s">
        <v>138</v>
      </c>
      <c r="N264" s="18" t="s">
        <v>130</v>
      </c>
      <c r="O264" s="18" t="s">
        <v>126</v>
      </c>
      <c r="P264" s="18" t="s">
        <v>56</v>
      </c>
      <c r="Q264" s="18" t="s">
        <v>57</v>
      </c>
      <c r="R264" s="18" t="s">
        <v>143</v>
      </c>
      <c r="S264" s="18" t="s">
        <v>59</v>
      </c>
      <c r="T264" s="38">
        <v>2026.0</v>
      </c>
      <c r="U264" s="38">
        <v>5.0</v>
      </c>
      <c r="V264" s="38">
        <v>1.081522398E9</v>
      </c>
      <c r="W264" s="38">
        <v>1.081540468E9</v>
      </c>
      <c r="X264" s="18" t="s">
        <v>2199</v>
      </c>
      <c r="Y264" s="18" t="s">
        <v>2200</v>
      </c>
      <c r="Z264" s="38">
        <v>284916.3</v>
      </c>
      <c r="AA264" s="38">
        <v>284916.3</v>
      </c>
      <c r="AB264" s="38">
        <v>0.0</v>
      </c>
      <c r="AC264" s="38">
        <v>1300.0</v>
      </c>
      <c r="AD264" s="38">
        <v>0.0</v>
      </c>
      <c r="AE264" s="38">
        <v>0.0</v>
      </c>
      <c r="AF264" s="38">
        <v>0.0</v>
      </c>
      <c r="AG264" s="38">
        <v>0.0</v>
      </c>
      <c r="AH264" s="38">
        <v>0.0</v>
      </c>
      <c r="AI264" s="38">
        <v>284916.3</v>
      </c>
      <c r="AJ264" s="38">
        <v>726290.9</v>
      </c>
      <c r="AK264" s="38">
        <v>3.0</v>
      </c>
      <c r="AL264" s="38">
        <v>250.8</v>
      </c>
      <c r="AM264" s="38">
        <v>0.0</v>
      </c>
      <c r="AN264" s="34" t="s">
        <v>62</v>
      </c>
      <c r="AO264" s="34" t="s">
        <v>62</v>
      </c>
      <c r="AP264" s="34" t="s">
        <v>62</v>
      </c>
      <c r="AQ264" s="34" t="s">
        <v>62</v>
      </c>
      <c r="AR264" s="38">
        <v>0.0</v>
      </c>
      <c r="AS264" s="38" t="s">
        <v>2293</v>
      </c>
      <c r="AT264" s="35" t="s">
        <v>2294</v>
      </c>
      <c r="AU264" s="39" t="s">
        <v>2295</v>
      </c>
      <c r="AV264" s="40">
        <v>46164.0</v>
      </c>
    </row>
    <row r="265">
      <c r="A265" s="38">
        <v>455370.0</v>
      </c>
      <c r="B265" s="38">
        <v>3266.0</v>
      </c>
      <c r="C265" s="38">
        <v>3266.0</v>
      </c>
      <c r="D265" s="38">
        <v>8.0212724E7</v>
      </c>
      <c r="E265" s="38">
        <v>8.0212724E7</v>
      </c>
      <c r="F265" s="18" t="s">
        <v>148</v>
      </c>
      <c r="G265" s="18" t="s">
        <v>149</v>
      </c>
      <c r="H265" s="18" t="s">
        <v>2296</v>
      </c>
      <c r="I265" s="18" t="s">
        <v>583</v>
      </c>
      <c r="J265" s="18" t="s">
        <v>2205</v>
      </c>
      <c r="K265" s="18" t="s">
        <v>2292</v>
      </c>
      <c r="L265" s="18" t="s">
        <v>52</v>
      </c>
      <c r="M265" s="18" t="s">
        <v>138</v>
      </c>
      <c r="N265" s="18" t="s">
        <v>130</v>
      </c>
      <c r="O265" s="18" t="s">
        <v>126</v>
      </c>
      <c r="P265" s="18" t="s">
        <v>56</v>
      </c>
      <c r="Q265" s="18" t="s">
        <v>57</v>
      </c>
      <c r="R265" s="18" t="s">
        <v>143</v>
      </c>
      <c r="S265" s="18" t="s">
        <v>59</v>
      </c>
      <c r="T265" s="38">
        <v>2026.0</v>
      </c>
      <c r="U265" s="38">
        <v>5.0</v>
      </c>
      <c r="V265" s="38">
        <v>1.081522402E9</v>
      </c>
      <c r="W265" s="38">
        <v>1.081540472E9</v>
      </c>
      <c r="X265" s="18" t="s">
        <v>2199</v>
      </c>
      <c r="Y265" s="18" t="s">
        <v>2200</v>
      </c>
      <c r="Z265" s="38">
        <v>125475.06</v>
      </c>
      <c r="AA265" s="38">
        <v>125475.06</v>
      </c>
      <c r="AB265" s="38">
        <v>0.0</v>
      </c>
      <c r="AC265" s="38">
        <v>460.0</v>
      </c>
      <c r="AD265" s="38">
        <v>0.0</v>
      </c>
      <c r="AE265" s="38">
        <v>0.0</v>
      </c>
      <c r="AF265" s="38">
        <v>0.0</v>
      </c>
      <c r="AG265" s="38">
        <v>0.0</v>
      </c>
      <c r="AH265" s="38">
        <v>0.0</v>
      </c>
      <c r="AI265" s="38">
        <v>125475.06</v>
      </c>
      <c r="AJ265" s="38">
        <v>411237.14</v>
      </c>
      <c r="AK265" s="38">
        <v>3.0</v>
      </c>
      <c r="AL265" s="38">
        <v>250.8</v>
      </c>
      <c r="AM265" s="38">
        <v>0.0</v>
      </c>
      <c r="AN265" s="34" t="s">
        <v>62</v>
      </c>
      <c r="AO265" s="34" t="s">
        <v>62</v>
      </c>
      <c r="AP265" s="34" t="s">
        <v>62</v>
      </c>
      <c r="AQ265" s="34" t="s">
        <v>62</v>
      </c>
      <c r="AR265" s="38">
        <v>0.0</v>
      </c>
      <c r="AS265" s="38" t="s">
        <v>2293</v>
      </c>
      <c r="AT265" s="35" t="s">
        <v>2294</v>
      </c>
      <c r="AU265" s="39" t="s">
        <v>2295</v>
      </c>
      <c r="AV265" s="40">
        <v>46164.0</v>
      </c>
    </row>
    <row r="266">
      <c r="A266" s="38">
        <v>326727.0</v>
      </c>
      <c r="B266" s="38">
        <v>326726.0</v>
      </c>
      <c r="C266" s="38">
        <v>326726.0</v>
      </c>
      <c r="D266" s="38">
        <v>590141.0</v>
      </c>
      <c r="E266" s="38">
        <v>590141.0</v>
      </c>
      <c r="F266" s="38">
        <v>8.90500571E8</v>
      </c>
      <c r="G266" s="18" t="s">
        <v>595</v>
      </c>
      <c r="H266" s="18" t="s">
        <v>2466</v>
      </c>
      <c r="I266" s="18" t="s">
        <v>224</v>
      </c>
      <c r="J266" s="18" t="s">
        <v>2205</v>
      </c>
      <c r="K266" s="18" t="s">
        <v>2205</v>
      </c>
      <c r="L266" s="18" t="s">
        <v>52</v>
      </c>
      <c r="M266" s="18" t="s">
        <v>89</v>
      </c>
      <c r="N266" s="18" t="s">
        <v>130</v>
      </c>
      <c r="O266" s="18" t="s">
        <v>126</v>
      </c>
      <c r="P266" s="18" t="s">
        <v>56</v>
      </c>
      <c r="Q266" s="18" t="s">
        <v>72</v>
      </c>
      <c r="R266" s="18" t="s">
        <v>143</v>
      </c>
      <c r="S266" s="18" t="s">
        <v>59</v>
      </c>
      <c r="T266" s="38">
        <v>2026.0</v>
      </c>
      <c r="U266" s="38">
        <v>5.0</v>
      </c>
      <c r="V266" s="38">
        <v>1.081522556E9</v>
      </c>
      <c r="W266" s="38">
        <v>1.081540626E9</v>
      </c>
      <c r="X266" s="18" t="s">
        <v>2199</v>
      </c>
      <c r="Y266" s="18" t="s">
        <v>2200</v>
      </c>
      <c r="Z266" s="38">
        <v>142143.48</v>
      </c>
      <c r="AA266" s="38">
        <v>142143.48</v>
      </c>
      <c r="AB266" s="38">
        <v>32802.35</v>
      </c>
      <c r="AC266" s="38">
        <v>375.0</v>
      </c>
      <c r="AD266" s="38">
        <v>0.0</v>
      </c>
      <c r="AE266" s="38">
        <v>0.0</v>
      </c>
      <c r="AF266" s="38">
        <v>0.0</v>
      </c>
      <c r="AG266" s="38">
        <v>0.0</v>
      </c>
      <c r="AH266" s="38">
        <v>0.0</v>
      </c>
      <c r="AI266" s="38">
        <v>0.0</v>
      </c>
      <c r="AJ266" s="38">
        <v>0.0</v>
      </c>
      <c r="AK266" s="38">
        <v>0.0</v>
      </c>
      <c r="AL266" s="38">
        <v>326.04</v>
      </c>
      <c r="AM266" s="38">
        <v>0.0</v>
      </c>
      <c r="AN266" s="34" t="s">
        <v>62</v>
      </c>
      <c r="AO266" s="34" t="s">
        <v>62</v>
      </c>
      <c r="AP266" s="38">
        <v>142143.48</v>
      </c>
      <c r="AQ266" s="34" t="s">
        <v>62</v>
      </c>
      <c r="AR266" s="38">
        <v>58845.06</v>
      </c>
      <c r="AS266" s="38" t="s">
        <v>2467</v>
      </c>
      <c r="AT266" s="35" t="s">
        <v>2202</v>
      </c>
      <c r="AU266" s="39" t="s">
        <v>2254</v>
      </c>
      <c r="AV266" s="40">
        <v>46169.0</v>
      </c>
    </row>
    <row r="267">
      <c r="A267" s="38">
        <v>326735.0</v>
      </c>
      <c r="B267" s="38">
        <v>326734.0</v>
      </c>
      <c r="C267" s="38">
        <v>326734.0</v>
      </c>
      <c r="D267" s="38">
        <v>590257.0</v>
      </c>
      <c r="E267" s="38">
        <v>590257.0</v>
      </c>
      <c r="F267" s="18" t="s">
        <v>597</v>
      </c>
      <c r="G267" s="18" t="s">
        <v>598</v>
      </c>
      <c r="H267" s="18" t="s">
        <v>2468</v>
      </c>
      <c r="I267" s="18" t="s">
        <v>208</v>
      </c>
      <c r="J267" s="18" t="s">
        <v>2205</v>
      </c>
      <c r="K267" s="18" t="s">
        <v>2205</v>
      </c>
      <c r="L267" s="18" t="s">
        <v>52</v>
      </c>
      <c r="M267" s="18" t="s">
        <v>89</v>
      </c>
      <c r="N267" s="18" t="s">
        <v>130</v>
      </c>
      <c r="O267" s="18" t="s">
        <v>126</v>
      </c>
      <c r="P267" s="18" t="s">
        <v>56</v>
      </c>
      <c r="Q267" s="18" t="s">
        <v>72</v>
      </c>
      <c r="R267" s="18" t="s">
        <v>143</v>
      </c>
      <c r="S267" s="18" t="s">
        <v>59</v>
      </c>
      <c r="T267" s="38">
        <v>2026.0</v>
      </c>
      <c r="U267" s="38">
        <v>5.0</v>
      </c>
      <c r="V267" s="38">
        <v>1.081522559E9</v>
      </c>
      <c r="W267" s="38">
        <v>1.081540629E9</v>
      </c>
      <c r="X267" s="18" t="s">
        <v>2199</v>
      </c>
      <c r="Y267" s="18" t="s">
        <v>2200</v>
      </c>
      <c r="Z267" s="38">
        <v>111916.08</v>
      </c>
      <c r="AA267" s="38">
        <v>111916.08</v>
      </c>
      <c r="AB267" s="38">
        <v>25826.79</v>
      </c>
      <c r="AC267" s="38">
        <v>252.5</v>
      </c>
      <c r="AD267" s="38">
        <v>0.0</v>
      </c>
      <c r="AE267" s="38">
        <v>0.0</v>
      </c>
      <c r="AF267" s="38">
        <v>0.0</v>
      </c>
      <c r="AG267" s="38">
        <v>0.0</v>
      </c>
      <c r="AH267" s="38">
        <v>0.0</v>
      </c>
      <c r="AI267" s="38">
        <v>111916.08</v>
      </c>
      <c r="AJ267" s="38">
        <v>111916.08</v>
      </c>
      <c r="AK267" s="38">
        <v>0.0</v>
      </c>
      <c r="AL267" s="38">
        <v>326.04</v>
      </c>
      <c r="AM267" s="38">
        <v>0.0</v>
      </c>
      <c r="AN267" s="34" t="s">
        <v>62</v>
      </c>
      <c r="AO267" s="34" t="s">
        <v>62</v>
      </c>
      <c r="AP267" s="34" t="s">
        <v>62</v>
      </c>
      <c r="AQ267" s="34" t="s">
        <v>62</v>
      </c>
      <c r="AR267" s="38">
        <v>0.0</v>
      </c>
      <c r="AS267" s="38" t="s">
        <v>2469</v>
      </c>
      <c r="AT267" s="35" t="s">
        <v>2202</v>
      </c>
      <c r="AU267" s="39" t="s">
        <v>2254</v>
      </c>
      <c r="AV267" s="40">
        <v>46169.0</v>
      </c>
    </row>
    <row r="268">
      <c r="A268" s="38">
        <v>326739.0</v>
      </c>
      <c r="B268" s="38">
        <v>326738.0</v>
      </c>
      <c r="C268" s="38">
        <v>326738.0</v>
      </c>
      <c r="D268" s="38">
        <v>590297.0</v>
      </c>
      <c r="E268" s="38">
        <v>590297.0</v>
      </c>
      <c r="F268" s="38">
        <v>8.90500988E8</v>
      </c>
      <c r="G268" s="18" t="s">
        <v>600</v>
      </c>
      <c r="H268" s="18" t="s">
        <v>2470</v>
      </c>
      <c r="I268" s="18" t="s">
        <v>422</v>
      </c>
      <c r="J268" s="18" t="s">
        <v>2205</v>
      </c>
      <c r="K268" s="18" t="s">
        <v>2205</v>
      </c>
      <c r="L268" s="18" t="s">
        <v>52</v>
      </c>
      <c r="M268" s="18" t="s">
        <v>89</v>
      </c>
      <c r="N268" s="18" t="s">
        <v>130</v>
      </c>
      <c r="O268" s="18" t="s">
        <v>126</v>
      </c>
      <c r="P268" s="18" t="s">
        <v>56</v>
      </c>
      <c r="Q268" s="18" t="s">
        <v>72</v>
      </c>
      <c r="R268" s="18" t="s">
        <v>143</v>
      </c>
      <c r="S268" s="18" t="s">
        <v>59</v>
      </c>
      <c r="T268" s="38">
        <v>2026.0</v>
      </c>
      <c r="U268" s="38">
        <v>5.0</v>
      </c>
      <c r="V268" s="38">
        <v>1.081522564E9</v>
      </c>
      <c r="W268" s="38">
        <v>1.081540634E9</v>
      </c>
      <c r="X268" s="18" t="s">
        <v>2199</v>
      </c>
      <c r="Y268" s="18" t="s">
        <v>2200</v>
      </c>
      <c r="Z268" s="38">
        <v>573963.5</v>
      </c>
      <c r="AA268" s="38">
        <v>573963.5</v>
      </c>
      <c r="AB268" s="38">
        <v>132453.12</v>
      </c>
      <c r="AC268" s="38">
        <v>2125.0</v>
      </c>
      <c r="AD268" s="38">
        <v>0.0</v>
      </c>
      <c r="AE268" s="38">
        <v>0.0</v>
      </c>
      <c r="AF268" s="38">
        <v>0.0</v>
      </c>
      <c r="AG268" s="38">
        <v>0.0</v>
      </c>
      <c r="AH268" s="38">
        <v>0.0</v>
      </c>
      <c r="AI268" s="38">
        <v>573963.5</v>
      </c>
      <c r="AJ268" s="38">
        <v>573964.24</v>
      </c>
      <c r="AK268" s="38">
        <v>1.0</v>
      </c>
      <c r="AL268" s="38">
        <v>326.04</v>
      </c>
      <c r="AM268" s="38">
        <v>0.0</v>
      </c>
      <c r="AN268" s="34" t="s">
        <v>62</v>
      </c>
      <c r="AO268" s="34" t="s">
        <v>62</v>
      </c>
      <c r="AP268" s="34" t="s">
        <v>62</v>
      </c>
      <c r="AQ268" s="34" t="s">
        <v>62</v>
      </c>
      <c r="AR268" s="38">
        <v>0.0</v>
      </c>
      <c r="AS268" s="38" t="s">
        <v>2471</v>
      </c>
      <c r="AT268" s="35" t="s">
        <v>2202</v>
      </c>
      <c r="AU268" s="39" t="s">
        <v>2254</v>
      </c>
      <c r="AV268" s="40">
        <v>46169.0</v>
      </c>
    </row>
    <row r="269">
      <c r="A269" s="38">
        <v>455370.0</v>
      </c>
      <c r="B269" s="38">
        <v>3270.0</v>
      </c>
      <c r="C269" s="38">
        <v>3270.0</v>
      </c>
      <c r="D269" s="38">
        <v>8.0212728E7</v>
      </c>
      <c r="E269" s="38">
        <v>8.0212728E7</v>
      </c>
      <c r="F269" s="18" t="s">
        <v>148</v>
      </c>
      <c r="G269" s="18" t="s">
        <v>149</v>
      </c>
      <c r="H269" s="18" t="s">
        <v>2296</v>
      </c>
      <c r="I269" s="18" t="s">
        <v>602</v>
      </c>
      <c r="J269" s="18" t="s">
        <v>2205</v>
      </c>
      <c r="K269" s="18" t="s">
        <v>2292</v>
      </c>
      <c r="L269" s="18" t="s">
        <v>52</v>
      </c>
      <c r="M269" s="18" t="s">
        <v>138</v>
      </c>
      <c r="N269" s="18" t="s">
        <v>130</v>
      </c>
      <c r="O269" s="18" t="s">
        <v>126</v>
      </c>
      <c r="P269" s="18" t="s">
        <v>56</v>
      </c>
      <c r="Q269" s="18" t="s">
        <v>57</v>
      </c>
      <c r="R269" s="18" t="s">
        <v>143</v>
      </c>
      <c r="S269" s="18" t="s">
        <v>59</v>
      </c>
      <c r="T269" s="38">
        <v>2026.0</v>
      </c>
      <c r="U269" s="38">
        <v>5.0</v>
      </c>
      <c r="V269" s="38">
        <v>1.081522406E9</v>
      </c>
      <c r="W269" s="38">
        <v>1.081540476E9</v>
      </c>
      <c r="X269" s="18" t="s">
        <v>2199</v>
      </c>
      <c r="Y269" s="18" t="s">
        <v>2200</v>
      </c>
      <c r="Z269" s="38">
        <v>531670.6</v>
      </c>
      <c r="AA269" s="38">
        <v>531670.6</v>
      </c>
      <c r="AB269" s="38">
        <v>0.0</v>
      </c>
      <c r="AC269" s="38">
        <v>2600.0</v>
      </c>
      <c r="AD269" s="38">
        <v>0.0</v>
      </c>
      <c r="AE269" s="38">
        <v>0.0</v>
      </c>
      <c r="AF269" s="38">
        <v>0.0</v>
      </c>
      <c r="AG269" s="38">
        <v>0.0</v>
      </c>
      <c r="AH269" s="38">
        <v>0.0</v>
      </c>
      <c r="AI269" s="38">
        <v>531670.6</v>
      </c>
      <c r="AJ269" s="38">
        <v>1213874.1</v>
      </c>
      <c r="AK269" s="38">
        <v>3.0</v>
      </c>
      <c r="AL269" s="38">
        <v>250.8</v>
      </c>
      <c r="AM269" s="38">
        <v>0.0</v>
      </c>
      <c r="AN269" s="34" t="s">
        <v>62</v>
      </c>
      <c r="AO269" s="34" t="s">
        <v>62</v>
      </c>
      <c r="AP269" s="34" t="s">
        <v>62</v>
      </c>
      <c r="AQ269" s="34" t="s">
        <v>62</v>
      </c>
      <c r="AR269" s="38">
        <v>0.0</v>
      </c>
      <c r="AS269" s="38" t="s">
        <v>2293</v>
      </c>
      <c r="AT269" s="35" t="s">
        <v>2294</v>
      </c>
      <c r="AU269" s="39" t="s">
        <v>2295</v>
      </c>
      <c r="AV269" s="40">
        <v>46164.0</v>
      </c>
    </row>
    <row r="270">
      <c r="A270" s="38">
        <v>455370.0</v>
      </c>
      <c r="B270" s="38">
        <v>3274.0</v>
      </c>
      <c r="C270" s="38">
        <v>3274.0</v>
      </c>
      <c r="D270" s="38">
        <v>8.0212732E7</v>
      </c>
      <c r="E270" s="38">
        <v>8.0212732E7</v>
      </c>
      <c r="F270" s="18" t="s">
        <v>148</v>
      </c>
      <c r="G270" s="18" t="s">
        <v>149</v>
      </c>
      <c r="H270" s="18" t="s">
        <v>2296</v>
      </c>
      <c r="I270" s="18" t="s">
        <v>253</v>
      </c>
      <c r="J270" s="18" t="s">
        <v>2205</v>
      </c>
      <c r="K270" s="18" t="s">
        <v>2292</v>
      </c>
      <c r="L270" s="18" t="s">
        <v>52</v>
      </c>
      <c r="M270" s="18" t="s">
        <v>138</v>
      </c>
      <c r="N270" s="18" t="s">
        <v>130</v>
      </c>
      <c r="O270" s="18" t="s">
        <v>126</v>
      </c>
      <c r="P270" s="18" t="s">
        <v>56</v>
      </c>
      <c r="Q270" s="18" t="s">
        <v>57</v>
      </c>
      <c r="R270" s="18" t="s">
        <v>143</v>
      </c>
      <c r="S270" s="18" t="s">
        <v>59</v>
      </c>
      <c r="T270" s="38">
        <v>2026.0</v>
      </c>
      <c r="U270" s="38">
        <v>5.0</v>
      </c>
      <c r="V270" s="38">
        <v>1.08152241E9</v>
      </c>
      <c r="W270" s="38">
        <v>1.08154048E9</v>
      </c>
      <c r="X270" s="18" t="s">
        <v>2199</v>
      </c>
      <c r="Y270" s="18" t="s">
        <v>2200</v>
      </c>
      <c r="Z270" s="38">
        <v>291559.69</v>
      </c>
      <c r="AA270" s="38">
        <v>291559.69</v>
      </c>
      <c r="AB270" s="38">
        <v>0.0</v>
      </c>
      <c r="AC270" s="38">
        <v>1335.0</v>
      </c>
      <c r="AD270" s="38">
        <v>0.0</v>
      </c>
      <c r="AE270" s="38">
        <v>0.0</v>
      </c>
      <c r="AF270" s="38">
        <v>0.0</v>
      </c>
      <c r="AG270" s="38">
        <v>0.0</v>
      </c>
      <c r="AH270" s="38">
        <v>0.0</v>
      </c>
      <c r="AI270" s="38">
        <v>291559.69</v>
      </c>
      <c r="AJ270" s="38">
        <v>739418.15</v>
      </c>
      <c r="AK270" s="38">
        <v>3.0</v>
      </c>
      <c r="AL270" s="38">
        <v>250.8</v>
      </c>
      <c r="AM270" s="38">
        <v>0.0</v>
      </c>
      <c r="AN270" s="34" t="s">
        <v>62</v>
      </c>
      <c r="AO270" s="34" t="s">
        <v>62</v>
      </c>
      <c r="AP270" s="34" t="s">
        <v>62</v>
      </c>
      <c r="AQ270" s="34" t="s">
        <v>62</v>
      </c>
      <c r="AR270" s="38">
        <v>0.0</v>
      </c>
      <c r="AS270" s="38" t="s">
        <v>2293</v>
      </c>
      <c r="AT270" s="35" t="s">
        <v>2294</v>
      </c>
      <c r="AU270" s="39" t="s">
        <v>2295</v>
      </c>
      <c r="AV270" s="40">
        <v>46164.0</v>
      </c>
    </row>
    <row r="271">
      <c r="A271" s="38">
        <v>455370.0</v>
      </c>
      <c r="B271" s="38">
        <v>3278.0</v>
      </c>
      <c r="C271" s="38">
        <v>3278.0</v>
      </c>
      <c r="D271" s="38">
        <v>8.0212736E7</v>
      </c>
      <c r="E271" s="38">
        <v>8.0212736E7</v>
      </c>
      <c r="F271" s="18" t="s">
        <v>148</v>
      </c>
      <c r="G271" s="18" t="s">
        <v>149</v>
      </c>
      <c r="H271" s="18" t="s">
        <v>2296</v>
      </c>
      <c r="I271" s="18" t="s">
        <v>432</v>
      </c>
      <c r="J271" s="18" t="s">
        <v>2205</v>
      </c>
      <c r="K271" s="18" t="s">
        <v>2292</v>
      </c>
      <c r="L271" s="18" t="s">
        <v>52</v>
      </c>
      <c r="M271" s="18" t="s">
        <v>138</v>
      </c>
      <c r="N271" s="18" t="s">
        <v>130</v>
      </c>
      <c r="O271" s="18" t="s">
        <v>126</v>
      </c>
      <c r="P271" s="18" t="s">
        <v>56</v>
      </c>
      <c r="Q271" s="18" t="s">
        <v>57</v>
      </c>
      <c r="R271" s="18" t="s">
        <v>143</v>
      </c>
      <c r="S271" s="18" t="s">
        <v>59</v>
      </c>
      <c r="T271" s="38">
        <v>2026.0</v>
      </c>
      <c r="U271" s="38">
        <v>5.0</v>
      </c>
      <c r="V271" s="38">
        <v>1.081522413E9</v>
      </c>
      <c r="W271" s="38">
        <v>1.081540483E9</v>
      </c>
      <c r="X271" s="18" t="s">
        <v>2199</v>
      </c>
      <c r="Y271" s="18" t="s">
        <v>2200</v>
      </c>
      <c r="Z271" s="38">
        <v>278842.35</v>
      </c>
      <c r="AA271" s="38">
        <v>278842.35</v>
      </c>
      <c r="AB271" s="38">
        <v>0.0</v>
      </c>
      <c r="AC271" s="38">
        <v>1268.0</v>
      </c>
      <c r="AD271" s="38">
        <v>0.0</v>
      </c>
      <c r="AE271" s="38">
        <v>0.0</v>
      </c>
      <c r="AF271" s="38">
        <v>0.0</v>
      </c>
      <c r="AG271" s="38">
        <v>0.0</v>
      </c>
      <c r="AH271" s="38">
        <v>0.0</v>
      </c>
      <c r="AI271" s="38">
        <v>278842.35</v>
      </c>
      <c r="AJ271" s="38">
        <v>714288.86</v>
      </c>
      <c r="AK271" s="38">
        <v>3.0</v>
      </c>
      <c r="AL271" s="38">
        <v>250.8</v>
      </c>
      <c r="AM271" s="38">
        <v>0.0</v>
      </c>
      <c r="AN271" s="34" t="s">
        <v>62</v>
      </c>
      <c r="AO271" s="34" t="s">
        <v>62</v>
      </c>
      <c r="AP271" s="34" t="s">
        <v>62</v>
      </c>
      <c r="AQ271" s="34" t="s">
        <v>62</v>
      </c>
      <c r="AR271" s="38">
        <v>0.0</v>
      </c>
      <c r="AS271" s="38" t="s">
        <v>2293</v>
      </c>
      <c r="AT271" s="35" t="s">
        <v>2294</v>
      </c>
      <c r="AU271" s="39" t="s">
        <v>2295</v>
      </c>
      <c r="AV271" s="40">
        <v>46164.0</v>
      </c>
    </row>
    <row r="272">
      <c r="A272" s="38">
        <v>3283.0</v>
      </c>
      <c r="B272" s="38">
        <v>3282.0</v>
      </c>
      <c r="C272" s="38">
        <v>3282.0</v>
      </c>
      <c r="D272" s="38">
        <v>8.021313E7</v>
      </c>
      <c r="E272" s="38">
        <v>8.021313E7</v>
      </c>
      <c r="F272" s="38">
        <v>8.90900608E8</v>
      </c>
      <c r="G272" s="18" t="s">
        <v>606</v>
      </c>
      <c r="H272" s="18" t="s">
        <v>2472</v>
      </c>
      <c r="I272" s="18" t="s">
        <v>162</v>
      </c>
      <c r="J272" s="18" t="s">
        <v>982</v>
      </c>
      <c r="K272" s="18" t="s">
        <v>2473</v>
      </c>
      <c r="L272" s="18" t="s">
        <v>52</v>
      </c>
      <c r="M272" s="18" t="s">
        <v>89</v>
      </c>
      <c r="N272" s="18" t="s">
        <v>130</v>
      </c>
      <c r="O272" s="18" t="s">
        <v>126</v>
      </c>
      <c r="P272" s="18" t="s">
        <v>131</v>
      </c>
      <c r="Q272" s="18" t="s">
        <v>132</v>
      </c>
      <c r="R272" s="18" t="s">
        <v>133</v>
      </c>
      <c r="S272" s="18" t="s">
        <v>59</v>
      </c>
      <c r="T272" s="38">
        <v>2026.0</v>
      </c>
      <c r="U272" s="38">
        <v>5.0</v>
      </c>
      <c r="V272" s="38">
        <v>1.081522417E9</v>
      </c>
      <c r="W272" s="38">
        <v>1.081540487E9</v>
      </c>
      <c r="X272" s="18" t="s">
        <v>2199</v>
      </c>
      <c r="Y272" s="18" t="s">
        <v>2200</v>
      </c>
      <c r="Z272" s="38">
        <v>113911.5</v>
      </c>
      <c r="AA272" s="38">
        <v>113911.5</v>
      </c>
      <c r="AB272" s="38">
        <v>37970.5</v>
      </c>
      <c r="AC272" s="38">
        <v>0.0</v>
      </c>
      <c r="AD272" s="38">
        <v>0.0</v>
      </c>
      <c r="AE272" s="38">
        <v>0.0</v>
      </c>
      <c r="AF272" s="38">
        <v>0.0</v>
      </c>
      <c r="AG272" s="38">
        <v>0.0</v>
      </c>
      <c r="AH272" s="38">
        <v>0.0</v>
      </c>
      <c r="AI272" s="38">
        <v>113911.5</v>
      </c>
      <c r="AJ272" s="38">
        <v>113911.5</v>
      </c>
      <c r="AK272" s="38">
        <v>0.0</v>
      </c>
      <c r="AL272" s="38">
        <v>376.2</v>
      </c>
      <c r="AM272" s="38">
        <v>0.0</v>
      </c>
      <c r="AN272" s="34" t="s">
        <v>62</v>
      </c>
      <c r="AO272" s="34" t="s">
        <v>62</v>
      </c>
      <c r="AP272" s="34" t="s">
        <v>62</v>
      </c>
      <c r="AQ272" s="34" t="s">
        <v>62</v>
      </c>
      <c r="AR272" s="38">
        <v>0.0</v>
      </c>
      <c r="AS272" s="38" t="s">
        <v>2474</v>
      </c>
      <c r="AT272" s="35" t="s">
        <v>2275</v>
      </c>
      <c r="AU272" s="39" t="s">
        <v>2475</v>
      </c>
      <c r="AV272" s="40">
        <v>46163.0</v>
      </c>
    </row>
    <row r="273">
      <c r="A273" s="38">
        <v>147.0</v>
      </c>
      <c r="B273" s="38">
        <v>3286.0</v>
      </c>
      <c r="C273" s="38">
        <v>3286.0</v>
      </c>
      <c r="D273" s="38">
        <v>8.0217311E7</v>
      </c>
      <c r="E273" s="38">
        <v>8.0217311E7</v>
      </c>
      <c r="F273" s="18" t="s">
        <v>179</v>
      </c>
      <c r="G273" s="18" t="s">
        <v>180</v>
      </c>
      <c r="H273" s="18" t="s">
        <v>2320</v>
      </c>
      <c r="I273" s="18" t="s">
        <v>362</v>
      </c>
      <c r="J273" s="18" t="s">
        <v>2205</v>
      </c>
      <c r="K273" s="18" t="s">
        <v>2289</v>
      </c>
      <c r="L273" s="18" t="s">
        <v>52</v>
      </c>
      <c r="M273" s="18" t="s">
        <v>89</v>
      </c>
      <c r="N273" s="18" t="s">
        <v>130</v>
      </c>
      <c r="O273" s="18" t="s">
        <v>126</v>
      </c>
      <c r="P273" s="18" t="s">
        <v>56</v>
      </c>
      <c r="Q273" s="18" t="s">
        <v>57</v>
      </c>
      <c r="R273" s="18" t="s">
        <v>143</v>
      </c>
      <c r="S273" s="18" t="s">
        <v>59</v>
      </c>
      <c r="T273" s="38">
        <v>2026.0</v>
      </c>
      <c r="U273" s="38">
        <v>5.0</v>
      </c>
      <c r="V273" s="38">
        <v>1.081522422E9</v>
      </c>
      <c r="W273" s="38">
        <v>1.081540492E9</v>
      </c>
      <c r="X273" s="18" t="s">
        <v>2199</v>
      </c>
      <c r="Y273" s="18" t="s">
        <v>2200</v>
      </c>
      <c r="Z273" s="38">
        <v>156793.88</v>
      </c>
      <c r="AA273" s="38">
        <v>156793.88</v>
      </c>
      <c r="AB273" s="38">
        <v>0.0</v>
      </c>
      <c r="AC273" s="38">
        <v>625.0</v>
      </c>
      <c r="AD273" s="38">
        <v>0.0</v>
      </c>
      <c r="AE273" s="38">
        <v>0.0</v>
      </c>
      <c r="AF273" s="38">
        <v>0.0</v>
      </c>
      <c r="AG273" s="38">
        <v>0.0</v>
      </c>
      <c r="AH273" s="38">
        <v>0.0</v>
      </c>
      <c r="AI273" s="38">
        <v>156793.88</v>
      </c>
      <c r="AJ273" s="38">
        <v>310656.01</v>
      </c>
      <c r="AK273" s="38">
        <v>1.0</v>
      </c>
      <c r="AL273" s="38">
        <v>250.8</v>
      </c>
      <c r="AM273" s="38">
        <v>0.0</v>
      </c>
      <c r="AN273" s="34" t="s">
        <v>62</v>
      </c>
      <c r="AO273" s="34" t="s">
        <v>62</v>
      </c>
      <c r="AP273" s="34" t="s">
        <v>62</v>
      </c>
      <c r="AQ273" s="34" t="s">
        <v>62</v>
      </c>
      <c r="AR273" s="38">
        <v>0.0</v>
      </c>
      <c r="AS273" s="38" t="s">
        <v>2321</v>
      </c>
      <c r="AT273" s="35" t="s">
        <v>2202</v>
      </c>
      <c r="AU273" s="39" t="s">
        <v>2203</v>
      </c>
      <c r="AV273" s="40">
        <v>46163.0</v>
      </c>
    </row>
    <row r="274">
      <c r="A274" s="38">
        <v>455370.0</v>
      </c>
      <c r="B274" s="38">
        <v>3290.0</v>
      </c>
      <c r="C274" s="38">
        <v>3290.0</v>
      </c>
      <c r="D274" s="38">
        <v>8.0218482E7</v>
      </c>
      <c r="E274" s="38">
        <v>8.0218482E7</v>
      </c>
      <c r="F274" s="18" t="s">
        <v>148</v>
      </c>
      <c r="G274" s="18" t="s">
        <v>149</v>
      </c>
      <c r="H274" s="18" t="s">
        <v>2296</v>
      </c>
      <c r="I274" s="18" t="s">
        <v>159</v>
      </c>
      <c r="J274" s="18" t="s">
        <v>2205</v>
      </c>
      <c r="K274" s="18" t="s">
        <v>2292</v>
      </c>
      <c r="L274" s="18" t="s">
        <v>52</v>
      </c>
      <c r="M274" s="18" t="s">
        <v>138</v>
      </c>
      <c r="N274" s="18" t="s">
        <v>130</v>
      </c>
      <c r="O274" s="18" t="s">
        <v>126</v>
      </c>
      <c r="P274" s="18" t="s">
        <v>56</v>
      </c>
      <c r="Q274" s="18" t="s">
        <v>57</v>
      </c>
      <c r="R274" s="18" t="s">
        <v>143</v>
      </c>
      <c r="S274" s="18" t="s">
        <v>59</v>
      </c>
      <c r="T274" s="38">
        <v>2026.0</v>
      </c>
      <c r="U274" s="38">
        <v>5.0</v>
      </c>
      <c r="V274" s="38">
        <v>1.081522426E9</v>
      </c>
      <c r="W274" s="38">
        <v>1.081540496E9</v>
      </c>
      <c r="X274" s="18" t="s">
        <v>2199</v>
      </c>
      <c r="Y274" s="18" t="s">
        <v>2200</v>
      </c>
      <c r="Z274" s="38">
        <v>86184.18</v>
      </c>
      <c r="AA274" s="38">
        <v>86184.18</v>
      </c>
      <c r="AB274" s="38">
        <v>0.0</v>
      </c>
      <c r="AC274" s="38">
        <v>253.0</v>
      </c>
      <c r="AD274" s="38">
        <v>0.0</v>
      </c>
      <c r="AE274" s="38">
        <v>0.0</v>
      </c>
      <c r="AF274" s="38">
        <v>0.0</v>
      </c>
      <c r="AG274" s="38">
        <v>0.0</v>
      </c>
      <c r="AH274" s="38">
        <v>0.0</v>
      </c>
      <c r="AI274" s="38">
        <v>86184.18</v>
      </c>
      <c r="AJ274" s="38">
        <v>333598.89</v>
      </c>
      <c r="AK274" s="38">
        <v>3.0</v>
      </c>
      <c r="AL274" s="38">
        <v>250.8</v>
      </c>
      <c r="AM274" s="38">
        <v>0.0</v>
      </c>
      <c r="AN274" s="34" t="s">
        <v>62</v>
      </c>
      <c r="AO274" s="34" t="s">
        <v>62</v>
      </c>
      <c r="AP274" s="34" t="s">
        <v>62</v>
      </c>
      <c r="AQ274" s="34" t="s">
        <v>62</v>
      </c>
      <c r="AR274" s="38">
        <v>0.0</v>
      </c>
      <c r="AS274" s="38" t="s">
        <v>2293</v>
      </c>
      <c r="AT274" s="35" t="s">
        <v>2294</v>
      </c>
      <c r="AU274" s="39" t="s">
        <v>2295</v>
      </c>
      <c r="AV274" s="40">
        <v>46164.0</v>
      </c>
    </row>
    <row r="275">
      <c r="A275" s="38">
        <v>3295.0</v>
      </c>
      <c r="B275" s="38">
        <v>3294.0</v>
      </c>
      <c r="C275" s="38">
        <v>3294.0</v>
      </c>
      <c r="D275" s="38">
        <v>8.0218684E7</v>
      </c>
      <c r="E275" s="38">
        <v>8.0218684E7</v>
      </c>
      <c r="F275" s="18" t="s">
        <v>610</v>
      </c>
      <c r="G275" s="18" t="s">
        <v>611</v>
      </c>
      <c r="H275" s="18" t="s">
        <v>2476</v>
      </c>
      <c r="I275" s="18" t="s">
        <v>181</v>
      </c>
      <c r="J275" s="18" t="s">
        <v>2205</v>
      </c>
      <c r="K275" s="18" t="s">
        <v>2205</v>
      </c>
      <c r="L275" s="18" t="s">
        <v>52</v>
      </c>
      <c r="M275" s="18" t="s">
        <v>89</v>
      </c>
      <c r="N275" s="18" t="s">
        <v>130</v>
      </c>
      <c r="O275" s="18" t="s">
        <v>126</v>
      </c>
      <c r="P275" s="18" t="s">
        <v>56</v>
      </c>
      <c r="Q275" s="18" t="s">
        <v>72</v>
      </c>
      <c r="R275" s="18" t="s">
        <v>58</v>
      </c>
      <c r="S275" s="18" t="s">
        <v>59</v>
      </c>
      <c r="T275" s="38">
        <v>2026.0</v>
      </c>
      <c r="U275" s="38">
        <v>5.0</v>
      </c>
      <c r="V275" s="38">
        <v>1.08152243E9</v>
      </c>
      <c r="W275" s="38">
        <v>1.0815405E9</v>
      </c>
      <c r="X275" s="18" t="s">
        <v>2199</v>
      </c>
      <c r="Y275" s="18" t="s">
        <v>2200</v>
      </c>
      <c r="Z275" s="38">
        <v>8067615.74</v>
      </c>
      <c r="AA275" s="38">
        <v>8067615.74</v>
      </c>
      <c r="AB275" s="38">
        <v>1606430.43</v>
      </c>
      <c r="AC275" s="38">
        <v>28010.0</v>
      </c>
      <c r="AD275" s="38">
        <v>106417.2</v>
      </c>
      <c r="AE275" s="38">
        <v>0.0</v>
      </c>
      <c r="AF275" s="38">
        <v>0.0</v>
      </c>
      <c r="AG275" s="38">
        <v>0.0</v>
      </c>
      <c r="AH275" s="38">
        <v>0.0</v>
      </c>
      <c r="AI275" s="38">
        <v>8067615.74</v>
      </c>
      <c r="AJ275" s="38">
        <v>1.459331058E7</v>
      </c>
      <c r="AK275" s="38">
        <v>2.0</v>
      </c>
      <c r="AL275" s="38">
        <v>1000326.04</v>
      </c>
      <c r="AM275" s="38">
        <v>0.0</v>
      </c>
      <c r="AN275" s="34" t="s">
        <v>62</v>
      </c>
      <c r="AO275" s="34" t="s">
        <v>62</v>
      </c>
      <c r="AP275" s="34" t="s">
        <v>62</v>
      </c>
      <c r="AQ275" s="34" t="s">
        <v>62</v>
      </c>
      <c r="AR275" s="38">
        <v>0.0</v>
      </c>
      <c r="AS275" s="38" t="s">
        <v>2477</v>
      </c>
      <c r="AT275" s="35" t="s">
        <v>2202</v>
      </c>
      <c r="AU275" s="39" t="s">
        <v>2254</v>
      </c>
      <c r="AV275" s="40">
        <v>46169.0</v>
      </c>
    </row>
    <row r="276">
      <c r="A276" s="38">
        <v>3303.0</v>
      </c>
      <c r="B276" s="38">
        <v>3302.0</v>
      </c>
      <c r="C276" s="38">
        <v>3302.0</v>
      </c>
      <c r="D276" s="38">
        <v>8.02227E7</v>
      </c>
      <c r="E276" s="38">
        <v>8.02227E7</v>
      </c>
      <c r="F276" s="18" t="s">
        <v>613</v>
      </c>
      <c r="G276" s="18" t="s">
        <v>614</v>
      </c>
      <c r="H276" s="18" t="s">
        <v>2478</v>
      </c>
      <c r="I276" s="18" t="s">
        <v>214</v>
      </c>
      <c r="J276" s="18" t="s">
        <v>2205</v>
      </c>
      <c r="K276" s="18" t="s">
        <v>2205</v>
      </c>
      <c r="L276" s="18" t="s">
        <v>52</v>
      </c>
      <c r="M276" s="18" t="s">
        <v>89</v>
      </c>
      <c r="N276" s="18" t="s">
        <v>130</v>
      </c>
      <c r="O276" s="18" t="s">
        <v>126</v>
      </c>
      <c r="P276" s="18" t="s">
        <v>56</v>
      </c>
      <c r="Q276" s="18" t="s">
        <v>90</v>
      </c>
      <c r="R276" s="18" t="s">
        <v>143</v>
      </c>
      <c r="S276" s="18" t="s">
        <v>59</v>
      </c>
      <c r="T276" s="38">
        <v>2026.0</v>
      </c>
      <c r="U276" s="38">
        <v>5.0</v>
      </c>
      <c r="V276" s="38">
        <v>1.081522434E9</v>
      </c>
      <c r="W276" s="38">
        <v>1.081540504E9</v>
      </c>
      <c r="X276" s="18" t="s">
        <v>2199</v>
      </c>
      <c r="Y276" s="18" t="s">
        <v>2200</v>
      </c>
      <c r="Z276" s="38">
        <v>263662.48</v>
      </c>
      <c r="AA276" s="38">
        <v>263662.48</v>
      </c>
      <c r="AB276" s="38">
        <v>87887.5</v>
      </c>
      <c r="AC276" s="38">
        <v>725.0</v>
      </c>
      <c r="AD276" s="38">
        <v>0.0</v>
      </c>
      <c r="AE276" s="38">
        <v>0.0</v>
      </c>
      <c r="AF276" s="38">
        <v>0.0</v>
      </c>
      <c r="AG276" s="38">
        <v>0.0</v>
      </c>
      <c r="AH276" s="38">
        <v>0.0</v>
      </c>
      <c r="AI276" s="38">
        <v>263662.48</v>
      </c>
      <c r="AJ276" s="38">
        <v>263662.48</v>
      </c>
      <c r="AK276" s="38">
        <v>0.0</v>
      </c>
      <c r="AL276" s="38">
        <v>376.2</v>
      </c>
      <c r="AM276" s="38">
        <v>0.0</v>
      </c>
      <c r="AN276" s="34" t="s">
        <v>62</v>
      </c>
      <c r="AO276" s="34" t="s">
        <v>62</v>
      </c>
      <c r="AP276" s="34" t="s">
        <v>62</v>
      </c>
      <c r="AQ276" s="34" t="s">
        <v>62</v>
      </c>
      <c r="AR276" s="38">
        <v>0.0</v>
      </c>
      <c r="AS276" s="38" t="s">
        <v>2479</v>
      </c>
      <c r="AT276" s="35" t="s">
        <v>2202</v>
      </c>
      <c r="AU276" s="39" t="s">
        <v>2254</v>
      </c>
      <c r="AV276" s="40">
        <v>46169.0</v>
      </c>
    </row>
    <row r="277">
      <c r="A277" s="38">
        <v>455370.0</v>
      </c>
      <c r="B277" s="38">
        <v>3310.0</v>
      </c>
      <c r="C277" s="38">
        <v>3310.0</v>
      </c>
      <c r="D277" s="38">
        <v>8.0230159E7</v>
      </c>
      <c r="E277" s="38">
        <v>8.0230159E7</v>
      </c>
      <c r="F277" s="18" t="s">
        <v>148</v>
      </c>
      <c r="G277" s="18" t="s">
        <v>149</v>
      </c>
      <c r="H277" s="18" t="s">
        <v>2296</v>
      </c>
      <c r="I277" s="18" t="s">
        <v>268</v>
      </c>
      <c r="J277" s="18" t="s">
        <v>2205</v>
      </c>
      <c r="K277" s="18" t="s">
        <v>2292</v>
      </c>
      <c r="L277" s="18" t="s">
        <v>52</v>
      </c>
      <c r="M277" s="18" t="s">
        <v>616</v>
      </c>
      <c r="N277" s="18" t="s">
        <v>130</v>
      </c>
      <c r="O277" s="18" t="s">
        <v>126</v>
      </c>
      <c r="P277" s="18" t="s">
        <v>56</v>
      </c>
      <c r="Q277" s="18" t="s">
        <v>57</v>
      </c>
      <c r="R277" s="18" t="s">
        <v>143</v>
      </c>
      <c r="S277" s="18" t="s">
        <v>59</v>
      </c>
      <c r="T277" s="38">
        <v>2026.0</v>
      </c>
      <c r="U277" s="38">
        <v>5.0</v>
      </c>
      <c r="V277" s="38">
        <v>1.081522438E9</v>
      </c>
      <c r="W277" s="38">
        <v>1.081540508E9</v>
      </c>
      <c r="X277" s="18" t="s">
        <v>2199</v>
      </c>
      <c r="Y277" s="18" t="s">
        <v>2200</v>
      </c>
      <c r="Z277" s="38">
        <v>51820.18</v>
      </c>
      <c r="AA277" s="38">
        <v>51820.18</v>
      </c>
      <c r="AB277" s="38">
        <v>0.0</v>
      </c>
      <c r="AC277" s="38">
        <v>253.0</v>
      </c>
      <c r="AD277" s="38">
        <v>0.0</v>
      </c>
      <c r="AE277" s="38">
        <v>0.0</v>
      </c>
      <c r="AF277" s="38">
        <v>0.0</v>
      </c>
      <c r="AG277" s="38">
        <v>0.0</v>
      </c>
      <c r="AH277" s="38">
        <v>0.0</v>
      </c>
      <c r="AI277" s="38">
        <v>51820.18</v>
      </c>
      <c r="AJ277" s="38">
        <v>202896.89</v>
      </c>
      <c r="AK277" s="38">
        <v>3.0</v>
      </c>
      <c r="AL277" s="38">
        <v>250.8</v>
      </c>
      <c r="AM277" s="38">
        <v>0.0</v>
      </c>
      <c r="AN277" s="34" t="s">
        <v>62</v>
      </c>
      <c r="AO277" s="34" t="s">
        <v>62</v>
      </c>
      <c r="AP277" s="34" t="s">
        <v>62</v>
      </c>
      <c r="AQ277" s="34" t="s">
        <v>62</v>
      </c>
      <c r="AR277" s="38">
        <v>0.0</v>
      </c>
      <c r="AS277" s="38" t="s">
        <v>2293</v>
      </c>
      <c r="AT277" s="35" t="s">
        <v>2294</v>
      </c>
      <c r="AU277" s="39" t="s">
        <v>2295</v>
      </c>
      <c r="AV277" s="40">
        <v>46164.0</v>
      </c>
    </row>
    <row r="278">
      <c r="A278" s="38">
        <v>3315.0</v>
      </c>
      <c r="B278" s="38">
        <v>3314.0</v>
      </c>
      <c r="C278" s="38">
        <v>3314.0</v>
      </c>
      <c r="D278" s="38">
        <v>8.023029E7</v>
      </c>
      <c r="E278" s="38">
        <v>8.023029E7</v>
      </c>
      <c r="F278" s="38">
        <v>8.023029E7</v>
      </c>
      <c r="G278" s="18" t="s">
        <v>618</v>
      </c>
      <c r="H278" s="18" t="s">
        <v>2480</v>
      </c>
      <c r="I278" s="18" t="s">
        <v>214</v>
      </c>
      <c r="J278" s="18" t="s">
        <v>2205</v>
      </c>
      <c r="K278" s="18" t="s">
        <v>2205</v>
      </c>
      <c r="L278" s="18" t="s">
        <v>52</v>
      </c>
      <c r="M278" s="18" t="s">
        <v>89</v>
      </c>
      <c r="N278" s="18" t="s">
        <v>130</v>
      </c>
      <c r="O278" s="18" t="s">
        <v>126</v>
      </c>
      <c r="P278" s="18" t="s">
        <v>56</v>
      </c>
      <c r="Q278" s="18" t="s">
        <v>90</v>
      </c>
      <c r="R278" s="18" t="s">
        <v>143</v>
      </c>
      <c r="S278" s="18" t="s">
        <v>59</v>
      </c>
      <c r="T278" s="38">
        <v>2026.0</v>
      </c>
      <c r="U278" s="38">
        <v>5.0</v>
      </c>
      <c r="V278" s="38">
        <v>1.081522441E9</v>
      </c>
      <c r="W278" s="38">
        <v>1.081540511E9</v>
      </c>
      <c r="X278" s="18" t="s">
        <v>2199</v>
      </c>
      <c r="Y278" s="18" t="s">
        <v>2200</v>
      </c>
      <c r="Z278" s="38">
        <v>263662.48</v>
      </c>
      <c r="AA278" s="38">
        <v>263662.48</v>
      </c>
      <c r="AB278" s="38">
        <v>87887.5</v>
      </c>
      <c r="AC278" s="38">
        <v>725.0</v>
      </c>
      <c r="AD278" s="38">
        <v>0.0</v>
      </c>
      <c r="AE278" s="38">
        <v>0.0</v>
      </c>
      <c r="AF278" s="38">
        <v>0.0</v>
      </c>
      <c r="AG278" s="38">
        <v>0.0</v>
      </c>
      <c r="AH278" s="38">
        <v>0.0</v>
      </c>
      <c r="AI278" s="38">
        <v>263662.48</v>
      </c>
      <c r="AJ278" s="38">
        <v>263662.48</v>
      </c>
      <c r="AK278" s="38">
        <v>0.0</v>
      </c>
      <c r="AL278" s="38">
        <v>376.2</v>
      </c>
      <c r="AM278" s="38">
        <v>0.0</v>
      </c>
      <c r="AN278" s="34" t="s">
        <v>62</v>
      </c>
      <c r="AO278" s="34" t="s">
        <v>62</v>
      </c>
      <c r="AP278" s="34" t="s">
        <v>62</v>
      </c>
      <c r="AQ278" s="34" t="s">
        <v>62</v>
      </c>
      <c r="AR278" s="38">
        <v>0.0</v>
      </c>
      <c r="AS278" s="38" t="s">
        <v>2481</v>
      </c>
      <c r="AT278" s="35" t="s">
        <v>2202</v>
      </c>
      <c r="AU278" s="39" t="s">
        <v>2254</v>
      </c>
      <c r="AV278" s="40">
        <v>46169.0</v>
      </c>
    </row>
    <row r="279">
      <c r="A279" s="38">
        <v>431.0</v>
      </c>
      <c r="B279" s="38">
        <v>3318.0</v>
      </c>
      <c r="C279" s="38">
        <v>3318.0</v>
      </c>
      <c r="D279" s="38">
        <v>8.0231084E7</v>
      </c>
      <c r="E279" s="38">
        <v>8.0231084E7</v>
      </c>
      <c r="F279" s="18" t="s">
        <v>620</v>
      </c>
      <c r="G279" s="18" t="s">
        <v>621</v>
      </c>
      <c r="H279" s="18" t="s">
        <v>2482</v>
      </c>
      <c r="I279" s="18" t="s">
        <v>390</v>
      </c>
      <c r="J279" s="18" t="s">
        <v>2205</v>
      </c>
      <c r="K279" s="18" t="s">
        <v>2483</v>
      </c>
      <c r="L279" s="18" t="s">
        <v>52</v>
      </c>
      <c r="M279" s="18" t="s">
        <v>89</v>
      </c>
      <c r="N279" s="18" t="s">
        <v>130</v>
      </c>
      <c r="O279" s="18" t="s">
        <v>126</v>
      </c>
      <c r="P279" s="18" t="s">
        <v>131</v>
      </c>
      <c r="Q279" s="18" t="s">
        <v>538</v>
      </c>
      <c r="R279" s="18" t="s">
        <v>133</v>
      </c>
      <c r="S279" s="18" t="s">
        <v>59</v>
      </c>
      <c r="T279" s="38">
        <v>2026.0</v>
      </c>
      <c r="U279" s="38">
        <v>5.0</v>
      </c>
      <c r="V279" s="38">
        <v>1.081522444E9</v>
      </c>
      <c r="W279" s="38">
        <v>1.081540514E9</v>
      </c>
      <c r="X279" s="18" t="s">
        <v>2199</v>
      </c>
      <c r="Y279" s="18" t="s">
        <v>2200</v>
      </c>
      <c r="Z279" s="38">
        <v>95520.65</v>
      </c>
      <c r="AA279" s="38">
        <v>95520.65</v>
      </c>
      <c r="AB279" s="38">
        <v>31676.0</v>
      </c>
      <c r="AC279" s="38">
        <v>0.0</v>
      </c>
      <c r="AD279" s="38">
        <v>492.65</v>
      </c>
      <c r="AE279" s="38">
        <v>0.0</v>
      </c>
      <c r="AF279" s="38">
        <v>0.0</v>
      </c>
      <c r="AG279" s="38">
        <v>0.0</v>
      </c>
      <c r="AH279" s="38">
        <v>0.0</v>
      </c>
      <c r="AI279" s="38">
        <v>95520.15</v>
      </c>
      <c r="AJ279" s="38">
        <v>95520.15</v>
      </c>
      <c r="AK279" s="38">
        <v>0.0</v>
      </c>
      <c r="AL279" s="38">
        <v>376.2</v>
      </c>
      <c r="AM279" s="38">
        <v>0.0</v>
      </c>
      <c r="AN279" s="34" t="s">
        <v>62</v>
      </c>
      <c r="AO279" s="34" t="s">
        <v>62</v>
      </c>
      <c r="AP279" s="38">
        <v>0.5</v>
      </c>
      <c r="AQ279" s="34" t="s">
        <v>62</v>
      </c>
      <c r="AR279" s="38">
        <v>0.0</v>
      </c>
      <c r="AS279" s="38" t="s">
        <v>2484</v>
      </c>
      <c r="AT279" s="35" t="s">
        <v>2202</v>
      </c>
      <c r="AU279" s="39" t="s">
        <v>2203</v>
      </c>
      <c r="AV279" s="40">
        <v>46163.0</v>
      </c>
    </row>
    <row r="280">
      <c r="A280" s="38">
        <v>147.0</v>
      </c>
      <c r="B280" s="38">
        <v>332934.0</v>
      </c>
      <c r="C280" s="38">
        <v>332934.0</v>
      </c>
      <c r="D280" s="38">
        <v>651023.0</v>
      </c>
      <c r="E280" s="38">
        <v>651023.0</v>
      </c>
      <c r="F280" s="18" t="s">
        <v>179</v>
      </c>
      <c r="G280" s="18" t="s">
        <v>180</v>
      </c>
      <c r="H280" s="18" t="s">
        <v>2320</v>
      </c>
      <c r="I280" s="18" t="s">
        <v>261</v>
      </c>
      <c r="J280" s="18" t="s">
        <v>2205</v>
      </c>
      <c r="K280" s="18" t="s">
        <v>2289</v>
      </c>
      <c r="L280" s="18" t="s">
        <v>52</v>
      </c>
      <c r="M280" s="18" t="s">
        <v>89</v>
      </c>
      <c r="N280" s="18" t="s">
        <v>130</v>
      </c>
      <c r="O280" s="18" t="s">
        <v>126</v>
      </c>
      <c r="P280" s="18" t="s">
        <v>56</v>
      </c>
      <c r="Q280" s="18" t="s">
        <v>57</v>
      </c>
      <c r="R280" s="18" t="s">
        <v>143</v>
      </c>
      <c r="S280" s="18" t="s">
        <v>59</v>
      </c>
      <c r="T280" s="38">
        <v>2026.0</v>
      </c>
      <c r="U280" s="38">
        <v>5.0</v>
      </c>
      <c r="V280" s="38">
        <v>1.081522567E9</v>
      </c>
      <c r="W280" s="38">
        <v>1.081540637E9</v>
      </c>
      <c r="X280" s="18" t="s">
        <v>2199</v>
      </c>
      <c r="Y280" s="18" t="s">
        <v>2200</v>
      </c>
      <c r="Z280" s="38">
        <v>481940.12</v>
      </c>
      <c r="AA280" s="38">
        <v>481940.12</v>
      </c>
      <c r="AB280" s="38">
        <v>0.0</v>
      </c>
      <c r="AC280" s="38">
        <v>2338.0</v>
      </c>
      <c r="AD280" s="38">
        <v>0.0</v>
      </c>
      <c r="AE280" s="38">
        <v>0.0</v>
      </c>
      <c r="AF280" s="38">
        <v>0.0</v>
      </c>
      <c r="AG280" s="38">
        <v>0.0</v>
      </c>
      <c r="AH280" s="38">
        <v>0.0</v>
      </c>
      <c r="AI280" s="38">
        <v>481940.12</v>
      </c>
      <c r="AJ280" s="38">
        <v>953140.64</v>
      </c>
      <c r="AK280" s="38">
        <v>1.0</v>
      </c>
      <c r="AL280" s="38">
        <v>250.8</v>
      </c>
      <c r="AM280" s="38">
        <v>0.0</v>
      </c>
      <c r="AN280" s="34" t="s">
        <v>62</v>
      </c>
      <c r="AO280" s="34" t="s">
        <v>62</v>
      </c>
      <c r="AP280" s="34" t="s">
        <v>62</v>
      </c>
      <c r="AQ280" s="34" t="s">
        <v>62</v>
      </c>
      <c r="AR280" s="38">
        <v>0.0</v>
      </c>
      <c r="AS280" s="38" t="s">
        <v>2321</v>
      </c>
      <c r="AT280" s="35" t="s">
        <v>2202</v>
      </c>
      <c r="AU280" s="39" t="s">
        <v>2203</v>
      </c>
      <c r="AV280" s="40">
        <v>46163.0</v>
      </c>
    </row>
    <row r="281">
      <c r="A281" s="38">
        <v>3331.0</v>
      </c>
      <c r="B281" s="38">
        <v>3330.0</v>
      </c>
      <c r="C281" s="38">
        <v>3330.0</v>
      </c>
      <c r="D281" s="38">
        <v>8.0265246E7</v>
      </c>
      <c r="E281" s="38">
        <v>8.0265246E7</v>
      </c>
      <c r="F281" s="38">
        <v>9.010450303E9</v>
      </c>
      <c r="G281" s="18" t="s">
        <v>624</v>
      </c>
      <c r="H281" s="18" t="s">
        <v>2485</v>
      </c>
      <c r="I281" s="18" t="s">
        <v>208</v>
      </c>
      <c r="J281" s="18" t="s">
        <v>2205</v>
      </c>
      <c r="K281" s="18" t="s">
        <v>2486</v>
      </c>
      <c r="L281" s="18" t="s">
        <v>52</v>
      </c>
      <c r="M281" s="18" t="s">
        <v>89</v>
      </c>
      <c r="N281" s="18" t="s">
        <v>130</v>
      </c>
      <c r="O281" s="18" t="s">
        <v>126</v>
      </c>
      <c r="P281" s="18" t="s">
        <v>56</v>
      </c>
      <c r="Q281" s="18" t="s">
        <v>72</v>
      </c>
      <c r="R281" s="18" t="s">
        <v>143</v>
      </c>
      <c r="S281" s="18" t="s">
        <v>59</v>
      </c>
      <c r="T281" s="38">
        <v>2026.0</v>
      </c>
      <c r="U281" s="38">
        <v>5.0</v>
      </c>
      <c r="V281" s="38">
        <v>1.08152245E9</v>
      </c>
      <c r="W281" s="38">
        <v>1.08154052E9</v>
      </c>
      <c r="X281" s="18" t="s">
        <v>2199</v>
      </c>
      <c r="Y281" s="18" t="s">
        <v>2200</v>
      </c>
      <c r="Z281" s="38">
        <v>112820.14</v>
      </c>
      <c r="AA281" s="38">
        <v>112820.14</v>
      </c>
      <c r="AB281" s="38">
        <v>25855.25</v>
      </c>
      <c r="AC281" s="38">
        <v>253.0</v>
      </c>
      <c r="AD281" s="38">
        <v>780.71</v>
      </c>
      <c r="AE281" s="38">
        <v>0.0</v>
      </c>
      <c r="AF281" s="38">
        <v>0.0</v>
      </c>
      <c r="AG281" s="38">
        <v>0.0</v>
      </c>
      <c r="AH281" s="38">
        <v>0.0</v>
      </c>
      <c r="AI281" s="38">
        <v>112820.14</v>
      </c>
      <c r="AJ281" s="38">
        <v>223252.55</v>
      </c>
      <c r="AK281" s="38">
        <v>1.0</v>
      </c>
      <c r="AL281" s="38">
        <v>326.04</v>
      </c>
      <c r="AM281" s="38">
        <v>0.0</v>
      </c>
      <c r="AN281" s="34" t="s">
        <v>62</v>
      </c>
      <c r="AO281" s="34" t="s">
        <v>62</v>
      </c>
      <c r="AP281" s="34" t="s">
        <v>62</v>
      </c>
      <c r="AQ281" s="34" t="s">
        <v>62</v>
      </c>
      <c r="AR281" s="38">
        <v>0.0</v>
      </c>
      <c r="AS281" s="38" t="s">
        <v>2487</v>
      </c>
      <c r="AT281" s="38" t="s">
        <v>2202</v>
      </c>
      <c r="AU281" s="39" t="s">
        <v>2203</v>
      </c>
      <c r="AV281" s="40">
        <v>46169.0</v>
      </c>
    </row>
    <row r="282">
      <c r="A282" s="38">
        <v>3335.0</v>
      </c>
      <c r="B282" s="38">
        <v>3334.0</v>
      </c>
      <c r="C282" s="38">
        <v>3334.0</v>
      </c>
      <c r="D282" s="38">
        <v>8.0271132E7</v>
      </c>
      <c r="E282" s="38">
        <v>8.0271132E7</v>
      </c>
      <c r="F282" s="18" t="s">
        <v>626</v>
      </c>
      <c r="G282" s="18" t="s">
        <v>627</v>
      </c>
      <c r="H282" s="18" t="s">
        <v>2488</v>
      </c>
      <c r="I282" s="18" t="s">
        <v>172</v>
      </c>
      <c r="J282" s="18" t="s">
        <v>2205</v>
      </c>
      <c r="K282" s="18" t="s">
        <v>2205</v>
      </c>
      <c r="L282" s="18" t="s">
        <v>52</v>
      </c>
      <c r="M282" s="18" t="s">
        <v>89</v>
      </c>
      <c r="N282" s="18" t="s">
        <v>130</v>
      </c>
      <c r="O282" s="18" t="s">
        <v>126</v>
      </c>
      <c r="P282" s="18" t="s">
        <v>56</v>
      </c>
      <c r="Q282" s="18" t="s">
        <v>90</v>
      </c>
      <c r="R282" s="18" t="s">
        <v>143</v>
      </c>
      <c r="S282" s="18" t="s">
        <v>59</v>
      </c>
      <c r="T282" s="38">
        <v>2026.0</v>
      </c>
      <c r="U282" s="38">
        <v>5.0</v>
      </c>
      <c r="V282" s="38">
        <v>1.081522455E9</v>
      </c>
      <c r="W282" s="38">
        <v>1.081540525E9</v>
      </c>
      <c r="X282" s="18" t="s">
        <v>2199</v>
      </c>
      <c r="Y282" s="18" t="s">
        <v>2200</v>
      </c>
      <c r="Z282" s="38">
        <v>200690.5</v>
      </c>
      <c r="AA282" s="38">
        <v>200690.5</v>
      </c>
      <c r="AB282" s="38">
        <v>66533.75</v>
      </c>
      <c r="AC282" s="38">
        <v>500.0</v>
      </c>
      <c r="AD282" s="38">
        <v>1089.25</v>
      </c>
      <c r="AE282" s="38">
        <v>0.0</v>
      </c>
      <c r="AF282" s="38">
        <v>0.0</v>
      </c>
      <c r="AG282" s="38">
        <v>0.0</v>
      </c>
      <c r="AH282" s="38">
        <v>0.0</v>
      </c>
      <c r="AI282" s="38">
        <v>200690.5</v>
      </c>
      <c r="AJ282" s="38">
        <v>396748.75</v>
      </c>
      <c r="AK282" s="38">
        <v>1.0</v>
      </c>
      <c r="AL282" s="38">
        <v>376.2</v>
      </c>
      <c r="AM282" s="38">
        <v>0.0</v>
      </c>
      <c r="AN282" s="34" t="s">
        <v>62</v>
      </c>
      <c r="AO282" s="34" t="s">
        <v>62</v>
      </c>
      <c r="AP282" s="34" t="s">
        <v>62</v>
      </c>
      <c r="AQ282" s="34" t="s">
        <v>62</v>
      </c>
      <c r="AR282" s="38">
        <v>0.0</v>
      </c>
      <c r="AS282" s="38" t="s">
        <v>2489</v>
      </c>
      <c r="AT282" s="35" t="s">
        <v>2202</v>
      </c>
      <c r="AU282" s="39" t="s">
        <v>2254</v>
      </c>
      <c r="AV282" s="40">
        <v>46169.0</v>
      </c>
    </row>
    <row r="283">
      <c r="A283" s="38">
        <v>699.0</v>
      </c>
      <c r="B283" s="38">
        <v>377662.0</v>
      </c>
      <c r="C283" s="38">
        <v>388284.0</v>
      </c>
      <c r="D283" s="38">
        <v>1056896.0</v>
      </c>
      <c r="E283" s="38">
        <v>1056896.0</v>
      </c>
      <c r="F283" s="38">
        <v>9.00480569E8</v>
      </c>
      <c r="G283" s="18" t="s">
        <v>141</v>
      </c>
      <c r="H283" s="18" t="s">
        <v>2255</v>
      </c>
      <c r="I283" s="18" t="s">
        <v>629</v>
      </c>
      <c r="J283" s="18" t="s">
        <v>2205</v>
      </c>
      <c r="K283" s="18" t="s">
        <v>2256</v>
      </c>
      <c r="L283" s="18" t="s">
        <v>52</v>
      </c>
      <c r="M283" s="18" t="s">
        <v>138</v>
      </c>
      <c r="N283" s="18" t="s">
        <v>130</v>
      </c>
      <c r="O283" s="18" t="s">
        <v>126</v>
      </c>
      <c r="P283" s="18" t="s">
        <v>56</v>
      </c>
      <c r="Q283" s="18" t="s">
        <v>90</v>
      </c>
      <c r="R283" s="18" t="s">
        <v>143</v>
      </c>
      <c r="S283" s="18" t="s">
        <v>59</v>
      </c>
      <c r="T283" s="38">
        <v>2026.0</v>
      </c>
      <c r="U283" s="38">
        <v>5.0</v>
      </c>
      <c r="V283" s="38">
        <v>1.081522571E9</v>
      </c>
      <c r="W283" s="38">
        <v>1.081540641E9</v>
      </c>
      <c r="X283" s="18" t="s">
        <v>2199</v>
      </c>
      <c r="Y283" s="18" t="s">
        <v>2200</v>
      </c>
      <c r="Z283" s="38">
        <v>555496.88</v>
      </c>
      <c r="AA283" s="38">
        <v>555496.88</v>
      </c>
      <c r="AB283" s="38">
        <v>185165.63</v>
      </c>
      <c r="AC283" s="38">
        <v>1750.0</v>
      </c>
      <c r="AD283" s="38">
        <v>0.0</v>
      </c>
      <c r="AE283" s="38">
        <v>0.0</v>
      </c>
      <c r="AF283" s="38">
        <v>0.0</v>
      </c>
      <c r="AG283" s="38">
        <v>0.0</v>
      </c>
      <c r="AH283" s="38">
        <v>0.0</v>
      </c>
      <c r="AI283" s="38">
        <v>555496.88</v>
      </c>
      <c r="AJ283" s="38">
        <v>555496.88</v>
      </c>
      <c r="AK283" s="38">
        <v>0.0</v>
      </c>
      <c r="AL283" s="38">
        <v>376.2</v>
      </c>
      <c r="AM283" s="38">
        <v>0.0</v>
      </c>
      <c r="AN283" s="34" t="s">
        <v>62</v>
      </c>
      <c r="AO283" s="34" t="s">
        <v>62</v>
      </c>
      <c r="AP283" s="34" t="s">
        <v>62</v>
      </c>
      <c r="AQ283" s="34" t="s">
        <v>62</v>
      </c>
      <c r="AR283" s="38">
        <v>0.0</v>
      </c>
      <c r="AS283" s="38" t="s">
        <v>2257</v>
      </c>
      <c r="AT283" s="35" t="s">
        <v>2202</v>
      </c>
      <c r="AU283" s="39" t="s">
        <v>2203</v>
      </c>
      <c r="AV283" s="40">
        <v>46163.0</v>
      </c>
    </row>
    <row r="284">
      <c r="A284" s="38">
        <v>401213.0</v>
      </c>
      <c r="B284" s="38">
        <v>379218.0</v>
      </c>
      <c r="C284" s="38">
        <v>391065.0</v>
      </c>
      <c r="D284" s="34" t="s">
        <v>62</v>
      </c>
      <c r="E284" s="34" t="s">
        <v>62</v>
      </c>
      <c r="F284" s="38">
        <v>8.8204894E7</v>
      </c>
      <c r="G284" s="18" t="s">
        <v>631</v>
      </c>
      <c r="H284" s="18" t="s">
        <v>2490</v>
      </c>
      <c r="I284" s="18" t="s">
        <v>155</v>
      </c>
      <c r="J284" s="18" t="s">
        <v>2205</v>
      </c>
      <c r="K284" s="18" t="s">
        <v>2205</v>
      </c>
      <c r="L284" s="18" t="s">
        <v>52</v>
      </c>
      <c r="M284" s="18" t="s">
        <v>269</v>
      </c>
      <c r="N284" s="18" t="s">
        <v>130</v>
      </c>
      <c r="O284" s="18" t="s">
        <v>632</v>
      </c>
      <c r="P284" s="18" t="s">
        <v>56</v>
      </c>
      <c r="Q284" s="18" t="s">
        <v>90</v>
      </c>
      <c r="R284" s="18" t="s">
        <v>143</v>
      </c>
      <c r="S284" s="18" t="s">
        <v>59</v>
      </c>
      <c r="T284" s="38">
        <v>2026.0</v>
      </c>
      <c r="U284" s="38">
        <v>5.0</v>
      </c>
      <c r="V284" s="38">
        <v>1.081522574E9</v>
      </c>
      <c r="W284" s="38">
        <v>1.081540644E9</v>
      </c>
      <c r="X284" s="18" t="s">
        <v>2199</v>
      </c>
      <c r="Y284" s="18" t="s">
        <v>2200</v>
      </c>
      <c r="Z284" s="38">
        <v>119806.19</v>
      </c>
      <c r="AA284" s="38">
        <v>119806.19</v>
      </c>
      <c r="AB284" s="38">
        <v>25910.1</v>
      </c>
      <c r="AC284" s="38">
        <v>253.0</v>
      </c>
      <c r="AD284" s="38">
        <v>63299.0</v>
      </c>
      <c r="AE284" s="38">
        <v>0.0</v>
      </c>
      <c r="AF284" s="38">
        <v>0.0</v>
      </c>
      <c r="AG284" s="38">
        <v>0.0</v>
      </c>
      <c r="AH284" s="38">
        <v>0.0</v>
      </c>
      <c r="AI284" s="38">
        <v>119806.19</v>
      </c>
      <c r="AJ284" s="38">
        <v>3465704.9</v>
      </c>
      <c r="AK284" s="38">
        <v>47.0</v>
      </c>
      <c r="AL284" s="38">
        <v>-20846.89</v>
      </c>
      <c r="AM284" s="38">
        <v>0.0</v>
      </c>
      <c r="AN284" s="34" t="s">
        <v>62</v>
      </c>
      <c r="AO284" s="34" t="s">
        <v>62</v>
      </c>
      <c r="AP284" s="34" t="s">
        <v>62</v>
      </c>
      <c r="AQ284" s="34" t="s">
        <v>62</v>
      </c>
      <c r="AR284" s="38">
        <v>0.0</v>
      </c>
      <c r="AS284" s="38" t="s">
        <v>2491</v>
      </c>
      <c r="AT284" s="35" t="s">
        <v>2202</v>
      </c>
      <c r="AU284" s="39" t="s">
        <v>2254</v>
      </c>
      <c r="AV284" s="40">
        <v>46169.0</v>
      </c>
    </row>
    <row r="285">
      <c r="A285" s="38">
        <v>409085.0</v>
      </c>
      <c r="B285" s="38">
        <v>383402.0</v>
      </c>
      <c r="C285" s="38">
        <v>396923.0</v>
      </c>
      <c r="D285" s="38">
        <v>1064695.0</v>
      </c>
      <c r="E285" s="38">
        <v>1064695.0</v>
      </c>
      <c r="F285" s="38">
        <v>1064695.0</v>
      </c>
      <c r="G285" s="18" t="s">
        <v>634</v>
      </c>
      <c r="H285" s="18" t="s">
        <v>2492</v>
      </c>
      <c r="I285" s="18" t="s">
        <v>165</v>
      </c>
      <c r="J285" s="18" t="s">
        <v>2205</v>
      </c>
      <c r="K285" s="18" t="s">
        <v>2256</v>
      </c>
      <c r="L285" s="18" t="s">
        <v>52</v>
      </c>
      <c r="M285" s="18" t="s">
        <v>138</v>
      </c>
      <c r="N285" s="18" t="s">
        <v>130</v>
      </c>
      <c r="O285" s="18" t="s">
        <v>126</v>
      </c>
      <c r="P285" s="18" t="s">
        <v>56</v>
      </c>
      <c r="Q285" s="18" t="s">
        <v>90</v>
      </c>
      <c r="R285" s="18" t="s">
        <v>143</v>
      </c>
      <c r="S285" s="18" t="s">
        <v>59</v>
      </c>
      <c r="T285" s="38">
        <v>2026.0</v>
      </c>
      <c r="U285" s="38">
        <v>5.0</v>
      </c>
      <c r="V285" s="38">
        <v>1.081522582E9</v>
      </c>
      <c r="W285" s="38">
        <v>1.081540652E9</v>
      </c>
      <c r="X285" s="18" t="s">
        <v>2199</v>
      </c>
      <c r="Y285" s="18" t="s">
        <v>2200</v>
      </c>
      <c r="Z285" s="38">
        <v>741986.21</v>
      </c>
      <c r="AA285" s="38">
        <v>741986.21</v>
      </c>
      <c r="AB285" s="38">
        <v>247328.74</v>
      </c>
      <c r="AC285" s="38">
        <v>2405.0</v>
      </c>
      <c r="AD285" s="38">
        <v>0.01</v>
      </c>
      <c r="AE285" s="38">
        <v>0.0</v>
      </c>
      <c r="AF285" s="38">
        <v>0.0</v>
      </c>
      <c r="AG285" s="38">
        <v>0.0</v>
      </c>
      <c r="AH285" s="38">
        <v>0.0</v>
      </c>
      <c r="AI285" s="38">
        <v>741986.21</v>
      </c>
      <c r="AJ285" s="38">
        <v>1470951.18</v>
      </c>
      <c r="AK285" s="38">
        <v>2.0</v>
      </c>
      <c r="AL285" s="38">
        <v>376.2</v>
      </c>
      <c r="AM285" s="38">
        <v>0.0</v>
      </c>
      <c r="AN285" s="34" t="s">
        <v>62</v>
      </c>
      <c r="AO285" s="34" t="s">
        <v>62</v>
      </c>
      <c r="AP285" s="34" t="s">
        <v>62</v>
      </c>
      <c r="AQ285" s="34" t="s">
        <v>62</v>
      </c>
      <c r="AR285" s="38">
        <v>0.0</v>
      </c>
      <c r="AS285" s="38" t="s">
        <v>2257</v>
      </c>
      <c r="AT285" s="35" t="s">
        <v>2202</v>
      </c>
      <c r="AU285" s="39" t="s">
        <v>2203</v>
      </c>
      <c r="AV285" s="40">
        <v>46163.0</v>
      </c>
    </row>
    <row r="286">
      <c r="A286" s="38">
        <v>559789.0</v>
      </c>
      <c r="B286" s="38">
        <v>480278.0</v>
      </c>
      <c r="C286" s="38">
        <v>523846.0</v>
      </c>
      <c r="D286" s="34" t="s">
        <v>62</v>
      </c>
      <c r="E286" s="34" t="s">
        <v>62</v>
      </c>
      <c r="F286" s="18" t="s">
        <v>636</v>
      </c>
      <c r="G286" s="18" t="s">
        <v>637</v>
      </c>
      <c r="H286" s="18" t="s">
        <v>2493</v>
      </c>
      <c r="I286" s="18" t="s">
        <v>76</v>
      </c>
      <c r="J286" s="18" t="s">
        <v>2205</v>
      </c>
      <c r="K286" s="18" t="s">
        <v>2286</v>
      </c>
      <c r="L286" s="18" t="s">
        <v>52</v>
      </c>
      <c r="M286" s="18" t="s">
        <v>89</v>
      </c>
      <c r="N286" s="18" t="s">
        <v>130</v>
      </c>
      <c r="O286" s="18" t="s">
        <v>126</v>
      </c>
      <c r="P286" s="18" t="s">
        <v>131</v>
      </c>
      <c r="Q286" s="18" t="s">
        <v>132</v>
      </c>
      <c r="R286" s="18" t="s">
        <v>133</v>
      </c>
      <c r="S286" s="18" t="s">
        <v>59</v>
      </c>
      <c r="T286" s="38">
        <v>2026.0</v>
      </c>
      <c r="U286" s="38">
        <v>5.0</v>
      </c>
      <c r="V286" s="38">
        <v>1.081522586E9</v>
      </c>
      <c r="W286" s="38">
        <v>1.081540656E9</v>
      </c>
      <c r="X286" s="18" t="s">
        <v>2199</v>
      </c>
      <c r="Y286" s="18" t="s">
        <v>2200</v>
      </c>
      <c r="Z286" s="38">
        <v>142816.99</v>
      </c>
      <c r="AA286" s="38">
        <v>142816.99</v>
      </c>
      <c r="AB286" s="38">
        <v>37970.5</v>
      </c>
      <c r="AC286" s="38">
        <v>0.0</v>
      </c>
      <c r="AD286" s="38">
        <v>28905.49</v>
      </c>
      <c r="AE286" s="38">
        <v>0.0</v>
      </c>
      <c r="AF286" s="38">
        <v>0.0</v>
      </c>
      <c r="AG286" s="38">
        <v>0.0</v>
      </c>
      <c r="AH286" s="38">
        <v>0.0</v>
      </c>
      <c r="AI286" s="38">
        <v>142816.99</v>
      </c>
      <c r="AJ286" s="38">
        <v>1852145.56</v>
      </c>
      <c r="AK286" s="38">
        <v>16.0</v>
      </c>
      <c r="AL286" s="38">
        <v>376.2</v>
      </c>
      <c r="AM286" s="38">
        <v>0.0</v>
      </c>
      <c r="AN286" s="34" t="s">
        <v>62</v>
      </c>
      <c r="AO286" s="34" t="s">
        <v>62</v>
      </c>
      <c r="AP286" s="34" t="s">
        <v>62</v>
      </c>
      <c r="AQ286" s="34" t="s">
        <v>62</v>
      </c>
      <c r="AR286" s="38">
        <v>0.0</v>
      </c>
      <c r="AS286" s="38" t="s">
        <v>2494</v>
      </c>
      <c r="AT286" s="35" t="s">
        <v>2202</v>
      </c>
      <c r="AU286" s="39" t="s">
        <v>2203</v>
      </c>
      <c r="AV286" s="40">
        <v>46169.0</v>
      </c>
    </row>
    <row r="287">
      <c r="A287" s="43">
        <v>49063.0</v>
      </c>
      <c r="B287" s="43">
        <v>49062.0</v>
      </c>
      <c r="C287" s="43">
        <v>49062.0</v>
      </c>
      <c r="D287" s="43">
        <v>17025.0</v>
      </c>
      <c r="E287" s="43">
        <v>17025.0</v>
      </c>
      <c r="F287" s="43">
        <v>17025.0</v>
      </c>
      <c r="G287" s="44" t="s">
        <v>639</v>
      </c>
      <c r="H287" s="44" t="s">
        <v>2495</v>
      </c>
      <c r="I287" s="44" t="s">
        <v>640</v>
      </c>
      <c r="J287" s="44" t="s">
        <v>2205</v>
      </c>
      <c r="K287" s="44" t="s">
        <v>2205</v>
      </c>
      <c r="L287" s="44" t="s">
        <v>52</v>
      </c>
      <c r="M287" s="44" t="s">
        <v>53</v>
      </c>
      <c r="N287" s="44" t="s">
        <v>130</v>
      </c>
      <c r="O287" s="44" t="s">
        <v>126</v>
      </c>
      <c r="P287" s="44" t="s">
        <v>131</v>
      </c>
      <c r="Q287" s="44" t="s">
        <v>132</v>
      </c>
      <c r="R287" s="44" t="s">
        <v>133</v>
      </c>
      <c r="S287" s="44" t="s">
        <v>59</v>
      </c>
      <c r="T287" s="43">
        <v>2026.0</v>
      </c>
      <c r="U287" s="43">
        <v>5.0</v>
      </c>
      <c r="V287" s="43">
        <v>1.081522459E9</v>
      </c>
      <c r="W287" s="43">
        <v>1.081540529E9</v>
      </c>
      <c r="X287" s="44" t="s">
        <v>2199</v>
      </c>
      <c r="Y287" s="44" t="s">
        <v>2200</v>
      </c>
      <c r="Z287" s="43">
        <v>116040.0</v>
      </c>
      <c r="AA287" s="43">
        <v>116040.0</v>
      </c>
      <c r="AB287" s="43">
        <v>38680.0</v>
      </c>
      <c r="AC287" s="43">
        <v>0.0</v>
      </c>
      <c r="AD287" s="43">
        <v>0.0</v>
      </c>
      <c r="AE287" s="43">
        <v>0.0</v>
      </c>
      <c r="AF287" s="43">
        <v>0.0</v>
      </c>
      <c r="AG287" s="43">
        <v>0.0</v>
      </c>
      <c r="AH287" s="43">
        <v>0.0</v>
      </c>
      <c r="AI287" s="43">
        <v>116040.0</v>
      </c>
      <c r="AJ287" s="43">
        <v>230524.5</v>
      </c>
      <c r="AK287" s="43">
        <v>1.0</v>
      </c>
      <c r="AL287" s="43">
        <v>6420.0</v>
      </c>
      <c r="AM287" s="43">
        <v>0.0</v>
      </c>
      <c r="AN287" s="45" t="s">
        <v>62</v>
      </c>
      <c r="AO287" s="45" t="s">
        <v>62</v>
      </c>
      <c r="AP287" s="45" t="s">
        <v>62</v>
      </c>
      <c r="AQ287" s="45" t="s">
        <v>62</v>
      </c>
      <c r="AR287" s="43">
        <v>0.0</v>
      </c>
      <c r="AS287" s="45"/>
      <c r="AT287" s="44" t="s">
        <v>2275</v>
      </c>
      <c r="AU287" s="46" t="s">
        <v>2475</v>
      </c>
      <c r="AV287" s="47">
        <v>46149.0</v>
      </c>
    </row>
    <row r="288">
      <c r="A288" s="38">
        <v>595129.0</v>
      </c>
      <c r="B288" s="38">
        <v>498510.0</v>
      </c>
      <c r="C288" s="38">
        <v>551615.0</v>
      </c>
      <c r="D288" s="34" t="s">
        <v>62</v>
      </c>
      <c r="E288" s="34" t="s">
        <v>62</v>
      </c>
      <c r="F288" s="38">
        <v>1254987.0</v>
      </c>
      <c r="G288" s="18" t="s">
        <v>642</v>
      </c>
      <c r="H288" s="18" t="s">
        <v>2496</v>
      </c>
      <c r="I288" s="18" t="s">
        <v>217</v>
      </c>
      <c r="J288" s="18" t="s">
        <v>2337</v>
      </c>
      <c r="K288" s="18" t="s">
        <v>2337</v>
      </c>
      <c r="L288" s="18" t="s">
        <v>52</v>
      </c>
      <c r="M288" s="18" t="s">
        <v>89</v>
      </c>
      <c r="N288" s="18" t="s">
        <v>130</v>
      </c>
      <c r="O288" s="18" t="s">
        <v>126</v>
      </c>
      <c r="P288" s="18" t="s">
        <v>218</v>
      </c>
      <c r="Q288" s="18" t="s">
        <v>219</v>
      </c>
      <c r="R288" s="18" t="s">
        <v>133</v>
      </c>
      <c r="S288" s="18" t="s">
        <v>59</v>
      </c>
      <c r="T288" s="38">
        <v>2026.0</v>
      </c>
      <c r="U288" s="38">
        <v>5.0</v>
      </c>
      <c r="V288" s="38">
        <v>1.081522591E9</v>
      </c>
      <c r="W288" s="38">
        <v>1.081540661E9</v>
      </c>
      <c r="X288" s="18" t="s">
        <v>2199</v>
      </c>
      <c r="Y288" s="18" t="s">
        <v>2200</v>
      </c>
      <c r="Z288" s="38">
        <v>53638.77</v>
      </c>
      <c r="AA288" s="38">
        <v>53638.77</v>
      </c>
      <c r="AB288" s="38">
        <v>-1667.24</v>
      </c>
      <c r="AC288" s="38">
        <v>0.0</v>
      </c>
      <c r="AD288" s="38">
        <v>3204.01</v>
      </c>
      <c r="AE288" s="38">
        <v>0.0</v>
      </c>
      <c r="AF288" s="38">
        <v>0.0</v>
      </c>
      <c r="AG288" s="38">
        <v>0.0</v>
      </c>
      <c r="AH288" s="38">
        <v>0.0</v>
      </c>
      <c r="AI288" s="38">
        <v>53638.77</v>
      </c>
      <c r="AJ288" s="38">
        <v>283504.12</v>
      </c>
      <c r="AK288" s="38">
        <v>5.0</v>
      </c>
      <c r="AL288" s="38">
        <v>242.77</v>
      </c>
      <c r="AM288" s="38">
        <v>0.0</v>
      </c>
      <c r="AN288" s="34" t="s">
        <v>62</v>
      </c>
      <c r="AO288" s="34" t="s">
        <v>62</v>
      </c>
      <c r="AP288" s="34" t="s">
        <v>62</v>
      </c>
      <c r="AQ288" s="34" t="s">
        <v>62</v>
      </c>
      <c r="AR288" s="38">
        <v>0.0</v>
      </c>
      <c r="AS288" s="34"/>
      <c r="AT288" s="38" t="s">
        <v>2275</v>
      </c>
      <c r="AU288" s="38" t="s">
        <v>2276</v>
      </c>
      <c r="AV288" s="40">
        <v>46164.0</v>
      </c>
    </row>
    <row r="289">
      <c r="A289" s="38">
        <v>595133.0</v>
      </c>
      <c r="B289" s="38">
        <v>498514.0</v>
      </c>
      <c r="C289" s="38">
        <v>551619.0</v>
      </c>
      <c r="D289" s="34" t="s">
        <v>62</v>
      </c>
      <c r="E289" s="34" t="s">
        <v>62</v>
      </c>
      <c r="F289" s="38">
        <v>1254991.0</v>
      </c>
      <c r="G289" s="18" t="s">
        <v>644</v>
      </c>
      <c r="H289" s="18" t="s">
        <v>2497</v>
      </c>
      <c r="I289" s="18" t="s">
        <v>217</v>
      </c>
      <c r="J289" s="18" t="s">
        <v>2337</v>
      </c>
      <c r="K289" s="18" t="s">
        <v>2337</v>
      </c>
      <c r="L289" s="18" t="s">
        <v>52</v>
      </c>
      <c r="M289" s="18" t="s">
        <v>89</v>
      </c>
      <c r="N289" s="18" t="s">
        <v>130</v>
      </c>
      <c r="O289" s="18" t="s">
        <v>126</v>
      </c>
      <c r="P289" s="18" t="s">
        <v>218</v>
      </c>
      <c r="Q289" s="18" t="s">
        <v>219</v>
      </c>
      <c r="R289" s="18" t="s">
        <v>133</v>
      </c>
      <c r="S289" s="18" t="s">
        <v>59</v>
      </c>
      <c r="T289" s="38">
        <v>2026.0</v>
      </c>
      <c r="U289" s="38">
        <v>5.0</v>
      </c>
      <c r="V289" s="38">
        <v>1.081522596E9</v>
      </c>
      <c r="W289" s="38">
        <v>1.081540666E9</v>
      </c>
      <c r="X289" s="18" t="s">
        <v>2199</v>
      </c>
      <c r="Y289" s="18" t="s">
        <v>2200</v>
      </c>
      <c r="Z289" s="38">
        <v>51057.48</v>
      </c>
      <c r="AA289" s="38">
        <v>51057.48</v>
      </c>
      <c r="AB289" s="38">
        <v>-1667.24</v>
      </c>
      <c r="AC289" s="38">
        <v>0.0</v>
      </c>
      <c r="AD289" s="38">
        <v>622.72</v>
      </c>
      <c r="AE289" s="38">
        <v>0.0</v>
      </c>
      <c r="AF289" s="38">
        <v>0.0</v>
      </c>
      <c r="AG289" s="38">
        <v>0.0</v>
      </c>
      <c r="AH289" s="38">
        <v>0.0</v>
      </c>
      <c r="AI289" s="38">
        <v>51057.48</v>
      </c>
      <c r="AJ289" s="38">
        <v>151599.58</v>
      </c>
      <c r="AK289" s="38">
        <v>2.0</v>
      </c>
      <c r="AL289" s="38">
        <v>242.77</v>
      </c>
      <c r="AM289" s="38">
        <v>0.0</v>
      </c>
      <c r="AN289" s="34" t="s">
        <v>62</v>
      </c>
      <c r="AO289" s="34" t="s">
        <v>62</v>
      </c>
      <c r="AP289" s="34" t="s">
        <v>62</v>
      </c>
      <c r="AQ289" s="34" t="s">
        <v>62</v>
      </c>
      <c r="AR289" s="38">
        <v>0.0</v>
      </c>
      <c r="AS289" s="34"/>
      <c r="AT289" s="38" t="s">
        <v>2275</v>
      </c>
      <c r="AU289" s="38" t="s">
        <v>2276</v>
      </c>
      <c r="AV289" s="40">
        <v>46164.0</v>
      </c>
    </row>
    <row r="290">
      <c r="A290" s="38">
        <v>595137.0</v>
      </c>
      <c r="B290" s="38">
        <v>498518.0</v>
      </c>
      <c r="C290" s="38">
        <v>551623.0</v>
      </c>
      <c r="D290" s="34" t="s">
        <v>62</v>
      </c>
      <c r="E290" s="34" t="s">
        <v>62</v>
      </c>
      <c r="F290" s="38">
        <v>1254995.0</v>
      </c>
      <c r="G290" s="18" t="s">
        <v>646</v>
      </c>
      <c r="H290" s="18" t="s">
        <v>2498</v>
      </c>
      <c r="I290" s="18" t="s">
        <v>217</v>
      </c>
      <c r="J290" s="18" t="s">
        <v>2337</v>
      </c>
      <c r="K290" s="18" t="s">
        <v>2337</v>
      </c>
      <c r="L290" s="18" t="s">
        <v>52</v>
      </c>
      <c r="M290" s="18" t="s">
        <v>89</v>
      </c>
      <c r="N290" s="18" t="s">
        <v>130</v>
      </c>
      <c r="O290" s="18" t="s">
        <v>126</v>
      </c>
      <c r="P290" s="18" t="s">
        <v>218</v>
      </c>
      <c r="Q290" s="18" t="s">
        <v>219</v>
      </c>
      <c r="R290" s="18" t="s">
        <v>133</v>
      </c>
      <c r="S290" s="18" t="s">
        <v>59</v>
      </c>
      <c r="T290" s="38">
        <v>2026.0</v>
      </c>
      <c r="U290" s="38">
        <v>5.0</v>
      </c>
      <c r="V290" s="38">
        <v>1.081522601E9</v>
      </c>
      <c r="W290" s="38">
        <v>1.081540671E9</v>
      </c>
      <c r="X290" s="18" t="s">
        <v>2199</v>
      </c>
      <c r="Y290" s="18" t="s">
        <v>2200</v>
      </c>
      <c r="Z290" s="38">
        <v>50434.76</v>
      </c>
      <c r="AA290" s="38">
        <v>50434.76</v>
      </c>
      <c r="AB290" s="38">
        <v>-1667.24</v>
      </c>
      <c r="AC290" s="38">
        <v>0.0</v>
      </c>
      <c r="AD290" s="38">
        <v>0.0</v>
      </c>
      <c r="AE290" s="38">
        <v>0.0</v>
      </c>
      <c r="AF290" s="38">
        <v>0.0</v>
      </c>
      <c r="AG290" s="38">
        <v>0.0</v>
      </c>
      <c r="AH290" s="38">
        <v>0.0</v>
      </c>
      <c r="AI290" s="38">
        <v>50434.76</v>
      </c>
      <c r="AJ290" s="38">
        <v>100464.89</v>
      </c>
      <c r="AK290" s="38">
        <v>1.0</v>
      </c>
      <c r="AL290" s="38">
        <v>242.77</v>
      </c>
      <c r="AM290" s="38">
        <v>0.0</v>
      </c>
      <c r="AN290" s="34" t="s">
        <v>62</v>
      </c>
      <c r="AO290" s="34" t="s">
        <v>62</v>
      </c>
      <c r="AP290" s="34" t="s">
        <v>62</v>
      </c>
      <c r="AQ290" s="34" t="s">
        <v>62</v>
      </c>
      <c r="AR290" s="38">
        <v>0.0</v>
      </c>
      <c r="AS290" s="34"/>
      <c r="AT290" s="38" t="s">
        <v>2275</v>
      </c>
      <c r="AU290" s="38" t="s">
        <v>2276</v>
      </c>
      <c r="AV290" s="40">
        <v>46164.0</v>
      </c>
    </row>
    <row r="291">
      <c r="A291" s="38">
        <v>595141.0</v>
      </c>
      <c r="B291" s="38">
        <v>498522.0</v>
      </c>
      <c r="C291" s="38">
        <v>551627.0</v>
      </c>
      <c r="D291" s="34" t="s">
        <v>62</v>
      </c>
      <c r="E291" s="34" t="s">
        <v>62</v>
      </c>
      <c r="F291" s="38">
        <v>1254999.0</v>
      </c>
      <c r="G291" s="18" t="s">
        <v>648</v>
      </c>
      <c r="H291" s="18" t="s">
        <v>2499</v>
      </c>
      <c r="I291" s="18" t="s">
        <v>217</v>
      </c>
      <c r="J291" s="18" t="s">
        <v>2337</v>
      </c>
      <c r="K291" s="18" t="s">
        <v>2337</v>
      </c>
      <c r="L291" s="18" t="s">
        <v>52</v>
      </c>
      <c r="M291" s="18" t="s">
        <v>89</v>
      </c>
      <c r="N291" s="18" t="s">
        <v>130</v>
      </c>
      <c r="O291" s="18" t="s">
        <v>126</v>
      </c>
      <c r="P291" s="18" t="s">
        <v>218</v>
      </c>
      <c r="Q291" s="18" t="s">
        <v>219</v>
      </c>
      <c r="R291" s="18" t="s">
        <v>133</v>
      </c>
      <c r="S291" s="18" t="s">
        <v>59</v>
      </c>
      <c r="T291" s="38">
        <v>2026.0</v>
      </c>
      <c r="U291" s="38">
        <v>5.0</v>
      </c>
      <c r="V291" s="38">
        <v>1.081522604E9</v>
      </c>
      <c r="W291" s="38">
        <v>1.081540674E9</v>
      </c>
      <c r="X291" s="18" t="s">
        <v>2199</v>
      </c>
      <c r="Y291" s="18" t="s">
        <v>2200</v>
      </c>
      <c r="Z291" s="38">
        <v>50434.76</v>
      </c>
      <c r="AA291" s="38">
        <v>50434.76</v>
      </c>
      <c r="AB291" s="38">
        <v>-1667.24</v>
      </c>
      <c r="AC291" s="38">
        <v>0.0</v>
      </c>
      <c r="AD291" s="38">
        <v>0.0</v>
      </c>
      <c r="AE291" s="38">
        <v>0.0</v>
      </c>
      <c r="AF291" s="38">
        <v>0.0</v>
      </c>
      <c r="AG291" s="38">
        <v>0.0</v>
      </c>
      <c r="AH291" s="38">
        <v>0.0</v>
      </c>
      <c r="AI291" s="38">
        <v>50434.76</v>
      </c>
      <c r="AJ291" s="38">
        <v>100464.89</v>
      </c>
      <c r="AK291" s="38">
        <v>1.0</v>
      </c>
      <c r="AL291" s="38">
        <v>242.77</v>
      </c>
      <c r="AM291" s="38">
        <v>0.0</v>
      </c>
      <c r="AN291" s="34" t="s">
        <v>62</v>
      </c>
      <c r="AO291" s="34" t="s">
        <v>62</v>
      </c>
      <c r="AP291" s="34" t="s">
        <v>62</v>
      </c>
      <c r="AQ291" s="34" t="s">
        <v>62</v>
      </c>
      <c r="AR291" s="38">
        <v>0.0</v>
      </c>
      <c r="AS291" s="34"/>
      <c r="AT291" s="38" t="s">
        <v>2275</v>
      </c>
      <c r="AU291" s="38" t="s">
        <v>2276</v>
      </c>
      <c r="AV291" s="40">
        <v>46164.0</v>
      </c>
    </row>
    <row r="292">
      <c r="A292" s="38">
        <v>595145.0</v>
      </c>
      <c r="B292" s="38">
        <v>498526.0</v>
      </c>
      <c r="C292" s="38">
        <v>551631.0</v>
      </c>
      <c r="D292" s="34" t="s">
        <v>62</v>
      </c>
      <c r="E292" s="34" t="s">
        <v>62</v>
      </c>
      <c r="F292" s="38">
        <v>1255003.0</v>
      </c>
      <c r="G292" s="18" t="s">
        <v>650</v>
      </c>
      <c r="H292" s="18" t="s">
        <v>2500</v>
      </c>
      <c r="I292" s="18" t="s">
        <v>217</v>
      </c>
      <c r="J292" s="18" t="s">
        <v>2337</v>
      </c>
      <c r="K292" s="18" t="s">
        <v>2337</v>
      </c>
      <c r="L292" s="18" t="s">
        <v>52</v>
      </c>
      <c r="M292" s="18" t="s">
        <v>89</v>
      </c>
      <c r="N292" s="18" t="s">
        <v>130</v>
      </c>
      <c r="O292" s="18" t="s">
        <v>126</v>
      </c>
      <c r="P292" s="18" t="s">
        <v>218</v>
      </c>
      <c r="Q292" s="18" t="s">
        <v>219</v>
      </c>
      <c r="R292" s="18" t="s">
        <v>133</v>
      </c>
      <c r="S292" s="18" t="s">
        <v>59</v>
      </c>
      <c r="T292" s="38">
        <v>2026.0</v>
      </c>
      <c r="U292" s="38">
        <v>5.0</v>
      </c>
      <c r="V292" s="38">
        <v>1.081522609E9</v>
      </c>
      <c r="W292" s="38">
        <v>1.081540679E9</v>
      </c>
      <c r="X292" s="18" t="s">
        <v>2199</v>
      </c>
      <c r="Y292" s="18" t="s">
        <v>2200</v>
      </c>
      <c r="Z292" s="38">
        <v>50434.76</v>
      </c>
      <c r="AA292" s="38">
        <v>50434.76</v>
      </c>
      <c r="AB292" s="38">
        <v>-1667.24</v>
      </c>
      <c r="AC292" s="38">
        <v>0.0</v>
      </c>
      <c r="AD292" s="38">
        <v>0.0</v>
      </c>
      <c r="AE292" s="38">
        <v>0.0</v>
      </c>
      <c r="AF292" s="38">
        <v>0.0</v>
      </c>
      <c r="AG292" s="38">
        <v>0.0</v>
      </c>
      <c r="AH292" s="38">
        <v>0.0</v>
      </c>
      <c r="AI292" s="38">
        <v>50434.76</v>
      </c>
      <c r="AJ292" s="38">
        <v>50434.76</v>
      </c>
      <c r="AK292" s="38">
        <v>0.0</v>
      </c>
      <c r="AL292" s="38">
        <v>242.77</v>
      </c>
      <c r="AM292" s="38">
        <v>0.0</v>
      </c>
      <c r="AN292" s="34" t="s">
        <v>62</v>
      </c>
      <c r="AO292" s="34" t="s">
        <v>62</v>
      </c>
      <c r="AP292" s="34" t="s">
        <v>62</v>
      </c>
      <c r="AQ292" s="34" t="s">
        <v>62</v>
      </c>
      <c r="AR292" s="38">
        <v>0.0</v>
      </c>
      <c r="AS292" s="34"/>
      <c r="AT292" s="38" t="s">
        <v>2275</v>
      </c>
      <c r="AU292" s="38" t="s">
        <v>2276</v>
      </c>
      <c r="AV292" s="40">
        <v>46164.0</v>
      </c>
    </row>
    <row r="293">
      <c r="A293" s="38">
        <v>595149.0</v>
      </c>
      <c r="B293" s="38">
        <v>498530.0</v>
      </c>
      <c r="C293" s="38">
        <v>551635.0</v>
      </c>
      <c r="D293" s="34" t="s">
        <v>62</v>
      </c>
      <c r="E293" s="34" t="s">
        <v>62</v>
      </c>
      <c r="F293" s="38">
        <v>1255007.0</v>
      </c>
      <c r="G293" s="18" t="s">
        <v>652</v>
      </c>
      <c r="H293" s="18" t="s">
        <v>2501</v>
      </c>
      <c r="I293" s="18" t="s">
        <v>217</v>
      </c>
      <c r="J293" s="18" t="s">
        <v>2337</v>
      </c>
      <c r="K293" s="18" t="s">
        <v>2337</v>
      </c>
      <c r="L293" s="18" t="s">
        <v>52</v>
      </c>
      <c r="M293" s="18" t="s">
        <v>89</v>
      </c>
      <c r="N293" s="18" t="s">
        <v>130</v>
      </c>
      <c r="O293" s="18" t="s">
        <v>126</v>
      </c>
      <c r="P293" s="18" t="s">
        <v>218</v>
      </c>
      <c r="Q293" s="18" t="s">
        <v>219</v>
      </c>
      <c r="R293" s="18" t="s">
        <v>133</v>
      </c>
      <c r="S293" s="18" t="s">
        <v>59</v>
      </c>
      <c r="T293" s="38">
        <v>2026.0</v>
      </c>
      <c r="U293" s="38">
        <v>5.0</v>
      </c>
      <c r="V293" s="38">
        <v>1.081522612E9</v>
      </c>
      <c r="W293" s="38">
        <v>1.081540682E9</v>
      </c>
      <c r="X293" s="18" t="s">
        <v>2199</v>
      </c>
      <c r="Y293" s="18" t="s">
        <v>2200</v>
      </c>
      <c r="Z293" s="38">
        <v>50500.31</v>
      </c>
      <c r="AA293" s="38">
        <v>50500.31</v>
      </c>
      <c r="AB293" s="38">
        <v>-1667.24</v>
      </c>
      <c r="AC293" s="38">
        <v>0.0</v>
      </c>
      <c r="AD293" s="38">
        <v>65.55</v>
      </c>
      <c r="AE293" s="38">
        <v>0.0</v>
      </c>
      <c r="AF293" s="38">
        <v>0.0</v>
      </c>
      <c r="AG293" s="38">
        <v>0.0</v>
      </c>
      <c r="AH293" s="38">
        <v>0.0</v>
      </c>
      <c r="AI293" s="38">
        <v>50500.31</v>
      </c>
      <c r="AJ293" s="38">
        <v>50500.31</v>
      </c>
      <c r="AK293" s="38">
        <v>0.0</v>
      </c>
      <c r="AL293" s="38">
        <v>242.77</v>
      </c>
      <c r="AM293" s="38">
        <v>0.0</v>
      </c>
      <c r="AN293" s="34" t="s">
        <v>62</v>
      </c>
      <c r="AO293" s="34" t="s">
        <v>62</v>
      </c>
      <c r="AP293" s="34" t="s">
        <v>62</v>
      </c>
      <c r="AQ293" s="34" t="s">
        <v>62</v>
      </c>
      <c r="AR293" s="38">
        <v>0.0</v>
      </c>
      <c r="AS293" s="34"/>
      <c r="AT293" s="38" t="s">
        <v>2275</v>
      </c>
      <c r="AU293" s="38" t="s">
        <v>2276</v>
      </c>
      <c r="AV293" s="40">
        <v>46164.0</v>
      </c>
    </row>
    <row r="294">
      <c r="A294" s="38">
        <v>595153.0</v>
      </c>
      <c r="B294" s="38">
        <v>498534.0</v>
      </c>
      <c r="C294" s="38">
        <v>551639.0</v>
      </c>
      <c r="D294" s="34" t="s">
        <v>62</v>
      </c>
      <c r="E294" s="34" t="s">
        <v>62</v>
      </c>
      <c r="F294" s="38">
        <v>1255011.0</v>
      </c>
      <c r="G294" s="18" t="s">
        <v>654</v>
      </c>
      <c r="H294" s="18" t="s">
        <v>2502</v>
      </c>
      <c r="I294" s="18" t="s">
        <v>217</v>
      </c>
      <c r="J294" s="18" t="s">
        <v>2337</v>
      </c>
      <c r="K294" s="18" t="s">
        <v>2337</v>
      </c>
      <c r="L294" s="18" t="s">
        <v>52</v>
      </c>
      <c r="M294" s="18" t="s">
        <v>89</v>
      </c>
      <c r="N294" s="18" t="s">
        <v>130</v>
      </c>
      <c r="O294" s="18" t="s">
        <v>126</v>
      </c>
      <c r="P294" s="18" t="s">
        <v>218</v>
      </c>
      <c r="Q294" s="18" t="s">
        <v>219</v>
      </c>
      <c r="R294" s="18" t="s">
        <v>133</v>
      </c>
      <c r="S294" s="18" t="s">
        <v>163</v>
      </c>
      <c r="T294" s="38">
        <v>2026.0</v>
      </c>
      <c r="U294" s="38">
        <v>5.0</v>
      </c>
      <c r="V294" s="38">
        <v>1.081522617E9</v>
      </c>
      <c r="W294" s="38">
        <v>1.081540687E9</v>
      </c>
      <c r="X294" s="18" t="s">
        <v>2199</v>
      </c>
      <c r="Y294" s="18" t="s">
        <v>2200</v>
      </c>
      <c r="Z294" s="38">
        <v>39742.15</v>
      </c>
      <c r="AA294" s="38">
        <v>39742.15</v>
      </c>
      <c r="AB294" s="38">
        <v>-1207.86</v>
      </c>
      <c r="AC294" s="38">
        <v>0.0</v>
      </c>
      <c r="AD294" s="38">
        <v>3204.01</v>
      </c>
      <c r="AE294" s="38">
        <v>0.0</v>
      </c>
      <c r="AF294" s="38">
        <v>0.0</v>
      </c>
      <c r="AG294" s="38">
        <v>0.0</v>
      </c>
      <c r="AH294" s="38">
        <v>0.0</v>
      </c>
      <c r="AI294" s="38">
        <v>39742.15</v>
      </c>
      <c r="AJ294" s="38">
        <v>269607.5</v>
      </c>
      <c r="AK294" s="38">
        <v>5.0</v>
      </c>
      <c r="AL294" s="38">
        <v>242.77</v>
      </c>
      <c r="AM294" s="38">
        <v>0.0</v>
      </c>
      <c r="AN294" s="34" t="s">
        <v>62</v>
      </c>
      <c r="AO294" s="34" t="s">
        <v>62</v>
      </c>
      <c r="AP294" s="34" t="s">
        <v>62</v>
      </c>
      <c r="AQ294" s="34" t="s">
        <v>62</v>
      </c>
      <c r="AR294" s="38">
        <v>0.0</v>
      </c>
      <c r="AS294" s="34"/>
      <c r="AT294" s="38" t="s">
        <v>2275</v>
      </c>
      <c r="AU294" s="38" t="s">
        <v>2276</v>
      </c>
      <c r="AV294" s="40">
        <v>46164.0</v>
      </c>
    </row>
    <row r="295">
      <c r="A295" s="38">
        <v>595157.0</v>
      </c>
      <c r="B295" s="38">
        <v>498538.0</v>
      </c>
      <c r="C295" s="38">
        <v>551643.0</v>
      </c>
      <c r="D295" s="34" t="s">
        <v>62</v>
      </c>
      <c r="E295" s="34" t="s">
        <v>62</v>
      </c>
      <c r="F295" s="38">
        <v>1255015.0</v>
      </c>
      <c r="G295" s="42" t="s">
        <v>656</v>
      </c>
      <c r="H295" s="18" t="s">
        <v>2503</v>
      </c>
      <c r="I295" s="18" t="s">
        <v>217</v>
      </c>
      <c r="J295" s="18" t="s">
        <v>2337</v>
      </c>
      <c r="K295" s="18" t="s">
        <v>2337</v>
      </c>
      <c r="L295" s="18" t="s">
        <v>52</v>
      </c>
      <c r="M295" s="18" t="s">
        <v>89</v>
      </c>
      <c r="N295" s="18" t="s">
        <v>130</v>
      </c>
      <c r="O295" s="18" t="s">
        <v>126</v>
      </c>
      <c r="P295" s="18" t="s">
        <v>218</v>
      </c>
      <c r="Q295" s="18" t="s">
        <v>219</v>
      </c>
      <c r="R295" s="18" t="s">
        <v>133</v>
      </c>
      <c r="S295" s="18" t="s">
        <v>59</v>
      </c>
      <c r="T295" s="38">
        <v>2026.0</v>
      </c>
      <c r="U295" s="38">
        <v>5.0</v>
      </c>
      <c r="V295" s="38">
        <v>1.081522621E9</v>
      </c>
      <c r="W295" s="38">
        <v>1.081540691E9</v>
      </c>
      <c r="X295" s="18" t="s">
        <v>2199</v>
      </c>
      <c r="Y295" s="18" t="s">
        <v>2200</v>
      </c>
      <c r="Z295" s="38">
        <v>50434.76</v>
      </c>
      <c r="AA295" s="38">
        <v>50434.76</v>
      </c>
      <c r="AB295" s="38">
        <v>-1667.24</v>
      </c>
      <c r="AC295" s="38">
        <v>0.0</v>
      </c>
      <c r="AD295" s="38">
        <v>0.0</v>
      </c>
      <c r="AE295" s="38">
        <v>0.0</v>
      </c>
      <c r="AF295" s="38">
        <v>0.0</v>
      </c>
      <c r="AG295" s="38">
        <v>0.0</v>
      </c>
      <c r="AH295" s="38">
        <v>0.0</v>
      </c>
      <c r="AI295" s="38">
        <v>50434.76</v>
      </c>
      <c r="AJ295" s="38">
        <v>50434.76</v>
      </c>
      <c r="AK295" s="38">
        <v>0.0</v>
      </c>
      <c r="AL295" s="38">
        <v>242.77</v>
      </c>
      <c r="AM295" s="38">
        <v>0.0</v>
      </c>
      <c r="AN295" s="34" t="s">
        <v>62</v>
      </c>
      <c r="AO295" s="34" t="s">
        <v>62</v>
      </c>
      <c r="AP295" s="34" t="s">
        <v>62</v>
      </c>
      <c r="AQ295" s="34" t="s">
        <v>62</v>
      </c>
      <c r="AR295" s="38">
        <v>0.0</v>
      </c>
      <c r="AS295" s="34"/>
      <c r="AT295" s="38" t="s">
        <v>2275</v>
      </c>
      <c r="AU295" s="38" t="s">
        <v>2276</v>
      </c>
      <c r="AV295" s="40">
        <v>46164.0</v>
      </c>
    </row>
    <row r="296">
      <c r="A296" s="38">
        <v>595161.0</v>
      </c>
      <c r="B296" s="38">
        <v>498542.0</v>
      </c>
      <c r="C296" s="38">
        <v>551647.0</v>
      </c>
      <c r="D296" s="34" t="s">
        <v>62</v>
      </c>
      <c r="E296" s="34" t="s">
        <v>62</v>
      </c>
      <c r="F296" s="38">
        <v>1255019.0</v>
      </c>
      <c r="G296" s="18" t="s">
        <v>658</v>
      </c>
      <c r="H296" s="18" t="s">
        <v>2504</v>
      </c>
      <c r="I296" s="18" t="s">
        <v>217</v>
      </c>
      <c r="J296" s="18" t="s">
        <v>2337</v>
      </c>
      <c r="K296" s="18" t="s">
        <v>2337</v>
      </c>
      <c r="L296" s="18" t="s">
        <v>52</v>
      </c>
      <c r="M296" s="18" t="s">
        <v>89</v>
      </c>
      <c r="N296" s="18" t="s">
        <v>130</v>
      </c>
      <c r="O296" s="18" t="s">
        <v>126</v>
      </c>
      <c r="P296" s="18" t="s">
        <v>218</v>
      </c>
      <c r="Q296" s="18" t="s">
        <v>219</v>
      </c>
      <c r="R296" s="18" t="s">
        <v>133</v>
      </c>
      <c r="S296" s="18" t="s">
        <v>59</v>
      </c>
      <c r="T296" s="38">
        <v>2026.0</v>
      </c>
      <c r="U296" s="38">
        <v>5.0</v>
      </c>
      <c r="V296" s="38">
        <v>1.081522625E9</v>
      </c>
      <c r="W296" s="38">
        <v>1.081540695E9</v>
      </c>
      <c r="X296" s="18" t="s">
        <v>2199</v>
      </c>
      <c r="Y296" s="18" t="s">
        <v>2200</v>
      </c>
      <c r="Z296" s="38">
        <v>53638.77</v>
      </c>
      <c r="AA296" s="38">
        <v>53638.77</v>
      </c>
      <c r="AB296" s="38">
        <v>-1667.24</v>
      </c>
      <c r="AC296" s="38">
        <v>0.0</v>
      </c>
      <c r="AD296" s="38">
        <v>3204.01</v>
      </c>
      <c r="AE296" s="38">
        <v>0.0</v>
      </c>
      <c r="AF296" s="38">
        <v>0.0</v>
      </c>
      <c r="AG296" s="38">
        <v>0.0</v>
      </c>
      <c r="AH296" s="38">
        <v>0.0</v>
      </c>
      <c r="AI296" s="38">
        <v>53638.77</v>
      </c>
      <c r="AJ296" s="38">
        <v>283504.12</v>
      </c>
      <c r="AK296" s="38">
        <v>5.0</v>
      </c>
      <c r="AL296" s="38">
        <v>242.77</v>
      </c>
      <c r="AM296" s="38">
        <v>0.0</v>
      </c>
      <c r="AN296" s="34" t="s">
        <v>62</v>
      </c>
      <c r="AO296" s="34" t="s">
        <v>62</v>
      </c>
      <c r="AP296" s="34" t="s">
        <v>62</v>
      </c>
      <c r="AQ296" s="34" t="s">
        <v>62</v>
      </c>
      <c r="AR296" s="38">
        <v>0.0</v>
      </c>
      <c r="AS296" s="34"/>
      <c r="AT296" s="38" t="s">
        <v>2275</v>
      </c>
      <c r="AU296" s="38" t="s">
        <v>2276</v>
      </c>
      <c r="AV296" s="40">
        <v>46164.0</v>
      </c>
    </row>
    <row r="297">
      <c r="A297" s="38">
        <v>595165.0</v>
      </c>
      <c r="B297" s="38">
        <v>498546.0</v>
      </c>
      <c r="C297" s="38">
        <v>551651.0</v>
      </c>
      <c r="D297" s="34" t="s">
        <v>62</v>
      </c>
      <c r="E297" s="34" t="s">
        <v>62</v>
      </c>
      <c r="F297" s="38">
        <v>1255023.0</v>
      </c>
      <c r="G297" s="18" t="s">
        <v>660</v>
      </c>
      <c r="H297" s="18" t="s">
        <v>2505</v>
      </c>
      <c r="I297" s="18" t="s">
        <v>217</v>
      </c>
      <c r="J297" s="18" t="s">
        <v>2337</v>
      </c>
      <c r="K297" s="18" t="s">
        <v>2337</v>
      </c>
      <c r="L297" s="18" t="s">
        <v>52</v>
      </c>
      <c r="M297" s="18" t="s">
        <v>89</v>
      </c>
      <c r="N297" s="18" t="s">
        <v>130</v>
      </c>
      <c r="O297" s="18" t="s">
        <v>126</v>
      </c>
      <c r="P297" s="18" t="s">
        <v>218</v>
      </c>
      <c r="Q297" s="18" t="s">
        <v>219</v>
      </c>
      <c r="R297" s="18" t="s">
        <v>133</v>
      </c>
      <c r="S297" s="18" t="s">
        <v>59</v>
      </c>
      <c r="T297" s="38">
        <v>2026.0</v>
      </c>
      <c r="U297" s="38">
        <v>5.0</v>
      </c>
      <c r="V297" s="38">
        <v>1.081522629E9</v>
      </c>
      <c r="W297" s="38">
        <v>1.081540699E9</v>
      </c>
      <c r="X297" s="18" t="s">
        <v>2199</v>
      </c>
      <c r="Y297" s="18" t="s">
        <v>2200</v>
      </c>
      <c r="Z297" s="38">
        <v>50434.76</v>
      </c>
      <c r="AA297" s="38">
        <v>50434.76</v>
      </c>
      <c r="AB297" s="38">
        <v>-1667.24</v>
      </c>
      <c r="AC297" s="38">
        <v>0.0</v>
      </c>
      <c r="AD297" s="38">
        <v>0.0</v>
      </c>
      <c r="AE297" s="38">
        <v>0.0</v>
      </c>
      <c r="AF297" s="38">
        <v>0.0</v>
      </c>
      <c r="AG297" s="38">
        <v>0.0</v>
      </c>
      <c r="AH297" s="38">
        <v>0.0</v>
      </c>
      <c r="AI297" s="38">
        <v>50434.76</v>
      </c>
      <c r="AJ297" s="38">
        <v>50434.76</v>
      </c>
      <c r="AK297" s="38">
        <v>0.0</v>
      </c>
      <c r="AL297" s="38">
        <v>242.77</v>
      </c>
      <c r="AM297" s="38">
        <v>0.0</v>
      </c>
      <c r="AN297" s="34" t="s">
        <v>62</v>
      </c>
      <c r="AO297" s="34" t="s">
        <v>62</v>
      </c>
      <c r="AP297" s="34" t="s">
        <v>62</v>
      </c>
      <c r="AQ297" s="34" t="s">
        <v>62</v>
      </c>
      <c r="AR297" s="38">
        <v>0.0</v>
      </c>
      <c r="AS297" s="34"/>
      <c r="AT297" s="38" t="s">
        <v>2275</v>
      </c>
      <c r="AU297" s="38" t="s">
        <v>2276</v>
      </c>
      <c r="AV297" s="40">
        <v>46164.0</v>
      </c>
    </row>
    <row r="298">
      <c r="A298" s="38">
        <v>595169.0</v>
      </c>
      <c r="B298" s="38">
        <v>498550.0</v>
      </c>
      <c r="C298" s="38">
        <v>551655.0</v>
      </c>
      <c r="D298" s="34" t="s">
        <v>62</v>
      </c>
      <c r="E298" s="34" t="s">
        <v>62</v>
      </c>
      <c r="F298" s="38">
        <v>1255027.0</v>
      </c>
      <c r="G298" s="18" t="s">
        <v>662</v>
      </c>
      <c r="H298" s="18" t="s">
        <v>2506</v>
      </c>
      <c r="I298" s="18" t="s">
        <v>217</v>
      </c>
      <c r="J298" s="18" t="s">
        <v>2337</v>
      </c>
      <c r="K298" s="18" t="s">
        <v>2337</v>
      </c>
      <c r="L298" s="18" t="s">
        <v>52</v>
      </c>
      <c r="M298" s="18" t="s">
        <v>89</v>
      </c>
      <c r="N298" s="18" t="s">
        <v>130</v>
      </c>
      <c r="O298" s="18" t="s">
        <v>126</v>
      </c>
      <c r="P298" s="18" t="s">
        <v>218</v>
      </c>
      <c r="Q298" s="18" t="s">
        <v>219</v>
      </c>
      <c r="R298" s="18" t="s">
        <v>133</v>
      </c>
      <c r="S298" s="18" t="s">
        <v>59</v>
      </c>
      <c r="T298" s="38">
        <v>2026.0</v>
      </c>
      <c r="U298" s="38">
        <v>5.0</v>
      </c>
      <c r="V298" s="38">
        <v>1.081522633E9</v>
      </c>
      <c r="W298" s="38">
        <v>1.081540703E9</v>
      </c>
      <c r="X298" s="18" t="s">
        <v>2199</v>
      </c>
      <c r="Y298" s="18" t="s">
        <v>2200</v>
      </c>
      <c r="Z298" s="38">
        <v>51890.16</v>
      </c>
      <c r="AA298" s="38">
        <v>51890.16</v>
      </c>
      <c r="AB298" s="38">
        <v>-1667.24</v>
      </c>
      <c r="AC298" s="38">
        <v>0.0</v>
      </c>
      <c r="AD298" s="38">
        <v>1455.4</v>
      </c>
      <c r="AE298" s="38">
        <v>0.0</v>
      </c>
      <c r="AF298" s="38">
        <v>0.0</v>
      </c>
      <c r="AG298" s="38">
        <v>0.0</v>
      </c>
      <c r="AH298" s="38">
        <v>0.0</v>
      </c>
      <c r="AI298" s="38">
        <v>51890.16</v>
      </c>
      <c r="AJ298" s="38">
        <v>152990.92</v>
      </c>
      <c r="AK298" s="38">
        <v>2.0</v>
      </c>
      <c r="AL298" s="38">
        <v>242.77</v>
      </c>
      <c r="AM298" s="38">
        <v>0.0</v>
      </c>
      <c r="AN298" s="34" t="s">
        <v>62</v>
      </c>
      <c r="AO298" s="34" t="s">
        <v>62</v>
      </c>
      <c r="AP298" s="34" t="s">
        <v>62</v>
      </c>
      <c r="AQ298" s="34" t="s">
        <v>62</v>
      </c>
      <c r="AR298" s="38">
        <v>0.0</v>
      </c>
      <c r="AS298" s="34"/>
      <c r="AT298" s="38" t="s">
        <v>2275</v>
      </c>
      <c r="AU298" s="38" t="s">
        <v>2276</v>
      </c>
      <c r="AV298" s="40">
        <v>46164.0</v>
      </c>
    </row>
    <row r="299">
      <c r="A299" s="38">
        <v>595173.0</v>
      </c>
      <c r="B299" s="38">
        <v>498554.0</v>
      </c>
      <c r="C299" s="38">
        <v>551659.0</v>
      </c>
      <c r="D299" s="34" t="s">
        <v>62</v>
      </c>
      <c r="E299" s="34" t="s">
        <v>62</v>
      </c>
      <c r="F299" s="38">
        <v>1255031.0</v>
      </c>
      <c r="G299" s="18" t="s">
        <v>664</v>
      </c>
      <c r="H299" s="18" t="s">
        <v>2507</v>
      </c>
      <c r="I299" s="18" t="s">
        <v>217</v>
      </c>
      <c r="J299" s="18" t="s">
        <v>2337</v>
      </c>
      <c r="K299" s="18" t="s">
        <v>2337</v>
      </c>
      <c r="L299" s="18" t="s">
        <v>52</v>
      </c>
      <c r="M299" s="18" t="s">
        <v>89</v>
      </c>
      <c r="N299" s="18" t="s">
        <v>130</v>
      </c>
      <c r="O299" s="18" t="s">
        <v>126</v>
      </c>
      <c r="P299" s="18" t="s">
        <v>218</v>
      </c>
      <c r="Q299" s="18" t="s">
        <v>219</v>
      </c>
      <c r="R299" s="18" t="s">
        <v>133</v>
      </c>
      <c r="S299" s="18" t="s">
        <v>59</v>
      </c>
      <c r="T299" s="38">
        <v>2026.0</v>
      </c>
      <c r="U299" s="38">
        <v>5.0</v>
      </c>
      <c r="V299" s="38">
        <v>1.081522637E9</v>
      </c>
      <c r="W299" s="38">
        <v>1.081540707E9</v>
      </c>
      <c r="X299" s="18" t="s">
        <v>2199</v>
      </c>
      <c r="Y299" s="18" t="s">
        <v>2200</v>
      </c>
      <c r="Z299" s="38">
        <v>50500.31</v>
      </c>
      <c r="AA299" s="38">
        <v>50500.31</v>
      </c>
      <c r="AB299" s="38">
        <v>-1667.24</v>
      </c>
      <c r="AC299" s="38">
        <v>0.0</v>
      </c>
      <c r="AD299" s="38">
        <v>65.55</v>
      </c>
      <c r="AE299" s="38">
        <v>0.0</v>
      </c>
      <c r="AF299" s="38">
        <v>0.0</v>
      </c>
      <c r="AG299" s="38">
        <v>0.0</v>
      </c>
      <c r="AH299" s="38">
        <v>0.0</v>
      </c>
      <c r="AI299" s="38">
        <v>50500.31</v>
      </c>
      <c r="AJ299" s="38">
        <v>100585.52</v>
      </c>
      <c r="AK299" s="38">
        <v>1.0</v>
      </c>
      <c r="AL299" s="38">
        <v>242.77</v>
      </c>
      <c r="AM299" s="38">
        <v>0.0</v>
      </c>
      <c r="AN299" s="34" t="s">
        <v>62</v>
      </c>
      <c r="AO299" s="34" t="s">
        <v>62</v>
      </c>
      <c r="AP299" s="34" t="s">
        <v>62</v>
      </c>
      <c r="AQ299" s="34" t="s">
        <v>62</v>
      </c>
      <c r="AR299" s="38">
        <v>0.0</v>
      </c>
      <c r="AS299" s="34"/>
      <c r="AT299" s="38" t="s">
        <v>2275</v>
      </c>
      <c r="AU299" s="38" t="s">
        <v>2276</v>
      </c>
      <c r="AV299" s="40">
        <v>46164.0</v>
      </c>
    </row>
    <row r="300">
      <c r="A300" s="38">
        <v>595177.0</v>
      </c>
      <c r="B300" s="38">
        <v>498558.0</v>
      </c>
      <c r="C300" s="38">
        <v>551663.0</v>
      </c>
      <c r="D300" s="34" t="s">
        <v>62</v>
      </c>
      <c r="E300" s="34" t="s">
        <v>62</v>
      </c>
      <c r="F300" s="38">
        <v>1255035.0</v>
      </c>
      <c r="G300" s="18" t="s">
        <v>660</v>
      </c>
      <c r="H300" s="18" t="s">
        <v>2508</v>
      </c>
      <c r="I300" s="18" t="s">
        <v>217</v>
      </c>
      <c r="J300" s="18" t="s">
        <v>2337</v>
      </c>
      <c r="K300" s="18" t="s">
        <v>2337</v>
      </c>
      <c r="L300" s="18" t="s">
        <v>52</v>
      </c>
      <c r="M300" s="18" t="s">
        <v>89</v>
      </c>
      <c r="N300" s="18" t="s">
        <v>130</v>
      </c>
      <c r="O300" s="18" t="s">
        <v>126</v>
      </c>
      <c r="P300" s="18" t="s">
        <v>218</v>
      </c>
      <c r="Q300" s="18" t="s">
        <v>219</v>
      </c>
      <c r="R300" s="18" t="s">
        <v>133</v>
      </c>
      <c r="S300" s="18" t="s">
        <v>59</v>
      </c>
      <c r="T300" s="38">
        <v>2026.0</v>
      </c>
      <c r="U300" s="38">
        <v>5.0</v>
      </c>
      <c r="V300" s="38">
        <v>1.081522641E9</v>
      </c>
      <c r="W300" s="38">
        <v>1.081540711E9</v>
      </c>
      <c r="X300" s="18" t="s">
        <v>2199</v>
      </c>
      <c r="Y300" s="18" t="s">
        <v>2200</v>
      </c>
      <c r="Z300" s="38">
        <v>51057.48</v>
      </c>
      <c r="AA300" s="38">
        <v>51057.48</v>
      </c>
      <c r="AB300" s="38">
        <v>-1667.24</v>
      </c>
      <c r="AC300" s="38">
        <v>0.0</v>
      </c>
      <c r="AD300" s="38">
        <v>622.72</v>
      </c>
      <c r="AE300" s="38">
        <v>0.0</v>
      </c>
      <c r="AF300" s="38">
        <v>0.0</v>
      </c>
      <c r="AG300" s="38">
        <v>0.0</v>
      </c>
      <c r="AH300" s="38">
        <v>0.0</v>
      </c>
      <c r="AI300" s="38">
        <v>51057.48</v>
      </c>
      <c r="AJ300" s="38">
        <v>151376.54</v>
      </c>
      <c r="AK300" s="38">
        <v>2.0</v>
      </c>
      <c r="AL300" s="38">
        <v>242.77</v>
      </c>
      <c r="AM300" s="38">
        <v>0.0</v>
      </c>
      <c r="AN300" s="34" t="s">
        <v>62</v>
      </c>
      <c r="AO300" s="34" t="s">
        <v>62</v>
      </c>
      <c r="AP300" s="34" t="s">
        <v>62</v>
      </c>
      <c r="AQ300" s="34" t="s">
        <v>62</v>
      </c>
      <c r="AR300" s="38">
        <v>0.0</v>
      </c>
      <c r="AS300" s="34"/>
      <c r="AT300" s="38" t="s">
        <v>2275</v>
      </c>
      <c r="AU300" s="38" t="s">
        <v>2276</v>
      </c>
      <c r="AV300" s="40">
        <v>46164.0</v>
      </c>
    </row>
    <row r="301">
      <c r="A301" s="38">
        <v>595181.0</v>
      </c>
      <c r="B301" s="38">
        <v>498562.0</v>
      </c>
      <c r="C301" s="38">
        <v>551667.0</v>
      </c>
      <c r="D301" s="34" t="s">
        <v>62</v>
      </c>
      <c r="E301" s="34" t="s">
        <v>62</v>
      </c>
      <c r="F301" s="38">
        <v>1255039.0</v>
      </c>
      <c r="G301" s="18" t="s">
        <v>667</v>
      </c>
      <c r="H301" s="18" t="s">
        <v>2509</v>
      </c>
      <c r="I301" s="18" t="s">
        <v>217</v>
      </c>
      <c r="J301" s="18" t="s">
        <v>2337</v>
      </c>
      <c r="K301" s="18" t="s">
        <v>2337</v>
      </c>
      <c r="L301" s="18" t="s">
        <v>52</v>
      </c>
      <c r="M301" s="18" t="s">
        <v>89</v>
      </c>
      <c r="N301" s="18" t="s">
        <v>130</v>
      </c>
      <c r="O301" s="18" t="s">
        <v>126</v>
      </c>
      <c r="P301" s="18" t="s">
        <v>218</v>
      </c>
      <c r="Q301" s="18" t="s">
        <v>219</v>
      </c>
      <c r="R301" s="18" t="s">
        <v>133</v>
      </c>
      <c r="S301" s="18" t="s">
        <v>59</v>
      </c>
      <c r="T301" s="38">
        <v>2026.0</v>
      </c>
      <c r="U301" s="38">
        <v>5.0</v>
      </c>
      <c r="V301" s="38">
        <v>1.081522645E9</v>
      </c>
      <c r="W301" s="38">
        <v>1.081540715E9</v>
      </c>
      <c r="X301" s="18" t="s">
        <v>2199</v>
      </c>
      <c r="Y301" s="18" t="s">
        <v>2200</v>
      </c>
      <c r="Z301" s="38">
        <v>53638.77</v>
      </c>
      <c r="AA301" s="38">
        <v>53638.77</v>
      </c>
      <c r="AB301" s="38">
        <v>-1667.24</v>
      </c>
      <c r="AC301" s="38">
        <v>0.0</v>
      </c>
      <c r="AD301" s="38">
        <v>3204.01</v>
      </c>
      <c r="AE301" s="38">
        <v>0.0</v>
      </c>
      <c r="AF301" s="38">
        <v>0.0</v>
      </c>
      <c r="AG301" s="38">
        <v>0.0</v>
      </c>
      <c r="AH301" s="38">
        <v>0.0</v>
      </c>
      <c r="AI301" s="38">
        <v>53638.77</v>
      </c>
      <c r="AJ301" s="38">
        <v>283504.12</v>
      </c>
      <c r="AK301" s="38">
        <v>5.0</v>
      </c>
      <c r="AL301" s="38">
        <v>242.77</v>
      </c>
      <c r="AM301" s="38">
        <v>0.0</v>
      </c>
      <c r="AN301" s="34" t="s">
        <v>62</v>
      </c>
      <c r="AO301" s="34" t="s">
        <v>62</v>
      </c>
      <c r="AP301" s="34" t="s">
        <v>62</v>
      </c>
      <c r="AQ301" s="34" t="s">
        <v>62</v>
      </c>
      <c r="AR301" s="38">
        <v>0.0</v>
      </c>
      <c r="AS301" s="34"/>
      <c r="AT301" s="38" t="s">
        <v>2275</v>
      </c>
      <c r="AU301" s="38" t="s">
        <v>2276</v>
      </c>
      <c r="AV301" s="40">
        <v>46164.0</v>
      </c>
    </row>
    <row r="302">
      <c r="A302" s="38">
        <v>595185.0</v>
      </c>
      <c r="B302" s="38">
        <v>498566.0</v>
      </c>
      <c r="C302" s="38">
        <v>551671.0</v>
      </c>
      <c r="D302" s="34" t="s">
        <v>62</v>
      </c>
      <c r="E302" s="34" t="s">
        <v>62</v>
      </c>
      <c r="F302" s="38">
        <v>1255043.0</v>
      </c>
      <c r="G302" s="18" t="s">
        <v>669</v>
      </c>
      <c r="H302" s="18" t="s">
        <v>2510</v>
      </c>
      <c r="I302" s="18" t="s">
        <v>217</v>
      </c>
      <c r="J302" s="18" t="s">
        <v>2337</v>
      </c>
      <c r="K302" s="18" t="s">
        <v>2337</v>
      </c>
      <c r="L302" s="18" t="s">
        <v>52</v>
      </c>
      <c r="M302" s="18" t="s">
        <v>89</v>
      </c>
      <c r="N302" s="18" t="s">
        <v>130</v>
      </c>
      <c r="O302" s="18" t="s">
        <v>126</v>
      </c>
      <c r="P302" s="18" t="s">
        <v>218</v>
      </c>
      <c r="Q302" s="18" t="s">
        <v>219</v>
      </c>
      <c r="R302" s="18" t="s">
        <v>133</v>
      </c>
      <c r="S302" s="18" t="s">
        <v>59</v>
      </c>
      <c r="T302" s="38">
        <v>2026.0</v>
      </c>
      <c r="U302" s="38">
        <v>5.0</v>
      </c>
      <c r="V302" s="38">
        <v>1.08152265E9</v>
      </c>
      <c r="W302" s="38">
        <v>1.08154072E9</v>
      </c>
      <c r="X302" s="18" t="s">
        <v>2199</v>
      </c>
      <c r="Y302" s="18" t="s">
        <v>2200</v>
      </c>
      <c r="Z302" s="38">
        <v>51057.48</v>
      </c>
      <c r="AA302" s="38">
        <v>51057.48</v>
      </c>
      <c r="AB302" s="38">
        <v>-1667.24</v>
      </c>
      <c r="AC302" s="38">
        <v>0.0</v>
      </c>
      <c r="AD302" s="38">
        <v>622.72</v>
      </c>
      <c r="AE302" s="38">
        <v>0.0</v>
      </c>
      <c r="AF302" s="38">
        <v>0.0</v>
      </c>
      <c r="AG302" s="38">
        <v>0.0</v>
      </c>
      <c r="AH302" s="38">
        <v>0.0</v>
      </c>
      <c r="AI302" s="38">
        <v>51057.48</v>
      </c>
      <c r="AJ302" s="38">
        <v>151208.06</v>
      </c>
      <c r="AK302" s="38">
        <v>2.0</v>
      </c>
      <c r="AL302" s="38">
        <v>242.77</v>
      </c>
      <c r="AM302" s="38">
        <v>0.0</v>
      </c>
      <c r="AN302" s="34" t="s">
        <v>62</v>
      </c>
      <c r="AO302" s="34" t="s">
        <v>62</v>
      </c>
      <c r="AP302" s="34" t="s">
        <v>62</v>
      </c>
      <c r="AQ302" s="34" t="s">
        <v>62</v>
      </c>
      <c r="AR302" s="38">
        <v>0.0</v>
      </c>
      <c r="AS302" s="34"/>
      <c r="AT302" s="38" t="s">
        <v>2275</v>
      </c>
      <c r="AU302" s="38" t="s">
        <v>2276</v>
      </c>
      <c r="AV302" s="40">
        <v>46164.0</v>
      </c>
    </row>
    <row r="303">
      <c r="A303" s="38">
        <v>595189.0</v>
      </c>
      <c r="B303" s="38">
        <v>498570.0</v>
      </c>
      <c r="C303" s="38">
        <v>551675.0</v>
      </c>
      <c r="D303" s="34" t="s">
        <v>62</v>
      </c>
      <c r="E303" s="34" t="s">
        <v>62</v>
      </c>
      <c r="F303" s="38">
        <v>1255047.0</v>
      </c>
      <c r="G303" s="18" t="s">
        <v>671</v>
      </c>
      <c r="H303" s="18" t="s">
        <v>2511</v>
      </c>
      <c r="I303" s="18" t="s">
        <v>217</v>
      </c>
      <c r="J303" s="18" t="s">
        <v>2337</v>
      </c>
      <c r="K303" s="18" t="s">
        <v>2337</v>
      </c>
      <c r="L303" s="18" t="s">
        <v>52</v>
      </c>
      <c r="M303" s="18" t="s">
        <v>89</v>
      </c>
      <c r="N303" s="18" t="s">
        <v>130</v>
      </c>
      <c r="O303" s="18" t="s">
        <v>126</v>
      </c>
      <c r="P303" s="18" t="s">
        <v>218</v>
      </c>
      <c r="Q303" s="18" t="s">
        <v>219</v>
      </c>
      <c r="R303" s="18" t="s">
        <v>133</v>
      </c>
      <c r="S303" s="18" t="s">
        <v>59</v>
      </c>
      <c r="T303" s="38">
        <v>2026.0</v>
      </c>
      <c r="U303" s="38">
        <v>5.0</v>
      </c>
      <c r="V303" s="38">
        <v>1.081522653E9</v>
      </c>
      <c r="W303" s="38">
        <v>1.081540723E9</v>
      </c>
      <c r="X303" s="18" t="s">
        <v>2199</v>
      </c>
      <c r="Y303" s="18" t="s">
        <v>2200</v>
      </c>
      <c r="Z303" s="38">
        <v>50607.0</v>
      </c>
      <c r="AA303" s="38">
        <v>50607.0</v>
      </c>
      <c r="AB303" s="38">
        <v>-1667.24</v>
      </c>
      <c r="AC303" s="38">
        <v>0.0</v>
      </c>
      <c r="AD303" s="38">
        <v>172.24</v>
      </c>
      <c r="AE303" s="38">
        <v>0.0</v>
      </c>
      <c r="AF303" s="38">
        <v>0.0</v>
      </c>
      <c r="AG303" s="38">
        <v>0.0</v>
      </c>
      <c r="AH303" s="38">
        <v>0.0</v>
      </c>
      <c r="AI303" s="38">
        <v>50607.0</v>
      </c>
      <c r="AJ303" s="38">
        <v>100637.13</v>
      </c>
      <c r="AK303" s="38">
        <v>1.0</v>
      </c>
      <c r="AL303" s="38">
        <v>242.77</v>
      </c>
      <c r="AM303" s="38">
        <v>0.0</v>
      </c>
      <c r="AN303" s="34" t="s">
        <v>62</v>
      </c>
      <c r="AO303" s="34" t="s">
        <v>62</v>
      </c>
      <c r="AP303" s="34" t="s">
        <v>62</v>
      </c>
      <c r="AQ303" s="34" t="s">
        <v>62</v>
      </c>
      <c r="AR303" s="38">
        <v>0.0</v>
      </c>
      <c r="AS303" s="34"/>
      <c r="AT303" s="38" t="s">
        <v>2275</v>
      </c>
      <c r="AU303" s="38" t="s">
        <v>2276</v>
      </c>
      <c r="AV303" s="40">
        <v>46164.0</v>
      </c>
    </row>
    <row r="304">
      <c r="A304" s="38">
        <v>595193.0</v>
      </c>
      <c r="B304" s="38">
        <v>498574.0</v>
      </c>
      <c r="C304" s="38">
        <v>551679.0</v>
      </c>
      <c r="D304" s="34" t="s">
        <v>62</v>
      </c>
      <c r="E304" s="34" t="s">
        <v>62</v>
      </c>
      <c r="F304" s="38">
        <v>1255051.0</v>
      </c>
      <c r="G304" s="18" t="s">
        <v>673</v>
      </c>
      <c r="H304" s="18" t="s">
        <v>2512</v>
      </c>
      <c r="I304" s="18" t="s">
        <v>217</v>
      </c>
      <c r="J304" s="18" t="s">
        <v>2337</v>
      </c>
      <c r="K304" s="18" t="s">
        <v>2337</v>
      </c>
      <c r="L304" s="18" t="s">
        <v>52</v>
      </c>
      <c r="M304" s="18" t="s">
        <v>89</v>
      </c>
      <c r="N304" s="18" t="s">
        <v>130</v>
      </c>
      <c r="O304" s="18" t="s">
        <v>126</v>
      </c>
      <c r="P304" s="18" t="s">
        <v>218</v>
      </c>
      <c r="Q304" s="18" t="s">
        <v>219</v>
      </c>
      <c r="R304" s="18" t="s">
        <v>133</v>
      </c>
      <c r="S304" s="18" t="s">
        <v>59</v>
      </c>
      <c r="T304" s="38">
        <v>2026.0</v>
      </c>
      <c r="U304" s="38">
        <v>5.0</v>
      </c>
      <c r="V304" s="38">
        <v>1.081522658E9</v>
      </c>
      <c r="W304" s="38">
        <v>1.081540728E9</v>
      </c>
      <c r="X304" s="18" t="s">
        <v>2199</v>
      </c>
      <c r="Y304" s="18" t="s">
        <v>2200</v>
      </c>
      <c r="Z304" s="38">
        <v>50434.76</v>
      </c>
      <c r="AA304" s="38">
        <v>50434.76</v>
      </c>
      <c r="AB304" s="38">
        <v>-1667.24</v>
      </c>
      <c r="AC304" s="38">
        <v>0.0</v>
      </c>
      <c r="AD304" s="38">
        <v>0.0</v>
      </c>
      <c r="AE304" s="38">
        <v>0.0</v>
      </c>
      <c r="AF304" s="38">
        <v>0.0</v>
      </c>
      <c r="AG304" s="38">
        <v>0.0</v>
      </c>
      <c r="AH304" s="38">
        <v>0.0</v>
      </c>
      <c r="AI304" s="38">
        <v>50434.76</v>
      </c>
      <c r="AJ304" s="38">
        <v>50434.76</v>
      </c>
      <c r="AK304" s="38">
        <v>0.0</v>
      </c>
      <c r="AL304" s="38">
        <v>242.77</v>
      </c>
      <c r="AM304" s="38">
        <v>0.0</v>
      </c>
      <c r="AN304" s="34" t="s">
        <v>62</v>
      </c>
      <c r="AO304" s="34" t="s">
        <v>62</v>
      </c>
      <c r="AP304" s="34" t="s">
        <v>62</v>
      </c>
      <c r="AQ304" s="34" t="s">
        <v>62</v>
      </c>
      <c r="AR304" s="38">
        <v>0.0</v>
      </c>
      <c r="AS304" s="34"/>
      <c r="AT304" s="38" t="s">
        <v>2275</v>
      </c>
      <c r="AU304" s="38" t="s">
        <v>2276</v>
      </c>
      <c r="AV304" s="40">
        <v>46164.0</v>
      </c>
    </row>
    <row r="305">
      <c r="A305" s="38">
        <v>595197.0</v>
      </c>
      <c r="B305" s="38">
        <v>498578.0</v>
      </c>
      <c r="C305" s="38">
        <v>551683.0</v>
      </c>
      <c r="D305" s="34" t="s">
        <v>62</v>
      </c>
      <c r="E305" s="34" t="s">
        <v>62</v>
      </c>
      <c r="F305" s="38">
        <v>1255055.0</v>
      </c>
      <c r="G305" s="18" t="s">
        <v>675</v>
      </c>
      <c r="H305" s="18" t="s">
        <v>2513</v>
      </c>
      <c r="I305" s="18" t="s">
        <v>217</v>
      </c>
      <c r="J305" s="18" t="s">
        <v>2337</v>
      </c>
      <c r="K305" s="18" t="s">
        <v>2337</v>
      </c>
      <c r="L305" s="18" t="s">
        <v>52</v>
      </c>
      <c r="M305" s="18" t="s">
        <v>89</v>
      </c>
      <c r="N305" s="18" t="s">
        <v>130</v>
      </c>
      <c r="O305" s="18" t="s">
        <v>126</v>
      </c>
      <c r="P305" s="18" t="s">
        <v>218</v>
      </c>
      <c r="Q305" s="18" t="s">
        <v>219</v>
      </c>
      <c r="R305" s="18" t="s">
        <v>133</v>
      </c>
      <c r="S305" s="18" t="s">
        <v>59</v>
      </c>
      <c r="T305" s="38">
        <v>2026.0</v>
      </c>
      <c r="U305" s="38">
        <v>5.0</v>
      </c>
      <c r="V305" s="38">
        <v>1.081522661E9</v>
      </c>
      <c r="W305" s="38">
        <v>1.081540731E9</v>
      </c>
      <c r="X305" s="18" t="s">
        <v>2199</v>
      </c>
      <c r="Y305" s="18" t="s">
        <v>2200</v>
      </c>
      <c r="Z305" s="38">
        <v>53638.77</v>
      </c>
      <c r="AA305" s="38">
        <v>53638.77</v>
      </c>
      <c r="AB305" s="38">
        <v>-1667.24</v>
      </c>
      <c r="AC305" s="38">
        <v>0.0</v>
      </c>
      <c r="AD305" s="38">
        <v>3204.01</v>
      </c>
      <c r="AE305" s="38">
        <v>0.0</v>
      </c>
      <c r="AF305" s="38">
        <v>0.0</v>
      </c>
      <c r="AG305" s="38">
        <v>0.0</v>
      </c>
      <c r="AH305" s="38">
        <v>0.0</v>
      </c>
      <c r="AI305" s="38">
        <v>53638.77</v>
      </c>
      <c r="AJ305" s="38">
        <v>283504.12</v>
      </c>
      <c r="AK305" s="38">
        <v>5.0</v>
      </c>
      <c r="AL305" s="38">
        <v>242.77</v>
      </c>
      <c r="AM305" s="38">
        <v>0.0</v>
      </c>
      <c r="AN305" s="34" t="s">
        <v>62</v>
      </c>
      <c r="AO305" s="34" t="s">
        <v>62</v>
      </c>
      <c r="AP305" s="34" t="s">
        <v>62</v>
      </c>
      <c r="AQ305" s="34" t="s">
        <v>62</v>
      </c>
      <c r="AR305" s="38">
        <v>0.0</v>
      </c>
      <c r="AS305" s="34"/>
      <c r="AT305" s="38" t="s">
        <v>2275</v>
      </c>
      <c r="AU305" s="38" t="s">
        <v>2276</v>
      </c>
      <c r="AV305" s="40">
        <v>46164.0</v>
      </c>
    </row>
    <row r="306">
      <c r="A306" s="38">
        <v>595201.0</v>
      </c>
      <c r="B306" s="38">
        <v>498582.0</v>
      </c>
      <c r="C306" s="38">
        <v>551687.0</v>
      </c>
      <c r="D306" s="34" t="s">
        <v>62</v>
      </c>
      <c r="E306" s="34" t="s">
        <v>62</v>
      </c>
      <c r="F306" s="38">
        <v>1255059.0</v>
      </c>
      <c r="G306" s="18" t="s">
        <v>677</v>
      </c>
      <c r="H306" s="18" t="s">
        <v>2514</v>
      </c>
      <c r="I306" s="18" t="s">
        <v>217</v>
      </c>
      <c r="J306" s="18" t="s">
        <v>2337</v>
      </c>
      <c r="K306" s="18" t="s">
        <v>2337</v>
      </c>
      <c r="L306" s="18" t="s">
        <v>52</v>
      </c>
      <c r="M306" s="18" t="s">
        <v>89</v>
      </c>
      <c r="N306" s="18" t="s">
        <v>130</v>
      </c>
      <c r="O306" s="18" t="s">
        <v>126</v>
      </c>
      <c r="P306" s="18" t="s">
        <v>218</v>
      </c>
      <c r="Q306" s="18" t="s">
        <v>219</v>
      </c>
      <c r="R306" s="18" t="s">
        <v>133</v>
      </c>
      <c r="S306" s="18" t="s">
        <v>59</v>
      </c>
      <c r="T306" s="38">
        <v>2026.0</v>
      </c>
      <c r="U306" s="38">
        <v>5.0</v>
      </c>
      <c r="V306" s="38">
        <v>1.081522665E9</v>
      </c>
      <c r="W306" s="38">
        <v>1.081540735E9</v>
      </c>
      <c r="X306" s="18" t="s">
        <v>2199</v>
      </c>
      <c r="Y306" s="18" t="s">
        <v>2200</v>
      </c>
      <c r="Z306" s="38">
        <v>53638.77</v>
      </c>
      <c r="AA306" s="38">
        <v>53638.77</v>
      </c>
      <c r="AB306" s="38">
        <v>-1667.24</v>
      </c>
      <c r="AC306" s="38">
        <v>0.0</v>
      </c>
      <c r="AD306" s="38">
        <v>3204.01</v>
      </c>
      <c r="AE306" s="38">
        <v>0.0</v>
      </c>
      <c r="AF306" s="38">
        <v>0.0</v>
      </c>
      <c r="AG306" s="38">
        <v>0.0</v>
      </c>
      <c r="AH306" s="38">
        <v>0.0</v>
      </c>
      <c r="AI306" s="38">
        <v>53638.77</v>
      </c>
      <c r="AJ306" s="38">
        <v>283504.12</v>
      </c>
      <c r="AK306" s="38">
        <v>5.0</v>
      </c>
      <c r="AL306" s="38">
        <v>242.77</v>
      </c>
      <c r="AM306" s="38">
        <v>0.0</v>
      </c>
      <c r="AN306" s="34" t="s">
        <v>62</v>
      </c>
      <c r="AO306" s="34" t="s">
        <v>62</v>
      </c>
      <c r="AP306" s="34" t="s">
        <v>62</v>
      </c>
      <c r="AQ306" s="34" t="s">
        <v>62</v>
      </c>
      <c r="AR306" s="38">
        <v>0.0</v>
      </c>
      <c r="AS306" s="34"/>
      <c r="AT306" s="38" t="s">
        <v>2275</v>
      </c>
      <c r="AU306" s="38" t="s">
        <v>2276</v>
      </c>
      <c r="AV306" s="40">
        <v>46164.0</v>
      </c>
    </row>
    <row r="307">
      <c r="A307" s="38">
        <v>595205.0</v>
      </c>
      <c r="B307" s="38">
        <v>498586.0</v>
      </c>
      <c r="C307" s="38">
        <v>551691.0</v>
      </c>
      <c r="D307" s="34" t="s">
        <v>62</v>
      </c>
      <c r="E307" s="34" t="s">
        <v>62</v>
      </c>
      <c r="F307" s="38">
        <v>1255063.0</v>
      </c>
      <c r="G307" s="18" t="s">
        <v>679</v>
      </c>
      <c r="H307" s="18" t="s">
        <v>2515</v>
      </c>
      <c r="I307" s="18" t="s">
        <v>217</v>
      </c>
      <c r="J307" s="18" t="s">
        <v>2337</v>
      </c>
      <c r="K307" s="18" t="s">
        <v>2337</v>
      </c>
      <c r="L307" s="18" t="s">
        <v>52</v>
      </c>
      <c r="M307" s="18" t="s">
        <v>89</v>
      </c>
      <c r="N307" s="18" t="s">
        <v>130</v>
      </c>
      <c r="O307" s="18" t="s">
        <v>126</v>
      </c>
      <c r="P307" s="18" t="s">
        <v>218</v>
      </c>
      <c r="Q307" s="18" t="s">
        <v>219</v>
      </c>
      <c r="R307" s="18" t="s">
        <v>133</v>
      </c>
      <c r="S307" s="18" t="s">
        <v>59</v>
      </c>
      <c r="T307" s="38">
        <v>2026.0</v>
      </c>
      <c r="U307" s="38">
        <v>5.0</v>
      </c>
      <c r="V307" s="38">
        <v>1.081522669E9</v>
      </c>
      <c r="W307" s="38">
        <v>1.081540739E9</v>
      </c>
      <c r="X307" s="18" t="s">
        <v>2199</v>
      </c>
      <c r="Y307" s="18" t="s">
        <v>2200</v>
      </c>
      <c r="Z307" s="38">
        <v>50635.71</v>
      </c>
      <c r="AA307" s="38">
        <v>50635.71</v>
      </c>
      <c r="AB307" s="38">
        <v>-1667.24</v>
      </c>
      <c r="AC307" s="38">
        <v>0.0</v>
      </c>
      <c r="AD307" s="38">
        <v>200.95</v>
      </c>
      <c r="AE307" s="38">
        <v>0.0</v>
      </c>
      <c r="AF307" s="38">
        <v>0.0</v>
      </c>
      <c r="AG307" s="38">
        <v>0.0</v>
      </c>
      <c r="AH307" s="38">
        <v>0.0</v>
      </c>
      <c r="AI307" s="38">
        <v>50635.71</v>
      </c>
      <c r="AJ307" s="38">
        <v>100665.84</v>
      </c>
      <c r="AK307" s="38">
        <v>1.0</v>
      </c>
      <c r="AL307" s="38">
        <v>242.77</v>
      </c>
      <c r="AM307" s="38">
        <v>0.0</v>
      </c>
      <c r="AN307" s="34" t="s">
        <v>62</v>
      </c>
      <c r="AO307" s="34" t="s">
        <v>62</v>
      </c>
      <c r="AP307" s="34" t="s">
        <v>62</v>
      </c>
      <c r="AQ307" s="34" t="s">
        <v>62</v>
      </c>
      <c r="AR307" s="38">
        <v>0.0</v>
      </c>
      <c r="AS307" s="34"/>
      <c r="AT307" s="38" t="s">
        <v>2275</v>
      </c>
      <c r="AU307" s="38" t="s">
        <v>2276</v>
      </c>
      <c r="AV307" s="40">
        <v>46164.0</v>
      </c>
    </row>
    <row r="308">
      <c r="A308" s="38">
        <v>595209.0</v>
      </c>
      <c r="B308" s="38">
        <v>498590.0</v>
      </c>
      <c r="C308" s="38">
        <v>551695.0</v>
      </c>
      <c r="D308" s="34" t="s">
        <v>62</v>
      </c>
      <c r="E308" s="34" t="s">
        <v>62</v>
      </c>
      <c r="F308" s="38">
        <v>1255067.0</v>
      </c>
      <c r="G308" s="18" t="s">
        <v>681</v>
      </c>
      <c r="H308" s="18" t="s">
        <v>2516</v>
      </c>
      <c r="I308" s="18" t="s">
        <v>217</v>
      </c>
      <c r="J308" s="18" t="s">
        <v>2337</v>
      </c>
      <c r="K308" s="18" t="s">
        <v>2337</v>
      </c>
      <c r="L308" s="18" t="s">
        <v>52</v>
      </c>
      <c r="M308" s="18" t="s">
        <v>89</v>
      </c>
      <c r="N308" s="18" t="s">
        <v>130</v>
      </c>
      <c r="O308" s="18" t="s">
        <v>126</v>
      </c>
      <c r="P308" s="18" t="s">
        <v>218</v>
      </c>
      <c r="Q308" s="18" t="s">
        <v>219</v>
      </c>
      <c r="R308" s="18" t="s">
        <v>133</v>
      </c>
      <c r="S308" s="18" t="s">
        <v>59</v>
      </c>
      <c r="T308" s="38">
        <v>2026.0</v>
      </c>
      <c r="U308" s="38">
        <v>5.0</v>
      </c>
      <c r="V308" s="38">
        <v>1.081522672E9</v>
      </c>
      <c r="W308" s="38">
        <v>1.081540742E9</v>
      </c>
      <c r="X308" s="18" t="s">
        <v>2199</v>
      </c>
      <c r="Y308" s="18" t="s">
        <v>2200</v>
      </c>
      <c r="Z308" s="38">
        <v>50434.77</v>
      </c>
      <c r="AA308" s="38">
        <v>50434.77</v>
      </c>
      <c r="AB308" s="38">
        <v>-1667.24</v>
      </c>
      <c r="AC308" s="38">
        <v>0.0</v>
      </c>
      <c r="AD308" s="38">
        <v>0.01</v>
      </c>
      <c r="AE308" s="38">
        <v>0.0</v>
      </c>
      <c r="AF308" s="38">
        <v>0.0</v>
      </c>
      <c r="AG308" s="38">
        <v>0.0</v>
      </c>
      <c r="AH308" s="38">
        <v>0.0</v>
      </c>
      <c r="AI308" s="38">
        <v>50434.77</v>
      </c>
      <c r="AJ308" s="38">
        <v>102427.12</v>
      </c>
      <c r="AK308" s="38">
        <v>2.0</v>
      </c>
      <c r="AL308" s="38">
        <v>242.77</v>
      </c>
      <c r="AM308" s="38">
        <v>0.0</v>
      </c>
      <c r="AN308" s="34" t="s">
        <v>62</v>
      </c>
      <c r="AO308" s="34" t="s">
        <v>62</v>
      </c>
      <c r="AP308" s="34" t="s">
        <v>62</v>
      </c>
      <c r="AQ308" s="34" t="s">
        <v>62</v>
      </c>
      <c r="AR308" s="38">
        <v>0.0</v>
      </c>
      <c r="AS308" s="34"/>
      <c r="AT308" s="38" t="s">
        <v>2275</v>
      </c>
      <c r="AU308" s="38" t="s">
        <v>2276</v>
      </c>
      <c r="AV308" s="40">
        <v>46164.0</v>
      </c>
    </row>
    <row r="309">
      <c r="A309" s="38">
        <v>595213.0</v>
      </c>
      <c r="B309" s="38">
        <v>498594.0</v>
      </c>
      <c r="C309" s="38">
        <v>551699.0</v>
      </c>
      <c r="D309" s="34" t="s">
        <v>62</v>
      </c>
      <c r="E309" s="34" t="s">
        <v>62</v>
      </c>
      <c r="F309" s="38">
        <v>1255071.0</v>
      </c>
      <c r="G309" s="18" t="s">
        <v>683</v>
      </c>
      <c r="H309" s="18" t="s">
        <v>2517</v>
      </c>
      <c r="I309" s="18" t="s">
        <v>217</v>
      </c>
      <c r="J309" s="18" t="s">
        <v>2337</v>
      </c>
      <c r="K309" s="18" t="s">
        <v>2337</v>
      </c>
      <c r="L309" s="18" t="s">
        <v>52</v>
      </c>
      <c r="M309" s="18" t="s">
        <v>89</v>
      </c>
      <c r="N309" s="18" t="s">
        <v>130</v>
      </c>
      <c r="O309" s="18" t="s">
        <v>126</v>
      </c>
      <c r="P309" s="18" t="s">
        <v>218</v>
      </c>
      <c r="Q309" s="18" t="s">
        <v>219</v>
      </c>
      <c r="R309" s="18" t="s">
        <v>133</v>
      </c>
      <c r="S309" s="18" t="s">
        <v>59</v>
      </c>
      <c r="T309" s="38">
        <v>2026.0</v>
      </c>
      <c r="U309" s="38">
        <v>5.0</v>
      </c>
      <c r="V309" s="38">
        <v>1.081522674E9</v>
      </c>
      <c r="W309" s="38">
        <v>1.081540744E9</v>
      </c>
      <c r="X309" s="18" t="s">
        <v>2199</v>
      </c>
      <c r="Y309" s="18" t="s">
        <v>2200</v>
      </c>
      <c r="Z309" s="38">
        <v>50434.76</v>
      </c>
      <c r="AA309" s="38">
        <v>50434.76</v>
      </c>
      <c r="AB309" s="38">
        <v>-1667.24</v>
      </c>
      <c r="AC309" s="38">
        <v>0.0</v>
      </c>
      <c r="AD309" s="38">
        <v>0.0</v>
      </c>
      <c r="AE309" s="38">
        <v>0.0</v>
      </c>
      <c r="AF309" s="38">
        <v>0.0</v>
      </c>
      <c r="AG309" s="38">
        <v>0.0</v>
      </c>
      <c r="AH309" s="38">
        <v>0.0</v>
      </c>
      <c r="AI309" s="38">
        <v>50434.76</v>
      </c>
      <c r="AJ309" s="38">
        <v>50434.76</v>
      </c>
      <c r="AK309" s="38">
        <v>0.0</v>
      </c>
      <c r="AL309" s="38">
        <v>242.77</v>
      </c>
      <c r="AM309" s="38">
        <v>0.0</v>
      </c>
      <c r="AN309" s="34" t="s">
        <v>62</v>
      </c>
      <c r="AO309" s="34" t="s">
        <v>62</v>
      </c>
      <c r="AP309" s="34" t="s">
        <v>62</v>
      </c>
      <c r="AQ309" s="34" t="s">
        <v>62</v>
      </c>
      <c r="AR309" s="38">
        <v>0.0</v>
      </c>
      <c r="AS309" s="34"/>
      <c r="AT309" s="38" t="s">
        <v>2275</v>
      </c>
      <c r="AU309" s="38" t="s">
        <v>2276</v>
      </c>
      <c r="AV309" s="40">
        <v>46164.0</v>
      </c>
    </row>
    <row r="310">
      <c r="A310" s="38">
        <v>595217.0</v>
      </c>
      <c r="B310" s="38">
        <v>498598.0</v>
      </c>
      <c r="C310" s="38">
        <v>551703.0</v>
      </c>
      <c r="D310" s="34" t="s">
        <v>62</v>
      </c>
      <c r="E310" s="34" t="s">
        <v>62</v>
      </c>
      <c r="F310" s="38">
        <v>1255075.0</v>
      </c>
      <c r="G310" s="18" t="s">
        <v>685</v>
      </c>
      <c r="H310" s="18" t="s">
        <v>2518</v>
      </c>
      <c r="I310" s="18" t="s">
        <v>217</v>
      </c>
      <c r="J310" s="18" t="s">
        <v>2337</v>
      </c>
      <c r="K310" s="18" t="s">
        <v>2337</v>
      </c>
      <c r="L310" s="18" t="s">
        <v>52</v>
      </c>
      <c r="M310" s="18" t="s">
        <v>89</v>
      </c>
      <c r="N310" s="18" t="s">
        <v>130</v>
      </c>
      <c r="O310" s="18" t="s">
        <v>126</v>
      </c>
      <c r="P310" s="18" t="s">
        <v>218</v>
      </c>
      <c r="Q310" s="18" t="s">
        <v>219</v>
      </c>
      <c r="R310" s="18" t="s">
        <v>133</v>
      </c>
      <c r="S310" s="18" t="s">
        <v>59</v>
      </c>
      <c r="T310" s="38">
        <v>2026.0</v>
      </c>
      <c r="U310" s="38">
        <v>5.0</v>
      </c>
      <c r="V310" s="38">
        <v>1.081522675E9</v>
      </c>
      <c r="W310" s="38">
        <v>1.081540745E9</v>
      </c>
      <c r="X310" s="18" t="s">
        <v>2199</v>
      </c>
      <c r="Y310" s="18" t="s">
        <v>2200</v>
      </c>
      <c r="Z310" s="38">
        <v>53638.77</v>
      </c>
      <c r="AA310" s="38">
        <v>53638.77</v>
      </c>
      <c r="AB310" s="38">
        <v>-1667.24</v>
      </c>
      <c r="AC310" s="38">
        <v>0.0</v>
      </c>
      <c r="AD310" s="38">
        <v>3204.01</v>
      </c>
      <c r="AE310" s="38">
        <v>0.0</v>
      </c>
      <c r="AF310" s="38">
        <v>0.0</v>
      </c>
      <c r="AG310" s="38">
        <v>0.0</v>
      </c>
      <c r="AH310" s="38">
        <v>0.0</v>
      </c>
      <c r="AI310" s="38">
        <v>53638.77</v>
      </c>
      <c r="AJ310" s="38">
        <v>283504.12</v>
      </c>
      <c r="AK310" s="38">
        <v>5.0</v>
      </c>
      <c r="AL310" s="38">
        <v>242.77</v>
      </c>
      <c r="AM310" s="38">
        <v>0.0</v>
      </c>
      <c r="AN310" s="34" t="s">
        <v>62</v>
      </c>
      <c r="AO310" s="34" t="s">
        <v>62</v>
      </c>
      <c r="AP310" s="34" t="s">
        <v>62</v>
      </c>
      <c r="AQ310" s="34" t="s">
        <v>62</v>
      </c>
      <c r="AR310" s="38">
        <v>0.0</v>
      </c>
      <c r="AS310" s="34"/>
      <c r="AT310" s="38" t="s">
        <v>2275</v>
      </c>
      <c r="AU310" s="38" t="s">
        <v>2276</v>
      </c>
      <c r="AV310" s="40">
        <v>46164.0</v>
      </c>
    </row>
    <row r="311">
      <c r="A311" s="38">
        <v>595221.0</v>
      </c>
      <c r="B311" s="38">
        <v>498602.0</v>
      </c>
      <c r="C311" s="38">
        <v>551707.0</v>
      </c>
      <c r="D311" s="34" t="s">
        <v>62</v>
      </c>
      <c r="E311" s="34" t="s">
        <v>62</v>
      </c>
      <c r="F311" s="38">
        <v>1255079.0</v>
      </c>
      <c r="G311" s="18" t="s">
        <v>687</v>
      </c>
      <c r="H311" s="18" t="s">
        <v>2519</v>
      </c>
      <c r="I311" s="18" t="s">
        <v>217</v>
      </c>
      <c r="J311" s="18" t="s">
        <v>2337</v>
      </c>
      <c r="K311" s="18" t="s">
        <v>2337</v>
      </c>
      <c r="L311" s="18" t="s">
        <v>52</v>
      </c>
      <c r="M311" s="18" t="s">
        <v>89</v>
      </c>
      <c r="N311" s="18" t="s">
        <v>130</v>
      </c>
      <c r="O311" s="18" t="s">
        <v>126</v>
      </c>
      <c r="P311" s="18" t="s">
        <v>218</v>
      </c>
      <c r="Q311" s="18" t="s">
        <v>219</v>
      </c>
      <c r="R311" s="18" t="s">
        <v>133</v>
      </c>
      <c r="S311" s="18" t="s">
        <v>59</v>
      </c>
      <c r="T311" s="38">
        <v>2026.0</v>
      </c>
      <c r="U311" s="38">
        <v>5.0</v>
      </c>
      <c r="V311" s="38">
        <v>1.081522676E9</v>
      </c>
      <c r="W311" s="38">
        <v>1.081540746E9</v>
      </c>
      <c r="X311" s="18" t="s">
        <v>2199</v>
      </c>
      <c r="Y311" s="18" t="s">
        <v>2200</v>
      </c>
      <c r="Z311" s="38">
        <v>50434.76</v>
      </c>
      <c r="AA311" s="38">
        <v>50434.76</v>
      </c>
      <c r="AB311" s="38">
        <v>-1667.24</v>
      </c>
      <c r="AC311" s="38">
        <v>0.0</v>
      </c>
      <c r="AD311" s="38">
        <v>0.0</v>
      </c>
      <c r="AE311" s="38">
        <v>0.0</v>
      </c>
      <c r="AF311" s="38">
        <v>0.0</v>
      </c>
      <c r="AG311" s="38">
        <v>0.0</v>
      </c>
      <c r="AH311" s="38">
        <v>0.0</v>
      </c>
      <c r="AI311" s="38">
        <v>50396.66</v>
      </c>
      <c r="AJ311" s="38">
        <v>50396.66</v>
      </c>
      <c r="AK311" s="38">
        <v>0.0</v>
      </c>
      <c r="AL311" s="38">
        <v>242.77</v>
      </c>
      <c r="AM311" s="38">
        <v>0.0</v>
      </c>
      <c r="AN311" s="34" t="s">
        <v>62</v>
      </c>
      <c r="AO311" s="34" t="s">
        <v>62</v>
      </c>
      <c r="AP311" s="38">
        <v>38.1</v>
      </c>
      <c r="AQ311" s="34" t="s">
        <v>62</v>
      </c>
      <c r="AR311" s="38">
        <v>0.0</v>
      </c>
      <c r="AS311" s="34"/>
      <c r="AT311" s="38" t="s">
        <v>2275</v>
      </c>
      <c r="AU311" s="38" t="s">
        <v>2276</v>
      </c>
      <c r="AV311" s="40">
        <v>46164.0</v>
      </c>
    </row>
    <row r="312">
      <c r="A312" s="38">
        <v>595225.0</v>
      </c>
      <c r="B312" s="38">
        <v>498606.0</v>
      </c>
      <c r="C312" s="38">
        <v>551711.0</v>
      </c>
      <c r="D312" s="34" t="s">
        <v>62</v>
      </c>
      <c r="E312" s="34" t="s">
        <v>62</v>
      </c>
      <c r="F312" s="38">
        <v>1255083.0</v>
      </c>
      <c r="G312" s="18" t="s">
        <v>689</v>
      </c>
      <c r="H312" s="18" t="s">
        <v>2520</v>
      </c>
      <c r="I312" s="18" t="s">
        <v>217</v>
      </c>
      <c r="J312" s="18" t="s">
        <v>2337</v>
      </c>
      <c r="K312" s="18" t="s">
        <v>2337</v>
      </c>
      <c r="L312" s="18" t="s">
        <v>52</v>
      </c>
      <c r="M312" s="18" t="s">
        <v>89</v>
      </c>
      <c r="N312" s="18" t="s">
        <v>130</v>
      </c>
      <c r="O312" s="18" t="s">
        <v>126</v>
      </c>
      <c r="P312" s="18" t="s">
        <v>218</v>
      </c>
      <c r="Q312" s="18" t="s">
        <v>219</v>
      </c>
      <c r="R312" s="18" t="s">
        <v>133</v>
      </c>
      <c r="S312" s="18" t="s">
        <v>59</v>
      </c>
      <c r="T312" s="38">
        <v>2026.0</v>
      </c>
      <c r="U312" s="38">
        <v>5.0</v>
      </c>
      <c r="V312" s="38">
        <v>1.081522677E9</v>
      </c>
      <c r="W312" s="38">
        <v>1.081540747E9</v>
      </c>
      <c r="X312" s="18" t="s">
        <v>2199</v>
      </c>
      <c r="Y312" s="18" t="s">
        <v>2200</v>
      </c>
      <c r="Z312" s="38">
        <v>50434.76</v>
      </c>
      <c r="AA312" s="38">
        <v>50434.76</v>
      </c>
      <c r="AB312" s="38">
        <v>-1667.24</v>
      </c>
      <c r="AC312" s="38">
        <v>0.0</v>
      </c>
      <c r="AD312" s="38">
        <v>0.0</v>
      </c>
      <c r="AE312" s="38">
        <v>0.0</v>
      </c>
      <c r="AF312" s="38">
        <v>0.0</v>
      </c>
      <c r="AG312" s="38">
        <v>0.0</v>
      </c>
      <c r="AH312" s="38">
        <v>0.0</v>
      </c>
      <c r="AI312" s="38">
        <v>50434.76</v>
      </c>
      <c r="AJ312" s="38">
        <v>50434.76</v>
      </c>
      <c r="AK312" s="38">
        <v>0.0</v>
      </c>
      <c r="AL312" s="38">
        <v>242.77</v>
      </c>
      <c r="AM312" s="38">
        <v>0.0</v>
      </c>
      <c r="AN312" s="34" t="s">
        <v>62</v>
      </c>
      <c r="AO312" s="34" t="s">
        <v>62</v>
      </c>
      <c r="AP312" s="34" t="s">
        <v>62</v>
      </c>
      <c r="AQ312" s="34" t="s">
        <v>62</v>
      </c>
      <c r="AR312" s="38">
        <v>0.0</v>
      </c>
      <c r="AS312" s="34"/>
      <c r="AT312" s="38" t="s">
        <v>2275</v>
      </c>
      <c r="AU312" s="38" t="s">
        <v>2276</v>
      </c>
      <c r="AV312" s="40">
        <v>46164.0</v>
      </c>
    </row>
    <row r="313">
      <c r="A313" s="38">
        <v>595229.0</v>
      </c>
      <c r="B313" s="38">
        <v>498610.0</v>
      </c>
      <c r="C313" s="38">
        <v>551715.0</v>
      </c>
      <c r="D313" s="34" t="s">
        <v>62</v>
      </c>
      <c r="E313" s="34" t="s">
        <v>62</v>
      </c>
      <c r="F313" s="38">
        <v>1255087.0</v>
      </c>
      <c r="G313" s="18" t="s">
        <v>691</v>
      </c>
      <c r="H313" s="18" t="s">
        <v>2521</v>
      </c>
      <c r="I313" s="18" t="s">
        <v>217</v>
      </c>
      <c r="J313" s="18" t="s">
        <v>2337</v>
      </c>
      <c r="K313" s="18" t="s">
        <v>2337</v>
      </c>
      <c r="L313" s="18" t="s">
        <v>52</v>
      </c>
      <c r="M313" s="18" t="s">
        <v>89</v>
      </c>
      <c r="N313" s="18" t="s">
        <v>130</v>
      </c>
      <c r="O313" s="18" t="s">
        <v>126</v>
      </c>
      <c r="P313" s="18" t="s">
        <v>218</v>
      </c>
      <c r="Q313" s="18" t="s">
        <v>219</v>
      </c>
      <c r="R313" s="18" t="s">
        <v>133</v>
      </c>
      <c r="S313" s="18" t="s">
        <v>59</v>
      </c>
      <c r="T313" s="38">
        <v>2026.0</v>
      </c>
      <c r="U313" s="38">
        <v>5.0</v>
      </c>
      <c r="V313" s="38">
        <v>1.081522678E9</v>
      </c>
      <c r="W313" s="38">
        <v>1.081540748E9</v>
      </c>
      <c r="X313" s="18" t="s">
        <v>2199</v>
      </c>
      <c r="Y313" s="18" t="s">
        <v>2200</v>
      </c>
      <c r="Z313" s="38">
        <v>53638.77</v>
      </c>
      <c r="AA313" s="38">
        <v>53638.77</v>
      </c>
      <c r="AB313" s="38">
        <v>-1667.24</v>
      </c>
      <c r="AC313" s="38">
        <v>0.0</v>
      </c>
      <c r="AD313" s="38">
        <v>3204.01</v>
      </c>
      <c r="AE313" s="38">
        <v>0.0</v>
      </c>
      <c r="AF313" s="38">
        <v>0.0</v>
      </c>
      <c r="AG313" s="38">
        <v>0.0</v>
      </c>
      <c r="AH313" s="38">
        <v>0.0</v>
      </c>
      <c r="AI313" s="38">
        <v>53638.77</v>
      </c>
      <c r="AJ313" s="38">
        <v>283504.12</v>
      </c>
      <c r="AK313" s="38">
        <v>5.0</v>
      </c>
      <c r="AL313" s="38">
        <v>242.77</v>
      </c>
      <c r="AM313" s="38">
        <v>0.0</v>
      </c>
      <c r="AN313" s="34" t="s">
        <v>62</v>
      </c>
      <c r="AO313" s="34" t="s">
        <v>62</v>
      </c>
      <c r="AP313" s="34" t="s">
        <v>62</v>
      </c>
      <c r="AQ313" s="34" t="s">
        <v>62</v>
      </c>
      <c r="AR313" s="38">
        <v>0.0</v>
      </c>
      <c r="AS313" s="34"/>
      <c r="AT313" s="38" t="s">
        <v>2275</v>
      </c>
      <c r="AU313" s="38" t="s">
        <v>2276</v>
      </c>
      <c r="AV313" s="40">
        <v>46164.0</v>
      </c>
    </row>
    <row r="314">
      <c r="A314" s="38">
        <v>595233.0</v>
      </c>
      <c r="B314" s="38">
        <v>498614.0</v>
      </c>
      <c r="C314" s="38">
        <v>551719.0</v>
      </c>
      <c r="D314" s="34" t="s">
        <v>62</v>
      </c>
      <c r="E314" s="34" t="s">
        <v>62</v>
      </c>
      <c r="F314" s="38">
        <v>1255091.0</v>
      </c>
      <c r="G314" s="18" t="s">
        <v>693</v>
      </c>
      <c r="H314" s="18" t="s">
        <v>2522</v>
      </c>
      <c r="I314" s="18" t="s">
        <v>217</v>
      </c>
      <c r="J314" s="18" t="s">
        <v>2337</v>
      </c>
      <c r="K314" s="18" t="s">
        <v>2337</v>
      </c>
      <c r="L314" s="18" t="s">
        <v>52</v>
      </c>
      <c r="M314" s="18" t="s">
        <v>89</v>
      </c>
      <c r="N314" s="18" t="s">
        <v>130</v>
      </c>
      <c r="O314" s="18" t="s">
        <v>126</v>
      </c>
      <c r="P314" s="18" t="s">
        <v>218</v>
      </c>
      <c r="Q314" s="18" t="s">
        <v>219</v>
      </c>
      <c r="R314" s="18" t="s">
        <v>133</v>
      </c>
      <c r="S314" s="18" t="s">
        <v>59</v>
      </c>
      <c r="T314" s="38">
        <v>2026.0</v>
      </c>
      <c r="U314" s="38">
        <v>5.0</v>
      </c>
      <c r="V314" s="38">
        <v>1.081522679E9</v>
      </c>
      <c r="W314" s="38">
        <v>1.081540749E9</v>
      </c>
      <c r="X314" s="18" t="s">
        <v>2199</v>
      </c>
      <c r="Y314" s="18" t="s">
        <v>2200</v>
      </c>
      <c r="Z314" s="38">
        <v>50434.76</v>
      </c>
      <c r="AA314" s="38">
        <v>50434.76</v>
      </c>
      <c r="AB314" s="38">
        <v>-1667.24</v>
      </c>
      <c r="AC314" s="38">
        <v>0.0</v>
      </c>
      <c r="AD314" s="38">
        <v>0.0</v>
      </c>
      <c r="AE314" s="38">
        <v>0.0</v>
      </c>
      <c r="AF314" s="38">
        <v>0.0</v>
      </c>
      <c r="AG314" s="38">
        <v>0.0</v>
      </c>
      <c r="AH314" s="38">
        <v>0.0</v>
      </c>
      <c r="AI314" s="38">
        <v>50434.76</v>
      </c>
      <c r="AJ314" s="38">
        <v>50434.76</v>
      </c>
      <c r="AK314" s="38">
        <v>0.0</v>
      </c>
      <c r="AL314" s="38">
        <v>242.77</v>
      </c>
      <c r="AM314" s="38">
        <v>0.0</v>
      </c>
      <c r="AN314" s="34" t="s">
        <v>62</v>
      </c>
      <c r="AO314" s="34" t="s">
        <v>62</v>
      </c>
      <c r="AP314" s="34" t="s">
        <v>62</v>
      </c>
      <c r="AQ314" s="34" t="s">
        <v>62</v>
      </c>
      <c r="AR314" s="38">
        <v>0.0</v>
      </c>
      <c r="AS314" s="34"/>
      <c r="AT314" s="38" t="s">
        <v>2275</v>
      </c>
      <c r="AU314" s="38" t="s">
        <v>2276</v>
      </c>
      <c r="AV314" s="40">
        <v>46164.0</v>
      </c>
    </row>
    <row r="315">
      <c r="A315" s="38">
        <v>595237.0</v>
      </c>
      <c r="B315" s="38">
        <v>498618.0</v>
      </c>
      <c r="C315" s="38">
        <v>551723.0</v>
      </c>
      <c r="D315" s="34" t="s">
        <v>62</v>
      </c>
      <c r="E315" s="34" t="s">
        <v>62</v>
      </c>
      <c r="F315" s="38">
        <v>1255095.0</v>
      </c>
      <c r="G315" s="18" t="s">
        <v>695</v>
      </c>
      <c r="H315" s="18" t="s">
        <v>2523</v>
      </c>
      <c r="I315" s="18" t="s">
        <v>217</v>
      </c>
      <c r="J315" s="18" t="s">
        <v>2337</v>
      </c>
      <c r="K315" s="18" t="s">
        <v>2337</v>
      </c>
      <c r="L315" s="18" t="s">
        <v>52</v>
      </c>
      <c r="M315" s="18" t="s">
        <v>89</v>
      </c>
      <c r="N315" s="18" t="s">
        <v>130</v>
      </c>
      <c r="O315" s="18" t="s">
        <v>126</v>
      </c>
      <c r="P315" s="18" t="s">
        <v>218</v>
      </c>
      <c r="Q315" s="18" t="s">
        <v>219</v>
      </c>
      <c r="R315" s="18" t="s">
        <v>133</v>
      </c>
      <c r="S315" s="18" t="s">
        <v>59</v>
      </c>
      <c r="T315" s="38">
        <v>2026.0</v>
      </c>
      <c r="U315" s="38">
        <v>5.0</v>
      </c>
      <c r="V315" s="38">
        <v>1.08152268E9</v>
      </c>
      <c r="W315" s="38">
        <v>1.08154075E9</v>
      </c>
      <c r="X315" s="18" t="s">
        <v>2199</v>
      </c>
      <c r="Y315" s="18" t="s">
        <v>2200</v>
      </c>
      <c r="Z315" s="38">
        <v>50434.76</v>
      </c>
      <c r="AA315" s="38">
        <v>50434.76</v>
      </c>
      <c r="AB315" s="38">
        <v>-1667.24</v>
      </c>
      <c r="AC315" s="38">
        <v>0.0</v>
      </c>
      <c r="AD315" s="38">
        <v>0.0</v>
      </c>
      <c r="AE315" s="38">
        <v>0.0</v>
      </c>
      <c r="AF315" s="38">
        <v>0.0</v>
      </c>
      <c r="AG315" s="38">
        <v>0.0</v>
      </c>
      <c r="AH315" s="38">
        <v>0.0</v>
      </c>
      <c r="AI315" s="38">
        <v>50434.76</v>
      </c>
      <c r="AJ315" s="38">
        <v>50434.76</v>
      </c>
      <c r="AK315" s="38">
        <v>0.0</v>
      </c>
      <c r="AL315" s="38">
        <v>242.77</v>
      </c>
      <c r="AM315" s="38">
        <v>0.0</v>
      </c>
      <c r="AN315" s="34" t="s">
        <v>62</v>
      </c>
      <c r="AO315" s="34" t="s">
        <v>62</v>
      </c>
      <c r="AP315" s="34" t="s">
        <v>62</v>
      </c>
      <c r="AQ315" s="34" t="s">
        <v>62</v>
      </c>
      <c r="AR315" s="38">
        <v>0.0</v>
      </c>
      <c r="AS315" s="34"/>
      <c r="AT315" s="38" t="s">
        <v>2275</v>
      </c>
      <c r="AU315" s="38" t="s">
        <v>2276</v>
      </c>
      <c r="AV315" s="40">
        <v>46164.0</v>
      </c>
    </row>
    <row r="316">
      <c r="A316" s="38">
        <v>699.0</v>
      </c>
      <c r="B316" s="38">
        <v>211377.0</v>
      </c>
      <c r="C316" s="38">
        <v>211377.0</v>
      </c>
      <c r="D316" s="38">
        <v>33878.0</v>
      </c>
      <c r="E316" s="38">
        <v>33878.0</v>
      </c>
      <c r="F316" s="38">
        <v>9.00480569E8</v>
      </c>
      <c r="G316" s="18" t="s">
        <v>141</v>
      </c>
      <c r="H316" s="18" t="s">
        <v>2255</v>
      </c>
      <c r="I316" s="18" t="s">
        <v>196</v>
      </c>
      <c r="J316" s="18" t="s">
        <v>2205</v>
      </c>
      <c r="K316" s="18" t="s">
        <v>2256</v>
      </c>
      <c r="L316" s="18" t="s">
        <v>52</v>
      </c>
      <c r="M316" s="18" t="s">
        <v>138</v>
      </c>
      <c r="N316" s="18" t="s">
        <v>130</v>
      </c>
      <c r="O316" s="18" t="s">
        <v>126</v>
      </c>
      <c r="P316" s="18" t="s">
        <v>56</v>
      </c>
      <c r="Q316" s="18" t="s">
        <v>90</v>
      </c>
      <c r="R316" s="18" t="s">
        <v>143</v>
      </c>
      <c r="S316" s="18" t="s">
        <v>59</v>
      </c>
      <c r="T316" s="38">
        <v>2026.0</v>
      </c>
      <c r="U316" s="38">
        <v>5.0</v>
      </c>
      <c r="V316" s="38">
        <v>1.081522452E9</v>
      </c>
      <c r="W316" s="38">
        <v>1.081540522E9</v>
      </c>
      <c r="X316" s="18" t="s">
        <v>2199</v>
      </c>
      <c r="Y316" s="18" t="s">
        <v>2200</v>
      </c>
      <c r="Z316" s="38">
        <v>203872.02</v>
      </c>
      <c r="AA316" s="38">
        <v>203872.02</v>
      </c>
      <c r="AB316" s="38">
        <v>67957.35</v>
      </c>
      <c r="AC316" s="38">
        <v>515.0</v>
      </c>
      <c r="AD316" s="38">
        <v>0.0</v>
      </c>
      <c r="AE316" s="38">
        <v>0.0</v>
      </c>
      <c r="AF316" s="38">
        <v>0.0</v>
      </c>
      <c r="AG316" s="38">
        <v>0.0</v>
      </c>
      <c r="AH316" s="38">
        <v>0.0</v>
      </c>
      <c r="AI316" s="38">
        <v>203872.02</v>
      </c>
      <c r="AJ316" s="38">
        <v>203872.02</v>
      </c>
      <c r="AK316" s="38">
        <v>0.0</v>
      </c>
      <c r="AL316" s="38">
        <v>376.2</v>
      </c>
      <c r="AM316" s="38">
        <v>0.0</v>
      </c>
      <c r="AN316" s="34" t="s">
        <v>62</v>
      </c>
      <c r="AO316" s="34" t="s">
        <v>62</v>
      </c>
      <c r="AP316" s="34" t="s">
        <v>62</v>
      </c>
      <c r="AQ316" s="34" t="s">
        <v>62</v>
      </c>
      <c r="AR316" s="38">
        <v>0.0</v>
      </c>
      <c r="AS316" s="38" t="s">
        <v>2257</v>
      </c>
      <c r="AT316" s="35" t="s">
        <v>2202</v>
      </c>
      <c r="AU316" s="39" t="s">
        <v>2203</v>
      </c>
      <c r="AV316" s="40">
        <v>46163.0</v>
      </c>
    </row>
    <row r="317">
      <c r="A317" s="38">
        <v>297.0</v>
      </c>
      <c r="B317" s="38">
        <v>213261.0</v>
      </c>
      <c r="C317" s="38">
        <v>213261.0</v>
      </c>
      <c r="D317" s="38">
        <v>35802.0</v>
      </c>
      <c r="E317" s="38">
        <v>35802.0</v>
      </c>
      <c r="F317" s="18" t="s">
        <v>135</v>
      </c>
      <c r="G317" s="18" t="s">
        <v>136</v>
      </c>
      <c r="H317" s="18" t="s">
        <v>2258</v>
      </c>
      <c r="I317" s="18" t="s">
        <v>222</v>
      </c>
      <c r="J317" s="18" t="s">
        <v>2205</v>
      </c>
      <c r="K317" s="18" t="s">
        <v>2259</v>
      </c>
      <c r="L317" s="18" t="s">
        <v>52</v>
      </c>
      <c r="M317" s="18" t="s">
        <v>138</v>
      </c>
      <c r="N317" s="18" t="s">
        <v>130</v>
      </c>
      <c r="O317" s="18" t="s">
        <v>126</v>
      </c>
      <c r="P317" s="18" t="s">
        <v>56</v>
      </c>
      <c r="Q317" s="18" t="s">
        <v>57</v>
      </c>
      <c r="R317" s="18" t="s">
        <v>143</v>
      </c>
      <c r="S317" s="18" t="s">
        <v>59</v>
      </c>
      <c r="T317" s="38">
        <v>2026.0</v>
      </c>
      <c r="U317" s="38">
        <v>5.0</v>
      </c>
      <c r="V317" s="38">
        <v>1.081522456E9</v>
      </c>
      <c r="W317" s="38">
        <v>1.081540526E9</v>
      </c>
      <c r="X317" s="18" t="s">
        <v>2199</v>
      </c>
      <c r="Y317" s="18" t="s">
        <v>2200</v>
      </c>
      <c r="Z317" s="38">
        <v>104595.85</v>
      </c>
      <c r="AA317" s="38">
        <v>104595.85</v>
      </c>
      <c r="AB317" s="38">
        <v>0.0</v>
      </c>
      <c r="AC317" s="38">
        <v>350.0</v>
      </c>
      <c r="AD317" s="38">
        <v>0.0</v>
      </c>
      <c r="AE317" s="38">
        <v>0.0</v>
      </c>
      <c r="AF317" s="38">
        <v>0.0</v>
      </c>
      <c r="AG317" s="38">
        <v>0.0</v>
      </c>
      <c r="AH317" s="38">
        <v>0.0</v>
      </c>
      <c r="AI317" s="38">
        <v>104595.85</v>
      </c>
      <c r="AJ317" s="38">
        <v>104595.85</v>
      </c>
      <c r="AK317" s="38">
        <v>0.0</v>
      </c>
      <c r="AL317" s="38">
        <v>250.8</v>
      </c>
      <c r="AM317" s="38">
        <v>0.0</v>
      </c>
      <c r="AN317" s="34" t="s">
        <v>62</v>
      </c>
      <c r="AO317" s="34" t="s">
        <v>62</v>
      </c>
      <c r="AP317" s="34" t="s">
        <v>62</v>
      </c>
      <c r="AQ317" s="34" t="s">
        <v>62</v>
      </c>
      <c r="AR317" s="38">
        <v>0.0</v>
      </c>
      <c r="AS317" s="38" t="s">
        <v>2260</v>
      </c>
      <c r="AT317" s="35" t="s">
        <v>2202</v>
      </c>
      <c r="AU317" s="39" t="s">
        <v>2203</v>
      </c>
      <c r="AV317" s="40">
        <v>46164.0</v>
      </c>
    </row>
    <row r="318">
      <c r="A318" s="38">
        <v>285191.0</v>
      </c>
      <c r="B318" s="38">
        <v>224197.0</v>
      </c>
      <c r="C318" s="38">
        <v>224197.0</v>
      </c>
      <c r="D318" s="38">
        <v>47260.0</v>
      </c>
      <c r="E318" s="38">
        <v>47260.0</v>
      </c>
      <c r="F318" s="38">
        <v>9.00276962E8</v>
      </c>
      <c r="G318" s="18" t="s">
        <v>128</v>
      </c>
      <c r="H318" s="18" t="s">
        <v>2269</v>
      </c>
      <c r="I318" s="18" t="s">
        <v>137</v>
      </c>
      <c r="J318" s="18" t="s">
        <v>2205</v>
      </c>
      <c r="K318" s="18" t="s">
        <v>2270</v>
      </c>
      <c r="L318" s="18" t="s">
        <v>52</v>
      </c>
      <c r="M318" s="18" t="s">
        <v>89</v>
      </c>
      <c r="N318" s="18" t="s">
        <v>130</v>
      </c>
      <c r="O318" s="18" t="s">
        <v>126</v>
      </c>
      <c r="P318" s="18" t="s">
        <v>131</v>
      </c>
      <c r="Q318" s="18" t="s">
        <v>132</v>
      </c>
      <c r="R318" s="18" t="s">
        <v>133</v>
      </c>
      <c r="S318" s="18" t="s">
        <v>59</v>
      </c>
      <c r="T318" s="38">
        <v>2026.0</v>
      </c>
      <c r="U318" s="38">
        <v>5.0</v>
      </c>
      <c r="V318" s="38">
        <v>1.08152246E9</v>
      </c>
      <c r="W318" s="38">
        <v>1.08154053E9</v>
      </c>
      <c r="X318" s="18" t="s">
        <v>2199</v>
      </c>
      <c r="Y318" s="18" t="s">
        <v>2200</v>
      </c>
      <c r="Z318" s="38">
        <v>113911.5</v>
      </c>
      <c r="AA318" s="38">
        <v>113911.5</v>
      </c>
      <c r="AB318" s="38">
        <v>37970.5</v>
      </c>
      <c r="AC318" s="38">
        <v>0.0</v>
      </c>
      <c r="AD318" s="38">
        <v>0.0</v>
      </c>
      <c r="AE318" s="38">
        <v>0.0</v>
      </c>
      <c r="AF318" s="38">
        <v>0.0</v>
      </c>
      <c r="AG318" s="38">
        <v>0.0</v>
      </c>
      <c r="AH318" s="38">
        <v>0.0</v>
      </c>
      <c r="AI318" s="38">
        <v>113911.5</v>
      </c>
      <c r="AJ318" s="38">
        <v>113911.5</v>
      </c>
      <c r="AK318" s="38">
        <v>0.0</v>
      </c>
      <c r="AL318" s="38">
        <v>376.2</v>
      </c>
      <c r="AM318" s="38">
        <v>0.0</v>
      </c>
      <c r="AN318" s="34" t="s">
        <v>62</v>
      </c>
      <c r="AO318" s="34" t="s">
        <v>62</v>
      </c>
      <c r="AP318" s="34" t="s">
        <v>62</v>
      </c>
      <c r="AQ318" s="34" t="s">
        <v>62</v>
      </c>
      <c r="AR318" s="38">
        <v>0.0</v>
      </c>
      <c r="AS318" s="38" t="s">
        <v>2271</v>
      </c>
      <c r="AT318" s="35" t="s">
        <v>2202</v>
      </c>
      <c r="AU318" s="39" t="s">
        <v>2203</v>
      </c>
      <c r="AV318" s="40">
        <v>46163.0</v>
      </c>
    </row>
    <row r="319">
      <c r="A319" s="38">
        <v>350.0</v>
      </c>
      <c r="B319" s="38">
        <v>225265.0</v>
      </c>
      <c r="C319" s="38">
        <v>225265.0</v>
      </c>
      <c r="D319" s="38">
        <v>48344.0</v>
      </c>
      <c r="E319" s="38">
        <v>48344.0</v>
      </c>
      <c r="F319" s="38">
        <v>9.00603041E8</v>
      </c>
      <c r="G319" s="18" t="s">
        <v>400</v>
      </c>
      <c r="H319" s="18" t="s">
        <v>2304</v>
      </c>
      <c r="I319" s="18" t="s">
        <v>436</v>
      </c>
      <c r="J319" s="18" t="s">
        <v>2205</v>
      </c>
      <c r="K319" s="18" t="s">
        <v>2305</v>
      </c>
      <c r="L319" s="18" t="s">
        <v>52</v>
      </c>
      <c r="M319" s="18" t="s">
        <v>89</v>
      </c>
      <c r="N319" s="18" t="s">
        <v>130</v>
      </c>
      <c r="O319" s="18" t="s">
        <v>126</v>
      </c>
      <c r="P319" s="18" t="s">
        <v>56</v>
      </c>
      <c r="Q319" s="18" t="s">
        <v>90</v>
      </c>
      <c r="R319" s="18" t="s">
        <v>143</v>
      </c>
      <c r="S319" s="18" t="s">
        <v>59</v>
      </c>
      <c r="T319" s="38">
        <v>2026.0</v>
      </c>
      <c r="U319" s="38">
        <v>5.0</v>
      </c>
      <c r="V319" s="38">
        <v>1.081522463E9</v>
      </c>
      <c r="W319" s="38">
        <v>1.081540533E9</v>
      </c>
      <c r="X319" s="18" t="s">
        <v>2199</v>
      </c>
      <c r="Y319" s="18" t="s">
        <v>2200</v>
      </c>
      <c r="Z319" s="38">
        <v>779836.67</v>
      </c>
      <c r="AA319" s="38">
        <v>779836.67</v>
      </c>
      <c r="AB319" s="38">
        <v>255870.24</v>
      </c>
      <c r="AC319" s="38">
        <v>2495.0</v>
      </c>
      <c r="AD319" s="38">
        <v>12225.98</v>
      </c>
      <c r="AE319" s="38">
        <v>0.0</v>
      </c>
      <c r="AF319" s="38">
        <v>0.0</v>
      </c>
      <c r="AG319" s="38">
        <v>0.0</v>
      </c>
      <c r="AH319" s="38">
        <v>0.0</v>
      </c>
      <c r="AI319" s="38">
        <v>779836.67</v>
      </c>
      <c r="AJ319" s="38">
        <v>2284575.77</v>
      </c>
      <c r="AK319" s="38">
        <v>3.0</v>
      </c>
      <c r="AL319" s="38">
        <v>376.2</v>
      </c>
      <c r="AM319" s="38">
        <v>0.0</v>
      </c>
      <c r="AN319" s="34" t="s">
        <v>62</v>
      </c>
      <c r="AO319" s="34" t="s">
        <v>62</v>
      </c>
      <c r="AP319" s="34" t="s">
        <v>62</v>
      </c>
      <c r="AQ319" s="34" t="s">
        <v>62</v>
      </c>
      <c r="AR319" s="38">
        <v>0.0</v>
      </c>
      <c r="AS319" s="38" t="s">
        <v>2306</v>
      </c>
      <c r="AT319" s="35" t="s">
        <v>2202</v>
      </c>
      <c r="AU319" s="39" t="s">
        <v>2203</v>
      </c>
      <c r="AV319" s="40">
        <v>46164.0</v>
      </c>
    </row>
    <row r="320">
      <c r="A320" s="38">
        <v>297.0</v>
      </c>
      <c r="B320" s="38">
        <v>228365.0</v>
      </c>
      <c r="C320" s="38">
        <v>228365.0</v>
      </c>
      <c r="D320" s="38">
        <v>155095.0</v>
      </c>
      <c r="E320" s="38">
        <v>155095.0</v>
      </c>
      <c r="F320" s="18" t="s">
        <v>135</v>
      </c>
      <c r="G320" s="18" t="s">
        <v>136</v>
      </c>
      <c r="H320" s="18" t="s">
        <v>2258</v>
      </c>
      <c r="I320" s="18" t="s">
        <v>194</v>
      </c>
      <c r="J320" s="18" t="s">
        <v>2205</v>
      </c>
      <c r="K320" s="18" t="s">
        <v>2259</v>
      </c>
      <c r="L320" s="18" t="s">
        <v>52</v>
      </c>
      <c r="M320" s="18" t="s">
        <v>138</v>
      </c>
      <c r="N320" s="18" t="s">
        <v>130</v>
      </c>
      <c r="O320" s="18" t="s">
        <v>126</v>
      </c>
      <c r="P320" s="18" t="s">
        <v>56</v>
      </c>
      <c r="Q320" s="18" t="s">
        <v>57</v>
      </c>
      <c r="R320" s="18" t="s">
        <v>143</v>
      </c>
      <c r="S320" s="18" t="s">
        <v>59</v>
      </c>
      <c r="T320" s="38">
        <v>2026.0</v>
      </c>
      <c r="U320" s="38">
        <v>5.0</v>
      </c>
      <c r="V320" s="38">
        <v>1.081522467E9</v>
      </c>
      <c r="W320" s="38">
        <v>1.081540537E9</v>
      </c>
      <c r="X320" s="18" t="s">
        <v>2199</v>
      </c>
      <c r="Y320" s="18" t="s">
        <v>2200</v>
      </c>
      <c r="Z320" s="38">
        <v>670232.63</v>
      </c>
      <c r="AA320" s="38">
        <v>670232.63</v>
      </c>
      <c r="AB320" s="38">
        <v>0.0</v>
      </c>
      <c r="AC320" s="38">
        <v>3330.0</v>
      </c>
      <c r="AD320" s="38">
        <v>0.0</v>
      </c>
      <c r="AE320" s="38">
        <v>0.0</v>
      </c>
      <c r="AF320" s="38">
        <v>0.0</v>
      </c>
      <c r="AG320" s="38">
        <v>0.0</v>
      </c>
      <c r="AH320" s="38">
        <v>0.0</v>
      </c>
      <c r="AI320" s="38">
        <v>670232.63</v>
      </c>
      <c r="AJ320" s="38">
        <v>670232.63</v>
      </c>
      <c r="AK320" s="38">
        <v>0.0</v>
      </c>
      <c r="AL320" s="38">
        <v>250.8</v>
      </c>
      <c r="AM320" s="38">
        <v>0.0</v>
      </c>
      <c r="AN320" s="34" t="s">
        <v>62</v>
      </c>
      <c r="AO320" s="34" t="s">
        <v>62</v>
      </c>
      <c r="AP320" s="34" t="s">
        <v>62</v>
      </c>
      <c r="AQ320" s="34" t="s">
        <v>62</v>
      </c>
      <c r="AR320" s="38">
        <v>0.0</v>
      </c>
      <c r="AS320" s="38" t="s">
        <v>2260</v>
      </c>
      <c r="AT320" s="35" t="s">
        <v>2202</v>
      </c>
      <c r="AU320" s="39" t="s">
        <v>2203</v>
      </c>
      <c r="AV320" s="40">
        <v>46164.0</v>
      </c>
    </row>
    <row r="321">
      <c r="A321" s="38">
        <v>228370.0</v>
      </c>
      <c r="B321" s="38">
        <v>228369.0</v>
      </c>
      <c r="C321" s="38">
        <v>228369.0</v>
      </c>
      <c r="D321" s="38">
        <v>180137.0</v>
      </c>
      <c r="E321" s="38">
        <v>180137.0</v>
      </c>
      <c r="F321" s="38">
        <v>8.07005015E8</v>
      </c>
      <c r="G321" s="18" t="s">
        <v>702</v>
      </c>
      <c r="H321" s="18" t="s">
        <v>2524</v>
      </c>
      <c r="I321" s="18" t="s">
        <v>703</v>
      </c>
      <c r="J321" s="18" t="s">
        <v>2205</v>
      </c>
      <c r="K321" s="18" t="s">
        <v>2205</v>
      </c>
      <c r="L321" s="18" t="s">
        <v>52</v>
      </c>
      <c r="M321" s="18" t="s">
        <v>89</v>
      </c>
      <c r="N321" s="18" t="s">
        <v>130</v>
      </c>
      <c r="O321" s="18" t="s">
        <v>126</v>
      </c>
      <c r="P321" s="18" t="s">
        <v>56</v>
      </c>
      <c r="Q321" s="18" t="s">
        <v>72</v>
      </c>
      <c r="R321" s="18" t="s">
        <v>143</v>
      </c>
      <c r="S321" s="18" t="s">
        <v>59</v>
      </c>
      <c r="T321" s="38">
        <v>2026.0</v>
      </c>
      <c r="U321" s="38">
        <v>5.0</v>
      </c>
      <c r="V321" s="38">
        <v>1.08152247E9</v>
      </c>
      <c r="W321" s="38">
        <v>1.08154054E9</v>
      </c>
      <c r="X321" s="18" t="s">
        <v>2199</v>
      </c>
      <c r="Y321" s="18" t="s">
        <v>2200</v>
      </c>
      <c r="Z321" s="38">
        <v>154635.25</v>
      </c>
      <c r="AA321" s="38">
        <v>154635.25</v>
      </c>
      <c r="AB321" s="38">
        <v>25855.25</v>
      </c>
      <c r="AC321" s="38">
        <v>253.0</v>
      </c>
      <c r="AD321" s="38">
        <v>42595.82</v>
      </c>
      <c r="AE321" s="38">
        <v>0.0</v>
      </c>
      <c r="AF321" s="38">
        <v>0.0</v>
      </c>
      <c r="AG321" s="38">
        <v>0.0</v>
      </c>
      <c r="AH321" s="38">
        <v>0.0</v>
      </c>
      <c r="AI321" s="38">
        <v>154635.25</v>
      </c>
      <c r="AJ321" s="38">
        <v>2750238.71</v>
      </c>
      <c r="AK321" s="38">
        <v>24.0</v>
      </c>
      <c r="AL321" s="38">
        <v>326.04</v>
      </c>
      <c r="AM321" s="38">
        <v>0.0</v>
      </c>
      <c r="AN321" s="34" t="s">
        <v>62</v>
      </c>
      <c r="AO321" s="34" t="s">
        <v>62</v>
      </c>
      <c r="AP321" s="34" t="s">
        <v>62</v>
      </c>
      <c r="AQ321" s="34" t="s">
        <v>62</v>
      </c>
      <c r="AR321" s="38">
        <v>0.0</v>
      </c>
      <c r="AS321" s="38" t="s">
        <v>2525</v>
      </c>
      <c r="AT321" s="35" t="s">
        <v>2202</v>
      </c>
      <c r="AU321" s="39" t="s">
        <v>2254</v>
      </c>
      <c r="AV321" s="40">
        <v>46169.0</v>
      </c>
    </row>
    <row r="322">
      <c r="A322" s="38">
        <v>404633.0</v>
      </c>
      <c r="B322" s="38">
        <v>229313.0</v>
      </c>
      <c r="C322" s="38">
        <v>229313.0</v>
      </c>
      <c r="D322" s="38">
        <v>185760.0</v>
      </c>
      <c r="E322" s="38">
        <v>185760.0</v>
      </c>
      <c r="F322" s="38">
        <v>8.60002964E8</v>
      </c>
      <c r="G322" s="18" t="s">
        <v>705</v>
      </c>
      <c r="H322" s="18" t="s">
        <v>2526</v>
      </c>
      <c r="I322" s="18" t="s">
        <v>146</v>
      </c>
      <c r="J322" s="18" t="s">
        <v>2205</v>
      </c>
      <c r="K322" s="18" t="s">
        <v>2527</v>
      </c>
      <c r="L322" s="18" t="s">
        <v>52</v>
      </c>
      <c r="M322" s="18" t="s">
        <v>138</v>
      </c>
      <c r="N322" s="18" t="s">
        <v>130</v>
      </c>
      <c r="O322" s="18" t="s">
        <v>126</v>
      </c>
      <c r="P322" s="18" t="s">
        <v>131</v>
      </c>
      <c r="Q322" s="18" t="s">
        <v>538</v>
      </c>
      <c r="R322" s="18" t="s">
        <v>133</v>
      </c>
      <c r="S322" s="18" t="s">
        <v>59</v>
      </c>
      <c r="T322" s="38">
        <v>2026.0</v>
      </c>
      <c r="U322" s="38">
        <v>5.0</v>
      </c>
      <c r="V322" s="38">
        <v>1.081522475E9</v>
      </c>
      <c r="W322" s="38">
        <v>1.081540545E9</v>
      </c>
      <c r="X322" s="18" t="s">
        <v>2199</v>
      </c>
      <c r="Y322" s="18" t="s">
        <v>2200</v>
      </c>
      <c r="Z322" s="38">
        <v>95028.01</v>
      </c>
      <c r="AA322" s="38">
        <v>95028.01</v>
      </c>
      <c r="AB322" s="38">
        <v>31676.0</v>
      </c>
      <c r="AC322" s="38">
        <v>0.0</v>
      </c>
      <c r="AD322" s="38">
        <v>0.01</v>
      </c>
      <c r="AE322" s="38">
        <v>0.0</v>
      </c>
      <c r="AF322" s="38">
        <v>0.0</v>
      </c>
      <c r="AG322" s="38">
        <v>0.0</v>
      </c>
      <c r="AH322" s="38">
        <v>0.0</v>
      </c>
      <c r="AI322" s="38">
        <v>95028.01</v>
      </c>
      <c r="AJ322" s="38">
        <v>189023.01</v>
      </c>
      <c r="AK322" s="38">
        <v>2.0</v>
      </c>
      <c r="AL322" s="38">
        <v>376.2</v>
      </c>
      <c r="AM322" s="38">
        <v>0.0</v>
      </c>
      <c r="AN322" s="34" t="s">
        <v>62</v>
      </c>
      <c r="AO322" s="34" t="s">
        <v>62</v>
      </c>
      <c r="AP322" s="34" t="s">
        <v>62</v>
      </c>
      <c r="AQ322" s="34" t="s">
        <v>62</v>
      </c>
      <c r="AR322" s="38">
        <v>0.0</v>
      </c>
      <c r="AS322" s="38" t="s">
        <v>2528</v>
      </c>
      <c r="AT322" s="35" t="s">
        <v>2202</v>
      </c>
      <c r="AU322" s="39" t="s">
        <v>2203</v>
      </c>
      <c r="AV322" s="40">
        <v>46163.0</v>
      </c>
    </row>
    <row r="323">
      <c r="A323" s="38">
        <v>285191.0</v>
      </c>
      <c r="B323" s="38">
        <v>230745.0</v>
      </c>
      <c r="C323" s="38">
        <v>230745.0</v>
      </c>
      <c r="D323" s="38">
        <v>197063.0</v>
      </c>
      <c r="E323" s="38">
        <v>197063.0</v>
      </c>
      <c r="F323" s="38">
        <v>9.00276962E8</v>
      </c>
      <c r="G323" s="18" t="s">
        <v>128</v>
      </c>
      <c r="H323" s="18" t="s">
        <v>2269</v>
      </c>
      <c r="I323" s="18" t="s">
        <v>165</v>
      </c>
      <c r="J323" s="18" t="s">
        <v>2205</v>
      </c>
      <c r="K323" s="18" t="s">
        <v>2270</v>
      </c>
      <c r="L323" s="18" t="s">
        <v>52</v>
      </c>
      <c r="M323" s="18" t="s">
        <v>89</v>
      </c>
      <c r="N323" s="18" t="s">
        <v>130</v>
      </c>
      <c r="O323" s="18" t="s">
        <v>126</v>
      </c>
      <c r="P323" s="18" t="s">
        <v>131</v>
      </c>
      <c r="Q323" s="18" t="s">
        <v>132</v>
      </c>
      <c r="R323" s="18" t="s">
        <v>133</v>
      </c>
      <c r="S323" s="18" t="s">
        <v>59</v>
      </c>
      <c r="T323" s="38">
        <v>2026.0</v>
      </c>
      <c r="U323" s="38">
        <v>5.0</v>
      </c>
      <c r="V323" s="38">
        <v>1.081522478E9</v>
      </c>
      <c r="W323" s="38">
        <v>1.081540548E9</v>
      </c>
      <c r="X323" s="18" t="s">
        <v>2199</v>
      </c>
      <c r="Y323" s="18" t="s">
        <v>2200</v>
      </c>
      <c r="Z323" s="38">
        <v>113911.5</v>
      </c>
      <c r="AA323" s="38">
        <v>113911.5</v>
      </c>
      <c r="AB323" s="38">
        <v>37970.5</v>
      </c>
      <c r="AC323" s="38">
        <v>0.0</v>
      </c>
      <c r="AD323" s="38">
        <v>0.0</v>
      </c>
      <c r="AE323" s="38">
        <v>0.0</v>
      </c>
      <c r="AF323" s="38">
        <v>0.0</v>
      </c>
      <c r="AG323" s="38">
        <v>0.0</v>
      </c>
      <c r="AH323" s="38">
        <v>0.0</v>
      </c>
      <c r="AI323" s="38">
        <v>113911.5</v>
      </c>
      <c r="AJ323" s="38">
        <v>113911.5</v>
      </c>
      <c r="AK323" s="38">
        <v>0.0</v>
      </c>
      <c r="AL323" s="38">
        <v>376.2</v>
      </c>
      <c r="AM323" s="38">
        <v>0.0</v>
      </c>
      <c r="AN323" s="34" t="s">
        <v>62</v>
      </c>
      <c r="AO323" s="34" t="s">
        <v>62</v>
      </c>
      <c r="AP323" s="34" t="s">
        <v>62</v>
      </c>
      <c r="AQ323" s="34" t="s">
        <v>62</v>
      </c>
      <c r="AR323" s="38">
        <v>0.0</v>
      </c>
      <c r="AS323" s="38" t="s">
        <v>2271</v>
      </c>
      <c r="AT323" s="35" t="s">
        <v>2202</v>
      </c>
      <c r="AU323" s="39" t="s">
        <v>2203</v>
      </c>
      <c r="AV323" s="40">
        <v>46163.0</v>
      </c>
    </row>
    <row r="324">
      <c r="A324" s="38">
        <v>238258.0</v>
      </c>
      <c r="B324" s="38">
        <v>238257.0</v>
      </c>
      <c r="C324" s="38">
        <v>238257.0</v>
      </c>
      <c r="D324" s="38">
        <v>310069.0</v>
      </c>
      <c r="E324" s="38">
        <v>310069.0</v>
      </c>
      <c r="F324" s="18" t="s">
        <v>708</v>
      </c>
      <c r="G324" s="18" t="s">
        <v>709</v>
      </c>
      <c r="H324" s="18" t="s">
        <v>2529</v>
      </c>
      <c r="I324" s="18" t="s">
        <v>528</v>
      </c>
      <c r="J324" s="18" t="s">
        <v>2205</v>
      </c>
      <c r="K324" s="18" t="s">
        <v>2205</v>
      </c>
      <c r="L324" s="18" t="s">
        <v>52</v>
      </c>
      <c r="M324" s="18" t="s">
        <v>269</v>
      </c>
      <c r="N324" s="18" t="s">
        <v>130</v>
      </c>
      <c r="O324" s="18" t="s">
        <v>632</v>
      </c>
      <c r="P324" s="18" t="s">
        <v>131</v>
      </c>
      <c r="Q324" s="18" t="s">
        <v>266</v>
      </c>
      <c r="R324" s="18" t="s">
        <v>133</v>
      </c>
      <c r="S324" s="18" t="s">
        <v>59</v>
      </c>
      <c r="T324" s="38">
        <v>2026.0</v>
      </c>
      <c r="U324" s="38">
        <v>5.0</v>
      </c>
      <c r="V324" s="38">
        <v>1.081522481E9</v>
      </c>
      <c r="W324" s="38">
        <v>1.081540551E9</v>
      </c>
      <c r="X324" s="18" t="s">
        <v>2199</v>
      </c>
      <c r="Y324" s="18" t="s">
        <v>2200</v>
      </c>
      <c r="Z324" s="38">
        <v>39939.93</v>
      </c>
      <c r="AA324" s="38">
        <v>39939.93</v>
      </c>
      <c r="AB324" s="38">
        <v>12473.1</v>
      </c>
      <c r="AC324" s="38">
        <v>0.0</v>
      </c>
      <c r="AD324" s="38">
        <v>583.08</v>
      </c>
      <c r="AE324" s="38">
        <v>0.0</v>
      </c>
      <c r="AF324" s="38">
        <v>0.0</v>
      </c>
      <c r="AG324" s="38">
        <v>0.0</v>
      </c>
      <c r="AH324" s="38">
        <v>0.0</v>
      </c>
      <c r="AI324" s="38">
        <v>39939.93</v>
      </c>
      <c r="AJ324" s="38">
        <v>118011.85</v>
      </c>
      <c r="AK324" s="38">
        <v>2.0</v>
      </c>
      <c r="AL324" s="38">
        <v>-14367.21</v>
      </c>
      <c r="AM324" s="38">
        <v>0.0</v>
      </c>
      <c r="AN324" s="34" t="s">
        <v>62</v>
      </c>
      <c r="AO324" s="34" t="s">
        <v>62</v>
      </c>
      <c r="AP324" s="34" t="s">
        <v>62</v>
      </c>
      <c r="AQ324" s="34" t="s">
        <v>62</v>
      </c>
      <c r="AR324" s="38">
        <v>0.0</v>
      </c>
      <c r="AS324" s="38" t="s">
        <v>2530</v>
      </c>
      <c r="AT324" s="35" t="s">
        <v>2202</v>
      </c>
      <c r="AU324" s="39" t="s">
        <v>2254</v>
      </c>
      <c r="AV324" s="40">
        <v>46169.0</v>
      </c>
    </row>
    <row r="325">
      <c r="A325" s="38">
        <v>297.0</v>
      </c>
      <c r="B325" s="38">
        <v>239233.0</v>
      </c>
      <c r="C325" s="38">
        <v>239233.0</v>
      </c>
      <c r="D325" s="38">
        <v>324650.0</v>
      </c>
      <c r="E325" s="38">
        <v>324650.0</v>
      </c>
      <c r="F325" s="18" t="s">
        <v>135</v>
      </c>
      <c r="G325" s="18" t="s">
        <v>136</v>
      </c>
      <c r="H325" s="18" t="s">
        <v>2258</v>
      </c>
      <c r="I325" s="18" t="s">
        <v>602</v>
      </c>
      <c r="J325" s="18" t="s">
        <v>2205</v>
      </c>
      <c r="K325" s="18" t="s">
        <v>2259</v>
      </c>
      <c r="L325" s="18" t="s">
        <v>52</v>
      </c>
      <c r="M325" s="18" t="s">
        <v>138</v>
      </c>
      <c r="N325" s="18" t="s">
        <v>130</v>
      </c>
      <c r="O325" s="18" t="s">
        <v>126</v>
      </c>
      <c r="P325" s="18" t="s">
        <v>56</v>
      </c>
      <c r="Q325" s="18" t="s">
        <v>57</v>
      </c>
      <c r="R325" s="18" t="s">
        <v>143</v>
      </c>
      <c r="S325" s="18" t="s">
        <v>59</v>
      </c>
      <c r="T325" s="38">
        <v>2026.0</v>
      </c>
      <c r="U325" s="38">
        <v>5.0</v>
      </c>
      <c r="V325" s="38">
        <v>1.081522487E9</v>
      </c>
      <c r="W325" s="38">
        <v>1.081540557E9</v>
      </c>
      <c r="X325" s="18" t="s">
        <v>2199</v>
      </c>
      <c r="Y325" s="18" t="s">
        <v>2200</v>
      </c>
      <c r="Z325" s="38">
        <v>91309.08</v>
      </c>
      <c r="AA325" s="38">
        <v>91309.08</v>
      </c>
      <c r="AB325" s="38">
        <v>0.0</v>
      </c>
      <c r="AC325" s="38">
        <v>280.0</v>
      </c>
      <c r="AD325" s="38">
        <v>0.0</v>
      </c>
      <c r="AE325" s="38">
        <v>0.0</v>
      </c>
      <c r="AF325" s="38">
        <v>0.0</v>
      </c>
      <c r="AG325" s="38">
        <v>0.0</v>
      </c>
      <c r="AH325" s="38">
        <v>0.0</v>
      </c>
      <c r="AI325" s="38">
        <v>91309.08</v>
      </c>
      <c r="AJ325" s="38">
        <v>91309.08</v>
      </c>
      <c r="AK325" s="38">
        <v>0.0</v>
      </c>
      <c r="AL325" s="38">
        <v>250.8</v>
      </c>
      <c r="AM325" s="38">
        <v>0.0</v>
      </c>
      <c r="AN325" s="34" t="s">
        <v>62</v>
      </c>
      <c r="AO325" s="34" t="s">
        <v>62</v>
      </c>
      <c r="AP325" s="34" t="s">
        <v>62</v>
      </c>
      <c r="AQ325" s="34" t="s">
        <v>62</v>
      </c>
      <c r="AR325" s="38">
        <v>0.0</v>
      </c>
      <c r="AS325" s="38" t="s">
        <v>2260</v>
      </c>
      <c r="AT325" s="35" t="s">
        <v>2202</v>
      </c>
      <c r="AU325" s="39" t="s">
        <v>2203</v>
      </c>
      <c r="AV325" s="40">
        <v>46164.0</v>
      </c>
    </row>
    <row r="326">
      <c r="A326" s="38">
        <v>277186.0</v>
      </c>
      <c r="B326" s="38">
        <v>277185.0</v>
      </c>
      <c r="C326" s="38">
        <v>277185.0</v>
      </c>
      <c r="D326" s="38">
        <v>19829.0</v>
      </c>
      <c r="E326" s="38">
        <v>19829.0</v>
      </c>
      <c r="F326" s="38">
        <v>9.0026573E8</v>
      </c>
      <c r="G326" s="18" t="s">
        <v>712</v>
      </c>
      <c r="H326" s="18" t="s">
        <v>2531</v>
      </c>
      <c r="I326" s="18" t="s">
        <v>146</v>
      </c>
      <c r="J326" s="18" t="s">
        <v>2205</v>
      </c>
      <c r="K326" s="18" t="s">
        <v>2205</v>
      </c>
      <c r="L326" s="18" t="s">
        <v>52</v>
      </c>
      <c r="M326" s="18" t="s">
        <v>89</v>
      </c>
      <c r="N326" s="18" t="s">
        <v>130</v>
      </c>
      <c r="O326" s="18" t="s">
        <v>126</v>
      </c>
      <c r="P326" s="18" t="s">
        <v>131</v>
      </c>
      <c r="Q326" s="18" t="s">
        <v>132</v>
      </c>
      <c r="R326" s="18" t="s">
        <v>133</v>
      </c>
      <c r="S326" s="18" t="s">
        <v>59</v>
      </c>
      <c r="T326" s="38">
        <v>2026.0</v>
      </c>
      <c r="U326" s="38">
        <v>5.0</v>
      </c>
      <c r="V326" s="38">
        <v>1.081522491E9</v>
      </c>
      <c r="W326" s="38">
        <v>1.081540561E9</v>
      </c>
      <c r="X326" s="18" t="s">
        <v>2199</v>
      </c>
      <c r="Y326" s="18" t="s">
        <v>2200</v>
      </c>
      <c r="Z326" s="38">
        <v>113911.5</v>
      </c>
      <c r="AA326" s="38">
        <v>113911.5</v>
      </c>
      <c r="AB326" s="38">
        <v>37970.5</v>
      </c>
      <c r="AC326" s="38">
        <v>0.0</v>
      </c>
      <c r="AD326" s="38">
        <v>0.0</v>
      </c>
      <c r="AE326" s="38">
        <v>0.0</v>
      </c>
      <c r="AF326" s="38">
        <v>0.0</v>
      </c>
      <c r="AG326" s="38">
        <v>0.0</v>
      </c>
      <c r="AH326" s="38">
        <v>0.0</v>
      </c>
      <c r="AI326" s="38">
        <v>113911.5</v>
      </c>
      <c r="AJ326" s="38">
        <v>113911.5</v>
      </c>
      <c r="AK326" s="38">
        <v>0.0</v>
      </c>
      <c r="AL326" s="38">
        <v>376.2</v>
      </c>
      <c r="AM326" s="38">
        <v>0.0</v>
      </c>
      <c r="AN326" s="34" t="s">
        <v>62</v>
      </c>
      <c r="AO326" s="34" t="s">
        <v>62</v>
      </c>
      <c r="AP326" s="34" t="s">
        <v>62</v>
      </c>
      <c r="AQ326" s="34" t="s">
        <v>62</v>
      </c>
      <c r="AR326" s="38">
        <v>0.0</v>
      </c>
      <c r="AS326" s="38" t="s">
        <v>2532</v>
      </c>
      <c r="AT326" s="35" t="s">
        <v>2202</v>
      </c>
      <c r="AU326" s="39" t="s">
        <v>2254</v>
      </c>
      <c r="AV326" s="40">
        <v>46169.0</v>
      </c>
    </row>
    <row r="327">
      <c r="A327" s="38">
        <v>297.0</v>
      </c>
      <c r="B327" s="38">
        <v>292117.0</v>
      </c>
      <c r="C327" s="38">
        <v>292117.0</v>
      </c>
      <c r="D327" s="38">
        <v>84484.0</v>
      </c>
      <c r="E327" s="38">
        <v>84484.0</v>
      </c>
      <c r="F327" s="18" t="s">
        <v>135</v>
      </c>
      <c r="G327" s="18" t="s">
        <v>136</v>
      </c>
      <c r="H327" s="18" t="s">
        <v>2258</v>
      </c>
      <c r="I327" s="18" t="s">
        <v>268</v>
      </c>
      <c r="J327" s="18" t="s">
        <v>2205</v>
      </c>
      <c r="K327" s="18" t="s">
        <v>2259</v>
      </c>
      <c r="L327" s="18" t="s">
        <v>52</v>
      </c>
      <c r="M327" s="18" t="s">
        <v>616</v>
      </c>
      <c r="N327" s="18" t="s">
        <v>130</v>
      </c>
      <c r="O327" s="18" t="s">
        <v>126</v>
      </c>
      <c r="P327" s="18" t="s">
        <v>131</v>
      </c>
      <c r="Q327" s="18" t="s">
        <v>139</v>
      </c>
      <c r="R327" s="18" t="s">
        <v>133</v>
      </c>
      <c r="S327" s="18" t="s">
        <v>59</v>
      </c>
      <c r="T327" s="38">
        <v>2026.0</v>
      </c>
      <c r="U327" s="38">
        <v>5.0</v>
      </c>
      <c r="V327" s="38">
        <v>1.081522495E9</v>
      </c>
      <c r="W327" s="38">
        <v>1.081540565E9</v>
      </c>
      <c r="X327" s="18" t="s">
        <v>2199</v>
      </c>
      <c r="Y327" s="18" t="s">
        <v>2200</v>
      </c>
      <c r="Z327" s="38">
        <v>28988.0</v>
      </c>
      <c r="AA327" s="38">
        <v>28988.0</v>
      </c>
      <c r="AB327" s="38">
        <v>0.0</v>
      </c>
      <c r="AC327" s="38">
        <v>0.0</v>
      </c>
      <c r="AD327" s="38">
        <v>0.0</v>
      </c>
      <c r="AE327" s="38">
        <v>0.0</v>
      </c>
      <c r="AF327" s="38">
        <v>0.0</v>
      </c>
      <c r="AG327" s="38">
        <v>0.0</v>
      </c>
      <c r="AH327" s="38">
        <v>0.0</v>
      </c>
      <c r="AI327" s="38">
        <v>28988.0</v>
      </c>
      <c r="AJ327" s="38">
        <v>28988.0</v>
      </c>
      <c r="AK327" s="38">
        <v>0.0</v>
      </c>
      <c r="AL327" s="38">
        <v>250.8</v>
      </c>
      <c r="AM327" s="38">
        <v>0.0</v>
      </c>
      <c r="AN327" s="34" t="s">
        <v>62</v>
      </c>
      <c r="AO327" s="34" t="s">
        <v>62</v>
      </c>
      <c r="AP327" s="34" t="s">
        <v>62</v>
      </c>
      <c r="AQ327" s="34" t="s">
        <v>62</v>
      </c>
      <c r="AR327" s="38">
        <v>0.0</v>
      </c>
      <c r="AS327" s="38" t="s">
        <v>2260</v>
      </c>
      <c r="AT327" s="35" t="s">
        <v>2202</v>
      </c>
      <c r="AU327" s="39" t="s">
        <v>2203</v>
      </c>
      <c r="AV327" s="40">
        <v>46164.0</v>
      </c>
    </row>
    <row r="328">
      <c r="A328" s="38">
        <v>297.0</v>
      </c>
      <c r="B328" s="38">
        <v>292973.0</v>
      </c>
      <c r="C328" s="38">
        <v>292973.0</v>
      </c>
      <c r="D328" s="38">
        <v>155043.0</v>
      </c>
      <c r="E328" s="38">
        <v>155043.0</v>
      </c>
      <c r="F328" s="18" t="s">
        <v>135</v>
      </c>
      <c r="G328" s="18" t="s">
        <v>136</v>
      </c>
      <c r="H328" s="18" t="s">
        <v>2258</v>
      </c>
      <c r="I328" s="18" t="s">
        <v>362</v>
      </c>
      <c r="J328" s="18" t="s">
        <v>2205</v>
      </c>
      <c r="K328" s="18" t="s">
        <v>2259</v>
      </c>
      <c r="L328" s="18" t="s">
        <v>52</v>
      </c>
      <c r="M328" s="18" t="s">
        <v>138</v>
      </c>
      <c r="N328" s="18" t="s">
        <v>130</v>
      </c>
      <c r="O328" s="18" t="s">
        <v>126</v>
      </c>
      <c r="P328" s="18" t="s">
        <v>56</v>
      </c>
      <c r="Q328" s="18" t="s">
        <v>57</v>
      </c>
      <c r="R328" s="18" t="s">
        <v>143</v>
      </c>
      <c r="S328" s="18" t="s">
        <v>59</v>
      </c>
      <c r="T328" s="38">
        <v>2026.0</v>
      </c>
      <c r="U328" s="38">
        <v>5.0</v>
      </c>
      <c r="V328" s="38">
        <v>1.081522498E9</v>
      </c>
      <c r="W328" s="38">
        <v>1.081540568E9</v>
      </c>
      <c r="X328" s="18" t="s">
        <v>2199</v>
      </c>
      <c r="Y328" s="18" t="s">
        <v>2200</v>
      </c>
      <c r="Z328" s="38">
        <v>95105.3</v>
      </c>
      <c r="AA328" s="38">
        <v>95105.3</v>
      </c>
      <c r="AB328" s="38">
        <v>0.0</v>
      </c>
      <c r="AC328" s="38">
        <v>300.0</v>
      </c>
      <c r="AD328" s="38">
        <v>0.0</v>
      </c>
      <c r="AE328" s="38">
        <v>0.0</v>
      </c>
      <c r="AF328" s="38">
        <v>0.0</v>
      </c>
      <c r="AG328" s="38">
        <v>0.0</v>
      </c>
      <c r="AH328" s="38">
        <v>0.0</v>
      </c>
      <c r="AI328" s="38">
        <v>95105.3</v>
      </c>
      <c r="AJ328" s="38">
        <v>95105.3</v>
      </c>
      <c r="AK328" s="38">
        <v>0.0</v>
      </c>
      <c r="AL328" s="38">
        <v>250.8</v>
      </c>
      <c r="AM328" s="38">
        <v>0.0</v>
      </c>
      <c r="AN328" s="34" t="s">
        <v>62</v>
      </c>
      <c r="AO328" s="34" t="s">
        <v>62</v>
      </c>
      <c r="AP328" s="34" t="s">
        <v>62</v>
      </c>
      <c r="AQ328" s="34" t="s">
        <v>62</v>
      </c>
      <c r="AR328" s="38">
        <v>0.0</v>
      </c>
      <c r="AS328" s="38" t="s">
        <v>2260</v>
      </c>
      <c r="AT328" s="35" t="s">
        <v>2202</v>
      </c>
      <c r="AU328" s="39" t="s">
        <v>2203</v>
      </c>
      <c r="AV328" s="40">
        <v>46164.0</v>
      </c>
    </row>
    <row r="329">
      <c r="A329" s="38">
        <v>305326.0</v>
      </c>
      <c r="B329" s="38">
        <v>305325.0</v>
      </c>
      <c r="C329" s="38">
        <v>305325.0</v>
      </c>
      <c r="D329" s="38">
        <v>289522.0</v>
      </c>
      <c r="E329" s="38">
        <v>289522.0</v>
      </c>
      <c r="F329" s="38">
        <v>1.3236469E7</v>
      </c>
      <c r="G329" s="18" t="s">
        <v>716</v>
      </c>
      <c r="H329" s="18" t="s">
        <v>2533</v>
      </c>
      <c r="I329" s="18" t="s">
        <v>449</v>
      </c>
      <c r="J329" s="18" t="s">
        <v>2205</v>
      </c>
      <c r="K329" s="18" t="s">
        <v>2205</v>
      </c>
      <c r="L329" s="18" t="s">
        <v>52</v>
      </c>
      <c r="M329" s="18" t="s">
        <v>89</v>
      </c>
      <c r="N329" s="18" t="s">
        <v>130</v>
      </c>
      <c r="O329" s="18" t="s">
        <v>126</v>
      </c>
      <c r="P329" s="18" t="s">
        <v>56</v>
      </c>
      <c r="Q329" s="18" t="s">
        <v>90</v>
      </c>
      <c r="R329" s="18" t="s">
        <v>143</v>
      </c>
      <c r="S329" s="18" t="s">
        <v>59</v>
      </c>
      <c r="T329" s="38">
        <v>2026.0</v>
      </c>
      <c r="U329" s="38">
        <v>5.0</v>
      </c>
      <c r="V329" s="38">
        <v>1.081522502E9</v>
      </c>
      <c r="W329" s="38">
        <v>1.081540572E9</v>
      </c>
      <c r="X329" s="18" t="s">
        <v>2199</v>
      </c>
      <c r="Y329" s="18" t="s">
        <v>2200</v>
      </c>
      <c r="Z329" s="38">
        <v>144955.7</v>
      </c>
      <c r="AA329" s="38">
        <v>144955.7</v>
      </c>
      <c r="AB329" s="38">
        <v>43044.65</v>
      </c>
      <c r="AC329" s="38">
        <v>252.5</v>
      </c>
      <c r="AD329" s="38">
        <v>15821.76</v>
      </c>
      <c r="AE329" s="38">
        <v>0.0</v>
      </c>
      <c r="AF329" s="38">
        <v>0.0</v>
      </c>
      <c r="AG329" s="38">
        <v>0.0</v>
      </c>
      <c r="AH329" s="38">
        <v>0.0</v>
      </c>
      <c r="AI329" s="38">
        <v>144955.7</v>
      </c>
      <c r="AJ329" s="38">
        <v>1130452.3</v>
      </c>
      <c r="AK329" s="38">
        <v>7.0</v>
      </c>
      <c r="AL329" s="38">
        <v>376.2</v>
      </c>
      <c r="AM329" s="38">
        <v>0.0</v>
      </c>
      <c r="AN329" s="34" t="s">
        <v>62</v>
      </c>
      <c r="AO329" s="34" t="s">
        <v>62</v>
      </c>
      <c r="AP329" s="34" t="s">
        <v>62</v>
      </c>
      <c r="AQ329" s="34" t="s">
        <v>62</v>
      </c>
      <c r="AR329" s="38">
        <v>0.0</v>
      </c>
      <c r="AS329" s="38" t="s">
        <v>2534</v>
      </c>
      <c r="AT329" s="35" t="s">
        <v>2202</v>
      </c>
      <c r="AU329" s="39" t="s">
        <v>2254</v>
      </c>
      <c r="AV329" s="40">
        <v>46169.0</v>
      </c>
    </row>
    <row r="330">
      <c r="A330" s="38">
        <v>313378.0</v>
      </c>
      <c r="B330" s="38">
        <v>313377.0</v>
      </c>
      <c r="C330" s="38">
        <v>313377.0</v>
      </c>
      <c r="D330" s="38">
        <v>439489.0</v>
      </c>
      <c r="E330" s="38">
        <v>439489.0</v>
      </c>
      <c r="F330" s="38">
        <v>1.3436679E7</v>
      </c>
      <c r="G330" s="18" t="s">
        <v>718</v>
      </c>
      <c r="H330" s="18" t="s">
        <v>2535</v>
      </c>
      <c r="I330" s="18" t="s">
        <v>172</v>
      </c>
      <c r="J330" s="18" t="s">
        <v>2273</v>
      </c>
      <c r="K330" s="18" t="s">
        <v>2205</v>
      </c>
      <c r="L330" s="18" t="s">
        <v>52</v>
      </c>
      <c r="M330" s="18" t="s">
        <v>89</v>
      </c>
      <c r="N330" s="18" t="s">
        <v>130</v>
      </c>
      <c r="O330" s="18" t="s">
        <v>126</v>
      </c>
      <c r="P330" s="18" t="s">
        <v>131</v>
      </c>
      <c r="Q330" s="18" t="s">
        <v>538</v>
      </c>
      <c r="R330" s="18" t="s">
        <v>133</v>
      </c>
      <c r="S330" s="18" t="s">
        <v>59</v>
      </c>
      <c r="T330" s="38">
        <v>2026.0</v>
      </c>
      <c r="U330" s="38">
        <v>5.0</v>
      </c>
      <c r="V330" s="38">
        <v>1.081522506E9</v>
      </c>
      <c r="W330" s="38">
        <v>1.081540576E9</v>
      </c>
      <c r="X330" s="18" t="s">
        <v>2199</v>
      </c>
      <c r="Y330" s="18" t="s">
        <v>2200</v>
      </c>
      <c r="Z330" s="38">
        <v>133190.95</v>
      </c>
      <c r="AA330" s="38">
        <v>133190.95</v>
      </c>
      <c r="AB330" s="38">
        <v>31676.0</v>
      </c>
      <c r="AC330" s="38">
        <v>0.0</v>
      </c>
      <c r="AD330" s="38">
        <v>38162.95</v>
      </c>
      <c r="AE330" s="38">
        <v>0.0</v>
      </c>
      <c r="AF330" s="38">
        <v>0.0</v>
      </c>
      <c r="AG330" s="38">
        <v>0.0</v>
      </c>
      <c r="AH330" s="38">
        <v>0.0</v>
      </c>
      <c r="AI330" s="38">
        <v>133190.95</v>
      </c>
      <c r="AJ330" s="38">
        <v>2434950.24</v>
      </c>
      <c r="AK330" s="38">
        <v>26.0</v>
      </c>
      <c r="AL330" s="38">
        <v>376.2</v>
      </c>
      <c r="AM330" s="38">
        <v>0.0</v>
      </c>
      <c r="AN330" s="34" t="s">
        <v>62</v>
      </c>
      <c r="AO330" s="34" t="s">
        <v>62</v>
      </c>
      <c r="AP330" s="34" t="s">
        <v>62</v>
      </c>
      <c r="AQ330" s="34" t="s">
        <v>62</v>
      </c>
      <c r="AR330" s="38">
        <v>0.0</v>
      </c>
      <c r="AS330" s="38" t="s">
        <v>2536</v>
      </c>
      <c r="AT330" s="35" t="s">
        <v>2275</v>
      </c>
      <c r="AU330" s="39" t="s">
        <v>2276</v>
      </c>
      <c r="AV330" s="40">
        <v>46163.0</v>
      </c>
    </row>
    <row r="331">
      <c r="A331" s="38">
        <v>705.0</v>
      </c>
      <c r="B331" s="38">
        <v>314773.0</v>
      </c>
      <c r="C331" s="38">
        <v>314773.0</v>
      </c>
      <c r="D331" s="38">
        <v>451863.0</v>
      </c>
      <c r="E331" s="38">
        <v>451863.0</v>
      </c>
      <c r="F331" s="38">
        <v>8.60053831E8</v>
      </c>
      <c r="G331" s="18" t="s">
        <v>720</v>
      </c>
      <c r="H331" s="18" t="s">
        <v>2537</v>
      </c>
      <c r="I331" s="18" t="s">
        <v>214</v>
      </c>
      <c r="J331" s="18" t="s">
        <v>2273</v>
      </c>
      <c r="K331" s="18" t="s">
        <v>2205</v>
      </c>
      <c r="L331" s="18" t="s">
        <v>52</v>
      </c>
      <c r="M331" s="18" t="s">
        <v>138</v>
      </c>
      <c r="N331" s="18" t="s">
        <v>130</v>
      </c>
      <c r="O331" s="18" t="s">
        <v>126</v>
      </c>
      <c r="P331" s="18" t="s">
        <v>56</v>
      </c>
      <c r="Q331" s="18" t="s">
        <v>90</v>
      </c>
      <c r="R331" s="18" t="s">
        <v>143</v>
      </c>
      <c r="S331" s="18" t="s">
        <v>59</v>
      </c>
      <c r="T331" s="38">
        <v>2026.0</v>
      </c>
      <c r="U331" s="38">
        <v>5.0</v>
      </c>
      <c r="V331" s="38">
        <v>1.08152251E9</v>
      </c>
      <c r="W331" s="38">
        <v>1.08154058E9</v>
      </c>
      <c r="X331" s="18" t="s">
        <v>2199</v>
      </c>
      <c r="Y331" s="18" t="s">
        <v>2200</v>
      </c>
      <c r="Z331" s="38">
        <v>263662.48</v>
      </c>
      <c r="AA331" s="38">
        <v>263662.48</v>
      </c>
      <c r="AB331" s="38">
        <v>87887.5</v>
      </c>
      <c r="AC331" s="38">
        <v>725.0</v>
      </c>
      <c r="AD331" s="38">
        <v>0.0</v>
      </c>
      <c r="AE331" s="38">
        <v>0.0</v>
      </c>
      <c r="AF331" s="38">
        <v>0.0</v>
      </c>
      <c r="AG331" s="38">
        <v>0.0</v>
      </c>
      <c r="AH331" s="38">
        <v>0.0</v>
      </c>
      <c r="AI331" s="38">
        <v>263662.48</v>
      </c>
      <c r="AJ331" s="38">
        <v>263662.48</v>
      </c>
      <c r="AK331" s="38">
        <v>0.0</v>
      </c>
      <c r="AL331" s="38">
        <v>376.2</v>
      </c>
      <c r="AM331" s="38">
        <v>0.0</v>
      </c>
      <c r="AN331" s="34" t="s">
        <v>62</v>
      </c>
      <c r="AO331" s="34" t="s">
        <v>62</v>
      </c>
      <c r="AP331" s="34" t="s">
        <v>62</v>
      </c>
      <c r="AQ331" s="34" t="s">
        <v>62</v>
      </c>
      <c r="AR331" s="38">
        <v>0.0</v>
      </c>
      <c r="AS331" s="38" t="s">
        <v>2538</v>
      </c>
      <c r="AT331" s="35" t="s">
        <v>2275</v>
      </c>
      <c r="AU331" s="39" t="s">
        <v>2276</v>
      </c>
      <c r="AV331" s="40">
        <v>46163.0</v>
      </c>
    </row>
    <row r="332">
      <c r="A332" s="38">
        <v>314877.0</v>
      </c>
      <c r="B332" s="38">
        <v>314777.0</v>
      </c>
      <c r="C332" s="38">
        <v>314777.0</v>
      </c>
      <c r="D332" s="38">
        <v>451868.0</v>
      </c>
      <c r="E332" s="38">
        <v>451868.0</v>
      </c>
      <c r="F332" s="38">
        <v>8.60503159E8</v>
      </c>
      <c r="G332" s="18" t="s">
        <v>371</v>
      </c>
      <c r="H332" s="18" t="s">
        <v>2279</v>
      </c>
      <c r="I332" s="18" t="s">
        <v>214</v>
      </c>
      <c r="J332" s="18" t="s">
        <v>2273</v>
      </c>
      <c r="K332" s="18" t="s">
        <v>2280</v>
      </c>
      <c r="L332" s="18" t="s">
        <v>52</v>
      </c>
      <c r="M332" s="18" t="s">
        <v>89</v>
      </c>
      <c r="N332" s="18" t="s">
        <v>130</v>
      </c>
      <c r="O332" s="18" t="s">
        <v>126</v>
      </c>
      <c r="P332" s="18" t="s">
        <v>56</v>
      </c>
      <c r="Q332" s="18" t="s">
        <v>90</v>
      </c>
      <c r="R332" s="18" t="s">
        <v>143</v>
      </c>
      <c r="S332" s="18" t="s">
        <v>59</v>
      </c>
      <c r="T332" s="38">
        <v>2026.0</v>
      </c>
      <c r="U332" s="38">
        <v>5.0</v>
      </c>
      <c r="V332" s="38">
        <v>1.081522514E9</v>
      </c>
      <c r="W332" s="38">
        <v>1.081540584E9</v>
      </c>
      <c r="X332" s="18" t="s">
        <v>2199</v>
      </c>
      <c r="Y332" s="18" t="s">
        <v>2200</v>
      </c>
      <c r="Z332" s="38">
        <v>189636.19</v>
      </c>
      <c r="AA332" s="38">
        <v>189636.19</v>
      </c>
      <c r="AB332" s="38">
        <v>63212.07</v>
      </c>
      <c r="AC332" s="38">
        <v>465.0</v>
      </c>
      <c r="AD332" s="38">
        <v>0.0</v>
      </c>
      <c r="AE332" s="38">
        <v>0.0</v>
      </c>
      <c r="AF332" s="38">
        <v>0.0</v>
      </c>
      <c r="AG332" s="38">
        <v>0.0</v>
      </c>
      <c r="AH332" s="38">
        <v>0.0</v>
      </c>
      <c r="AI332" s="38">
        <v>189636.19</v>
      </c>
      <c r="AJ332" s="38">
        <v>189636.19</v>
      </c>
      <c r="AK332" s="38">
        <v>0.0</v>
      </c>
      <c r="AL332" s="38">
        <v>376.2</v>
      </c>
      <c r="AM332" s="38">
        <v>0.0</v>
      </c>
      <c r="AN332" s="34" t="s">
        <v>62</v>
      </c>
      <c r="AO332" s="34" t="s">
        <v>62</v>
      </c>
      <c r="AP332" s="34" t="s">
        <v>62</v>
      </c>
      <c r="AQ332" s="34" t="s">
        <v>62</v>
      </c>
      <c r="AR332" s="38">
        <v>0.0</v>
      </c>
      <c r="AS332" s="38" t="s">
        <v>2281</v>
      </c>
      <c r="AT332" s="35" t="s">
        <v>2275</v>
      </c>
      <c r="AU332" s="39" t="s">
        <v>2276</v>
      </c>
      <c r="AV332" s="40">
        <v>46163.0</v>
      </c>
    </row>
    <row r="333">
      <c r="A333" s="38">
        <v>314806.0</v>
      </c>
      <c r="B333" s="38">
        <v>314805.0</v>
      </c>
      <c r="C333" s="38">
        <v>314805.0</v>
      </c>
      <c r="D333" s="38">
        <v>451899.0</v>
      </c>
      <c r="E333" s="38">
        <v>451899.0</v>
      </c>
      <c r="F333" s="38">
        <v>8.30101778E8</v>
      </c>
      <c r="G333" s="18" t="s">
        <v>723</v>
      </c>
      <c r="H333" s="18" t="s">
        <v>2539</v>
      </c>
      <c r="I333" s="18" t="s">
        <v>214</v>
      </c>
      <c r="J333" s="18" t="s">
        <v>2205</v>
      </c>
      <c r="K333" s="18" t="s">
        <v>2395</v>
      </c>
      <c r="L333" s="18" t="s">
        <v>52</v>
      </c>
      <c r="M333" s="18" t="s">
        <v>89</v>
      </c>
      <c r="N333" s="18" t="s">
        <v>130</v>
      </c>
      <c r="O333" s="18" t="s">
        <v>126</v>
      </c>
      <c r="P333" s="18" t="s">
        <v>56</v>
      </c>
      <c r="Q333" s="18" t="s">
        <v>90</v>
      </c>
      <c r="R333" s="18" t="s">
        <v>143</v>
      </c>
      <c r="S333" s="18" t="s">
        <v>59</v>
      </c>
      <c r="T333" s="38">
        <v>2026.0</v>
      </c>
      <c r="U333" s="38">
        <v>5.0</v>
      </c>
      <c r="V333" s="38">
        <v>1.081522518E9</v>
      </c>
      <c r="W333" s="38">
        <v>1.081540588E9</v>
      </c>
      <c r="X333" s="18" t="s">
        <v>2199</v>
      </c>
      <c r="Y333" s="18" t="s">
        <v>2200</v>
      </c>
      <c r="Z333" s="38">
        <v>291636.39</v>
      </c>
      <c r="AA333" s="38">
        <v>291636.39</v>
      </c>
      <c r="AB333" s="38">
        <v>87887.5</v>
      </c>
      <c r="AC333" s="38">
        <v>725.0</v>
      </c>
      <c r="AD333" s="38">
        <v>27973.91</v>
      </c>
      <c r="AE333" s="38">
        <v>0.0</v>
      </c>
      <c r="AF333" s="38">
        <v>0.0</v>
      </c>
      <c r="AG333" s="38">
        <v>0.0</v>
      </c>
      <c r="AH333" s="38">
        <v>0.0</v>
      </c>
      <c r="AI333" s="38">
        <v>291636.39</v>
      </c>
      <c r="AJ333" s="38">
        <v>2076666.66</v>
      </c>
      <c r="AK333" s="38">
        <v>7.0</v>
      </c>
      <c r="AL333" s="38">
        <v>376.2</v>
      </c>
      <c r="AM333" s="38">
        <v>0.0</v>
      </c>
      <c r="AN333" s="34" t="s">
        <v>62</v>
      </c>
      <c r="AO333" s="34" t="s">
        <v>62</v>
      </c>
      <c r="AP333" s="34" t="s">
        <v>62</v>
      </c>
      <c r="AQ333" s="34" t="s">
        <v>62</v>
      </c>
      <c r="AR333" s="38">
        <v>0.0</v>
      </c>
      <c r="AS333" s="38" t="s">
        <v>2540</v>
      </c>
      <c r="AT333" s="35" t="s">
        <v>2275</v>
      </c>
      <c r="AU333" s="39" t="s">
        <v>2203</v>
      </c>
      <c r="AV333" s="40">
        <v>46168.0</v>
      </c>
    </row>
    <row r="334">
      <c r="A334" s="38">
        <v>3154.0</v>
      </c>
      <c r="B334" s="38">
        <v>3153.0</v>
      </c>
      <c r="C334" s="38">
        <v>3153.0</v>
      </c>
      <c r="D334" s="38">
        <v>8.0120288E7</v>
      </c>
      <c r="E334" s="38">
        <v>8.0120288E7</v>
      </c>
      <c r="F334" s="38">
        <v>9.00160148E8</v>
      </c>
      <c r="G334" s="18" t="s">
        <v>725</v>
      </c>
      <c r="H334" s="18" t="s">
        <v>2541</v>
      </c>
      <c r="I334" s="18" t="s">
        <v>214</v>
      </c>
      <c r="J334" s="18" t="s">
        <v>2205</v>
      </c>
      <c r="K334" s="18" t="s">
        <v>2205</v>
      </c>
      <c r="L334" s="18" t="s">
        <v>52</v>
      </c>
      <c r="M334" s="18" t="s">
        <v>89</v>
      </c>
      <c r="N334" s="18" t="s">
        <v>130</v>
      </c>
      <c r="O334" s="18" t="s">
        <v>126</v>
      </c>
      <c r="P334" s="18" t="s">
        <v>56</v>
      </c>
      <c r="Q334" s="18" t="s">
        <v>90</v>
      </c>
      <c r="R334" s="18" t="s">
        <v>143</v>
      </c>
      <c r="S334" s="18" t="s">
        <v>59</v>
      </c>
      <c r="T334" s="38">
        <v>2026.0</v>
      </c>
      <c r="U334" s="38">
        <v>5.0</v>
      </c>
      <c r="V334" s="38">
        <v>1.081522299E9</v>
      </c>
      <c r="W334" s="38">
        <v>1.081540369E9</v>
      </c>
      <c r="X334" s="18" t="s">
        <v>2199</v>
      </c>
      <c r="Y334" s="18" t="s">
        <v>2200</v>
      </c>
      <c r="Z334" s="38">
        <v>263662.48</v>
      </c>
      <c r="AA334" s="38">
        <v>263662.48</v>
      </c>
      <c r="AB334" s="38">
        <v>87887.5</v>
      </c>
      <c r="AC334" s="38">
        <v>725.0</v>
      </c>
      <c r="AD334" s="38">
        <v>0.0</v>
      </c>
      <c r="AE334" s="38">
        <v>0.0</v>
      </c>
      <c r="AF334" s="38">
        <v>0.0</v>
      </c>
      <c r="AG334" s="38">
        <v>0.0</v>
      </c>
      <c r="AH334" s="38">
        <v>0.0</v>
      </c>
      <c r="AI334" s="38">
        <v>263662.48</v>
      </c>
      <c r="AJ334" s="38">
        <v>263662.48</v>
      </c>
      <c r="AK334" s="38">
        <v>0.0</v>
      </c>
      <c r="AL334" s="38">
        <v>376.2</v>
      </c>
      <c r="AM334" s="38">
        <v>0.0</v>
      </c>
      <c r="AN334" s="34" t="s">
        <v>62</v>
      </c>
      <c r="AO334" s="34" t="s">
        <v>62</v>
      </c>
      <c r="AP334" s="34" t="s">
        <v>62</v>
      </c>
      <c r="AQ334" s="34" t="s">
        <v>62</v>
      </c>
      <c r="AR334" s="38">
        <v>0.0</v>
      </c>
      <c r="AS334" s="38" t="s">
        <v>2542</v>
      </c>
      <c r="AT334" s="35" t="s">
        <v>2202</v>
      </c>
      <c r="AU334" s="39" t="s">
        <v>2254</v>
      </c>
      <c r="AV334" s="40">
        <v>46169.0</v>
      </c>
    </row>
    <row r="335">
      <c r="A335" s="38">
        <v>3158.0</v>
      </c>
      <c r="B335" s="38">
        <v>3157.0</v>
      </c>
      <c r="C335" s="38">
        <v>3157.0</v>
      </c>
      <c r="D335" s="38">
        <v>8.0123483E7</v>
      </c>
      <c r="E335" s="38">
        <v>8.0123483E7</v>
      </c>
      <c r="F335" s="38">
        <v>8.0400189E8</v>
      </c>
      <c r="G335" s="18" t="s">
        <v>727</v>
      </c>
      <c r="H335" s="18" t="s">
        <v>2543</v>
      </c>
      <c r="I335" s="18" t="s">
        <v>728</v>
      </c>
      <c r="J335" s="18" t="s">
        <v>2273</v>
      </c>
      <c r="K335" s="18" t="s">
        <v>2205</v>
      </c>
      <c r="L335" s="18" t="s">
        <v>52</v>
      </c>
      <c r="M335" s="18" t="s">
        <v>89</v>
      </c>
      <c r="N335" s="18" t="s">
        <v>130</v>
      </c>
      <c r="O335" s="18" t="s">
        <v>126</v>
      </c>
      <c r="P335" s="18" t="s">
        <v>56</v>
      </c>
      <c r="Q335" s="18" t="s">
        <v>90</v>
      </c>
      <c r="R335" s="18" t="s">
        <v>58</v>
      </c>
      <c r="S335" s="18" t="s">
        <v>59</v>
      </c>
      <c r="T335" s="38">
        <v>2026.0</v>
      </c>
      <c r="U335" s="38">
        <v>5.0</v>
      </c>
      <c r="V335" s="38">
        <v>1.081522301E9</v>
      </c>
      <c r="W335" s="38">
        <v>1.081540371E9</v>
      </c>
      <c r="X335" s="18" t="s">
        <v>2199</v>
      </c>
      <c r="Y335" s="18" t="s">
        <v>2200</v>
      </c>
      <c r="Z335" s="38">
        <v>1446880.79</v>
      </c>
      <c r="AA335" s="38">
        <v>1446880.79</v>
      </c>
      <c r="AB335" s="38">
        <v>478233.82</v>
      </c>
      <c r="AC335" s="38">
        <v>4838.0</v>
      </c>
      <c r="AD335" s="38">
        <v>12179.35</v>
      </c>
      <c r="AE335" s="38">
        <v>0.0</v>
      </c>
      <c r="AF335" s="38">
        <v>0.0</v>
      </c>
      <c r="AG335" s="38">
        <v>0.0</v>
      </c>
      <c r="AH335" s="38">
        <v>0.0</v>
      </c>
      <c r="AI335" s="38">
        <v>1446880.79</v>
      </c>
      <c r="AJ335" s="38">
        <v>2312362.91</v>
      </c>
      <c r="AK335" s="38">
        <v>1.0</v>
      </c>
      <c r="AL335" s="38">
        <v>376.2</v>
      </c>
      <c r="AM335" s="38">
        <v>0.0</v>
      </c>
      <c r="AN335" s="34" t="s">
        <v>62</v>
      </c>
      <c r="AO335" s="34" t="s">
        <v>62</v>
      </c>
      <c r="AP335" s="34" t="s">
        <v>62</v>
      </c>
      <c r="AQ335" s="34" t="s">
        <v>62</v>
      </c>
      <c r="AR335" s="38">
        <v>0.0</v>
      </c>
      <c r="AS335" s="38" t="s">
        <v>2544</v>
      </c>
      <c r="AT335" s="35" t="s">
        <v>2275</v>
      </c>
      <c r="AU335" s="39" t="s">
        <v>2276</v>
      </c>
      <c r="AV335" s="40">
        <v>46163.0</v>
      </c>
    </row>
    <row r="336">
      <c r="A336" s="38">
        <v>3162.0</v>
      </c>
      <c r="B336" s="38">
        <v>3161.0</v>
      </c>
      <c r="C336" s="38">
        <v>3161.0</v>
      </c>
      <c r="D336" s="38">
        <v>8.0123487E7</v>
      </c>
      <c r="E336" s="38">
        <v>8.0123487E7</v>
      </c>
      <c r="F336" s="38">
        <v>8.90201881E8</v>
      </c>
      <c r="G336" s="18" t="s">
        <v>730</v>
      </c>
      <c r="H336" s="18" t="s">
        <v>2545</v>
      </c>
      <c r="I336" s="18" t="s">
        <v>230</v>
      </c>
      <c r="J336" s="18" t="s">
        <v>2273</v>
      </c>
      <c r="K336" s="18" t="s">
        <v>2205</v>
      </c>
      <c r="L336" s="18" t="s">
        <v>52</v>
      </c>
      <c r="M336" s="18" t="s">
        <v>89</v>
      </c>
      <c r="N336" s="18" t="s">
        <v>130</v>
      </c>
      <c r="O336" s="18" t="s">
        <v>126</v>
      </c>
      <c r="P336" s="18" t="s">
        <v>131</v>
      </c>
      <c r="Q336" s="18" t="s">
        <v>132</v>
      </c>
      <c r="R336" s="18" t="s">
        <v>133</v>
      </c>
      <c r="S336" s="18" t="s">
        <v>59</v>
      </c>
      <c r="T336" s="38">
        <v>2026.0</v>
      </c>
      <c r="U336" s="38">
        <v>5.0</v>
      </c>
      <c r="V336" s="38">
        <v>1.081522306E9</v>
      </c>
      <c r="W336" s="38">
        <v>1.081540376E9</v>
      </c>
      <c r="X336" s="18" t="s">
        <v>2199</v>
      </c>
      <c r="Y336" s="18" t="s">
        <v>2200</v>
      </c>
      <c r="Z336" s="38">
        <v>113911.5</v>
      </c>
      <c r="AA336" s="38">
        <v>113911.5</v>
      </c>
      <c r="AB336" s="38">
        <v>37970.5</v>
      </c>
      <c r="AC336" s="38">
        <v>0.0</v>
      </c>
      <c r="AD336" s="38">
        <v>0.0</v>
      </c>
      <c r="AE336" s="38">
        <v>0.0</v>
      </c>
      <c r="AF336" s="38">
        <v>0.0</v>
      </c>
      <c r="AG336" s="38">
        <v>0.0</v>
      </c>
      <c r="AH336" s="38">
        <v>0.0</v>
      </c>
      <c r="AI336" s="38">
        <v>113911.5</v>
      </c>
      <c r="AJ336" s="38">
        <v>113911.5</v>
      </c>
      <c r="AK336" s="38">
        <v>0.0</v>
      </c>
      <c r="AL336" s="38">
        <v>376.2</v>
      </c>
      <c r="AM336" s="38">
        <v>0.0</v>
      </c>
      <c r="AN336" s="34" t="s">
        <v>62</v>
      </c>
      <c r="AO336" s="34" t="s">
        <v>62</v>
      </c>
      <c r="AP336" s="34" t="s">
        <v>62</v>
      </c>
      <c r="AQ336" s="34" t="s">
        <v>62</v>
      </c>
      <c r="AR336" s="38">
        <v>0.0</v>
      </c>
      <c r="AS336" s="38" t="s">
        <v>2546</v>
      </c>
      <c r="AT336" s="35" t="s">
        <v>2275</v>
      </c>
      <c r="AU336" s="39" t="s">
        <v>2276</v>
      </c>
      <c r="AV336" s="40">
        <v>46163.0</v>
      </c>
    </row>
    <row r="337">
      <c r="A337" s="38">
        <v>455370.0</v>
      </c>
      <c r="B337" s="38">
        <v>3169.0</v>
      </c>
      <c r="C337" s="38">
        <v>3169.0</v>
      </c>
      <c r="D337" s="38">
        <v>8.0123495E7</v>
      </c>
      <c r="E337" s="38">
        <v>8.0123495E7</v>
      </c>
      <c r="F337" s="18" t="s">
        <v>148</v>
      </c>
      <c r="G337" s="18" t="s">
        <v>149</v>
      </c>
      <c r="H337" s="18" t="s">
        <v>2296</v>
      </c>
      <c r="I337" s="18" t="s">
        <v>157</v>
      </c>
      <c r="J337" s="18" t="s">
        <v>2205</v>
      </c>
      <c r="K337" s="18" t="s">
        <v>2292</v>
      </c>
      <c r="L337" s="18" t="s">
        <v>52</v>
      </c>
      <c r="M337" s="18" t="s">
        <v>138</v>
      </c>
      <c r="N337" s="18" t="s">
        <v>130</v>
      </c>
      <c r="O337" s="18" t="s">
        <v>126</v>
      </c>
      <c r="P337" s="18" t="s">
        <v>56</v>
      </c>
      <c r="Q337" s="18" t="s">
        <v>57</v>
      </c>
      <c r="R337" s="18" t="s">
        <v>143</v>
      </c>
      <c r="S337" s="18" t="s">
        <v>59</v>
      </c>
      <c r="T337" s="38">
        <v>2026.0</v>
      </c>
      <c r="U337" s="38">
        <v>5.0</v>
      </c>
      <c r="V337" s="38">
        <v>1.081522311E9</v>
      </c>
      <c r="W337" s="38">
        <v>1.081540381E9</v>
      </c>
      <c r="X337" s="18" t="s">
        <v>2199</v>
      </c>
      <c r="Y337" s="18" t="s">
        <v>2200</v>
      </c>
      <c r="Z337" s="38">
        <v>426325.5</v>
      </c>
      <c r="AA337" s="38">
        <v>426325.5</v>
      </c>
      <c r="AB337" s="38">
        <v>0.0</v>
      </c>
      <c r="AC337" s="38">
        <v>2045.0</v>
      </c>
      <c r="AD337" s="38">
        <v>0.0</v>
      </c>
      <c r="AE337" s="38">
        <v>0.0</v>
      </c>
      <c r="AF337" s="38">
        <v>0.0</v>
      </c>
      <c r="AG337" s="38">
        <v>0.0</v>
      </c>
      <c r="AH337" s="38">
        <v>0.0</v>
      </c>
      <c r="AI337" s="38">
        <v>426325.5</v>
      </c>
      <c r="AJ337" s="38">
        <v>1005713.59</v>
      </c>
      <c r="AK337" s="38">
        <v>3.0</v>
      </c>
      <c r="AL337" s="38">
        <v>250.8</v>
      </c>
      <c r="AM337" s="38">
        <v>0.0</v>
      </c>
      <c r="AN337" s="34" t="s">
        <v>62</v>
      </c>
      <c r="AO337" s="34" t="s">
        <v>62</v>
      </c>
      <c r="AP337" s="34" t="s">
        <v>62</v>
      </c>
      <c r="AQ337" s="34" t="s">
        <v>62</v>
      </c>
      <c r="AR337" s="38">
        <v>0.0</v>
      </c>
      <c r="AS337" s="38" t="s">
        <v>2293</v>
      </c>
      <c r="AT337" s="35" t="s">
        <v>2294</v>
      </c>
      <c r="AU337" s="39" t="s">
        <v>2295</v>
      </c>
      <c r="AV337" s="40">
        <v>46164.0</v>
      </c>
    </row>
    <row r="338">
      <c r="A338" s="38">
        <v>455370.0</v>
      </c>
      <c r="B338" s="38">
        <v>3173.0</v>
      </c>
      <c r="C338" s="38">
        <v>3173.0</v>
      </c>
      <c r="D338" s="38">
        <v>8.0123499E7</v>
      </c>
      <c r="E338" s="38">
        <v>8.0123499E7</v>
      </c>
      <c r="F338" s="18" t="s">
        <v>148</v>
      </c>
      <c r="G338" s="18" t="s">
        <v>149</v>
      </c>
      <c r="H338" s="18" t="s">
        <v>2296</v>
      </c>
      <c r="I338" s="18" t="s">
        <v>162</v>
      </c>
      <c r="J338" s="18" t="s">
        <v>2205</v>
      </c>
      <c r="K338" s="18" t="s">
        <v>2292</v>
      </c>
      <c r="L338" s="18" t="s">
        <v>52</v>
      </c>
      <c r="M338" s="18" t="s">
        <v>138</v>
      </c>
      <c r="N338" s="18" t="s">
        <v>130</v>
      </c>
      <c r="O338" s="18" t="s">
        <v>126</v>
      </c>
      <c r="P338" s="18" t="s">
        <v>56</v>
      </c>
      <c r="Q338" s="18" t="s">
        <v>57</v>
      </c>
      <c r="R338" s="18" t="s">
        <v>143</v>
      </c>
      <c r="S338" s="18" t="s">
        <v>59</v>
      </c>
      <c r="T338" s="38">
        <v>2026.0</v>
      </c>
      <c r="U338" s="38">
        <v>5.0</v>
      </c>
      <c r="V338" s="38">
        <v>1.081522316E9</v>
      </c>
      <c r="W338" s="38">
        <v>1.081540386E9</v>
      </c>
      <c r="X338" s="18" t="s">
        <v>2199</v>
      </c>
      <c r="Y338" s="18" t="s">
        <v>2200</v>
      </c>
      <c r="Z338" s="38">
        <v>441510.38</v>
      </c>
      <c r="AA338" s="38">
        <v>441510.38</v>
      </c>
      <c r="AB338" s="38">
        <v>0.0</v>
      </c>
      <c r="AC338" s="38">
        <v>2125.0</v>
      </c>
      <c r="AD338" s="38">
        <v>0.0</v>
      </c>
      <c r="AE338" s="38">
        <v>0.0</v>
      </c>
      <c r="AF338" s="38">
        <v>0.0</v>
      </c>
      <c r="AG338" s="38">
        <v>0.0</v>
      </c>
      <c r="AH338" s="38">
        <v>0.0</v>
      </c>
      <c r="AI338" s="38">
        <v>441510.38</v>
      </c>
      <c r="AJ338" s="38">
        <v>1035718.71</v>
      </c>
      <c r="AK338" s="38">
        <v>3.0</v>
      </c>
      <c r="AL338" s="38">
        <v>250.8</v>
      </c>
      <c r="AM338" s="38">
        <v>0.0</v>
      </c>
      <c r="AN338" s="34" t="s">
        <v>62</v>
      </c>
      <c r="AO338" s="34" t="s">
        <v>62</v>
      </c>
      <c r="AP338" s="34" t="s">
        <v>62</v>
      </c>
      <c r="AQ338" s="34" t="s">
        <v>62</v>
      </c>
      <c r="AR338" s="38">
        <v>0.0</v>
      </c>
      <c r="AS338" s="38" t="s">
        <v>2293</v>
      </c>
      <c r="AT338" s="35" t="s">
        <v>2294</v>
      </c>
      <c r="AU338" s="39" t="s">
        <v>2295</v>
      </c>
      <c r="AV338" s="40">
        <v>46164.0</v>
      </c>
    </row>
    <row r="339">
      <c r="A339" s="38">
        <v>455370.0</v>
      </c>
      <c r="B339" s="38">
        <v>3177.0</v>
      </c>
      <c r="C339" s="38">
        <v>3177.0</v>
      </c>
      <c r="D339" s="38">
        <v>8.0123503E7</v>
      </c>
      <c r="E339" s="38">
        <v>8.0123503E7</v>
      </c>
      <c r="F339" s="18" t="s">
        <v>148</v>
      </c>
      <c r="G339" s="18" t="s">
        <v>149</v>
      </c>
      <c r="H339" s="18" t="s">
        <v>2296</v>
      </c>
      <c r="I339" s="18" t="s">
        <v>734</v>
      </c>
      <c r="J339" s="18" t="s">
        <v>2205</v>
      </c>
      <c r="K339" s="18" t="s">
        <v>2292</v>
      </c>
      <c r="L339" s="18" t="s">
        <v>52</v>
      </c>
      <c r="M339" s="18" t="s">
        <v>138</v>
      </c>
      <c r="N339" s="18" t="s">
        <v>130</v>
      </c>
      <c r="O339" s="18" t="s">
        <v>126</v>
      </c>
      <c r="P339" s="18" t="s">
        <v>56</v>
      </c>
      <c r="Q339" s="18" t="s">
        <v>57</v>
      </c>
      <c r="R339" s="18" t="s">
        <v>143</v>
      </c>
      <c r="S339" s="18" t="s">
        <v>59</v>
      </c>
      <c r="T339" s="38">
        <v>2026.0</v>
      </c>
      <c r="U339" s="38">
        <v>5.0</v>
      </c>
      <c r="V339" s="38">
        <v>1.08152232E9</v>
      </c>
      <c r="W339" s="38">
        <v>1.08154039E9</v>
      </c>
      <c r="X339" s="18" t="s">
        <v>2199</v>
      </c>
      <c r="Y339" s="18" t="s">
        <v>2200</v>
      </c>
      <c r="Z339" s="38">
        <v>354766.75</v>
      </c>
      <c r="AA339" s="38">
        <v>354766.75</v>
      </c>
      <c r="AB339" s="38">
        <v>0.0</v>
      </c>
      <c r="AC339" s="38">
        <v>1668.0</v>
      </c>
      <c r="AD339" s="38">
        <v>0.0</v>
      </c>
      <c r="AE339" s="38">
        <v>0.0</v>
      </c>
      <c r="AF339" s="38">
        <v>0.0</v>
      </c>
      <c r="AG339" s="38">
        <v>0.0</v>
      </c>
      <c r="AH339" s="38">
        <v>0.0</v>
      </c>
      <c r="AI339" s="38">
        <v>354766.75</v>
      </c>
      <c r="AJ339" s="38">
        <v>864314.46</v>
      </c>
      <c r="AK339" s="38">
        <v>3.0</v>
      </c>
      <c r="AL339" s="38">
        <v>250.8</v>
      </c>
      <c r="AM339" s="38">
        <v>0.0</v>
      </c>
      <c r="AN339" s="34" t="s">
        <v>62</v>
      </c>
      <c r="AO339" s="34" t="s">
        <v>62</v>
      </c>
      <c r="AP339" s="34" t="s">
        <v>62</v>
      </c>
      <c r="AQ339" s="34" t="s">
        <v>62</v>
      </c>
      <c r="AR339" s="38">
        <v>0.0</v>
      </c>
      <c r="AS339" s="38" t="s">
        <v>2293</v>
      </c>
      <c r="AT339" s="35" t="s">
        <v>2294</v>
      </c>
      <c r="AU339" s="39" t="s">
        <v>2295</v>
      </c>
      <c r="AV339" s="40">
        <v>46164.0</v>
      </c>
    </row>
    <row r="340">
      <c r="A340" s="38">
        <v>455370.0</v>
      </c>
      <c r="B340" s="38">
        <v>3181.0</v>
      </c>
      <c r="C340" s="38">
        <v>3181.0</v>
      </c>
      <c r="D340" s="38">
        <v>8.0123507E7</v>
      </c>
      <c r="E340" s="38">
        <v>8.0123507E7</v>
      </c>
      <c r="F340" s="18" t="s">
        <v>148</v>
      </c>
      <c r="G340" s="18" t="s">
        <v>149</v>
      </c>
      <c r="H340" s="18" t="s">
        <v>2296</v>
      </c>
      <c r="I340" s="18" t="s">
        <v>165</v>
      </c>
      <c r="J340" s="18" t="s">
        <v>2205</v>
      </c>
      <c r="K340" s="18" t="s">
        <v>2292</v>
      </c>
      <c r="L340" s="18" t="s">
        <v>52</v>
      </c>
      <c r="M340" s="18" t="s">
        <v>138</v>
      </c>
      <c r="N340" s="18" t="s">
        <v>130</v>
      </c>
      <c r="O340" s="18" t="s">
        <v>126</v>
      </c>
      <c r="P340" s="18" t="s">
        <v>56</v>
      </c>
      <c r="Q340" s="18" t="s">
        <v>57</v>
      </c>
      <c r="R340" s="18" t="s">
        <v>143</v>
      </c>
      <c r="S340" s="18" t="s">
        <v>59</v>
      </c>
      <c r="T340" s="38">
        <v>2026.0</v>
      </c>
      <c r="U340" s="38">
        <v>5.0</v>
      </c>
      <c r="V340" s="38">
        <v>1.081522323E9</v>
      </c>
      <c r="W340" s="38">
        <v>1.081540393E9</v>
      </c>
      <c r="X340" s="18" t="s">
        <v>2199</v>
      </c>
      <c r="Y340" s="18" t="s">
        <v>2200</v>
      </c>
      <c r="Z340" s="38">
        <v>354766.75</v>
      </c>
      <c r="AA340" s="38">
        <v>354766.75</v>
      </c>
      <c r="AB340" s="38">
        <v>0.0</v>
      </c>
      <c r="AC340" s="38">
        <v>1668.0</v>
      </c>
      <c r="AD340" s="38">
        <v>0.0</v>
      </c>
      <c r="AE340" s="38">
        <v>0.0</v>
      </c>
      <c r="AF340" s="38">
        <v>0.0</v>
      </c>
      <c r="AG340" s="38">
        <v>0.0</v>
      </c>
      <c r="AH340" s="38">
        <v>0.0</v>
      </c>
      <c r="AI340" s="38">
        <v>354766.75</v>
      </c>
      <c r="AJ340" s="38">
        <v>864314.46</v>
      </c>
      <c r="AK340" s="38">
        <v>3.0</v>
      </c>
      <c r="AL340" s="38">
        <v>250.8</v>
      </c>
      <c r="AM340" s="38">
        <v>0.0</v>
      </c>
      <c r="AN340" s="34" t="s">
        <v>62</v>
      </c>
      <c r="AO340" s="34" t="s">
        <v>62</v>
      </c>
      <c r="AP340" s="34" t="s">
        <v>62</v>
      </c>
      <c r="AQ340" s="34" t="s">
        <v>62</v>
      </c>
      <c r="AR340" s="38">
        <v>0.0</v>
      </c>
      <c r="AS340" s="38" t="s">
        <v>2293</v>
      </c>
      <c r="AT340" s="35" t="s">
        <v>2294</v>
      </c>
      <c r="AU340" s="39" t="s">
        <v>2295</v>
      </c>
      <c r="AV340" s="40">
        <v>46164.0</v>
      </c>
    </row>
    <row r="341">
      <c r="A341" s="38">
        <v>455370.0</v>
      </c>
      <c r="B341" s="38">
        <v>3189.0</v>
      </c>
      <c r="C341" s="38">
        <v>3189.0</v>
      </c>
      <c r="D341" s="38">
        <v>8.0123515E7</v>
      </c>
      <c r="E341" s="38">
        <v>8.0123515E7</v>
      </c>
      <c r="F341" s="18" t="s">
        <v>148</v>
      </c>
      <c r="G341" s="18" t="s">
        <v>149</v>
      </c>
      <c r="H341" s="18" t="s">
        <v>2296</v>
      </c>
      <c r="I341" s="18" t="s">
        <v>222</v>
      </c>
      <c r="J341" s="18" t="s">
        <v>2205</v>
      </c>
      <c r="K341" s="18" t="s">
        <v>2292</v>
      </c>
      <c r="L341" s="18" t="s">
        <v>52</v>
      </c>
      <c r="M341" s="18" t="s">
        <v>138</v>
      </c>
      <c r="N341" s="18" t="s">
        <v>130</v>
      </c>
      <c r="O341" s="18" t="s">
        <v>126</v>
      </c>
      <c r="P341" s="18" t="s">
        <v>56</v>
      </c>
      <c r="Q341" s="18" t="s">
        <v>57</v>
      </c>
      <c r="R341" s="18" t="s">
        <v>143</v>
      </c>
      <c r="S341" s="18" t="s">
        <v>59</v>
      </c>
      <c r="T341" s="38">
        <v>2026.0</v>
      </c>
      <c r="U341" s="38">
        <v>5.0</v>
      </c>
      <c r="V341" s="38">
        <v>1.081522327E9</v>
      </c>
      <c r="W341" s="38">
        <v>1.081540397E9</v>
      </c>
      <c r="X341" s="18" t="s">
        <v>2199</v>
      </c>
      <c r="Y341" s="18" t="s">
        <v>2200</v>
      </c>
      <c r="Z341" s="38">
        <v>412659.1</v>
      </c>
      <c r="AA341" s="38">
        <v>412659.1</v>
      </c>
      <c r="AB341" s="38">
        <v>0.0</v>
      </c>
      <c r="AC341" s="38">
        <v>1973.0</v>
      </c>
      <c r="AD341" s="38">
        <v>0.0</v>
      </c>
      <c r="AE341" s="38">
        <v>0.0</v>
      </c>
      <c r="AF341" s="38">
        <v>0.0</v>
      </c>
      <c r="AG341" s="38">
        <v>0.0</v>
      </c>
      <c r="AH341" s="38">
        <v>0.0</v>
      </c>
      <c r="AI341" s="38">
        <v>412659.1</v>
      </c>
      <c r="AJ341" s="38">
        <v>978708.97</v>
      </c>
      <c r="AK341" s="38">
        <v>3.0</v>
      </c>
      <c r="AL341" s="38">
        <v>250.8</v>
      </c>
      <c r="AM341" s="38">
        <v>0.0</v>
      </c>
      <c r="AN341" s="34" t="s">
        <v>62</v>
      </c>
      <c r="AO341" s="34" t="s">
        <v>62</v>
      </c>
      <c r="AP341" s="34" t="s">
        <v>62</v>
      </c>
      <c r="AQ341" s="34" t="s">
        <v>62</v>
      </c>
      <c r="AR341" s="38">
        <v>0.0</v>
      </c>
      <c r="AS341" s="38" t="s">
        <v>2293</v>
      </c>
      <c r="AT341" s="35" t="s">
        <v>2294</v>
      </c>
      <c r="AU341" s="39" t="s">
        <v>2295</v>
      </c>
      <c r="AV341" s="40">
        <v>46164.0</v>
      </c>
    </row>
    <row r="342">
      <c r="A342" s="38">
        <v>147.0</v>
      </c>
      <c r="B342" s="38">
        <v>3193.0</v>
      </c>
      <c r="C342" s="38">
        <v>3193.0</v>
      </c>
      <c r="D342" s="38">
        <v>8.0123519E7</v>
      </c>
      <c r="E342" s="38">
        <v>8.0123519E7</v>
      </c>
      <c r="F342" s="18" t="s">
        <v>179</v>
      </c>
      <c r="G342" s="18" t="s">
        <v>180</v>
      </c>
      <c r="H342" s="18" t="s">
        <v>2320</v>
      </c>
      <c r="I342" s="18" t="s">
        <v>253</v>
      </c>
      <c r="J342" s="18" t="s">
        <v>2205</v>
      </c>
      <c r="K342" s="18" t="s">
        <v>2289</v>
      </c>
      <c r="L342" s="18" t="s">
        <v>52</v>
      </c>
      <c r="M342" s="18" t="s">
        <v>89</v>
      </c>
      <c r="N342" s="18" t="s">
        <v>130</v>
      </c>
      <c r="O342" s="18" t="s">
        <v>126</v>
      </c>
      <c r="P342" s="18" t="s">
        <v>56</v>
      </c>
      <c r="Q342" s="18" t="s">
        <v>57</v>
      </c>
      <c r="R342" s="18" t="s">
        <v>143</v>
      </c>
      <c r="S342" s="18" t="s">
        <v>59</v>
      </c>
      <c r="T342" s="38">
        <v>2026.0</v>
      </c>
      <c r="U342" s="38">
        <v>5.0</v>
      </c>
      <c r="V342" s="38">
        <v>1.08152233E9</v>
      </c>
      <c r="W342" s="38">
        <v>1.0815404E9</v>
      </c>
      <c r="X342" s="18" t="s">
        <v>2199</v>
      </c>
      <c r="Y342" s="18" t="s">
        <v>2200</v>
      </c>
      <c r="Z342" s="38">
        <v>152523.14</v>
      </c>
      <c r="AA342" s="38">
        <v>152523.14</v>
      </c>
      <c r="AB342" s="38">
        <v>0.0</v>
      </c>
      <c r="AC342" s="38">
        <v>602.5</v>
      </c>
      <c r="AD342" s="38">
        <v>0.0</v>
      </c>
      <c r="AE342" s="38">
        <v>0.0</v>
      </c>
      <c r="AF342" s="38">
        <v>0.0</v>
      </c>
      <c r="AG342" s="38">
        <v>0.0</v>
      </c>
      <c r="AH342" s="38">
        <v>0.0</v>
      </c>
      <c r="AI342" s="38">
        <v>152523.14</v>
      </c>
      <c r="AJ342" s="38">
        <v>302217.09</v>
      </c>
      <c r="AK342" s="38">
        <v>1.0</v>
      </c>
      <c r="AL342" s="38">
        <v>250.8</v>
      </c>
      <c r="AM342" s="38">
        <v>0.0</v>
      </c>
      <c r="AN342" s="34" t="s">
        <v>62</v>
      </c>
      <c r="AO342" s="34" t="s">
        <v>62</v>
      </c>
      <c r="AP342" s="34" t="s">
        <v>62</v>
      </c>
      <c r="AQ342" s="34" t="s">
        <v>62</v>
      </c>
      <c r="AR342" s="38">
        <v>0.0</v>
      </c>
      <c r="AS342" s="38" t="s">
        <v>2321</v>
      </c>
      <c r="AT342" s="35" t="s">
        <v>2202</v>
      </c>
      <c r="AU342" s="39" t="s">
        <v>2203</v>
      </c>
      <c r="AV342" s="40">
        <v>46163.0</v>
      </c>
    </row>
    <row r="343">
      <c r="A343" s="38">
        <v>319414.0</v>
      </c>
      <c r="B343" s="38">
        <v>319413.0</v>
      </c>
      <c r="C343" s="38">
        <v>319413.0</v>
      </c>
      <c r="D343" s="38">
        <v>496903.0</v>
      </c>
      <c r="E343" s="38">
        <v>496903.0</v>
      </c>
      <c r="F343" s="38">
        <v>9.01269058E8</v>
      </c>
      <c r="G343" s="18" t="s">
        <v>739</v>
      </c>
      <c r="H343" s="18" t="s">
        <v>2547</v>
      </c>
      <c r="I343" s="18" t="s">
        <v>740</v>
      </c>
      <c r="J343" s="18" t="s">
        <v>2205</v>
      </c>
      <c r="K343" s="18" t="s">
        <v>2205</v>
      </c>
      <c r="L343" s="18" t="s">
        <v>52</v>
      </c>
      <c r="M343" s="18" t="s">
        <v>89</v>
      </c>
      <c r="N343" s="18" t="s">
        <v>130</v>
      </c>
      <c r="O343" s="18" t="s">
        <v>126</v>
      </c>
      <c r="P343" s="18" t="s">
        <v>56</v>
      </c>
      <c r="Q343" s="18" t="s">
        <v>90</v>
      </c>
      <c r="R343" s="18" t="s">
        <v>143</v>
      </c>
      <c r="S343" s="18" t="s">
        <v>59</v>
      </c>
      <c r="T343" s="38">
        <v>2026.0</v>
      </c>
      <c r="U343" s="38">
        <v>5.0</v>
      </c>
      <c r="V343" s="38">
        <v>1.081522522E9</v>
      </c>
      <c r="W343" s="38">
        <v>1.081540592E9</v>
      </c>
      <c r="X343" s="18" t="s">
        <v>2199</v>
      </c>
      <c r="Y343" s="18" t="s">
        <v>2200</v>
      </c>
      <c r="Z343" s="38">
        <v>342837.61</v>
      </c>
      <c r="AA343" s="38">
        <v>342837.61</v>
      </c>
      <c r="AB343" s="38">
        <v>113986.5</v>
      </c>
      <c r="AC343" s="38">
        <v>1000.0</v>
      </c>
      <c r="AD343" s="38">
        <v>878.11</v>
      </c>
      <c r="AE343" s="38">
        <v>0.0</v>
      </c>
      <c r="AF343" s="38">
        <v>0.0</v>
      </c>
      <c r="AG343" s="38">
        <v>0.0</v>
      </c>
      <c r="AH343" s="38">
        <v>0.0</v>
      </c>
      <c r="AI343" s="38">
        <v>342837.61</v>
      </c>
      <c r="AJ343" s="38">
        <v>342837.61</v>
      </c>
      <c r="AK343" s="38">
        <v>0.0</v>
      </c>
      <c r="AL343" s="38">
        <v>376.2</v>
      </c>
      <c r="AM343" s="38">
        <v>0.0</v>
      </c>
      <c r="AN343" s="34" t="s">
        <v>62</v>
      </c>
      <c r="AO343" s="34" t="s">
        <v>62</v>
      </c>
      <c r="AP343" s="34" t="s">
        <v>62</v>
      </c>
      <c r="AQ343" s="34" t="s">
        <v>62</v>
      </c>
      <c r="AR343" s="38">
        <v>0.0</v>
      </c>
      <c r="AS343" s="38" t="s">
        <v>2548</v>
      </c>
      <c r="AT343" s="35" t="s">
        <v>2202</v>
      </c>
      <c r="AU343" s="39" t="s">
        <v>2254</v>
      </c>
      <c r="AV343" s="40">
        <v>46169.0</v>
      </c>
    </row>
    <row r="344">
      <c r="A344" s="38">
        <v>455370.0</v>
      </c>
      <c r="B344" s="38">
        <v>3197.0</v>
      </c>
      <c r="C344" s="38">
        <v>3197.0</v>
      </c>
      <c r="D344" s="38">
        <v>8.0123523E7</v>
      </c>
      <c r="E344" s="38">
        <v>8.0123523E7</v>
      </c>
      <c r="F344" s="18" t="s">
        <v>148</v>
      </c>
      <c r="G344" s="18" t="s">
        <v>149</v>
      </c>
      <c r="H344" s="18" t="s">
        <v>2296</v>
      </c>
      <c r="I344" s="18" t="s">
        <v>432</v>
      </c>
      <c r="J344" s="18" t="s">
        <v>2205</v>
      </c>
      <c r="K344" s="18" t="s">
        <v>2292</v>
      </c>
      <c r="L344" s="18" t="s">
        <v>52</v>
      </c>
      <c r="M344" s="18" t="s">
        <v>138</v>
      </c>
      <c r="N344" s="18" t="s">
        <v>130</v>
      </c>
      <c r="O344" s="18" t="s">
        <v>126</v>
      </c>
      <c r="P344" s="18" t="s">
        <v>56</v>
      </c>
      <c r="Q344" s="18" t="s">
        <v>57</v>
      </c>
      <c r="R344" s="18" t="s">
        <v>143</v>
      </c>
      <c r="S344" s="18" t="s">
        <v>59</v>
      </c>
      <c r="T344" s="38">
        <v>2026.0</v>
      </c>
      <c r="U344" s="38">
        <v>5.0</v>
      </c>
      <c r="V344" s="38">
        <v>1.081522334E9</v>
      </c>
      <c r="W344" s="38">
        <v>1.081540404E9</v>
      </c>
      <c r="X344" s="18" t="s">
        <v>2199</v>
      </c>
      <c r="Y344" s="18" t="s">
        <v>2200</v>
      </c>
      <c r="Z344" s="38">
        <v>465236.75</v>
      </c>
      <c r="AA344" s="38">
        <v>465236.75</v>
      </c>
      <c r="AB344" s="38">
        <v>0.0</v>
      </c>
      <c r="AC344" s="38">
        <v>2250.0</v>
      </c>
      <c r="AD344" s="38">
        <v>0.0</v>
      </c>
      <c r="AE344" s="38">
        <v>0.0</v>
      </c>
      <c r="AF344" s="38">
        <v>0.0</v>
      </c>
      <c r="AG344" s="38">
        <v>0.0</v>
      </c>
      <c r="AH344" s="38">
        <v>0.0</v>
      </c>
      <c r="AI344" s="38">
        <v>465236.75</v>
      </c>
      <c r="AJ344" s="38">
        <v>1082601.7</v>
      </c>
      <c r="AK344" s="38">
        <v>3.0</v>
      </c>
      <c r="AL344" s="38">
        <v>250.8</v>
      </c>
      <c r="AM344" s="38">
        <v>0.0</v>
      </c>
      <c r="AN344" s="34" t="s">
        <v>62</v>
      </c>
      <c r="AO344" s="34" t="s">
        <v>62</v>
      </c>
      <c r="AP344" s="34" t="s">
        <v>62</v>
      </c>
      <c r="AQ344" s="34" t="s">
        <v>62</v>
      </c>
      <c r="AR344" s="38">
        <v>0.0</v>
      </c>
      <c r="AS344" s="38" t="s">
        <v>2293</v>
      </c>
      <c r="AT344" s="35" t="s">
        <v>2294</v>
      </c>
      <c r="AU344" s="39" t="s">
        <v>2295</v>
      </c>
      <c r="AV344" s="40">
        <v>46164.0</v>
      </c>
    </row>
    <row r="345">
      <c r="A345" s="38">
        <v>455370.0</v>
      </c>
      <c r="B345" s="38">
        <v>3201.0</v>
      </c>
      <c r="C345" s="38">
        <v>3201.0</v>
      </c>
      <c r="D345" s="38">
        <v>8.0123527E7</v>
      </c>
      <c r="E345" s="38">
        <v>8.0123527E7</v>
      </c>
      <c r="F345" s="18" t="s">
        <v>148</v>
      </c>
      <c r="G345" s="18" t="s">
        <v>149</v>
      </c>
      <c r="H345" s="18" t="s">
        <v>2296</v>
      </c>
      <c r="I345" s="18" t="s">
        <v>390</v>
      </c>
      <c r="J345" s="18" t="s">
        <v>2205</v>
      </c>
      <c r="K345" s="18" t="s">
        <v>2292</v>
      </c>
      <c r="L345" s="18" t="s">
        <v>52</v>
      </c>
      <c r="M345" s="18" t="s">
        <v>138</v>
      </c>
      <c r="N345" s="18" t="s">
        <v>130</v>
      </c>
      <c r="O345" s="18" t="s">
        <v>126</v>
      </c>
      <c r="P345" s="18" t="s">
        <v>56</v>
      </c>
      <c r="Q345" s="18" t="s">
        <v>57</v>
      </c>
      <c r="R345" s="18" t="s">
        <v>143</v>
      </c>
      <c r="S345" s="18" t="s">
        <v>59</v>
      </c>
      <c r="T345" s="38">
        <v>2026.0</v>
      </c>
      <c r="U345" s="38">
        <v>5.0</v>
      </c>
      <c r="V345" s="38">
        <v>1.081522338E9</v>
      </c>
      <c r="W345" s="38">
        <v>1.081540408E9</v>
      </c>
      <c r="X345" s="18" t="s">
        <v>2199</v>
      </c>
      <c r="Y345" s="18" t="s">
        <v>2200</v>
      </c>
      <c r="Z345" s="38">
        <v>481370.69</v>
      </c>
      <c r="AA345" s="38">
        <v>481370.69</v>
      </c>
      <c r="AB345" s="38">
        <v>0.0</v>
      </c>
      <c r="AC345" s="38">
        <v>2335.0</v>
      </c>
      <c r="AD345" s="38">
        <v>0.0</v>
      </c>
      <c r="AE345" s="38">
        <v>0.0</v>
      </c>
      <c r="AF345" s="38">
        <v>0.0</v>
      </c>
      <c r="AG345" s="38">
        <v>0.0</v>
      </c>
      <c r="AH345" s="38">
        <v>0.0</v>
      </c>
      <c r="AI345" s="38">
        <v>481370.69</v>
      </c>
      <c r="AJ345" s="38">
        <v>1114482.15</v>
      </c>
      <c r="AK345" s="38">
        <v>3.0</v>
      </c>
      <c r="AL345" s="38">
        <v>250.8</v>
      </c>
      <c r="AM345" s="38">
        <v>0.0</v>
      </c>
      <c r="AN345" s="34" t="s">
        <v>62</v>
      </c>
      <c r="AO345" s="34" t="s">
        <v>62</v>
      </c>
      <c r="AP345" s="34" t="s">
        <v>62</v>
      </c>
      <c r="AQ345" s="34" t="s">
        <v>62</v>
      </c>
      <c r="AR345" s="38">
        <v>0.0</v>
      </c>
      <c r="AS345" s="38" t="s">
        <v>2293</v>
      </c>
      <c r="AT345" s="35" t="s">
        <v>2294</v>
      </c>
      <c r="AU345" s="39" t="s">
        <v>2295</v>
      </c>
      <c r="AV345" s="40">
        <v>46164.0</v>
      </c>
    </row>
    <row r="346">
      <c r="A346" s="38">
        <v>3206.0</v>
      </c>
      <c r="B346" s="38">
        <v>3205.0</v>
      </c>
      <c r="C346" s="38">
        <v>3205.0</v>
      </c>
      <c r="D346" s="38">
        <v>8.0127824E7</v>
      </c>
      <c r="E346" s="38">
        <v>8.0127824E7</v>
      </c>
      <c r="F346" s="38">
        <v>9.00040299E9</v>
      </c>
      <c r="G346" s="18" t="s">
        <v>744</v>
      </c>
      <c r="H346" s="18" t="s">
        <v>2549</v>
      </c>
      <c r="I346" s="18" t="s">
        <v>208</v>
      </c>
      <c r="J346" s="18" t="s">
        <v>2205</v>
      </c>
      <c r="K346" s="18" t="s">
        <v>2205</v>
      </c>
      <c r="L346" s="18" t="s">
        <v>52</v>
      </c>
      <c r="M346" s="18" t="s">
        <v>89</v>
      </c>
      <c r="N346" s="18" t="s">
        <v>130</v>
      </c>
      <c r="O346" s="18" t="s">
        <v>126</v>
      </c>
      <c r="P346" s="18" t="s">
        <v>131</v>
      </c>
      <c r="Q346" s="18" t="s">
        <v>538</v>
      </c>
      <c r="R346" s="18" t="s">
        <v>133</v>
      </c>
      <c r="S346" s="18" t="s">
        <v>59</v>
      </c>
      <c r="T346" s="38">
        <v>2026.0</v>
      </c>
      <c r="U346" s="38">
        <v>5.0</v>
      </c>
      <c r="V346" s="38">
        <v>1.081522341E9</v>
      </c>
      <c r="W346" s="38">
        <v>1.081540411E9</v>
      </c>
      <c r="X346" s="18" t="s">
        <v>2199</v>
      </c>
      <c r="Y346" s="18" t="s">
        <v>2200</v>
      </c>
      <c r="Z346" s="38">
        <v>95028.01</v>
      </c>
      <c r="AA346" s="38">
        <v>95028.01</v>
      </c>
      <c r="AB346" s="38">
        <v>31676.0</v>
      </c>
      <c r="AC346" s="38">
        <v>0.0</v>
      </c>
      <c r="AD346" s="38">
        <v>0.01</v>
      </c>
      <c r="AE346" s="38">
        <v>0.0</v>
      </c>
      <c r="AF346" s="38">
        <v>0.0</v>
      </c>
      <c r="AG346" s="38">
        <v>0.0</v>
      </c>
      <c r="AH346" s="38">
        <v>0.0</v>
      </c>
      <c r="AI346" s="38">
        <v>95028.01</v>
      </c>
      <c r="AJ346" s="38">
        <v>189023.01</v>
      </c>
      <c r="AK346" s="38">
        <v>2.0</v>
      </c>
      <c r="AL346" s="38">
        <v>376.2</v>
      </c>
      <c r="AM346" s="38">
        <v>0.0</v>
      </c>
      <c r="AN346" s="34" t="s">
        <v>62</v>
      </c>
      <c r="AO346" s="34" t="s">
        <v>62</v>
      </c>
      <c r="AP346" s="34" t="s">
        <v>62</v>
      </c>
      <c r="AQ346" s="34" t="s">
        <v>62</v>
      </c>
      <c r="AR346" s="38">
        <v>0.0</v>
      </c>
      <c r="AS346" s="38" t="s">
        <v>2550</v>
      </c>
      <c r="AT346" s="35" t="s">
        <v>2202</v>
      </c>
      <c r="AU346" s="39" t="s">
        <v>2254</v>
      </c>
      <c r="AV346" s="40">
        <v>46169.0</v>
      </c>
    </row>
    <row r="347">
      <c r="A347" s="38">
        <v>3210.0</v>
      </c>
      <c r="B347" s="38">
        <v>3209.0</v>
      </c>
      <c r="C347" s="38">
        <v>3209.0</v>
      </c>
      <c r="D347" s="38">
        <v>8.0130621E7</v>
      </c>
      <c r="E347" s="38">
        <v>8.0130621E7</v>
      </c>
      <c r="F347" s="38">
        <v>9.01562224E8</v>
      </c>
      <c r="G347" s="18" t="s">
        <v>746</v>
      </c>
      <c r="H347" s="18" t="s">
        <v>2551</v>
      </c>
      <c r="I347" s="18" t="s">
        <v>172</v>
      </c>
      <c r="J347" s="18" t="s">
        <v>2205</v>
      </c>
      <c r="K347" s="18" t="s">
        <v>2205</v>
      </c>
      <c r="L347" s="18" t="s">
        <v>52</v>
      </c>
      <c r="M347" s="18" t="s">
        <v>138</v>
      </c>
      <c r="N347" s="18" t="s">
        <v>130</v>
      </c>
      <c r="O347" s="18" t="s">
        <v>126</v>
      </c>
      <c r="P347" s="18" t="s">
        <v>56</v>
      </c>
      <c r="Q347" s="18" t="s">
        <v>90</v>
      </c>
      <c r="R347" s="18" t="s">
        <v>143</v>
      </c>
      <c r="S347" s="18" t="s">
        <v>59</v>
      </c>
      <c r="T347" s="38">
        <v>2026.0</v>
      </c>
      <c r="U347" s="38">
        <v>5.0</v>
      </c>
      <c r="V347" s="38">
        <v>1.081522347E9</v>
      </c>
      <c r="W347" s="38">
        <v>1.081540417E9</v>
      </c>
      <c r="X347" s="18" t="s">
        <v>2199</v>
      </c>
      <c r="Y347" s="18" t="s">
        <v>2200</v>
      </c>
      <c r="Z347" s="38">
        <v>129133.94</v>
      </c>
      <c r="AA347" s="38">
        <v>129133.94</v>
      </c>
      <c r="AB347" s="38">
        <v>43044.65</v>
      </c>
      <c r="AC347" s="38">
        <v>252.5</v>
      </c>
      <c r="AD347" s="38">
        <v>0.0</v>
      </c>
      <c r="AE347" s="38">
        <v>0.0</v>
      </c>
      <c r="AF347" s="38">
        <v>0.0</v>
      </c>
      <c r="AG347" s="38">
        <v>0.0</v>
      </c>
      <c r="AH347" s="38">
        <v>0.0</v>
      </c>
      <c r="AI347" s="38">
        <v>129133.94</v>
      </c>
      <c r="AJ347" s="38">
        <v>129133.94</v>
      </c>
      <c r="AK347" s="38">
        <v>0.0</v>
      </c>
      <c r="AL347" s="38">
        <v>376.2</v>
      </c>
      <c r="AM347" s="38">
        <v>0.0</v>
      </c>
      <c r="AN347" s="34" t="s">
        <v>62</v>
      </c>
      <c r="AO347" s="34" t="s">
        <v>62</v>
      </c>
      <c r="AP347" s="34" t="s">
        <v>62</v>
      </c>
      <c r="AQ347" s="34" t="s">
        <v>62</v>
      </c>
      <c r="AR347" s="38">
        <v>0.0</v>
      </c>
      <c r="AS347" s="38" t="s">
        <v>2552</v>
      </c>
      <c r="AT347" s="35" t="s">
        <v>2202</v>
      </c>
      <c r="AU347" s="39" t="s">
        <v>2254</v>
      </c>
      <c r="AV347" s="40">
        <v>46169.0</v>
      </c>
    </row>
    <row r="348">
      <c r="A348" s="38">
        <v>297.0</v>
      </c>
      <c r="B348" s="38">
        <v>321337.0</v>
      </c>
      <c r="C348" s="38">
        <v>321337.0</v>
      </c>
      <c r="D348" s="38">
        <v>512851.0</v>
      </c>
      <c r="E348" s="38">
        <v>512851.0</v>
      </c>
      <c r="F348" s="18" t="s">
        <v>135</v>
      </c>
      <c r="G348" s="18" t="s">
        <v>136</v>
      </c>
      <c r="H348" s="18" t="s">
        <v>2258</v>
      </c>
      <c r="I348" s="18" t="s">
        <v>409</v>
      </c>
      <c r="J348" s="18" t="s">
        <v>2205</v>
      </c>
      <c r="K348" s="18" t="s">
        <v>2259</v>
      </c>
      <c r="L348" s="18" t="s">
        <v>52</v>
      </c>
      <c r="M348" s="18" t="s">
        <v>138</v>
      </c>
      <c r="N348" s="18" t="s">
        <v>130</v>
      </c>
      <c r="O348" s="18" t="s">
        <v>126</v>
      </c>
      <c r="P348" s="18" t="s">
        <v>131</v>
      </c>
      <c r="Q348" s="18" t="s">
        <v>363</v>
      </c>
      <c r="R348" s="18" t="s">
        <v>133</v>
      </c>
      <c r="S348" s="18" t="s">
        <v>59</v>
      </c>
      <c r="T348" s="38">
        <v>2026.0</v>
      </c>
      <c r="U348" s="38">
        <v>5.0</v>
      </c>
      <c r="V348" s="38">
        <v>1.081522526E9</v>
      </c>
      <c r="W348" s="38">
        <v>1.081540596E9</v>
      </c>
      <c r="X348" s="18" t="s">
        <v>2199</v>
      </c>
      <c r="Y348" s="18" t="s">
        <v>2200</v>
      </c>
      <c r="Z348" s="38">
        <v>76141.5</v>
      </c>
      <c r="AA348" s="38">
        <v>76141.5</v>
      </c>
      <c r="AB348" s="38">
        <v>25380.5</v>
      </c>
      <c r="AC348" s="38">
        <v>0.0</v>
      </c>
      <c r="AD348" s="38">
        <v>0.0</v>
      </c>
      <c r="AE348" s="38">
        <v>0.0</v>
      </c>
      <c r="AF348" s="38">
        <v>0.0</v>
      </c>
      <c r="AG348" s="38">
        <v>0.0</v>
      </c>
      <c r="AH348" s="38">
        <v>0.0</v>
      </c>
      <c r="AI348" s="38">
        <v>76141.5</v>
      </c>
      <c r="AJ348" s="38">
        <v>76141.5</v>
      </c>
      <c r="AK348" s="38">
        <v>0.0</v>
      </c>
      <c r="AL348" s="38">
        <v>376.2</v>
      </c>
      <c r="AM348" s="38">
        <v>0.0</v>
      </c>
      <c r="AN348" s="34" t="s">
        <v>62</v>
      </c>
      <c r="AO348" s="34" t="s">
        <v>62</v>
      </c>
      <c r="AP348" s="34" t="s">
        <v>62</v>
      </c>
      <c r="AQ348" s="34" t="s">
        <v>62</v>
      </c>
      <c r="AR348" s="38">
        <v>0.0</v>
      </c>
      <c r="AS348" s="38" t="s">
        <v>2260</v>
      </c>
      <c r="AT348" s="35" t="s">
        <v>2202</v>
      </c>
      <c r="AU348" s="39" t="s">
        <v>2203</v>
      </c>
      <c r="AV348" s="40">
        <v>46164.0</v>
      </c>
    </row>
    <row r="349">
      <c r="A349" s="38">
        <v>3222.0</v>
      </c>
      <c r="B349" s="38">
        <v>3221.0</v>
      </c>
      <c r="C349" s="38">
        <v>3221.0</v>
      </c>
      <c r="D349" s="38">
        <v>8.0206118E7</v>
      </c>
      <c r="E349" s="38">
        <v>8.0206118E7</v>
      </c>
      <c r="F349" s="18" t="s">
        <v>749</v>
      </c>
      <c r="G349" s="18" t="s">
        <v>750</v>
      </c>
      <c r="H349" s="18" t="s">
        <v>2553</v>
      </c>
      <c r="I349" s="18" t="s">
        <v>172</v>
      </c>
      <c r="J349" s="18" t="s">
        <v>2205</v>
      </c>
      <c r="K349" s="18" t="s">
        <v>2205</v>
      </c>
      <c r="L349" s="18" t="s">
        <v>52</v>
      </c>
      <c r="M349" s="18" t="s">
        <v>89</v>
      </c>
      <c r="N349" s="18" t="s">
        <v>130</v>
      </c>
      <c r="O349" s="18" t="s">
        <v>126</v>
      </c>
      <c r="P349" s="18" t="s">
        <v>56</v>
      </c>
      <c r="Q349" s="18" t="s">
        <v>90</v>
      </c>
      <c r="R349" s="18" t="s">
        <v>58</v>
      </c>
      <c r="S349" s="18" t="s">
        <v>59</v>
      </c>
      <c r="T349" s="38">
        <v>2026.0</v>
      </c>
      <c r="U349" s="38">
        <v>5.0</v>
      </c>
      <c r="V349" s="38">
        <v>1.081522349E9</v>
      </c>
      <c r="W349" s="38">
        <v>1.081540419E9</v>
      </c>
      <c r="X349" s="18" t="s">
        <v>2199</v>
      </c>
      <c r="Y349" s="18" t="s">
        <v>2200</v>
      </c>
      <c r="Z349" s="38">
        <v>372115.59</v>
      </c>
      <c r="AA349" s="38">
        <v>372115.59</v>
      </c>
      <c r="AB349" s="38">
        <v>123714.32</v>
      </c>
      <c r="AC349" s="38">
        <v>1102.5</v>
      </c>
      <c r="AD349" s="38">
        <v>972.63</v>
      </c>
      <c r="AE349" s="38">
        <v>0.0</v>
      </c>
      <c r="AF349" s="38">
        <v>0.0</v>
      </c>
      <c r="AG349" s="38">
        <v>0.0</v>
      </c>
      <c r="AH349" s="38">
        <v>0.0</v>
      </c>
      <c r="AI349" s="38">
        <v>372115.59</v>
      </c>
      <c r="AJ349" s="38">
        <v>372116.09</v>
      </c>
      <c r="AK349" s="38">
        <v>1.0</v>
      </c>
      <c r="AL349" s="38">
        <v>376.2</v>
      </c>
      <c r="AM349" s="38">
        <v>0.0</v>
      </c>
      <c r="AN349" s="34" t="s">
        <v>62</v>
      </c>
      <c r="AO349" s="34" t="s">
        <v>62</v>
      </c>
      <c r="AP349" s="34" t="s">
        <v>62</v>
      </c>
      <c r="AQ349" s="34" t="s">
        <v>62</v>
      </c>
      <c r="AR349" s="38">
        <v>0.0</v>
      </c>
      <c r="AS349" s="38" t="s">
        <v>2554</v>
      </c>
      <c r="AT349" s="35" t="s">
        <v>2202</v>
      </c>
      <c r="AU349" s="39" t="s">
        <v>2254</v>
      </c>
      <c r="AV349" s="40">
        <v>46169.0</v>
      </c>
    </row>
    <row r="350">
      <c r="A350" s="38">
        <v>455370.0</v>
      </c>
      <c r="B350" s="38">
        <v>3225.0</v>
      </c>
      <c r="C350" s="38">
        <v>3225.0</v>
      </c>
      <c r="D350" s="38">
        <v>8.0206519E7</v>
      </c>
      <c r="E350" s="38">
        <v>8.0206519E7</v>
      </c>
      <c r="F350" s="18" t="s">
        <v>148</v>
      </c>
      <c r="G350" s="18" t="s">
        <v>149</v>
      </c>
      <c r="H350" s="18" t="s">
        <v>2296</v>
      </c>
      <c r="I350" s="18" t="s">
        <v>589</v>
      </c>
      <c r="J350" s="18" t="s">
        <v>2205</v>
      </c>
      <c r="K350" s="18" t="s">
        <v>2292</v>
      </c>
      <c r="L350" s="18" t="s">
        <v>52</v>
      </c>
      <c r="M350" s="18" t="s">
        <v>138</v>
      </c>
      <c r="N350" s="18" t="s">
        <v>130</v>
      </c>
      <c r="O350" s="18" t="s">
        <v>126</v>
      </c>
      <c r="P350" s="18" t="s">
        <v>56</v>
      </c>
      <c r="Q350" s="18" t="s">
        <v>57</v>
      </c>
      <c r="R350" s="18" t="s">
        <v>143</v>
      </c>
      <c r="S350" s="18" t="s">
        <v>59</v>
      </c>
      <c r="T350" s="38">
        <v>2026.0</v>
      </c>
      <c r="U350" s="38">
        <v>5.0</v>
      </c>
      <c r="V350" s="38">
        <v>1.081522354E9</v>
      </c>
      <c r="W350" s="38">
        <v>1.081540424E9</v>
      </c>
      <c r="X350" s="18" t="s">
        <v>2199</v>
      </c>
      <c r="Y350" s="18" t="s">
        <v>2200</v>
      </c>
      <c r="Z350" s="38">
        <v>156793.88</v>
      </c>
      <c r="AA350" s="38">
        <v>156793.88</v>
      </c>
      <c r="AB350" s="38">
        <v>0.0</v>
      </c>
      <c r="AC350" s="38">
        <v>625.0</v>
      </c>
      <c r="AD350" s="38">
        <v>0.0</v>
      </c>
      <c r="AE350" s="38">
        <v>0.0</v>
      </c>
      <c r="AF350" s="38">
        <v>0.0</v>
      </c>
      <c r="AG350" s="38">
        <v>0.0</v>
      </c>
      <c r="AH350" s="38">
        <v>0.0</v>
      </c>
      <c r="AI350" s="38">
        <v>156793.88</v>
      </c>
      <c r="AJ350" s="38">
        <v>473122.71</v>
      </c>
      <c r="AK350" s="38">
        <v>3.0</v>
      </c>
      <c r="AL350" s="38">
        <v>250.8</v>
      </c>
      <c r="AM350" s="38">
        <v>0.0</v>
      </c>
      <c r="AN350" s="34" t="s">
        <v>62</v>
      </c>
      <c r="AO350" s="34" t="s">
        <v>62</v>
      </c>
      <c r="AP350" s="34" t="s">
        <v>62</v>
      </c>
      <c r="AQ350" s="34" t="s">
        <v>62</v>
      </c>
      <c r="AR350" s="38">
        <v>0.0</v>
      </c>
      <c r="AS350" s="38" t="s">
        <v>2293</v>
      </c>
      <c r="AT350" s="35" t="s">
        <v>2294</v>
      </c>
      <c r="AU350" s="39" t="s">
        <v>2295</v>
      </c>
      <c r="AV350" s="40">
        <v>46164.0</v>
      </c>
    </row>
    <row r="351">
      <c r="A351" s="38">
        <v>455370.0</v>
      </c>
      <c r="B351" s="38">
        <v>3229.0</v>
      </c>
      <c r="C351" s="38">
        <v>3229.0</v>
      </c>
      <c r="D351" s="38">
        <v>8.0206523E7</v>
      </c>
      <c r="E351" s="38">
        <v>8.0206523E7</v>
      </c>
      <c r="F351" s="18" t="s">
        <v>148</v>
      </c>
      <c r="G351" s="18" t="s">
        <v>149</v>
      </c>
      <c r="H351" s="18" t="s">
        <v>2296</v>
      </c>
      <c r="I351" s="18" t="s">
        <v>583</v>
      </c>
      <c r="J351" s="18" t="s">
        <v>2205</v>
      </c>
      <c r="K351" s="18" t="s">
        <v>2292</v>
      </c>
      <c r="L351" s="18" t="s">
        <v>52</v>
      </c>
      <c r="M351" s="18" t="s">
        <v>138</v>
      </c>
      <c r="N351" s="18" t="s">
        <v>130</v>
      </c>
      <c r="O351" s="18" t="s">
        <v>126</v>
      </c>
      <c r="P351" s="18" t="s">
        <v>56</v>
      </c>
      <c r="Q351" s="18" t="s">
        <v>57</v>
      </c>
      <c r="R351" s="18" t="s">
        <v>143</v>
      </c>
      <c r="S351" s="18" t="s">
        <v>59</v>
      </c>
      <c r="T351" s="38">
        <v>2026.0</v>
      </c>
      <c r="U351" s="38">
        <v>5.0</v>
      </c>
      <c r="V351" s="38">
        <v>1.081522357E9</v>
      </c>
      <c r="W351" s="38">
        <v>1.081540427E9</v>
      </c>
      <c r="X351" s="18" t="s">
        <v>2199</v>
      </c>
      <c r="Y351" s="18" t="s">
        <v>2200</v>
      </c>
      <c r="Z351" s="38">
        <v>211459.44</v>
      </c>
      <c r="AA351" s="38">
        <v>211459.44</v>
      </c>
      <c r="AB351" s="38">
        <v>0.0</v>
      </c>
      <c r="AC351" s="38">
        <v>913.0</v>
      </c>
      <c r="AD351" s="38">
        <v>0.0</v>
      </c>
      <c r="AE351" s="38">
        <v>0.0</v>
      </c>
      <c r="AF351" s="38">
        <v>0.0</v>
      </c>
      <c r="AG351" s="38">
        <v>0.0</v>
      </c>
      <c r="AH351" s="38">
        <v>0.0</v>
      </c>
      <c r="AI351" s="38">
        <v>211459.44</v>
      </c>
      <c r="AJ351" s="38">
        <v>581141.13</v>
      </c>
      <c r="AK351" s="38">
        <v>3.0</v>
      </c>
      <c r="AL351" s="38">
        <v>250.8</v>
      </c>
      <c r="AM351" s="38">
        <v>0.0</v>
      </c>
      <c r="AN351" s="34" t="s">
        <v>62</v>
      </c>
      <c r="AO351" s="34" t="s">
        <v>62</v>
      </c>
      <c r="AP351" s="34" t="s">
        <v>62</v>
      </c>
      <c r="AQ351" s="34" t="s">
        <v>62</v>
      </c>
      <c r="AR351" s="38">
        <v>0.0</v>
      </c>
      <c r="AS351" s="38" t="s">
        <v>2293</v>
      </c>
      <c r="AT351" s="35" t="s">
        <v>2294</v>
      </c>
      <c r="AU351" s="39" t="s">
        <v>2295</v>
      </c>
      <c r="AV351" s="40">
        <v>46164.0</v>
      </c>
    </row>
    <row r="352">
      <c r="A352" s="38">
        <v>3234.0</v>
      </c>
      <c r="B352" s="38">
        <v>3233.0</v>
      </c>
      <c r="C352" s="38">
        <v>3233.0</v>
      </c>
      <c r="D352" s="38">
        <v>8.0206923E7</v>
      </c>
      <c r="E352" s="38">
        <v>8.0206923E7</v>
      </c>
      <c r="F352" s="38">
        <v>8448756.0</v>
      </c>
      <c r="G352" s="18" t="s">
        <v>754</v>
      </c>
      <c r="H352" s="18" t="s">
        <v>2555</v>
      </c>
      <c r="I352" s="18" t="s">
        <v>214</v>
      </c>
      <c r="J352" s="18" t="s">
        <v>2205</v>
      </c>
      <c r="K352" s="18" t="s">
        <v>2292</v>
      </c>
      <c r="L352" s="18" t="s">
        <v>52</v>
      </c>
      <c r="M352" s="18" t="s">
        <v>89</v>
      </c>
      <c r="N352" s="18" t="s">
        <v>130</v>
      </c>
      <c r="O352" s="18" t="s">
        <v>126</v>
      </c>
      <c r="P352" s="18" t="s">
        <v>56</v>
      </c>
      <c r="Q352" s="18" t="s">
        <v>57</v>
      </c>
      <c r="R352" s="18" t="s">
        <v>58</v>
      </c>
      <c r="S352" s="18" t="s">
        <v>59</v>
      </c>
      <c r="T352" s="38">
        <v>2026.0</v>
      </c>
      <c r="U352" s="38">
        <v>5.0</v>
      </c>
      <c r="V352" s="38">
        <v>1.08152236E9</v>
      </c>
      <c r="W352" s="38">
        <v>1.08154043E9</v>
      </c>
      <c r="X352" s="18" t="s">
        <v>2199</v>
      </c>
      <c r="Y352" s="18" t="s">
        <v>2200</v>
      </c>
      <c r="Z352" s="38">
        <v>617560.09</v>
      </c>
      <c r="AA352" s="38">
        <v>617560.09</v>
      </c>
      <c r="AB352" s="38">
        <v>0.0</v>
      </c>
      <c r="AC352" s="38">
        <v>3052.5</v>
      </c>
      <c r="AD352" s="38">
        <v>0.0</v>
      </c>
      <c r="AE352" s="38">
        <v>0.0</v>
      </c>
      <c r="AF352" s="38">
        <v>0.0</v>
      </c>
      <c r="AG352" s="38">
        <v>0.0</v>
      </c>
      <c r="AH352" s="38">
        <v>0.0</v>
      </c>
      <c r="AI352" s="38">
        <v>617560.09</v>
      </c>
      <c r="AJ352" s="38">
        <v>2340472.21</v>
      </c>
      <c r="AK352" s="38">
        <v>3.0</v>
      </c>
      <c r="AL352" s="38">
        <v>250.8</v>
      </c>
      <c r="AM352" s="38">
        <v>0.0</v>
      </c>
      <c r="AN352" s="34" t="s">
        <v>62</v>
      </c>
      <c r="AO352" s="34" t="s">
        <v>62</v>
      </c>
      <c r="AP352" s="34" t="s">
        <v>62</v>
      </c>
      <c r="AQ352" s="34" t="s">
        <v>62</v>
      </c>
      <c r="AR352" s="38">
        <v>0.0</v>
      </c>
      <c r="AS352" s="38" t="s">
        <v>2556</v>
      </c>
      <c r="AT352" s="35" t="s">
        <v>2294</v>
      </c>
      <c r="AU352" s="39" t="s">
        <v>2295</v>
      </c>
      <c r="AV352" s="40">
        <v>46164.0</v>
      </c>
    </row>
    <row r="353">
      <c r="A353" s="38">
        <v>699.0</v>
      </c>
      <c r="B353" s="38">
        <v>323777.0</v>
      </c>
      <c r="C353" s="38">
        <v>323777.0</v>
      </c>
      <c r="D353" s="38">
        <v>545531.0</v>
      </c>
      <c r="E353" s="38">
        <v>545531.0</v>
      </c>
      <c r="F353" s="38">
        <v>9.00480569E8</v>
      </c>
      <c r="G353" s="18" t="s">
        <v>141</v>
      </c>
      <c r="H353" s="18" t="s">
        <v>2255</v>
      </c>
      <c r="I353" s="18" t="s">
        <v>362</v>
      </c>
      <c r="J353" s="18" t="s">
        <v>2205</v>
      </c>
      <c r="K353" s="18" t="s">
        <v>2256</v>
      </c>
      <c r="L353" s="18" t="s">
        <v>52</v>
      </c>
      <c r="M353" s="18" t="s">
        <v>138</v>
      </c>
      <c r="N353" s="18" t="s">
        <v>130</v>
      </c>
      <c r="O353" s="18" t="s">
        <v>126</v>
      </c>
      <c r="P353" s="18" t="s">
        <v>56</v>
      </c>
      <c r="Q353" s="18" t="s">
        <v>90</v>
      </c>
      <c r="R353" s="18" t="s">
        <v>143</v>
      </c>
      <c r="S353" s="18" t="s">
        <v>59</v>
      </c>
      <c r="T353" s="38">
        <v>2026.0</v>
      </c>
      <c r="U353" s="38">
        <v>5.0</v>
      </c>
      <c r="V353" s="38">
        <v>1.081522533E9</v>
      </c>
      <c r="W353" s="38">
        <v>1.081540603E9</v>
      </c>
      <c r="X353" s="18" t="s">
        <v>2199</v>
      </c>
      <c r="Y353" s="18" t="s">
        <v>2200</v>
      </c>
      <c r="Z353" s="38">
        <v>812935.53</v>
      </c>
      <c r="AA353" s="38">
        <v>812935.53</v>
      </c>
      <c r="AB353" s="38">
        <v>225500.48</v>
      </c>
      <c r="AC353" s="38">
        <v>2175.0</v>
      </c>
      <c r="AD353" s="38">
        <v>136434.12</v>
      </c>
      <c r="AE353" s="38">
        <v>0.0</v>
      </c>
      <c r="AF353" s="38">
        <v>0.0</v>
      </c>
      <c r="AG353" s="38">
        <v>0.0</v>
      </c>
      <c r="AH353" s="38">
        <v>0.0</v>
      </c>
      <c r="AI353" s="38">
        <v>812935.53</v>
      </c>
      <c r="AJ353" s="38">
        <v>1624165.87</v>
      </c>
      <c r="AK353" s="38">
        <v>1.0</v>
      </c>
      <c r="AL353" s="38">
        <v>376.2</v>
      </c>
      <c r="AM353" s="38">
        <v>0.0</v>
      </c>
      <c r="AN353" s="34" t="s">
        <v>62</v>
      </c>
      <c r="AO353" s="34" t="s">
        <v>62</v>
      </c>
      <c r="AP353" s="34" t="s">
        <v>62</v>
      </c>
      <c r="AQ353" s="34" t="s">
        <v>62</v>
      </c>
      <c r="AR353" s="38">
        <v>0.0</v>
      </c>
      <c r="AS353" s="38" t="s">
        <v>2257</v>
      </c>
      <c r="AT353" s="35" t="s">
        <v>2202</v>
      </c>
      <c r="AU353" s="39" t="s">
        <v>2203</v>
      </c>
      <c r="AV353" s="40">
        <v>46163.0</v>
      </c>
    </row>
    <row r="354">
      <c r="A354" s="38">
        <v>455370.0</v>
      </c>
      <c r="B354" s="38">
        <v>3241.0</v>
      </c>
      <c r="C354" s="38">
        <v>3241.0</v>
      </c>
      <c r="D354" s="38">
        <v>8.0212699E7</v>
      </c>
      <c r="E354" s="38">
        <v>8.0212699E7</v>
      </c>
      <c r="F354" s="18" t="s">
        <v>148</v>
      </c>
      <c r="G354" s="18" t="s">
        <v>149</v>
      </c>
      <c r="H354" s="18" t="s">
        <v>2296</v>
      </c>
      <c r="I354" s="18" t="s">
        <v>409</v>
      </c>
      <c r="J354" s="18" t="s">
        <v>2205</v>
      </c>
      <c r="K354" s="18" t="s">
        <v>2292</v>
      </c>
      <c r="L354" s="18" t="s">
        <v>52</v>
      </c>
      <c r="M354" s="18" t="s">
        <v>138</v>
      </c>
      <c r="N354" s="18" t="s">
        <v>130</v>
      </c>
      <c r="O354" s="18" t="s">
        <v>126</v>
      </c>
      <c r="P354" s="18" t="s">
        <v>56</v>
      </c>
      <c r="Q354" s="18" t="s">
        <v>57</v>
      </c>
      <c r="R354" s="18" t="s">
        <v>143</v>
      </c>
      <c r="S354" s="18" t="s">
        <v>59</v>
      </c>
      <c r="T354" s="38">
        <v>2026.0</v>
      </c>
      <c r="U354" s="38">
        <v>5.0</v>
      </c>
      <c r="V354" s="38">
        <v>1.081522365E9</v>
      </c>
      <c r="W354" s="38">
        <v>1.081540435E9</v>
      </c>
      <c r="X354" s="18" t="s">
        <v>2199</v>
      </c>
      <c r="Y354" s="18" t="s">
        <v>2200</v>
      </c>
      <c r="Z354" s="38">
        <v>86184.18</v>
      </c>
      <c r="AA354" s="38">
        <v>86184.18</v>
      </c>
      <c r="AB354" s="38">
        <v>0.0</v>
      </c>
      <c r="AC354" s="38">
        <v>253.0</v>
      </c>
      <c r="AD354" s="38">
        <v>0.0</v>
      </c>
      <c r="AE354" s="38">
        <v>0.0</v>
      </c>
      <c r="AF354" s="38">
        <v>0.0</v>
      </c>
      <c r="AG354" s="38">
        <v>0.0</v>
      </c>
      <c r="AH354" s="38">
        <v>0.0</v>
      </c>
      <c r="AI354" s="38">
        <v>86184.18</v>
      </c>
      <c r="AJ354" s="38">
        <v>333598.89</v>
      </c>
      <c r="AK354" s="38">
        <v>3.0</v>
      </c>
      <c r="AL354" s="38">
        <v>250.8</v>
      </c>
      <c r="AM354" s="38">
        <v>0.0</v>
      </c>
      <c r="AN354" s="34" t="s">
        <v>62</v>
      </c>
      <c r="AO354" s="34" t="s">
        <v>62</v>
      </c>
      <c r="AP354" s="34" t="s">
        <v>62</v>
      </c>
      <c r="AQ354" s="34" t="s">
        <v>62</v>
      </c>
      <c r="AR354" s="38">
        <v>0.0</v>
      </c>
      <c r="AS354" s="38" t="s">
        <v>2293</v>
      </c>
      <c r="AT354" s="35" t="s">
        <v>2294</v>
      </c>
      <c r="AU354" s="39" t="s">
        <v>2295</v>
      </c>
      <c r="AV354" s="40">
        <v>46164.0</v>
      </c>
    </row>
    <row r="355">
      <c r="A355" s="38">
        <v>455370.0</v>
      </c>
      <c r="B355" s="38">
        <v>3245.0</v>
      </c>
      <c r="C355" s="38">
        <v>3245.0</v>
      </c>
      <c r="D355" s="38">
        <v>8.0212703E7</v>
      </c>
      <c r="E355" s="38">
        <v>8.0212703E7</v>
      </c>
      <c r="F355" s="18" t="s">
        <v>148</v>
      </c>
      <c r="G355" s="18" t="s">
        <v>149</v>
      </c>
      <c r="H355" s="18" t="s">
        <v>2296</v>
      </c>
      <c r="I355" s="18" t="s">
        <v>362</v>
      </c>
      <c r="J355" s="18" t="s">
        <v>2205</v>
      </c>
      <c r="K355" s="18" t="s">
        <v>2292</v>
      </c>
      <c r="L355" s="18" t="s">
        <v>52</v>
      </c>
      <c r="M355" s="18" t="s">
        <v>138</v>
      </c>
      <c r="N355" s="18" t="s">
        <v>130</v>
      </c>
      <c r="O355" s="18" t="s">
        <v>126</v>
      </c>
      <c r="P355" s="18" t="s">
        <v>56</v>
      </c>
      <c r="Q355" s="18" t="s">
        <v>57</v>
      </c>
      <c r="R355" s="18" t="s">
        <v>143</v>
      </c>
      <c r="S355" s="18" t="s">
        <v>59</v>
      </c>
      <c r="T355" s="38">
        <v>2026.0</v>
      </c>
      <c r="U355" s="38">
        <v>5.0</v>
      </c>
      <c r="V355" s="38">
        <v>1.081522367E9</v>
      </c>
      <c r="W355" s="38">
        <v>1.081540437E9</v>
      </c>
      <c r="X355" s="18" t="s">
        <v>2199</v>
      </c>
      <c r="Y355" s="18" t="s">
        <v>2200</v>
      </c>
      <c r="Z355" s="38">
        <v>355715.8</v>
      </c>
      <c r="AA355" s="38">
        <v>355715.8</v>
      </c>
      <c r="AB355" s="38">
        <v>0.0</v>
      </c>
      <c r="AC355" s="38">
        <v>1673.0</v>
      </c>
      <c r="AD355" s="38">
        <v>0.0</v>
      </c>
      <c r="AE355" s="38">
        <v>0.0</v>
      </c>
      <c r="AF355" s="38">
        <v>0.0</v>
      </c>
      <c r="AG355" s="38">
        <v>0.0</v>
      </c>
      <c r="AH355" s="38">
        <v>0.0</v>
      </c>
      <c r="AI355" s="38">
        <v>355715.8</v>
      </c>
      <c r="AJ355" s="38">
        <v>866189.77</v>
      </c>
      <c r="AK355" s="38">
        <v>3.0</v>
      </c>
      <c r="AL355" s="38">
        <v>250.8</v>
      </c>
      <c r="AM355" s="38">
        <v>0.0</v>
      </c>
      <c r="AN355" s="34" t="s">
        <v>62</v>
      </c>
      <c r="AO355" s="34" t="s">
        <v>62</v>
      </c>
      <c r="AP355" s="34" t="s">
        <v>62</v>
      </c>
      <c r="AQ355" s="34" t="s">
        <v>62</v>
      </c>
      <c r="AR355" s="38">
        <v>0.0</v>
      </c>
      <c r="AS355" s="38" t="s">
        <v>2293</v>
      </c>
      <c r="AT355" s="35" t="s">
        <v>2294</v>
      </c>
      <c r="AU355" s="39" t="s">
        <v>2295</v>
      </c>
      <c r="AV355" s="40">
        <v>46164.0</v>
      </c>
    </row>
    <row r="356">
      <c r="A356" s="38">
        <v>455370.0</v>
      </c>
      <c r="B356" s="38">
        <v>3249.0</v>
      </c>
      <c r="C356" s="38">
        <v>3249.0</v>
      </c>
      <c r="D356" s="38">
        <v>8.0212707E7</v>
      </c>
      <c r="E356" s="38">
        <v>8.0212707E7</v>
      </c>
      <c r="F356" s="18" t="s">
        <v>148</v>
      </c>
      <c r="G356" s="18" t="s">
        <v>149</v>
      </c>
      <c r="H356" s="18" t="s">
        <v>2296</v>
      </c>
      <c r="I356" s="18" t="s">
        <v>368</v>
      </c>
      <c r="J356" s="18" t="s">
        <v>2205</v>
      </c>
      <c r="K356" s="18" t="s">
        <v>2292</v>
      </c>
      <c r="L356" s="18" t="s">
        <v>52</v>
      </c>
      <c r="M356" s="18" t="s">
        <v>138</v>
      </c>
      <c r="N356" s="18" t="s">
        <v>130</v>
      </c>
      <c r="O356" s="18" t="s">
        <v>126</v>
      </c>
      <c r="P356" s="18" t="s">
        <v>56</v>
      </c>
      <c r="Q356" s="18" t="s">
        <v>57</v>
      </c>
      <c r="R356" s="18" t="s">
        <v>143</v>
      </c>
      <c r="S356" s="18" t="s">
        <v>59</v>
      </c>
      <c r="T356" s="38">
        <v>2026.0</v>
      </c>
      <c r="U356" s="38">
        <v>5.0</v>
      </c>
      <c r="V356" s="38">
        <v>1.081522371E9</v>
      </c>
      <c r="W356" s="38">
        <v>1.081540441E9</v>
      </c>
      <c r="X356" s="18" t="s">
        <v>2199</v>
      </c>
      <c r="Y356" s="18" t="s">
        <v>2200</v>
      </c>
      <c r="Z356" s="38">
        <v>403548.18</v>
      </c>
      <c r="AA356" s="38">
        <v>403548.18</v>
      </c>
      <c r="AB356" s="38">
        <v>0.0</v>
      </c>
      <c r="AC356" s="38">
        <v>1925.0</v>
      </c>
      <c r="AD356" s="38">
        <v>0.0</v>
      </c>
      <c r="AE356" s="38">
        <v>0.0</v>
      </c>
      <c r="AF356" s="38">
        <v>0.0</v>
      </c>
      <c r="AG356" s="38">
        <v>0.0</v>
      </c>
      <c r="AH356" s="38">
        <v>0.0</v>
      </c>
      <c r="AI356" s="38">
        <v>403548.18</v>
      </c>
      <c r="AJ356" s="38">
        <v>960705.91</v>
      </c>
      <c r="AK356" s="38">
        <v>3.0</v>
      </c>
      <c r="AL356" s="38">
        <v>250.8</v>
      </c>
      <c r="AM356" s="38">
        <v>0.0</v>
      </c>
      <c r="AN356" s="34" t="s">
        <v>62</v>
      </c>
      <c r="AO356" s="34" t="s">
        <v>62</v>
      </c>
      <c r="AP356" s="34" t="s">
        <v>62</v>
      </c>
      <c r="AQ356" s="34" t="s">
        <v>62</v>
      </c>
      <c r="AR356" s="38">
        <v>0.0</v>
      </c>
      <c r="AS356" s="38" t="s">
        <v>2293</v>
      </c>
      <c r="AT356" s="35" t="s">
        <v>2294</v>
      </c>
      <c r="AU356" s="39" t="s">
        <v>2295</v>
      </c>
      <c r="AV356" s="40">
        <v>46164.0</v>
      </c>
    </row>
    <row r="357">
      <c r="A357" s="38">
        <v>455370.0</v>
      </c>
      <c r="B357" s="38">
        <v>3253.0</v>
      </c>
      <c r="C357" s="38">
        <v>3253.0</v>
      </c>
      <c r="D357" s="38">
        <v>8.0212711E7</v>
      </c>
      <c r="E357" s="38">
        <v>8.0212711E7</v>
      </c>
      <c r="F357" s="18" t="s">
        <v>148</v>
      </c>
      <c r="G357" s="18" t="s">
        <v>149</v>
      </c>
      <c r="H357" s="18" t="s">
        <v>2296</v>
      </c>
      <c r="I357" s="18" t="s">
        <v>760</v>
      </c>
      <c r="J357" s="18" t="s">
        <v>2205</v>
      </c>
      <c r="K357" s="18" t="s">
        <v>2292</v>
      </c>
      <c r="L357" s="18" t="s">
        <v>52</v>
      </c>
      <c r="M357" s="18" t="s">
        <v>138</v>
      </c>
      <c r="N357" s="18" t="s">
        <v>130</v>
      </c>
      <c r="O357" s="18" t="s">
        <v>126</v>
      </c>
      <c r="P357" s="18" t="s">
        <v>56</v>
      </c>
      <c r="Q357" s="18" t="s">
        <v>57</v>
      </c>
      <c r="R357" s="18" t="s">
        <v>143</v>
      </c>
      <c r="S357" s="18" t="s">
        <v>59</v>
      </c>
      <c r="T357" s="38">
        <v>2026.0</v>
      </c>
      <c r="U357" s="38">
        <v>5.0</v>
      </c>
      <c r="V357" s="38">
        <v>1.081522375E9</v>
      </c>
      <c r="W357" s="38">
        <v>1.081540445E9</v>
      </c>
      <c r="X357" s="18" t="s">
        <v>2199</v>
      </c>
      <c r="Y357" s="18" t="s">
        <v>2200</v>
      </c>
      <c r="Z357" s="38">
        <v>177673.09</v>
      </c>
      <c r="AA357" s="38">
        <v>177673.09</v>
      </c>
      <c r="AB357" s="38">
        <v>0.0</v>
      </c>
      <c r="AC357" s="38">
        <v>735.0</v>
      </c>
      <c r="AD357" s="38">
        <v>0.0</v>
      </c>
      <c r="AE357" s="38">
        <v>0.0</v>
      </c>
      <c r="AF357" s="38">
        <v>0.0</v>
      </c>
      <c r="AG357" s="38">
        <v>0.0</v>
      </c>
      <c r="AH357" s="38">
        <v>0.0</v>
      </c>
      <c r="AI357" s="38">
        <v>177673.09</v>
      </c>
      <c r="AJ357" s="38">
        <v>514379.75</v>
      </c>
      <c r="AK357" s="38">
        <v>3.0</v>
      </c>
      <c r="AL357" s="38">
        <v>250.8</v>
      </c>
      <c r="AM357" s="38">
        <v>0.0</v>
      </c>
      <c r="AN357" s="34" t="s">
        <v>62</v>
      </c>
      <c r="AO357" s="34" t="s">
        <v>62</v>
      </c>
      <c r="AP357" s="34" t="s">
        <v>62</v>
      </c>
      <c r="AQ357" s="34" t="s">
        <v>62</v>
      </c>
      <c r="AR357" s="38">
        <v>0.0</v>
      </c>
      <c r="AS357" s="38" t="s">
        <v>2293</v>
      </c>
      <c r="AT357" s="35" t="s">
        <v>2294</v>
      </c>
      <c r="AU357" s="39" t="s">
        <v>2295</v>
      </c>
      <c r="AV357" s="40">
        <v>46164.0</v>
      </c>
    </row>
    <row r="358">
      <c r="A358" s="38">
        <v>455370.0</v>
      </c>
      <c r="B358" s="38">
        <v>3257.0</v>
      </c>
      <c r="C358" s="38">
        <v>3257.0</v>
      </c>
      <c r="D358" s="38">
        <v>8.0212715E7</v>
      </c>
      <c r="E358" s="38">
        <v>8.0212715E7</v>
      </c>
      <c r="F358" s="18" t="s">
        <v>148</v>
      </c>
      <c r="G358" s="18" t="s">
        <v>149</v>
      </c>
      <c r="H358" s="18" t="s">
        <v>2296</v>
      </c>
      <c r="I358" s="18" t="s">
        <v>222</v>
      </c>
      <c r="J358" s="18" t="s">
        <v>2205</v>
      </c>
      <c r="K358" s="18" t="s">
        <v>2292</v>
      </c>
      <c r="L358" s="18" t="s">
        <v>52</v>
      </c>
      <c r="M358" s="18" t="s">
        <v>138</v>
      </c>
      <c r="N358" s="18" t="s">
        <v>130</v>
      </c>
      <c r="O358" s="18" t="s">
        <v>126</v>
      </c>
      <c r="P358" s="18" t="s">
        <v>56</v>
      </c>
      <c r="Q358" s="18" t="s">
        <v>57</v>
      </c>
      <c r="R358" s="18" t="s">
        <v>143</v>
      </c>
      <c r="S358" s="18" t="s">
        <v>59</v>
      </c>
      <c r="T358" s="38">
        <v>2026.0</v>
      </c>
      <c r="U358" s="38">
        <v>5.0</v>
      </c>
      <c r="V358" s="38">
        <v>1.081522379E9</v>
      </c>
      <c r="W358" s="38">
        <v>1.081540449E9</v>
      </c>
      <c r="X358" s="18" t="s">
        <v>2199</v>
      </c>
      <c r="Y358" s="18" t="s">
        <v>2200</v>
      </c>
      <c r="Z358" s="38">
        <v>86184.18</v>
      </c>
      <c r="AA358" s="38">
        <v>86184.18</v>
      </c>
      <c r="AB358" s="38">
        <v>0.0</v>
      </c>
      <c r="AC358" s="38">
        <v>253.0</v>
      </c>
      <c r="AD358" s="38">
        <v>0.0</v>
      </c>
      <c r="AE358" s="38">
        <v>0.0</v>
      </c>
      <c r="AF358" s="38">
        <v>0.0</v>
      </c>
      <c r="AG358" s="38">
        <v>0.0</v>
      </c>
      <c r="AH358" s="38">
        <v>0.0</v>
      </c>
      <c r="AI358" s="38">
        <v>86184.18</v>
      </c>
      <c r="AJ358" s="38">
        <v>333598.89</v>
      </c>
      <c r="AK358" s="38">
        <v>3.0</v>
      </c>
      <c r="AL358" s="38">
        <v>250.8</v>
      </c>
      <c r="AM358" s="38">
        <v>0.0</v>
      </c>
      <c r="AN358" s="34" t="s">
        <v>62</v>
      </c>
      <c r="AO358" s="34" t="s">
        <v>62</v>
      </c>
      <c r="AP358" s="34" t="s">
        <v>62</v>
      </c>
      <c r="AQ358" s="34" t="s">
        <v>62</v>
      </c>
      <c r="AR358" s="38">
        <v>0.0</v>
      </c>
      <c r="AS358" s="38" t="s">
        <v>2293</v>
      </c>
      <c r="AT358" s="35" t="s">
        <v>2294</v>
      </c>
      <c r="AU358" s="39" t="s">
        <v>2295</v>
      </c>
      <c r="AV358" s="40">
        <v>46164.0</v>
      </c>
    </row>
    <row r="359">
      <c r="A359" s="38">
        <v>455370.0</v>
      </c>
      <c r="B359" s="38">
        <v>3261.0</v>
      </c>
      <c r="C359" s="38">
        <v>3261.0</v>
      </c>
      <c r="D359" s="38">
        <v>8.0212719E7</v>
      </c>
      <c r="E359" s="38">
        <v>8.0212719E7</v>
      </c>
      <c r="F359" s="18" t="s">
        <v>148</v>
      </c>
      <c r="G359" s="18" t="s">
        <v>149</v>
      </c>
      <c r="H359" s="18" t="s">
        <v>2296</v>
      </c>
      <c r="I359" s="18" t="s">
        <v>165</v>
      </c>
      <c r="J359" s="18" t="s">
        <v>2205</v>
      </c>
      <c r="K359" s="18" t="s">
        <v>2292</v>
      </c>
      <c r="L359" s="18" t="s">
        <v>52</v>
      </c>
      <c r="M359" s="18" t="s">
        <v>138</v>
      </c>
      <c r="N359" s="18" t="s">
        <v>130</v>
      </c>
      <c r="O359" s="18" t="s">
        <v>126</v>
      </c>
      <c r="P359" s="18" t="s">
        <v>56</v>
      </c>
      <c r="Q359" s="18" t="s">
        <v>57</v>
      </c>
      <c r="R359" s="18" t="s">
        <v>143</v>
      </c>
      <c r="S359" s="18" t="s">
        <v>59</v>
      </c>
      <c r="T359" s="38">
        <v>2026.0</v>
      </c>
      <c r="U359" s="38">
        <v>5.0</v>
      </c>
      <c r="V359" s="38">
        <v>1.081522383E9</v>
      </c>
      <c r="W359" s="38">
        <v>1.081540453E9</v>
      </c>
      <c r="X359" s="18" t="s">
        <v>2199</v>
      </c>
      <c r="Y359" s="18" t="s">
        <v>2200</v>
      </c>
      <c r="Z359" s="38">
        <v>294406.85</v>
      </c>
      <c r="AA359" s="38">
        <v>294406.85</v>
      </c>
      <c r="AB359" s="38">
        <v>0.0</v>
      </c>
      <c r="AC359" s="38">
        <v>1350.0</v>
      </c>
      <c r="AD359" s="38">
        <v>0.0</v>
      </c>
      <c r="AE359" s="38">
        <v>0.0</v>
      </c>
      <c r="AF359" s="38">
        <v>0.0</v>
      </c>
      <c r="AG359" s="38">
        <v>0.0</v>
      </c>
      <c r="AH359" s="38">
        <v>0.0</v>
      </c>
      <c r="AI359" s="38">
        <v>294406.85</v>
      </c>
      <c r="AJ359" s="38">
        <v>745044.1</v>
      </c>
      <c r="AK359" s="38">
        <v>3.0</v>
      </c>
      <c r="AL359" s="38">
        <v>250.8</v>
      </c>
      <c r="AM359" s="38">
        <v>0.0</v>
      </c>
      <c r="AN359" s="34" t="s">
        <v>62</v>
      </c>
      <c r="AO359" s="34" t="s">
        <v>62</v>
      </c>
      <c r="AP359" s="34" t="s">
        <v>62</v>
      </c>
      <c r="AQ359" s="34" t="s">
        <v>62</v>
      </c>
      <c r="AR359" s="38">
        <v>0.0</v>
      </c>
      <c r="AS359" s="38" t="s">
        <v>2293</v>
      </c>
      <c r="AT359" s="35" t="s">
        <v>2294</v>
      </c>
      <c r="AU359" s="39" t="s">
        <v>2295</v>
      </c>
      <c r="AV359" s="40">
        <v>46164.0</v>
      </c>
    </row>
    <row r="360">
      <c r="A360" s="38">
        <v>455370.0</v>
      </c>
      <c r="B360" s="38">
        <v>3265.0</v>
      </c>
      <c r="C360" s="38">
        <v>3265.0</v>
      </c>
      <c r="D360" s="38">
        <v>8.0212723E7</v>
      </c>
      <c r="E360" s="38">
        <v>8.0212723E7</v>
      </c>
      <c r="F360" s="18" t="s">
        <v>148</v>
      </c>
      <c r="G360" s="18" t="s">
        <v>149</v>
      </c>
      <c r="H360" s="18" t="s">
        <v>2296</v>
      </c>
      <c r="I360" s="18" t="s">
        <v>353</v>
      </c>
      <c r="J360" s="18" t="s">
        <v>2205</v>
      </c>
      <c r="K360" s="18" t="s">
        <v>2292</v>
      </c>
      <c r="L360" s="18" t="s">
        <v>52</v>
      </c>
      <c r="M360" s="18" t="s">
        <v>138</v>
      </c>
      <c r="N360" s="18" t="s">
        <v>130</v>
      </c>
      <c r="O360" s="18" t="s">
        <v>126</v>
      </c>
      <c r="P360" s="18" t="s">
        <v>56</v>
      </c>
      <c r="Q360" s="18" t="s">
        <v>57</v>
      </c>
      <c r="R360" s="18" t="s">
        <v>143</v>
      </c>
      <c r="S360" s="18" t="s">
        <v>59</v>
      </c>
      <c r="T360" s="38">
        <v>2026.0</v>
      </c>
      <c r="U360" s="38">
        <v>5.0</v>
      </c>
      <c r="V360" s="38">
        <v>1.081522387E9</v>
      </c>
      <c r="W360" s="38">
        <v>1.081540457E9</v>
      </c>
      <c r="X360" s="18" t="s">
        <v>2199</v>
      </c>
      <c r="Y360" s="18" t="s">
        <v>2200</v>
      </c>
      <c r="Z360" s="38">
        <v>331040.37</v>
      </c>
      <c r="AA360" s="38">
        <v>331040.37</v>
      </c>
      <c r="AB360" s="38">
        <v>0.0</v>
      </c>
      <c r="AC360" s="38">
        <v>1543.0</v>
      </c>
      <c r="AD360" s="38">
        <v>0.0</v>
      </c>
      <c r="AE360" s="38">
        <v>0.0</v>
      </c>
      <c r="AF360" s="38">
        <v>0.0</v>
      </c>
      <c r="AG360" s="38">
        <v>0.0</v>
      </c>
      <c r="AH360" s="38">
        <v>0.0</v>
      </c>
      <c r="AI360" s="38">
        <v>331040.37</v>
      </c>
      <c r="AJ360" s="38">
        <v>817431.45</v>
      </c>
      <c r="AK360" s="38">
        <v>3.0</v>
      </c>
      <c r="AL360" s="38">
        <v>250.8</v>
      </c>
      <c r="AM360" s="38">
        <v>0.0</v>
      </c>
      <c r="AN360" s="34" t="s">
        <v>62</v>
      </c>
      <c r="AO360" s="34" t="s">
        <v>62</v>
      </c>
      <c r="AP360" s="34" t="s">
        <v>62</v>
      </c>
      <c r="AQ360" s="34" t="s">
        <v>62</v>
      </c>
      <c r="AR360" s="38">
        <v>0.0</v>
      </c>
      <c r="AS360" s="38" t="s">
        <v>2293</v>
      </c>
      <c r="AT360" s="35" t="s">
        <v>2294</v>
      </c>
      <c r="AU360" s="39" t="s">
        <v>2295</v>
      </c>
      <c r="AV360" s="40">
        <v>46164.0</v>
      </c>
    </row>
    <row r="361">
      <c r="A361" s="38">
        <v>326726.0</v>
      </c>
      <c r="B361" s="38">
        <v>326725.0</v>
      </c>
      <c r="C361" s="38">
        <v>326725.0</v>
      </c>
      <c r="D361" s="38">
        <v>590123.0</v>
      </c>
      <c r="E361" s="38">
        <v>590123.0</v>
      </c>
      <c r="F361" s="38">
        <v>8.90501073E8</v>
      </c>
      <c r="G361" s="18" t="s">
        <v>765</v>
      </c>
      <c r="H361" s="18" t="s">
        <v>2557</v>
      </c>
      <c r="I361" s="18" t="s">
        <v>172</v>
      </c>
      <c r="J361" s="18" t="s">
        <v>2205</v>
      </c>
      <c r="K361" s="18" t="s">
        <v>2205</v>
      </c>
      <c r="L361" s="18" t="s">
        <v>52</v>
      </c>
      <c r="M361" s="18" t="s">
        <v>89</v>
      </c>
      <c r="N361" s="18" t="s">
        <v>130</v>
      </c>
      <c r="O361" s="18" t="s">
        <v>126</v>
      </c>
      <c r="P361" s="18" t="s">
        <v>56</v>
      </c>
      <c r="Q361" s="18" t="s">
        <v>72</v>
      </c>
      <c r="R361" s="18" t="s">
        <v>143</v>
      </c>
      <c r="S361" s="18" t="s">
        <v>59</v>
      </c>
      <c r="T361" s="38">
        <v>2026.0</v>
      </c>
      <c r="U361" s="38">
        <v>5.0</v>
      </c>
      <c r="V361" s="38">
        <v>1.081522538E9</v>
      </c>
      <c r="W361" s="38">
        <v>1.081540608E9</v>
      </c>
      <c r="X361" s="18" t="s">
        <v>2199</v>
      </c>
      <c r="Y361" s="18" t="s">
        <v>2200</v>
      </c>
      <c r="Z361" s="38">
        <v>876936.89</v>
      </c>
      <c r="AA361" s="38">
        <v>876936.89</v>
      </c>
      <c r="AB361" s="38">
        <v>28531.59</v>
      </c>
      <c r="AC361" s="38">
        <v>300.0</v>
      </c>
      <c r="AD361" s="38">
        <v>0.0</v>
      </c>
      <c r="AE361" s="38">
        <v>0.0</v>
      </c>
      <c r="AF361" s="38">
        <v>0.0</v>
      </c>
      <c r="AG361" s="38">
        <v>0.0</v>
      </c>
      <c r="AH361" s="38">
        <v>0.0</v>
      </c>
      <c r="AI361" s="38">
        <v>876936.89</v>
      </c>
      <c r="AJ361" s="38">
        <v>876936.89</v>
      </c>
      <c r="AK361" s="38">
        <v>0.0</v>
      </c>
      <c r="AL361" s="38">
        <v>753626.04</v>
      </c>
      <c r="AM361" s="38">
        <v>0.0</v>
      </c>
      <c r="AN361" s="34" t="s">
        <v>62</v>
      </c>
      <c r="AO361" s="34" t="s">
        <v>62</v>
      </c>
      <c r="AP361" s="34" t="s">
        <v>62</v>
      </c>
      <c r="AQ361" s="34" t="s">
        <v>62</v>
      </c>
      <c r="AR361" s="38">
        <v>0.0</v>
      </c>
      <c r="AS361" s="38" t="s">
        <v>2558</v>
      </c>
      <c r="AT361" s="35" t="s">
        <v>2202</v>
      </c>
      <c r="AU361" s="39" t="s">
        <v>2254</v>
      </c>
      <c r="AV361" s="40">
        <v>46169.0</v>
      </c>
    </row>
    <row r="362">
      <c r="A362" s="38">
        <v>326734.0</v>
      </c>
      <c r="B362" s="38">
        <v>326733.0</v>
      </c>
      <c r="C362" s="38">
        <v>326733.0</v>
      </c>
      <c r="D362" s="38">
        <v>590255.0</v>
      </c>
      <c r="E362" s="38">
        <v>590255.0</v>
      </c>
      <c r="F362" s="38">
        <v>8.9050352E8</v>
      </c>
      <c r="G362" s="18" t="s">
        <v>767</v>
      </c>
      <c r="H362" s="18" t="s">
        <v>2559</v>
      </c>
      <c r="I362" s="18" t="s">
        <v>172</v>
      </c>
      <c r="J362" s="18" t="s">
        <v>2205</v>
      </c>
      <c r="K362" s="18" t="s">
        <v>2205</v>
      </c>
      <c r="L362" s="18" t="s">
        <v>52</v>
      </c>
      <c r="M362" s="18" t="s">
        <v>89</v>
      </c>
      <c r="N362" s="18" t="s">
        <v>130</v>
      </c>
      <c r="O362" s="18" t="s">
        <v>126</v>
      </c>
      <c r="P362" s="18" t="s">
        <v>56</v>
      </c>
      <c r="Q362" s="18" t="s">
        <v>72</v>
      </c>
      <c r="R362" s="18" t="s">
        <v>58</v>
      </c>
      <c r="S362" s="18" t="s">
        <v>59</v>
      </c>
      <c r="T362" s="38">
        <v>2026.0</v>
      </c>
      <c r="U362" s="38">
        <v>5.0</v>
      </c>
      <c r="V362" s="38">
        <v>1.081522542E9</v>
      </c>
      <c r="W362" s="38">
        <v>1.081540612E9</v>
      </c>
      <c r="X362" s="18" t="s">
        <v>2199</v>
      </c>
      <c r="Y362" s="18" t="s">
        <v>2200</v>
      </c>
      <c r="Z362" s="38">
        <v>2740374.14</v>
      </c>
      <c r="AA362" s="38">
        <v>2740374.14</v>
      </c>
      <c r="AB362" s="38">
        <v>622165.5</v>
      </c>
      <c r="AC362" s="38">
        <v>10725.0</v>
      </c>
      <c r="AD362" s="38">
        <v>44323.66</v>
      </c>
      <c r="AE362" s="38">
        <v>0.0</v>
      </c>
      <c r="AF362" s="38">
        <v>0.0</v>
      </c>
      <c r="AG362" s="38">
        <v>0.0</v>
      </c>
      <c r="AH362" s="38">
        <v>0.0</v>
      </c>
      <c r="AI362" s="38">
        <v>2740374.14</v>
      </c>
      <c r="AJ362" s="38">
        <v>8862101.16</v>
      </c>
      <c r="AK362" s="38">
        <v>2.0</v>
      </c>
      <c r="AL362" s="38">
        <v>326.04</v>
      </c>
      <c r="AM362" s="38">
        <v>0.0</v>
      </c>
      <c r="AN362" s="34" t="s">
        <v>62</v>
      </c>
      <c r="AO362" s="34" t="s">
        <v>62</v>
      </c>
      <c r="AP362" s="34" t="s">
        <v>62</v>
      </c>
      <c r="AQ362" s="34" t="s">
        <v>62</v>
      </c>
      <c r="AR362" s="38">
        <v>0.0</v>
      </c>
      <c r="AS362" s="38" t="s">
        <v>2560</v>
      </c>
      <c r="AT362" s="35" t="s">
        <v>2202</v>
      </c>
      <c r="AU362" s="39" t="s">
        <v>2254</v>
      </c>
      <c r="AV362" s="40">
        <v>46169.0</v>
      </c>
    </row>
    <row r="363">
      <c r="A363" s="38">
        <v>455370.0</v>
      </c>
      <c r="B363" s="38">
        <v>3269.0</v>
      </c>
      <c r="C363" s="38">
        <v>3269.0</v>
      </c>
      <c r="D363" s="38">
        <v>8.0212727E7</v>
      </c>
      <c r="E363" s="38">
        <v>8.0212727E7</v>
      </c>
      <c r="F363" s="18" t="s">
        <v>148</v>
      </c>
      <c r="G363" s="18" t="s">
        <v>149</v>
      </c>
      <c r="H363" s="18" t="s">
        <v>2296</v>
      </c>
      <c r="I363" s="18" t="s">
        <v>167</v>
      </c>
      <c r="J363" s="18" t="s">
        <v>2205</v>
      </c>
      <c r="K363" s="18" t="s">
        <v>2292</v>
      </c>
      <c r="L363" s="18" t="s">
        <v>52</v>
      </c>
      <c r="M363" s="18" t="s">
        <v>138</v>
      </c>
      <c r="N363" s="18" t="s">
        <v>130</v>
      </c>
      <c r="O363" s="18" t="s">
        <v>126</v>
      </c>
      <c r="P363" s="18" t="s">
        <v>56</v>
      </c>
      <c r="Q363" s="18" t="s">
        <v>57</v>
      </c>
      <c r="R363" s="18" t="s">
        <v>143</v>
      </c>
      <c r="S363" s="18" t="s">
        <v>59</v>
      </c>
      <c r="T363" s="38">
        <v>2026.0</v>
      </c>
      <c r="U363" s="38">
        <v>5.0</v>
      </c>
      <c r="V363" s="38">
        <v>1.081522391E9</v>
      </c>
      <c r="W363" s="38">
        <v>1.081540461E9</v>
      </c>
      <c r="X363" s="18" t="s">
        <v>2199</v>
      </c>
      <c r="Y363" s="18" t="s">
        <v>2200</v>
      </c>
      <c r="Z363" s="38">
        <v>171978.76</v>
      </c>
      <c r="AA363" s="38">
        <v>171978.76</v>
      </c>
      <c r="AB363" s="38">
        <v>0.0</v>
      </c>
      <c r="AC363" s="38">
        <v>705.0</v>
      </c>
      <c r="AD363" s="38">
        <v>0.0</v>
      </c>
      <c r="AE363" s="38">
        <v>0.0</v>
      </c>
      <c r="AF363" s="38">
        <v>0.0</v>
      </c>
      <c r="AG363" s="38">
        <v>0.0</v>
      </c>
      <c r="AH363" s="38">
        <v>0.0</v>
      </c>
      <c r="AI363" s="38">
        <v>171978.76</v>
      </c>
      <c r="AJ363" s="38">
        <v>503127.83</v>
      </c>
      <c r="AK363" s="38">
        <v>3.0</v>
      </c>
      <c r="AL363" s="38">
        <v>250.8</v>
      </c>
      <c r="AM363" s="38">
        <v>0.0</v>
      </c>
      <c r="AN363" s="34" t="s">
        <v>62</v>
      </c>
      <c r="AO363" s="34" t="s">
        <v>62</v>
      </c>
      <c r="AP363" s="34" t="s">
        <v>62</v>
      </c>
      <c r="AQ363" s="34" t="s">
        <v>62</v>
      </c>
      <c r="AR363" s="38">
        <v>0.0</v>
      </c>
      <c r="AS363" s="38" t="s">
        <v>2293</v>
      </c>
      <c r="AT363" s="35" t="s">
        <v>2294</v>
      </c>
      <c r="AU363" s="39" t="s">
        <v>2295</v>
      </c>
      <c r="AV363" s="40">
        <v>46164.0</v>
      </c>
    </row>
    <row r="364">
      <c r="A364" s="38">
        <v>455370.0</v>
      </c>
      <c r="B364" s="38">
        <v>3273.0</v>
      </c>
      <c r="C364" s="38">
        <v>3273.0</v>
      </c>
      <c r="D364" s="38">
        <v>8.0212731E7</v>
      </c>
      <c r="E364" s="38">
        <v>8.0212731E7</v>
      </c>
      <c r="F364" s="18" t="s">
        <v>148</v>
      </c>
      <c r="G364" s="18" t="s">
        <v>149</v>
      </c>
      <c r="H364" s="18" t="s">
        <v>2296</v>
      </c>
      <c r="I364" s="18" t="s">
        <v>200</v>
      </c>
      <c r="J364" s="18" t="s">
        <v>2205</v>
      </c>
      <c r="K364" s="18" t="s">
        <v>2292</v>
      </c>
      <c r="L364" s="18" t="s">
        <v>52</v>
      </c>
      <c r="M364" s="18" t="s">
        <v>138</v>
      </c>
      <c r="N364" s="18" t="s">
        <v>130</v>
      </c>
      <c r="O364" s="18" t="s">
        <v>126</v>
      </c>
      <c r="P364" s="18" t="s">
        <v>56</v>
      </c>
      <c r="Q364" s="18" t="s">
        <v>57</v>
      </c>
      <c r="R364" s="18" t="s">
        <v>143</v>
      </c>
      <c r="S364" s="18" t="s">
        <v>59</v>
      </c>
      <c r="T364" s="38">
        <v>2026.0</v>
      </c>
      <c r="U364" s="38">
        <v>5.0</v>
      </c>
      <c r="V364" s="38">
        <v>1.081522395E9</v>
      </c>
      <c r="W364" s="38">
        <v>1.081540465E9</v>
      </c>
      <c r="X364" s="18" t="s">
        <v>2199</v>
      </c>
      <c r="Y364" s="18" t="s">
        <v>2200</v>
      </c>
      <c r="Z364" s="38">
        <v>303517.78</v>
      </c>
      <c r="AA364" s="38">
        <v>303517.78</v>
      </c>
      <c r="AB364" s="38">
        <v>0.0</v>
      </c>
      <c r="AC364" s="38">
        <v>1398.0</v>
      </c>
      <c r="AD364" s="38">
        <v>0.0</v>
      </c>
      <c r="AE364" s="38">
        <v>0.0</v>
      </c>
      <c r="AF364" s="38">
        <v>0.0</v>
      </c>
      <c r="AG364" s="38">
        <v>0.0</v>
      </c>
      <c r="AH364" s="38">
        <v>0.0</v>
      </c>
      <c r="AI364" s="38">
        <v>303517.78</v>
      </c>
      <c r="AJ364" s="38">
        <v>763047.18</v>
      </c>
      <c r="AK364" s="38">
        <v>3.0</v>
      </c>
      <c r="AL364" s="38">
        <v>250.8</v>
      </c>
      <c r="AM364" s="38">
        <v>0.0</v>
      </c>
      <c r="AN364" s="34" t="s">
        <v>62</v>
      </c>
      <c r="AO364" s="34" t="s">
        <v>62</v>
      </c>
      <c r="AP364" s="34" t="s">
        <v>62</v>
      </c>
      <c r="AQ364" s="34" t="s">
        <v>62</v>
      </c>
      <c r="AR364" s="38">
        <v>0.0</v>
      </c>
      <c r="AS364" s="38" t="s">
        <v>2293</v>
      </c>
      <c r="AT364" s="35" t="s">
        <v>2294</v>
      </c>
      <c r="AU364" s="39" t="s">
        <v>2295</v>
      </c>
      <c r="AV364" s="40">
        <v>46164.0</v>
      </c>
    </row>
    <row r="365">
      <c r="A365" s="38">
        <v>455370.0</v>
      </c>
      <c r="B365" s="38">
        <v>3277.0</v>
      </c>
      <c r="C365" s="38">
        <v>3277.0</v>
      </c>
      <c r="D365" s="38">
        <v>8.0212735E7</v>
      </c>
      <c r="E365" s="38">
        <v>8.0212735E7</v>
      </c>
      <c r="F365" s="18" t="s">
        <v>148</v>
      </c>
      <c r="G365" s="18" t="s">
        <v>149</v>
      </c>
      <c r="H365" s="18" t="s">
        <v>2296</v>
      </c>
      <c r="I365" s="18" t="s">
        <v>771</v>
      </c>
      <c r="J365" s="18" t="s">
        <v>2205</v>
      </c>
      <c r="K365" s="18" t="s">
        <v>2292</v>
      </c>
      <c r="L365" s="18" t="s">
        <v>52</v>
      </c>
      <c r="M365" s="18" t="s">
        <v>138</v>
      </c>
      <c r="N365" s="18" t="s">
        <v>130</v>
      </c>
      <c r="O365" s="18" t="s">
        <v>126</v>
      </c>
      <c r="P365" s="18" t="s">
        <v>56</v>
      </c>
      <c r="Q365" s="18" t="s">
        <v>57</v>
      </c>
      <c r="R365" s="18" t="s">
        <v>143</v>
      </c>
      <c r="S365" s="18" t="s">
        <v>59</v>
      </c>
      <c r="T365" s="38">
        <v>2026.0</v>
      </c>
      <c r="U365" s="38">
        <v>5.0</v>
      </c>
      <c r="V365" s="38">
        <v>1.081522399E9</v>
      </c>
      <c r="W365" s="38">
        <v>1.081540469E9</v>
      </c>
      <c r="X365" s="18" t="s">
        <v>2199</v>
      </c>
      <c r="Y365" s="18" t="s">
        <v>2200</v>
      </c>
      <c r="Z365" s="38">
        <v>200450.41</v>
      </c>
      <c r="AA365" s="38">
        <v>200450.41</v>
      </c>
      <c r="AB365" s="38">
        <v>0.0</v>
      </c>
      <c r="AC365" s="38">
        <v>855.0</v>
      </c>
      <c r="AD365" s="38">
        <v>0.0</v>
      </c>
      <c r="AE365" s="38">
        <v>0.0</v>
      </c>
      <c r="AF365" s="38">
        <v>0.0</v>
      </c>
      <c r="AG365" s="38">
        <v>0.0</v>
      </c>
      <c r="AH365" s="38">
        <v>0.0</v>
      </c>
      <c r="AI365" s="38">
        <v>200450.41</v>
      </c>
      <c r="AJ365" s="38">
        <v>559387.43</v>
      </c>
      <c r="AK365" s="38">
        <v>3.0</v>
      </c>
      <c r="AL365" s="38">
        <v>250.8</v>
      </c>
      <c r="AM365" s="38">
        <v>0.0</v>
      </c>
      <c r="AN365" s="34" t="s">
        <v>62</v>
      </c>
      <c r="AO365" s="34" t="s">
        <v>62</v>
      </c>
      <c r="AP365" s="34" t="s">
        <v>62</v>
      </c>
      <c r="AQ365" s="34" t="s">
        <v>62</v>
      </c>
      <c r="AR365" s="38">
        <v>0.0</v>
      </c>
      <c r="AS365" s="38" t="s">
        <v>2293</v>
      </c>
      <c r="AT365" s="35" t="s">
        <v>2294</v>
      </c>
      <c r="AU365" s="39" t="s">
        <v>2295</v>
      </c>
      <c r="AV365" s="40">
        <v>46164.0</v>
      </c>
    </row>
    <row r="366">
      <c r="A366" s="38">
        <v>455370.0</v>
      </c>
      <c r="B366" s="38">
        <v>3281.0</v>
      </c>
      <c r="C366" s="38">
        <v>3281.0</v>
      </c>
      <c r="D366" s="38">
        <v>8.0212739E7</v>
      </c>
      <c r="E366" s="38">
        <v>8.0212739E7</v>
      </c>
      <c r="F366" s="18" t="s">
        <v>148</v>
      </c>
      <c r="G366" s="18" t="s">
        <v>149</v>
      </c>
      <c r="H366" s="18" t="s">
        <v>2296</v>
      </c>
      <c r="I366" s="18" t="s">
        <v>175</v>
      </c>
      <c r="J366" s="18" t="s">
        <v>2205</v>
      </c>
      <c r="K366" s="18" t="s">
        <v>2292</v>
      </c>
      <c r="L366" s="18" t="s">
        <v>52</v>
      </c>
      <c r="M366" s="18" t="s">
        <v>138</v>
      </c>
      <c r="N366" s="18" t="s">
        <v>130</v>
      </c>
      <c r="O366" s="18" t="s">
        <v>126</v>
      </c>
      <c r="P366" s="18" t="s">
        <v>56</v>
      </c>
      <c r="Q366" s="18" t="s">
        <v>57</v>
      </c>
      <c r="R366" s="18" t="s">
        <v>143</v>
      </c>
      <c r="S366" s="18" t="s">
        <v>59</v>
      </c>
      <c r="T366" s="38">
        <v>2026.0</v>
      </c>
      <c r="U366" s="38">
        <v>5.0</v>
      </c>
      <c r="V366" s="38">
        <v>1.081522403E9</v>
      </c>
      <c r="W366" s="38">
        <v>1.081540473E9</v>
      </c>
      <c r="X366" s="18" t="s">
        <v>2199</v>
      </c>
      <c r="Y366" s="18" t="s">
        <v>2200</v>
      </c>
      <c r="Z366" s="38">
        <v>86184.18</v>
      </c>
      <c r="AA366" s="38">
        <v>86184.18</v>
      </c>
      <c r="AB366" s="38">
        <v>0.0</v>
      </c>
      <c r="AC366" s="38">
        <v>253.0</v>
      </c>
      <c r="AD366" s="38">
        <v>0.0</v>
      </c>
      <c r="AE366" s="38">
        <v>0.0</v>
      </c>
      <c r="AF366" s="38">
        <v>0.0</v>
      </c>
      <c r="AG366" s="38">
        <v>0.0</v>
      </c>
      <c r="AH366" s="38">
        <v>0.0</v>
      </c>
      <c r="AI366" s="38">
        <v>86184.18</v>
      </c>
      <c r="AJ366" s="38">
        <v>333598.89</v>
      </c>
      <c r="AK366" s="38">
        <v>3.0</v>
      </c>
      <c r="AL366" s="38">
        <v>250.8</v>
      </c>
      <c r="AM366" s="38">
        <v>0.0</v>
      </c>
      <c r="AN366" s="34" t="s">
        <v>62</v>
      </c>
      <c r="AO366" s="34" t="s">
        <v>62</v>
      </c>
      <c r="AP366" s="34" t="s">
        <v>62</v>
      </c>
      <c r="AQ366" s="34" t="s">
        <v>62</v>
      </c>
      <c r="AR366" s="38">
        <v>0.0</v>
      </c>
      <c r="AS366" s="38" t="s">
        <v>2293</v>
      </c>
      <c r="AT366" s="35" t="s">
        <v>2294</v>
      </c>
      <c r="AU366" s="39" t="s">
        <v>2295</v>
      </c>
      <c r="AV366" s="40">
        <v>46164.0</v>
      </c>
    </row>
    <row r="367">
      <c r="A367" s="38">
        <v>3286.0</v>
      </c>
      <c r="B367" s="38">
        <v>3285.0</v>
      </c>
      <c r="C367" s="38">
        <v>3285.0</v>
      </c>
      <c r="D367" s="38">
        <v>8.021731E7</v>
      </c>
      <c r="E367" s="38">
        <v>8.021731E7</v>
      </c>
      <c r="F367" s="18" t="s">
        <v>774</v>
      </c>
      <c r="G367" s="18" t="s">
        <v>775</v>
      </c>
      <c r="H367" s="18" t="s">
        <v>2561</v>
      </c>
      <c r="I367" s="18" t="s">
        <v>181</v>
      </c>
      <c r="J367" s="18" t="s">
        <v>2205</v>
      </c>
      <c r="K367" s="18" t="s">
        <v>2205</v>
      </c>
      <c r="L367" s="18" t="s">
        <v>52</v>
      </c>
      <c r="M367" s="18" t="s">
        <v>89</v>
      </c>
      <c r="N367" s="18" t="s">
        <v>130</v>
      </c>
      <c r="O367" s="18" t="s">
        <v>126</v>
      </c>
      <c r="P367" s="18" t="s">
        <v>56</v>
      </c>
      <c r="Q367" s="18" t="s">
        <v>72</v>
      </c>
      <c r="R367" s="18" t="s">
        <v>143</v>
      </c>
      <c r="S367" s="18" t="s">
        <v>59</v>
      </c>
      <c r="T367" s="38">
        <v>2026.0</v>
      </c>
      <c r="U367" s="38">
        <v>5.0</v>
      </c>
      <c r="V367" s="38">
        <v>1.081522407E9</v>
      </c>
      <c r="W367" s="38">
        <v>1.081540477E9</v>
      </c>
      <c r="X367" s="18" t="s">
        <v>2199</v>
      </c>
      <c r="Y367" s="18" t="s">
        <v>2200</v>
      </c>
      <c r="Z367" s="38">
        <v>112901.98</v>
      </c>
      <c r="AA367" s="38">
        <v>112901.98</v>
      </c>
      <c r="AB367" s="38">
        <v>25826.79</v>
      </c>
      <c r="AC367" s="38">
        <v>252.5</v>
      </c>
      <c r="AD367" s="38">
        <v>985.9</v>
      </c>
      <c r="AE367" s="38">
        <v>0.0</v>
      </c>
      <c r="AF367" s="38">
        <v>0.0</v>
      </c>
      <c r="AG367" s="38">
        <v>0.0</v>
      </c>
      <c r="AH367" s="38">
        <v>0.0</v>
      </c>
      <c r="AI367" s="38">
        <v>112901.98</v>
      </c>
      <c r="AJ367" s="38">
        <v>213804.57</v>
      </c>
      <c r="AK367" s="38">
        <v>1.0</v>
      </c>
      <c r="AL367" s="38">
        <v>326.04</v>
      </c>
      <c r="AM367" s="38">
        <v>0.0</v>
      </c>
      <c r="AN367" s="34" t="s">
        <v>62</v>
      </c>
      <c r="AO367" s="34" t="s">
        <v>62</v>
      </c>
      <c r="AP367" s="34" t="s">
        <v>62</v>
      </c>
      <c r="AQ367" s="34" t="s">
        <v>62</v>
      </c>
      <c r="AR367" s="38">
        <v>0.0</v>
      </c>
      <c r="AS367" s="38" t="s">
        <v>2562</v>
      </c>
      <c r="AT367" s="35" t="s">
        <v>2202</v>
      </c>
      <c r="AU367" s="39" t="s">
        <v>2254</v>
      </c>
      <c r="AV367" s="40">
        <v>46169.0</v>
      </c>
    </row>
    <row r="368">
      <c r="A368" s="38">
        <v>326717.0</v>
      </c>
      <c r="B368" s="38">
        <v>328521.0</v>
      </c>
      <c r="C368" s="38">
        <v>328521.0</v>
      </c>
      <c r="D368" s="38">
        <v>605611.0</v>
      </c>
      <c r="E368" s="38">
        <v>605611.0</v>
      </c>
      <c r="F368" s="18" t="s">
        <v>419</v>
      </c>
      <c r="G368" s="18" t="s">
        <v>235</v>
      </c>
      <c r="H368" s="18" t="s">
        <v>2312</v>
      </c>
      <c r="I368" s="18" t="s">
        <v>172</v>
      </c>
      <c r="J368" s="18" t="s">
        <v>2205</v>
      </c>
      <c r="K368" s="18" t="s">
        <v>2313</v>
      </c>
      <c r="L368" s="18" t="s">
        <v>52</v>
      </c>
      <c r="M368" s="18" t="s">
        <v>89</v>
      </c>
      <c r="N368" s="18" t="s">
        <v>130</v>
      </c>
      <c r="O368" s="18" t="s">
        <v>126</v>
      </c>
      <c r="P368" s="18" t="s">
        <v>56</v>
      </c>
      <c r="Q368" s="18" t="s">
        <v>72</v>
      </c>
      <c r="R368" s="18" t="s">
        <v>143</v>
      </c>
      <c r="S368" s="18" t="s">
        <v>59</v>
      </c>
      <c r="T368" s="38">
        <v>2026.0</v>
      </c>
      <c r="U368" s="38">
        <v>5.0</v>
      </c>
      <c r="V368" s="38">
        <v>1.08152255E9</v>
      </c>
      <c r="W368" s="38">
        <v>1.08154062E9</v>
      </c>
      <c r="X368" s="18" t="s">
        <v>2199</v>
      </c>
      <c r="Y368" s="18" t="s">
        <v>2200</v>
      </c>
      <c r="Z368" s="38">
        <v>135974.61</v>
      </c>
      <c r="AA368" s="38">
        <v>135974.61</v>
      </c>
      <c r="AB368" s="38">
        <v>31378.76</v>
      </c>
      <c r="AC368" s="38">
        <v>350.0</v>
      </c>
      <c r="AD368" s="38">
        <v>0.0</v>
      </c>
      <c r="AE368" s="38">
        <v>0.0</v>
      </c>
      <c r="AF368" s="38">
        <v>0.0</v>
      </c>
      <c r="AG368" s="38">
        <v>0.0</v>
      </c>
      <c r="AH368" s="38">
        <v>0.0</v>
      </c>
      <c r="AI368" s="38">
        <v>135974.61</v>
      </c>
      <c r="AJ368" s="38">
        <v>135974.61</v>
      </c>
      <c r="AK368" s="38">
        <v>0.0</v>
      </c>
      <c r="AL368" s="38">
        <v>326.04</v>
      </c>
      <c r="AM368" s="38">
        <v>0.0</v>
      </c>
      <c r="AN368" s="34" t="s">
        <v>62</v>
      </c>
      <c r="AO368" s="34" t="s">
        <v>62</v>
      </c>
      <c r="AP368" s="34" t="s">
        <v>62</v>
      </c>
      <c r="AQ368" s="34" t="s">
        <v>62</v>
      </c>
      <c r="AR368" s="38">
        <v>0.0</v>
      </c>
      <c r="AS368" s="38" t="s">
        <v>2314</v>
      </c>
      <c r="AT368" s="35" t="s">
        <v>2202</v>
      </c>
      <c r="AU368" s="39" t="s">
        <v>2203</v>
      </c>
      <c r="AV368" s="40">
        <v>46163.0</v>
      </c>
    </row>
    <row r="369">
      <c r="A369" s="38">
        <v>147.0</v>
      </c>
      <c r="B369" s="38">
        <v>3289.0</v>
      </c>
      <c r="C369" s="38">
        <v>3289.0</v>
      </c>
      <c r="D369" s="38">
        <v>8.0217314E7</v>
      </c>
      <c r="E369" s="38">
        <v>8.0217314E7</v>
      </c>
      <c r="F369" s="18" t="s">
        <v>179</v>
      </c>
      <c r="G369" s="18" t="s">
        <v>180</v>
      </c>
      <c r="H369" s="18" t="s">
        <v>2320</v>
      </c>
      <c r="I369" s="18" t="s">
        <v>194</v>
      </c>
      <c r="J369" s="18" t="s">
        <v>2205</v>
      </c>
      <c r="K369" s="18" t="s">
        <v>2289</v>
      </c>
      <c r="L369" s="18" t="s">
        <v>52</v>
      </c>
      <c r="M369" s="18" t="s">
        <v>89</v>
      </c>
      <c r="N369" s="18" t="s">
        <v>130</v>
      </c>
      <c r="O369" s="18" t="s">
        <v>126</v>
      </c>
      <c r="P369" s="18" t="s">
        <v>56</v>
      </c>
      <c r="Q369" s="18" t="s">
        <v>57</v>
      </c>
      <c r="R369" s="18" t="s">
        <v>143</v>
      </c>
      <c r="S369" s="18" t="s">
        <v>59</v>
      </c>
      <c r="T369" s="38">
        <v>2026.0</v>
      </c>
      <c r="U369" s="38">
        <v>5.0</v>
      </c>
      <c r="V369" s="38">
        <v>1.081522414E9</v>
      </c>
      <c r="W369" s="38">
        <v>1.081540484E9</v>
      </c>
      <c r="X369" s="18" t="s">
        <v>2199</v>
      </c>
      <c r="Y369" s="18" t="s">
        <v>2200</v>
      </c>
      <c r="Z369" s="38">
        <v>503198.95</v>
      </c>
      <c r="AA369" s="38">
        <v>503198.95</v>
      </c>
      <c r="AB369" s="38">
        <v>0.0</v>
      </c>
      <c r="AC369" s="38">
        <v>2450.0</v>
      </c>
      <c r="AD369" s="38">
        <v>0.0</v>
      </c>
      <c r="AE369" s="38">
        <v>0.0</v>
      </c>
      <c r="AF369" s="38">
        <v>0.0</v>
      </c>
      <c r="AG369" s="38">
        <v>0.0</v>
      </c>
      <c r="AH369" s="38">
        <v>0.0</v>
      </c>
      <c r="AI369" s="38">
        <v>503198.95</v>
      </c>
      <c r="AJ369" s="38">
        <v>995147.8</v>
      </c>
      <c r="AK369" s="38">
        <v>1.0</v>
      </c>
      <c r="AL369" s="38">
        <v>250.8</v>
      </c>
      <c r="AM369" s="38">
        <v>0.0</v>
      </c>
      <c r="AN369" s="34" t="s">
        <v>62</v>
      </c>
      <c r="AO369" s="34" t="s">
        <v>62</v>
      </c>
      <c r="AP369" s="34" t="s">
        <v>62</v>
      </c>
      <c r="AQ369" s="34" t="s">
        <v>62</v>
      </c>
      <c r="AR369" s="38">
        <v>0.0</v>
      </c>
      <c r="AS369" s="38" t="s">
        <v>2321</v>
      </c>
      <c r="AT369" s="35" t="s">
        <v>2202</v>
      </c>
      <c r="AU369" s="39" t="s">
        <v>2203</v>
      </c>
      <c r="AV369" s="40">
        <v>46163.0</v>
      </c>
    </row>
    <row r="370">
      <c r="A370" s="38">
        <v>455370.0</v>
      </c>
      <c r="B370" s="38">
        <v>3293.0</v>
      </c>
      <c r="C370" s="38">
        <v>3293.0</v>
      </c>
      <c r="D370" s="38">
        <v>8.0218485E7</v>
      </c>
      <c r="E370" s="38">
        <v>8.0218485E7</v>
      </c>
      <c r="F370" s="18" t="s">
        <v>148</v>
      </c>
      <c r="G370" s="18" t="s">
        <v>149</v>
      </c>
      <c r="H370" s="18" t="s">
        <v>2296</v>
      </c>
      <c r="I370" s="18" t="s">
        <v>779</v>
      </c>
      <c r="J370" s="18" t="s">
        <v>2205</v>
      </c>
      <c r="K370" s="18" t="s">
        <v>2292</v>
      </c>
      <c r="L370" s="18" t="s">
        <v>52</v>
      </c>
      <c r="M370" s="18" t="s">
        <v>138</v>
      </c>
      <c r="N370" s="18" t="s">
        <v>130</v>
      </c>
      <c r="O370" s="18" t="s">
        <v>126</v>
      </c>
      <c r="P370" s="18" t="s">
        <v>56</v>
      </c>
      <c r="Q370" s="18" t="s">
        <v>57</v>
      </c>
      <c r="R370" s="18" t="s">
        <v>143</v>
      </c>
      <c r="S370" s="18" t="s">
        <v>59</v>
      </c>
      <c r="T370" s="38">
        <v>2026.0</v>
      </c>
      <c r="U370" s="38">
        <v>5.0</v>
      </c>
      <c r="V370" s="38">
        <v>1.081522418E9</v>
      </c>
      <c r="W370" s="38">
        <v>1.081540488E9</v>
      </c>
      <c r="X370" s="18" t="s">
        <v>2199</v>
      </c>
      <c r="Y370" s="18" t="s">
        <v>2200</v>
      </c>
      <c r="Z370" s="38">
        <v>465236.75</v>
      </c>
      <c r="AA370" s="38">
        <v>465236.75</v>
      </c>
      <c r="AB370" s="38">
        <v>0.0</v>
      </c>
      <c r="AC370" s="38">
        <v>2250.0</v>
      </c>
      <c r="AD370" s="38">
        <v>0.0</v>
      </c>
      <c r="AE370" s="38">
        <v>0.0</v>
      </c>
      <c r="AF370" s="38">
        <v>0.0</v>
      </c>
      <c r="AG370" s="38">
        <v>0.0</v>
      </c>
      <c r="AH370" s="38">
        <v>0.0</v>
      </c>
      <c r="AI370" s="38">
        <v>465236.75</v>
      </c>
      <c r="AJ370" s="38">
        <v>1082601.7</v>
      </c>
      <c r="AK370" s="38">
        <v>3.0</v>
      </c>
      <c r="AL370" s="38">
        <v>250.8</v>
      </c>
      <c r="AM370" s="38">
        <v>0.0</v>
      </c>
      <c r="AN370" s="34" t="s">
        <v>62</v>
      </c>
      <c r="AO370" s="34" t="s">
        <v>62</v>
      </c>
      <c r="AP370" s="34" t="s">
        <v>62</v>
      </c>
      <c r="AQ370" s="34" t="s">
        <v>62</v>
      </c>
      <c r="AR370" s="38">
        <v>0.0</v>
      </c>
      <c r="AS370" s="38" t="s">
        <v>2293</v>
      </c>
      <c r="AT370" s="35" t="s">
        <v>2294</v>
      </c>
      <c r="AU370" s="39" t="s">
        <v>2295</v>
      </c>
      <c r="AV370" s="40">
        <v>46164.0</v>
      </c>
    </row>
    <row r="371">
      <c r="A371" s="38">
        <v>3298.0</v>
      </c>
      <c r="B371" s="38">
        <v>3297.0</v>
      </c>
      <c r="C371" s="38">
        <v>3297.0</v>
      </c>
      <c r="D371" s="38">
        <v>8.0219136E7</v>
      </c>
      <c r="E371" s="38">
        <v>8.0219136E7</v>
      </c>
      <c r="F371" s="38">
        <v>8.60533413E8</v>
      </c>
      <c r="G371" s="18" t="s">
        <v>781</v>
      </c>
      <c r="H371" s="18" t="s">
        <v>2563</v>
      </c>
      <c r="I371" s="18" t="s">
        <v>214</v>
      </c>
      <c r="J371" s="18" t="s">
        <v>2205</v>
      </c>
      <c r="K371" s="18" t="s">
        <v>2205</v>
      </c>
      <c r="L371" s="18" t="s">
        <v>52</v>
      </c>
      <c r="M371" s="18" t="s">
        <v>89</v>
      </c>
      <c r="N371" s="18" t="s">
        <v>130</v>
      </c>
      <c r="O371" s="18" t="s">
        <v>126</v>
      </c>
      <c r="P371" s="18" t="s">
        <v>56</v>
      </c>
      <c r="Q371" s="18" t="s">
        <v>90</v>
      </c>
      <c r="R371" s="18" t="s">
        <v>143</v>
      </c>
      <c r="S371" s="18" t="s">
        <v>59</v>
      </c>
      <c r="T371" s="38">
        <v>2026.0</v>
      </c>
      <c r="U371" s="38">
        <v>5.0</v>
      </c>
      <c r="V371" s="38">
        <v>1.081522421E9</v>
      </c>
      <c r="W371" s="38">
        <v>1.081540491E9</v>
      </c>
      <c r="X371" s="18" t="s">
        <v>2199</v>
      </c>
      <c r="Y371" s="18" t="s">
        <v>2200</v>
      </c>
      <c r="Z371" s="38">
        <v>263662.48</v>
      </c>
      <c r="AA371" s="38">
        <v>263662.48</v>
      </c>
      <c r="AB371" s="38">
        <v>87887.5</v>
      </c>
      <c r="AC371" s="38">
        <v>725.0</v>
      </c>
      <c r="AD371" s="38">
        <v>0.0</v>
      </c>
      <c r="AE371" s="38">
        <v>0.0</v>
      </c>
      <c r="AF371" s="38">
        <v>0.0</v>
      </c>
      <c r="AG371" s="38">
        <v>0.0</v>
      </c>
      <c r="AH371" s="38">
        <v>0.0</v>
      </c>
      <c r="AI371" s="38">
        <v>263662.48</v>
      </c>
      <c r="AJ371" s="38">
        <v>263662.48</v>
      </c>
      <c r="AK371" s="38">
        <v>0.0</v>
      </c>
      <c r="AL371" s="38">
        <v>376.2</v>
      </c>
      <c r="AM371" s="38">
        <v>0.0</v>
      </c>
      <c r="AN371" s="34" t="s">
        <v>62</v>
      </c>
      <c r="AO371" s="34" t="s">
        <v>62</v>
      </c>
      <c r="AP371" s="34" t="s">
        <v>62</v>
      </c>
      <c r="AQ371" s="34" t="s">
        <v>62</v>
      </c>
      <c r="AR371" s="38">
        <v>0.0</v>
      </c>
      <c r="AS371" s="38" t="s">
        <v>2564</v>
      </c>
      <c r="AT371" s="35" t="s">
        <v>2202</v>
      </c>
      <c r="AU371" s="39" t="s">
        <v>2254</v>
      </c>
      <c r="AV371" s="40">
        <v>46169.0</v>
      </c>
    </row>
    <row r="372">
      <c r="A372" s="38">
        <v>455370.0</v>
      </c>
      <c r="B372" s="38">
        <v>3301.0</v>
      </c>
      <c r="C372" s="38">
        <v>3301.0</v>
      </c>
      <c r="D372" s="38">
        <v>8.0222598E7</v>
      </c>
      <c r="E372" s="38">
        <v>8.0222598E7</v>
      </c>
      <c r="F372" s="18" t="s">
        <v>148</v>
      </c>
      <c r="G372" s="18" t="s">
        <v>149</v>
      </c>
      <c r="H372" s="18" t="s">
        <v>2296</v>
      </c>
      <c r="I372" s="18" t="s">
        <v>783</v>
      </c>
      <c r="J372" s="18" t="s">
        <v>2205</v>
      </c>
      <c r="K372" s="18" t="s">
        <v>2292</v>
      </c>
      <c r="L372" s="18" t="s">
        <v>52</v>
      </c>
      <c r="M372" s="18" t="s">
        <v>138</v>
      </c>
      <c r="N372" s="18" t="s">
        <v>130</v>
      </c>
      <c r="O372" s="18" t="s">
        <v>126</v>
      </c>
      <c r="P372" s="18" t="s">
        <v>56</v>
      </c>
      <c r="Q372" s="18" t="s">
        <v>57</v>
      </c>
      <c r="R372" s="18" t="s">
        <v>143</v>
      </c>
      <c r="S372" s="18" t="s">
        <v>59</v>
      </c>
      <c r="T372" s="38">
        <v>2026.0</v>
      </c>
      <c r="U372" s="38">
        <v>5.0</v>
      </c>
      <c r="V372" s="38">
        <v>1.081522425E9</v>
      </c>
      <c r="W372" s="38">
        <v>1.081540495E9</v>
      </c>
      <c r="X372" s="18" t="s">
        <v>2199</v>
      </c>
      <c r="Y372" s="18" t="s">
        <v>2200</v>
      </c>
      <c r="Z372" s="38">
        <v>86184.18</v>
      </c>
      <c r="AA372" s="38">
        <v>86184.18</v>
      </c>
      <c r="AB372" s="38">
        <v>0.0</v>
      </c>
      <c r="AC372" s="38">
        <v>253.0</v>
      </c>
      <c r="AD372" s="38">
        <v>0.0</v>
      </c>
      <c r="AE372" s="38">
        <v>0.0</v>
      </c>
      <c r="AF372" s="38">
        <v>0.0</v>
      </c>
      <c r="AG372" s="38">
        <v>0.0</v>
      </c>
      <c r="AH372" s="38">
        <v>0.0</v>
      </c>
      <c r="AI372" s="38">
        <v>86184.18</v>
      </c>
      <c r="AJ372" s="38">
        <v>333598.89</v>
      </c>
      <c r="AK372" s="38">
        <v>3.0</v>
      </c>
      <c r="AL372" s="38">
        <v>250.8</v>
      </c>
      <c r="AM372" s="38">
        <v>0.0</v>
      </c>
      <c r="AN372" s="34" t="s">
        <v>62</v>
      </c>
      <c r="AO372" s="34" t="s">
        <v>62</v>
      </c>
      <c r="AP372" s="34" t="s">
        <v>62</v>
      </c>
      <c r="AQ372" s="34" t="s">
        <v>62</v>
      </c>
      <c r="AR372" s="38">
        <v>0.0</v>
      </c>
      <c r="AS372" s="38" t="s">
        <v>2293</v>
      </c>
      <c r="AT372" s="35" t="s">
        <v>2294</v>
      </c>
      <c r="AU372" s="39" t="s">
        <v>2295</v>
      </c>
      <c r="AV372" s="40">
        <v>46164.0</v>
      </c>
    </row>
    <row r="373">
      <c r="A373" s="38">
        <v>3306.0</v>
      </c>
      <c r="B373" s="38">
        <v>3305.0</v>
      </c>
      <c r="C373" s="38">
        <v>3305.0</v>
      </c>
      <c r="D373" s="38">
        <v>8.0226231E7</v>
      </c>
      <c r="E373" s="38">
        <v>8.0226231E7</v>
      </c>
      <c r="F373" s="38">
        <v>1.3442206E7</v>
      </c>
      <c r="G373" s="18" t="s">
        <v>785</v>
      </c>
      <c r="H373" s="18" t="s">
        <v>2565</v>
      </c>
      <c r="I373" s="18" t="s">
        <v>172</v>
      </c>
      <c r="J373" s="18" t="s">
        <v>2205</v>
      </c>
      <c r="K373" s="18" t="s">
        <v>2205</v>
      </c>
      <c r="L373" s="18" t="s">
        <v>52</v>
      </c>
      <c r="M373" s="18" t="s">
        <v>89</v>
      </c>
      <c r="N373" s="18" t="s">
        <v>130</v>
      </c>
      <c r="O373" s="18" t="s">
        <v>126</v>
      </c>
      <c r="P373" s="18" t="s">
        <v>56</v>
      </c>
      <c r="Q373" s="18" t="s">
        <v>72</v>
      </c>
      <c r="R373" s="18" t="s">
        <v>143</v>
      </c>
      <c r="S373" s="18" t="s">
        <v>59</v>
      </c>
      <c r="T373" s="38">
        <v>2026.0</v>
      </c>
      <c r="U373" s="38">
        <v>5.0</v>
      </c>
      <c r="V373" s="38">
        <v>1.081522429E9</v>
      </c>
      <c r="W373" s="38">
        <v>1.081540499E9</v>
      </c>
      <c r="X373" s="18" t="s">
        <v>2199</v>
      </c>
      <c r="Y373" s="18" t="s">
        <v>2200</v>
      </c>
      <c r="Z373" s="38">
        <v>111916.08</v>
      </c>
      <c r="AA373" s="38">
        <v>111916.08</v>
      </c>
      <c r="AB373" s="38">
        <v>25826.79</v>
      </c>
      <c r="AC373" s="38">
        <v>252.5</v>
      </c>
      <c r="AD373" s="38">
        <v>0.0</v>
      </c>
      <c r="AE373" s="38">
        <v>0.0</v>
      </c>
      <c r="AF373" s="38">
        <v>0.0</v>
      </c>
      <c r="AG373" s="38">
        <v>0.0</v>
      </c>
      <c r="AH373" s="38">
        <v>0.0</v>
      </c>
      <c r="AI373" s="38">
        <v>111916.08</v>
      </c>
      <c r="AJ373" s="38">
        <v>222228.1</v>
      </c>
      <c r="AK373" s="38">
        <v>1.0</v>
      </c>
      <c r="AL373" s="38">
        <v>326.04</v>
      </c>
      <c r="AM373" s="38">
        <v>0.0</v>
      </c>
      <c r="AN373" s="34" t="s">
        <v>62</v>
      </c>
      <c r="AO373" s="34" t="s">
        <v>62</v>
      </c>
      <c r="AP373" s="34" t="s">
        <v>62</v>
      </c>
      <c r="AQ373" s="34" t="s">
        <v>62</v>
      </c>
      <c r="AR373" s="38">
        <v>0.0</v>
      </c>
      <c r="AS373" s="38" t="s">
        <v>2566</v>
      </c>
      <c r="AT373" s="35" t="s">
        <v>2202</v>
      </c>
      <c r="AU373" s="39" t="s">
        <v>2254</v>
      </c>
      <c r="AV373" s="40">
        <v>46169.0</v>
      </c>
    </row>
    <row r="374">
      <c r="A374" s="38">
        <v>455370.0</v>
      </c>
      <c r="B374" s="38">
        <v>3309.0</v>
      </c>
      <c r="C374" s="38">
        <v>3309.0</v>
      </c>
      <c r="D374" s="38">
        <v>8.0230158E7</v>
      </c>
      <c r="E374" s="38">
        <v>8.0230158E7</v>
      </c>
      <c r="F374" s="18" t="s">
        <v>148</v>
      </c>
      <c r="G374" s="18" t="s">
        <v>149</v>
      </c>
      <c r="H374" s="18" t="s">
        <v>2296</v>
      </c>
      <c r="I374" s="18" t="s">
        <v>268</v>
      </c>
      <c r="J374" s="18" t="s">
        <v>2205</v>
      </c>
      <c r="K374" s="18" t="s">
        <v>2292</v>
      </c>
      <c r="L374" s="18" t="s">
        <v>52</v>
      </c>
      <c r="M374" s="18" t="s">
        <v>616</v>
      </c>
      <c r="N374" s="18" t="s">
        <v>130</v>
      </c>
      <c r="O374" s="18" t="s">
        <v>126</v>
      </c>
      <c r="P374" s="18" t="s">
        <v>56</v>
      </c>
      <c r="Q374" s="18" t="s">
        <v>57</v>
      </c>
      <c r="R374" s="18" t="s">
        <v>143</v>
      </c>
      <c r="S374" s="18" t="s">
        <v>59</v>
      </c>
      <c r="T374" s="38">
        <v>2026.0</v>
      </c>
      <c r="U374" s="38">
        <v>5.0</v>
      </c>
      <c r="V374" s="38">
        <v>1.081522432E9</v>
      </c>
      <c r="W374" s="38">
        <v>1.081540502E9</v>
      </c>
      <c r="X374" s="18" t="s">
        <v>2199</v>
      </c>
      <c r="Y374" s="18" t="s">
        <v>2200</v>
      </c>
      <c r="Z374" s="38">
        <v>51820.18</v>
      </c>
      <c r="AA374" s="38">
        <v>51820.18</v>
      </c>
      <c r="AB374" s="38">
        <v>0.0</v>
      </c>
      <c r="AC374" s="38">
        <v>253.0</v>
      </c>
      <c r="AD374" s="38">
        <v>0.0</v>
      </c>
      <c r="AE374" s="38">
        <v>0.0</v>
      </c>
      <c r="AF374" s="38">
        <v>0.0</v>
      </c>
      <c r="AG374" s="38">
        <v>0.0</v>
      </c>
      <c r="AH374" s="38">
        <v>0.0</v>
      </c>
      <c r="AI374" s="38">
        <v>51820.18</v>
      </c>
      <c r="AJ374" s="38">
        <v>202896.89</v>
      </c>
      <c r="AK374" s="38">
        <v>3.0</v>
      </c>
      <c r="AL374" s="38">
        <v>250.8</v>
      </c>
      <c r="AM374" s="38">
        <v>0.0</v>
      </c>
      <c r="AN374" s="34" t="s">
        <v>62</v>
      </c>
      <c r="AO374" s="34" t="s">
        <v>62</v>
      </c>
      <c r="AP374" s="34" t="s">
        <v>62</v>
      </c>
      <c r="AQ374" s="34" t="s">
        <v>62</v>
      </c>
      <c r="AR374" s="38">
        <v>0.0</v>
      </c>
      <c r="AS374" s="38" t="s">
        <v>2293</v>
      </c>
      <c r="AT374" s="35" t="s">
        <v>2294</v>
      </c>
      <c r="AU374" s="39" t="s">
        <v>2295</v>
      </c>
      <c r="AV374" s="40">
        <v>46164.0</v>
      </c>
    </row>
    <row r="375">
      <c r="A375" s="38">
        <v>3314.0</v>
      </c>
      <c r="B375" s="38">
        <v>3313.0</v>
      </c>
      <c r="C375" s="38">
        <v>3313.0</v>
      </c>
      <c r="D375" s="38">
        <v>8.0230162E7</v>
      </c>
      <c r="E375" s="38">
        <v>8.0230162E7</v>
      </c>
      <c r="F375" s="38">
        <v>8508653.0</v>
      </c>
      <c r="G375" s="18" t="s">
        <v>788</v>
      </c>
      <c r="H375" s="18" t="s">
        <v>2567</v>
      </c>
      <c r="I375" s="18" t="s">
        <v>172</v>
      </c>
      <c r="J375" s="18" t="s">
        <v>2205</v>
      </c>
      <c r="K375" s="18" t="s">
        <v>2289</v>
      </c>
      <c r="L375" s="18" t="s">
        <v>52</v>
      </c>
      <c r="M375" s="18" t="s">
        <v>89</v>
      </c>
      <c r="N375" s="18" t="s">
        <v>130</v>
      </c>
      <c r="O375" s="18" t="s">
        <v>126</v>
      </c>
      <c r="P375" s="18" t="s">
        <v>56</v>
      </c>
      <c r="Q375" s="18" t="s">
        <v>57</v>
      </c>
      <c r="R375" s="18" t="s">
        <v>58</v>
      </c>
      <c r="S375" s="18" t="s">
        <v>59</v>
      </c>
      <c r="T375" s="38">
        <v>2026.0</v>
      </c>
      <c r="U375" s="38">
        <v>5.0</v>
      </c>
      <c r="V375" s="38">
        <v>1.081522436E9</v>
      </c>
      <c r="W375" s="38">
        <v>1.081540506E9</v>
      </c>
      <c r="X375" s="18" t="s">
        <v>2199</v>
      </c>
      <c r="Y375" s="18" t="s">
        <v>2200</v>
      </c>
      <c r="Z375" s="38">
        <v>1969488.93</v>
      </c>
      <c r="AA375" s="38">
        <v>1969488.93</v>
      </c>
      <c r="AB375" s="38">
        <v>0.0</v>
      </c>
      <c r="AC375" s="38">
        <v>10175.0</v>
      </c>
      <c r="AD375" s="38">
        <v>0.0</v>
      </c>
      <c r="AE375" s="38">
        <v>0.0</v>
      </c>
      <c r="AF375" s="38">
        <v>0.0</v>
      </c>
      <c r="AG375" s="38">
        <v>0.0</v>
      </c>
      <c r="AH375" s="38">
        <v>0.0</v>
      </c>
      <c r="AI375" s="38">
        <v>1969488.93</v>
      </c>
      <c r="AJ375" s="38">
        <v>3688738.91</v>
      </c>
      <c r="AK375" s="38">
        <v>1.0</v>
      </c>
      <c r="AL375" s="38">
        <v>250.8</v>
      </c>
      <c r="AM375" s="38">
        <v>0.0</v>
      </c>
      <c r="AN375" s="34" t="s">
        <v>62</v>
      </c>
      <c r="AO375" s="34" t="s">
        <v>62</v>
      </c>
      <c r="AP375" s="34" t="s">
        <v>62</v>
      </c>
      <c r="AQ375" s="34" t="s">
        <v>62</v>
      </c>
      <c r="AR375" s="38">
        <v>0.0</v>
      </c>
      <c r="AS375" s="38" t="s">
        <v>2568</v>
      </c>
      <c r="AT375" s="35" t="s">
        <v>2202</v>
      </c>
      <c r="AU375" s="39" t="s">
        <v>2203</v>
      </c>
      <c r="AV375" s="40">
        <v>46163.0</v>
      </c>
    </row>
    <row r="376">
      <c r="A376" s="38">
        <v>433.0</v>
      </c>
      <c r="B376" s="38">
        <v>3317.0</v>
      </c>
      <c r="C376" s="38">
        <v>3317.0</v>
      </c>
      <c r="D376" s="38">
        <v>8.0231081E7</v>
      </c>
      <c r="E376" s="38">
        <v>8.0231081E7</v>
      </c>
      <c r="F376" s="38">
        <v>9.01347799E8</v>
      </c>
      <c r="G376" s="18" t="s">
        <v>120</v>
      </c>
      <c r="H376" s="18" t="s">
        <v>2248</v>
      </c>
      <c r="I376" s="18" t="s">
        <v>175</v>
      </c>
      <c r="J376" s="18" t="s">
        <v>2205</v>
      </c>
      <c r="K376" s="18" t="s">
        <v>2205</v>
      </c>
      <c r="L376" s="18" t="s">
        <v>52</v>
      </c>
      <c r="M376" s="18" t="s">
        <v>138</v>
      </c>
      <c r="N376" s="18" t="s">
        <v>130</v>
      </c>
      <c r="O376" s="18" t="s">
        <v>126</v>
      </c>
      <c r="P376" s="18" t="s">
        <v>56</v>
      </c>
      <c r="Q376" s="18" t="s">
        <v>72</v>
      </c>
      <c r="R376" s="18" t="s">
        <v>143</v>
      </c>
      <c r="S376" s="18" t="s">
        <v>59</v>
      </c>
      <c r="T376" s="38">
        <v>2026.0</v>
      </c>
      <c r="U376" s="38">
        <v>5.0</v>
      </c>
      <c r="V376" s="38">
        <v>1.08152244E9</v>
      </c>
      <c r="W376" s="38">
        <v>1.08154051E9</v>
      </c>
      <c r="X376" s="18" t="s">
        <v>2199</v>
      </c>
      <c r="Y376" s="18" t="s">
        <v>2200</v>
      </c>
      <c r="Z376" s="38">
        <v>112039.43</v>
      </c>
      <c r="AA376" s="38">
        <v>112039.43</v>
      </c>
      <c r="AB376" s="38">
        <v>25855.25</v>
      </c>
      <c r="AC376" s="38">
        <v>253.0</v>
      </c>
      <c r="AD376" s="38">
        <v>0.0</v>
      </c>
      <c r="AE376" s="38">
        <v>0.0</v>
      </c>
      <c r="AF376" s="38">
        <v>0.0</v>
      </c>
      <c r="AG376" s="38">
        <v>0.0</v>
      </c>
      <c r="AH376" s="38">
        <v>0.0</v>
      </c>
      <c r="AI376" s="38">
        <v>112039.43</v>
      </c>
      <c r="AJ376" s="38">
        <v>112039.43</v>
      </c>
      <c r="AK376" s="38">
        <v>0.0</v>
      </c>
      <c r="AL376" s="38">
        <v>326.04</v>
      </c>
      <c r="AM376" s="38">
        <v>0.0</v>
      </c>
      <c r="AN376" s="34" t="s">
        <v>62</v>
      </c>
      <c r="AO376" s="34" t="s">
        <v>62</v>
      </c>
      <c r="AP376" s="34" t="s">
        <v>62</v>
      </c>
      <c r="AQ376" s="34" t="s">
        <v>62</v>
      </c>
      <c r="AR376" s="38">
        <v>0.0</v>
      </c>
      <c r="AS376" s="38" t="s">
        <v>2249</v>
      </c>
      <c r="AT376" s="35" t="s">
        <v>2202</v>
      </c>
      <c r="AU376" s="39" t="s">
        <v>2254</v>
      </c>
      <c r="AV376" s="40">
        <v>46169.0</v>
      </c>
    </row>
    <row r="377">
      <c r="A377" s="38">
        <v>455370.0</v>
      </c>
      <c r="B377" s="38">
        <v>3321.0</v>
      </c>
      <c r="C377" s="38">
        <v>3321.0</v>
      </c>
      <c r="D377" s="38">
        <v>8.0231166E7</v>
      </c>
      <c r="E377" s="38">
        <v>8.0231166E7</v>
      </c>
      <c r="F377" s="18" t="s">
        <v>148</v>
      </c>
      <c r="G377" s="18" t="s">
        <v>149</v>
      </c>
      <c r="H377" s="18" t="s">
        <v>2296</v>
      </c>
      <c r="I377" s="18" t="s">
        <v>181</v>
      </c>
      <c r="J377" s="18" t="s">
        <v>2205</v>
      </c>
      <c r="K377" s="18" t="s">
        <v>2292</v>
      </c>
      <c r="L377" s="18" t="s">
        <v>52</v>
      </c>
      <c r="M377" s="18" t="s">
        <v>138</v>
      </c>
      <c r="N377" s="18" t="s">
        <v>130</v>
      </c>
      <c r="O377" s="18" t="s">
        <v>126</v>
      </c>
      <c r="P377" s="18" t="s">
        <v>56</v>
      </c>
      <c r="Q377" s="18" t="s">
        <v>57</v>
      </c>
      <c r="R377" s="18" t="s">
        <v>143</v>
      </c>
      <c r="S377" s="18" t="s">
        <v>59</v>
      </c>
      <c r="T377" s="38">
        <v>2026.0</v>
      </c>
      <c r="U377" s="38">
        <v>5.0</v>
      </c>
      <c r="V377" s="38">
        <v>1.081522442E9</v>
      </c>
      <c r="W377" s="38">
        <v>1.081540512E9</v>
      </c>
      <c r="X377" s="18" t="s">
        <v>2199</v>
      </c>
      <c r="Y377" s="18" t="s">
        <v>2200</v>
      </c>
      <c r="Z377" s="38">
        <v>86184.18</v>
      </c>
      <c r="AA377" s="38">
        <v>86184.18</v>
      </c>
      <c r="AB377" s="38">
        <v>0.0</v>
      </c>
      <c r="AC377" s="38">
        <v>253.0</v>
      </c>
      <c r="AD377" s="38">
        <v>0.0</v>
      </c>
      <c r="AE377" s="38">
        <v>0.0</v>
      </c>
      <c r="AF377" s="38">
        <v>0.0</v>
      </c>
      <c r="AG377" s="38">
        <v>0.0</v>
      </c>
      <c r="AH377" s="38">
        <v>0.0</v>
      </c>
      <c r="AI377" s="38">
        <v>86184.18</v>
      </c>
      <c r="AJ377" s="38">
        <v>333598.89</v>
      </c>
      <c r="AK377" s="38">
        <v>3.0</v>
      </c>
      <c r="AL377" s="38">
        <v>250.8</v>
      </c>
      <c r="AM377" s="38">
        <v>0.0</v>
      </c>
      <c r="AN377" s="34" t="s">
        <v>62</v>
      </c>
      <c r="AO377" s="34" t="s">
        <v>62</v>
      </c>
      <c r="AP377" s="34" t="s">
        <v>62</v>
      </c>
      <c r="AQ377" s="34" t="s">
        <v>62</v>
      </c>
      <c r="AR377" s="38">
        <v>0.0</v>
      </c>
      <c r="AS377" s="38" t="s">
        <v>2293</v>
      </c>
      <c r="AT377" s="35" t="s">
        <v>2294</v>
      </c>
      <c r="AU377" s="39" t="s">
        <v>2295</v>
      </c>
      <c r="AV377" s="40">
        <v>46164.0</v>
      </c>
    </row>
    <row r="378">
      <c r="A378" s="38">
        <v>3330.0</v>
      </c>
      <c r="B378" s="38">
        <v>3329.0</v>
      </c>
      <c r="C378" s="38">
        <v>3329.0</v>
      </c>
      <c r="D378" s="38">
        <v>8.0262704E7</v>
      </c>
      <c r="E378" s="38">
        <v>8.0262704E7</v>
      </c>
      <c r="F378" s="38">
        <v>9.00746569E8</v>
      </c>
      <c r="G378" s="18" t="s">
        <v>792</v>
      </c>
      <c r="H378" s="18" t="s">
        <v>2569</v>
      </c>
      <c r="I378" s="18" t="s">
        <v>214</v>
      </c>
      <c r="J378" s="18" t="s">
        <v>2205</v>
      </c>
      <c r="K378" s="18" t="s">
        <v>2205</v>
      </c>
      <c r="L378" s="18" t="s">
        <v>52</v>
      </c>
      <c r="M378" s="18" t="s">
        <v>89</v>
      </c>
      <c r="N378" s="18" t="s">
        <v>130</v>
      </c>
      <c r="O378" s="18" t="s">
        <v>126</v>
      </c>
      <c r="P378" s="18" t="s">
        <v>56</v>
      </c>
      <c r="Q378" s="18" t="s">
        <v>90</v>
      </c>
      <c r="R378" s="18" t="s">
        <v>143</v>
      </c>
      <c r="S378" s="18" t="s">
        <v>59</v>
      </c>
      <c r="T378" s="38">
        <v>2026.0</v>
      </c>
      <c r="U378" s="38">
        <v>5.0</v>
      </c>
      <c r="V378" s="38">
        <v>1.081522445E9</v>
      </c>
      <c r="W378" s="38">
        <v>1.081540515E9</v>
      </c>
      <c r="X378" s="18" t="s">
        <v>2199</v>
      </c>
      <c r="Y378" s="18" t="s">
        <v>2200</v>
      </c>
      <c r="Z378" s="38">
        <v>347715.42</v>
      </c>
      <c r="AA378" s="38">
        <v>347715.42</v>
      </c>
      <c r="AB378" s="38">
        <v>87887.5</v>
      </c>
      <c r="AC378" s="38">
        <v>725.0</v>
      </c>
      <c r="AD378" s="38">
        <v>84052.94</v>
      </c>
      <c r="AE378" s="38">
        <v>0.0</v>
      </c>
      <c r="AF378" s="38">
        <v>0.0</v>
      </c>
      <c r="AG378" s="38">
        <v>0.0</v>
      </c>
      <c r="AH378" s="38">
        <v>0.0</v>
      </c>
      <c r="AI378" s="38">
        <v>347715.42</v>
      </c>
      <c r="AJ378" s="38">
        <v>5306339.26</v>
      </c>
      <c r="AK378" s="38">
        <v>19.0</v>
      </c>
      <c r="AL378" s="38">
        <v>376.2</v>
      </c>
      <c r="AM378" s="38">
        <v>0.0</v>
      </c>
      <c r="AN378" s="34" t="s">
        <v>62</v>
      </c>
      <c r="AO378" s="34" t="s">
        <v>62</v>
      </c>
      <c r="AP378" s="34" t="s">
        <v>62</v>
      </c>
      <c r="AQ378" s="34" t="s">
        <v>62</v>
      </c>
      <c r="AR378" s="38">
        <v>0.0</v>
      </c>
      <c r="AS378" s="38" t="s">
        <v>2570</v>
      </c>
      <c r="AT378" s="35" t="s">
        <v>2202</v>
      </c>
      <c r="AU378" s="39" t="s">
        <v>2254</v>
      </c>
      <c r="AV378" s="40">
        <v>46169.0</v>
      </c>
    </row>
    <row r="379">
      <c r="A379" s="38">
        <v>3338.0</v>
      </c>
      <c r="B379" s="38">
        <v>3337.0</v>
      </c>
      <c r="C379" s="38">
        <v>3337.0</v>
      </c>
      <c r="D379" s="38">
        <v>8.0283207E7</v>
      </c>
      <c r="E379" s="38">
        <v>8.0283207E7</v>
      </c>
      <c r="F379" s="38">
        <v>9.01154227E8</v>
      </c>
      <c r="G379" s="18" t="s">
        <v>794</v>
      </c>
      <c r="H379" s="18" t="s">
        <v>2571</v>
      </c>
      <c r="I379" s="18" t="s">
        <v>172</v>
      </c>
      <c r="J379" s="18" t="s">
        <v>2205</v>
      </c>
      <c r="K379" s="18" t="s">
        <v>2205</v>
      </c>
      <c r="L379" s="18" t="s">
        <v>52</v>
      </c>
      <c r="M379" s="18" t="s">
        <v>89</v>
      </c>
      <c r="N379" s="18" t="s">
        <v>130</v>
      </c>
      <c r="O379" s="18" t="s">
        <v>126</v>
      </c>
      <c r="P379" s="18" t="s">
        <v>56</v>
      </c>
      <c r="Q379" s="18" t="s">
        <v>72</v>
      </c>
      <c r="R379" s="18" t="s">
        <v>143</v>
      </c>
      <c r="S379" s="18" t="s">
        <v>59</v>
      </c>
      <c r="T379" s="38">
        <v>2026.0</v>
      </c>
      <c r="U379" s="38">
        <v>5.0</v>
      </c>
      <c r="V379" s="38">
        <v>1.081522449E9</v>
      </c>
      <c r="W379" s="38">
        <v>1.081540519E9</v>
      </c>
      <c r="X379" s="18" t="s">
        <v>2199</v>
      </c>
      <c r="Y379" s="18" t="s">
        <v>2200</v>
      </c>
      <c r="Z379" s="38">
        <v>112328.86</v>
      </c>
      <c r="AA379" s="38">
        <v>112328.86</v>
      </c>
      <c r="AB379" s="38">
        <v>25855.25</v>
      </c>
      <c r="AC379" s="38">
        <v>253.0</v>
      </c>
      <c r="AD379" s="38">
        <v>289.43</v>
      </c>
      <c r="AE379" s="38">
        <v>0.0</v>
      </c>
      <c r="AF379" s="38">
        <v>0.0</v>
      </c>
      <c r="AG379" s="38">
        <v>0.0</v>
      </c>
      <c r="AH379" s="38">
        <v>0.0</v>
      </c>
      <c r="AI379" s="38">
        <v>112328.86</v>
      </c>
      <c r="AJ379" s="38">
        <v>112328.86</v>
      </c>
      <c r="AK379" s="38">
        <v>0.0</v>
      </c>
      <c r="AL379" s="38">
        <v>326.04</v>
      </c>
      <c r="AM379" s="38">
        <v>0.0</v>
      </c>
      <c r="AN379" s="34" t="s">
        <v>62</v>
      </c>
      <c r="AO379" s="34" t="s">
        <v>62</v>
      </c>
      <c r="AP379" s="34" t="s">
        <v>62</v>
      </c>
      <c r="AQ379" s="34" t="s">
        <v>62</v>
      </c>
      <c r="AR379" s="38">
        <v>0.0</v>
      </c>
      <c r="AS379" s="38" t="s">
        <v>2572</v>
      </c>
      <c r="AT379" s="35" t="s">
        <v>2202</v>
      </c>
      <c r="AU379" s="39" t="s">
        <v>2254</v>
      </c>
      <c r="AV379" s="40">
        <v>46169.0</v>
      </c>
    </row>
    <row r="380">
      <c r="A380" s="30">
        <v>456709.0</v>
      </c>
      <c r="B380" s="30">
        <v>425861.0</v>
      </c>
      <c r="C380" s="30">
        <v>442104.0</v>
      </c>
      <c r="D380" s="30">
        <v>1073050.0</v>
      </c>
      <c r="E380" s="30">
        <v>1073050.0</v>
      </c>
      <c r="F380" s="30">
        <v>1073050.0</v>
      </c>
      <c r="G380" s="31" t="s">
        <v>796</v>
      </c>
      <c r="H380" s="32" t="e">
        <v>#N/A</v>
      </c>
      <c r="I380" s="32" t="e">
        <v>#N/A</v>
      </c>
      <c r="J380" s="32" t="e">
        <v>#N/A</v>
      </c>
      <c r="K380" s="32" t="e">
        <v>#N/A</v>
      </c>
      <c r="L380" s="31" t="s">
        <v>52</v>
      </c>
      <c r="M380" s="31" t="s">
        <v>138</v>
      </c>
      <c r="N380" s="31" t="s">
        <v>130</v>
      </c>
      <c r="O380" s="31" t="s">
        <v>126</v>
      </c>
      <c r="P380" s="31" t="s">
        <v>56</v>
      </c>
      <c r="Q380" s="31" t="s">
        <v>90</v>
      </c>
      <c r="R380" s="31" t="s">
        <v>143</v>
      </c>
      <c r="S380" s="31" t="s">
        <v>59</v>
      </c>
      <c r="T380" s="30">
        <v>2026.0</v>
      </c>
      <c r="U380" s="30">
        <v>5.0</v>
      </c>
      <c r="V380" s="30">
        <v>1.081522553E9</v>
      </c>
      <c r="W380" s="30">
        <v>1.081540623E9</v>
      </c>
      <c r="X380" s="31" t="s">
        <v>2199</v>
      </c>
      <c r="Y380" s="31" t="s">
        <v>2200</v>
      </c>
      <c r="Z380" s="30">
        <v>131404.78</v>
      </c>
      <c r="AA380" s="30">
        <v>131404.78</v>
      </c>
      <c r="AB380" s="30">
        <v>43801.6</v>
      </c>
      <c r="AC380" s="30">
        <v>253.0</v>
      </c>
      <c r="AD380" s="30">
        <v>0.0</v>
      </c>
      <c r="AE380" s="30">
        <v>0.0</v>
      </c>
      <c r="AF380" s="30">
        <v>0.0</v>
      </c>
      <c r="AG380" s="30">
        <v>0.0</v>
      </c>
      <c r="AH380" s="30">
        <v>0.0</v>
      </c>
      <c r="AI380" s="30">
        <v>131404.78</v>
      </c>
      <c r="AJ380" s="30">
        <v>131404.78</v>
      </c>
      <c r="AK380" s="30">
        <v>0.0</v>
      </c>
      <c r="AL380" s="30">
        <v>6420.0</v>
      </c>
      <c r="AM380" s="30">
        <v>0.0</v>
      </c>
      <c r="AN380" s="34" t="s">
        <v>62</v>
      </c>
      <c r="AO380" s="34" t="s">
        <v>62</v>
      </c>
      <c r="AP380" s="34" t="s">
        <v>62</v>
      </c>
      <c r="AQ380" s="34" t="s">
        <v>62</v>
      </c>
      <c r="AR380" s="30">
        <v>0.0</v>
      </c>
      <c r="AS380" s="30" t="e">
        <v>#N/A</v>
      </c>
      <c r="AT380" s="30" t="e">
        <v>#N/A</v>
      </c>
      <c r="AU380" s="34"/>
      <c r="AV380" s="34"/>
    </row>
    <row r="381">
      <c r="A381" s="38">
        <v>699.0</v>
      </c>
      <c r="B381" s="38">
        <v>427093.0</v>
      </c>
      <c r="C381" s="38">
        <v>444014.0</v>
      </c>
      <c r="D381" s="38">
        <v>1072139.0</v>
      </c>
      <c r="E381" s="38">
        <v>1072139.0</v>
      </c>
      <c r="F381" s="38">
        <v>9.00480569E8</v>
      </c>
      <c r="G381" s="18" t="s">
        <v>141</v>
      </c>
      <c r="H381" s="18" t="s">
        <v>2255</v>
      </c>
      <c r="I381" s="18" t="s">
        <v>798</v>
      </c>
      <c r="J381" s="18" t="s">
        <v>2273</v>
      </c>
      <c r="K381" s="18" t="s">
        <v>2256</v>
      </c>
      <c r="L381" s="18" t="s">
        <v>52</v>
      </c>
      <c r="M381" s="18" t="s">
        <v>138</v>
      </c>
      <c r="N381" s="18" t="s">
        <v>130</v>
      </c>
      <c r="O381" s="18" t="s">
        <v>126</v>
      </c>
      <c r="P381" s="18" t="s">
        <v>56</v>
      </c>
      <c r="Q381" s="18" t="s">
        <v>90</v>
      </c>
      <c r="R381" s="18" t="s">
        <v>143</v>
      </c>
      <c r="S381" s="18" t="s">
        <v>59</v>
      </c>
      <c r="T381" s="38">
        <v>2026.0</v>
      </c>
      <c r="U381" s="38">
        <v>5.0</v>
      </c>
      <c r="V381" s="38">
        <v>1.081522558E9</v>
      </c>
      <c r="W381" s="38">
        <v>1.081540628E9</v>
      </c>
      <c r="X381" s="18" t="s">
        <v>2199</v>
      </c>
      <c r="Y381" s="18" t="s">
        <v>2200</v>
      </c>
      <c r="Z381" s="38">
        <v>435756.94</v>
      </c>
      <c r="AA381" s="38">
        <v>435756.94</v>
      </c>
      <c r="AB381" s="38">
        <v>135814.77</v>
      </c>
      <c r="AC381" s="38">
        <v>1230.0</v>
      </c>
      <c r="AD381" s="38">
        <v>28312.64</v>
      </c>
      <c r="AE381" s="38">
        <v>0.0</v>
      </c>
      <c r="AF381" s="38">
        <v>0.0</v>
      </c>
      <c r="AG381" s="38">
        <v>0.0</v>
      </c>
      <c r="AH381" s="38">
        <v>0.0</v>
      </c>
      <c r="AI381" s="38">
        <v>435756.94</v>
      </c>
      <c r="AJ381" s="38">
        <v>2409786.64</v>
      </c>
      <c r="AK381" s="38">
        <v>5.0</v>
      </c>
      <c r="AL381" s="38">
        <v>376.2</v>
      </c>
      <c r="AM381" s="38">
        <v>0.0</v>
      </c>
      <c r="AN381" s="34" t="s">
        <v>62</v>
      </c>
      <c r="AO381" s="34" t="s">
        <v>62</v>
      </c>
      <c r="AP381" s="34" t="s">
        <v>62</v>
      </c>
      <c r="AQ381" s="34" t="s">
        <v>62</v>
      </c>
      <c r="AR381" s="38">
        <v>0.0</v>
      </c>
      <c r="AS381" s="38" t="s">
        <v>2257</v>
      </c>
      <c r="AT381" s="38" t="s">
        <v>2386</v>
      </c>
      <c r="AU381" s="39" t="s">
        <v>2203</v>
      </c>
      <c r="AV381" s="40">
        <v>46163.0</v>
      </c>
    </row>
    <row r="382">
      <c r="A382" s="38">
        <v>589028.0</v>
      </c>
      <c r="B382" s="38">
        <v>496113.0</v>
      </c>
      <c r="C382" s="38">
        <v>547035.0</v>
      </c>
      <c r="D382" s="34" t="s">
        <v>62</v>
      </c>
      <c r="E382" s="34" t="s">
        <v>62</v>
      </c>
      <c r="F382" s="18" t="s">
        <v>800</v>
      </c>
      <c r="G382" s="18" t="s">
        <v>801</v>
      </c>
      <c r="H382" s="18" t="s">
        <v>2573</v>
      </c>
      <c r="I382" s="38">
        <v>0.0</v>
      </c>
      <c r="J382" s="18" t="s">
        <v>2205</v>
      </c>
      <c r="K382" s="18" t="s">
        <v>2574</v>
      </c>
      <c r="L382" s="18" t="s">
        <v>52</v>
      </c>
      <c r="M382" s="18" t="s">
        <v>269</v>
      </c>
      <c r="N382" s="18" t="s">
        <v>130</v>
      </c>
      <c r="O382" s="18" t="s">
        <v>126</v>
      </c>
      <c r="P382" s="18" t="s">
        <v>56</v>
      </c>
      <c r="Q382" s="18" t="s">
        <v>90</v>
      </c>
      <c r="R382" s="18" t="s">
        <v>143</v>
      </c>
      <c r="S382" s="18" t="s">
        <v>59</v>
      </c>
      <c r="T382" s="38">
        <v>2026.0</v>
      </c>
      <c r="U382" s="38">
        <v>5.0</v>
      </c>
      <c r="V382" s="38">
        <v>1.081522562E9</v>
      </c>
      <c r="W382" s="38">
        <v>1.081540632E9</v>
      </c>
      <c r="X382" s="18" t="s">
        <v>2199</v>
      </c>
      <c r="Y382" s="18" t="s">
        <v>2200</v>
      </c>
      <c r="Z382" s="38">
        <v>91577.56</v>
      </c>
      <c r="AA382" s="38">
        <v>91577.56</v>
      </c>
      <c r="AB382" s="38">
        <v>30370.65</v>
      </c>
      <c r="AC382" s="38">
        <v>300.0</v>
      </c>
      <c r="AD382" s="38">
        <v>465.61</v>
      </c>
      <c r="AE382" s="38">
        <v>0.0</v>
      </c>
      <c r="AF382" s="38">
        <v>0.0</v>
      </c>
      <c r="AG382" s="38">
        <v>0.0</v>
      </c>
      <c r="AH382" s="38">
        <v>0.0</v>
      </c>
      <c r="AI382" s="38">
        <v>91577.56</v>
      </c>
      <c r="AJ382" s="38">
        <v>96065.57</v>
      </c>
      <c r="AK382" s="38">
        <v>1.0</v>
      </c>
      <c r="AL382" s="38">
        <v>376.2</v>
      </c>
      <c r="AM382" s="38">
        <v>0.0</v>
      </c>
      <c r="AN382" s="34" t="s">
        <v>62</v>
      </c>
      <c r="AO382" s="34" t="s">
        <v>62</v>
      </c>
      <c r="AP382" s="34" t="s">
        <v>62</v>
      </c>
      <c r="AQ382" s="34" t="s">
        <v>62</v>
      </c>
      <c r="AR382" s="38">
        <v>0.0</v>
      </c>
      <c r="AS382" s="38" t="s">
        <v>2575</v>
      </c>
      <c r="AT382" s="35" t="s">
        <v>2202</v>
      </c>
      <c r="AU382" s="39" t="s">
        <v>2203</v>
      </c>
      <c r="AV382" s="40">
        <v>46163.0</v>
      </c>
    </row>
    <row r="383">
      <c r="A383" s="38">
        <v>595128.0</v>
      </c>
      <c r="B383" s="38">
        <v>498509.0</v>
      </c>
      <c r="C383" s="38">
        <v>551614.0</v>
      </c>
      <c r="D383" s="34" t="s">
        <v>62</v>
      </c>
      <c r="E383" s="34" t="s">
        <v>62</v>
      </c>
      <c r="F383" s="38">
        <v>1254986.0</v>
      </c>
      <c r="G383" s="18" t="s">
        <v>803</v>
      </c>
      <c r="H383" s="18" t="s">
        <v>2576</v>
      </c>
      <c r="I383" s="18" t="s">
        <v>217</v>
      </c>
      <c r="J383" s="18" t="s">
        <v>2337</v>
      </c>
      <c r="K383" s="18" t="s">
        <v>2337</v>
      </c>
      <c r="L383" s="18" t="s">
        <v>52</v>
      </c>
      <c r="M383" s="18" t="s">
        <v>89</v>
      </c>
      <c r="N383" s="18" t="s">
        <v>130</v>
      </c>
      <c r="O383" s="18" t="s">
        <v>126</v>
      </c>
      <c r="P383" s="18" t="s">
        <v>218</v>
      </c>
      <c r="Q383" s="18" t="s">
        <v>219</v>
      </c>
      <c r="R383" s="18" t="s">
        <v>133</v>
      </c>
      <c r="S383" s="18" t="s">
        <v>59</v>
      </c>
      <c r="T383" s="38">
        <v>2026.0</v>
      </c>
      <c r="U383" s="38">
        <v>5.0</v>
      </c>
      <c r="V383" s="38">
        <v>1.081522568E9</v>
      </c>
      <c r="W383" s="38">
        <v>1.081540638E9</v>
      </c>
      <c r="X383" s="18" t="s">
        <v>2199</v>
      </c>
      <c r="Y383" s="18" t="s">
        <v>2200</v>
      </c>
      <c r="Z383" s="38">
        <v>50434.76</v>
      </c>
      <c r="AA383" s="38">
        <v>50434.76</v>
      </c>
      <c r="AB383" s="38">
        <v>-1667.24</v>
      </c>
      <c r="AC383" s="38">
        <v>0.0</v>
      </c>
      <c r="AD383" s="38">
        <v>0.0</v>
      </c>
      <c r="AE383" s="38">
        <v>0.0</v>
      </c>
      <c r="AF383" s="38">
        <v>0.0</v>
      </c>
      <c r="AG383" s="38">
        <v>0.0</v>
      </c>
      <c r="AH383" s="38">
        <v>0.0</v>
      </c>
      <c r="AI383" s="38">
        <v>16347.58</v>
      </c>
      <c r="AJ383" s="38">
        <v>16347.58</v>
      </c>
      <c r="AK383" s="38">
        <v>0.0</v>
      </c>
      <c r="AL383" s="38">
        <v>242.77</v>
      </c>
      <c r="AM383" s="38">
        <v>0.0</v>
      </c>
      <c r="AN383" s="34" t="s">
        <v>62</v>
      </c>
      <c r="AO383" s="34" t="s">
        <v>62</v>
      </c>
      <c r="AP383" s="38">
        <v>34087.18</v>
      </c>
      <c r="AQ383" s="34" t="s">
        <v>62</v>
      </c>
      <c r="AR383" s="38">
        <v>0.0</v>
      </c>
      <c r="AS383" s="34"/>
      <c r="AT383" s="38" t="s">
        <v>2275</v>
      </c>
      <c r="AU383" s="38" t="s">
        <v>2276</v>
      </c>
      <c r="AV383" s="40">
        <v>46164.0</v>
      </c>
    </row>
    <row r="384">
      <c r="A384" s="38">
        <v>595132.0</v>
      </c>
      <c r="B384" s="38">
        <v>498513.0</v>
      </c>
      <c r="C384" s="38">
        <v>551618.0</v>
      </c>
      <c r="D384" s="34" t="s">
        <v>62</v>
      </c>
      <c r="E384" s="34" t="s">
        <v>62</v>
      </c>
      <c r="F384" s="38">
        <v>1254990.0</v>
      </c>
      <c r="G384" s="18" t="s">
        <v>286</v>
      </c>
      <c r="H384" s="18" t="s">
        <v>2577</v>
      </c>
      <c r="I384" s="18" t="s">
        <v>217</v>
      </c>
      <c r="J384" s="18" t="s">
        <v>2337</v>
      </c>
      <c r="K384" s="18" t="s">
        <v>2337</v>
      </c>
      <c r="L384" s="18" t="s">
        <v>52</v>
      </c>
      <c r="M384" s="18" t="s">
        <v>89</v>
      </c>
      <c r="N384" s="18" t="s">
        <v>130</v>
      </c>
      <c r="O384" s="18" t="s">
        <v>126</v>
      </c>
      <c r="P384" s="18" t="s">
        <v>218</v>
      </c>
      <c r="Q384" s="18" t="s">
        <v>219</v>
      </c>
      <c r="R384" s="18" t="s">
        <v>133</v>
      </c>
      <c r="S384" s="18" t="s">
        <v>59</v>
      </c>
      <c r="T384" s="38">
        <v>2026.0</v>
      </c>
      <c r="U384" s="38">
        <v>5.0</v>
      </c>
      <c r="V384" s="38">
        <v>1.081522572E9</v>
      </c>
      <c r="W384" s="38">
        <v>1.081540642E9</v>
      </c>
      <c r="X384" s="18" t="s">
        <v>2199</v>
      </c>
      <c r="Y384" s="18" t="s">
        <v>2200</v>
      </c>
      <c r="Z384" s="38">
        <v>50434.76</v>
      </c>
      <c r="AA384" s="38">
        <v>50434.76</v>
      </c>
      <c r="AB384" s="38">
        <v>-1667.24</v>
      </c>
      <c r="AC384" s="38">
        <v>0.0</v>
      </c>
      <c r="AD384" s="38">
        <v>0.0</v>
      </c>
      <c r="AE384" s="38">
        <v>0.0</v>
      </c>
      <c r="AF384" s="38">
        <v>0.0</v>
      </c>
      <c r="AG384" s="38">
        <v>0.0</v>
      </c>
      <c r="AH384" s="38">
        <v>0.0</v>
      </c>
      <c r="AI384" s="38">
        <v>50434.76</v>
      </c>
      <c r="AJ384" s="38">
        <v>50434.76</v>
      </c>
      <c r="AK384" s="38">
        <v>0.0</v>
      </c>
      <c r="AL384" s="38">
        <v>242.77</v>
      </c>
      <c r="AM384" s="38">
        <v>0.0</v>
      </c>
      <c r="AN384" s="34" t="s">
        <v>62</v>
      </c>
      <c r="AO384" s="34" t="s">
        <v>62</v>
      </c>
      <c r="AP384" s="34" t="s">
        <v>62</v>
      </c>
      <c r="AQ384" s="34" t="s">
        <v>62</v>
      </c>
      <c r="AR384" s="38">
        <v>0.0</v>
      </c>
      <c r="AS384" s="34"/>
      <c r="AT384" s="38" t="s">
        <v>2275</v>
      </c>
      <c r="AU384" s="38" t="s">
        <v>2276</v>
      </c>
      <c r="AV384" s="40">
        <v>46164.0</v>
      </c>
    </row>
    <row r="385">
      <c r="A385" s="38">
        <v>595136.0</v>
      </c>
      <c r="B385" s="38">
        <v>498517.0</v>
      </c>
      <c r="C385" s="38">
        <v>551622.0</v>
      </c>
      <c r="D385" s="34" t="s">
        <v>62</v>
      </c>
      <c r="E385" s="34" t="s">
        <v>62</v>
      </c>
      <c r="F385" s="38">
        <v>1254994.0</v>
      </c>
      <c r="G385" s="18" t="s">
        <v>806</v>
      </c>
      <c r="H385" s="18" t="s">
        <v>2578</v>
      </c>
      <c r="I385" s="18" t="s">
        <v>217</v>
      </c>
      <c r="J385" s="18" t="s">
        <v>2337</v>
      </c>
      <c r="K385" s="18" t="s">
        <v>2337</v>
      </c>
      <c r="L385" s="18" t="s">
        <v>52</v>
      </c>
      <c r="M385" s="18" t="s">
        <v>89</v>
      </c>
      <c r="N385" s="18" t="s">
        <v>130</v>
      </c>
      <c r="O385" s="18" t="s">
        <v>126</v>
      </c>
      <c r="P385" s="18" t="s">
        <v>218</v>
      </c>
      <c r="Q385" s="18" t="s">
        <v>219</v>
      </c>
      <c r="R385" s="18" t="s">
        <v>133</v>
      </c>
      <c r="S385" s="18" t="s">
        <v>59</v>
      </c>
      <c r="T385" s="38">
        <v>2026.0</v>
      </c>
      <c r="U385" s="38">
        <v>5.0</v>
      </c>
      <c r="V385" s="38">
        <v>1.081522576E9</v>
      </c>
      <c r="W385" s="38">
        <v>1.081540646E9</v>
      </c>
      <c r="X385" s="18" t="s">
        <v>2199</v>
      </c>
      <c r="Y385" s="18" t="s">
        <v>2200</v>
      </c>
      <c r="Z385" s="38">
        <v>53638.77</v>
      </c>
      <c r="AA385" s="38">
        <v>53638.77</v>
      </c>
      <c r="AB385" s="38">
        <v>-1667.24</v>
      </c>
      <c r="AC385" s="38">
        <v>0.0</v>
      </c>
      <c r="AD385" s="38">
        <v>3204.01</v>
      </c>
      <c r="AE385" s="38">
        <v>0.0</v>
      </c>
      <c r="AF385" s="38">
        <v>0.0</v>
      </c>
      <c r="AG385" s="38">
        <v>0.0</v>
      </c>
      <c r="AH385" s="38">
        <v>0.0</v>
      </c>
      <c r="AI385" s="38">
        <v>53638.77</v>
      </c>
      <c r="AJ385" s="38">
        <v>283504.12</v>
      </c>
      <c r="AK385" s="38">
        <v>5.0</v>
      </c>
      <c r="AL385" s="38">
        <v>242.77</v>
      </c>
      <c r="AM385" s="38">
        <v>0.0</v>
      </c>
      <c r="AN385" s="34" t="s">
        <v>62</v>
      </c>
      <c r="AO385" s="34" t="s">
        <v>62</v>
      </c>
      <c r="AP385" s="34" t="s">
        <v>62</v>
      </c>
      <c r="AQ385" s="34" t="s">
        <v>62</v>
      </c>
      <c r="AR385" s="38">
        <v>0.0</v>
      </c>
      <c r="AS385" s="34"/>
      <c r="AT385" s="38" t="s">
        <v>2275</v>
      </c>
      <c r="AU385" s="38" t="s">
        <v>2276</v>
      </c>
      <c r="AV385" s="40">
        <v>46164.0</v>
      </c>
    </row>
    <row r="386">
      <c r="A386" s="38">
        <v>595140.0</v>
      </c>
      <c r="B386" s="38">
        <v>498521.0</v>
      </c>
      <c r="C386" s="38">
        <v>551626.0</v>
      </c>
      <c r="D386" s="34" t="s">
        <v>62</v>
      </c>
      <c r="E386" s="34" t="s">
        <v>62</v>
      </c>
      <c r="F386" s="38">
        <v>1254998.0</v>
      </c>
      <c r="G386" s="18" t="s">
        <v>808</v>
      </c>
      <c r="H386" s="18" t="s">
        <v>2579</v>
      </c>
      <c r="I386" s="18" t="s">
        <v>217</v>
      </c>
      <c r="J386" s="18" t="s">
        <v>2337</v>
      </c>
      <c r="K386" s="18" t="s">
        <v>2337</v>
      </c>
      <c r="L386" s="18" t="s">
        <v>52</v>
      </c>
      <c r="M386" s="18" t="s">
        <v>89</v>
      </c>
      <c r="N386" s="18" t="s">
        <v>130</v>
      </c>
      <c r="O386" s="18" t="s">
        <v>126</v>
      </c>
      <c r="P386" s="18" t="s">
        <v>218</v>
      </c>
      <c r="Q386" s="18" t="s">
        <v>219</v>
      </c>
      <c r="R386" s="18" t="s">
        <v>133</v>
      </c>
      <c r="S386" s="18" t="s">
        <v>59</v>
      </c>
      <c r="T386" s="38">
        <v>2026.0</v>
      </c>
      <c r="U386" s="38">
        <v>5.0</v>
      </c>
      <c r="V386" s="38">
        <v>1.081522579E9</v>
      </c>
      <c r="W386" s="38">
        <v>1.081540649E9</v>
      </c>
      <c r="X386" s="18" t="s">
        <v>2199</v>
      </c>
      <c r="Y386" s="18" t="s">
        <v>2200</v>
      </c>
      <c r="Z386" s="38">
        <v>50934.36</v>
      </c>
      <c r="AA386" s="38">
        <v>50934.36</v>
      </c>
      <c r="AB386" s="38">
        <v>-1667.24</v>
      </c>
      <c r="AC386" s="38">
        <v>0.0</v>
      </c>
      <c r="AD386" s="38">
        <v>499.6</v>
      </c>
      <c r="AE386" s="38">
        <v>0.0</v>
      </c>
      <c r="AF386" s="38">
        <v>0.0</v>
      </c>
      <c r="AG386" s="38">
        <v>0.0</v>
      </c>
      <c r="AH386" s="38">
        <v>0.0</v>
      </c>
      <c r="AI386" s="38">
        <v>50934.36</v>
      </c>
      <c r="AJ386" s="38">
        <v>100964.49</v>
      </c>
      <c r="AK386" s="38">
        <v>1.0</v>
      </c>
      <c r="AL386" s="38">
        <v>242.77</v>
      </c>
      <c r="AM386" s="38">
        <v>0.0</v>
      </c>
      <c r="AN386" s="34" t="s">
        <v>62</v>
      </c>
      <c r="AO386" s="34" t="s">
        <v>62</v>
      </c>
      <c r="AP386" s="34" t="s">
        <v>62</v>
      </c>
      <c r="AQ386" s="34" t="s">
        <v>62</v>
      </c>
      <c r="AR386" s="38">
        <v>0.0</v>
      </c>
      <c r="AS386" s="34"/>
      <c r="AT386" s="38" t="s">
        <v>2275</v>
      </c>
      <c r="AU386" s="38" t="s">
        <v>2276</v>
      </c>
      <c r="AV386" s="40">
        <v>46164.0</v>
      </c>
    </row>
    <row r="387">
      <c r="A387" s="38">
        <v>595144.0</v>
      </c>
      <c r="B387" s="38">
        <v>498525.0</v>
      </c>
      <c r="C387" s="38">
        <v>551630.0</v>
      </c>
      <c r="D387" s="34" t="s">
        <v>62</v>
      </c>
      <c r="E387" s="34" t="s">
        <v>62</v>
      </c>
      <c r="F387" s="38">
        <v>1255002.0</v>
      </c>
      <c r="G387" s="18" t="s">
        <v>810</v>
      </c>
      <c r="H387" s="18" t="s">
        <v>2580</v>
      </c>
      <c r="I387" s="18" t="s">
        <v>217</v>
      </c>
      <c r="J387" s="18" t="s">
        <v>2337</v>
      </c>
      <c r="K387" s="18" t="s">
        <v>2337</v>
      </c>
      <c r="L387" s="18" t="s">
        <v>52</v>
      </c>
      <c r="M387" s="18" t="s">
        <v>89</v>
      </c>
      <c r="N387" s="18" t="s">
        <v>130</v>
      </c>
      <c r="O387" s="18" t="s">
        <v>126</v>
      </c>
      <c r="P387" s="18" t="s">
        <v>218</v>
      </c>
      <c r="Q387" s="18" t="s">
        <v>219</v>
      </c>
      <c r="R387" s="18" t="s">
        <v>133</v>
      </c>
      <c r="S387" s="18" t="s">
        <v>59</v>
      </c>
      <c r="T387" s="38">
        <v>2026.0</v>
      </c>
      <c r="U387" s="38">
        <v>5.0</v>
      </c>
      <c r="V387" s="38">
        <v>1.081522583E9</v>
      </c>
      <c r="W387" s="38">
        <v>1.081540653E9</v>
      </c>
      <c r="X387" s="18" t="s">
        <v>2199</v>
      </c>
      <c r="Y387" s="18" t="s">
        <v>2200</v>
      </c>
      <c r="Z387" s="38">
        <v>51017.64</v>
      </c>
      <c r="AA387" s="38">
        <v>51017.64</v>
      </c>
      <c r="AB387" s="38">
        <v>-1667.24</v>
      </c>
      <c r="AC387" s="38">
        <v>0.0</v>
      </c>
      <c r="AD387" s="38">
        <v>582.88</v>
      </c>
      <c r="AE387" s="38">
        <v>0.0</v>
      </c>
      <c r="AF387" s="38">
        <v>0.0</v>
      </c>
      <c r="AG387" s="38">
        <v>0.0</v>
      </c>
      <c r="AH387" s="38">
        <v>0.0</v>
      </c>
      <c r="AI387" s="38">
        <v>51017.64</v>
      </c>
      <c r="AJ387" s="38">
        <v>101048.59</v>
      </c>
      <c r="AK387" s="38">
        <v>2.0</v>
      </c>
      <c r="AL387" s="38">
        <v>242.77</v>
      </c>
      <c r="AM387" s="38">
        <v>0.0</v>
      </c>
      <c r="AN387" s="34" t="s">
        <v>62</v>
      </c>
      <c r="AO387" s="34" t="s">
        <v>62</v>
      </c>
      <c r="AP387" s="34" t="s">
        <v>62</v>
      </c>
      <c r="AQ387" s="34" t="s">
        <v>62</v>
      </c>
      <c r="AR387" s="38">
        <v>0.0</v>
      </c>
      <c r="AS387" s="34"/>
      <c r="AT387" s="38" t="s">
        <v>2275</v>
      </c>
      <c r="AU387" s="38" t="s">
        <v>2276</v>
      </c>
      <c r="AV387" s="40">
        <v>46164.0</v>
      </c>
    </row>
    <row r="388">
      <c r="A388" s="38">
        <v>595148.0</v>
      </c>
      <c r="B388" s="38">
        <v>498529.0</v>
      </c>
      <c r="C388" s="38">
        <v>551634.0</v>
      </c>
      <c r="D388" s="34" t="s">
        <v>62</v>
      </c>
      <c r="E388" s="34" t="s">
        <v>62</v>
      </c>
      <c r="F388" s="38">
        <v>1255006.0</v>
      </c>
      <c r="G388" s="18" t="s">
        <v>812</v>
      </c>
      <c r="H388" s="18" t="s">
        <v>2581</v>
      </c>
      <c r="I388" s="18" t="s">
        <v>217</v>
      </c>
      <c r="J388" s="18" t="s">
        <v>2337</v>
      </c>
      <c r="K388" s="18" t="s">
        <v>2337</v>
      </c>
      <c r="L388" s="18" t="s">
        <v>52</v>
      </c>
      <c r="M388" s="18" t="s">
        <v>89</v>
      </c>
      <c r="N388" s="18" t="s">
        <v>130</v>
      </c>
      <c r="O388" s="18" t="s">
        <v>126</v>
      </c>
      <c r="P388" s="18" t="s">
        <v>218</v>
      </c>
      <c r="Q388" s="18" t="s">
        <v>219</v>
      </c>
      <c r="R388" s="18" t="s">
        <v>133</v>
      </c>
      <c r="S388" s="18" t="s">
        <v>59</v>
      </c>
      <c r="T388" s="38">
        <v>2026.0</v>
      </c>
      <c r="U388" s="38">
        <v>5.0</v>
      </c>
      <c r="V388" s="38">
        <v>1.081522587E9</v>
      </c>
      <c r="W388" s="38">
        <v>1.081540657E9</v>
      </c>
      <c r="X388" s="18" t="s">
        <v>2199</v>
      </c>
      <c r="Y388" s="18" t="s">
        <v>2200</v>
      </c>
      <c r="Z388" s="38">
        <v>50434.76</v>
      </c>
      <c r="AA388" s="38">
        <v>50434.76</v>
      </c>
      <c r="AB388" s="38">
        <v>-1667.24</v>
      </c>
      <c r="AC388" s="38">
        <v>0.0</v>
      </c>
      <c r="AD388" s="38">
        <v>0.0</v>
      </c>
      <c r="AE388" s="38">
        <v>0.0</v>
      </c>
      <c r="AF388" s="38">
        <v>0.0</v>
      </c>
      <c r="AG388" s="38">
        <v>0.0</v>
      </c>
      <c r="AH388" s="38">
        <v>0.0</v>
      </c>
      <c r="AI388" s="38">
        <v>50434.76</v>
      </c>
      <c r="AJ388" s="38">
        <v>50434.76</v>
      </c>
      <c r="AK388" s="38">
        <v>0.0</v>
      </c>
      <c r="AL388" s="38">
        <v>242.77</v>
      </c>
      <c r="AM388" s="38">
        <v>0.0</v>
      </c>
      <c r="AN388" s="34" t="s">
        <v>62</v>
      </c>
      <c r="AO388" s="34" t="s">
        <v>62</v>
      </c>
      <c r="AP388" s="34" t="s">
        <v>62</v>
      </c>
      <c r="AQ388" s="34" t="s">
        <v>62</v>
      </c>
      <c r="AR388" s="38">
        <v>0.0</v>
      </c>
      <c r="AS388" s="34"/>
      <c r="AT388" s="38" t="s">
        <v>2275</v>
      </c>
      <c r="AU388" s="38" t="s">
        <v>2276</v>
      </c>
      <c r="AV388" s="40">
        <v>46164.0</v>
      </c>
    </row>
    <row r="389">
      <c r="A389" s="38">
        <v>595152.0</v>
      </c>
      <c r="B389" s="38">
        <v>498533.0</v>
      </c>
      <c r="C389" s="38">
        <v>551638.0</v>
      </c>
      <c r="D389" s="34" t="s">
        <v>62</v>
      </c>
      <c r="E389" s="34" t="s">
        <v>62</v>
      </c>
      <c r="F389" s="38">
        <v>1255010.0</v>
      </c>
      <c r="G389" s="18" t="s">
        <v>814</v>
      </c>
      <c r="H389" s="18" t="s">
        <v>2582</v>
      </c>
      <c r="I389" s="18" t="s">
        <v>217</v>
      </c>
      <c r="J389" s="18" t="s">
        <v>2337</v>
      </c>
      <c r="K389" s="18" t="s">
        <v>2337</v>
      </c>
      <c r="L389" s="18" t="s">
        <v>52</v>
      </c>
      <c r="M389" s="18" t="s">
        <v>89</v>
      </c>
      <c r="N389" s="18" t="s">
        <v>130</v>
      </c>
      <c r="O389" s="18" t="s">
        <v>126</v>
      </c>
      <c r="P389" s="18" t="s">
        <v>218</v>
      </c>
      <c r="Q389" s="18" t="s">
        <v>219</v>
      </c>
      <c r="R389" s="18" t="s">
        <v>133</v>
      </c>
      <c r="S389" s="18" t="s">
        <v>59</v>
      </c>
      <c r="T389" s="38">
        <v>2026.0</v>
      </c>
      <c r="U389" s="38">
        <v>5.0</v>
      </c>
      <c r="V389" s="38">
        <v>1.08152259E9</v>
      </c>
      <c r="W389" s="38">
        <v>1.08154066E9</v>
      </c>
      <c r="X389" s="18" t="s">
        <v>2199</v>
      </c>
      <c r="Y389" s="18" t="s">
        <v>2200</v>
      </c>
      <c r="Z389" s="38">
        <v>50434.76</v>
      </c>
      <c r="AA389" s="38">
        <v>50434.76</v>
      </c>
      <c r="AB389" s="38">
        <v>-1667.24</v>
      </c>
      <c r="AC389" s="38">
        <v>0.0</v>
      </c>
      <c r="AD389" s="38">
        <v>0.0</v>
      </c>
      <c r="AE389" s="38">
        <v>0.0</v>
      </c>
      <c r="AF389" s="38">
        <v>0.0</v>
      </c>
      <c r="AG389" s="38">
        <v>0.0</v>
      </c>
      <c r="AH389" s="38">
        <v>0.0</v>
      </c>
      <c r="AI389" s="38">
        <v>50434.76</v>
      </c>
      <c r="AJ389" s="38">
        <v>50434.76</v>
      </c>
      <c r="AK389" s="38">
        <v>0.0</v>
      </c>
      <c r="AL389" s="38">
        <v>242.77</v>
      </c>
      <c r="AM389" s="38">
        <v>0.0</v>
      </c>
      <c r="AN389" s="34" t="s">
        <v>62</v>
      </c>
      <c r="AO389" s="34" t="s">
        <v>62</v>
      </c>
      <c r="AP389" s="34" t="s">
        <v>62</v>
      </c>
      <c r="AQ389" s="34" t="s">
        <v>62</v>
      </c>
      <c r="AR389" s="38">
        <v>0.0</v>
      </c>
      <c r="AS389" s="34"/>
      <c r="AT389" s="38" t="s">
        <v>2275</v>
      </c>
      <c r="AU389" s="38" t="s">
        <v>2276</v>
      </c>
      <c r="AV389" s="40">
        <v>46164.0</v>
      </c>
    </row>
    <row r="390">
      <c r="A390" s="38">
        <v>595156.0</v>
      </c>
      <c r="B390" s="38">
        <v>498537.0</v>
      </c>
      <c r="C390" s="38">
        <v>551642.0</v>
      </c>
      <c r="D390" s="34" t="s">
        <v>62</v>
      </c>
      <c r="E390" s="34" t="s">
        <v>62</v>
      </c>
      <c r="F390" s="38">
        <v>1255014.0</v>
      </c>
      <c r="G390" s="18" t="s">
        <v>816</v>
      </c>
      <c r="H390" s="18" t="s">
        <v>2583</v>
      </c>
      <c r="I390" s="18" t="s">
        <v>217</v>
      </c>
      <c r="J390" s="18" t="s">
        <v>2337</v>
      </c>
      <c r="K390" s="18" t="s">
        <v>2337</v>
      </c>
      <c r="L390" s="18" t="s">
        <v>52</v>
      </c>
      <c r="M390" s="18" t="s">
        <v>89</v>
      </c>
      <c r="N390" s="18" t="s">
        <v>130</v>
      </c>
      <c r="O390" s="18" t="s">
        <v>126</v>
      </c>
      <c r="P390" s="18" t="s">
        <v>218</v>
      </c>
      <c r="Q390" s="18" t="s">
        <v>219</v>
      </c>
      <c r="R390" s="18" t="s">
        <v>133</v>
      </c>
      <c r="S390" s="18" t="s">
        <v>59</v>
      </c>
      <c r="T390" s="38">
        <v>2026.0</v>
      </c>
      <c r="U390" s="38">
        <v>5.0</v>
      </c>
      <c r="V390" s="38">
        <v>1.081522594E9</v>
      </c>
      <c r="W390" s="38">
        <v>1.081540664E9</v>
      </c>
      <c r="X390" s="18" t="s">
        <v>2199</v>
      </c>
      <c r="Y390" s="18" t="s">
        <v>2200</v>
      </c>
      <c r="Z390" s="38">
        <v>50770.59</v>
      </c>
      <c r="AA390" s="38">
        <v>50770.59</v>
      </c>
      <c r="AB390" s="38">
        <v>-1667.24</v>
      </c>
      <c r="AC390" s="38">
        <v>0.0</v>
      </c>
      <c r="AD390" s="38">
        <v>335.83</v>
      </c>
      <c r="AE390" s="38">
        <v>0.0</v>
      </c>
      <c r="AF390" s="38">
        <v>0.0</v>
      </c>
      <c r="AG390" s="38">
        <v>0.0</v>
      </c>
      <c r="AH390" s="38">
        <v>0.0</v>
      </c>
      <c r="AI390" s="38">
        <v>50770.59</v>
      </c>
      <c r="AJ390" s="38">
        <v>59279.72</v>
      </c>
      <c r="AK390" s="38">
        <v>1.0</v>
      </c>
      <c r="AL390" s="38">
        <v>242.77</v>
      </c>
      <c r="AM390" s="38">
        <v>0.0</v>
      </c>
      <c r="AN390" s="34" t="s">
        <v>62</v>
      </c>
      <c r="AO390" s="34" t="s">
        <v>62</v>
      </c>
      <c r="AP390" s="34" t="s">
        <v>62</v>
      </c>
      <c r="AQ390" s="34" t="s">
        <v>62</v>
      </c>
      <c r="AR390" s="38">
        <v>0.0</v>
      </c>
      <c r="AS390" s="34"/>
      <c r="AT390" s="38" t="s">
        <v>2275</v>
      </c>
      <c r="AU390" s="38" t="s">
        <v>2276</v>
      </c>
      <c r="AV390" s="40">
        <v>46164.0</v>
      </c>
    </row>
    <row r="391">
      <c r="A391" s="38">
        <v>595160.0</v>
      </c>
      <c r="B391" s="38">
        <v>498541.0</v>
      </c>
      <c r="C391" s="38">
        <v>551646.0</v>
      </c>
      <c r="D391" s="34" t="s">
        <v>62</v>
      </c>
      <c r="E391" s="34" t="s">
        <v>62</v>
      </c>
      <c r="F391" s="38">
        <v>1255018.0</v>
      </c>
      <c r="G391" s="18" t="s">
        <v>818</v>
      </c>
      <c r="H391" s="18" t="s">
        <v>2584</v>
      </c>
      <c r="I391" s="18" t="s">
        <v>217</v>
      </c>
      <c r="J391" s="18" t="s">
        <v>2337</v>
      </c>
      <c r="K391" s="18" t="s">
        <v>2337</v>
      </c>
      <c r="L391" s="18" t="s">
        <v>52</v>
      </c>
      <c r="M391" s="18" t="s">
        <v>89</v>
      </c>
      <c r="N391" s="18" t="s">
        <v>130</v>
      </c>
      <c r="O391" s="18" t="s">
        <v>126</v>
      </c>
      <c r="P391" s="18" t="s">
        <v>218</v>
      </c>
      <c r="Q391" s="18" t="s">
        <v>219</v>
      </c>
      <c r="R391" s="18" t="s">
        <v>133</v>
      </c>
      <c r="S391" s="18" t="s">
        <v>59</v>
      </c>
      <c r="T391" s="38">
        <v>2026.0</v>
      </c>
      <c r="U391" s="38">
        <v>5.0</v>
      </c>
      <c r="V391" s="38">
        <v>1.081522598E9</v>
      </c>
      <c r="W391" s="38">
        <v>1.081540668E9</v>
      </c>
      <c r="X391" s="18" t="s">
        <v>2199</v>
      </c>
      <c r="Y391" s="18" t="s">
        <v>2200</v>
      </c>
      <c r="Z391" s="38">
        <v>50434.77</v>
      </c>
      <c r="AA391" s="38">
        <v>50434.77</v>
      </c>
      <c r="AB391" s="38">
        <v>-1667.24</v>
      </c>
      <c r="AC391" s="38">
        <v>0.0</v>
      </c>
      <c r="AD391" s="38">
        <v>0.01</v>
      </c>
      <c r="AE391" s="38">
        <v>0.0</v>
      </c>
      <c r="AF391" s="38">
        <v>0.0</v>
      </c>
      <c r="AG391" s="38">
        <v>0.0</v>
      </c>
      <c r="AH391" s="38">
        <v>0.0</v>
      </c>
      <c r="AI391" s="38">
        <v>50434.77</v>
      </c>
      <c r="AJ391" s="38">
        <v>100465.62</v>
      </c>
      <c r="AK391" s="38">
        <v>2.0</v>
      </c>
      <c r="AL391" s="38">
        <v>242.77</v>
      </c>
      <c r="AM391" s="38">
        <v>0.0</v>
      </c>
      <c r="AN391" s="34" t="s">
        <v>62</v>
      </c>
      <c r="AO391" s="34" t="s">
        <v>62</v>
      </c>
      <c r="AP391" s="34" t="s">
        <v>62</v>
      </c>
      <c r="AQ391" s="34" t="s">
        <v>62</v>
      </c>
      <c r="AR391" s="38">
        <v>0.0</v>
      </c>
      <c r="AS391" s="34"/>
      <c r="AT391" s="38" t="s">
        <v>2275</v>
      </c>
      <c r="AU391" s="38" t="s">
        <v>2276</v>
      </c>
      <c r="AV391" s="40">
        <v>46164.0</v>
      </c>
    </row>
    <row r="392">
      <c r="A392" s="38">
        <v>595164.0</v>
      </c>
      <c r="B392" s="38">
        <v>498545.0</v>
      </c>
      <c r="C392" s="38">
        <v>551650.0</v>
      </c>
      <c r="D392" s="34" t="s">
        <v>62</v>
      </c>
      <c r="E392" s="34" t="s">
        <v>62</v>
      </c>
      <c r="F392" s="38">
        <v>1255022.0</v>
      </c>
      <c r="G392" s="18" t="s">
        <v>820</v>
      </c>
      <c r="H392" s="18" t="s">
        <v>2585</v>
      </c>
      <c r="I392" s="18" t="s">
        <v>217</v>
      </c>
      <c r="J392" s="18" t="s">
        <v>2337</v>
      </c>
      <c r="K392" s="18" t="s">
        <v>2337</v>
      </c>
      <c r="L392" s="18" t="s">
        <v>52</v>
      </c>
      <c r="M392" s="18" t="s">
        <v>89</v>
      </c>
      <c r="N392" s="18" t="s">
        <v>130</v>
      </c>
      <c r="O392" s="18" t="s">
        <v>126</v>
      </c>
      <c r="P392" s="18" t="s">
        <v>218</v>
      </c>
      <c r="Q392" s="18" t="s">
        <v>219</v>
      </c>
      <c r="R392" s="18" t="s">
        <v>133</v>
      </c>
      <c r="S392" s="18" t="s">
        <v>59</v>
      </c>
      <c r="T392" s="38">
        <v>2026.0</v>
      </c>
      <c r="U392" s="38">
        <v>5.0</v>
      </c>
      <c r="V392" s="38">
        <v>1.081522602E9</v>
      </c>
      <c r="W392" s="38">
        <v>1.081540672E9</v>
      </c>
      <c r="X392" s="18" t="s">
        <v>2199</v>
      </c>
      <c r="Y392" s="18" t="s">
        <v>2200</v>
      </c>
      <c r="Z392" s="38">
        <v>50434.76</v>
      </c>
      <c r="AA392" s="38">
        <v>50434.76</v>
      </c>
      <c r="AB392" s="38">
        <v>-1667.24</v>
      </c>
      <c r="AC392" s="38">
        <v>0.0</v>
      </c>
      <c r="AD392" s="38">
        <v>0.0</v>
      </c>
      <c r="AE392" s="38">
        <v>0.0</v>
      </c>
      <c r="AF392" s="38">
        <v>0.0</v>
      </c>
      <c r="AG392" s="38">
        <v>0.0</v>
      </c>
      <c r="AH392" s="38">
        <v>0.0</v>
      </c>
      <c r="AI392" s="38">
        <v>50434.76</v>
      </c>
      <c r="AJ392" s="38">
        <v>50434.76</v>
      </c>
      <c r="AK392" s="38">
        <v>0.0</v>
      </c>
      <c r="AL392" s="38">
        <v>242.77</v>
      </c>
      <c r="AM392" s="38">
        <v>0.0</v>
      </c>
      <c r="AN392" s="34" t="s">
        <v>62</v>
      </c>
      <c r="AO392" s="34" t="s">
        <v>62</v>
      </c>
      <c r="AP392" s="34" t="s">
        <v>62</v>
      </c>
      <c r="AQ392" s="34" t="s">
        <v>62</v>
      </c>
      <c r="AR392" s="38">
        <v>0.0</v>
      </c>
      <c r="AS392" s="34"/>
      <c r="AT392" s="38" t="s">
        <v>2275</v>
      </c>
      <c r="AU392" s="38" t="s">
        <v>2276</v>
      </c>
      <c r="AV392" s="40">
        <v>46164.0</v>
      </c>
    </row>
    <row r="393">
      <c r="A393" s="38">
        <v>595168.0</v>
      </c>
      <c r="B393" s="38">
        <v>498549.0</v>
      </c>
      <c r="C393" s="38">
        <v>551654.0</v>
      </c>
      <c r="D393" s="34" t="s">
        <v>62</v>
      </c>
      <c r="E393" s="34" t="s">
        <v>62</v>
      </c>
      <c r="F393" s="38">
        <v>1255026.0</v>
      </c>
      <c r="G393" s="18" t="s">
        <v>822</v>
      </c>
      <c r="H393" s="18" t="s">
        <v>2586</v>
      </c>
      <c r="I393" s="18" t="s">
        <v>217</v>
      </c>
      <c r="J393" s="18" t="s">
        <v>2337</v>
      </c>
      <c r="K393" s="18" t="s">
        <v>2337</v>
      </c>
      <c r="L393" s="18" t="s">
        <v>52</v>
      </c>
      <c r="M393" s="18" t="s">
        <v>89</v>
      </c>
      <c r="N393" s="18" t="s">
        <v>130</v>
      </c>
      <c r="O393" s="18" t="s">
        <v>126</v>
      </c>
      <c r="P393" s="18" t="s">
        <v>218</v>
      </c>
      <c r="Q393" s="18" t="s">
        <v>219</v>
      </c>
      <c r="R393" s="18" t="s">
        <v>133</v>
      </c>
      <c r="S393" s="18" t="s">
        <v>59</v>
      </c>
      <c r="T393" s="38">
        <v>2026.0</v>
      </c>
      <c r="U393" s="38">
        <v>5.0</v>
      </c>
      <c r="V393" s="38">
        <v>1.081522606E9</v>
      </c>
      <c r="W393" s="38">
        <v>1.081540676E9</v>
      </c>
      <c r="X393" s="18" t="s">
        <v>2199</v>
      </c>
      <c r="Y393" s="18" t="s">
        <v>2200</v>
      </c>
      <c r="Z393" s="38">
        <v>50434.76</v>
      </c>
      <c r="AA393" s="38">
        <v>50434.76</v>
      </c>
      <c r="AB393" s="38">
        <v>-1667.24</v>
      </c>
      <c r="AC393" s="38">
        <v>0.0</v>
      </c>
      <c r="AD393" s="38">
        <v>0.0</v>
      </c>
      <c r="AE393" s="38">
        <v>0.0</v>
      </c>
      <c r="AF393" s="38">
        <v>0.0</v>
      </c>
      <c r="AG393" s="38">
        <v>0.0</v>
      </c>
      <c r="AH393" s="38">
        <v>0.0</v>
      </c>
      <c r="AI393" s="38">
        <v>50434.76</v>
      </c>
      <c r="AJ393" s="38">
        <v>100464.89</v>
      </c>
      <c r="AK393" s="38">
        <v>1.0</v>
      </c>
      <c r="AL393" s="38">
        <v>242.77</v>
      </c>
      <c r="AM393" s="38">
        <v>0.0</v>
      </c>
      <c r="AN393" s="34" t="s">
        <v>62</v>
      </c>
      <c r="AO393" s="34" t="s">
        <v>62</v>
      </c>
      <c r="AP393" s="34" t="s">
        <v>62</v>
      </c>
      <c r="AQ393" s="34" t="s">
        <v>62</v>
      </c>
      <c r="AR393" s="38">
        <v>0.0</v>
      </c>
      <c r="AS393" s="34"/>
      <c r="AT393" s="38" t="s">
        <v>2275</v>
      </c>
      <c r="AU393" s="38" t="s">
        <v>2276</v>
      </c>
      <c r="AV393" s="40">
        <v>46164.0</v>
      </c>
    </row>
    <row r="394">
      <c r="A394" s="38">
        <v>595172.0</v>
      </c>
      <c r="B394" s="38">
        <v>498553.0</v>
      </c>
      <c r="C394" s="38">
        <v>551658.0</v>
      </c>
      <c r="D394" s="34" t="s">
        <v>62</v>
      </c>
      <c r="E394" s="34" t="s">
        <v>62</v>
      </c>
      <c r="F394" s="38">
        <v>1255030.0</v>
      </c>
      <c r="G394" s="18" t="s">
        <v>824</v>
      </c>
      <c r="H394" s="18" t="s">
        <v>2587</v>
      </c>
      <c r="I394" s="18" t="s">
        <v>217</v>
      </c>
      <c r="J394" s="18" t="s">
        <v>2337</v>
      </c>
      <c r="K394" s="18" t="s">
        <v>2337</v>
      </c>
      <c r="L394" s="18" t="s">
        <v>52</v>
      </c>
      <c r="M394" s="18" t="s">
        <v>89</v>
      </c>
      <c r="N394" s="18" t="s">
        <v>130</v>
      </c>
      <c r="O394" s="18" t="s">
        <v>126</v>
      </c>
      <c r="P394" s="18" t="s">
        <v>218</v>
      </c>
      <c r="Q394" s="18" t="s">
        <v>219</v>
      </c>
      <c r="R394" s="18" t="s">
        <v>133</v>
      </c>
      <c r="S394" s="18" t="s">
        <v>59</v>
      </c>
      <c r="T394" s="38">
        <v>2026.0</v>
      </c>
      <c r="U394" s="38">
        <v>5.0</v>
      </c>
      <c r="V394" s="38">
        <v>1.08152261E9</v>
      </c>
      <c r="W394" s="38">
        <v>1.08154068E9</v>
      </c>
      <c r="X394" s="18" t="s">
        <v>2199</v>
      </c>
      <c r="Y394" s="18" t="s">
        <v>2200</v>
      </c>
      <c r="Z394" s="38">
        <v>50434.76</v>
      </c>
      <c r="AA394" s="38">
        <v>50434.76</v>
      </c>
      <c r="AB394" s="38">
        <v>-1667.24</v>
      </c>
      <c r="AC394" s="38">
        <v>0.0</v>
      </c>
      <c r="AD394" s="38">
        <v>0.0</v>
      </c>
      <c r="AE394" s="38">
        <v>0.0</v>
      </c>
      <c r="AF394" s="38">
        <v>0.0</v>
      </c>
      <c r="AG394" s="38">
        <v>0.0</v>
      </c>
      <c r="AH394" s="38">
        <v>0.0</v>
      </c>
      <c r="AI394" s="38">
        <v>50434.76</v>
      </c>
      <c r="AJ394" s="38">
        <v>50434.76</v>
      </c>
      <c r="AK394" s="38">
        <v>0.0</v>
      </c>
      <c r="AL394" s="38">
        <v>242.77</v>
      </c>
      <c r="AM394" s="38">
        <v>0.0</v>
      </c>
      <c r="AN394" s="34" t="s">
        <v>62</v>
      </c>
      <c r="AO394" s="34" t="s">
        <v>62</v>
      </c>
      <c r="AP394" s="34" t="s">
        <v>62</v>
      </c>
      <c r="AQ394" s="34" t="s">
        <v>62</v>
      </c>
      <c r="AR394" s="38">
        <v>0.0</v>
      </c>
      <c r="AS394" s="34"/>
      <c r="AT394" s="38" t="s">
        <v>2275</v>
      </c>
      <c r="AU394" s="38" t="s">
        <v>2276</v>
      </c>
      <c r="AV394" s="40">
        <v>46164.0</v>
      </c>
    </row>
    <row r="395">
      <c r="A395" s="38">
        <v>595176.0</v>
      </c>
      <c r="B395" s="38">
        <v>498557.0</v>
      </c>
      <c r="C395" s="38">
        <v>551662.0</v>
      </c>
      <c r="D395" s="34" t="s">
        <v>62</v>
      </c>
      <c r="E395" s="34" t="s">
        <v>62</v>
      </c>
      <c r="F395" s="38">
        <v>1255034.0</v>
      </c>
      <c r="G395" s="18" t="s">
        <v>826</v>
      </c>
      <c r="H395" s="18" t="s">
        <v>2588</v>
      </c>
      <c r="I395" s="18" t="s">
        <v>217</v>
      </c>
      <c r="J395" s="18" t="s">
        <v>2337</v>
      </c>
      <c r="K395" s="18" t="s">
        <v>2337</v>
      </c>
      <c r="L395" s="18" t="s">
        <v>52</v>
      </c>
      <c r="M395" s="18" t="s">
        <v>89</v>
      </c>
      <c r="N395" s="18" t="s">
        <v>130</v>
      </c>
      <c r="O395" s="18" t="s">
        <v>126</v>
      </c>
      <c r="P395" s="18" t="s">
        <v>218</v>
      </c>
      <c r="Q395" s="18" t="s">
        <v>219</v>
      </c>
      <c r="R395" s="18" t="s">
        <v>133</v>
      </c>
      <c r="S395" s="18" t="s">
        <v>59</v>
      </c>
      <c r="T395" s="38">
        <v>2026.0</v>
      </c>
      <c r="U395" s="38">
        <v>5.0</v>
      </c>
      <c r="V395" s="38">
        <v>1.081522614E9</v>
      </c>
      <c r="W395" s="38">
        <v>1.081540684E9</v>
      </c>
      <c r="X395" s="18" t="s">
        <v>2199</v>
      </c>
      <c r="Y395" s="18" t="s">
        <v>2200</v>
      </c>
      <c r="Z395" s="38">
        <v>53638.77</v>
      </c>
      <c r="AA395" s="38">
        <v>53638.77</v>
      </c>
      <c r="AB395" s="38">
        <v>-1667.24</v>
      </c>
      <c r="AC395" s="38">
        <v>0.0</v>
      </c>
      <c r="AD395" s="38">
        <v>3204.01</v>
      </c>
      <c r="AE395" s="38">
        <v>0.0</v>
      </c>
      <c r="AF395" s="38">
        <v>0.0</v>
      </c>
      <c r="AG395" s="38">
        <v>0.0</v>
      </c>
      <c r="AH395" s="38">
        <v>0.0</v>
      </c>
      <c r="AI395" s="38">
        <v>53638.77</v>
      </c>
      <c r="AJ395" s="38">
        <v>283504.12</v>
      </c>
      <c r="AK395" s="38">
        <v>5.0</v>
      </c>
      <c r="AL395" s="38">
        <v>242.77</v>
      </c>
      <c r="AM395" s="38">
        <v>0.0</v>
      </c>
      <c r="AN395" s="34" t="s">
        <v>62</v>
      </c>
      <c r="AO395" s="34" t="s">
        <v>62</v>
      </c>
      <c r="AP395" s="34" t="s">
        <v>62</v>
      </c>
      <c r="AQ395" s="34" t="s">
        <v>62</v>
      </c>
      <c r="AR395" s="38">
        <v>0.0</v>
      </c>
      <c r="AS395" s="34"/>
      <c r="AT395" s="38" t="s">
        <v>2275</v>
      </c>
      <c r="AU395" s="38" t="s">
        <v>2276</v>
      </c>
      <c r="AV395" s="40">
        <v>46164.0</v>
      </c>
    </row>
    <row r="396">
      <c r="A396" s="38">
        <v>595180.0</v>
      </c>
      <c r="B396" s="38">
        <v>498561.0</v>
      </c>
      <c r="C396" s="38">
        <v>551666.0</v>
      </c>
      <c r="D396" s="34" t="s">
        <v>62</v>
      </c>
      <c r="E396" s="34" t="s">
        <v>62</v>
      </c>
      <c r="F396" s="38">
        <v>1255038.0</v>
      </c>
      <c r="G396" s="18" t="s">
        <v>828</v>
      </c>
      <c r="H396" s="18" t="s">
        <v>2589</v>
      </c>
      <c r="I396" s="18" t="s">
        <v>217</v>
      </c>
      <c r="J396" s="18" t="s">
        <v>2337</v>
      </c>
      <c r="K396" s="18" t="s">
        <v>2337</v>
      </c>
      <c r="L396" s="18" t="s">
        <v>52</v>
      </c>
      <c r="M396" s="18" t="s">
        <v>89</v>
      </c>
      <c r="N396" s="18" t="s">
        <v>130</v>
      </c>
      <c r="O396" s="18" t="s">
        <v>126</v>
      </c>
      <c r="P396" s="18" t="s">
        <v>218</v>
      </c>
      <c r="Q396" s="18" t="s">
        <v>219</v>
      </c>
      <c r="R396" s="18" t="s">
        <v>133</v>
      </c>
      <c r="S396" s="18" t="s">
        <v>59</v>
      </c>
      <c r="T396" s="38">
        <v>2026.0</v>
      </c>
      <c r="U396" s="38">
        <v>5.0</v>
      </c>
      <c r="V396" s="38">
        <v>1.081522618E9</v>
      </c>
      <c r="W396" s="38">
        <v>1.081540688E9</v>
      </c>
      <c r="X396" s="18" t="s">
        <v>2199</v>
      </c>
      <c r="Y396" s="18" t="s">
        <v>2200</v>
      </c>
      <c r="Z396" s="38">
        <v>50578.29</v>
      </c>
      <c r="AA396" s="38">
        <v>50578.29</v>
      </c>
      <c r="AB396" s="38">
        <v>-1667.24</v>
      </c>
      <c r="AC396" s="38">
        <v>0.0</v>
      </c>
      <c r="AD396" s="38">
        <v>143.53</v>
      </c>
      <c r="AE396" s="38">
        <v>0.0</v>
      </c>
      <c r="AF396" s="38">
        <v>0.0</v>
      </c>
      <c r="AG396" s="38">
        <v>0.0</v>
      </c>
      <c r="AH396" s="38">
        <v>0.0</v>
      </c>
      <c r="AI396" s="38">
        <v>50578.29</v>
      </c>
      <c r="AJ396" s="38">
        <v>100608.42</v>
      </c>
      <c r="AK396" s="38">
        <v>1.0</v>
      </c>
      <c r="AL396" s="38">
        <v>242.77</v>
      </c>
      <c r="AM396" s="38">
        <v>0.0</v>
      </c>
      <c r="AN396" s="34" t="s">
        <v>62</v>
      </c>
      <c r="AO396" s="34" t="s">
        <v>62</v>
      </c>
      <c r="AP396" s="34" t="s">
        <v>62</v>
      </c>
      <c r="AQ396" s="34" t="s">
        <v>62</v>
      </c>
      <c r="AR396" s="38">
        <v>0.0</v>
      </c>
      <c r="AS396" s="34"/>
      <c r="AT396" s="38" t="s">
        <v>2275</v>
      </c>
      <c r="AU396" s="38" t="s">
        <v>2276</v>
      </c>
      <c r="AV396" s="40">
        <v>46164.0</v>
      </c>
    </row>
    <row r="397">
      <c r="A397" s="38">
        <v>595184.0</v>
      </c>
      <c r="B397" s="38">
        <v>498565.0</v>
      </c>
      <c r="C397" s="38">
        <v>551670.0</v>
      </c>
      <c r="D397" s="34" t="s">
        <v>62</v>
      </c>
      <c r="E397" s="34" t="s">
        <v>62</v>
      </c>
      <c r="F397" s="38">
        <v>1255042.0</v>
      </c>
      <c r="G397" s="18" t="s">
        <v>830</v>
      </c>
      <c r="H397" s="18" t="s">
        <v>2590</v>
      </c>
      <c r="I397" s="18" t="s">
        <v>217</v>
      </c>
      <c r="J397" s="18" t="s">
        <v>2337</v>
      </c>
      <c r="K397" s="18" t="s">
        <v>2337</v>
      </c>
      <c r="L397" s="18" t="s">
        <v>52</v>
      </c>
      <c r="M397" s="18" t="s">
        <v>89</v>
      </c>
      <c r="N397" s="18" t="s">
        <v>130</v>
      </c>
      <c r="O397" s="18" t="s">
        <v>126</v>
      </c>
      <c r="P397" s="18" t="s">
        <v>218</v>
      </c>
      <c r="Q397" s="18" t="s">
        <v>219</v>
      </c>
      <c r="R397" s="18" t="s">
        <v>133</v>
      </c>
      <c r="S397" s="18" t="s">
        <v>59</v>
      </c>
      <c r="T397" s="38">
        <v>2026.0</v>
      </c>
      <c r="U397" s="38">
        <v>5.0</v>
      </c>
      <c r="V397" s="38">
        <v>1.081522622E9</v>
      </c>
      <c r="W397" s="38">
        <v>1.081540692E9</v>
      </c>
      <c r="X397" s="18" t="s">
        <v>2199</v>
      </c>
      <c r="Y397" s="18" t="s">
        <v>2200</v>
      </c>
      <c r="Z397" s="38">
        <v>50664.19</v>
      </c>
      <c r="AA397" s="38">
        <v>50664.19</v>
      </c>
      <c r="AB397" s="38">
        <v>-1667.24</v>
      </c>
      <c r="AC397" s="38">
        <v>0.0</v>
      </c>
      <c r="AD397" s="38">
        <v>229.43</v>
      </c>
      <c r="AE397" s="38">
        <v>0.0</v>
      </c>
      <c r="AF397" s="38">
        <v>0.0</v>
      </c>
      <c r="AG397" s="38">
        <v>0.0</v>
      </c>
      <c r="AH397" s="38">
        <v>0.0</v>
      </c>
      <c r="AI397" s="38">
        <v>50664.19</v>
      </c>
      <c r="AJ397" s="38">
        <v>100750.0</v>
      </c>
      <c r="AK397" s="38">
        <v>2.0</v>
      </c>
      <c r="AL397" s="38">
        <v>242.77</v>
      </c>
      <c r="AM397" s="38">
        <v>0.0</v>
      </c>
      <c r="AN397" s="34" t="s">
        <v>62</v>
      </c>
      <c r="AO397" s="34" t="s">
        <v>62</v>
      </c>
      <c r="AP397" s="34" t="s">
        <v>62</v>
      </c>
      <c r="AQ397" s="34" t="s">
        <v>62</v>
      </c>
      <c r="AR397" s="38">
        <v>0.0</v>
      </c>
      <c r="AS397" s="34"/>
      <c r="AT397" s="38" t="s">
        <v>2275</v>
      </c>
      <c r="AU397" s="38" t="s">
        <v>2276</v>
      </c>
      <c r="AV397" s="40">
        <v>46164.0</v>
      </c>
    </row>
    <row r="398">
      <c r="A398" s="38">
        <v>595188.0</v>
      </c>
      <c r="B398" s="38">
        <v>498569.0</v>
      </c>
      <c r="C398" s="38">
        <v>551674.0</v>
      </c>
      <c r="D398" s="34" t="s">
        <v>62</v>
      </c>
      <c r="E398" s="34" t="s">
        <v>62</v>
      </c>
      <c r="F398" s="38">
        <v>1255046.0</v>
      </c>
      <c r="G398" s="18" t="s">
        <v>832</v>
      </c>
      <c r="H398" s="18" t="s">
        <v>2591</v>
      </c>
      <c r="I398" s="18" t="s">
        <v>217</v>
      </c>
      <c r="J398" s="18" t="s">
        <v>2337</v>
      </c>
      <c r="K398" s="18" t="s">
        <v>2337</v>
      </c>
      <c r="L398" s="18" t="s">
        <v>52</v>
      </c>
      <c r="M398" s="18" t="s">
        <v>89</v>
      </c>
      <c r="N398" s="18" t="s">
        <v>130</v>
      </c>
      <c r="O398" s="18" t="s">
        <v>126</v>
      </c>
      <c r="P398" s="18" t="s">
        <v>218</v>
      </c>
      <c r="Q398" s="18" t="s">
        <v>219</v>
      </c>
      <c r="R398" s="18" t="s">
        <v>133</v>
      </c>
      <c r="S398" s="18" t="s">
        <v>59</v>
      </c>
      <c r="T398" s="38">
        <v>2026.0</v>
      </c>
      <c r="U398" s="38">
        <v>5.0</v>
      </c>
      <c r="V398" s="38">
        <v>1.081522626E9</v>
      </c>
      <c r="W398" s="38">
        <v>1.081540696E9</v>
      </c>
      <c r="X398" s="18" t="s">
        <v>2199</v>
      </c>
      <c r="Y398" s="18" t="s">
        <v>2200</v>
      </c>
      <c r="Z398" s="38">
        <v>50434.76</v>
      </c>
      <c r="AA398" s="38">
        <v>50434.76</v>
      </c>
      <c r="AB398" s="38">
        <v>-1667.24</v>
      </c>
      <c r="AC398" s="38">
        <v>0.0</v>
      </c>
      <c r="AD398" s="38">
        <v>0.0</v>
      </c>
      <c r="AE398" s="38">
        <v>0.0</v>
      </c>
      <c r="AF398" s="38">
        <v>0.0</v>
      </c>
      <c r="AG398" s="38">
        <v>0.0</v>
      </c>
      <c r="AH398" s="38">
        <v>0.0</v>
      </c>
      <c r="AI398" s="38">
        <v>50434.76</v>
      </c>
      <c r="AJ398" s="38">
        <v>101867.09</v>
      </c>
      <c r="AK398" s="38">
        <v>1.0</v>
      </c>
      <c r="AL398" s="38">
        <v>242.77</v>
      </c>
      <c r="AM398" s="38">
        <v>0.0</v>
      </c>
      <c r="AN398" s="34" t="s">
        <v>62</v>
      </c>
      <c r="AO398" s="34" t="s">
        <v>62</v>
      </c>
      <c r="AP398" s="34" t="s">
        <v>62</v>
      </c>
      <c r="AQ398" s="34" t="s">
        <v>62</v>
      </c>
      <c r="AR398" s="38">
        <v>0.0</v>
      </c>
      <c r="AS398" s="34"/>
      <c r="AT398" s="38" t="s">
        <v>2275</v>
      </c>
      <c r="AU398" s="38" t="s">
        <v>2276</v>
      </c>
      <c r="AV398" s="40">
        <v>46164.0</v>
      </c>
    </row>
    <row r="399">
      <c r="A399" s="38">
        <v>595192.0</v>
      </c>
      <c r="B399" s="38">
        <v>498573.0</v>
      </c>
      <c r="C399" s="38">
        <v>551678.0</v>
      </c>
      <c r="D399" s="34" t="s">
        <v>62</v>
      </c>
      <c r="E399" s="34" t="s">
        <v>62</v>
      </c>
      <c r="F399" s="38">
        <v>1255050.0</v>
      </c>
      <c r="G399" s="18" t="s">
        <v>834</v>
      </c>
      <c r="H399" s="18" t="s">
        <v>2592</v>
      </c>
      <c r="I399" s="18" t="s">
        <v>217</v>
      </c>
      <c r="J399" s="18" t="s">
        <v>2337</v>
      </c>
      <c r="K399" s="18" t="s">
        <v>2337</v>
      </c>
      <c r="L399" s="18" t="s">
        <v>52</v>
      </c>
      <c r="M399" s="18" t="s">
        <v>89</v>
      </c>
      <c r="N399" s="18" t="s">
        <v>130</v>
      </c>
      <c r="O399" s="18" t="s">
        <v>126</v>
      </c>
      <c r="P399" s="18" t="s">
        <v>218</v>
      </c>
      <c r="Q399" s="18" t="s">
        <v>219</v>
      </c>
      <c r="R399" s="18" t="s">
        <v>133</v>
      </c>
      <c r="S399" s="18" t="s">
        <v>59</v>
      </c>
      <c r="T399" s="38">
        <v>2026.0</v>
      </c>
      <c r="U399" s="38">
        <v>5.0</v>
      </c>
      <c r="V399" s="38">
        <v>1.08152263E9</v>
      </c>
      <c r="W399" s="38">
        <v>1.0815407E9</v>
      </c>
      <c r="X399" s="18" t="s">
        <v>2199</v>
      </c>
      <c r="Y399" s="18" t="s">
        <v>2200</v>
      </c>
      <c r="Z399" s="38">
        <v>53638.77</v>
      </c>
      <c r="AA399" s="38">
        <v>53638.77</v>
      </c>
      <c r="AB399" s="38">
        <v>-1667.24</v>
      </c>
      <c r="AC399" s="38">
        <v>0.0</v>
      </c>
      <c r="AD399" s="38">
        <v>3204.01</v>
      </c>
      <c r="AE399" s="38">
        <v>0.0</v>
      </c>
      <c r="AF399" s="38">
        <v>0.0</v>
      </c>
      <c r="AG399" s="38">
        <v>0.0</v>
      </c>
      <c r="AH399" s="38">
        <v>0.0</v>
      </c>
      <c r="AI399" s="38">
        <v>53638.77</v>
      </c>
      <c r="AJ399" s="38">
        <v>283504.12</v>
      </c>
      <c r="AK399" s="38">
        <v>5.0</v>
      </c>
      <c r="AL399" s="38">
        <v>242.77</v>
      </c>
      <c r="AM399" s="38">
        <v>0.0</v>
      </c>
      <c r="AN399" s="34" t="s">
        <v>62</v>
      </c>
      <c r="AO399" s="34" t="s">
        <v>62</v>
      </c>
      <c r="AP399" s="34" t="s">
        <v>62</v>
      </c>
      <c r="AQ399" s="34" t="s">
        <v>62</v>
      </c>
      <c r="AR399" s="38">
        <v>0.0</v>
      </c>
      <c r="AS399" s="34"/>
      <c r="AT399" s="38" t="s">
        <v>2275</v>
      </c>
      <c r="AU399" s="38" t="s">
        <v>2276</v>
      </c>
      <c r="AV399" s="40">
        <v>46164.0</v>
      </c>
    </row>
    <row r="400">
      <c r="A400" s="38">
        <v>595196.0</v>
      </c>
      <c r="B400" s="38">
        <v>498577.0</v>
      </c>
      <c r="C400" s="38">
        <v>551682.0</v>
      </c>
      <c r="D400" s="34" t="s">
        <v>62</v>
      </c>
      <c r="E400" s="34" t="s">
        <v>62</v>
      </c>
      <c r="F400" s="38">
        <v>1255054.0</v>
      </c>
      <c r="G400" s="18" t="s">
        <v>836</v>
      </c>
      <c r="H400" s="18" t="s">
        <v>2593</v>
      </c>
      <c r="I400" s="18" t="s">
        <v>217</v>
      </c>
      <c r="J400" s="18" t="s">
        <v>2337</v>
      </c>
      <c r="K400" s="18" t="s">
        <v>2337</v>
      </c>
      <c r="L400" s="18" t="s">
        <v>52</v>
      </c>
      <c r="M400" s="18" t="s">
        <v>89</v>
      </c>
      <c r="N400" s="18" t="s">
        <v>130</v>
      </c>
      <c r="O400" s="18" t="s">
        <v>126</v>
      </c>
      <c r="P400" s="18" t="s">
        <v>218</v>
      </c>
      <c r="Q400" s="18" t="s">
        <v>219</v>
      </c>
      <c r="R400" s="18" t="s">
        <v>133</v>
      </c>
      <c r="S400" s="18" t="s">
        <v>59</v>
      </c>
      <c r="T400" s="38">
        <v>2026.0</v>
      </c>
      <c r="U400" s="38">
        <v>5.0</v>
      </c>
      <c r="V400" s="38">
        <v>1.081522634E9</v>
      </c>
      <c r="W400" s="38">
        <v>1.081540704E9</v>
      </c>
      <c r="X400" s="18" t="s">
        <v>2199</v>
      </c>
      <c r="Y400" s="18" t="s">
        <v>2200</v>
      </c>
      <c r="Z400" s="38">
        <v>50434.76</v>
      </c>
      <c r="AA400" s="38">
        <v>50434.76</v>
      </c>
      <c r="AB400" s="38">
        <v>-1667.24</v>
      </c>
      <c r="AC400" s="38">
        <v>0.0</v>
      </c>
      <c r="AD400" s="38">
        <v>0.0</v>
      </c>
      <c r="AE400" s="38">
        <v>0.0</v>
      </c>
      <c r="AF400" s="38">
        <v>0.0</v>
      </c>
      <c r="AG400" s="38">
        <v>0.0</v>
      </c>
      <c r="AH400" s="38">
        <v>0.0</v>
      </c>
      <c r="AI400" s="38">
        <v>50434.76</v>
      </c>
      <c r="AJ400" s="38">
        <v>50434.76</v>
      </c>
      <c r="AK400" s="38">
        <v>0.0</v>
      </c>
      <c r="AL400" s="38">
        <v>242.77</v>
      </c>
      <c r="AM400" s="38">
        <v>0.0</v>
      </c>
      <c r="AN400" s="34" t="s">
        <v>62</v>
      </c>
      <c r="AO400" s="34" t="s">
        <v>62</v>
      </c>
      <c r="AP400" s="34" t="s">
        <v>62</v>
      </c>
      <c r="AQ400" s="34" t="s">
        <v>62</v>
      </c>
      <c r="AR400" s="38">
        <v>0.0</v>
      </c>
      <c r="AS400" s="34"/>
      <c r="AT400" s="38" t="s">
        <v>2275</v>
      </c>
      <c r="AU400" s="38" t="s">
        <v>2276</v>
      </c>
      <c r="AV400" s="40">
        <v>46164.0</v>
      </c>
    </row>
    <row r="401">
      <c r="A401" s="38">
        <v>595200.0</v>
      </c>
      <c r="B401" s="38">
        <v>498581.0</v>
      </c>
      <c r="C401" s="38">
        <v>551686.0</v>
      </c>
      <c r="D401" s="34" t="s">
        <v>62</v>
      </c>
      <c r="E401" s="34" t="s">
        <v>62</v>
      </c>
      <c r="F401" s="38">
        <v>1255058.0</v>
      </c>
      <c r="G401" s="18" t="s">
        <v>838</v>
      </c>
      <c r="H401" s="18" t="s">
        <v>2594</v>
      </c>
      <c r="I401" s="18" t="s">
        <v>217</v>
      </c>
      <c r="J401" s="18" t="s">
        <v>2337</v>
      </c>
      <c r="K401" s="18" t="s">
        <v>2337</v>
      </c>
      <c r="L401" s="18" t="s">
        <v>52</v>
      </c>
      <c r="M401" s="18" t="s">
        <v>89</v>
      </c>
      <c r="N401" s="18" t="s">
        <v>130</v>
      </c>
      <c r="O401" s="18" t="s">
        <v>126</v>
      </c>
      <c r="P401" s="18" t="s">
        <v>218</v>
      </c>
      <c r="Q401" s="18" t="s">
        <v>219</v>
      </c>
      <c r="R401" s="18" t="s">
        <v>133</v>
      </c>
      <c r="S401" s="18" t="s">
        <v>59</v>
      </c>
      <c r="T401" s="38">
        <v>2026.0</v>
      </c>
      <c r="U401" s="38">
        <v>5.0</v>
      </c>
      <c r="V401" s="38">
        <v>1.081522638E9</v>
      </c>
      <c r="W401" s="38">
        <v>1.081540708E9</v>
      </c>
      <c r="X401" s="18" t="s">
        <v>2199</v>
      </c>
      <c r="Y401" s="18" t="s">
        <v>2200</v>
      </c>
      <c r="Z401" s="38">
        <v>50631.41</v>
      </c>
      <c r="AA401" s="38">
        <v>50631.41</v>
      </c>
      <c r="AB401" s="38">
        <v>-1667.24</v>
      </c>
      <c r="AC401" s="38">
        <v>0.0</v>
      </c>
      <c r="AD401" s="38">
        <v>196.65</v>
      </c>
      <c r="AE401" s="38">
        <v>0.0</v>
      </c>
      <c r="AF401" s="38">
        <v>0.0</v>
      </c>
      <c r="AG401" s="38">
        <v>0.0</v>
      </c>
      <c r="AH401" s="38">
        <v>0.0</v>
      </c>
      <c r="AI401" s="38">
        <v>50631.41</v>
      </c>
      <c r="AJ401" s="38">
        <v>100979.9</v>
      </c>
      <c r="AK401" s="38">
        <v>1.0</v>
      </c>
      <c r="AL401" s="38">
        <v>242.77</v>
      </c>
      <c r="AM401" s="38">
        <v>0.0</v>
      </c>
      <c r="AN401" s="34" t="s">
        <v>62</v>
      </c>
      <c r="AO401" s="34" t="s">
        <v>62</v>
      </c>
      <c r="AP401" s="34" t="s">
        <v>62</v>
      </c>
      <c r="AQ401" s="34" t="s">
        <v>62</v>
      </c>
      <c r="AR401" s="38">
        <v>0.0</v>
      </c>
      <c r="AS401" s="34"/>
      <c r="AT401" s="38" t="s">
        <v>2275</v>
      </c>
      <c r="AU401" s="38" t="s">
        <v>2276</v>
      </c>
      <c r="AV401" s="40">
        <v>46164.0</v>
      </c>
    </row>
    <row r="402">
      <c r="A402" s="38">
        <v>595204.0</v>
      </c>
      <c r="B402" s="38">
        <v>498585.0</v>
      </c>
      <c r="C402" s="38">
        <v>551690.0</v>
      </c>
      <c r="D402" s="34" t="s">
        <v>62</v>
      </c>
      <c r="E402" s="34" t="s">
        <v>62</v>
      </c>
      <c r="F402" s="38">
        <v>1255062.0</v>
      </c>
      <c r="G402" s="18" t="s">
        <v>840</v>
      </c>
      <c r="H402" s="18" t="s">
        <v>2595</v>
      </c>
      <c r="I402" s="18" t="s">
        <v>217</v>
      </c>
      <c r="J402" s="18" t="s">
        <v>2337</v>
      </c>
      <c r="K402" s="18" t="s">
        <v>2337</v>
      </c>
      <c r="L402" s="18" t="s">
        <v>52</v>
      </c>
      <c r="M402" s="18" t="s">
        <v>89</v>
      </c>
      <c r="N402" s="18" t="s">
        <v>130</v>
      </c>
      <c r="O402" s="18" t="s">
        <v>126</v>
      </c>
      <c r="P402" s="18" t="s">
        <v>218</v>
      </c>
      <c r="Q402" s="18" t="s">
        <v>219</v>
      </c>
      <c r="R402" s="18" t="s">
        <v>133</v>
      </c>
      <c r="S402" s="18" t="s">
        <v>59</v>
      </c>
      <c r="T402" s="38">
        <v>2026.0</v>
      </c>
      <c r="U402" s="38">
        <v>5.0</v>
      </c>
      <c r="V402" s="38">
        <v>1.081522642E9</v>
      </c>
      <c r="W402" s="38">
        <v>1.081540712E9</v>
      </c>
      <c r="X402" s="18" t="s">
        <v>2199</v>
      </c>
      <c r="Y402" s="18" t="s">
        <v>2200</v>
      </c>
      <c r="Z402" s="38">
        <v>50434.76</v>
      </c>
      <c r="AA402" s="38">
        <v>50434.76</v>
      </c>
      <c r="AB402" s="38">
        <v>-1667.24</v>
      </c>
      <c r="AC402" s="38">
        <v>0.0</v>
      </c>
      <c r="AD402" s="38">
        <v>0.0</v>
      </c>
      <c r="AE402" s="38">
        <v>0.0</v>
      </c>
      <c r="AF402" s="38">
        <v>0.0</v>
      </c>
      <c r="AG402" s="38">
        <v>0.0</v>
      </c>
      <c r="AH402" s="38">
        <v>0.0</v>
      </c>
      <c r="AI402" s="38">
        <v>50434.76</v>
      </c>
      <c r="AJ402" s="38">
        <v>50434.76</v>
      </c>
      <c r="AK402" s="38">
        <v>0.0</v>
      </c>
      <c r="AL402" s="38">
        <v>242.77</v>
      </c>
      <c r="AM402" s="38">
        <v>0.0</v>
      </c>
      <c r="AN402" s="34" t="s">
        <v>62</v>
      </c>
      <c r="AO402" s="34" t="s">
        <v>62</v>
      </c>
      <c r="AP402" s="34" t="s">
        <v>62</v>
      </c>
      <c r="AQ402" s="34" t="s">
        <v>62</v>
      </c>
      <c r="AR402" s="38">
        <v>0.0</v>
      </c>
      <c r="AS402" s="34"/>
      <c r="AT402" s="38" t="s">
        <v>2275</v>
      </c>
      <c r="AU402" s="38" t="s">
        <v>2276</v>
      </c>
      <c r="AV402" s="40">
        <v>46164.0</v>
      </c>
    </row>
    <row r="403">
      <c r="A403" s="38">
        <v>595208.0</v>
      </c>
      <c r="B403" s="38">
        <v>498589.0</v>
      </c>
      <c r="C403" s="38">
        <v>551694.0</v>
      </c>
      <c r="D403" s="34" t="s">
        <v>62</v>
      </c>
      <c r="E403" s="34" t="s">
        <v>62</v>
      </c>
      <c r="F403" s="38">
        <v>1255066.0</v>
      </c>
      <c r="G403" s="18" t="s">
        <v>842</v>
      </c>
      <c r="H403" s="18" t="s">
        <v>2596</v>
      </c>
      <c r="I403" s="18" t="s">
        <v>217</v>
      </c>
      <c r="J403" s="18" t="s">
        <v>2337</v>
      </c>
      <c r="K403" s="18" t="s">
        <v>2337</v>
      </c>
      <c r="L403" s="18" t="s">
        <v>52</v>
      </c>
      <c r="M403" s="18" t="s">
        <v>89</v>
      </c>
      <c r="N403" s="18" t="s">
        <v>130</v>
      </c>
      <c r="O403" s="18" t="s">
        <v>126</v>
      </c>
      <c r="P403" s="18" t="s">
        <v>218</v>
      </c>
      <c r="Q403" s="18" t="s">
        <v>219</v>
      </c>
      <c r="R403" s="18" t="s">
        <v>133</v>
      </c>
      <c r="S403" s="18" t="s">
        <v>59</v>
      </c>
      <c r="T403" s="38">
        <v>2026.0</v>
      </c>
      <c r="U403" s="38">
        <v>5.0</v>
      </c>
      <c r="V403" s="38">
        <v>1.081522646E9</v>
      </c>
      <c r="W403" s="38">
        <v>1.081540716E9</v>
      </c>
      <c r="X403" s="18" t="s">
        <v>2199</v>
      </c>
      <c r="Y403" s="18" t="s">
        <v>2200</v>
      </c>
      <c r="Z403" s="38">
        <v>50434.76</v>
      </c>
      <c r="AA403" s="38">
        <v>50434.76</v>
      </c>
      <c r="AB403" s="38">
        <v>-1667.24</v>
      </c>
      <c r="AC403" s="38">
        <v>0.0</v>
      </c>
      <c r="AD403" s="38">
        <v>0.0</v>
      </c>
      <c r="AE403" s="38">
        <v>0.0</v>
      </c>
      <c r="AF403" s="38">
        <v>0.0</v>
      </c>
      <c r="AG403" s="38">
        <v>0.0</v>
      </c>
      <c r="AH403" s="38">
        <v>0.0</v>
      </c>
      <c r="AI403" s="38">
        <v>50434.76</v>
      </c>
      <c r="AJ403" s="38">
        <v>50434.76</v>
      </c>
      <c r="AK403" s="38">
        <v>0.0</v>
      </c>
      <c r="AL403" s="38">
        <v>242.77</v>
      </c>
      <c r="AM403" s="38">
        <v>0.0</v>
      </c>
      <c r="AN403" s="34" t="s">
        <v>62</v>
      </c>
      <c r="AO403" s="34" t="s">
        <v>62</v>
      </c>
      <c r="AP403" s="34" t="s">
        <v>62</v>
      </c>
      <c r="AQ403" s="34" t="s">
        <v>62</v>
      </c>
      <c r="AR403" s="38">
        <v>0.0</v>
      </c>
      <c r="AS403" s="34"/>
      <c r="AT403" s="38" t="s">
        <v>2275</v>
      </c>
      <c r="AU403" s="38" t="s">
        <v>2276</v>
      </c>
      <c r="AV403" s="40">
        <v>46164.0</v>
      </c>
    </row>
    <row r="404">
      <c r="A404" s="38">
        <v>595212.0</v>
      </c>
      <c r="B404" s="38">
        <v>498593.0</v>
      </c>
      <c r="C404" s="38">
        <v>551698.0</v>
      </c>
      <c r="D404" s="34" t="s">
        <v>62</v>
      </c>
      <c r="E404" s="34" t="s">
        <v>62</v>
      </c>
      <c r="F404" s="38">
        <v>1255070.0</v>
      </c>
      <c r="G404" s="18" t="s">
        <v>844</v>
      </c>
      <c r="H404" s="18" t="s">
        <v>2597</v>
      </c>
      <c r="I404" s="18" t="s">
        <v>217</v>
      </c>
      <c r="J404" s="18" t="s">
        <v>2337</v>
      </c>
      <c r="K404" s="18" t="s">
        <v>2337</v>
      </c>
      <c r="L404" s="18" t="s">
        <v>52</v>
      </c>
      <c r="M404" s="18" t="s">
        <v>89</v>
      </c>
      <c r="N404" s="18" t="s">
        <v>130</v>
      </c>
      <c r="O404" s="18" t="s">
        <v>126</v>
      </c>
      <c r="P404" s="18" t="s">
        <v>218</v>
      </c>
      <c r="Q404" s="18" t="s">
        <v>219</v>
      </c>
      <c r="R404" s="18" t="s">
        <v>133</v>
      </c>
      <c r="S404" s="18" t="s">
        <v>59</v>
      </c>
      <c r="T404" s="38">
        <v>2026.0</v>
      </c>
      <c r="U404" s="38">
        <v>5.0</v>
      </c>
      <c r="V404" s="38">
        <v>1.081522649E9</v>
      </c>
      <c r="W404" s="38">
        <v>1.081540719E9</v>
      </c>
      <c r="X404" s="18" t="s">
        <v>2199</v>
      </c>
      <c r="Y404" s="18" t="s">
        <v>2200</v>
      </c>
      <c r="Z404" s="38">
        <v>53638.77</v>
      </c>
      <c r="AA404" s="38">
        <v>53638.77</v>
      </c>
      <c r="AB404" s="38">
        <v>-1667.24</v>
      </c>
      <c r="AC404" s="38">
        <v>0.0</v>
      </c>
      <c r="AD404" s="38">
        <v>3204.01</v>
      </c>
      <c r="AE404" s="38">
        <v>0.0</v>
      </c>
      <c r="AF404" s="38">
        <v>0.0</v>
      </c>
      <c r="AG404" s="38">
        <v>0.0</v>
      </c>
      <c r="AH404" s="38">
        <v>0.0</v>
      </c>
      <c r="AI404" s="38">
        <v>53638.77</v>
      </c>
      <c r="AJ404" s="38">
        <v>283504.12</v>
      </c>
      <c r="AK404" s="38">
        <v>5.0</v>
      </c>
      <c r="AL404" s="38">
        <v>242.77</v>
      </c>
      <c r="AM404" s="38">
        <v>0.0</v>
      </c>
      <c r="AN404" s="34" t="s">
        <v>62</v>
      </c>
      <c r="AO404" s="34" t="s">
        <v>62</v>
      </c>
      <c r="AP404" s="34" t="s">
        <v>62</v>
      </c>
      <c r="AQ404" s="34" t="s">
        <v>62</v>
      </c>
      <c r="AR404" s="38">
        <v>0.0</v>
      </c>
      <c r="AS404" s="34"/>
      <c r="AT404" s="38" t="s">
        <v>2275</v>
      </c>
      <c r="AU404" s="38" t="s">
        <v>2276</v>
      </c>
      <c r="AV404" s="40">
        <v>46164.0</v>
      </c>
    </row>
    <row r="405">
      <c r="A405" s="38">
        <v>595216.0</v>
      </c>
      <c r="B405" s="38">
        <v>498597.0</v>
      </c>
      <c r="C405" s="38">
        <v>551702.0</v>
      </c>
      <c r="D405" s="34" t="s">
        <v>62</v>
      </c>
      <c r="E405" s="34" t="s">
        <v>62</v>
      </c>
      <c r="F405" s="38">
        <v>1255074.0</v>
      </c>
      <c r="G405" s="18" t="s">
        <v>846</v>
      </c>
      <c r="H405" s="18" t="s">
        <v>2598</v>
      </c>
      <c r="I405" s="18" t="s">
        <v>217</v>
      </c>
      <c r="J405" s="18" t="s">
        <v>2337</v>
      </c>
      <c r="K405" s="18" t="s">
        <v>2337</v>
      </c>
      <c r="L405" s="18" t="s">
        <v>52</v>
      </c>
      <c r="M405" s="18" t="s">
        <v>89</v>
      </c>
      <c r="N405" s="18" t="s">
        <v>130</v>
      </c>
      <c r="O405" s="18" t="s">
        <v>126</v>
      </c>
      <c r="P405" s="18" t="s">
        <v>218</v>
      </c>
      <c r="Q405" s="18" t="s">
        <v>219</v>
      </c>
      <c r="R405" s="18" t="s">
        <v>133</v>
      </c>
      <c r="S405" s="18" t="s">
        <v>59</v>
      </c>
      <c r="T405" s="38">
        <v>2026.0</v>
      </c>
      <c r="U405" s="38">
        <v>5.0</v>
      </c>
      <c r="V405" s="38">
        <v>1.081522654E9</v>
      </c>
      <c r="W405" s="38">
        <v>1.081540724E9</v>
      </c>
      <c r="X405" s="18" t="s">
        <v>2199</v>
      </c>
      <c r="Y405" s="18" t="s">
        <v>2200</v>
      </c>
      <c r="Z405" s="38">
        <v>50434.76</v>
      </c>
      <c r="AA405" s="38">
        <v>50434.76</v>
      </c>
      <c r="AB405" s="38">
        <v>-1667.24</v>
      </c>
      <c r="AC405" s="38">
        <v>0.0</v>
      </c>
      <c r="AD405" s="38">
        <v>0.0</v>
      </c>
      <c r="AE405" s="38">
        <v>0.0</v>
      </c>
      <c r="AF405" s="38">
        <v>0.0</v>
      </c>
      <c r="AG405" s="38">
        <v>0.0</v>
      </c>
      <c r="AH405" s="38">
        <v>0.0</v>
      </c>
      <c r="AI405" s="38">
        <v>50434.76</v>
      </c>
      <c r="AJ405" s="38">
        <v>50434.76</v>
      </c>
      <c r="AK405" s="38">
        <v>0.0</v>
      </c>
      <c r="AL405" s="38">
        <v>242.77</v>
      </c>
      <c r="AM405" s="38">
        <v>0.0</v>
      </c>
      <c r="AN405" s="34" t="s">
        <v>62</v>
      </c>
      <c r="AO405" s="34" t="s">
        <v>62</v>
      </c>
      <c r="AP405" s="34" t="s">
        <v>62</v>
      </c>
      <c r="AQ405" s="34" t="s">
        <v>62</v>
      </c>
      <c r="AR405" s="38">
        <v>0.0</v>
      </c>
      <c r="AS405" s="34"/>
      <c r="AT405" s="38" t="s">
        <v>2275</v>
      </c>
      <c r="AU405" s="38" t="s">
        <v>2276</v>
      </c>
      <c r="AV405" s="40">
        <v>46164.0</v>
      </c>
    </row>
    <row r="406">
      <c r="A406" s="38">
        <v>595220.0</v>
      </c>
      <c r="B406" s="38">
        <v>498601.0</v>
      </c>
      <c r="C406" s="38">
        <v>551706.0</v>
      </c>
      <c r="D406" s="34" t="s">
        <v>62</v>
      </c>
      <c r="E406" s="34" t="s">
        <v>62</v>
      </c>
      <c r="F406" s="38">
        <v>1255078.0</v>
      </c>
      <c r="G406" s="18" t="s">
        <v>848</v>
      </c>
      <c r="H406" s="18" t="s">
        <v>2599</v>
      </c>
      <c r="I406" s="18" t="s">
        <v>217</v>
      </c>
      <c r="J406" s="18" t="s">
        <v>2337</v>
      </c>
      <c r="K406" s="18" t="s">
        <v>2337</v>
      </c>
      <c r="L406" s="18" t="s">
        <v>52</v>
      </c>
      <c r="M406" s="18" t="s">
        <v>89</v>
      </c>
      <c r="N406" s="18" t="s">
        <v>130</v>
      </c>
      <c r="O406" s="18" t="s">
        <v>126</v>
      </c>
      <c r="P406" s="18" t="s">
        <v>218</v>
      </c>
      <c r="Q406" s="18" t="s">
        <v>219</v>
      </c>
      <c r="R406" s="18" t="s">
        <v>133</v>
      </c>
      <c r="S406" s="18" t="s">
        <v>59</v>
      </c>
      <c r="T406" s="38">
        <v>2026.0</v>
      </c>
      <c r="U406" s="38">
        <v>5.0</v>
      </c>
      <c r="V406" s="38">
        <v>1.081522657E9</v>
      </c>
      <c r="W406" s="38">
        <v>1.081540727E9</v>
      </c>
      <c r="X406" s="18" t="s">
        <v>2199</v>
      </c>
      <c r="Y406" s="18" t="s">
        <v>2200</v>
      </c>
      <c r="Z406" s="38">
        <v>53638.77</v>
      </c>
      <c r="AA406" s="38">
        <v>53638.77</v>
      </c>
      <c r="AB406" s="38">
        <v>-1667.24</v>
      </c>
      <c r="AC406" s="38">
        <v>0.0</v>
      </c>
      <c r="AD406" s="38">
        <v>3204.01</v>
      </c>
      <c r="AE406" s="38">
        <v>0.0</v>
      </c>
      <c r="AF406" s="38">
        <v>0.0</v>
      </c>
      <c r="AG406" s="38">
        <v>0.0</v>
      </c>
      <c r="AH406" s="38">
        <v>0.0</v>
      </c>
      <c r="AI406" s="38">
        <v>53638.77</v>
      </c>
      <c r="AJ406" s="38">
        <v>283504.12</v>
      </c>
      <c r="AK406" s="38">
        <v>5.0</v>
      </c>
      <c r="AL406" s="38">
        <v>242.77</v>
      </c>
      <c r="AM406" s="38">
        <v>0.0</v>
      </c>
      <c r="AN406" s="34" t="s">
        <v>62</v>
      </c>
      <c r="AO406" s="34" t="s">
        <v>62</v>
      </c>
      <c r="AP406" s="34" t="s">
        <v>62</v>
      </c>
      <c r="AQ406" s="34" t="s">
        <v>62</v>
      </c>
      <c r="AR406" s="38">
        <v>0.0</v>
      </c>
      <c r="AS406" s="34"/>
      <c r="AT406" s="38" t="s">
        <v>2275</v>
      </c>
      <c r="AU406" s="38" t="s">
        <v>2276</v>
      </c>
      <c r="AV406" s="40">
        <v>46164.0</v>
      </c>
    </row>
    <row r="407">
      <c r="A407" s="38">
        <v>595224.0</v>
      </c>
      <c r="B407" s="38">
        <v>498605.0</v>
      </c>
      <c r="C407" s="38">
        <v>551710.0</v>
      </c>
      <c r="D407" s="34" t="s">
        <v>62</v>
      </c>
      <c r="E407" s="34" t="s">
        <v>62</v>
      </c>
      <c r="F407" s="38">
        <v>1255082.0</v>
      </c>
      <c r="G407" s="18" t="s">
        <v>850</v>
      </c>
      <c r="H407" s="18" t="s">
        <v>2600</v>
      </c>
      <c r="I407" s="18" t="s">
        <v>217</v>
      </c>
      <c r="J407" s="18" t="s">
        <v>2337</v>
      </c>
      <c r="K407" s="18" t="s">
        <v>2337</v>
      </c>
      <c r="L407" s="18" t="s">
        <v>52</v>
      </c>
      <c r="M407" s="18" t="s">
        <v>89</v>
      </c>
      <c r="N407" s="18" t="s">
        <v>130</v>
      </c>
      <c r="O407" s="18" t="s">
        <v>126</v>
      </c>
      <c r="P407" s="18" t="s">
        <v>218</v>
      </c>
      <c r="Q407" s="18" t="s">
        <v>219</v>
      </c>
      <c r="R407" s="18" t="s">
        <v>133</v>
      </c>
      <c r="S407" s="18" t="s">
        <v>59</v>
      </c>
      <c r="T407" s="38">
        <v>2026.0</v>
      </c>
      <c r="U407" s="38">
        <v>5.0</v>
      </c>
      <c r="V407" s="38">
        <v>1.081522662E9</v>
      </c>
      <c r="W407" s="38">
        <v>1.081540732E9</v>
      </c>
      <c r="X407" s="18" t="s">
        <v>2199</v>
      </c>
      <c r="Y407" s="18" t="s">
        <v>2200</v>
      </c>
      <c r="Z407" s="38">
        <v>53638.77</v>
      </c>
      <c r="AA407" s="38">
        <v>53638.77</v>
      </c>
      <c r="AB407" s="38">
        <v>-1667.24</v>
      </c>
      <c r="AC407" s="38">
        <v>0.0</v>
      </c>
      <c r="AD407" s="38">
        <v>3204.01</v>
      </c>
      <c r="AE407" s="38">
        <v>0.0</v>
      </c>
      <c r="AF407" s="38">
        <v>0.0</v>
      </c>
      <c r="AG407" s="38">
        <v>0.0</v>
      </c>
      <c r="AH407" s="38">
        <v>0.0</v>
      </c>
      <c r="AI407" s="38">
        <v>53638.77</v>
      </c>
      <c r="AJ407" s="38">
        <v>283504.12</v>
      </c>
      <c r="AK407" s="38">
        <v>5.0</v>
      </c>
      <c r="AL407" s="38">
        <v>242.77</v>
      </c>
      <c r="AM407" s="38">
        <v>0.0</v>
      </c>
      <c r="AN407" s="34" t="s">
        <v>62</v>
      </c>
      <c r="AO407" s="34" t="s">
        <v>62</v>
      </c>
      <c r="AP407" s="34" t="s">
        <v>62</v>
      </c>
      <c r="AQ407" s="34" t="s">
        <v>62</v>
      </c>
      <c r="AR407" s="38">
        <v>0.0</v>
      </c>
      <c r="AS407" s="34"/>
      <c r="AT407" s="38" t="s">
        <v>2275</v>
      </c>
      <c r="AU407" s="38" t="s">
        <v>2276</v>
      </c>
      <c r="AV407" s="40">
        <v>46164.0</v>
      </c>
    </row>
    <row r="408">
      <c r="A408" s="38">
        <v>595228.0</v>
      </c>
      <c r="B408" s="38">
        <v>498609.0</v>
      </c>
      <c r="C408" s="38">
        <v>551714.0</v>
      </c>
      <c r="D408" s="34" t="s">
        <v>62</v>
      </c>
      <c r="E408" s="34" t="s">
        <v>62</v>
      </c>
      <c r="F408" s="38">
        <v>1255086.0</v>
      </c>
      <c r="G408" s="18" t="s">
        <v>852</v>
      </c>
      <c r="H408" s="18" t="s">
        <v>2601</v>
      </c>
      <c r="I408" s="18" t="s">
        <v>217</v>
      </c>
      <c r="J408" s="18" t="s">
        <v>2337</v>
      </c>
      <c r="K408" s="18" t="s">
        <v>2337</v>
      </c>
      <c r="L408" s="18" t="s">
        <v>52</v>
      </c>
      <c r="M408" s="18" t="s">
        <v>89</v>
      </c>
      <c r="N408" s="18" t="s">
        <v>130</v>
      </c>
      <c r="O408" s="18" t="s">
        <v>126</v>
      </c>
      <c r="P408" s="18" t="s">
        <v>218</v>
      </c>
      <c r="Q408" s="18" t="s">
        <v>219</v>
      </c>
      <c r="R408" s="18" t="s">
        <v>133</v>
      </c>
      <c r="S408" s="18" t="s">
        <v>59</v>
      </c>
      <c r="T408" s="38">
        <v>2026.0</v>
      </c>
      <c r="U408" s="38">
        <v>5.0</v>
      </c>
      <c r="V408" s="38">
        <v>1.081522666E9</v>
      </c>
      <c r="W408" s="38">
        <v>1.081540736E9</v>
      </c>
      <c r="X408" s="18" t="s">
        <v>2199</v>
      </c>
      <c r="Y408" s="18" t="s">
        <v>2200</v>
      </c>
      <c r="Z408" s="38">
        <v>53638.77</v>
      </c>
      <c r="AA408" s="38">
        <v>53638.77</v>
      </c>
      <c r="AB408" s="38">
        <v>-1667.24</v>
      </c>
      <c r="AC408" s="38">
        <v>0.0</v>
      </c>
      <c r="AD408" s="38">
        <v>3204.01</v>
      </c>
      <c r="AE408" s="38">
        <v>0.0</v>
      </c>
      <c r="AF408" s="38">
        <v>0.0</v>
      </c>
      <c r="AG408" s="38">
        <v>0.0</v>
      </c>
      <c r="AH408" s="38">
        <v>0.0</v>
      </c>
      <c r="AI408" s="38">
        <v>53638.77</v>
      </c>
      <c r="AJ408" s="38">
        <v>283504.12</v>
      </c>
      <c r="AK408" s="38">
        <v>5.0</v>
      </c>
      <c r="AL408" s="38">
        <v>242.77</v>
      </c>
      <c r="AM408" s="38">
        <v>0.0</v>
      </c>
      <c r="AN408" s="34" t="s">
        <v>62</v>
      </c>
      <c r="AO408" s="34" t="s">
        <v>62</v>
      </c>
      <c r="AP408" s="34" t="s">
        <v>62</v>
      </c>
      <c r="AQ408" s="34" t="s">
        <v>62</v>
      </c>
      <c r="AR408" s="38">
        <v>0.0</v>
      </c>
      <c r="AS408" s="34"/>
      <c r="AT408" s="38" t="s">
        <v>2275</v>
      </c>
      <c r="AU408" s="38" t="s">
        <v>2276</v>
      </c>
      <c r="AV408" s="40">
        <v>46164.0</v>
      </c>
    </row>
    <row r="409">
      <c r="A409" s="38">
        <v>595232.0</v>
      </c>
      <c r="B409" s="38">
        <v>498613.0</v>
      </c>
      <c r="C409" s="38">
        <v>551718.0</v>
      </c>
      <c r="D409" s="34" t="s">
        <v>62</v>
      </c>
      <c r="E409" s="34" t="s">
        <v>62</v>
      </c>
      <c r="F409" s="38">
        <v>1255090.0</v>
      </c>
      <c r="G409" s="18" t="s">
        <v>854</v>
      </c>
      <c r="H409" s="18" t="s">
        <v>2602</v>
      </c>
      <c r="I409" s="18" t="s">
        <v>217</v>
      </c>
      <c r="J409" s="18" t="s">
        <v>2337</v>
      </c>
      <c r="K409" s="18" t="s">
        <v>2337</v>
      </c>
      <c r="L409" s="18" t="s">
        <v>52</v>
      </c>
      <c r="M409" s="18" t="s">
        <v>89</v>
      </c>
      <c r="N409" s="18" t="s">
        <v>130</v>
      </c>
      <c r="O409" s="18" t="s">
        <v>126</v>
      </c>
      <c r="P409" s="18" t="s">
        <v>218</v>
      </c>
      <c r="Q409" s="18" t="s">
        <v>219</v>
      </c>
      <c r="R409" s="18" t="s">
        <v>133</v>
      </c>
      <c r="S409" s="18" t="s">
        <v>59</v>
      </c>
      <c r="T409" s="38">
        <v>2026.0</v>
      </c>
      <c r="U409" s="38">
        <v>5.0</v>
      </c>
      <c r="V409" s="38">
        <v>1.081522668E9</v>
      </c>
      <c r="W409" s="38">
        <v>1.081540738E9</v>
      </c>
      <c r="X409" s="18" t="s">
        <v>2199</v>
      </c>
      <c r="Y409" s="18" t="s">
        <v>2200</v>
      </c>
      <c r="Z409" s="38">
        <v>50434.76</v>
      </c>
      <c r="AA409" s="38">
        <v>50434.76</v>
      </c>
      <c r="AB409" s="38">
        <v>-1667.24</v>
      </c>
      <c r="AC409" s="38">
        <v>0.0</v>
      </c>
      <c r="AD409" s="38">
        <v>0.0</v>
      </c>
      <c r="AE409" s="38">
        <v>0.0</v>
      </c>
      <c r="AF409" s="38">
        <v>0.0</v>
      </c>
      <c r="AG409" s="38">
        <v>0.0</v>
      </c>
      <c r="AH409" s="38">
        <v>0.0</v>
      </c>
      <c r="AI409" s="38">
        <v>50434.76</v>
      </c>
      <c r="AJ409" s="38">
        <v>50434.76</v>
      </c>
      <c r="AK409" s="38">
        <v>0.0</v>
      </c>
      <c r="AL409" s="38">
        <v>242.77</v>
      </c>
      <c r="AM409" s="38">
        <v>0.0</v>
      </c>
      <c r="AN409" s="34" t="s">
        <v>62</v>
      </c>
      <c r="AO409" s="34" t="s">
        <v>62</v>
      </c>
      <c r="AP409" s="34" t="s">
        <v>62</v>
      </c>
      <c r="AQ409" s="34" t="s">
        <v>62</v>
      </c>
      <c r="AR409" s="38">
        <v>0.0</v>
      </c>
      <c r="AS409" s="34"/>
      <c r="AT409" s="38" t="s">
        <v>2275</v>
      </c>
      <c r="AU409" s="38" t="s">
        <v>2276</v>
      </c>
      <c r="AV409" s="40">
        <v>46164.0</v>
      </c>
    </row>
    <row r="410">
      <c r="A410" s="38">
        <v>595236.0</v>
      </c>
      <c r="B410" s="38">
        <v>498617.0</v>
      </c>
      <c r="C410" s="38">
        <v>551722.0</v>
      </c>
      <c r="D410" s="34" t="s">
        <v>62</v>
      </c>
      <c r="E410" s="34" t="s">
        <v>62</v>
      </c>
      <c r="F410" s="38">
        <v>1255094.0</v>
      </c>
      <c r="G410" s="18" t="s">
        <v>856</v>
      </c>
      <c r="H410" s="18" t="s">
        <v>2603</v>
      </c>
      <c r="I410" s="18" t="s">
        <v>217</v>
      </c>
      <c r="J410" s="18" t="s">
        <v>2337</v>
      </c>
      <c r="K410" s="18" t="s">
        <v>2337</v>
      </c>
      <c r="L410" s="18" t="s">
        <v>52</v>
      </c>
      <c r="M410" s="18" t="s">
        <v>89</v>
      </c>
      <c r="N410" s="18" t="s">
        <v>130</v>
      </c>
      <c r="O410" s="18" t="s">
        <v>126</v>
      </c>
      <c r="P410" s="18" t="s">
        <v>218</v>
      </c>
      <c r="Q410" s="18" t="s">
        <v>219</v>
      </c>
      <c r="R410" s="18" t="s">
        <v>133</v>
      </c>
      <c r="S410" s="18" t="s">
        <v>59</v>
      </c>
      <c r="T410" s="38">
        <v>2026.0</v>
      </c>
      <c r="U410" s="38">
        <v>5.0</v>
      </c>
      <c r="V410" s="38">
        <v>1.081522671E9</v>
      </c>
      <c r="W410" s="38">
        <v>1.081540741E9</v>
      </c>
      <c r="X410" s="18" t="s">
        <v>2199</v>
      </c>
      <c r="Y410" s="18" t="s">
        <v>2200</v>
      </c>
      <c r="Z410" s="38">
        <v>53638.77</v>
      </c>
      <c r="AA410" s="38">
        <v>53638.77</v>
      </c>
      <c r="AB410" s="38">
        <v>-1667.24</v>
      </c>
      <c r="AC410" s="38">
        <v>0.0</v>
      </c>
      <c r="AD410" s="38">
        <v>3204.01</v>
      </c>
      <c r="AE410" s="38">
        <v>0.0</v>
      </c>
      <c r="AF410" s="38">
        <v>0.0</v>
      </c>
      <c r="AG410" s="38">
        <v>0.0</v>
      </c>
      <c r="AH410" s="38">
        <v>0.0</v>
      </c>
      <c r="AI410" s="38">
        <v>53638.77</v>
      </c>
      <c r="AJ410" s="38">
        <v>283504.12</v>
      </c>
      <c r="AK410" s="38">
        <v>5.0</v>
      </c>
      <c r="AL410" s="38">
        <v>242.77</v>
      </c>
      <c r="AM410" s="38">
        <v>0.0</v>
      </c>
      <c r="AN410" s="34" t="s">
        <v>62</v>
      </c>
      <c r="AO410" s="34" t="s">
        <v>62</v>
      </c>
      <c r="AP410" s="34" t="s">
        <v>62</v>
      </c>
      <c r="AQ410" s="34" t="s">
        <v>62</v>
      </c>
      <c r="AR410" s="38">
        <v>0.0</v>
      </c>
      <c r="AS410" s="34"/>
      <c r="AT410" s="38" t="s">
        <v>2275</v>
      </c>
      <c r="AU410" s="38" t="s">
        <v>2276</v>
      </c>
      <c r="AV410" s="40">
        <v>46164.0</v>
      </c>
    </row>
    <row r="411">
      <c r="A411" s="38">
        <v>103083.0</v>
      </c>
      <c r="B411" s="38">
        <v>103082.0</v>
      </c>
      <c r="C411" s="38">
        <v>103082.0</v>
      </c>
      <c r="D411" s="38">
        <v>532115.0</v>
      </c>
      <c r="E411" s="38">
        <v>532115.0</v>
      </c>
      <c r="F411" s="18" t="s">
        <v>1161</v>
      </c>
      <c r="G411" s="18" t="s">
        <v>1162</v>
      </c>
      <c r="H411" s="18" t="s">
        <v>2604</v>
      </c>
      <c r="I411" s="18" t="s">
        <v>1110</v>
      </c>
      <c r="J411" s="18" t="s">
        <v>2205</v>
      </c>
      <c r="K411" s="18" t="s">
        <v>2605</v>
      </c>
      <c r="L411" s="18" t="s">
        <v>52</v>
      </c>
      <c r="M411" s="18" t="s">
        <v>89</v>
      </c>
      <c r="N411" s="18" t="s">
        <v>861</v>
      </c>
      <c r="O411" s="18" t="s">
        <v>126</v>
      </c>
      <c r="P411" s="18" t="s">
        <v>131</v>
      </c>
      <c r="Q411" s="18" t="s">
        <v>132</v>
      </c>
      <c r="R411" s="18" t="s">
        <v>133</v>
      </c>
      <c r="S411" s="18" t="s">
        <v>59</v>
      </c>
      <c r="T411" s="38">
        <v>2026.0</v>
      </c>
      <c r="U411" s="38">
        <v>5.0</v>
      </c>
      <c r="V411" s="38">
        <v>1.0815231E9</v>
      </c>
      <c r="W411" s="38">
        <v>1.08154117E9</v>
      </c>
      <c r="X411" s="18" t="s">
        <v>2199</v>
      </c>
      <c r="Y411" s="18" t="s">
        <v>2200</v>
      </c>
      <c r="Z411" s="38">
        <v>113911.5</v>
      </c>
      <c r="AA411" s="38">
        <v>113911.5</v>
      </c>
      <c r="AB411" s="38">
        <v>37970.5</v>
      </c>
      <c r="AC411" s="38">
        <v>0.0</v>
      </c>
      <c r="AD411" s="38">
        <v>0.0</v>
      </c>
      <c r="AE411" s="38">
        <v>0.0</v>
      </c>
      <c r="AF411" s="38">
        <v>0.0</v>
      </c>
      <c r="AG411" s="38">
        <v>0.0</v>
      </c>
      <c r="AH411" s="38">
        <v>0.0</v>
      </c>
      <c r="AI411" s="38">
        <v>113911.5</v>
      </c>
      <c r="AJ411" s="38">
        <v>226336.5</v>
      </c>
      <c r="AK411" s="38">
        <v>1.0</v>
      </c>
      <c r="AL411" s="38">
        <v>376.2</v>
      </c>
      <c r="AM411" s="38">
        <v>0.0</v>
      </c>
      <c r="AN411" s="34" t="s">
        <v>62</v>
      </c>
      <c r="AO411" s="34" t="s">
        <v>62</v>
      </c>
      <c r="AP411" s="34" t="s">
        <v>62</v>
      </c>
      <c r="AQ411" s="34" t="s">
        <v>62</v>
      </c>
      <c r="AR411" s="38">
        <v>0.0</v>
      </c>
      <c r="AS411" s="38" t="s">
        <v>2606</v>
      </c>
      <c r="AT411" s="35" t="s">
        <v>2202</v>
      </c>
      <c r="AU411" s="39" t="s">
        <v>2203</v>
      </c>
      <c r="AV411" s="40">
        <v>46169.0</v>
      </c>
    </row>
    <row r="412">
      <c r="A412" s="38">
        <v>297.0</v>
      </c>
      <c r="B412" s="38">
        <v>103694.0</v>
      </c>
      <c r="C412" s="38">
        <v>103694.0</v>
      </c>
      <c r="D412" s="38">
        <v>197631.0</v>
      </c>
      <c r="E412" s="38">
        <v>197631.0</v>
      </c>
      <c r="F412" s="18" t="s">
        <v>135</v>
      </c>
      <c r="G412" s="18" t="s">
        <v>136</v>
      </c>
      <c r="H412" s="18" t="s">
        <v>2258</v>
      </c>
      <c r="I412" s="18" t="s">
        <v>1021</v>
      </c>
      <c r="J412" s="18" t="s">
        <v>2205</v>
      </c>
      <c r="K412" s="18" t="s">
        <v>2259</v>
      </c>
      <c r="L412" s="18" t="s">
        <v>52</v>
      </c>
      <c r="M412" s="18" t="s">
        <v>53</v>
      </c>
      <c r="N412" s="18" t="s">
        <v>861</v>
      </c>
      <c r="O412" s="18" t="s">
        <v>126</v>
      </c>
      <c r="P412" s="18" t="s">
        <v>131</v>
      </c>
      <c r="Q412" s="18" t="s">
        <v>139</v>
      </c>
      <c r="R412" s="18" t="s">
        <v>133</v>
      </c>
      <c r="S412" s="18" t="s">
        <v>59</v>
      </c>
      <c r="T412" s="38">
        <v>2026.0</v>
      </c>
      <c r="U412" s="38">
        <v>5.0</v>
      </c>
      <c r="V412" s="38">
        <v>1.081523104E9</v>
      </c>
      <c r="W412" s="38">
        <v>1.081541174E9</v>
      </c>
      <c r="X412" s="18" t="s">
        <v>2199</v>
      </c>
      <c r="Y412" s="18" t="s">
        <v>2200</v>
      </c>
      <c r="Z412" s="38">
        <v>63352.0</v>
      </c>
      <c r="AA412" s="38">
        <v>63352.0</v>
      </c>
      <c r="AB412" s="38">
        <v>0.0</v>
      </c>
      <c r="AC412" s="38">
        <v>0.0</v>
      </c>
      <c r="AD412" s="38">
        <v>0.0</v>
      </c>
      <c r="AE412" s="38">
        <v>0.0</v>
      </c>
      <c r="AF412" s="38">
        <v>0.0</v>
      </c>
      <c r="AG412" s="38">
        <v>0.0</v>
      </c>
      <c r="AH412" s="38">
        <v>0.0</v>
      </c>
      <c r="AI412" s="38">
        <v>63352.0</v>
      </c>
      <c r="AJ412" s="38">
        <v>63352.0</v>
      </c>
      <c r="AK412" s="38">
        <v>0.0</v>
      </c>
      <c r="AL412" s="38">
        <v>250.8</v>
      </c>
      <c r="AM412" s="38">
        <v>0.0</v>
      </c>
      <c r="AN412" s="34" t="s">
        <v>62</v>
      </c>
      <c r="AO412" s="34" t="s">
        <v>62</v>
      </c>
      <c r="AP412" s="34" t="s">
        <v>62</v>
      </c>
      <c r="AQ412" s="34" t="s">
        <v>62</v>
      </c>
      <c r="AR412" s="38">
        <v>0.0</v>
      </c>
      <c r="AS412" s="38" t="s">
        <v>2260</v>
      </c>
      <c r="AT412" s="35" t="s">
        <v>2202</v>
      </c>
      <c r="AU412" s="39" t="s">
        <v>2203</v>
      </c>
      <c r="AV412" s="40">
        <v>46164.0</v>
      </c>
    </row>
    <row r="413">
      <c r="A413" s="43">
        <v>104179.0</v>
      </c>
      <c r="B413" s="43">
        <v>104178.0</v>
      </c>
      <c r="C413" s="43">
        <v>104178.0</v>
      </c>
      <c r="D413" s="43">
        <v>181794.0</v>
      </c>
      <c r="E413" s="43">
        <v>181794.0</v>
      </c>
      <c r="F413" s="44" t="s">
        <v>1165</v>
      </c>
      <c r="G413" s="44" t="s">
        <v>1166</v>
      </c>
      <c r="H413" s="44" t="s">
        <v>2607</v>
      </c>
      <c r="I413" s="44" t="s">
        <v>76</v>
      </c>
      <c r="J413" s="44" t="s">
        <v>2205</v>
      </c>
      <c r="K413" s="44" t="s">
        <v>2205</v>
      </c>
      <c r="L413" s="44" t="s">
        <v>52</v>
      </c>
      <c r="M413" s="44" t="s">
        <v>89</v>
      </c>
      <c r="N413" s="44" t="s">
        <v>861</v>
      </c>
      <c r="O413" s="44" t="s">
        <v>126</v>
      </c>
      <c r="P413" s="44" t="s">
        <v>131</v>
      </c>
      <c r="Q413" s="44" t="s">
        <v>132</v>
      </c>
      <c r="R413" s="44" t="s">
        <v>133</v>
      </c>
      <c r="S413" s="44" t="s">
        <v>59</v>
      </c>
      <c r="T413" s="43">
        <v>2026.0</v>
      </c>
      <c r="U413" s="43">
        <v>5.0</v>
      </c>
      <c r="V413" s="43">
        <v>1.081523106E9</v>
      </c>
      <c r="W413" s="43">
        <v>1.081541176E9</v>
      </c>
      <c r="X413" s="44" t="s">
        <v>2199</v>
      </c>
      <c r="Y413" s="44" t="s">
        <v>2200</v>
      </c>
      <c r="Z413" s="43">
        <v>113911.51</v>
      </c>
      <c r="AA413" s="43">
        <v>113911.51</v>
      </c>
      <c r="AB413" s="43">
        <v>37970.5</v>
      </c>
      <c r="AC413" s="43">
        <v>0.0</v>
      </c>
      <c r="AD413" s="43">
        <v>0.01</v>
      </c>
      <c r="AE413" s="43">
        <v>0.0</v>
      </c>
      <c r="AF413" s="43">
        <v>0.0</v>
      </c>
      <c r="AG413" s="43">
        <v>0.0</v>
      </c>
      <c r="AH413" s="43">
        <v>0.0</v>
      </c>
      <c r="AI413" s="43">
        <v>113911.51</v>
      </c>
      <c r="AJ413" s="43">
        <v>227179.91</v>
      </c>
      <c r="AK413" s="43">
        <v>2.0</v>
      </c>
      <c r="AL413" s="43">
        <v>376.2</v>
      </c>
      <c r="AM413" s="43">
        <v>0.0</v>
      </c>
      <c r="AN413" s="45" t="s">
        <v>62</v>
      </c>
      <c r="AO413" s="45" t="s">
        <v>62</v>
      </c>
      <c r="AP413" s="45" t="s">
        <v>62</v>
      </c>
      <c r="AQ413" s="45" t="s">
        <v>62</v>
      </c>
      <c r="AR413" s="43">
        <v>0.0</v>
      </c>
      <c r="AS413" s="43" t="s">
        <v>2608</v>
      </c>
      <c r="AT413" s="48" t="s">
        <v>2202</v>
      </c>
      <c r="AU413" s="39" t="s">
        <v>2254</v>
      </c>
      <c r="AV413" s="40">
        <v>46170.0</v>
      </c>
    </row>
    <row r="414">
      <c r="A414" s="38">
        <v>365.0</v>
      </c>
      <c r="B414" s="38">
        <v>108742.0</v>
      </c>
      <c r="C414" s="38">
        <v>108742.0</v>
      </c>
      <c r="D414" s="38">
        <v>180016.0</v>
      </c>
      <c r="E414" s="38">
        <v>180016.0</v>
      </c>
      <c r="F414" s="38">
        <v>8.60034594E8</v>
      </c>
      <c r="G414" s="18" t="s">
        <v>1168</v>
      </c>
      <c r="H414" s="18" t="s">
        <v>2609</v>
      </c>
      <c r="I414" s="18" t="s">
        <v>1169</v>
      </c>
      <c r="J414" s="18" t="s">
        <v>2205</v>
      </c>
      <c r="K414" s="18" t="s">
        <v>1168</v>
      </c>
      <c r="L414" s="18" t="s">
        <v>52</v>
      </c>
      <c r="M414" s="18" t="s">
        <v>53</v>
      </c>
      <c r="N414" s="18" t="s">
        <v>861</v>
      </c>
      <c r="O414" s="18" t="s">
        <v>126</v>
      </c>
      <c r="P414" s="18" t="s">
        <v>131</v>
      </c>
      <c r="Q414" s="18" t="s">
        <v>132</v>
      </c>
      <c r="R414" s="18" t="s">
        <v>133</v>
      </c>
      <c r="S414" s="18" t="s">
        <v>59</v>
      </c>
      <c r="T414" s="38">
        <v>2026.0</v>
      </c>
      <c r="U414" s="38">
        <v>5.0</v>
      </c>
      <c r="V414" s="38">
        <v>1.081523109E9</v>
      </c>
      <c r="W414" s="38">
        <v>1.081541179E9</v>
      </c>
      <c r="X414" s="18" t="s">
        <v>2199</v>
      </c>
      <c r="Y414" s="18" t="s">
        <v>2200</v>
      </c>
      <c r="Z414" s="38">
        <v>113911.5</v>
      </c>
      <c r="AA414" s="38">
        <v>113911.5</v>
      </c>
      <c r="AB414" s="38">
        <v>37970.5</v>
      </c>
      <c r="AC414" s="38">
        <v>0.0</v>
      </c>
      <c r="AD414" s="38">
        <v>0.0</v>
      </c>
      <c r="AE414" s="38">
        <v>0.0</v>
      </c>
      <c r="AF414" s="38">
        <v>0.0</v>
      </c>
      <c r="AG414" s="38">
        <v>0.0</v>
      </c>
      <c r="AH414" s="38">
        <v>0.0</v>
      </c>
      <c r="AI414" s="38">
        <v>113911.5</v>
      </c>
      <c r="AJ414" s="38">
        <v>113911.5</v>
      </c>
      <c r="AK414" s="38">
        <v>0.0</v>
      </c>
      <c r="AL414" s="38">
        <v>376.2</v>
      </c>
      <c r="AM414" s="38">
        <v>0.0</v>
      </c>
      <c r="AN414" s="34" t="s">
        <v>62</v>
      </c>
      <c r="AO414" s="34" t="s">
        <v>62</v>
      </c>
      <c r="AP414" s="34" t="s">
        <v>62</v>
      </c>
      <c r="AQ414" s="34" t="s">
        <v>62</v>
      </c>
      <c r="AR414" s="38">
        <v>0.0</v>
      </c>
      <c r="AS414" s="38" t="s">
        <v>2610</v>
      </c>
      <c r="AT414" s="35" t="s">
        <v>2202</v>
      </c>
      <c r="AU414" s="39" t="s">
        <v>2203</v>
      </c>
      <c r="AV414" s="40">
        <v>46168.0</v>
      </c>
    </row>
    <row r="415">
      <c r="A415" s="38">
        <v>147.0</v>
      </c>
      <c r="B415" s="38">
        <v>109994.0</v>
      </c>
      <c r="C415" s="38">
        <v>109994.0</v>
      </c>
      <c r="D415" s="38">
        <v>403690.0</v>
      </c>
      <c r="E415" s="38">
        <v>403690.0</v>
      </c>
      <c r="F415" s="18" t="s">
        <v>179</v>
      </c>
      <c r="G415" s="18" t="s">
        <v>180</v>
      </c>
      <c r="H415" s="18" t="s">
        <v>2320</v>
      </c>
      <c r="I415" s="18" t="s">
        <v>902</v>
      </c>
      <c r="J415" s="18" t="s">
        <v>2205</v>
      </c>
      <c r="K415" s="18" t="s">
        <v>2289</v>
      </c>
      <c r="L415" s="18" t="s">
        <v>52</v>
      </c>
      <c r="M415" s="18" t="s">
        <v>89</v>
      </c>
      <c r="N415" s="18" t="s">
        <v>861</v>
      </c>
      <c r="O415" s="18" t="s">
        <v>126</v>
      </c>
      <c r="P415" s="18" t="s">
        <v>131</v>
      </c>
      <c r="Q415" s="18" t="s">
        <v>1111</v>
      </c>
      <c r="R415" s="18" t="s">
        <v>133</v>
      </c>
      <c r="S415" s="18" t="s">
        <v>59</v>
      </c>
      <c r="T415" s="38">
        <v>2026.0</v>
      </c>
      <c r="U415" s="38">
        <v>5.0</v>
      </c>
      <c r="V415" s="38">
        <v>1.081523113E9</v>
      </c>
      <c r="W415" s="38">
        <v>1.081541183E9</v>
      </c>
      <c r="X415" s="18" t="s">
        <v>2199</v>
      </c>
      <c r="Y415" s="18" t="s">
        <v>2200</v>
      </c>
      <c r="Z415" s="38">
        <v>50761.0</v>
      </c>
      <c r="AA415" s="38">
        <v>50761.0</v>
      </c>
      <c r="AB415" s="38">
        <v>0.0</v>
      </c>
      <c r="AC415" s="38">
        <v>0.0</v>
      </c>
      <c r="AD415" s="38">
        <v>0.0</v>
      </c>
      <c r="AE415" s="38">
        <v>0.0</v>
      </c>
      <c r="AF415" s="38">
        <v>0.0</v>
      </c>
      <c r="AG415" s="38">
        <v>0.0</v>
      </c>
      <c r="AH415" s="38">
        <v>0.0</v>
      </c>
      <c r="AI415" s="38">
        <v>50761.0</v>
      </c>
      <c r="AJ415" s="38">
        <v>101136.0</v>
      </c>
      <c r="AK415" s="38">
        <v>1.0</v>
      </c>
      <c r="AL415" s="38">
        <v>250.8</v>
      </c>
      <c r="AM415" s="38">
        <v>0.0</v>
      </c>
      <c r="AN415" s="34" t="s">
        <v>62</v>
      </c>
      <c r="AO415" s="34" t="s">
        <v>62</v>
      </c>
      <c r="AP415" s="34" t="s">
        <v>62</v>
      </c>
      <c r="AQ415" s="34" t="s">
        <v>62</v>
      </c>
      <c r="AR415" s="38">
        <v>0.0</v>
      </c>
      <c r="AS415" s="38" t="s">
        <v>2321</v>
      </c>
      <c r="AT415" s="35" t="s">
        <v>2202</v>
      </c>
      <c r="AU415" s="39" t="s">
        <v>2203</v>
      </c>
      <c r="AV415" s="40">
        <v>46163.0</v>
      </c>
    </row>
    <row r="416">
      <c r="A416" s="38">
        <v>455370.0</v>
      </c>
      <c r="B416" s="38">
        <v>110.0</v>
      </c>
      <c r="C416" s="38">
        <v>110.0</v>
      </c>
      <c r="D416" s="38">
        <v>9.0200153E7</v>
      </c>
      <c r="E416" s="38">
        <v>9.0200153E7</v>
      </c>
      <c r="F416" s="18" t="s">
        <v>148</v>
      </c>
      <c r="G416" s="18" t="s">
        <v>149</v>
      </c>
      <c r="H416" s="18" t="s">
        <v>2296</v>
      </c>
      <c r="I416" s="18" t="s">
        <v>1172</v>
      </c>
      <c r="J416" s="18" t="s">
        <v>2205</v>
      </c>
      <c r="K416" s="18" t="s">
        <v>2611</v>
      </c>
      <c r="L416" s="18" t="s">
        <v>52</v>
      </c>
      <c r="M416" s="18" t="s">
        <v>53</v>
      </c>
      <c r="N416" s="18" t="s">
        <v>861</v>
      </c>
      <c r="O416" s="18" t="s">
        <v>126</v>
      </c>
      <c r="P416" s="18" t="s">
        <v>56</v>
      </c>
      <c r="Q416" s="18" t="s">
        <v>57</v>
      </c>
      <c r="R416" s="18" t="s">
        <v>143</v>
      </c>
      <c r="S416" s="18" t="s">
        <v>59</v>
      </c>
      <c r="T416" s="38">
        <v>2026.0</v>
      </c>
      <c r="U416" s="38">
        <v>5.0</v>
      </c>
      <c r="V416" s="38">
        <v>1.081522683E9</v>
      </c>
      <c r="W416" s="38">
        <v>1.081540753E9</v>
      </c>
      <c r="X416" s="18" t="s">
        <v>2199</v>
      </c>
      <c r="Y416" s="18" t="s">
        <v>2200</v>
      </c>
      <c r="Z416" s="38">
        <v>86184.18</v>
      </c>
      <c r="AA416" s="38">
        <v>86184.18</v>
      </c>
      <c r="AB416" s="38">
        <v>0.0</v>
      </c>
      <c r="AC416" s="38">
        <v>253.0</v>
      </c>
      <c r="AD416" s="38">
        <v>0.0</v>
      </c>
      <c r="AE416" s="38">
        <v>0.0</v>
      </c>
      <c r="AF416" s="38">
        <v>0.0</v>
      </c>
      <c r="AG416" s="38">
        <v>0.0</v>
      </c>
      <c r="AH416" s="38">
        <v>0.0</v>
      </c>
      <c r="AI416" s="38">
        <v>86184.18</v>
      </c>
      <c r="AJ416" s="38">
        <v>333598.89</v>
      </c>
      <c r="AK416" s="38">
        <v>3.0</v>
      </c>
      <c r="AL416" s="38">
        <v>250.8</v>
      </c>
      <c r="AM416" s="38">
        <v>0.0</v>
      </c>
      <c r="AN416" s="34" t="s">
        <v>62</v>
      </c>
      <c r="AO416" s="34" t="s">
        <v>62</v>
      </c>
      <c r="AP416" s="34" t="s">
        <v>62</v>
      </c>
      <c r="AQ416" s="34" t="s">
        <v>62</v>
      </c>
      <c r="AR416" s="38">
        <v>0.0</v>
      </c>
      <c r="AS416" s="38" t="s">
        <v>2293</v>
      </c>
      <c r="AT416" s="35" t="s">
        <v>2294</v>
      </c>
      <c r="AU416" s="39" t="s">
        <v>2295</v>
      </c>
      <c r="AV416" s="40">
        <v>46164.0</v>
      </c>
    </row>
    <row r="417">
      <c r="A417" s="38">
        <v>111175.0</v>
      </c>
      <c r="B417" s="38">
        <v>111174.0</v>
      </c>
      <c r="C417" s="38">
        <v>111174.0</v>
      </c>
      <c r="D417" s="38">
        <v>426420.0</v>
      </c>
      <c r="E417" s="38">
        <v>426420.0</v>
      </c>
      <c r="F417" s="38">
        <v>9.01591228E8</v>
      </c>
      <c r="G417" s="18" t="s">
        <v>1174</v>
      </c>
      <c r="H417" s="18" t="s">
        <v>2612</v>
      </c>
      <c r="I417" s="18" t="s">
        <v>991</v>
      </c>
      <c r="J417" s="18" t="s">
        <v>2205</v>
      </c>
      <c r="K417" s="18" t="s">
        <v>2205</v>
      </c>
      <c r="L417" s="18" t="s">
        <v>52</v>
      </c>
      <c r="M417" s="18" t="s">
        <v>89</v>
      </c>
      <c r="N417" s="18" t="s">
        <v>861</v>
      </c>
      <c r="O417" s="18" t="s">
        <v>126</v>
      </c>
      <c r="P417" s="18" t="s">
        <v>131</v>
      </c>
      <c r="Q417" s="18" t="s">
        <v>132</v>
      </c>
      <c r="R417" s="18" t="s">
        <v>133</v>
      </c>
      <c r="S417" s="18" t="s">
        <v>59</v>
      </c>
      <c r="T417" s="38">
        <v>2026.0</v>
      </c>
      <c r="U417" s="38">
        <v>5.0</v>
      </c>
      <c r="V417" s="38">
        <v>1.081523116E9</v>
      </c>
      <c r="W417" s="38">
        <v>1.081541186E9</v>
      </c>
      <c r="X417" s="18" t="s">
        <v>2199</v>
      </c>
      <c r="Y417" s="18" t="s">
        <v>2200</v>
      </c>
      <c r="Z417" s="38">
        <v>113911.5</v>
      </c>
      <c r="AA417" s="38">
        <v>113911.5</v>
      </c>
      <c r="AB417" s="38">
        <v>37970.5</v>
      </c>
      <c r="AC417" s="38">
        <v>0.0</v>
      </c>
      <c r="AD417" s="38">
        <v>0.0</v>
      </c>
      <c r="AE417" s="38">
        <v>0.0</v>
      </c>
      <c r="AF417" s="38">
        <v>0.0</v>
      </c>
      <c r="AG417" s="38">
        <v>0.0</v>
      </c>
      <c r="AH417" s="38">
        <v>0.0</v>
      </c>
      <c r="AI417" s="38">
        <v>113911.5</v>
      </c>
      <c r="AJ417" s="38">
        <v>226336.5</v>
      </c>
      <c r="AK417" s="38">
        <v>1.0</v>
      </c>
      <c r="AL417" s="38">
        <v>376.2</v>
      </c>
      <c r="AM417" s="38">
        <v>0.0</v>
      </c>
      <c r="AN417" s="34" t="s">
        <v>62</v>
      </c>
      <c r="AO417" s="34" t="s">
        <v>62</v>
      </c>
      <c r="AP417" s="34" t="s">
        <v>62</v>
      </c>
      <c r="AQ417" s="34" t="s">
        <v>62</v>
      </c>
      <c r="AR417" s="38">
        <v>0.0</v>
      </c>
      <c r="AS417" s="38" t="s">
        <v>2613</v>
      </c>
      <c r="AT417" s="35" t="s">
        <v>2202</v>
      </c>
      <c r="AU417" s="39" t="s">
        <v>2254</v>
      </c>
      <c r="AV417" s="40">
        <v>46170.0</v>
      </c>
    </row>
    <row r="418">
      <c r="A418" s="38">
        <v>404633.0</v>
      </c>
      <c r="B418" s="38">
        <v>112686.0</v>
      </c>
      <c r="C418" s="38">
        <v>112686.0</v>
      </c>
      <c r="D418" s="38">
        <v>83.0</v>
      </c>
      <c r="E418" s="38">
        <v>83.0</v>
      </c>
      <c r="F418" s="38">
        <v>8.60002964E8</v>
      </c>
      <c r="G418" s="18" t="s">
        <v>705</v>
      </c>
      <c r="H418" s="18" t="s">
        <v>2526</v>
      </c>
      <c r="I418" s="18" t="s">
        <v>640</v>
      </c>
      <c r="J418" s="18" t="s">
        <v>2205</v>
      </c>
      <c r="K418" s="18" t="s">
        <v>2527</v>
      </c>
      <c r="L418" s="18" t="s">
        <v>52</v>
      </c>
      <c r="M418" s="18" t="s">
        <v>53</v>
      </c>
      <c r="N418" s="18" t="s">
        <v>861</v>
      </c>
      <c r="O418" s="18" t="s">
        <v>126</v>
      </c>
      <c r="P418" s="18" t="s">
        <v>131</v>
      </c>
      <c r="Q418" s="18" t="s">
        <v>132</v>
      </c>
      <c r="R418" s="18" t="s">
        <v>133</v>
      </c>
      <c r="S418" s="18" t="s">
        <v>59</v>
      </c>
      <c r="T418" s="38">
        <v>2026.0</v>
      </c>
      <c r="U418" s="38">
        <v>5.0</v>
      </c>
      <c r="V418" s="38">
        <v>1.081523121E9</v>
      </c>
      <c r="W418" s="38">
        <v>1.081541191E9</v>
      </c>
      <c r="X418" s="18" t="s">
        <v>2199</v>
      </c>
      <c r="Y418" s="18" t="s">
        <v>2200</v>
      </c>
      <c r="Z418" s="38">
        <v>113911.5</v>
      </c>
      <c r="AA418" s="38">
        <v>113911.5</v>
      </c>
      <c r="AB418" s="38">
        <v>37970.5</v>
      </c>
      <c r="AC418" s="38">
        <v>0.0</v>
      </c>
      <c r="AD418" s="38">
        <v>0.0</v>
      </c>
      <c r="AE418" s="38">
        <v>0.0</v>
      </c>
      <c r="AF418" s="38">
        <v>0.0</v>
      </c>
      <c r="AG418" s="38">
        <v>0.0</v>
      </c>
      <c r="AH418" s="38">
        <v>0.0</v>
      </c>
      <c r="AI418" s="38">
        <v>113911.5</v>
      </c>
      <c r="AJ418" s="38">
        <v>113911.5</v>
      </c>
      <c r="AK418" s="38">
        <v>0.0</v>
      </c>
      <c r="AL418" s="38">
        <v>376.2</v>
      </c>
      <c r="AM418" s="38">
        <v>0.0</v>
      </c>
      <c r="AN418" s="34" t="s">
        <v>62</v>
      </c>
      <c r="AO418" s="34" t="s">
        <v>62</v>
      </c>
      <c r="AP418" s="34" t="s">
        <v>62</v>
      </c>
      <c r="AQ418" s="34" t="s">
        <v>62</v>
      </c>
      <c r="AR418" s="38">
        <v>0.0</v>
      </c>
      <c r="AS418" s="38" t="s">
        <v>2528</v>
      </c>
      <c r="AT418" s="35" t="s">
        <v>2202</v>
      </c>
      <c r="AU418" s="39" t="s">
        <v>2203</v>
      </c>
      <c r="AV418" s="40">
        <v>46163.0</v>
      </c>
    </row>
    <row r="419">
      <c r="A419" s="38">
        <v>285191.0</v>
      </c>
      <c r="B419" s="38">
        <v>115030.0</v>
      </c>
      <c r="C419" s="38">
        <v>115030.0</v>
      </c>
      <c r="D419" s="38">
        <v>612587.0</v>
      </c>
      <c r="E419" s="38">
        <v>612587.0</v>
      </c>
      <c r="F419" s="38">
        <v>9.00276962E8</v>
      </c>
      <c r="G419" s="18" t="s">
        <v>128</v>
      </c>
      <c r="H419" s="18" t="s">
        <v>2269</v>
      </c>
      <c r="I419" s="18" t="s">
        <v>1050</v>
      </c>
      <c r="J419" s="18" t="s">
        <v>2205</v>
      </c>
      <c r="K419" s="18" t="s">
        <v>2270</v>
      </c>
      <c r="L419" s="18" t="s">
        <v>52</v>
      </c>
      <c r="M419" s="18" t="s">
        <v>53</v>
      </c>
      <c r="N419" s="18" t="s">
        <v>861</v>
      </c>
      <c r="O419" s="18" t="s">
        <v>126</v>
      </c>
      <c r="P419" s="18" t="s">
        <v>131</v>
      </c>
      <c r="Q419" s="18" t="s">
        <v>132</v>
      </c>
      <c r="R419" s="18" t="s">
        <v>133</v>
      </c>
      <c r="S419" s="18" t="s">
        <v>59</v>
      </c>
      <c r="T419" s="38">
        <v>2026.0</v>
      </c>
      <c r="U419" s="38">
        <v>5.0</v>
      </c>
      <c r="V419" s="38">
        <v>1.081523122E9</v>
      </c>
      <c r="W419" s="38">
        <v>1.081541192E9</v>
      </c>
      <c r="X419" s="18" t="s">
        <v>2199</v>
      </c>
      <c r="Y419" s="18" t="s">
        <v>2200</v>
      </c>
      <c r="Z419" s="38">
        <v>113911.5</v>
      </c>
      <c r="AA419" s="38">
        <v>113911.5</v>
      </c>
      <c r="AB419" s="38">
        <v>37970.5</v>
      </c>
      <c r="AC419" s="38">
        <v>0.0</v>
      </c>
      <c r="AD419" s="38">
        <v>0.0</v>
      </c>
      <c r="AE419" s="38">
        <v>0.0</v>
      </c>
      <c r="AF419" s="38">
        <v>0.0</v>
      </c>
      <c r="AG419" s="38">
        <v>0.0</v>
      </c>
      <c r="AH419" s="38">
        <v>0.0</v>
      </c>
      <c r="AI419" s="38">
        <v>113911.5</v>
      </c>
      <c r="AJ419" s="38">
        <v>113911.5</v>
      </c>
      <c r="AK419" s="38">
        <v>0.0</v>
      </c>
      <c r="AL419" s="38">
        <v>376.2</v>
      </c>
      <c r="AM419" s="38">
        <v>0.0</v>
      </c>
      <c r="AN419" s="34" t="s">
        <v>62</v>
      </c>
      <c r="AO419" s="34" t="s">
        <v>62</v>
      </c>
      <c r="AP419" s="34" t="s">
        <v>62</v>
      </c>
      <c r="AQ419" s="34" t="s">
        <v>62</v>
      </c>
      <c r="AR419" s="38">
        <v>0.0</v>
      </c>
      <c r="AS419" s="38" t="s">
        <v>2271</v>
      </c>
      <c r="AT419" s="35" t="s">
        <v>2202</v>
      </c>
      <c r="AU419" s="39" t="s">
        <v>2203</v>
      </c>
      <c r="AV419" s="40">
        <v>46163.0</v>
      </c>
    </row>
    <row r="420">
      <c r="A420" s="38">
        <v>455370.0</v>
      </c>
      <c r="B420" s="38">
        <v>118.0</v>
      </c>
      <c r="C420" s="38">
        <v>118.0</v>
      </c>
      <c r="D420" s="38">
        <v>9.0204803E7</v>
      </c>
      <c r="E420" s="38">
        <v>9.0204803E7</v>
      </c>
      <c r="F420" s="18" t="s">
        <v>148</v>
      </c>
      <c r="G420" s="18" t="s">
        <v>149</v>
      </c>
      <c r="H420" s="18" t="s">
        <v>2296</v>
      </c>
      <c r="I420" s="18" t="s">
        <v>873</v>
      </c>
      <c r="J420" s="18" t="s">
        <v>2205</v>
      </c>
      <c r="K420" s="18" t="s">
        <v>2611</v>
      </c>
      <c r="L420" s="18" t="s">
        <v>52</v>
      </c>
      <c r="M420" s="18" t="s">
        <v>53</v>
      </c>
      <c r="N420" s="18" t="s">
        <v>861</v>
      </c>
      <c r="O420" s="18" t="s">
        <v>126</v>
      </c>
      <c r="P420" s="18" t="s">
        <v>56</v>
      </c>
      <c r="Q420" s="18" t="s">
        <v>57</v>
      </c>
      <c r="R420" s="18" t="s">
        <v>143</v>
      </c>
      <c r="S420" s="18" t="s">
        <v>59</v>
      </c>
      <c r="T420" s="38">
        <v>2026.0</v>
      </c>
      <c r="U420" s="38">
        <v>5.0</v>
      </c>
      <c r="V420" s="38">
        <v>1.081522687E9</v>
      </c>
      <c r="W420" s="38">
        <v>1.081540757E9</v>
      </c>
      <c r="X420" s="18" t="s">
        <v>2199</v>
      </c>
      <c r="Y420" s="18" t="s">
        <v>2200</v>
      </c>
      <c r="Z420" s="38">
        <v>248852.21</v>
      </c>
      <c r="AA420" s="38">
        <v>248852.21</v>
      </c>
      <c r="AB420" s="38">
        <v>0.0</v>
      </c>
      <c r="AC420" s="38">
        <v>1110.0</v>
      </c>
      <c r="AD420" s="38">
        <v>0.0</v>
      </c>
      <c r="AE420" s="38">
        <v>0.0</v>
      </c>
      <c r="AF420" s="38">
        <v>0.0</v>
      </c>
      <c r="AG420" s="38">
        <v>0.0</v>
      </c>
      <c r="AH420" s="38">
        <v>0.0</v>
      </c>
      <c r="AI420" s="38">
        <v>248852.21</v>
      </c>
      <c r="AJ420" s="38">
        <v>655028.74</v>
      </c>
      <c r="AK420" s="38">
        <v>3.0</v>
      </c>
      <c r="AL420" s="38">
        <v>250.8</v>
      </c>
      <c r="AM420" s="38">
        <v>0.0</v>
      </c>
      <c r="AN420" s="34" t="s">
        <v>62</v>
      </c>
      <c r="AO420" s="34" t="s">
        <v>62</v>
      </c>
      <c r="AP420" s="34" t="s">
        <v>62</v>
      </c>
      <c r="AQ420" s="34" t="s">
        <v>62</v>
      </c>
      <c r="AR420" s="38">
        <v>0.0</v>
      </c>
      <c r="AS420" s="38" t="s">
        <v>2293</v>
      </c>
      <c r="AT420" s="35" t="s">
        <v>2294</v>
      </c>
      <c r="AU420" s="39" t="s">
        <v>2295</v>
      </c>
      <c r="AV420" s="40">
        <v>46164.0</v>
      </c>
    </row>
    <row r="421">
      <c r="A421" s="38">
        <v>280920.0</v>
      </c>
      <c r="B421" s="38">
        <v>118290.0</v>
      </c>
      <c r="C421" s="38">
        <v>118290.0</v>
      </c>
      <c r="D421" s="38">
        <v>645078.0</v>
      </c>
      <c r="E421" s="38">
        <v>645078.0</v>
      </c>
      <c r="F421" s="38">
        <v>9.00576569E8</v>
      </c>
      <c r="G421" s="18" t="s">
        <v>161</v>
      </c>
      <c r="H421" s="18" t="s">
        <v>2261</v>
      </c>
      <c r="I421" s="18" t="s">
        <v>1050</v>
      </c>
      <c r="J421" s="18" t="s">
        <v>2205</v>
      </c>
      <c r="K421" s="18" t="s">
        <v>2262</v>
      </c>
      <c r="L421" s="18" t="s">
        <v>52</v>
      </c>
      <c r="M421" s="18" t="s">
        <v>89</v>
      </c>
      <c r="N421" s="18" t="s">
        <v>861</v>
      </c>
      <c r="O421" s="18" t="s">
        <v>126</v>
      </c>
      <c r="P421" s="18" t="s">
        <v>56</v>
      </c>
      <c r="Q421" s="18" t="s">
        <v>90</v>
      </c>
      <c r="R421" s="18" t="s">
        <v>143</v>
      </c>
      <c r="S421" s="18" t="s">
        <v>59</v>
      </c>
      <c r="T421" s="38">
        <v>2026.0</v>
      </c>
      <c r="U421" s="38">
        <v>5.0</v>
      </c>
      <c r="V421" s="38">
        <v>1.081523126E9</v>
      </c>
      <c r="W421" s="38">
        <v>1.081541196E9</v>
      </c>
      <c r="X421" s="18" t="s">
        <v>2199</v>
      </c>
      <c r="Y421" s="18" t="s">
        <v>2200</v>
      </c>
      <c r="Z421" s="38">
        <v>414572.49</v>
      </c>
      <c r="AA421" s="38">
        <v>414572.49</v>
      </c>
      <c r="AB421" s="38">
        <v>136526.57</v>
      </c>
      <c r="AC421" s="38">
        <v>1237.5</v>
      </c>
      <c r="AD421" s="38">
        <v>4992.8</v>
      </c>
      <c r="AE421" s="38">
        <v>0.0</v>
      </c>
      <c r="AF421" s="38">
        <v>0.0</v>
      </c>
      <c r="AG421" s="38">
        <v>0.0</v>
      </c>
      <c r="AH421" s="38">
        <v>0.0</v>
      </c>
      <c r="AI421" s="38">
        <v>414572.49</v>
      </c>
      <c r="AJ421" s="38">
        <v>872895.37</v>
      </c>
      <c r="AK421" s="38">
        <v>2.0</v>
      </c>
      <c r="AL421" s="38">
        <v>376.2</v>
      </c>
      <c r="AM421" s="38">
        <v>0.0</v>
      </c>
      <c r="AN421" s="34" t="s">
        <v>62</v>
      </c>
      <c r="AO421" s="34" t="s">
        <v>62</v>
      </c>
      <c r="AP421" s="34" t="s">
        <v>62</v>
      </c>
      <c r="AQ421" s="34" t="s">
        <v>62</v>
      </c>
      <c r="AR421" s="38">
        <v>0.0</v>
      </c>
      <c r="AS421" s="38" t="s">
        <v>2263</v>
      </c>
      <c r="AT421" s="35" t="s">
        <v>2202</v>
      </c>
      <c r="AU421" s="39" t="s">
        <v>2203</v>
      </c>
      <c r="AV421" s="40">
        <v>46163.0</v>
      </c>
    </row>
    <row r="422">
      <c r="A422" s="38">
        <v>699.0</v>
      </c>
      <c r="B422" s="38">
        <v>119134.0</v>
      </c>
      <c r="C422" s="38">
        <v>119134.0</v>
      </c>
      <c r="D422" s="38">
        <v>653367.0</v>
      </c>
      <c r="E422" s="38">
        <v>653367.0</v>
      </c>
      <c r="F422" s="38">
        <v>9.00480569E8</v>
      </c>
      <c r="G422" s="18" t="s">
        <v>141</v>
      </c>
      <c r="H422" s="18" t="s">
        <v>2255</v>
      </c>
      <c r="I422" s="18" t="s">
        <v>640</v>
      </c>
      <c r="J422" s="18" t="s">
        <v>2205</v>
      </c>
      <c r="K422" s="18" t="s">
        <v>2256</v>
      </c>
      <c r="L422" s="18" t="s">
        <v>52</v>
      </c>
      <c r="M422" s="18" t="s">
        <v>53</v>
      </c>
      <c r="N422" s="18" t="s">
        <v>861</v>
      </c>
      <c r="O422" s="18" t="s">
        <v>126</v>
      </c>
      <c r="P422" s="18" t="s">
        <v>56</v>
      </c>
      <c r="Q422" s="18" t="s">
        <v>90</v>
      </c>
      <c r="R422" s="18" t="s">
        <v>143</v>
      </c>
      <c r="S422" s="18" t="s">
        <v>59</v>
      </c>
      <c r="T422" s="38">
        <v>2026.0</v>
      </c>
      <c r="U422" s="38">
        <v>5.0</v>
      </c>
      <c r="V422" s="38">
        <v>1.08152313E9</v>
      </c>
      <c r="W422" s="38">
        <v>1.0815412E9</v>
      </c>
      <c r="X422" s="18" t="s">
        <v>2199</v>
      </c>
      <c r="Y422" s="18" t="s">
        <v>2200</v>
      </c>
      <c r="Z422" s="38">
        <v>450151.77</v>
      </c>
      <c r="AA422" s="38">
        <v>450151.77</v>
      </c>
      <c r="AB422" s="38">
        <v>150050.59</v>
      </c>
      <c r="AC422" s="38">
        <v>1380.0</v>
      </c>
      <c r="AD422" s="38">
        <v>0.0</v>
      </c>
      <c r="AE422" s="38">
        <v>0.0</v>
      </c>
      <c r="AF422" s="38">
        <v>0.0</v>
      </c>
      <c r="AG422" s="38">
        <v>0.0</v>
      </c>
      <c r="AH422" s="38">
        <v>0.0</v>
      </c>
      <c r="AI422" s="38">
        <v>450151.77</v>
      </c>
      <c r="AJ422" s="38">
        <v>450151.77</v>
      </c>
      <c r="AK422" s="38">
        <v>0.0</v>
      </c>
      <c r="AL422" s="38">
        <v>376.2</v>
      </c>
      <c r="AM422" s="38">
        <v>0.0</v>
      </c>
      <c r="AN422" s="34" t="s">
        <v>62</v>
      </c>
      <c r="AO422" s="34" t="s">
        <v>62</v>
      </c>
      <c r="AP422" s="34" t="s">
        <v>62</v>
      </c>
      <c r="AQ422" s="34" t="s">
        <v>62</v>
      </c>
      <c r="AR422" s="38">
        <v>0.0</v>
      </c>
      <c r="AS422" s="38" t="s">
        <v>2257</v>
      </c>
      <c r="AT422" s="35" t="s">
        <v>2202</v>
      </c>
      <c r="AU422" s="39" t="s">
        <v>2203</v>
      </c>
      <c r="AV422" s="40">
        <v>46163.0</v>
      </c>
    </row>
    <row r="423">
      <c r="A423" s="38">
        <v>297.0</v>
      </c>
      <c r="B423" s="38">
        <v>119714.0</v>
      </c>
      <c r="C423" s="38">
        <v>119714.0</v>
      </c>
      <c r="D423" s="38">
        <v>660082.0</v>
      </c>
      <c r="E423" s="38">
        <v>660082.0</v>
      </c>
      <c r="F423" s="18" t="s">
        <v>135</v>
      </c>
      <c r="G423" s="18" t="s">
        <v>136</v>
      </c>
      <c r="H423" s="18" t="s">
        <v>2258</v>
      </c>
      <c r="I423" s="18" t="s">
        <v>1181</v>
      </c>
      <c r="J423" s="18" t="s">
        <v>2205</v>
      </c>
      <c r="K423" s="18" t="s">
        <v>2259</v>
      </c>
      <c r="L423" s="18" t="s">
        <v>52</v>
      </c>
      <c r="M423" s="18" t="s">
        <v>53</v>
      </c>
      <c r="N423" s="18" t="s">
        <v>861</v>
      </c>
      <c r="O423" s="18" t="s">
        <v>126</v>
      </c>
      <c r="P423" s="18" t="s">
        <v>131</v>
      </c>
      <c r="Q423" s="18" t="s">
        <v>151</v>
      </c>
      <c r="R423" s="18" t="s">
        <v>133</v>
      </c>
      <c r="S423" s="18" t="s">
        <v>59</v>
      </c>
      <c r="T423" s="38">
        <v>2026.0</v>
      </c>
      <c r="U423" s="38">
        <v>5.0</v>
      </c>
      <c r="V423" s="38">
        <v>1.081523134E9</v>
      </c>
      <c r="W423" s="38">
        <v>1.081541204E9</v>
      </c>
      <c r="X423" s="18" t="s">
        <v>2199</v>
      </c>
      <c r="Y423" s="18" t="s">
        <v>2200</v>
      </c>
      <c r="Z423" s="38">
        <v>75941.0</v>
      </c>
      <c r="AA423" s="38">
        <v>75941.0</v>
      </c>
      <c r="AB423" s="38">
        <v>0.0</v>
      </c>
      <c r="AC423" s="38">
        <v>0.0</v>
      </c>
      <c r="AD423" s="38">
        <v>0.0</v>
      </c>
      <c r="AE423" s="38">
        <v>0.0</v>
      </c>
      <c r="AF423" s="38">
        <v>0.0</v>
      </c>
      <c r="AG423" s="38">
        <v>0.0</v>
      </c>
      <c r="AH423" s="38">
        <v>0.0</v>
      </c>
      <c r="AI423" s="38">
        <v>75941.0</v>
      </c>
      <c r="AJ423" s="38">
        <v>75941.0</v>
      </c>
      <c r="AK423" s="38">
        <v>0.0</v>
      </c>
      <c r="AL423" s="38">
        <v>250.8</v>
      </c>
      <c r="AM423" s="38">
        <v>0.0</v>
      </c>
      <c r="AN423" s="34" t="s">
        <v>62</v>
      </c>
      <c r="AO423" s="34" t="s">
        <v>62</v>
      </c>
      <c r="AP423" s="34" t="s">
        <v>62</v>
      </c>
      <c r="AQ423" s="34" t="s">
        <v>62</v>
      </c>
      <c r="AR423" s="38">
        <v>0.0</v>
      </c>
      <c r="AS423" s="38" t="s">
        <v>2260</v>
      </c>
      <c r="AT423" s="35" t="s">
        <v>2202</v>
      </c>
      <c r="AU423" s="39" t="s">
        <v>2203</v>
      </c>
      <c r="AV423" s="40">
        <v>46164.0</v>
      </c>
    </row>
    <row r="424">
      <c r="A424" s="38">
        <v>141.0</v>
      </c>
      <c r="B424" s="38">
        <v>120490.0</v>
      </c>
      <c r="C424" s="38">
        <v>120490.0</v>
      </c>
      <c r="D424" s="38">
        <v>648846.0</v>
      </c>
      <c r="E424" s="38">
        <v>648846.0</v>
      </c>
      <c r="F424" s="38">
        <v>8.90500514E8</v>
      </c>
      <c r="G424" s="18" t="s">
        <v>145</v>
      </c>
      <c r="H424" s="18" t="s">
        <v>2266</v>
      </c>
      <c r="I424" s="18" t="s">
        <v>991</v>
      </c>
      <c r="J424" s="18" t="s">
        <v>2205</v>
      </c>
      <c r="K424" s="18" t="s">
        <v>2267</v>
      </c>
      <c r="L424" s="18" t="s">
        <v>52</v>
      </c>
      <c r="M424" s="18" t="s">
        <v>53</v>
      </c>
      <c r="N424" s="18" t="s">
        <v>861</v>
      </c>
      <c r="O424" s="18" t="s">
        <v>126</v>
      </c>
      <c r="P424" s="18" t="s">
        <v>56</v>
      </c>
      <c r="Q424" s="18" t="s">
        <v>90</v>
      </c>
      <c r="R424" s="18" t="s">
        <v>143</v>
      </c>
      <c r="S424" s="18" t="s">
        <v>59</v>
      </c>
      <c r="T424" s="38">
        <v>2026.0</v>
      </c>
      <c r="U424" s="38">
        <v>5.0</v>
      </c>
      <c r="V424" s="38">
        <v>1.081523137E9</v>
      </c>
      <c r="W424" s="38">
        <v>1.081541207E9</v>
      </c>
      <c r="X424" s="18" t="s">
        <v>2199</v>
      </c>
      <c r="Y424" s="18" t="s">
        <v>2200</v>
      </c>
      <c r="Z424" s="38">
        <v>181806.49</v>
      </c>
      <c r="AA424" s="38">
        <v>181806.49</v>
      </c>
      <c r="AB424" s="38">
        <v>60602.17</v>
      </c>
      <c r="AC424" s="38">
        <v>437.5</v>
      </c>
      <c r="AD424" s="38">
        <v>0.0</v>
      </c>
      <c r="AE424" s="38">
        <v>0.0</v>
      </c>
      <c r="AF424" s="38">
        <v>0.0</v>
      </c>
      <c r="AG424" s="38">
        <v>0.0</v>
      </c>
      <c r="AH424" s="38">
        <v>0.0</v>
      </c>
      <c r="AI424" s="38">
        <v>181806.49</v>
      </c>
      <c r="AJ424" s="38">
        <v>181806.49</v>
      </c>
      <c r="AK424" s="38">
        <v>0.0</v>
      </c>
      <c r="AL424" s="38">
        <v>376.2</v>
      </c>
      <c r="AM424" s="38">
        <v>0.0</v>
      </c>
      <c r="AN424" s="34" t="s">
        <v>62</v>
      </c>
      <c r="AO424" s="34" t="s">
        <v>62</v>
      </c>
      <c r="AP424" s="34" t="s">
        <v>62</v>
      </c>
      <c r="AQ424" s="34" t="s">
        <v>62</v>
      </c>
      <c r="AR424" s="38">
        <v>0.0</v>
      </c>
      <c r="AS424" s="38" t="s">
        <v>2268</v>
      </c>
      <c r="AT424" s="35" t="s">
        <v>2202</v>
      </c>
      <c r="AU424" s="39" t="s">
        <v>2203</v>
      </c>
      <c r="AV424" s="40">
        <v>46163.0</v>
      </c>
    </row>
    <row r="425">
      <c r="A425" s="38">
        <v>121811.0</v>
      </c>
      <c r="B425" s="38">
        <v>121810.0</v>
      </c>
      <c r="C425" s="38">
        <v>121810.0</v>
      </c>
      <c r="D425" s="38">
        <v>1001172.0</v>
      </c>
      <c r="E425" s="38">
        <v>1001172.0</v>
      </c>
      <c r="F425" s="38">
        <v>1001172.0</v>
      </c>
      <c r="G425" s="18" t="s">
        <v>1184</v>
      </c>
      <c r="H425" s="42" t="s">
        <v>2614</v>
      </c>
      <c r="I425" s="18" t="s">
        <v>860</v>
      </c>
      <c r="J425" s="18" t="s">
        <v>982</v>
      </c>
      <c r="K425" s="18" t="s">
        <v>2205</v>
      </c>
      <c r="L425" s="18" t="s">
        <v>52</v>
      </c>
      <c r="M425" s="18" t="s">
        <v>89</v>
      </c>
      <c r="N425" s="18" t="s">
        <v>861</v>
      </c>
      <c r="O425" s="18" t="s">
        <v>126</v>
      </c>
      <c r="P425" s="18" t="s">
        <v>218</v>
      </c>
      <c r="Q425" s="18" t="s">
        <v>219</v>
      </c>
      <c r="R425" s="18" t="s">
        <v>133</v>
      </c>
      <c r="S425" s="18" t="s">
        <v>59</v>
      </c>
      <c r="T425" s="38">
        <v>2026.0</v>
      </c>
      <c r="U425" s="38">
        <v>5.0</v>
      </c>
      <c r="V425" s="38">
        <v>1.081523141E9</v>
      </c>
      <c r="W425" s="38">
        <v>1.081541211E9</v>
      </c>
      <c r="X425" s="18" t="s">
        <v>2199</v>
      </c>
      <c r="Y425" s="18" t="s">
        <v>2200</v>
      </c>
      <c r="Z425" s="38">
        <v>51947.39</v>
      </c>
      <c r="AA425" s="38">
        <v>51947.39</v>
      </c>
      <c r="AB425" s="38">
        <v>-1667.24</v>
      </c>
      <c r="AC425" s="38">
        <v>0.0</v>
      </c>
      <c r="AD425" s="38">
        <v>1512.63</v>
      </c>
      <c r="AE425" s="38">
        <v>0.0</v>
      </c>
      <c r="AF425" s="38">
        <v>0.0</v>
      </c>
      <c r="AG425" s="38">
        <v>0.0</v>
      </c>
      <c r="AH425" s="38">
        <v>0.0</v>
      </c>
      <c r="AI425" s="38">
        <v>51947.39</v>
      </c>
      <c r="AJ425" s="38">
        <v>196351.81</v>
      </c>
      <c r="AK425" s="38">
        <v>3.0</v>
      </c>
      <c r="AL425" s="38">
        <v>242.77</v>
      </c>
      <c r="AM425" s="38">
        <v>0.0</v>
      </c>
      <c r="AN425" s="34" t="s">
        <v>62</v>
      </c>
      <c r="AO425" s="34" t="s">
        <v>62</v>
      </c>
      <c r="AP425" s="34" t="s">
        <v>62</v>
      </c>
      <c r="AQ425" s="34" t="s">
        <v>62</v>
      </c>
      <c r="AR425" s="38">
        <v>0.0</v>
      </c>
      <c r="AS425" s="34"/>
      <c r="AT425" s="35" t="s">
        <v>2275</v>
      </c>
      <c r="AU425" s="39" t="s">
        <v>2475</v>
      </c>
      <c r="AV425" s="40">
        <v>46163.0</v>
      </c>
    </row>
    <row r="426">
      <c r="A426" s="38">
        <v>297.0</v>
      </c>
      <c r="B426" s="38">
        <v>122.0</v>
      </c>
      <c r="C426" s="38">
        <v>122.0</v>
      </c>
      <c r="D426" s="38">
        <v>9.0206533E7</v>
      </c>
      <c r="E426" s="38">
        <v>9.0206533E7</v>
      </c>
      <c r="F426" s="18" t="s">
        <v>135</v>
      </c>
      <c r="G426" s="18" t="s">
        <v>136</v>
      </c>
      <c r="H426" s="18" t="s">
        <v>2258</v>
      </c>
      <c r="I426" s="18" t="s">
        <v>873</v>
      </c>
      <c r="J426" s="18" t="s">
        <v>2205</v>
      </c>
      <c r="K426" s="18" t="s">
        <v>2259</v>
      </c>
      <c r="L426" s="18" t="s">
        <v>52</v>
      </c>
      <c r="M426" s="18" t="s">
        <v>53</v>
      </c>
      <c r="N426" s="18" t="s">
        <v>861</v>
      </c>
      <c r="O426" s="18" t="s">
        <v>126</v>
      </c>
      <c r="P426" s="18" t="s">
        <v>131</v>
      </c>
      <c r="Q426" s="18" t="s">
        <v>151</v>
      </c>
      <c r="R426" s="18" t="s">
        <v>133</v>
      </c>
      <c r="S426" s="18" t="s">
        <v>59</v>
      </c>
      <c r="T426" s="38">
        <v>2026.0</v>
      </c>
      <c r="U426" s="38">
        <v>5.0</v>
      </c>
      <c r="V426" s="38">
        <v>1.081522689E9</v>
      </c>
      <c r="W426" s="38">
        <v>1.081540759E9</v>
      </c>
      <c r="X426" s="18" t="s">
        <v>2199</v>
      </c>
      <c r="Y426" s="18" t="s">
        <v>2200</v>
      </c>
      <c r="Z426" s="38">
        <v>75941.0</v>
      </c>
      <c r="AA426" s="38">
        <v>75941.0</v>
      </c>
      <c r="AB426" s="38">
        <v>0.0</v>
      </c>
      <c r="AC426" s="38">
        <v>0.0</v>
      </c>
      <c r="AD426" s="38">
        <v>0.0</v>
      </c>
      <c r="AE426" s="38">
        <v>0.0</v>
      </c>
      <c r="AF426" s="38">
        <v>0.0</v>
      </c>
      <c r="AG426" s="38">
        <v>0.0</v>
      </c>
      <c r="AH426" s="38">
        <v>0.0</v>
      </c>
      <c r="AI426" s="38">
        <v>75941.0</v>
      </c>
      <c r="AJ426" s="38">
        <v>75941.0</v>
      </c>
      <c r="AK426" s="38">
        <v>0.0</v>
      </c>
      <c r="AL426" s="38">
        <v>250.8</v>
      </c>
      <c r="AM426" s="38">
        <v>0.0</v>
      </c>
      <c r="AN426" s="34" t="s">
        <v>62</v>
      </c>
      <c r="AO426" s="34" t="s">
        <v>62</v>
      </c>
      <c r="AP426" s="34" t="s">
        <v>62</v>
      </c>
      <c r="AQ426" s="34" t="s">
        <v>62</v>
      </c>
      <c r="AR426" s="38">
        <v>0.0</v>
      </c>
      <c r="AS426" s="38" t="s">
        <v>2260</v>
      </c>
      <c r="AT426" s="35" t="s">
        <v>2202</v>
      </c>
      <c r="AU426" s="39" t="s">
        <v>2203</v>
      </c>
      <c r="AV426" s="40">
        <v>46164.0</v>
      </c>
    </row>
    <row r="427">
      <c r="A427" s="38">
        <v>699.0</v>
      </c>
      <c r="B427" s="38">
        <v>122050.0</v>
      </c>
      <c r="C427" s="38">
        <v>122050.0</v>
      </c>
      <c r="D427" s="38">
        <v>1004982.0</v>
      </c>
      <c r="E427" s="38">
        <v>1004982.0</v>
      </c>
      <c r="F427" s="38">
        <v>9.00480569E8</v>
      </c>
      <c r="G427" s="18" t="s">
        <v>141</v>
      </c>
      <c r="H427" s="18" t="s">
        <v>2255</v>
      </c>
      <c r="I427" s="18" t="s">
        <v>1187</v>
      </c>
      <c r="J427" s="18" t="s">
        <v>2205</v>
      </c>
      <c r="K427" s="18" t="s">
        <v>2256</v>
      </c>
      <c r="L427" s="18" t="s">
        <v>52</v>
      </c>
      <c r="M427" s="18" t="s">
        <v>53</v>
      </c>
      <c r="N427" s="18" t="s">
        <v>861</v>
      </c>
      <c r="O427" s="18" t="s">
        <v>126</v>
      </c>
      <c r="P427" s="18" t="s">
        <v>131</v>
      </c>
      <c r="Q427" s="18" t="s">
        <v>363</v>
      </c>
      <c r="R427" s="18" t="s">
        <v>133</v>
      </c>
      <c r="S427" s="18" t="s">
        <v>59</v>
      </c>
      <c r="T427" s="38">
        <v>2026.0</v>
      </c>
      <c r="U427" s="38">
        <v>5.0</v>
      </c>
      <c r="V427" s="38">
        <v>1.081523147E9</v>
      </c>
      <c r="W427" s="38">
        <v>1.081541217E9</v>
      </c>
      <c r="X427" s="18" t="s">
        <v>2199</v>
      </c>
      <c r="Y427" s="18" t="s">
        <v>2200</v>
      </c>
      <c r="Z427" s="38">
        <v>80046.49</v>
      </c>
      <c r="AA427" s="38">
        <v>80046.49</v>
      </c>
      <c r="AB427" s="38">
        <v>25380.5</v>
      </c>
      <c r="AC427" s="38">
        <v>0.0</v>
      </c>
      <c r="AD427" s="38">
        <v>3904.99</v>
      </c>
      <c r="AE427" s="38">
        <v>0.0</v>
      </c>
      <c r="AF427" s="38">
        <v>0.0</v>
      </c>
      <c r="AG427" s="38">
        <v>0.0</v>
      </c>
      <c r="AH427" s="38">
        <v>0.0</v>
      </c>
      <c r="AI427" s="38">
        <v>80046.28</v>
      </c>
      <c r="AJ427" s="38">
        <v>80046.28</v>
      </c>
      <c r="AK427" s="38">
        <v>0.0</v>
      </c>
      <c r="AL427" s="38">
        <v>376.2</v>
      </c>
      <c r="AM427" s="38">
        <v>0.0</v>
      </c>
      <c r="AN427" s="34" t="s">
        <v>62</v>
      </c>
      <c r="AO427" s="34" t="s">
        <v>62</v>
      </c>
      <c r="AP427" s="38">
        <v>0.21</v>
      </c>
      <c r="AQ427" s="34" t="s">
        <v>62</v>
      </c>
      <c r="AR427" s="38">
        <v>0.0</v>
      </c>
      <c r="AS427" s="38" t="s">
        <v>2257</v>
      </c>
      <c r="AT427" s="35" t="s">
        <v>2202</v>
      </c>
      <c r="AU427" s="39" t="s">
        <v>2203</v>
      </c>
      <c r="AV427" s="40">
        <v>46163.0</v>
      </c>
    </row>
    <row r="428">
      <c r="A428" s="38">
        <v>643.0</v>
      </c>
      <c r="B428" s="38">
        <v>122718.0</v>
      </c>
      <c r="C428" s="38">
        <v>122718.0</v>
      </c>
      <c r="D428" s="38">
        <v>17040.0</v>
      </c>
      <c r="E428" s="38">
        <v>17040.0</v>
      </c>
      <c r="F428" s="18" t="s">
        <v>1189</v>
      </c>
      <c r="G428" s="18" t="s">
        <v>1190</v>
      </c>
      <c r="H428" s="18" t="s">
        <v>2615</v>
      </c>
      <c r="I428" s="18" t="s">
        <v>640</v>
      </c>
      <c r="J428" s="18" t="s">
        <v>982</v>
      </c>
      <c r="K428" s="18" t="s">
        <v>982</v>
      </c>
      <c r="L428" s="18" t="s">
        <v>52</v>
      </c>
      <c r="M428" s="18" t="s">
        <v>89</v>
      </c>
      <c r="N428" s="18" t="s">
        <v>861</v>
      </c>
      <c r="O428" s="18" t="s">
        <v>126</v>
      </c>
      <c r="P428" s="18" t="s">
        <v>131</v>
      </c>
      <c r="Q428" s="18" t="s">
        <v>363</v>
      </c>
      <c r="R428" s="18" t="s">
        <v>133</v>
      </c>
      <c r="S428" s="18" t="s">
        <v>59</v>
      </c>
      <c r="T428" s="38">
        <v>2026.0</v>
      </c>
      <c r="U428" s="38">
        <v>5.0</v>
      </c>
      <c r="V428" s="38">
        <v>1.081523152E9</v>
      </c>
      <c r="W428" s="38">
        <v>1.081541222E9</v>
      </c>
      <c r="X428" s="18" t="s">
        <v>2199</v>
      </c>
      <c r="Y428" s="18" t="s">
        <v>2200</v>
      </c>
      <c r="Z428" s="38">
        <v>76141.5</v>
      </c>
      <c r="AA428" s="38">
        <v>76141.5</v>
      </c>
      <c r="AB428" s="38">
        <v>25380.5</v>
      </c>
      <c r="AC428" s="38">
        <v>0.0</v>
      </c>
      <c r="AD428" s="38">
        <v>0.0</v>
      </c>
      <c r="AE428" s="38">
        <v>0.0</v>
      </c>
      <c r="AF428" s="38">
        <v>0.0</v>
      </c>
      <c r="AG428" s="38">
        <v>0.0</v>
      </c>
      <c r="AH428" s="38">
        <v>0.0</v>
      </c>
      <c r="AI428" s="38">
        <v>76141.5</v>
      </c>
      <c r="AJ428" s="38">
        <v>76141.5</v>
      </c>
      <c r="AK428" s="38">
        <v>0.0</v>
      </c>
      <c r="AL428" s="38">
        <v>376.2</v>
      </c>
      <c r="AM428" s="38">
        <v>0.0</v>
      </c>
      <c r="AN428" s="34" t="s">
        <v>62</v>
      </c>
      <c r="AO428" s="34" t="s">
        <v>62</v>
      </c>
      <c r="AP428" s="34" t="s">
        <v>62</v>
      </c>
      <c r="AQ428" s="34" t="s">
        <v>62</v>
      </c>
      <c r="AR428" s="38">
        <v>0.0</v>
      </c>
      <c r="AS428" s="38" t="s">
        <v>2616</v>
      </c>
      <c r="AT428" s="35" t="s">
        <v>2275</v>
      </c>
      <c r="AU428" s="39" t="s">
        <v>2326</v>
      </c>
      <c r="AV428" s="40">
        <v>46163.0</v>
      </c>
    </row>
    <row r="429">
      <c r="A429" s="38">
        <v>141.0</v>
      </c>
      <c r="B429" s="38">
        <v>123758.0</v>
      </c>
      <c r="C429" s="38">
        <v>123758.0</v>
      </c>
      <c r="D429" s="38">
        <v>527004.0</v>
      </c>
      <c r="E429" s="38">
        <v>527004.0</v>
      </c>
      <c r="F429" s="38">
        <v>8.90500514E8</v>
      </c>
      <c r="G429" s="18" t="s">
        <v>145</v>
      </c>
      <c r="H429" s="18" t="s">
        <v>2266</v>
      </c>
      <c r="I429" s="18" t="s">
        <v>991</v>
      </c>
      <c r="J429" s="18" t="s">
        <v>2205</v>
      </c>
      <c r="K429" s="18" t="s">
        <v>2267</v>
      </c>
      <c r="L429" s="18" t="s">
        <v>52</v>
      </c>
      <c r="M429" s="18" t="s">
        <v>53</v>
      </c>
      <c r="N429" s="18" t="s">
        <v>861</v>
      </c>
      <c r="O429" s="18" t="s">
        <v>126</v>
      </c>
      <c r="P429" s="18" t="s">
        <v>131</v>
      </c>
      <c r="Q429" s="18" t="s">
        <v>363</v>
      </c>
      <c r="R429" s="18" t="s">
        <v>133</v>
      </c>
      <c r="S429" s="18" t="s">
        <v>59</v>
      </c>
      <c r="T429" s="38">
        <v>2026.0</v>
      </c>
      <c r="U429" s="38">
        <v>5.0</v>
      </c>
      <c r="V429" s="38">
        <v>1.081523156E9</v>
      </c>
      <c r="W429" s="38">
        <v>1.081541226E9</v>
      </c>
      <c r="X429" s="18" t="s">
        <v>2199</v>
      </c>
      <c r="Y429" s="18" t="s">
        <v>2200</v>
      </c>
      <c r="Z429" s="38">
        <v>76141.5</v>
      </c>
      <c r="AA429" s="38">
        <v>76141.5</v>
      </c>
      <c r="AB429" s="38">
        <v>25380.5</v>
      </c>
      <c r="AC429" s="38">
        <v>0.0</v>
      </c>
      <c r="AD429" s="38">
        <v>0.0</v>
      </c>
      <c r="AE429" s="38">
        <v>0.0</v>
      </c>
      <c r="AF429" s="38">
        <v>0.0</v>
      </c>
      <c r="AG429" s="38">
        <v>0.0</v>
      </c>
      <c r="AH429" s="38">
        <v>0.0</v>
      </c>
      <c r="AI429" s="38">
        <v>76141.5</v>
      </c>
      <c r="AJ429" s="38">
        <v>76141.5</v>
      </c>
      <c r="AK429" s="38">
        <v>0.0</v>
      </c>
      <c r="AL429" s="38">
        <v>376.2</v>
      </c>
      <c r="AM429" s="38">
        <v>0.0</v>
      </c>
      <c r="AN429" s="34" t="s">
        <v>62</v>
      </c>
      <c r="AO429" s="34" t="s">
        <v>62</v>
      </c>
      <c r="AP429" s="34" t="s">
        <v>62</v>
      </c>
      <c r="AQ429" s="34" t="s">
        <v>62</v>
      </c>
      <c r="AR429" s="38">
        <v>0.0</v>
      </c>
      <c r="AS429" s="38" t="s">
        <v>2268</v>
      </c>
      <c r="AT429" s="35" t="s">
        <v>2202</v>
      </c>
      <c r="AU429" s="39" t="s">
        <v>2203</v>
      </c>
      <c r="AV429" s="40">
        <v>46163.0</v>
      </c>
    </row>
    <row r="430">
      <c r="A430" s="38">
        <v>147.0</v>
      </c>
      <c r="B430" s="38">
        <v>124518.0</v>
      </c>
      <c r="C430" s="38">
        <v>124518.0</v>
      </c>
      <c r="D430" s="38">
        <v>514303.0</v>
      </c>
      <c r="E430" s="38">
        <v>514303.0</v>
      </c>
      <c r="F430" s="18" t="s">
        <v>179</v>
      </c>
      <c r="G430" s="18" t="s">
        <v>180</v>
      </c>
      <c r="H430" s="18" t="s">
        <v>2320</v>
      </c>
      <c r="I430" s="18" t="s">
        <v>1193</v>
      </c>
      <c r="J430" s="18" t="s">
        <v>2205</v>
      </c>
      <c r="K430" s="18" t="s">
        <v>2289</v>
      </c>
      <c r="L430" s="18" t="s">
        <v>52</v>
      </c>
      <c r="M430" s="18" t="s">
        <v>269</v>
      </c>
      <c r="N430" s="18" t="s">
        <v>861</v>
      </c>
      <c r="O430" s="18" t="s">
        <v>126</v>
      </c>
      <c r="P430" s="18" t="s">
        <v>131</v>
      </c>
      <c r="Q430" s="18" t="s">
        <v>1111</v>
      </c>
      <c r="R430" s="18" t="s">
        <v>133</v>
      </c>
      <c r="S430" s="18" t="s">
        <v>59</v>
      </c>
      <c r="T430" s="38">
        <v>2026.0</v>
      </c>
      <c r="U430" s="38">
        <v>5.0</v>
      </c>
      <c r="V430" s="38">
        <v>1.081523159E9</v>
      </c>
      <c r="W430" s="38">
        <v>1.081541229E9</v>
      </c>
      <c r="X430" s="18" t="s">
        <v>2199</v>
      </c>
      <c r="Y430" s="18" t="s">
        <v>2200</v>
      </c>
      <c r="Z430" s="38">
        <v>16397.0</v>
      </c>
      <c r="AA430" s="38">
        <v>16397.0</v>
      </c>
      <c r="AB430" s="38">
        <v>0.0</v>
      </c>
      <c r="AC430" s="38">
        <v>0.0</v>
      </c>
      <c r="AD430" s="38">
        <v>0.0</v>
      </c>
      <c r="AE430" s="38">
        <v>0.0</v>
      </c>
      <c r="AF430" s="38">
        <v>0.0</v>
      </c>
      <c r="AG430" s="38">
        <v>0.0</v>
      </c>
      <c r="AH430" s="38">
        <v>0.0</v>
      </c>
      <c r="AI430" s="38">
        <v>16397.0</v>
      </c>
      <c r="AJ430" s="38">
        <v>32387.0</v>
      </c>
      <c r="AK430" s="38">
        <v>1.0</v>
      </c>
      <c r="AL430" s="38">
        <v>250.8</v>
      </c>
      <c r="AM430" s="38">
        <v>0.0</v>
      </c>
      <c r="AN430" s="34" t="s">
        <v>62</v>
      </c>
      <c r="AO430" s="34" t="s">
        <v>62</v>
      </c>
      <c r="AP430" s="34" t="s">
        <v>62</v>
      </c>
      <c r="AQ430" s="34" t="s">
        <v>62</v>
      </c>
      <c r="AR430" s="38">
        <v>0.0</v>
      </c>
      <c r="AS430" s="38" t="s">
        <v>2321</v>
      </c>
      <c r="AT430" s="35" t="s">
        <v>2202</v>
      </c>
      <c r="AU430" s="39" t="s">
        <v>2203</v>
      </c>
      <c r="AV430" s="40">
        <v>46163.0</v>
      </c>
    </row>
    <row r="431">
      <c r="A431" s="38">
        <v>297.0</v>
      </c>
      <c r="B431" s="38">
        <v>130.0</v>
      </c>
      <c r="C431" s="38">
        <v>130.0</v>
      </c>
      <c r="D431" s="38">
        <v>9.0211112E7</v>
      </c>
      <c r="E431" s="38">
        <v>9.0211112E7</v>
      </c>
      <c r="F431" s="18" t="s">
        <v>135</v>
      </c>
      <c r="G431" s="18" t="s">
        <v>136</v>
      </c>
      <c r="H431" s="18" t="s">
        <v>2258</v>
      </c>
      <c r="I431" s="18" t="s">
        <v>880</v>
      </c>
      <c r="J431" s="18" t="s">
        <v>2205</v>
      </c>
      <c r="K431" s="18" t="s">
        <v>2259</v>
      </c>
      <c r="L431" s="18" t="s">
        <v>52</v>
      </c>
      <c r="M431" s="18" t="s">
        <v>53</v>
      </c>
      <c r="N431" s="18" t="s">
        <v>861</v>
      </c>
      <c r="O431" s="18" t="s">
        <v>126</v>
      </c>
      <c r="P431" s="18" t="s">
        <v>131</v>
      </c>
      <c r="Q431" s="18" t="s">
        <v>151</v>
      </c>
      <c r="R431" s="18" t="s">
        <v>133</v>
      </c>
      <c r="S431" s="18" t="s">
        <v>59</v>
      </c>
      <c r="T431" s="38">
        <v>2026.0</v>
      </c>
      <c r="U431" s="38">
        <v>5.0</v>
      </c>
      <c r="V431" s="38">
        <v>1.081522695E9</v>
      </c>
      <c r="W431" s="38">
        <v>1.081540765E9</v>
      </c>
      <c r="X431" s="18" t="s">
        <v>2199</v>
      </c>
      <c r="Y431" s="18" t="s">
        <v>2200</v>
      </c>
      <c r="Z431" s="38">
        <v>75941.0</v>
      </c>
      <c r="AA431" s="38">
        <v>75941.0</v>
      </c>
      <c r="AB431" s="38">
        <v>0.0</v>
      </c>
      <c r="AC431" s="38">
        <v>0.0</v>
      </c>
      <c r="AD431" s="38">
        <v>0.0</v>
      </c>
      <c r="AE431" s="38">
        <v>0.0</v>
      </c>
      <c r="AF431" s="38">
        <v>0.0</v>
      </c>
      <c r="AG431" s="38">
        <v>0.0</v>
      </c>
      <c r="AH431" s="38">
        <v>0.0</v>
      </c>
      <c r="AI431" s="38">
        <v>75941.0</v>
      </c>
      <c r="AJ431" s="38">
        <v>75941.0</v>
      </c>
      <c r="AK431" s="38">
        <v>0.0</v>
      </c>
      <c r="AL431" s="38">
        <v>250.8</v>
      </c>
      <c r="AM431" s="38">
        <v>0.0</v>
      </c>
      <c r="AN431" s="34" t="s">
        <v>62</v>
      </c>
      <c r="AO431" s="34" t="s">
        <v>62</v>
      </c>
      <c r="AP431" s="34" t="s">
        <v>62</v>
      </c>
      <c r="AQ431" s="34" t="s">
        <v>62</v>
      </c>
      <c r="AR431" s="38">
        <v>0.0</v>
      </c>
      <c r="AS431" s="38" t="s">
        <v>2260</v>
      </c>
      <c r="AT431" s="35" t="s">
        <v>2202</v>
      </c>
      <c r="AU431" s="39" t="s">
        <v>2203</v>
      </c>
      <c r="AV431" s="40">
        <v>46164.0</v>
      </c>
    </row>
    <row r="432">
      <c r="A432" s="38">
        <v>135.0</v>
      </c>
      <c r="B432" s="38">
        <v>134.0</v>
      </c>
      <c r="C432" s="38">
        <v>134.0</v>
      </c>
      <c r="D432" s="38">
        <v>9.0213098E7</v>
      </c>
      <c r="E432" s="38">
        <v>9.0213098E7</v>
      </c>
      <c r="F432" s="38">
        <v>8.90050477E8</v>
      </c>
      <c r="G432" s="18" t="s">
        <v>1198</v>
      </c>
      <c r="H432" s="18" t="s">
        <v>2617</v>
      </c>
      <c r="I432" s="18" t="s">
        <v>882</v>
      </c>
      <c r="J432" s="18" t="s">
        <v>2205</v>
      </c>
      <c r="K432" s="18" t="s">
        <v>2611</v>
      </c>
      <c r="L432" s="18" t="s">
        <v>52</v>
      </c>
      <c r="M432" s="18" t="s">
        <v>89</v>
      </c>
      <c r="N432" s="18" t="s">
        <v>861</v>
      </c>
      <c r="O432" s="18" t="s">
        <v>126</v>
      </c>
      <c r="P432" s="18" t="s">
        <v>56</v>
      </c>
      <c r="Q432" s="18" t="s">
        <v>57</v>
      </c>
      <c r="R432" s="18" t="s">
        <v>143</v>
      </c>
      <c r="S432" s="18" t="s">
        <v>59</v>
      </c>
      <c r="T432" s="38">
        <v>2026.0</v>
      </c>
      <c r="U432" s="38">
        <v>5.0</v>
      </c>
      <c r="V432" s="38">
        <v>1.081522698E9</v>
      </c>
      <c r="W432" s="38">
        <v>1.081540768E9</v>
      </c>
      <c r="X432" s="18" t="s">
        <v>2199</v>
      </c>
      <c r="Y432" s="18" t="s">
        <v>2200</v>
      </c>
      <c r="Z432" s="38">
        <v>1169055.94</v>
      </c>
      <c r="AA432" s="38">
        <v>1169055.94</v>
      </c>
      <c r="AB432" s="38">
        <v>0.0</v>
      </c>
      <c r="AC432" s="38">
        <v>5958.0</v>
      </c>
      <c r="AD432" s="38">
        <v>0.0</v>
      </c>
      <c r="AE432" s="38">
        <v>0.0</v>
      </c>
      <c r="AF432" s="38">
        <v>0.0</v>
      </c>
      <c r="AG432" s="38">
        <v>0.0</v>
      </c>
      <c r="AH432" s="38">
        <v>0.0</v>
      </c>
      <c r="AI432" s="38">
        <v>1169055.94</v>
      </c>
      <c r="AJ432" s="38">
        <v>2473339.02</v>
      </c>
      <c r="AK432" s="38">
        <v>3.0</v>
      </c>
      <c r="AL432" s="38">
        <v>250.8</v>
      </c>
      <c r="AM432" s="38">
        <v>0.0</v>
      </c>
      <c r="AN432" s="34" t="s">
        <v>62</v>
      </c>
      <c r="AO432" s="34" t="s">
        <v>62</v>
      </c>
      <c r="AP432" s="34" t="s">
        <v>62</v>
      </c>
      <c r="AQ432" s="34" t="s">
        <v>62</v>
      </c>
      <c r="AR432" s="38">
        <v>0.0</v>
      </c>
      <c r="AS432" s="38" t="s">
        <v>2293</v>
      </c>
      <c r="AT432" s="35" t="s">
        <v>2294</v>
      </c>
      <c r="AU432" s="39" t="s">
        <v>2295</v>
      </c>
      <c r="AV432" s="40">
        <v>46164.0</v>
      </c>
    </row>
    <row r="433">
      <c r="A433" s="38">
        <v>147.0</v>
      </c>
      <c r="B433" s="38">
        <v>13598.0</v>
      </c>
      <c r="C433" s="38">
        <v>13598.0</v>
      </c>
      <c r="D433" s="38">
        <v>13260.0</v>
      </c>
      <c r="E433" s="38">
        <v>13260.0</v>
      </c>
      <c r="F433" s="18" t="s">
        <v>179</v>
      </c>
      <c r="G433" s="18" t="s">
        <v>180</v>
      </c>
      <c r="H433" s="18" t="s">
        <v>2320</v>
      </c>
      <c r="I433" s="18" t="s">
        <v>915</v>
      </c>
      <c r="J433" s="18" t="s">
        <v>2205</v>
      </c>
      <c r="K433" s="18" t="s">
        <v>2289</v>
      </c>
      <c r="L433" s="18" t="s">
        <v>52</v>
      </c>
      <c r="M433" s="18" t="s">
        <v>89</v>
      </c>
      <c r="N433" s="18" t="s">
        <v>861</v>
      </c>
      <c r="O433" s="18" t="s">
        <v>126</v>
      </c>
      <c r="P433" s="18" t="s">
        <v>131</v>
      </c>
      <c r="Q433" s="18" t="s">
        <v>1111</v>
      </c>
      <c r="R433" s="18" t="s">
        <v>133</v>
      </c>
      <c r="S433" s="18" t="s">
        <v>59</v>
      </c>
      <c r="T433" s="38">
        <v>2026.0</v>
      </c>
      <c r="U433" s="38">
        <v>5.0</v>
      </c>
      <c r="V433" s="38">
        <v>1.081523064E9</v>
      </c>
      <c r="W433" s="38">
        <v>1.081541134E9</v>
      </c>
      <c r="X433" s="18" t="s">
        <v>2199</v>
      </c>
      <c r="Y433" s="18" t="s">
        <v>2200</v>
      </c>
      <c r="Z433" s="38">
        <v>50761.0</v>
      </c>
      <c r="AA433" s="38">
        <v>50761.0</v>
      </c>
      <c r="AB433" s="38">
        <v>0.0</v>
      </c>
      <c r="AC433" s="38">
        <v>0.0</v>
      </c>
      <c r="AD433" s="38">
        <v>0.0</v>
      </c>
      <c r="AE433" s="38">
        <v>0.0</v>
      </c>
      <c r="AF433" s="38">
        <v>0.0</v>
      </c>
      <c r="AG433" s="38">
        <v>0.0</v>
      </c>
      <c r="AH433" s="38">
        <v>0.0</v>
      </c>
      <c r="AI433" s="38">
        <v>50761.0</v>
      </c>
      <c r="AJ433" s="38">
        <v>101136.0</v>
      </c>
      <c r="AK433" s="38">
        <v>1.0</v>
      </c>
      <c r="AL433" s="38">
        <v>250.8</v>
      </c>
      <c r="AM433" s="38">
        <v>0.0</v>
      </c>
      <c r="AN433" s="34" t="s">
        <v>62</v>
      </c>
      <c r="AO433" s="34" t="s">
        <v>62</v>
      </c>
      <c r="AP433" s="34" t="s">
        <v>62</v>
      </c>
      <c r="AQ433" s="34" t="s">
        <v>62</v>
      </c>
      <c r="AR433" s="38">
        <v>0.0</v>
      </c>
      <c r="AS433" s="38" t="s">
        <v>2321</v>
      </c>
      <c r="AT433" s="35" t="s">
        <v>2202</v>
      </c>
      <c r="AU433" s="39" t="s">
        <v>2203</v>
      </c>
      <c r="AV433" s="40">
        <v>46163.0</v>
      </c>
    </row>
    <row r="434">
      <c r="A434" s="38">
        <v>147.0</v>
      </c>
      <c r="B434" s="38">
        <v>142.0</v>
      </c>
      <c r="C434" s="38">
        <v>142.0</v>
      </c>
      <c r="D434" s="38">
        <v>9.0216541E7</v>
      </c>
      <c r="E434" s="38">
        <v>9.0216541E7</v>
      </c>
      <c r="F434" s="18" t="s">
        <v>179</v>
      </c>
      <c r="G434" s="18" t="s">
        <v>180</v>
      </c>
      <c r="H434" s="18" t="s">
        <v>2320</v>
      </c>
      <c r="I434" s="18" t="s">
        <v>888</v>
      </c>
      <c r="J434" s="18" t="s">
        <v>2205</v>
      </c>
      <c r="K434" s="18" t="s">
        <v>2289</v>
      </c>
      <c r="L434" s="18" t="s">
        <v>52</v>
      </c>
      <c r="M434" s="18" t="s">
        <v>89</v>
      </c>
      <c r="N434" s="18" t="s">
        <v>861</v>
      </c>
      <c r="O434" s="18" t="s">
        <v>126</v>
      </c>
      <c r="P434" s="18" t="s">
        <v>56</v>
      </c>
      <c r="Q434" s="18" t="s">
        <v>57</v>
      </c>
      <c r="R434" s="18" t="s">
        <v>143</v>
      </c>
      <c r="S434" s="18" t="s">
        <v>59</v>
      </c>
      <c r="T434" s="38">
        <v>2026.0</v>
      </c>
      <c r="U434" s="38">
        <v>5.0</v>
      </c>
      <c r="V434" s="38">
        <v>1.081522702E9</v>
      </c>
      <c r="W434" s="38">
        <v>1.081540772E9</v>
      </c>
      <c r="X434" s="18" t="s">
        <v>2199</v>
      </c>
      <c r="Y434" s="18" t="s">
        <v>2200</v>
      </c>
      <c r="Z434" s="38">
        <v>85614.75</v>
      </c>
      <c r="AA434" s="38">
        <v>85614.75</v>
      </c>
      <c r="AB434" s="38">
        <v>0.0</v>
      </c>
      <c r="AC434" s="38">
        <v>250.0</v>
      </c>
      <c r="AD434" s="38">
        <v>0.0</v>
      </c>
      <c r="AE434" s="38">
        <v>0.0</v>
      </c>
      <c r="AF434" s="38">
        <v>0.0</v>
      </c>
      <c r="AG434" s="38">
        <v>0.0</v>
      </c>
      <c r="AH434" s="38">
        <v>0.0</v>
      </c>
      <c r="AI434" s="38">
        <v>85614.75</v>
      </c>
      <c r="AJ434" s="38">
        <v>170007.0</v>
      </c>
      <c r="AK434" s="38">
        <v>1.0</v>
      </c>
      <c r="AL434" s="38">
        <v>250.8</v>
      </c>
      <c r="AM434" s="38">
        <v>0.0</v>
      </c>
      <c r="AN434" s="34" t="s">
        <v>62</v>
      </c>
      <c r="AO434" s="34" t="s">
        <v>62</v>
      </c>
      <c r="AP434" s="34" t="s">
        <v>62</v>
      </c>
      <c r="AQ434" s="34" t="s">
        <v>62</v>
      </c>
      <c r="AR434" s="38">
        <v>0.0</v>
      </c>
      <c r="AS434" s="38" t="s">
        <v>2321</v>
      </c>
      <c r="AT434" s="35" t="s">
        <v>2202</v>
      </c>
      <c r="AU434" s="39" t="s">
        <v>2203</v>
      </c>
      <c r="AV434" s="40">
        <v>46163.0</v>
      </c>
    </row>
    <row r="435">
      <c r="A435" s="38">
        <v>147.0</v>
      </c>
      <c r="B435" s="38">
        <v>146.0</v>
      </c>
      <c r="C435" s="38">
        <v>146.0</v>
      </c>
      <c r="D435" s="38">
        <v>9.0217283E7</v>
      </c>
      <c r="E435" s="38">
        <v>9.0217283E7</v>
      </c>
      <c r="F435" s="18" t="s">
        <v>179</v>
      </c>
      <c r="G435" s="18" t="s">
        <v>180</v>
      </c>
      <c r="H435" s="18" t="s">
        <v>2320</v>
      </c>
      <c r="I435" s="18" t="s">
        <v>1023</v>
      </c>
      <c r="J435" s="18" t="s">
        <v>2205</v>
      </c>
      <c r="K435" s="18" t="s">
        <v>2289</v>
      </c>
      <c r="L435" s="18" t="s">
        <v>52</v>
      </c>
      <c r="M435" s="18" t="s">
        <v>89</v>
      </c>
      <c r="N435" s="18" t="s">
        <v>861</v>
      </c>
      <c r="O435" s="18" t="s">
        <v>126</v>
      </c>
      <c r="P435" s="18" t="s">
        <v>56</v>
      </c>
      <c r="Q435" s="18" t="s">
        <v>57</v>
      </c>
      <c r="R435" s="18" t="s">
        <v>143</v>
      </c>
      <c r="S435" s="18" t="s">
        <v>59</v>
      </c>
      <c r="T435" s="38">
        <v>2026.0</v>
      </c>
      <c r="U435" s="38">
        <v>5.0</v>
      </c>
      <c r="V435" s="38">
        <v>1.081522705E9</v>
      </c>
      <c r="W435" s="38">
        <v>1.081540775E9</v>
      </c>
      <c r="X435" s="18" t="s">
        <v>2199</v>
      </c>
      <c r="Y435" s="18" t="s">
        <v>2200</v>
      </c>
      <c r="Z435" s="38">
        <v>2429306.08</v>
      </c>
      <c r="AA435" s="38">
        <v>2429306.08</v>
      </c>
      <c r="AB435" s="38">
        <v>0.0</v>
      </c>
      <c r="AC435" s="38">
        <v>12597.5</v>
      </c>
      <c r="AD435" s="38">
        <v>0.0</v>
      </c>
      <c r="AE435" s="38">
        <v>0.0</v>
      </c>
      <c r="AF435" s="38">
        <v>0.0</v>
      </c>
      <c r="AG435" s="38">
        <v>0.0</v>
      </c>
      <c r="AH435" s="38">
        <v>0.0</v>
      </c>
      <c r="AI435" s="38">
        <v>2429306.08</v>
      </c>
      <c r="AJ435" s="38">
        <v>4801109.76</v>
      </c>
      <c r="AK435" s="38">
        <v>1.0</v>
      </c>
      <c r="AL435" s="38">
        <v>250.8</v>
      </c>
      <c r="AM435" s="38">
        <v>0.0</v>
      </c>
      <c r="AN435" s="34" t="s">
        <v>62</v>
      </c>
      <c r="AO435" s="34" t="s">
        <v>62</v>
      </c>
      <c r="AP435" s="34" t="s">
        <v>62</v>
      </c>
      <c r="AQ435" s="34" t="s">
        <v>62</v>
      </c>
      <c r="AR435" s="38">
        <v>0.0</v>
      </c>
      <c r="AS435" s="38" t="s">
        <v>2321</v>
      </c>
      <c r="AT435" s="35" t="s">
        <v>2202</v>
      </c>
      <c r="AU435" s="39" t="s">
        <v>2203</v>
      </c>
      <c r="AV435" s="40">
        <v>46163.0</v>
      </c>
    </row>
    <row r="436">
      <c r="A436" s="38">
        <v>151.0</v>
      </c>
      <c r="B436" s="38">
        <v>150.0</v>
      </c>
      <c r="C436" s="38">
        <v>150.0</v>
      </c>
      <c r="D436" s="38">
        <v>9.0217752E7</v>
      </c>
      <c r="E436" s="38">
        <v>9.0217752E7</v>
      </c>
      <c r="F436" s="38">
        <v>8.90930668E8</v>
      </c>
      <c r="G436" s="18" t="s">
        <v>1203</v>
      </c>
      <c r="H436" s="18" t="s">
        <v>2618</v>
      </c>
      <c r="I436" s="18" t="s">
        <v>863</v>
      </c>
      <c r="J436" s="18" t="s">
        <v>2205</v>
      </c>
      <c r="K436" s="18" t="s">
        <v>2205</v>
      </c>
      <c r="L436" s="18" t="s">
        <v>52</v>
      </c>
      <c r="M436" s="18" t="s">
        <v>89</v>
      </c>
      <c r="N436" s="18" t="s">
        <v>861</v>
      </c>
      <c r="O436" s="18" t="s">
        <v>126</v>
      </c>
      <c r="P436" s="18" t="s">
        <v>56</v>
      </c>
      <c r="Q436" s="18" t="s">
        <v>90</v>
      </c>
      <c r="R436" s="18" t="s">
        <v>143</v>
      </c>
      <c r="S436" s="18" t="s">
        <v>59</v>
      </c>
      <c r="T436" s="38">
        <v>2026.0</v>
      </c>
      <c r="U436" s="38">
        <v>5.0</v>
      </c>
      <c r="V436" s="38">
        <v>1.081522709E9</v>
      </c>
      <c r="W436" s="38">
        <v>1.081540779E9</v>
      </c>
      <c r="X436" s="18" t="s">
        <v>2199</v>
      </c>
      <c r="Y436" s="18" t="s">
        <v>2200</v>
      </c>
      <c r="Z436" s="38">
        <v>3332190.44</v>
      </c>
      <c r="AA436" s="38">
        <v>3332190.44</v>
      </c>
      <c r="AB436" s="38">
        <v>958645.45</v>
      </c>
      <c r="AC436" s="38">
        <v>9900.0</v>
      </c>
      <c r="AD436" s="38">
        <v>456254.09</v>
      </c>
      <c r="AE436" s="38">
        <v>0.0</v>
      </c>
      <c r="AF436" s="38">
        <v>0.0</v>
      </c>
      <c r="AG436" s="38">
        <v>0.0</v>
      </c>
      <c r="AH436" s="38">
        <v>0.0</v>
      </c>
      <c r="AI436" s="38">
        <v>3332190.44</v>
      </c>
      <c r="AJ436" s="38">
        <v>2.989716704E7</v>
      </c>
      <c r="AK436" s="38">
        <v>9.0</v>
      </c>
      <c r="AL436" s="38">
        <v>376.2</v>
      </c>
      <c r="AM436" s="38">
        <v>0.0</v>
      </c>
      <c r="AN436" s="34" t="s">
        <v>62</v>
      </c>
      <c r="AO436" s="34" t="s">
        <v>62</v>
      </c>
      <c r="AP436" s="34" t="s">
        <v>62</v>
      </c>
      <c r="AQ436" s="34" t="s">
        <v>62</v>
      </c>
      <c r="AR436" s="38">
        <v>0.0</v>
      </c>
      <c r="AS436" s="38" t="s">
        <v>2619</v>
      </c>
      <c r="AT436" s="35" t="s">
        <v>2202</v>
      </c>
      <c r="AU436" s="39" t="s">
        <v>2254</v>
      </c>
      <c r="AV436" s="40">
        <v>46170.0</v>
      </c>
    </row>
    <row r="437">
      <c r="A437" s="38">
        <v>297.0</v>
      </c>
      <c r="B437" s="38">
        <v>15258.0</v>
      </c>
      <c r="C437" s="38">
        <v>15258.0</v>
      </c>
      <c r="D437" s="38">
        <v>323728.0</v>
      </c>
      <c r="E437" s="38">
        <v>323728.0</v>
      </c>
      <c r="F437" s="18" t="s">
        <v>135</v>
      </c>
      <c r="G437" s="18" t="s">
        <v>136</v>
      </c>
      <c r="H437" s="18" t="s">
        <v>2258</v>
      </c>
      <c r="I437" s="18" t="s">
        <v>1205</v>
      </c>
      <c r="J437" s="18" t="s">
        <v>2205</v>
      </c>
      <c r="K437" s="18" t="s">
        <v>2259</v>
      </c>
      <c r="L437" s="18" t="s">
        <v>52</v>
      </c>
      <c r="M437" s="18" t="s">
        <v>53</v>
      </c>
      <c r="N437" s="18" t="s">
        <v>861</v>
      </c>
      <c r="O437" s="18" t="s">
        <v>126</v>
      </c>
      <c r="P437" s="18" t="s">
        <v>131</v>
      </c>
      <c r="Q437" s="18" t="s">
        <v>538</v>
      </c>
      <c r="R437" s="18" t="s">
        <v>133</v>
      </c>
      <c r="S437" s="18" t="s">
        <v>59</v>
      </c>
      <c r="T437" s="38">
        <v>2026.0</v>
      </c>
      <c r="U437" s="38">
        <v>5.0</v>
      </c>
      <c r="V437" s="38">
        <v>1.081523068E9</v>
      </c>
      <c r="W437" s="38">
        <v>1.081541138E9</v>
      </c>
      <c r="X437" s="18" t="s">
        <v>2199</v>
      </c>
      <c r="Y437" s="18" t="s">
        <v>2200</v>
      </c>
      <c r="Z437" s="38">
        <v>95028.0</v>
      </c>
      <c r="AA437" s="38">
        <v>95028.0</v>
      </c>
      <c r="AB437" s="38">
        <v>31676.0</v>
      </c>
      <c r="AC437" s="38">
        <v>0.0</v>
      </c>
      <c r="AD437" s="38">
        <v>0.0</v>
      </c>
      <c r="AE437" s="38">
        <v>0.0</v>
      </c>
      <c r="AF437" s="38">
        <v>0.0</v>
      </c>
      <c r="AG437" s="38">
        <v>0.0</v>
      </c>
      <c r="AH437" s="38">
        <v>0.0</v>
      </c>
      <c r="AI437" s="38">
        <v>95028.0</v>
      </c>
      <c r="AJ437" s="38">
        <v>95028.0</v>
      </c>
      <c r="AK437" s="38">
        <v>0.0</v>
      </c>
      <c r="AL437" s="38">
        <v>376.2</v>
      </c>
      <c r="AM437" s="38">
        <v>0.0</v>
      </c>
      <c r="AN437" s="34" t="s">
        <v>62</v>
      </c>
      <c r="AO437" s="34" t="s">
        <v>62</v>
      </c>
      <c r="AP437" s="34" t="s">
        <v>62</v>
      </c>
      <c r="AQ437" s="34" t="s">
        <v>62</v>
      </c>
      <c r="AR437" s="38">
        <v>0.0</v>
      </c>
      <c r="AS437" s="38" t="s">
        <v>2260</v>
      </c>
      <c r="AT437" s="35" t="s">
        <v>2202</v>
      </c>
      <c r="AU437" s="39" t="s">
        <v>2203</v>
      </c>
      <c r="AV437" s="40">
        <v>46164.0</v>
      </c>
    </row>
    <row r="438">
      <c r="A438" s="38">
        <v>155.0</v>
      </c>
      <c r="B438" s="38">
        <v>154.0</v>
      </c>
      <c r="C438" s="38">
        <v>154.0</v>
      </c>
      <c r="D438" s="38">
        <v>9.0217993E7</v>
      </c>
      <c r="E438" s="38">
        <v>9.0217993E7</v>
      </c>
      <c r="F438" s="18" t="s">
        <v>1207</v>
      </c>
      <c r="G438" s="18" t="s">
        <v>1208</v>
      </c>
      <c r="H438" s="18" t="s">
        <v>2620</v>
      </c>
      <c r="I438" s="18" t="s">
        <v>895</v>
      </c>
      <c r="J438" s="18" t="s">
        <v>2205</v>
      </c>
      <c r="K438" s="18" t="s">
        <v>2205</v>
      </c>
      <c r="L438" s="18" t="s">
        <v>52</v>
      </c>
      <c r="M438" s="18" t="s">
        <v>89</v>
      </c>
      <c r="N438" s="18" t="s">
        <v>861</v>
      </c>
      <c r="O438" s="18" t="s">
        <v>126</v>
      </c>
      <c r="P438" s="18" t="s">
        <v>56</v>
      </c>
      <c r="Q438" s="18" t="s">
        <v>90</v>
      </c>
      <c r="R438" s="18" t="s">
        <v>143</v>
      </c>
      <c r="S438" s="18" t="s">
        <v>59</v>
      </c>
      <c r="T438" s="38">
        <v>2026.0</v>
      </c>
      <c r="U438" s="38">
        <v>5.0</v>
      </c>
      <c r="V438" s="38">
        <v>1.081522716E9</v>
      </c>
      <c r="W438" s="38">
        <v>1.081540786E9</v>
      </c>
      <c r="X438" s="18" t="s">
        <v>2199</v>
      </c>
      <c r="Y438" s="18" t="s">
        <v>2200</v>
      </c>
      <c r="Z438" s="38">
        <v>5615620.89</v>
      </c>
      <c r="AA438" s="38">
        <v>5615620.89</v>
      </c>
      <c r="AB438" s="38">
        <v>1871873.63</v>
      </c>
      <c r="AC438" s="38">
        <v>19522.5</v>
      </c>
      <c r="AD438" s="38">
        <v>0.0</v>
      </c>
      <c r="AE438" s="38">
        <v>0.0</v>
      </c>
      <c r="AF438" s="38">
        <v>0.0</v>
      </c>
      <c r="AG438" s="38">
        <v>0.0</v>
      </c>
      <c r="AH438" s="38">
        <v>0.0</v>
      </c>
      <c r="AI438" s="38">
        <v>5615620.89</v>
      </c>
      <c r="AJ438" s="38">
        <v>5615620.89</v>
      </c>
      <c r="AK438" s="38">
        <v>0.0</v>
      </c>
      <c r="AL438" s="38">
        <v>376.2</v>
      </c>
      <c r="AM438" s="38">
        <v>0.0</v>
      </c>
      <c r="AN438" s="34" t="s">
        <v>62</v>
      </c>
      <c r="AO438" s="34" t="s">
        <v>62</v>
      </c>
      <c r="AP438" s="34" t="s">
        <v>62</v>
      </c>
      <c r="AQ438" s="34" t="s">
        <v>62</v>
      </c>
      <c r="AR438" s="38">
        <v>0.0</v>
      </c>
      <c r="AS438" s="38" t="s">
        <v>2621</v>
      </c>
      <c r="AT438" s="35" t="s">
        <v>2202</v>
      </c>
      <c r="AU438" s="39" t="s">
        <v>2254</v>
      </c>
      <c r="AV438" s="40">
        <v>46170.0</v>
      </c>
    </row>
    <row r="439">
      <c r="A439" s="38">
        <v>232.0</v>
      </c>
      <c r="B439" s="38">
        <v>158.0</v>
      </c>
      <c r="C439" s="38">
        <v>158.0</v>
      </c>
      <c r="D439" s="38">
        <v>9.02191E7</v>
      </c>
      <c r="E439" s="38">
        <v>9.02191E7</v>
      </c>
      <c r="F439" s="38">
        <v>8.30122566E8</v>
      </c>
      <c r="G439" s="18" t="s">
        <v>193</v>
      </c>
      <c r="H439" s="18" t="s">
        <v>2282</v>
      </c>
      <c r="I439" s="18" t="s">
        <v>1210</v>
      </c>
      <c r="J439" s="18" t="s">
        <v>2205</v>
      </c>
      <c r="K439" s="18" t="s">
        <v>2283</v>
      </c>
      <c r="L439" s="18" t="s">
        <v>52</v>
      </c>
      <c r="M439" s="18" t="s">
        <v>53</v>
      </c>
      <c r="N439" s="18" t="s">
        <v>861</v>
      </c>
      <c r="O439" s="18" t="s">
        <v>126</v>
      </c>
      <c r="P439" s="18" t="s">
        <v>131</v>
      </c>
      <c r="Q439" s="18" t="s">
        <v>151</v>
      </c>
      <c r="R439" s="18" t="s">
        <v>133</v>
      </c>
      <c r="S439" s="18" t="s">
        <v>59</v>
      </c>
      <c r="T439" s="38">
        <v>2026.0</v>
      </c>
      <c r="U439" s="38">
        <v>5.0</v>
      </c>
      <c r="V439" s="38">
        <v>1.08152272E9</v>
      </c>
      <c r="W439" s="38">
        <v>1.08154079E9</v>
      </c>
      <c r="X439" s="18" t="s">
        <v>2199</v>
      </c>
      <c r="Y439" s="18" t="s">
        <v>2200</v>
      </c>
      <c r="Z439" s="38">
        <v>75941.0</v>
      </c>
      <c r="AA439" s="38">
        <v>75941.0</v>
      </c>
      <c r="AB439" s="38">
        <v>0.0</v>
      </c>
      <c r="AC439" s="38">
        <v>0.0</v>
      </c>
      <c r="AD439" s="38">
        <v>0.0</v>
      </c>
      <c r="AE439" s="38">
        <v>0.0</v>
      </c>
      <c r="AF439" s="38">
        <v>0.0</v>
      </c>
      <c r="AG439" s="38">
        <v>0.0</v>
      </c>
      <c r="AH439" s="38">
        <v>0.0</v>
      </c>
      <c r="AI439" s="38">
        <v>75941.0</v>
      </c>
      <c r="AJ439" s="38">
        <v>2762288.55</v>
      </c>
      <c r="AK439" s="38">
        <v>45.0</v>
      </c>
      <c r="AL439" s="38">
        <v>250.8</v>
      </c>
      <c r="AM439" s="38">
        <v>0.0</v>
      </c>
      <c r="AN439" s="34" t="s">
        <v>62</v>
      </c>
      <c r="AO439" s="34" t="s">
        <v>62</v>
      </c>
      <c r="AP439" s="34" t="s">
        <v>62</v>
      </c>
      <c r="AQ439" s="34" t="s">
        <v>62</v>
      </c>
      <c r="AR439" s="38">
        <v>0.0</v>
      </c>
      <c r="AS439" s="38" t="s">
        <v>2284</v>
      </c>
      <c r="AT439" s="35" t="s">
        <v>2202</v>
      </c>
      <c r="AU439" s="39" t="s">
        <v>2203</v>
      </c>
      <c r="AV439" s="40">
        <v>46164.0</v>
      </c>
    </row>
    <row r="440">
      <c r="A440" s="38">
        <v>163.0</v>
      </c>
      <c r="B440" s="38">
        <v>162.0</v>
      </c>
      <c r="C440" s="38">
        <v>162.0</v>
      </c>
      <c r="D440" s="38">
        <v>9.0219359E7</v>
      </c>
      <c r="E440" s="38">
        <v>9.0219359E7</v>
      </c>
      <c r="F440" s="38">
        <v>8.9050006E8</v>
      </c>
      <c r="G440" s="18" t="s">
        <v>1212</v>
      </c>
      <c r="H440" s="18" t="s">
        <v>2622</v>
      </c>
      <c r="I440" s="18" t="s">
        <v>902</v>
      </c>
      <c r="J440" s="18" t="s">
        <v>2205</v>
      </c>
      <c r="K440" s="18" t="s">
        <v>2205</v>
      </c>
      <c r="L440" s="18" t="s">
        <v>52</v>
      </c>
      <c r="M440" s="18" t="s">
        <v>89</v>
      </c>
      <c r="N440" s="18" t="s">
        <v>861</v>
      </c>
      <c r="O440" s="18" t="s">
        <v>126</v>
      </c>
      <c r="P440" s="18" t="s">
        <v>56</v>
      </c>
      <c r="Q440" s="18" t="s">
        <v>90</v>
      </c>
      <c r="R440" s="18" t="s">
        <v>58</v>
      </c>
      <c r="S440" s="18" t="s">
        <v>59</v>
      </c>
      <c r="T440" s="38">
        <v>2026.0</v>
      </c>
      <c r="U440" s="38">
        <v>5.0</v>
      </c>
      <c r="V440" s="38">
        <v>1.081522726E9</v>
      </c>
      <c r="W440" s="38">
        <v>1.081540796E9</v>
      </c>
      <c r="X440" s="18" t="s">
        <v>2199</v>
      </c>
      <c r="Y440" s="18" t="s">
        <v>2200</v>
      </c>
      <c r="Z440" s="38">
        <v>4999777.74</v>
      </c>
      <c r="AA440" s="38">
        <v>4999777.74</v>
      </c>
      <c r="AB440" s="38">
        <v>1650269.3</v>
      </c>
      <c r="AC440" s="38">
        <v>17187.5</v>
      </c>
      <c r="AD440" s="38">
        <v>48969.87</v>
      </c>
      <c r="AE440" s="38">
        <v>0.0</v>
      </c>
      <c r="AF440" s="38">
        <v>0.0</v>
      </c>
      <c r="AG440" s="38">
        <v>0.0</v>
      </c>
      <c r="AH440" s="38">
        <v>0.0</v>
      </c>
      <c r="AI440" s="38">
        <v>4999777.74</v>
      </c>
      <c r="AJ440" s="38">
        <v>9985783.92</v>
      </c>
      <c r="AK440" s="38">
        <v>2.0</v>
      </c>
      <c r="AL440" s="38">
        <v>376.2</v>
      </c>
      <c r="AM440" s="38">
        <v>0.0</v>
      </c>
      <c r="AN440" s="34" t="s">
        <v>62</v>
      </c>
      <c r="AO440" s="34" t="s">
        <v>62</v>
      </c>
      <c r="AP440" s="34" t="s">
        <v>62</v>
      </c>
      <c r="AQ440" s="34" t="s">
        <v>62</v>
      </c>
      <c r="AR440" s="38">
        <v>0.0</v>
      </c>
      <c r="AS440" s="38" t="s">
        <v>2623</v>
      </c>
      <c r="AT440" s="35" t="s">
        <v>2202</v>
      </c>
      <c r="AU440" s="39" t="s">
        <v>2254</v>
      </c>
      <c r="AV440" s="40">
        <v>46170.0</v>
      </c>
    </row>
    <row r="441">
      <c r="A441" s="38">
        <v>455370.0</v>
      </c>
      <c r="B441" s="38">
        <v>166.0</v>
      </c>
      <c r="C441" s="38">
        <v>166.0</v>
      </c>
      <c r="D441" s="38">
        <v>9.022126E7</v>
      </c>
      <c r="E441" s="38">
        <v>9.022126E7</v>
      </c>
      <c r="F441" s="18" t="s">
        <v>148</v>
      </c>
      <c r="G441" s="18" t="s">
        <v>149</v>
      </c>
      <c r="H441" s="18" t="s">
        <v>2296</v>
      </c>
      <c r="I441" s="18" t="s">
        <v>1214</v>
      </c>
      <c r="J441" s="18" t="s">
        <v>2205</v>
      </c>
      <c r="K441" s="18" t="s">
        <v>2611</v>
      </c>
      <c r="L441" s="18" t="s">
        <v>52</v>
      </c>
      <c r="M441" s="18" t="s">
        <v>53</v>
      </c>
      <c r="N441" s="18" t="s">
        <v>861</v>
      </c>
      <c r="O441" s="18" t="s">
        <v>126</v>
      </c>
      <c r="P441" s="18" t="s">
        <v>56</v>
      </c>
      <c r="Q441" s="18" t="s">
        <v>57</v>
      </c>
      <c r="R441" s="18" t="s">
        <v>143</v>
      </c>
      <c r="S441" s="18" t="s">
        <v>59</v>
      </c>
      <c r="T441" s="38">
        <v>2026.0</v>
      </c>
      <c r="U441" s="38">
        <v>5.0</v>
      </c>
      <c r="V441" s="38">
        <v>1.081522731E9</v>
      </c>
      <c r="W441" s="38">
        <v>1.081540801E9</v>
      </c>
      <c r="X441" s="18" t="s">
        <v>2199</v>
      </c>
      <c r="Y441" s="18" t="s">
        <v>2200</v>
      </c>
      <c r="Z441" s="38">
        <v>1224480.75</v>
      </c>
      <c r="AA441" s="38">
        <v>1224480.75</v>
      </c>
      <c r="AB441" s="38">
        <v>0.0</v>
      </c>
      <c r="AC441" s="38">
        <v>6250.0</v>
      </c>
      <c r="AD441" s="38">
        <v>0.0</v>
      </c>
      <c r="AE441" s="38">
        <v>0.0</v>
      </c>
      <c r="AF441" s="38">
        <v>0.0</v>
      </c>
      <c r="AG441" s="38">
        <v>0.0</v>
      </c>
      <c r="AH441" s="38">
        <v>0.0</v>
      </c>
      <c r="AI441" s="38">
        <v>1224480.75</v>
      </c>
      <c r="AJ441" s="38">
        <v>2582857.24</v>
      </c>
      <c r="AK441" s="38">
        <v>2.0</v>
      </c>
      <c r="AL441" s="38">
        <v>250.8</v>
      </c>
      <c r="AM441" s="38">
        <v>0.0</v>
      </c>
      <c r="AN441" s="34" t="s">
        <v>62</v>
      </c>
      <c r="AO441" s="34" t="s">
        <v>62</v>
      </c>
      <c r="AP441" s="34" t="s">
        <v>62</v>
      </c>
      <c r="AQ441" s="34" t="s">
        <v>62</v>
      </c>
      <c r="AR441" s="38">
        <v>0.0</v>
      </c>
      <c r="AS441" s="38" t="s">
        <v>2293</v>
      </c>
      <c r="AT441" s="35" t="s">
        <v>2294</v>
      </c>
      <c r="AU441" s="39" t="s">
        <v>2295</v>
      </c>
      <c r="AV441" s="40">
        <v>46164.0</v>
      </c>
    </row>
    <row r="442">
      <c r="A442" s="38">
        <v>171.0</v>
      </c>
      <c r="B442" s="38">
        <v>170.0</v>
      </c>
      <c r="C442" s="38">
        <v>170.0</v>
      </c>
      <c r="D442" s="38">
        <v>9.0221836E7</v>
      </c>
      <c r="E442" s="38">
        <v>9.0221836E7</v>
      </c>
      <c r="F442" s="18" t="s">
        <v>1216</v>
      </c>
      <c r="G442" s="18" t="s">
        <v>1217</v>
      </c>
      <c r="H442" s="18" t="s">
        <v>2624</v>
      </c>
      <c r="I442" s="18" t="s">
        <v>910</v>
      </c>
      <c r="J442" s="18" t="s">
        <v>2205</v>
      </c>
      <c r="K442" s="18" t="s">
        <v>2611</v>
      </c>
      <c r="L442" s="18" t="s">
        <v>52</v>
      </c>
      <c r="M442" s="18" t="s">
        <v>89</v>
      </c>
      <c r="N442" s="18" t="s">
        <v>861</v>
      </c>
      <c r="O442" s="18" t="s">
        <v>126</v>
      </c>
      <c r="P442" s="18" t="s">
        <v>56</v>
      </c>
      <c r="Q442" s="18" t="s">
        <v>57</v>
      </c>
      <c r="R442" s="18" t="s">
        <v>58</v>
      </c>
      <c r="S442" s="18" t="s">
        <v>59</v>
      </c>
      <c r="T442" s="38">
        <v>2026.0</v>
      </c>
      <c r="U442" s="38">
        <v>5.0</v>
      </c>
      <c r="V442" s="38">
        <v>1.081522736E9</v>
      </c>
      <c r="W442" s="38">
        <v>1.081540806E9</v>
      </c>
      <c r="X442" s="18" t="s">
        <v>2199</v>
      </c>
      <c r="Y442" s="18" t="s">
        <v>2200</v>
      </c>
      <c r="Z442" s="38">
        <v>1007858.94</v>
      </c>
      <c r="AA442" s="38">
        <v>1007858.94</v>
      </c>
      <c r="AB442" s="38">
        <v>0.0</v>
      </c>
      <c r="AC442" s="38">
        <v>5108.75</v>
      </c>
      <c r="AD442" s="38">
        <v>0.0</v>
      </c>
      <c r="AE442" s="38">
        <v>0.0</v>
      </c>
      <c r="AF442" s="38">
        <v>0.0</v>
      </c>
      <c r="AG442" s="38">
        <v>0.0</v>
      </c>
      <c r="AH442" s="38">
        <v>0.0</v>
      </c>
      <c r="AI442" s="38">
        <v>1007858.94</v>
      </c>
      <c r="AJ442" s="38">
        <v>4568434.4</v>
      </c>
      <c r="AK442" s="38">
        <v>3.0</v>
      </c>
      <c r="AL442" s="38">
        <v>250.8</v>
      </c>
      <c r="AM442" s="38">
        <v>0.0</v>
      </c>
      <c r="AN442" s="34" t="s">
        <v>62</v>
      </c>
      <c r="AO442" s="34" t="s">
        <v>62</v>
      </c>
      <c r="AP442" s="34" t="s">
        <v>62</v>
      </c>
      <c r="AQ442" s="34" t="s">
        <v>62</v>
      </c>
      <c r="AR442" s="38">
        <v>0.0</v>
      </c>
      <c r="AS442" s="38" t="s">
        <v>2625</v>
      </c>
      <c r="AT442" s="35" t="s">
        <v>2294</v>
      </c>
      <c r="AU442" s="39" t="s">
        <v>2295</v>
      </c>
      <c r="AV442" s="40">
        <v>46164.0</v>
      </c>
    </row>
    <row r="443">
      <c r="A443" s="38">
        <v>280920.0</v>
      </c>
      <c r="B443" s="38">
        <v>174.0</v>
      </c>
      <c r="C443" s="38">
        <v>174.0</v>
      </c>
      <c r="D443" s="38">
        <v>9.0221881E7</v>
      </c>
      <c r="E443" s="38">
        <v>9.0221881E7</v>
      </c>
      <c r="F443" s="38">
        <v>9.00576569E8</v>
      </c>
      <c r="G443" s="18" t="s">
        <v>161</v>
      </c>
      <c r="H443" s="18" t="s">
        <v>2261</v>
      </c>
      <c r="I443" s="18" t="s">
        <v>1219</v>
      </c>
      <c r="J443" s="18" t="s">
        <v>2205</v>
      </c>
      <c r="K443" s="18" t="s">
        <v>2262</v>
      </c>
      <c r="L443" s="18" t="s">
        <v>52</v>
      </c>
      <c r="M443" s="18" t="s">
        <v>89</v>
      </c>
      <c r="N443" s="18" t="s">
        <v>861</v>
      </c>
      <c r="O443" s="18" t="s">
        <v>126</v>
      </c>
      <c r="P443" s="18" t="s">
        <v>56</v>
      </c>
      <c r="Q443" s="18" t="s">
        <v>90</v>
      </c>
      <c r="R443" s="18" t="s">
        <v>143</v>
      </c>
      <c r="S443" s="18" t="s">
        <v>59</v>
      </c>
      <c r="T443" s="38">
        <v>2026.0</v>
      </c>
      <c r="U443" s="38">
        <v>5.0</v>
      </c>
      <c r="V443" s="38">
        <v>1.081522742E9</v>
      </c>
      <c r="W443" s="38">
        <v>1.081540812E9</v>
      </c>
      <c r="X443" s="18" t="s">
        <v>2199</v>
      </c>
      <c r="Y443" s="18" t="s">
        <v>2200</v>
      </c>
      <c r="Z443" s="38">
        <v>616421.9</v>
      </c>
      <c r="AA443" s="38">
        <v>616421.9</v>
      </c>
      <c r="AB443" s="38">
        <v>185402.9</v>
      </c>
      <c r="AC443" s="38">
        <v>1752.5</v>
      </c>
      <c r="AD443" s="38">
        <v>60213.21</v>
      </c>
      <c r="AE443" s="38">
        <v>0.0</v>
      </c>
      <c r="AF443" s="38">
        <v>0.0</v>
      </c>
      <c r="AG443" s="38">
        <v>0.0</v>
      </c>
      <c r="AH443" s="38">
        <v>0.0</v>
      </c>
      <c r="AI443" s="38">
        <v>616421.9</v>
      </c>
      <c r="AJ443" s="38">
        <v>4507576.32</v>
      </c>
      <c r="AK443" s="38">
        <v>7.0</v>
      </c>
      <c r="AL443" s="38">
        <v>376.2</v>
      </c>
      <c r="AM443" s="38">
        <v>0.0</v>
      </c>
      <c r="AN443" s="34" t="s">
        <v>62</v>
      </c>
      <c r="AO443" s="34" t="s">
        <v>62</v>
      </c>
      <c r="AP443" s="34" t="s">
        <v>62</v>
      </c>
      <c r="AQ443" s="34" t="s">
        <v>62</v>
      </c>
      <c r="AR443" s="38">
        <v>0.0</v>
      </c>
      <c r="AS443" s="38" t="s">
        <v>2263</v>
      </c>
      <c r="AT443" s="35" t="s">
        <v>2202</v>
      </c>
      <c r="AU443" s="39" t="s">
        <v>2203</v>
      </c>
      <c r="AV443" s="40">
        <v>46163.0</v>
      </c>
    </row>
    <row r="444">
      <c r="A444" s="38">
        <v>297.0</v>
      </c>
      <c r="B444" s="38">
        <v>178.0</v>
      </c>
      <c r="C444" s="38">
        <v>178.0</v>
      </c>
      <c r="D444" s="38">
        <v>9.0223862E7</v>
      </c>
      <c r="E444" s="38">
        <v>9.0223862E7</v>
      </c>
      <c r="F444" s="18" t="s">
        <v>135</v>
      </c>
      <c r="G444" s="18" t="s">
        <v>136</v>
      </c>
      <c r="H444" s="18" t="s">
        <v>2258</v>
      </c>
      <c r="I444" s="18" t="s">
        <v>1221</v>
      </c>
      <c r="J444" s="18" t="s">
        <v>2205</v>
      </c>
      <c r="K444" s="18" t="s">
        <v>2259</v>
      </c>
      <c r="L444" s="18" t="s">
        <v>52</v>
      </c>
      <c r="M444" s="18" t="s">
        <v>53</v>
      </c>
      <c r="N444" s="18" t="s">
        <v>861</v>
      </c>
      <c r="O444" s="18" t="s">
        <v>126</v>
      </c>
      <c r="P444" s="18" t="s">
        <v>131</v>
      </c>
      <c r="Q444" s="18" t="s">
        <v>151</v>
      </c>
      <c r="R444" s="18" t="s">
        <v>133</v>
      </c>
      <c r="S444" s="18" t="s">
        <v>59</v>
      </c>
      <c r="T444" s="38">
        <v>2026.0</v>
      </c>
      <c r="U444" s="38">
        <v>5.0</v>
      </c>
      <c r="V444" s="38">
        <v>1.081522745E9</v>
      </c>
      <c r="W444" s="38">
        <v>1.081540815E9</v>
      </c>
      <c r="X444" s="18" t="s">
        <v>2199</v>
      </c>
      <c r="Y444" s="18" t="s">
        <v>2200</v>
      </c>
      <c r="Z444" s="38">
        <v>75941.0</v>
      </c>
      <c r="AA444" s="38">
        <v>75941.0</v>
      </c>
      <c r="AB444" s="38">
        <v>0.0</v>
      </c>
      <c r="AC444" s="38">
        <v>0.0</v>
      </c>
      <c r="AD444" s="38">
        <v>0.0</v>
      </c>
      <c r="AE444" s="38">
        <v>0.0</v>
      </c>
      <c r="AF444" s="38">
        <v>0.0</v>
      </c>
      <c r="AG444" s="38">
        <v>0.0</v>
      </c>
      <c r="AH444" s="38">
        <v>0.0</v>
      </c>
      <c r="AI444" s="38">
        <v>75941.0</v>
      </c>
      <c r="AJ444" s="38">
        <v>75941.0</v>
      </c>
      <c r="AK444" s="38">
        <v>0.0</v>
      </c>
      <c r="AL444" s="38">
        <v>250.8</v>
      </c>
      <c r="AM444" s="38">
        <v>0.0</v>
      </c>
      <c r="AN444" s="34" t="s">
        <v>62</v>
      </c>
      <c r="AO444" s="34" t="s">
        <v>62</v>
      </c>
      <c r="AP444" s="34" t="s">
        <v>62</v>
      </c>
      <c r="AQ444" s="34" t="s">
        <v>62</v>
      </c>
      <c r="AR444" s="38">
        <v>0.0</v>
      </c>
      <c r="AS444" s="38" t="s">
        <v>2260</v>
      </c>
      <c r="AT444" s="35" t="s">
        <v>2202</v>
      </c>
      <c r="AU444" s="39" t="s">
        <v>2203</v>
      </c>
      <c r="AV444" s="40">
        <v>46164.0</v>
      </c>
    </row>
    <row r="445">
      <c r="A445" s="38">
        <v>191.0</v>
      </c>
      <c r="B445" s="38">
        <v>190.0</v>
      </c>
      <c r="C445" s="38">
        <v>190.0</v>
      </c>
      <c r="D445" s="38">
        <v>9.0229169E7</v>
      </c>
      <c r="E445" s="38">
        <v>9.0229169E7</v>
      </c>
      <c r="F445" s="18" t="s">
        <v>1223</v>
      </c>
      <c r="G445" s="18" t="s">
        <v>1224</v>
      </c>
      <c r="H445" s="18" t="s">
        <v>2626</v>
      </c>
      <c r="I445" s="18" t="s">
        <v>1225</v>
      </c>
      <c r="J445" s="18" t="s">
        <v>2205</v>
      </c>
      <c r="K445" s="18" t="s">
        <v>2205</v>
      </c>
      <c r="L445" s="18" t="s">
        <v>52</v>
      </c>
      <c r="M445" s="18" t="s">
        <v>89</v>
      </c>
      <c r="N445" s="18" t="s">
        <v>861</v>
      </c>
      <c r="O445" s="18" t="s">
        <v>126</v>
      </c>
      <c r="P445" s="18" t="s">
        <v>56</v>
      </c>
      <c r="Q445" s="18" t="s">
        <v>90</v>
      </c>
      <c r="R445" s="18" t="s">
        <v>143</v>
      </c>
      <c r="S445" s="18" t="s">
        <v>59</v>
      </c>
      <c r="T445" s="38">
        <v>2026.0</v>
      </c>
      <c r="U445" s="38">
        <v>5.0</v>
      </c>
      <c r="V445" s="38">
        <v>1.081522749E9</v>
      </c>
      <c r="W445" s="38">
        <v>1.081540819E9</v>
      </c>
      <c r="X445" s="18" t="s">
        <v>2199</v>
      </c>
      <c r="Y445" s="18" t="s">
        <v>2200</v>
      </c>
      <c r="Z445" s="38">
        <v>1006060.76</v>
      </c>
      <c r="AA445" s="38">
        <v>1006060.76</v>
      </c>
      <c r="AB445" s="38">
        <v>335353.59</v>
      </c>
      <c r="AC445" s="38">
        <v>3332.5</v>
      </c>
      <c r="AD445" s="38">
        <v>0.0</v>
      </c>
      <c r="AE445" s="38">
        <v>0.0</v>
      </c>
      <c r="AF445" s="38">
        <v>0.0</v>
      </c>
      <c r="AG445" s="38">
        <v>0.0</v>
      </c>
      <c r="AH445" s="38">
        <v>0.0</v>
      </c>
      <c r="AI445" s="38">
        <v>1006060.76</v>
      </c>
      <c r="AJ445" s="38">
        <v>1006060.76</v>
      </c>
      <c r="AK445" s="38">
        <v>0.0</v>
      </c>
      <c r="AL445" s="38">
        <v>376.2</v>
      </c>
      <c r="AM445" s="38">
        <v>0.0</v>
      </c>
      <c r="AN445" s="34" t="s">
        <v>62</v>
      </c>
      <c r="AO445" s="34" t="s">
        <v>62</v>
      </c>
      <c r="AP445" s="34" t="s">
        <v>62</v>
      </c>
      <c r="AQ445" s="34" t="s">
        <v>62</v>
      </c>
      <c r="AR445" s="38">
        <v>0.0</v>
      </c>
      <c r="AS445" s="38" t="s">
        <v>2627</v>
      </c>
      <c r="AT445" s="35" t="s">
        <v>2202</v>
      </c>
      <c r="AU445" s="39" t="s">
        <v>2254</v>
      </c>
      <c r="AV445" s="40">
        <v>46170.0</v>
      </c>
    </row>
    <row r="446">
      <c r="A446" s="38">
        <v>232.0</v>
      </c>
      <c r="B446" s="38">
        <v>194.0</v>
      </c>
      <c r="C446" s="38">
        <v>194.0</v>
      </c>
      <c r="D446" s="38">
        <v>9.0230169E7</v>
      </c>
      <c r="E446" s="38">
        <v>9.0230169E7</v>
      </c>
      <c r="F446" s="38">
        <v>8.30122566E8</v>
      </c>
      <c r="G446" s="18" t="s">
        <v>193</v>
      </c>
      <c r="H446" s="18" t="s">
        <v>2282</v>
      </c>
      <c r="I446" s="18" t="s">
        <v>915</v>
      </c>
      <c r="J446" s="18" t="s">
        <v>2205</v>
      </c>
      <c r="K446" s="18" t="s">
        <v>2283</v>
      </c>
      <c r="L446" s="18" t="s">
        <v>52</v>
      </c>
      <c r="M446" s="18" t="s">
        <v>53</v>
      </c>
      <c r="N446" s="18" t="s">
        <v>861</v>
      </c>
      <c r="O446" s="18" t="s">
        <v>126</v>
      </c>
      <c r="P446" s="18" t="s">
        <v>131</v>
      </c>
      <c r="Q446" s="18" t="s">
        <v>151</v>
      </c>
      <c r="R446" s="18" t="s">
        <v>133</v>
      </c>
      <c r="S446" s="18" t="s">
        <v>59</v>
      </c>
      <c r="T446" s="38">
        <v>2026.0</v>
      </c>
      <c r="U446" s="38">
        <v>5.0</v>
      </c>
      <c r="V446" s="38">
        <v>1.081522753E9</v>
      </c>
      <c r="W446" s="38">
        <v>1.081540823E9</v>
      </c>
      <c r="X446" s="18" t="s">
        <v>2199</v>
      </c>
      <c r="Y446" s="18" t="s">
        <v>2200</v>
      </c>
      <c r="Z446" s="38">
        <v>75941.0</v>
      </c>
      <c r="AA446" s="38">
        <v>75941.0</v>
      </c>
      <c r="AB446" s="38">
        <v>0.0</v>
      </c>
      <c r="AC446" s="38">
        <v>0.0</v>
      </c>
      <c r="AD446" s="38">
        <v>0.0</v>
      </c>
      <c r="AE446" s="38">
        <v>0.0</v>
      </c>
      <c r="AF446" s="38">
        <v>0.0</v>
      </c>
      <c r="AG446" s="38">
        <v>0.0</v>
      </c>
      <c r="AH446" s="38">
        <v>0.0</v>
      </c>
      <c r="AI446" s="38">
        <v>75941.0</v>
      </c>
      <c r="AJ446" s="38">
        <v>225673.0</v>
      </c>
      <c r="AK446" s="38">
        <v>2.0</v>
      </c>
      <c r="AL446" s="38">
        <v>250.8</v>
      </c>
      <c r="AM446" s="38">
        <v>0.0</v>
      </c>
      <c r="AN446" s="34" t="s">
        <v>62</v>
      </c>
      <c r="AO446" s="34" t="s">
        <v>62</v>
      </c>
      <c r="AP446" s="34" t="s">
        <v>62</v>
      </c>
      <c r="AQ446" s="34" t="s">
        <v>62</v>
      </c>
      <c r="AR446" s="38">
        <v>0.0</v>
      </c>
      <c r="AS446" s="39" t="s">
        <v>2284</v>
      </c>
      <c r="AT446" s="35" t="s">
        <v>2202</v>
      </c>
      <c r="AU446" s="39" t="s">
        <v>2203</v>
      </c>
      <c r="AV446" s="40">
        <v>46164.0</v>
      </c>
    </row>
    <row r="447">
      <c r="A447" s="38">
        <v>199.0</v>
      </c>
      <c r="B447" s="38">
        <v>198.0</v>
      </c>
      <c r="C447" s="38">
        <v>198.0</v>
      </c>
      <c r="D447" s="38">
        <v>9.0230832E7</v>
      </c>
      <c r="E447" s="38">
        <v>9.0230832E7</v>
      </c>
      <c r="F447" s="18" t="s">
        <v>1228</v>
      </c>
      <c r="G447" s="18" t="s">
        <v>1229</v>
      </c>
      <c r="H447" s="18" t="s">
        <v>2628</v>
      </c>
      <c r="I447" s="18" t="s">
        <v>919</v>
      </c>
      <c r="J447" s="18" t="s">
        <v>2205</v>
      </c>
      <c r="K447" s="18" t="s">
        <v>2205</v>
      </c>
      <c r="L447" s="18" t="s">
        <v>52</v>
      </c>
      <c r="M447" s="18" t="s">
        <v>89</v>
      </c>
      <c r="N447" s="18" t="s">
        <v>861</v>
      </c>
      <c r="O447" s="18" t="s">
        <v>126</v>
      </c>
      <c r="P447" s="18" t="s">
        <v>56</v>
      </c>
      <c r="Q447" s="18" t="s">
        <v>57</v>
      </c>
      <c r="R447" s="18" t="s">
        <v>58</v>
      </c>
      <c r="S447" s="18" t="s">
        <v>59</v>
      </c>
      <c r="T447" s="38">
        <v>2026.0</v>
      </c>
      <c r="U447" s="38">
        <v>5.0</v>
      </c>
      <c r="V447" s="38">
        <v>1.081522757E9</v>
      </c>
      <c r="W447" s="38">
        <v>1.081540827E9</v>
      </c>
      <c r="X447" s="18" t="s">
        <v>2199</v>
      </c>
      <c r="Y447" s="18" t="s">
        <v>2200</v>
      </c>
      <c r="Z447" s="38">
        <v>3013449.43</v>
      </c>
      <c r="AA447" s="38">
        <v>3013449.43</v>
      </c>
      <c r="AB447" s="38">
        <v>0.0</v>
      </c>
      <c r="AC447" s="38">
        <v>15675.0</v>
      </c>
      <c r="AD447" s="38">
        <v>0.0</v>
      </c>
      <c r="AE447" s="38">
        <v>0.0</v>
      </c>
      <c r="AF447" s="38">
        <v>0.0</v>
      </c>
      <c r="AG447" s="38">
        <v>0.0</v>
      </c>
      <c r="AH447" s="38">
        <v>0.0</v>
      </c>
      <c r="AI447" s="38">
        <v>3013449.43</v>
      </c>
      <c r="AJ447" s="38">
        <v>3013449.43</v>
      </c>
      <c r="AK447" s="38">
        <v>0.0</v>
      </c>
      <c r="AL447" s="38">
        <v>250.8</v>
      </c>
      <c r="AM447" s="38">
        <v>0.0</v>
      </c>
      <c r="AN447" s="34" t="s">
        <v>62</v>
      </c>
      <c r="AO447" s="34" t="s">
        <v>62</v>
      </c>
      <c r="AP447" s="34" t="s">
        <v>62</v>
      </c>
      <c r="AQ447" s="34" t="s">
        <v>62</v>
      </c>
      <c r="AR447" s="38">
        <v>0.0</v>
      </c>
      <c r="AS447" s="38" t="s">
        <v>2629</v>
      </c>
      <c r="AT447" s="35" t="s">
        <v>2202</v>
      </c>
      <c r="AU447" s="39" t="s">
        <v>2254</v>
      </c>
      <c r="AV447" s="40">
        <v>46170.0</v>
      </c>
    </row>
    <row r="448">
      <c r="A448" s="38">
        <v>455370.0</v>
      </c>
      <c r="B448" s="38">
        <v>218.0</v>
      </c>
      <c r="C448" s="38">
        <v>218.0</v>
      </c>
      <c r="D448" s="38">
        <v>9.0231265E7</v>
      </c>
      <c r="E448" s="38">
        <v>9.0231265E7</v>
      </c>
      <c r="F448" s="18" t="s">
        <v>148</v>
      </c>
      <c r="G448" s="18" t="s">
        <v>149</v>
      </c>
      <c r="H448" s="18" t="s">
        <v>2296</v>
      </c>
      <c r="I448" s="18" t="s">
        <v>1231</v>
      </c>
      <c r="J448" s="18" t="s">
        <v>2205</v>
      </c>
      <c r="K448" s="18" t="s">
        <v>2611</v>
      </c>
      <c r="L448" s="18" t="s">
        <v>52</v>
      </c>
      <c r="M448" s="18" t="s">
        <v>53</v>
      </c>
      <c r="N448" s="18" t="s">
        <v>861</v>
      </c>
      <c r="O448" s="18" t="s">
        <v>126</v>
      </c>
      <c r="P448" s="18" t="s">
        <v>56</v>
      </c>
      <c r="Q448" s="18" t="s">
        <v>57</v>
      </c>
      <c r="R448" s="18" t="s">
        <v>143</v>
      </c>
      <c r="S448" s="18" t="s">
        <v>59</v>
      </c>
      <c r="T448" s="38">
        <v>2026.0</v>
      </c>
      <c r="U448" s="38">
        <v>5.0</v>
      </c>
      <c r="V448" s="38">
        <v>1.081522761E9</v>
      </c>
      <c r="W448" s="38">
        <v>1.081540831E9</v>
      </c>
      <c r="X448" s="18" t="s">
        <v>2199</v>
      </c>
      <c r="Y448" s="18" t="s">
        <v>2200</v>
      </c>
      <c r="Z448" s="38">
        <v>1069784.79</v>
      </c>
      <c r="AA448" s="38">
        <v>1069784.79</v>
      </c>
      <c r="AB448" s="38">
        <v>0.0</v>
      </c>
      <c r="AC448" s="38">
        <v>5435.0</v>
      </c>
      <c r="AD448" s="38">
        <v>0.0</v>
      </c>
      <c r="AE448" s="38">
        <v>0.0</v>
      </c>
      <c r="AF448" s="38">
        <v>0.0</v>
      </c>
      <c r="AG448" s="38">
        <v>0.0</v>
      </c>
      <c r="AH448" s="38">
        <v>0.0</v>
      </c>
      <c r="AI448" s="38">
        <v>1069784.79</v>
      </c>
      <c r="AJ448" s="38">
        <v>2277180.55</v>
      </c>
      <c r="AK448" s="38">
        <v>3.0</v>
      </c>
      <c r="AL448" s="38">
        <v>250.8</v>
      </c>
      <c r="AM448" s="38">
        <v>0.0</v>
      </c>
      <c r="AN448" s="34" t="s">
        <v>62</v>
      </c>
      <c r="AO448" s="34" t="s">
        <v>62</v>
      </c>
      <c r="AP448" s="34" t="s">
        <v>62</v>
      </c>
      <c r="AQ448" s="34" t="s">
        <v>62</v>
      </c>
      <c r="AR448" s="38">
        <v>0.0</v>
      </c>
      <c r="AS448" s="38" t="s">
        <v>2293</v>
      </c>
      <c r="AT448" s="35" t="s">
        <v>2294</v>
      </c>
      <c r="AU448" s="39" t="s">
        <v>2295</v>
      </c>
      <c r="AV448" s="40">
        <v>46164.0</v>
      </c>
    </row>
    <row r="449">
      <c r="A449" s="38">
        <v>223.0</v>
      </c>
      <c r="B449" s="38">
        <v>222.0</v>
      </c>
      <c r="C449" s="38">
        <v>222.0</v>
      </c>
      <c r="D449" s="38">
        <v>9.0232607E7</v>
      </c>
      <c r="E449" s="38">
        <v>9.0232607E7</v>
      </c>
      <c r="F449" s="18" t="s">
        <v>1233</v>
      </c>
      <c r="G449" s="18" t="s">
        <v>1234</v>
      </c>
      <c r="H449" s="18" t="s">
        <v>2630</v>
      </c>
      <c r="I449" s="18" t="s">
        <v>1235</v>
      </c>
      <c r="J449" s="18" t="s">
        <v>2205</v>
      </c>
      <c r="K449" s="18" t="s">
        <v>2205</v>
      </c>
      <c r="L449" s="18" t="s">
        <v>52</v>
      </c>
      <c r="M449" s="18" t="s">
        <v>89</v>
      </c>
      <c r="N449" s="18" t="s">
        <v>861</v>
      </c>
      <c r="O449" s="18" t="s">
        <v>126</v>
      </c>
      <c r="P449" s="18" t="s">
        <v>56</v>
      </c>
      <c r="Q449" s="18" t="s">
        <v>57</v>
      </c>
      <c r="R449" s="18" t="s">
        <v>143</v>
      </c>
      <c r="S449" s="18" t="s">
        <v>59</v>
      </c>
      <c r="T449" s="38">
        <v>2026.0</v>
      </c>
      <c r="U449" s="38">
        <v>5.0</v>
      </c>
      <c r="V449" s="38">
        <v>1.081522764E9</v>
      </c>
      <c r="W449" s="38">
        <v>1.081540834E9</v>
      </c>
      <c r="X449" s="18" t="s">
        <v>2199</v>
      </c>
      <c r="Y449" s="18" t="s">
        <v>2200</v>
      </c>
      <c r="Z449" s="38">
        <v>209940.96</v>
      </c>
      <c r="AA449" s="38">
        <v>209940.96</v>
      </c>
      <c r="AB449" s="38">
        <v>0.0</v>
      </c>
      <c r="AC449" s="38">
        <v>905.0</v>
      </c>
      <c r="AD449" s="38">
        <v>0.0</v>
      </c>
      <c r="AE449" s="38">
        <v>0.0</v>
      </c>
      <c r="AF449" s="38">
        <v>0.0</v>
      </c>
      <c r="AG449" s="38">
        <v>0.0</v>
      </c>
      <c r="AH449" s="38">
        <v>0.0</v>
      </c>
      <c r="AI449" s="38">
        <v>209940.96</v>
      </c>
      <c r="AJ449" s="38">
        <v>209940.96</v>
      </c>
      <c r="AK449" s="38">
        <v>0.0</v>
      </c>
      <c r="AL449" s="38">
        <v>250.8</v>
      </c>
      <c r="AM449" s="38">
        <v>0.0</v>
      </c>
      <c r="AN449" s="34" t="s">
        <v>62</v>
      </c>
      <c r="AO449" s="34" t="s">
        <v>62</v>
      </c>
      <c r="AP449" s="34" t="s">
        <v>62</v>
      </c>
      <c r="AQ449" s="34" t="s">
        <v>62</v>
      </c>
      <c r="AR449" s="38">
        <v>0.0</v>
      </c>
      <c r="AS449" s="38" t="s">
        <v>2631</v>
      </c>
      <c r="AT449" s="35" t="s">
        <v>2202</v>
      </c>
      <c r="AU449" s="39" t="s">
        <v>2254</v>
      </c>
      <c r="AV449" s="40">
        <v>46170.0</v>
      </c>
    </row>
    <row r="450">
      <c r="A450" s="38">
        <v>227.0</v>
      </c>
      <c r="B450" s="38">
        <v>226.0</v>
      </c>
      <c r="C450" s="38">
        <v>226.0</v>
      </c>
      <c r="D450" s="38">
        <v>9.0235028E7</v>
      </c>
      <c r="E450" s="38">
        <v>9.0235028E7</v>
      </c>
      <c r="F450" s="18" t="s">
        <v>1237</v>
      </c>
      <c r="G450" s="18" t="s">
        <v>1238</v>
      </c>
      <c r="H450" s="18" t="s">
        <v>2632</v>
      </c>
      <c r="I450" s="18" t="s">
        <v>982</v>
      </c>
      <c r="J450" s="18" t="s">
        <v>2205</v>
      </c>
      <c r="K450" s="18" t="s">
        <v>2205</v>
      </c>
      <c r="L450" s="18" t="s">
        <v>52</v>
      </c>
      <c r="M450" s="18" t="s">
        <v>89</v>
      </c>
      <c r="N450" s="18" t="s">
        <v>861</v>
      </c>
      <c r="O450" s="18" t="s">
        <v>126</v>
      </c>
      <c r="P450" s="18" t="s">
        <v>56</v>
      </c>
      <c r="Q450" s="18" t="s">
        <v>90</v>
      </c>
      <c r="R450" s="18" t="s">
        <v>143</v>
      </c>
      <c r="S450" s="18" t="s">
        <v>59</v>
      </c>
      <c r="T450" s="38">
        <v>2026.0</v>
      </c>
      <c r="U450" s="38">
        <v>5.0</v>
      </c>
      <c r="V450" s="38">
        <v>1.081522768E9</v>
      </c>
      <c r="W450" s="38">
        <v>1.081540838E9</v>
      </c>
      <c r="X450" s="18" t="s">
        <v>2199</v>
      </c>
      <c r="Y450" s="18" t="s">
        <v>2200</v>
      </c>
      <c r="Z450" s="38">
        <v>411003.27</v>
      </c>
      <c r="AA450" s="38">
        <v>411003.27</v>
      </c>
      <c r="AB450" s="38">
        <v>137001.09</v>
      </c>
      <c r="AC450" s="38">
        <v>1242.5</v>
      </c>
      <c r="AD450" s="38">
        <v>0.0</v>
      </c>
      <c r="AE450" s="38">
        <v>0.0</v>
      </c>
      <c r="AF450" s="38">
        <v>0.0</v>
      </c>
      <c r="AG450" s="38">
        <v>0.0</v>
      </c>
      <c r="AH450" s="38">
        <v>0.0</v>
      </c>
      <c r="AI450" s="38">
        <v>411003.27</v>
      </c>
      <c r="AJ450" s="38">
        <v>411004.08</v>
      </c>
      <c r="AK450" s="38">
        <v>1.0</v>
      </c>
      <c r="AL450" s="38">
        <v>376.2</v>
      </c>
      <c r="AM450" s="38">
        <v>0.0</v>
      </c>
      <c r="AN450" s="34" t="s">
        <v>62</v>
      </c>
      <c r="AO450" s="34" t="s">
        <v>62</v>
      </c>
      <c r="AP450" s="34" t="s">
        <v>62</v>
      </c>
      <c r="AQ450" s="34" t="s">
        <v>62</v>
      </c>
      <c r="AR450" s="38">
        <v>0.0</v>
      </c>
      <c r="AS450" s="38" t="s">
        <v>2633</v>
      </c>
      <c r="AT450" s="35" t="s">
        <v>2202</v>
      </c>
      <c r="AU450" s="39" t="s">
        <v>2254</v>
      </c>
      <c r="AV450" s="40">
        <v>46170.0</v>
      </c>
    </row>
    <row r="451">
      <c r="A451" s="38">
        <v>235.0</v>
      </c>
      <c r="B451" s="38">
        <v>234.0</v>
      </c>
      <c r="C451" s="38">
        <v>234.0</v>
      </c>
      <c r="D451" s="38">
        <v>9.0235105E7</v>
      </c>
      <c r="E451" s="38">
        <v>9.0235105E7</v>
      </c>
      <c r="F451" s="18" t="s">
        <v>1240</v>
      </c>
      <c r="G451" s="18" t="s">
        <v>1241</v>
      </c>
      <c r="H451" s="18" t="s">
        <v>2634</v>
      </c>
      <c r="I451" s="18" t="s">
        <v>931</v>
      </c>
      <c r="J451" s="18" t="s">
        <v>2205</v>
      </c>
      <c r="K451" s="18" t="s">
        <v>2205</v>
      </c>
      <c r="L451" s="18" t="s">
        <v>52</v>
      </c>
      <c r="M451" s="18" t="s">
        <v>89</v>
      </c>
      <c r="N451" s="18" t="s">
        <v>861</v>
      </c>
      <c r="O451" s="18" t="s">
        <v>126</v>
      </c>
      <c r="P451" s="18" t="s">
        <v>56</v>
      </c>
      <c r="Q451" s="18" t="s">
        <v>57</v>
      </c>
      <c r="R451" s="18" t="s">
        <v>143</v>
      </c>
      <c r="S451" s="18" t="s">
        <v>59</v>
      </c>
      <c r="T451" s="38">
        <v>2026.0</v>
      </c>
      <c r="U451" s="38">
        <v>5.0</v>
      </c>
      <c r="V451" s="38">
        <v>1.081522771E9</v>
      </c>
      <c r="W451" s="38">
        <v>1.081540841E9</v>
      </c>
      <c r="X451" s="18" t="s">
        <v>2199</v>
      </c>
      <c r="Y451" s="18" t="s">
        <v>2200</v>
      </c>
      <c r="Z451" s="38">
        <v>408293.45</v>
      </c>
      <c r="AA451" s="38">
        <v>408293.45</v>
      </c>
      <c r="AB451" s="38">
        <v>0.0</v>
      </c>
      <c r="AC451" s="38">
        <v>1950.0</v>
      </c>
      <c r="AD451" s="38">
        <v>0.0</v>
      </c>
      <c r="AE451" s="38">
        <v>0.0</v>
      </c>
      <c r="AF451" s="38">
        <v>0.0</v>
      </c>
      <c r="AG451" s="38">
        <v>0.0</v>
      </c>
      <c r="AH451" s="38">
        <v>0.0</v>
      </c>
      <c r="AI451" s="38">
        <v>408293.45</v>
      </c>
      <c r="AJ451" s="38">
        <v>408293.45</v>
      </c>
      <c r="AK451" s="38">
        <v>0.0</v>
      </c>
      <c r="AL451" s="38">
        <v>250.8</v>
      </c>
      <c r="AM451" s="38">
        <v>0.0</v>
      </c>
      <c r="AN451" s="34" t="s">
        <v>62</v>
      </c>
      <c r="AO451" s="34" t="s">
        <v>62</v>
      </c>
      <c r="AP451" s="34" t="s">
        <v>62</v>
      </c>
      <c r="AQ451" s="34" t="s">
        <v>62</v>
      </c>
      <c r="AR451" s="38">
        <v>0.0</v>
      </c>
      <c r="AS451" s="38" t="s">
        <v>2635</v>
      </c>
      <c r="AT451" s="35" t="s">
        <v>2202</v>
      </c>
      <c r="AU451" s="39" t="s">
        <v>2254</v>
      </c>
      <c r="AV451" s="40">
        <v>46170.0</v>
      </c>
    </row>
    <row r="452">
      <c r="A452" s="38">
        <v>251.0</v>
      </c>
      <c r="B452" s="38">
        <v>250.0</v>
      </c>
      <c r="C452" s="38">
        <v>250.0</v>
      </c>
      <c r="D452" s="38">
        <v>9.0235269E7</v>
      </c>
      <c r="E452" s="38">
        <v>9.0235269E7</v>
      </c>
      <c r="F452" s="18" t="s">
        <v>1243</v>
      </c>
      <c r="G452" s="18" t="s">
        <v>934</v>
      </c>
      <c r="H452" s="18" t="s">
        <v>2636</v>
      </c>
      <c r="I452" s="18" t="s">
        <v>931</v>
      </c>
      <c r="J452" s="18" t="s">
        <v>982</v>
      </c>
      <c r="K452" s="18" t="s">
        <v>982</v>
      </c>
      <c r="L452" s="18" t="s">
        <v>52</v>
      </c>
      <c r="M452" s="18" t="s">
        <v>89</v>
      </c>
      <c r="N452" s="18" t="s">
        <v>861</v>
      </c>
      <c r="O452" s="18" t="s">
        <v>126</v>
      </c>
      <c r="P452" s="18" t="s">
        <v>131</v>
      </c>
      <c r="Q452" s="18" t="s">
        <v>363</v>
      </c>
      <c r="R452" s="18" t="s">
        <v>133</v>
      </c>
      <c r="S452" s="18" t="s">
        <v>59</v>
      </c>
      <c r="T452" s="38">
        <v>2026.0</v>
      </c>
      <c r="U452" s="38">
        <v>5.0</v>
      </c>
      <c r="V452" s="38">
        <v>1.081522775E9</v>
      </c>
      <c r="W452" s="38">
        <v>1.081540845E9</v>
      </c>
      <c r="X452" s="18" t="s">
        <v>2199</v>
      </c>
      <c r="Y452" s="18" t="s">
        <v>2200</v>
      </c>
      <c r="Z452" s="38">
        <v>76141.5</v>
      </c>
      <c r="AA452" s="38">
        <v>76141.5</v>
      </c>
      <c r="AB452" s="38">
        <v>25380.5</v>
      </c>
      <c r="AC452" s="38">
        <v>0.0</v>
      </c>
      <c r="AD452" s="38">
        <v>0.0</v>
      </c>
      <c r="AE452" s="38">
        <v>0.0</v>
      </c>
      <c r="AF452" s="38">
        <v>0.0</v>
      </c>
      <c r="AG452" s="38">
        <v>0.0</v>
      </c>
      <c r="AH452" s="38">
        <v>0.0</v>
      </c>
      <c r="AI452" s="38">
        <v>76141.5</v>
      </c>
      <c r="AJ452" s="38">
        <v>76141.5</v>
      </c>
      <c r="AK452" s="38">
        <v>0.0</v>
      </c>
      <c r="AL452" s="38">
        <v>376.2</v>
      </c>
      <c r="AM452" s="38">
        <v>0.0</v>
      </c>
      <c r="AN452" s="34" t="s">
        <v>62</v>
      </c>
      <c r="AO452" s="34" t="s">
        <v>62</v>
      </c>
      <c r="AP452" s="34" t="s">
        <v>62</v>
      </c>
      <c r="AQ452" s="34" t="s">
        <v>62</v>
      </c>
      <c r="AR452" s="38">
        <v>0.0</v>
      </c>
      <c r="AS452" s="38" t="s">
        <v>2637</v>
      </c>
      <c r="AT452" s="35" t="s">
        <v>2275</v>
      </c>
      <c r="AU452" s="39" t="s">
        <v>2326</v>
      </c>
      <c r="AV452" s="40">
        <v>46163.0</v>
      </c>
    </row>
    <row r="453">
      <c r="A453" s="38">
        <v>255.0</v>
      </c>
      <c r="B453" s="38">
        <v>254.0</v>
      </c>
      <c r="C453" s="38">
        <v>254.0</v>
      </c>
      <c r="D453" s="38">
        <v>9.0235273E7</v>
      </c>
      <c r="E453" s="38">
        <v>9.0235273E7</v>
      </c>
      <c r="F453" s="38">
        <v>8.30087661E8</v>
      </c>
      <c r="G453" s="18" t="s">
        <v>934</v>
      </c>
      <c r="H453" s="18" t="s">
        <v>2638</v>
      </c>
      <c r="I453" s="18" t="s">
        <v>931</v>
      </c>
      <c r="J453" s="18" t="s">
        <v>982</v>
      </c>
      <c r="K453" s="18" t="s">
        <v>982</v>
      </c>
      <c r="L453" s="18" t="s">
        <v>52</v>
      </c>
      <c r="M453" s="18" t="s">
        <v>89</v>
      </c>
      <c r="N453" s="18" t="s">
        <v>861</v>
      </c>
      <c r="O453" s="18" t="s">
        <v>126</v>
      </c>
      <c r="P453" s="18" t="s">
        <v>131</v>
      </c>
      <c r="Q453" s="18" t="s">
        <v>363</v>
      </c>
      <c r="R453" s="18" t="s">
        <v>133</v>
      </c>
      <c r="S453" s="18" t="s">
        <v>59</v>
      </c>
      <c r="T453" s="38">
        <v>2026.0</v>
      </c>
      <c r="U453" s="38">
        <v>5.0</v>
      </c>
      <c r="V453" s="38">
        <v>1.081522779E9</v>
      </c>
      <c r="W453" s="38">
        <v>1.081540849E9</v>
      </c>
      <c r="X453" s="18" t="s">
        <v>2199</v>
      </c>
      <c r="Y453" s="18" t="s">
        <v>2200</v>
      </c>
      <c r="Z453" s="38">
        <v>77082.02</v>
      </c>
      <c r="AA453" s="38">
        <v>77082.02</v>
      </c>
      <c r="AB453" s="38">
        <v>25380.5</v>
      </c>
      <c r="AC453" s="38">
        <v>0.0</v>
      </c>
      <c r="AD453" s="38">
        <v>940.52</v>
      </c>
      <c r="AE453" s="38">
        <v>0.0</v>
      </c>
      <c r="AF453" s="38">
        <v>0.0</v>
      </c>
      <c r="AG453" s="38">
        <v>0.0</v>
      </c>
      <c r="AH453" s="38">
        <v>0.0</v>
      </c>
      <c r="AI453" s="38">
        <v>77082.02</v>
      </c>
      <c r="AJ453" s="38">
        <v>228105.59</v>
      </c>
      <c r="AK453" s="38">
        <v>2.0</v>
      </c>
      <c r="AL453" s="38">
        <v>376.2</v>
      </c>
      <c r="AM453" s="38">
        <v>0.0</v>
      </c>
      <c r="AN453" s="34" t="s">
        <v>62</v>
      </c>
      <c r="AO453" s="34" t="s">
        <v>62</v>
      </c>
      <c r="AP453" s="34" t="s">
        <v>62</v>
      </c>
      <c r="AQ453" s="34" t="s">
        <v>62</v>
      </c>
      <c r="AR453" s="38">
        <v>0.0</v>
      </c>
      <c r="AS453" s="38" t="s">
        <v>2639</v>
      </c>
      <c r="AT453" s="35" t="s">
        <v>2275</v>
      </c>
      <c r="AU453" s="39" t="s">
        <v>2326</v>
      </c>
      <c r="AV453" s="40">
        <v>46163.0</v>
      </c>
    </row>
    <row r="454">
      <c r="A454" s="38">
        <v>259.0</v>
      </c>
      <c r="B454" s="38">
        <v>258.0</v>
      </c>
      <c r="C454" s="38">
        <v>258.0</v>
      </c>
      <c r="D454" s="38">
        <v>9.0235277E7</v>
      </c>
      <c r="E454" s="38">
        <v>9.0235277E7</v>
      </c>
      <c r="F454" s="38">
        <v>6.0306507E7</v>
      </c>
      <c r="G454" s="18" t="s">
        <v>934</v>
      </c>
      <c r="H454" s="18" t="s">
        <v>2640</v>
      </c>
      <c r="I454" s="18" t="s">
        <v>931</v>
      </c>
      <c r="J454" s="18" t="s">
        <v>982</v>
      </c>
      <c r="K454" s="18" t="s">
        <v>982</v>
      </c>
      <c r="L454" s="18" t="s">
        <v>52</v>
      </c>
      <c r="M454" s="18" t="s">
        <v>89</v>
      </c>
      <c r="N454" s="18" t="s">
        <v>861</v>
      </c>
      <c r="O454" s="18" t="s">
        <v>126</v>
      </c>
      <c r="P454" s="18" t="s">
        <v>218</v>
      </c>
      <c r="Q454" s="18" t="s">
        <v>938</v>
      </c>
      <c r="R454" s="18" t="s">
        <v>133</v>
      </c>
      <c r="S454" s="18" t="s">
        <v>59</v>
      </c>
      <c r="T454" s="38">
        <v>2026.0</v>
      </c>
      <c r="U454" s="38">
        <v>5.0</v>
      </c>
      <c r="V454" s="38">
        <v>1.081522783E9</v>
      </c>
      <c r="W454" s="38">
        <v>1.081540853E9</v>
      </c>
      <c r="X454" s="18" t="s">
        <v>2199</v>
      </c>
      <c r="Y454" s="18" t="s">
        <v>2200</v>
      </c>
      <c r="Z454" s="38">
        <v>53651.0</v>
      </c>
      <c r="AA454" s="38">
        <v>53651.0</v>
      </c>
      <c r="AB454" s="38">
        <v>0.0</v>
      </c>
      <c r="AC454" s="38">
        <v>0.0</v>
      </c>
      <c r="AD454" s="38">
        <v>0.0</v>
      </c>
      <c r="AE454" s="38">
        <v>0.0</v>
      </c>
      <c r="AF454" s="38">
        <v>0.0</v>
      </c>
      <c r="AG454" s="38">
        <v>0.0</v>
      </c>
      <c r="AH454" s="38">
        <v>0.0</v>
      </c>
      <c r="AI454" s="38">
        <v>53651.0</v>
      </c>
      <c r="AJ454" s="38">
        <v>53651.0</v>
      </c>
      <c r="AK454" s="38">
        <v>0.0</v>
      </c>
      <c r="AL454" s="38">
        <v>250.8</v>
      </c>
      <c r="AM454" s="38">
        <v>0.0</v>
      </c>
      <c r="AN454" s="34" t="s">
        <v>62</v>
      </c>
      <c r="AO454" s="34" t="s">
        <v>62</v>
      </c>
      <c r="AP454" s="34" t="s">
        <v>62</v>
      </c>
      <c r="AQ454" s="34" t="s">
        <v>62</v>
      </c>
      <c r="AR454" s="38">
        <v>0.0</v>
      </c>
      <c r="AS454" s="38" t="s">
        <v>2641</v>
      </c>
      <c r="AT454" s="35" t="s">
        <v>2275</v>
      </c>
      <c r="AU454" s="39" t="s">
        <v>2326</v>
      </c>
      <c r="AV454" s="40">
        <v>46163.0</v>
      </c>
    </row>
    <row r="455">
      <c r="A455" s="38">
        <v>263.0</v>
      </c>
      <c r="B455" s="38">
        <v>262.0</v>
      </c>
      <c r="C455" s="38">
        <v>262.0</v>
      </c>
      <c r="D455" s="38">
        <v>9.0235282E7</v>
      </c>
      <c r="E455" s="38">
        <v>9.0235282E7</v>
      </c>
      <c r="F455" s="38">
        <v>9.0235282E7</v>
      </c>
      <c r="G455" s="18" t="s">
        <v>934</v>
      </c>
      <c r="H455" s="18" t="s">
        <v>2642</v>
      </c>
      <c r="I455" s="18" t="s">
        <v>931</v>
      </c>
      <c r="J455" s="18" t="s">
        <v>982</v>
      </c>
      <c r="K455" s="18" t="s">
        <v>982</v>
      </c>
      <c r="L455" s="18" t="s">
        <v>52</v>
      </c>
      <c r="M455" s="18" t="s">
        <v>89</v>
      </c>
      <c r="N455" s="18" t="s">
        <v>861</v>
      </c>
      <c r="O455" s="18" t="s">
        <v>126</v>
      </c>
      <c r="P455" s="18" t="s">
        <v>218</v>
      </c>
      <c r="Q455" s="18" t="s">
        <v>938</v>
      </c>
      <c r="R455" s="18" t="s">
        <v>133</v>
      </c>
      <c r="S455" s="18" t="s">
        <v>59</v>
      </c>
      <c r="T455" s="38">
        <v>2026.0</v>
      </c>
      <c r="U455" s="38">
        <v>5.0</v>
      </c>
      <c r="V455" s="38">
        <v>1.081522788E9</v>
      </c>
      <c r="W455" s="38">
        <v>1.081540858E9</v>
      </c>
      <c r="X455" s="18" t="s">
        <v>2199</v>
      </c>
      <c r="Y455" s="18" t="s">
        <v>2200</v>
      </c>
      <c r="Z455" s="38">
        <v>53651.0</v>
      </c>
      <c r="AA455" s="38">
        <v>53651.0</v>
      </c>
      <c r="AB455" s="38">
        <v>0.0</v>
      </c>
      <c r="AC455" s="38">
        <v>0.0</v>
      </c>
      <c r="AD455" s="38">
        <v>0.0</v>
      </c>
      <c r="AE455" s="38">
        <v>0.0</v>
      </c>
      <c r="AF455" s="38">
        <v>0.0</v>
      </c>
      <c r="AG455" s="38">
        <v>0.0</v>
      </c>
      <c r="AH455" s="38">
        <v>0.0</v>
      </c>
      <c r="AI455" s="38">
        <v>53651.0</v>
      </c>
      <c r="AJ455" s="38">
        <v>53651.0</v>
      </c>
      <c r="AK455" s="38">
        <v>0.0</v>
      </c>
      <c r="AL455" s="38">
        <v>250.8</v>
      </c>
      <c r="AM455" s="38">
        <v>0.0</v>
      </c>
      <c r="AN455" s="34" t="s">
        <v>62</v>
      </c>
      <c r="AO455" s="34" t="s">
        <v>62</v>
      </c>
      <c r="AP455" s="34" t="s">
        <v>62</v>
      </c>
      <c r="AQ455" s="34" t="s">
        <v>62</v>
      </c>
      <c r="AR455" s="38">
        <v>0.0</v>
      </c>
      <c r="AS455" s="38" t="e">
        <v>#ERROR!</v>
      </c>
      <c r="AT455" s="35" t="s">
        <v>2275</v>
      </c>
      <c r="AU455" s="39" t="s">
        <v>2326</v>
      </c>
      <c r="AV455" s="40">
        <v>46163.0</v>
      </c>
    </row>
    <row r="456">
      <c r="A456" s="38">
        <v>267.0</v>
      </c>
      <c r="B456" s="38">
        <v>266.0</v>
      </c>
      <c r="C456" s="38">
        <v>266.0</v>
      </c>
      <c r="D456" s="38">
        <v>9.0235539E7</v>
      </c>
      <c r="E456" s="38">
        <v>9.0235539E7</v>
      </c>
      <c r="F456" s="38">
        <v>8.05011262E8</v>
      </c>
      <c r="G456" s="18" t="s">
        <v>1248</v>
      </c>
      <c r="H456" s="18" t="s">
        <v>2643</v>
      </c>
      <c r="I456" s="18" t="s">
        <v>942</v>
      </c>
      <c r="J456" s="18" t="s">
        <v>2205</v>
      </c>
      <c r="K456" s="18" t="s">
        <v>2205</v>
      </c>
      <c r="L456" s="18" t="s">
        <v>52</v>
      </c>
      <c r="M456" s="18" t="s">
        <v>89</v>
      </c>
      <c r="N456" s="18" t="s">
        <v>861</v>
      </c>
      <c r="O456" s="18" t="s">
        <v>126</v>
      </c>
      <c r="P456" s="18" t="s">
        <v>56</v>
      </c>
      <c r="Q456" s="18" t="s">
        <v>90</v>
      </c>
      <c r="R456" s="18" t="s">
        <v>143</v>
      </c>
      <c r="S456" s="18" t="s">
        <v>59</v>
      </c>
      <c r="T456" s="38">
        <v>2026.0</v>
      </c>
      <c r="U456" s="38">
        <v>5.0</v>
      </c>
      <c r="V456" s="38">
        <v>1.08152279E9</v>
      </c>
      <c r="W456" s="38">
        <v>1.08154086E9</v>
      </c>
      <c r="X456" s="18" t="s">
        <v>2199</v>
      </c>
      <c r="Y456" s="18" t="s">
        <v>2200</v>
      </c>
      <c r="Z456" s="38">
        <v>723479.62</v>
      </c>
      <c r="AA456" s="38">
        <v>723479.62</v>
      </c>
      <c r="AB456" s="38">
        <v>241159.87</v>
      </c>
      <c r="AC456" s="38">
        <v>2340.0</v>
      </c>
      <c r="AD456" s="38">
        <v>0.01</v>
      </c>
      <c r="AE456" s="38">
        <v>0.0</v>
      </c>
      <c r="AF456" s="38">
        <v>0.0</v>
      </c>
      <c r="AG456" s="38">
        <v>0.0</v>
      </c>
      <c r="AH456" s="38">
        <v>0.0</v>
      </c>
      <c r="AI456" s="38">
        <v>723479.62</v>
      </c>
      <c r="AJ456" s="38">
        <v>1430837.02</v>
      </c>
      <c r="AK456" s="38">
        <v>2.0</v>
      </c>
      <c r="AL456" s="38">
        <v>376.2</v>
      </c>
      <c r="AM456" s="38">
        <v>0.0</v>
      </c>
      <c r="AN456" s="34" t="s">
        <v>62</v>
      </c>
      <c r="AO456" s="34" t="s">
        <v>62</v>
      </c>
      <c r="AP456" s="34" t="s">
        <v>62</v>
      </c>
      <c r="AQ456" s="34" t="s">
        <v>62</v>
      </c>
      <c r="AR456" s="38">
        <v>0.0</v>
      </c>
      <c r="AS456" s="38" t="s">
        <v>2644</v>
      </c>
      <c r="AT456" s="35" t="s">
        <v>2202</v>
      </c>
      <c r="AU456" s="39" t="s">
        <v>2254</v>
      </c>
      <c r="AV456" s="40">
        <v>46170.0</v>
      </c>
    </row>
    <row r="457">
      <c r="A457" s="38">
        <v>271.0</v>
      </c>
      <c r="B457" s="38">
        <v>270.0</v>
      </c>
      <c r="C457" s="38">
        <v>270.0</v>
      </c>
      <c r="D457" s="38">
        <v>9.0236215E7</v>
      </c>
      <c r="E457" s="38">
        <v>9.0236215E7</v>
      </c>
      <c r="F457" s="38">
        <v>9.0236215E7</v>
      </c>
      <c r="G457" s="18" t="s">
        <v>941</v>
      </c>
      <c r="H457" s="18" t="s">
        <v>2645</v>
      </c>
      <c r="I457" s="18" t="s">
        <v>942</v>
      </c>
      <c r="J457" s="18" t="s">
        <v>982</v>
      </c>
      <c r="K457" s="18" t="s">
        <v>941</v>
      </c>
      <c r="L457" s="18" t="s">
        <v>52</v>
      </c>
      <c r="M457" s="18" t="s">
        <v>53</v>
      </c>
      <c r="N457" s="18" t="s">
        <v>861</v>
      </c>
      <c r="O457" s="18" t="s">
        <v>126</v>
      </c>
      <c r="P457" s="18" t="s">
        <v>218</v>
      </c>
      <c r="Q457" s="18" t="s">
        <v>943</v>
      </c>
      <c r="R457" s="18" t="s">
        <v>133</v>
      </c>
      <c r="S457" s="18" t="s">
        <v>59</v>
      </c>
      <c r="T457" s="38">
        <v>2026.0</v>
      </c>
      <c r="U457" s="38">
        <v>5.0</v>
      </c>
      <c r="V457" s="38">
        <v>1.081522793E9</v>
      </c>
      <c r="W457" s="38">
        <v>1.081540863E9</v>
      </c>
      <c r="X457" s="18" t="s">
        <v>2199</v>
      </c>
      <c r="Y457" s="18" t="s">
        <v>2200</v>
      </c>
      <c r="Z457" s="38">
        <v>85584.01</v>
      </c>
      <c r="AA457" s="38">
        <v>85584.01</v>
      </c>
      <c r="AB457" s="38">
        <v>28528.0</v>
      </c>
      <c r="AC457" s="38">
        <v>0.0</v>
      </c>
      <c r="AD457" s="38">
        <v>0.01</v>
      </c>
      <c r="AE457" s="38">
        <v>0.0</v>
      </c>
      <c r="AF457" s="38">
        <v>0.0</v>
      </c>
      <c r="AG457" s="38">
        <v>0.0</v>
      </c>
      <c r="AH457" s="38">
        <v>0.0</v>
      </c>
      <c r="AI457" s="38">
        <v>85584.01</v>
      </c>
      <c r="AJ457" s="38">
        <v>170543.64</v>
      </c>
      <c r="AK457" s="38">
        <v>2.0</v>
      </c>
      <c r="AL457" s="38">
        <v>376.2</v>
      </c>
      <c r="AM457" s="38">
        <v>0.0</v>
      </c>
      <c r="AN457" s="34" t="s">
        <v>62</v>
      </c>
      <c r="AO457" s="34" t="s">
        <v>62</v>
      </c>
      <c r="AP457" s="34" t="s">
        <v>62</v>
      </c>
      <c r="AQ457" s="34" t="s">
        <v>62</v>
      </c>
      <c r="AR457" s="38">
        <v>0.0</v>
      </c>
      <c r="AS457" s="38" t="s">
        <v>2646</v>
      </c>
      <c r="AT457" s="35" t="s">
        <v>2275</v>
      </c>
      <c r="AU457" s="39" t="s">
        <v>2475</v>
      </c>
      <c r="AV457" s="40">
        <v>46163.0</v>
      </c>
    </row>
    <row r="458">
      <c r="A458" s="38">
        <v>275.0</v>
      </c>
      <c r="B458" s="38">
        <v>274.0</v>
      </c>
      <c r="C458" s="38">
        <v>274.0</v>
      </c>
      <c r="D458" s="38">
        <v>9.0236219E7</v>
      </c>
      <c r="E458" s="38">
        <v>9.0236219E7</v>
      </c>
      <c r="F458" s="38">
        <v>9.0236219E7</v>
      </c>
      <c r="G458" s="18" t="s">
        <v>941</v>
      </c>
      <c r="H458" s="18" t="s">
        <v>2647</v>
      </c>
      <c r="I458" s="18" t="s">
        <v>942</v>
      </c>
      <c r="J458" s="18" t="s">
        <v>2648</v>
      </c>
      <c r="K458" s="18" t="s">
        <v>941</v>
      </c>
      <c r="L458" s="18" t="s">
        <v>52</v>
      </c>
      <c r="M458" s="18" t="s">
        <v>89</v>
      </c>
      <c r="N458" s="18" t="s">
        <v>861</v>
      </c>
      <c r="O458" s="18" t="s">
        <v>126</v>
      </c>
      <c r="P458" s="18" t="s">
        <v>218</v>
      </c>
      <c r="Q458" s="18" t="s">
        <v>943</v>
      </c>
      <c r="R458" s="18" t="s">
        <v>133</v>
      </c>
      <c r="S458" s="18" t="s">
        <v>59</v>
      </c>
      <c r="T458" s="38">
        <v>2026.0</v>
      </c>
      <c r="U458" s="38">
        <v>5.0</v>
      </c>
      <c r="V458" s="38">
        <v>1.081522799E9</v>
      </c>
      <c r="W458" s="38">
        <v>1.081540869E9</v>
      </c>
      <c r="X458" s="18" t="s">
        <v>2199</v>
      </c>
      <c r="Y458" s="18" t="s">
        <v>2200</v>
      </c>
      <c r="Z458" s="38">
        <v>93656.45</v>
      </c>
      <c r="AA458" s="38">
        <v>93656.45</v>
      </c>
      <c r="AB458" s="38">
        <v>28528.0</v>
      </c>
      <c r="AC458" s="38">
        <v>0.0</v>
      </c>
      <c r="AD458" s="38">
        <v>8072.45</v>
      </c>
      <c r="AE458" s="38">
        <v>0.0</v>
      </c>
      <c r="AF458" s="38">
        <v>0.0</v>
      </c>
      <c r="AG458" s="38">
        <v>0.0</v>
      </c>
      <c r="AH458" s="38">
        <v>0.0</v>
      </c>
      <c r="AI458" s="38">
        <v>93656.45</v>
      </c>
      <c r="AJ458" s="38">
        <v>628539.2</v>
      </c>
      <c r="AK458" s="38">
        <v>7.0</v>
      </c>
      <c r="AL458" s="38">
        <v>376.2</v>
      </c>
      <c r="AM458" s="38">
        <v>0.0</v>
      </c>
      <c r="AN458" s="34" t="s">
        <v>62</v>
      </c>
      <c r="AO458" s="34" t="s">
        <v>62</v>
      </c>
      <c r="AP458" s="34" t="s">
        <v>62</v>
      </c>
      <c r="AQ458" s="34" t="s">
        <v>62</v>
      </c>
      <c r="AR458" s="38">
        <v>0.0</v>
      </c>
      <c r="AS458" s="38" t="s">
        <v>2649</v>
      </c>
      <c r="AT458" s="35" t="s">
        <v>2275</v>
      </c>
      <c r="AU458" s="39" t="s">
        <v>2475</v>
      </c>
      <c r="AV458" s="40">
        <v>46163.0</v>
      </c>
    </row>
    <row r="459">
      <c r="A459" s="38">
        <v>279.0</v>
      </c>
      <c r="B459" s="38">
        <v>278.0</v>
      </c>
      <c r="C459" s="38">
        <v>278.0</v>
      </c>
      <c r="D459" s="38">
        <v>9.0236223E7</v>
      </c>
      <c r="E459" s="38">
        <v>9.0236223E7</v>
      </c>
      <c r="F459" s="38">
        <v>6.0370469E7</v>
      </c>
      <c r="G459" s="18" t="s">
        <v>1252</v>
      </c>
      <c r="H459" s="18" t="s">
        <v>2650</v>
      </c>
      <c r="I459" s="18" t="s">
        <v>942</v>
      </c>
      <c r="J459" s="18" t="s">
        <v>982</v>
      </c>
      <c r="K459" s="18" t="s">
        <v>941</v>
      </c>
      <c r="L459" s="18" t="s">
        <v>52</v>
      </c>
      <c r="M459" s="18" t="s">
        <v>89</v>
      </c>
      <c r="N459" s="18" t="s">
        <v>861</v>
      </c>
      <c r="O459" s="18" t="s">
        <v>126</v>
      </c>
      <c r="P459" s="18" t="s">
        <v>218</v>
      </c>
      <c r="Q459" s="18" t="s">
        <v>943</v>
      </c>
      <c r="R459" s="18" t="s">
        <v>133</v>
      </c>
      <c r="S459" s="18" t="s">
        <v>59</v>
      </c>
      <c r="T459" s="38">
        <v>2026.0</v>
      </c>
      <c r="U459" s="38">
        <v>5.0</v>
      </c>
      <c r="V459" s="38">
        <v>1.081522805E9</v>
      </c>
      <c r="W459" s="38">
        <v>1.081540875E9</v>
      </c>
      <c r="X459" s="18" t="s">
        <v>2199</v>
      </c>
      <c r="Y459" s="18" t="s">
        <v>2200</v>
      </c>
      <c r="Z459" s="38">
        <v>85584.0</v>
      </c>
      <c r="AA459" s="38">
        <v>85584.0</v>
      </c>
      <c r="AB459" s="38">
        <v>28528.0</v>
      </c>
      <c r="AC459" s="38">
        <v>0.0</v>
      </c>
      <c r="AD459" s="38">
        <v>0.0</v>
      </c>
      <c r="AE459" s="38">
        <v>0.0</v>
      </c>
      <c r="AF459" s="38">
        <v>0.0</v>
      </c>
      <c r="AG459" s="38">
        <v>0.0</v>
      </c>
      <c r="AH459" s="38">
        <v>0.0</v>
      </c>
      <c r="AI459" s="38">
        <v>85583.28</v>
      </c>
      <c r="AJ459" s="38">
        <v>85583.28</v>
      </c>
      <c r="AK459" s="38">
        <v>0.0</v>
      </c>
      <c r="AL459" s="38">
        <v>376.2</v>
      </c>
      <c r="AM459" s="38">
        <v>0.0</v>
      </c>
      <c r="AN459" s="34" t="s">
        <v>62</v>
      </c>
      <c r="AO459" s="34" t="s">
        <v>62</v>
      </c>
      <c r="AP459" s="38">
        <v>0.72</v>
      </c>
      <c r="AQ459" s="34" t="s">
        <v>62</v>
      </c>
      <c r="AR459" s="38">
        <v>0.0</v>
      </c>
      <c r="AS459" s="38" t="s">
        <v>2651</v>
      </c>
      <c r="AT459" s="35" t="s">
        <v>2275</v>
      </c>
      <c r="AU459" s="39" t="s">
        <v>2475</v>
      </c>
      <c r="AV459" s="40">
        <v>46163.0</v>
      </c>
    </row>
    <row r="460">
      <c r="A460" s="38">
        <v>283.0</v>
      </c>
      <c r="B460" s="38">
        <v>282.0</v>
      </c>
      <c r="C460" s="38">
        <v>282.0</v>
      </c>
      <c r="D460" s="38">
        <v>9.0236754E7</v>
      </c>
      <c r="E460" s="38">
        <v>9.0236754E7</v>
      </c>
      <c r="F460" s="38">
        <v>8.60009112E8</v>
      </c>
      <c r="G460" s="18" t="s">
        <v>1254</v>
      </c>
      <c r="H460" s="18" t="s">
        <v>2652</v>
      </c>
      <c r="I460" s="18" t="s">
        <v>123</v>
      </c>
      <c r="J460" s="18" t="s">
        <v>2205</v>
      </c>
      <c r="K460" s="18" t="s">
        <v>2205</v>
      </c>
      <c r="L460" s="18" t="s">
        <v>52</v>
      </c>
      <c r="M460" s="18" t="s">
        <v>89</v>
      </c>
      <c r="N460" s="18" t="s">
        <v>861</v>
      </c>
      <c r="O460" s="18" t="s">
        <v>126</v>
      </c>
      <c r="P460" s="18" t="s">
        <v>56</v>
      </c>
      <c r="Q460" s="18" t="s">
        <v>90</v>
      </c>
      <c r="R460" s="18" t="s">
        <v>143</v>
      </c>
      <c r="S460" s="18" t="s">
        <v>59</v>
      </c>
      <c r="T460" s="38">
        <v>2026.0</v>
      </c>
      <c r="U460" s="38">
        <v>5.0</v>
      </c>
      <c r="V460" s="38">
        <v>1.081522809E9</v>
      </c>
      <c r="W460" s="38">
        <v>1.081540879E9</v>
      </c>
      <c r="X460" s="18" t="s">
        <v>2199</v>
      </c>
      <c r="Y460" s="18" t="s">
        <v>2200</v>
      </c>
      <c r="Z460" s="38">
        <v>729885.75</v>
      </c>
      <c r="AA460" s="38">
        <v>729885.75</v>
      </c>
      <c r="AB460" s="38">
        <v>243295.25</v>
      </c>
      <c r="AC460" s="38">
        <v>2362.5</v>
      </c>
      <c r="AD460" s="38">
        <v>0.0</v>
      </c>
      <c r="AE460" s="38">
        <v>0.0</v>
      </c>
      <c r="AF460" s="38">
        <v>0.0</v>
      </c>
      <c r="AG460" s="38">
        <v>0.0</v>
      </c>
      <c r="AH460" s="38">
        <v>0.0</v>
      </c>
      <c r="AI460" s="38">
        <v>729885.75</v>
      </c>
      <c r="AJ460" s="38">
        <v>729885.75</v>
      </c>
      <c r="AK460" s="38">
        <v>0.0</v>
      </c>
      <c r="AL460" s="38">
        <v>376.2</v>
      </c>
      <c r="AM460" s="38">
        <v>0.0</v>
      </c>
      <c r="AN460" s="34" t="s">
        <v>62</v>
      </c>
      <c r="AO460" s="34" t="s">
        <v>62</v>
      </c>
      <c r="AP460" s="34" t="s">
        <v>62</v>
      </c>
      <c r="AQ460" s="34" t="s">
        <v>62</v>
      </c>
      <c r="AR460" s="38">
        <v>0.0</v>
      </c>
      <c r="AS460" s="38" t="s">
        <v>2653</v>
      </c>
      <c r="AT460" s="35" t="s">
        <v>2202</v>
      </c>
      <c r="AU460" s="39" t="s">
        <v>2254</v>
      </c>
      <c r="AV460" s="40">
        <v>46170.0</v>
      </c>
    </row>
    <row r="461">
      <c r="A461" s="38">
        <v>455370.0</v>
      </c>
      <c r="B461" s="38">
        <v>286.0</v>
      </c>
      <c r="C461" s="38">
        <v>286.0</v>
      </c>
      <c r="D461" s="38">
        <v>9.0237085E7</v>
      </c>
      <c r="E461" s="38">
        <v>9.0237085E7</v>
      </c>
      <c r="F461" s="18" t="s">
        <v>148</v>
      </c>
      <c r="G461" s="18" t="s">
        <v>149</v>
      </c>
      <c r="H461" s="18" t="s">
        <v>2296</v>
      </c>
      <c r="I461" s="18" t="s">
        <v>1256</v>
      </c>
      <c r="J461" s="18" t="s">
        <v>2205</v>
      </c>
      <c r="K461" s="18" t="s">
        <v>2611</v>
      </c>
      <c r="L461" s="18" t="s">
        <v>52</v>
      </c>
      <c r="M461" s="18" t="s">
        <v>53</v>
      </c>
      <c r="N461" s="18" t="s">
        <v>861</v>
      </c>
      <c r="O461" s="18" t="s">
        <v>126</v>
      </c>
      <c r="P461" s="18" t="s">
        <v>56</v>
      </c>
      <c r="Q461" s="18" t="s">
        <v>57</v>
      </c>
      <c r="R461" s="18" t="s">
        <v>143</v>
      </c>
      <c r="S461" s="18" t="s">
        <v>59</v>
      </c>
      <c r="T461" s="38">
        <v>2026.0</v>
      </c>
      <c r="U461" s="38">
        <v>5.0</v>
      </c>
      <c r="V461" s="38">
        <v>1.081522811E9</v>
      </c>
      <c r="W461" s="38">
        <v>1.081540881E9</v>
      </c>
      <c r="X461" s="18" t="s">
        <v>2199</v>
      </c>
      <c r="Y461" s="18" t="s">
        <v>2200</v>
      </c>
      <c r="Z461" s="38">
        <v>334267.16</v>
      </c>
      <c r="AA461" s="38">
        <v>334267.16</v>
      </c>
      <c r="AB461" s="38">
        <v>0.0</v>
      </c>
      <c r="AC461" s="38">
        <v>1560.0</v>
      </c>
      <c r="AD461" s="38">
        <v>0.0</v>
      </c>
      <c r="AE461" s="38">
        <v>0.0</v>
      </c>
      <c r="AF461" s="38">
        <v>0.0</v>
      </c>
      <c r="AG461" s="38">
        <v>0.0</v>
      </c>
      <c r="AH461" s="38">
        <v>0.0</v>
      </c>
      <c r="AI461" s="38">
        <v>334267.16</v>
      </c>
      <c r="AJ461" s="38">
        <v>1304435.88</v>
      </c>
      <c r="AK461" s="38">
        <v>3.0</v>
      </c>
      <c r="AL461" s="38">
        <v>250.8</v>
      </c>
      <c r="AM461" s="38">
        <v>0.0</v>
      </c>
      <c r="AN461" s="34" t="s">
        <v>62</v>
      </c>
      <c r="AO461" s="34" t="s">
        <v>62</v>
      </c>
      <c r="AP461" s="34" t="s">
        <v>62</v>
      </c>
      <c r="AQ461" s="34" t="s">
        <v>62</v>
      </c>
      <c r="AR461" s="38">
        <v>0.0</v>
      </c>
      <c r="AS461" s="38" t="s">
        <v>2293</v>
      </c>
      <c r="AT461" s="35" t="s">
        <v>2294</v>
      </c>
      <c r="AU461" s="39" t="s">
        <v>2295</v>
      </c>
      <c r="AV461" s="40">
        <v>46164.0</v>
      </c>
    </row>
    <row r="462">
      <c r="A462" s="38">
        <v>295.0</v>
      </c>
      <c r="B462" s="38">
        <v>294.0</v>
      </c>
      <c r="C462" s="38">
        <v>294.0</v>
      </c>
      <c r="D462" s="38">
        <v>9.0239386E7</v>
      </c>
      <c r="E462" s="38">
        <v>9.0239386E7</v>
      </c>
      <c r="F462" s="18" t="s">
        <v>1258</v>
      </c>
      <c r="G462" s="18" t="s">
        <v>1259</v>
      </c>
      <c r="H462" s="18" t="s">
        <v>2654</v>
      </c>
      <c r="I462" s="18" t="s">
        <v>343</v>
      </c>
      <c r="J462" s="18" t="s">
        <v>2205</v>
      </c>
      <c r="K462" s="18" t="s">
        <v>2205</v>
      </c>
      <c r="L462" s="18" t="s">
        <v>52</v>
      </c>
      <c r="M462" s="18" t="s">
        <v>89</v>
      </c>
      <c r="N462" s="18" t="s">
        <v>861</v>
      </c>
      <c r="O462" s="18" t="s">
        <v>126</v>
      </c>
      <c r="P462" s="18" t="s">
        <v>56</v>
      </c>
      <c r="Q462" s="18" t="s">
        <v>57</v>
      </c>
      <c r="R462" s="18" t="s">
        <v>143</v>
      </c>
      <c r="S462" s="18" t="s">
        <v>59</v>
      </c>
      <c r="T462" s="38">
        <v>2026.0</v>
      </c>
      <c r="U462" s="38">
        <v>5.0</v>
      </c>
      <c r="V462" s="38">
        <v>1.081522814E9</v>
      </c>
      <c r="W462" s="38">
        <v>1.081540884E9</v>
      </c>
      <c r="X462" s="18" t="s">
        <v>2199</v>
      </c>
      <c r="Y462" s="18" t="s">
        <v>2200</v>
      </c>
      <c r="Z462" s="38">
        <v>226074.89</v>
      </c>
      <c r="AA462" s="38">
        <v>226074.89</v>
      </c>
      <c r="AB462" s="38">
        <v>0.0</v>
      </c>
      <c r="AC462" s="38">
        <v>990.0</v>
      </c>
      <c r="AD462" s="38">
        <v>0.0</v>
      </c>
      <c r="AE462" s="38">
        <v>0.0</v>
      </c>
      <c r="AF462" s="38">
        <v>0.0</v>
      </c>
      <c r="AG462" s="38">
        <v>0.0</v>
      </c>
      <c r="AH462" s="38">
        <v>0.0</v>
      </c>
      <c r="AI462" s="38">
        <v>226074.89</v>
      </c>
      <c r="AJ462" s="38">
        <v>226074.89</v>
      </c>
      <c r="AK462" s="38">
        <v>0.0</v>
      </c>
      <c r="AL462" s="38">
        <v>250.8</v>
      </c>
      <c r="AM462" s="38">
        <v>0.0</v>
      </c>
      <c r="AN462" s="34" t="s">
        <v>62</v>
      </c>
      <c r="AO462" s="34" t="s">
        <v>62</v>
      </c>
      <c r="AP462" s="34" t="s">
        <v>62</v>
      </c>
      <c r="AQ462" s="34" t="s">
        <v>62</v>
      </c>
      <c r="AR462" s="38">
        <v>0.0</v>
      </c>
      <c r="AS462" s="38" t="s">
        <v>2655</v>
      </c>
      <c r="AT462" s="35" t="s">
        <v>2202</v>
      </c>
      <c r="AU462" s="39" t="s">
        <v>2254</v>
      </c>
      <c r="AV462" s="40">
        <v>46170.0</v>
      </c>
    </row>
    <row r="463">
      <c r="A463" s="38">
        <v>307.0</v>
      </c>
      <c r="B463" s="38">
        <v>306.0</v>
      </c>
      <c r="C463" s="38">
        <v>306.0</v>
      </c>
      <c r="D463" s="38">
        <v>9.0239865E7</v>
      </c>
      <c r="E463" s="38">
        <v>9.0239865E7</v>
      </c>
      <c r="F463" s="38">
        <v>8.00254697E8</v>
      </c>
      <c r="G463" s="18" t="s">
        <v>1261</v>
      </c>
      <c r="H463" s="18" t="s">
        <v>2656</v>
      </c>
      <c r="I463" s="18" t="s">
        <v>343</v>
      </c>
      <c r="J463" s="18" t="s">
        <v>2205</v>
      </c>
      <c r="K463" s="18" t="s">
        <v>2205</v>
      </c>
      <c r="L463" s="18" t="s">
        <v>52</v>
      </c>
      <c r="M463" s="18" t="s">
        <v>89</v>
      </c>
      <c r="N463" s="18" t="s">
        <v>861</v>
      </c>
      <c r="O463" s="18" t="s">
        <v>126</v>
      </c>
      <c r="P463" s="18" t="s">
        <v>56</v>
      </c>
      <c r="Q463" s="18" t="s">
        <v>90</v>
      </c>
      <c r="R463" s="18" t="s">
        <v>143</v>
      </c>
      <c r="S463" s="18" t="s">
        <v>59</v>
      </c>
      <c r="T463" s="38">
        <v>2026.0</v>
      </c>
      <c r="U463" s="38">
        <v>5.0</v>
      </c>
      <c r="V463" s="38">
        <v>1.081522819E9</v>
      </c>
      <c r="W463" s="38">
        <v>1.081540889E9</v>
      </c>
      <c r="X463" s="18" t="s">
        <v>2199</v>
      </c>
      <c r="Y463" s="18" t="s">
        <v>2200</v>
      </c>
      <c r="Z463" s="38">
        <v>252168.68</v>
      </c>
      <c r="AA463" s="38">
        <v>252168.68</v>
      </c>
      <c r="AB463" s="38">
        <v>83854.01</v>
      </c>
      <c r="AC463" s="38">
        <v>682.5</v>
      </c>
      <c r="AD463" s="38">
        <v>606.65</v>
      </c>
      <c r="AE463" s="38">
        <v>0.0</v>
      </c>
      <c r="AF463" s="38">
        <v>0.0</v>
      </c>
      <c r="AG463" s="38">
        <v>0.0</v>
      </c>
      <c r="AH463" s="38">
        <v>0.0</v>
      </c>
      <c r="AI463" s="38">
        <v>252168.68</v>
      </c>
      <c r="AJ463" s="38">
        <v>483128.88</v>
      </c>
      <c r="AK463" s="38">
        <v>1.0</v>
      </c>
      <c r="AL463" s="38">
        <v>376.2</v>
      </c>
      <c r="AM463" s="38">
        <v>0.0</v>
      </c>
      <c r="AN463" s="34" t="s">
        <v>62</v>
      </c>
      <c r="AO463" s="34" t="s">
        <v>62</v>
      </c>
      <c r="AP463" s="34" t="s">
        <v>62</v>
      </c>
      <c r="AQ463" s="34" t="s">
        <v>62</v>
      </c>
      <c r="AR463" s="38">
        <v>0.0</v>
      </c>
      <c r="AS463" s="38" t="s">
        <v>2657</v>
      </c>
      <c r="AT463" s="35" t="s">
        <v>2202</v>
      </c>
      <c r="AU463" s="39" t="s">
        <v>2254</v>
      </c>
      <c r="AV463" s="40">
        <v>46170.0</v>
      </c>
    </row>
    <row r="464">
      <c r="A464" s="38">
        <v>311.0</v>
      </c>
      <c r="B464" s="38">
        <v>310.0</v>
      </c>
      <c r="C464" s="38">
        <v>310.0</v>
      </c>
      <c r="D464" s="38">
        <v>9.024015E7</v>
      </c>
      <c r="E464" s="38">
        <v>9.024015E7</v>
      </c>
      <c r="F464" s="18" t="s">
        <v>1263</v>
      </c>
      <c r="G464" s="18" t="s">
        <v>1264</v>
      </c>
      <c r="H464" s="18" t="s">
        <v>2658</v>
      </c>
      <c r="I464" s="18" t="s">
        <v>343</v>
      </c>
      <c r="J464" s="18" t="s">
        <v>2205</v>
      </c>
      <c r="K464" s="18" t="s">
        <v>2205</v>
      </c>
      <c r="L464" s="18" t="s">
        <v>52</v>
      </c>
      <c r="M464" s="18" t="s">
        <v>89</v>
      </c>
      <c r="N464" s="18" t="s">
        <v>861</v>
      </c>
      <c r="O464" s="18" t="s">
        <v>126</v>
      </c>
      <c r="P464" s="18" t="s">
        <v>56</v>
      </c>
      <c r="Q464" s="18" t="s">
        <v>57</v>
      </c>
      <c r="R464" s="18" t="s">
        <v>143</v>
      </c>
      <c r="S464" s="18" t="s">
        <v>59</v>
      </c>
      <c r="T464" s="38">
        <v>2026.0</v>
      </c>
      <c r="U464" s="38">
        <v>5.0</v>
      </c>
      <c r="V464" s="38">
        <v>1.081522823E9</v>
      </c>
      <c r="W464" s="38">
        <v>1.081540893E9</v>
      </c>
      <c r="X464" s="18" t="s">
        <v>2199</v>
      </c>
      <c r="Y464" s="18" t="s">
        <v>2200</v>
      </c>
      <c r="Z464" s="38">
        <v>133067.5</v>
      </c>
      <c r="AA464" s="38">
        <v>133067.5</v>
      </c>
      <c r="AB464" s="38">
        <v>0.0</v>
      </c>
      <c r="AC464" s="38">
        <v>500.0</v>
      </c>
      <c r="AD464" s="38">
        <v>0.0</v>
      </c>
      <c r="AE464" s="38">
        <v>0.0</v>
      </c>
      <c r="AF464" s="38">
        <v>0.0</v>
      </c>
      <c r="AG464" s="38">
        <v>0.0</v>
      </c>
      <c r="AH464" s="38">
        <v>0.0</v>
      </c>
      <c r="AI464" s="38">
        <v>133067.5</v>
      </c>
      <c r="AJ464" s="38">
        <v>133067.5</v>
      </c>
      <c r="AK464" s="38">
        <v>0.0</v>
      </c>
      <c r="AL464" s="38">
        <v>250.8</v>
      </c>
      <c r="AM464" s="38">
        <v>0.0</v>
      </c>
      <c r="AN464" s="34" t="s">
        <v>62</v>
      </c>
      <c r="AO464" s="34" t="s">
        <v>62</v>
      </c>
      <c r="AP464" s="34" t="s">
        <v>62</v>
      </c>
      <c r="AQ464" s="34" t="s">
        <v>62</v>
      </c>
      <c r="AR464" s="38">
        <v>0.0</v>
      </c>
      <c r="AS464" s="38" t="s">
        <v>2659</v>
      </c>
      <c r="AT464" s="35" t="s">
        <v>2202</v>
      </c>
      <c r="AU464" s="39" t="s">
        <v>2254</v>
      </c>
      <c r="AV464" s="40">
        <v>46170.0</v>
      </c>
    </row>
    <row r="465">
      <c r="A465" s="38">
        <v>315.0</v>
      </c>
      <c r="B465" s="38">
        <v>314.0</v>
      </c>
      <c r="C465" s="38">
        <v>314.0</v>
      </c>
      <c r="D465" s="38">
        <v>9.024019E7</v>
      </c>
      <c r="E465" s="38">
        <v>9.024019E7</v>
      </c>
      <c r="F465" s="18" t="s">
        <v>1266</v>
      </c>
      <c r="G465" s="18" t="s">
        <v>1267</v>
      </c>
      <c r="H465" s="18" t="s">
        <v>2660</v>
      </c>
      <c r="I465" s="18" t="s">
        <v>343</v>
      </c>
      <c r="J465" s="18" t="s">
        <v>2205</v>
      </c>
      <c r="K465" s="18" t="s">
        <v>2205</v>
      </c>
      <c r="L465" s="18" t="s">
        <v>52</v>
      </c>
      <c r="M465" s="18" t="s">
        <v>89</v>
      </c>
      <c r="N465" s="18" t="s">
        <v>861</v>
      </c>
      <c r="O465" s="18" t="s">
        <v>126</v>
      </c>
      <c r="P465" s="18" t="s">
        <v>56</v>
      </c>
      <c r="Q465" s="18" t="s">
        <v>57</v>
      </c>
      <c r="R465" s="18" t="s">
        <v>143</v>
      </c>
      <c r="S465" s="18" t="s">
        <v>59</v>
      </c>
      <c r="T465" s="38">
        <v>2026.0</v>
      </c>
      <c r="U465" s="38">
        <v>5.0</v>
      </c>
      <c r="V465" s="38">
        <v>1.081522827E9</v>
      </c>
      <c r="W465" s="38">
        <v>1.081540897E9</v>
      </c>
      <c r="X465" s="18" t="s">
        <v>2199</v>
      </c>
      <c r="Y465" s="18" t="s">
        <v>2200</v>
      </c>
      <c r="Z465" s="38">
        <v>193332.5</v>
      </c>
      <c r="AA465" s="38">
        <v>193332.5</v>
      </c>
      <c r="AB465" s="38">
        <v>0.0</v>
      </c>
      <c r="AC465" s="38">
        <v>817.5</v>
      </c>
      <c r="AD465" s="38">
        <v>0.0</v>
      </c>
      <c r="AE465" s="38">
        <v>0.0</v>
      </c>
      <c r="AF465" s="38">
        <v>0.0</v>
      </c>
      <c r="AG465" s="38">
        <v>0.0</v>
      </c>
      <c r="AH465" s="38">
        <v>0.0</v>
      </c>
      <c r="AI465" s="38">
        <v>193332.5</v>
      </c>
      <c r="AJ465" s="38">
        <v>193332.5</v>
      </c>
      <c r="AK465" s="38">
        <v>0.0</v>
      </c>
      <c r="AL465" s="38">
        <v>250.8</v>
      </c>
      <c r="AM465" s="38">
        <v>0.0</v>
      </c>
      <c r="AN465" s="34" t="s">
        <v>62</v>
      </c>
      <c r="AO465" s="34" t="s">
        <v>62</v>
      </c>
      <c r="AP465" s="34" t="s">
        <v>62</v>
      </c>
      <c r="AQ465" s="34" t="s">
        <v>62</v>
      </c>
      <c r="AR465" s="38">
        <v>0.0</v>
      </c>
      <c r="AS465" s="38" t="s">
        <v>2661</v>
      </c>
      <c r="AT465" s="35" t="s">
        <v>2202</v>
      </c>
      <c r="AU465" s="39" t="s">
        <v>2254</v>
      </c>
      <c r="AV465" s="40">
        <v>46170.0</v>
      </c>
    </row>
    <row r="466">
      <c r="A466" s="38">
        <v>455370.0</v>
      </c>
      <c r="B466" s="38">
        <v>318.0</v>
      </c>
      <c r="C466" s="38">
        <v>318.0</v>
      </c>
      <c r="D466" s="38">
        <v>9.0240359E7</v>
      </c>
      <c r="E466" s="38">
        <v>9.0240359E7</v>
      </c>
      <c r="F466" s="18" t="s">
        <v>148</v>
      </c>
      <c r="G466" s="18" t="s">
        <v>149</v>
      </c>
      <c r="H466" s="18" t="s">
        <v>2296</v>
      </c>
      <c r="I466" s="18" t="s">
        <v>343</v>
      </c>
      <c r="J466" s="18" t="s">
        <v>2205</v>
      </c>
      <c r="K466" s="18" t="s">
        <v>2611</v>
      </c>
      <c r="L466" s="18" t="s">
        <v>52</v>
      </c>
      <c r="M466" s="18" t="s">
        <v>53</v>
      </c>
      <c r="N466" s="18" t="s">
        <v>861</v>
      </c>
      <c r="O466" s="18" t="s">
        <v>126</v>
      </c>
      <c r="P466" s="18" t="s">
        <v>56</v>
      </c>
      <c r="Q466" s="18" t="s">
        <v>57</v>
      </c>
      <c r="R466" s="18" t="s">
        <v>143</v>
      </c>
      <c r="S466" s="18" t="s">
        <v>59</v>
      </c>
      <c r="T466" s="38">
        <v>2026.0</v>
      </c>
      <c r="U466" s="38">
        <v>5.0</v>
      </c>
      <c r="V466" s="38">
        <v>1.081522831E9</v>
      </c>
      <c r="W466" s="38">
        <v>1.081540901E9</v>
      </c>
      <c r="X466" s="18" t="s">
        <v>2199</v>
      </c>
      <c r="Y466" s="18" t="s">
        <v>2200</v>
      </c>
      <c r="Z466" s="38">
        <v>272578.59</v>
      </c>
      <c r="AA466" s="38">
        <v>272578.59</v>
      </c>
      <c r="AB466" s="38">
        <v>0.0</v>
      </c>
      <c r="AC466" s="38">
        <v>1235.0</v>
      </c>
      <c r="AD466" s="38">
        <v>0.0</v>
      </c>
      <c r="AE466" s="38">
        <v>0.0</v>
      </c>
      <c r="AF466" s="38">
        <v>0.0</v>
      </c>
      <c r="AG466" s="38">
        <v>0.0</v>
      </c>
      <c r="AH466" s="38">
        <v>0.0</v>
      </c>
      <c r="AI466" s="38">
        <v>272578.59</v>
      </c>
      <c r="AJ466" s="38">
        <v>701911.75</v>
      </c>
      <c r="AK466" s="38">
        <v>3.0</v>
      </c>
      <c r="AL466" s="38">
        <v>250.8</v>
      </c>
      <c r="AM466" s="38">
        <v>0.0</v>
      </c>
      <c r="AN466" s="34" t="s">
        <v>62</v>
      </c>
      <c r="AO466" s="34" t="s">
        <v>62</v>
      </c>
      <c r="AP466" s="34" t="s">
        <v>62</v>
      </c>
      <c r="AQ466" s="34" t="s">
        <v>62</v>
      </c>
      <c r="AR466" s="38">
        <v>0.0</v>
      </c>
      <c r="AS466" s="38" t="s">
        <v>2293</v>
      </c>
      <c r="AT466" s="35" t="s">
        <v>2294</v>
      </c>
      <c r="AU466" s="39" t="s">
        <v>2295</v>
      </c>
      <c r="AV466" s="40">
        <v>46164.0</v>
      </c>
    </row>
    <row r="467">
      <c r="A467" s="38">
        <v>323.0</v>
      </c>
      <c r="B467" s="38">
        <v>322.0</v>
      </c>
      <c r="C467" s="38">
        <v>322.0</v>
      </c>
      <c r="D467" s="38">
        <v>9.0240662E7</v>
      </c>
      <c r="E467" s="38">
        <v>9.0240662E7</v>
      </c>
      <c r="F467" s="38">
        <v>8.90500893E8</v>
      </c>
      <c r="G467" s="18" t="s">
        <v>1270</v>
      </c>
      <c r="H467" s="18" t="s">
        <v>2662</v>
      </c>
      <c r="I467" s="18" t="s">
        <v>343</v>
      </c>
      <c r="J467" s="18" t="s">
        <v>2205</v>
      </c>
      <c r="K467" s="18" t="s">
        <v>2205</v>
      </c>
      <c r="L467" s="18" t="s">
        <v>52</v>
      </c>
      <c r="M467" s="18" t="s">
        <v>89</v>
      </c>
      <c r="N467" s="18" t="s">
        <v>861</v>
      </c>
      <c r="O467" s="18" t="s">
        <v>126</v>
      </c>
      <c r="P467" s="18" t="s">
        <v>56</v>
      </c>
      <c r="Q467" s="18" t="s">
        <v>90</v>
      </c>
      <c r="R467" s="18" t="s">
        <v>143</v>
      </c>
      <c r="S467" s="18" t="s">
        <v>59</v>
      </c>
      <c r="T467" s="38">
        <v>2026.0</v>
      </c>
      <c r="U467" s="38">
        <v>5.0</v>
      </c>
      <c r="V467" s="38">
        <v>1.081522835E9</v>
      </c>
      <c r="W467" s="38">
        <v>1.081540905E9</v>
      </c>
      <c r="X467" s="18" t="s">
        <v>2199</v>
      </c>
      <c r="Y467" s="18" t="s">
        <v>2200</v>
      </c>
      <c r="Z467" s="38">
        <v>391784.91</v>
      </c>
      <c r="AA467" s="38">
        <v>391784.91</v>
      </c>
      <c r="AB467" s="38">
        <v>130594.98</v>
      </c>
      <c r="AC467" s="38">
        <v>1175.0</v>
      </c>
      <c r="AD467" s="38">
        <v>0.0</v>
      </c>
      <c r="AE467" s="38">
        <v>0.0</v>
      </c>
      <c r="AF467" s="38">
        <v>0.0</v>
      </c>
      <c r="AG467" s="38">
        <v>0.0</v>
      </c>
      <c r="AH467" s="38">
        <v>0.0</v>
      </c>
      <c r="AI467" s="38">
        <v>391784.91</v>
      </c>
      <c r="AJ467" s="38">
        <v>391784.91</v>
      </c>
      <c r="AK467" s="38">
        <v>0.0</v>
      </c>
      <c r="AL467" s="38">
        <v>376.2</v>
      </c>
      <c r="AM467" s="38">
        <v>0.0</v>
      </c>
      <c r="AN467" s="34" t="s">
        <v>62</v>
      </c>
      <c r="AO467" s="34" t="s">
        <v>62</v>
      </c>
      <c r="AP467" s="34" t="s">
        <v>62</v>
      </c>
      <c r="AQ467" s="34" t="s">
        <v>62</v>
      </c>
      <c r="AR467" s="38">
        <v>0.0</v>
      </c>
      <c r="AS467" s="38" t="s">
        <v>2663</v>
      </c>
      <c r="AT467" s="35" t="s">
        <v>2202</v>
      </c>
      <c r="AU467" s="39" t="s">
        <v>2254</v>
      </c>
      <c r="AV467" s="40">
        <v>46170.0</v>
      </c>
    </row>
    <row r="468">
      <c r="A468" s="38">
        <v>327.0</v>
      </c>
      <c r="B468" s="38">
        <v>326.0</v>
      </c>
      <c r="C468" s="38">
        <v>326.0</v>
      </c>
      <c r="D468" s="38">
        <v>9.0240878E7</v>
      </c>
      <c r="E468" s="38">
        <v>9.0240878E7</v>
      </c>
      <c r="F468" s="38">
        <v>9.0240878E7</v>
      </c>
      <c r="G468" s="18" t="s">
        <v>1272</v>
      </c>
      <c r="H468" s="18" t="s">
        <v>2664</v>
      </c>
      <c r="I468" s="18" t="s">
        <v>343</v>
      </c>
      <c r="J468" s="18" t="s">
        <v>982</v>
      </c>
      <c r="K468" s="18" t="s">
        <v>982</v>
      </c>
      <c r="L468" s="18" t="s">
        <v>52</v>
      </c>
      <c r="M468" s="18" t="s">
        <v>89</v>
      </c>
      <c r="N468" s="18" t="s">
        <v>861</v>
      </c>
      <c r="O468" s="18" t="s">
        <v>126</v>
      </c>
      <c r="P468" s="18" t="s">
        <v>131</v>
      </c>
      <c r="Q468" s="18" t="s">
        <v>363</v>
      </c>
      <c r="R468" s="18" t="s">
        <v>133</v>
      </c>
      <c r="S468" s="18" t="s">
        <v>59</v>
      </c>
      <c r="T468" s="38">
        <v>2026.0</v>
      </c>
      <c r="U468" s="38">
        <v>5.0</v>
      </c>
      <c r="V468" s="38">
        <v>1.081522838E9</v>
      </c>
      <c r="W468" s="38">
        <v>1.081540908E9</v>
      </c>
      <c r="X468" s="18" t="s">
        <v>2199</v>
      </c>
      <c r="Y468" s="18" t="s">
        <v>2200</v>
      </c>
      <c r="Z468" s="38">
        <v>76141.5</v>
      </c>
      <c r="AA468" s="38">
        <v>76141.5</v>
      </c>
      <c r="AB468" s="38">
        <v>25380.5</v>
      </c>
      <c r="AC468" s="38">
        <v>0.0</v>
      </c>
      <c r="AD468" s="38">
        <v>0.0</v>
      </c>
      <c r="AE468" s="38">
        <v>0.0</v>
      </c>
      <c r="AF468" s="38">
        <v>0.0</v>
      </c>
      <c r="AG468" s="38">
        <v>0.0</v>
      </c>
      <c r="AH468" s="38">
        <v>0.0</v>
      </c>
      <c r="AI468" s="38">
        <v>76141.5</v>
      </c>
      <c r="AJ468" s="38">
        <v>76141.5</v>
      </c>
      <c r="AK468" s="38">
        <v>0.0</v>
      </c>
      <c r="AL468" s="38">
        <v>376.2</v>
      </c>
      <c r="AM468" s="38">
        <v>0.0</v>
      </c>
      <c r="AN468" s="34" t="s">
        <v>62</v>
      </c>
      <c r="AO468" s="34" t="s">
        <v>62</v>
      </c>
      <c r="AP468" s="34" t="s">
        <v>62</v>
      </c>
      <c r="AQ468" s="34" t="s">
        <v>62</v>
      </c>
      <c r="AR468" s="38">
        <v>0.0</v>
      </c>
      <c r="AS468" s="38" t="s">
        <v>2665</v>
      </c>
      <c r="AT468" s="35" t="s">
        <v>2275</v>
      </c>
      <c r="AU468" s="39" t="s">
        <v>2326</v>
      </c>
      <c r="AV468" s="40">
        <v>46163.0</v>
      </c>
    </row>
    <row r="469">
      <c r="A469" s="38">
        <v>331.0</v>
      </c>
      <c r="B469" s="38">
        <v>330.0</v>
      </c>
      <c r="C469" s="38">
        <v>330.0</v>
      </c>
      <c r="D469" s="38">
        <v>9.0240882E7</v>
      </c>
      <c r="E469" s="38">
        <v>9.0240882E7</v>
      </c>
      <c r="F469" s="38">
        <v>9.0240882E7</v>
      </c>
      <c r="G469" s="18" t="s">
        <v>1274</v>
      </c>
      <c r="H469" s="18" t="s">
        <v>2666</v>
      </c>
      <c r="I469" s="18" t="s">
        <v>343</v>
      </c>
      <c r="J469" s="18" t="s">
        <v>982</v>
      </c>
      <c r="K469" s="18" t="s">
        <v>982</v>
      </c>
      <c r="L469" s="18" t="s">
        <v>52</v>
      </c>
      <c r="M469" s="18" t="s">
        <v>89</v>
      </c>
      <c r="N469" s="18" t="s">
        <v>861</v>
      </c>
      <c r="O469" s="18" t="s">
        <v>126</v>
      </c>
      <c r="P469" s="18" t="s">
        <v>131</v>
      </c>
      <c r="Q469" s="18" t="s">
        <v>363</v>
      </c>
      <c r="R469" s="18" t="s">
        <v>133</v>
      </c>
      <c r="S469" s="18" t="s">
        <v>59</v>
      </c>
      <c r="T469" s="38">
        <v>2026.0</v>
      </c>
      <c r="U469" s="38">
        <v>5.0</v>
      </c>
      <c r="V469" s="38">
        <v>1.081522841E9</v>
      </c>
      <c r="W469" s="38">
        <v>1.081540911E9</v>
      </c>
      <c r="X469" s="18" t="s">
        <v>2199</v>
      </c>
      <c r="Y469" s="18" t="s">
        <v>2200</v>
      </c>
      <c r="Z469" s="38">
        <v>76141.5</v>
      </c>
      <c r="AA469" s="38">
        <v>76141.5</v>
      </c>
      <c r="AB469" s="38">
        <v>25380.5</v>
      </c>
      <c r="AC469" s="38">
        <v>0.0</v>
      </c>
      <c r="AD469" s="38">
        <v>0.0</v>
      </c>
      <c r="AE469" s="38">
        <v>0.0</v>
      </c>
      <c r="AF469" s="38">
        <v>0.0</v>
      </c>
      <c r="AG469" s="38">
        <v>0.0</v>
      </c>
      <c r="AH469" s="38">
        <v>0.0</v>
      </c>
      <c r="AI469" s="38">
        <v>76141.5</v>
      </c>
      <c r="AJ469" s="38">
        <v>76141.5</v>
      </c>
      <c r="AK469" s="38">
        <v>0.0</v>
      </c>
      <c r="AL469" s="38">
        <v>376.2</v>
      </c>
      <c r="AM469" s="38">
        <v>0.0</v>
      </c>
      <c r="AN469" s="34" t="s">
        <v>62</v>
      </c>
      <c r="AO469" s="34" t="s">
        <v>62</v>
      </c>
      <c r="AP469" s="34" t="s">
        <v>62</v>
      </c>
      <c r="AQ469" s="34" t="s">
        <v>62</v>
      </c>
      <c r="AR469" s="38">
        <v>0.0</v>
      </c>
      <c r="AS469" s="38" t="s">
        <v>2667</v>
      </c>
      <c r="AT469" s="35" t="s">
        <v>2275</v>
      </c>
      <c r="AU469" s="39" t="s">
        <v>2326</v>
      </c>
      <c r="AV469" s="40">
        <v>46163.0</v>
      </c>
    </row>
    <row r="470">
      <c r="A470" s="38">
        <v>335.0</v>
      </c>
      <c r="B470" s="38">
        <v>334.0</v>
      </c>
      <c r="C470" s="38">
        <v>334.0</v>
      </c>
      <c r="D470" s="38">
        <v>9.0241083E7</v>
      </c>
      <c r="E470" s="38">
        <v>9.0241083E7</v>
      </c>
      <c r="F470" s="18" t="s">
        <v>1276</v>
      </c>
      <c r="G470" s="18" t="s">
        <v>1277</v>
      </c>
      <c r="H470" s="18" t="s">
        <v>2668</v>
      </c>
      <c r="I470" s="18" t="s">
        <v>343</v>
      </c>
      <c r="J470" s="18" t="s">
        <v>2205</v>
      </c>
      <c r="K470" s="18" t="s">
        <v>2205</v>
      </c>
      <c r="L470" s="18" t="s">
        <v>52</v>
      </c>
      <c r="M470" s="18" t="s">
        <v>89</v>
      </c>
      <c r="N470" s="18" t="s">
        <v>861</v>
      </c>
      <c r="O470" s="18" t="s">
        <v>126</v>
      </c>
      <c r="P470" s="18" t="s">
        <v>131</v>
      </c>
      <c r="Q470" s="18" t="s">
        <v>151</v>
      </c>
      <c r="R470" s="18" t="s">
        <v>133</v>
      </c>
      <c r="S470" s="18" t="s">
        <v>59</v>
      </c>
      <c r="T470" s="38">
        <v>2026.0</v>
      </c>
      <c r="U470" s="38">
        <v>5.0</v>
      </c>
      <c r="V470" s="38">
        <v>1.081522845E9</v>
      </c>
      <c r="W470" s="38">
        <v>1.081540915E9</v>
      </c>
      <c r="X470" s="18" t="s">
        <v>2199</v>
      </c>
      <c r="Y470" s="18" t="s">
        <v>2200</v>
      </c>
      <c r="Z470" s="38">
        <v>75941.0</v>
      </c>
      <c r="AA470" s="38">
        <v>75941.0</v>
      </c>
      <c r="AB470" s="38">
        <v>0.0</v>
      </c>
      <c r="AC470" s="38">
        <v>0.0</v>
      </c>
      <c r="AD470" s="38">
        <v>0.0</v>
      </c>
      <c r="AE470" s="38">
        <v>0.0</v>
      </c>
      <c r="AF470" s="38">
        <v>0.0</v>
      </c>
      <c r="AG470" s="38">
        <v>0.0</v>
      </c>
      <c r="AH470" s="38">
        <v>0.0</v>
      </c>
      <c r="AI470" s="38">
        <v>75941.0</v>
      </c>
      <c r="AJ470" s="38">
        <v>75941.0</v>
      </c>
      <c r="AK470" s="38">
        <v>0.0</v>
      </c>
      <c r="AL470" s="38">
        <v>250.8</v>
      </c>
      <c r="AM470" s="38">
        <v>0.0</v>
      </c>
      <c r="AN470" s="34" t="s">
        <v>62</v>
      </c>
      <c r="AO470" s="34" t="s">
        <v>62</v>
      </c>
      <c r="AP470" s="34" t="s">
        <v>62</v>
      </c>
      <c r="AQ470" s="34" t="s">
        <v>62</v>
      </c>
      <c r="AR470" s="38">
        <v>0.0</v>
      </c>
      <c r="AS470" s="38" t="s">
        <v>2669</v>
      </c>
      <c r="AT470" s="35" t="s">
        <v>2202</v>
      </c>
      <c r="AU470" s="39" t="s">
        <v>2254</v>
      </c>
      <c r="AV470" s="40">
        <v>46170.0</v>
      </c>
    </row>
    <row r="471">
      <c r="A471" s="38">
        <v>339.0</v>
      </c>
      <c r="B471" s="38">
        <v>338.0</v>
      </c>
      <c r="C471" s="38">
        <v>338.0</v>
      </c>
      <c r="D471" s="38">
        <v>9.0241226E7</v>
      </c>
      <c r="E471" s="38">
        <v>9.0241226E7</v>
      </c>
      <c r="F471" s="18" t="s">
        <v>1279</v>
      </c>
      <c r="G471" s="18" t="s">
        <v>1280</v>
      </c>
      <c r="H471" s="18" t="s">
        <v>2670</v>
      </c>
      <c r="I471" s="18" t="s">
        <v>443</v>
      </c>
      <c r="J471" s="18" t="s">
        <v>2205</v>
      </c>
      <c r="K471" s="18" t="s">
        <v>2205</v>
      </c>
      <c r="L471" s="18" t="s">
        <v>52</v>
      </c>
      <c r="M471" s="18" t="s">
        <v>89</v>
      </c>
      <c r="N471" s="18" t="s">
        <v>861</v>
      </c>
      <c r="O471" s="18" t="s">
        <v>126</v>
      </c>
      <c r="P471" s="18" t="s">
        <v>56</v>
      </c>
      <c r="Q471" s="18" t="s">
        <v>57</v>
      </c>
      <c r="R471" s="18" t="s">
        <v>143</v>
      </c>
      <c r="S471" s="18" t="s">
        <v>59</v>
      </c>
      <c r="T471" s="38">
        <v>2026.0</v>
      </c>
      <c r="U471" s="38">
        <v>5.0</v>
      </c>
      <c r="V471" s="38">
        <v>1.081522848E9</v>
      </c>
      <c r="W471" s="38">
        <v>1.081540918E9</v>
      </c>
      <c r="X471" s="18" t="s">
        <v>2199</v>
      </c>
      <c r="Y471" s="18" t="s">
        <v>2200</v>
      </c>
      <c r="Z471" s="38">
        <v>1010468.86</v>
      </c>
      <c r="AA471" s="38">
        <v>1010468.86</v>
      </c>
      <c r="AB471" s="38">
        <v>0.0</v>
      </c>
      <c r="AC471" s="38">
        <v>5122.5</v>
      </c>
      <c r="AD471" s="38">
        <v>0.0</v>
      </c>
      <c r="AE471" s="38">
        <v>0.0</v>
      </c>
      <c r="AF471" s="38">
        <v>0.0</v>
      </c>
      <c r="AG471" s="38">
        <v>0.0</v>
      </c>
      <c r="AH471" s="38">
        <v>0.0</v>
      </c>
      <c r="AI471" s="38">
        <v>1010468.86</v>
      </c>
      <c r="AJ471" s="38">
        <v>1010468.86</v>
      </c>
      <c r="AK471" s="38">
        <v>0.0</v>
      </c>
      <c r="AL471" s="38">
        <v>250.8</v>
      </c>
      <c r="AM471" s="38">
        <v>0.0</v>
      </c>
      <c r="AN471" s="34" t="s">
        <v>62</v>
      </c>
      <c r="AO471" s="34" t="s">
        <v>62</v>
      </c>
      <c r="AP471" s="34" t="s">
        <v>62</v>
      </c>
      <c r="AQ471" s="34" t="s">
        <v>62</v>
      </c>
      <c r="AR471" s="38">
        <v>0.0</v>
      </c>
      <c r="AS471" s="38" t="s">
        <v>2671</v>
      </c>
      <c r="AT471" s="35" t="s">
        <v>2202</v>
      </c>
      <c r="AU471" s="39" t="s">
        <v>2254</v>
      </c>
      <c r="AV471" s="40">
        <v>46170.0</v>
      </c>
    </row>
    <row r="472">
      <c r="A472" s="38">
        <v>343.0</v>
      </c>
      <c r="B472" s="38">
        <v>342.0</v>
      </c>
      <c r="C472" s="38">
        <v>342.0</v>
      </c>
      <c r="D472" s="38">
        <v>9.0241429E7</v>
      </c>
      <c r="E472" s="38">
        <v>9.0241429E7</v>
      </c>
      <c r="F472" s="38">
        <v>8.00197268E8</v>
      </c>
      <c r="G472" s="18" t="s">
        <v>1282</v>
      </c>
      <c r="H472" s="18" t="s">
        <v>2672</v>
      </c>
      <c r="I472" s="18" t="s">
        <v>443</v>
      </c>
      <c r="J472" s="18" t="s">
        <v>2205</v>
      </c>
      <c r="K472" s="18" t="s">
        <v>2673</v>
      </c>
      <c r="L472" s="18" t="s">
        <v>52</v>
      </c>
      <c r="M472" s="18" t="s">
        <v>89</v>
      </c>
      <c r="N472" s="18" t="s">
        <v>861</v>
      </c>
      <c r="O472" s="18" t="s">
        <v>126</v>
      </c>
      <c r="P472" s="18" t="s">
        <v>56</v>
      </c>
      <c r="Q472" s="18" t="s">
        <v>57</v>
      </c>
      <c r="R472" s="18" t="s">
        <v>143</v>
      </c>
      <c r="S472" s="18" t="s">
        <v>59</v>
      </c>
      <c r="T472" s="38">
        <v>2026.0</v>
      </c>
      <c r="U472" s="38">
        <v>5.0</v>
      </c>
      <c r="V472" s="38">
        <v>1.081522852E9</v>
      </c>
      <c r="W472" s="38">
        <v>1.081540922E9</v>
      </c>
      <c r="X472" s="18" t="s">
        <v>2199</v>
      </c>
      <c r="Y472" s="18" t="s">
        <v>2200</v>
      </c>
      <c r="Z472" s="38">
        <v>512689.5</v>
      </c>
      <c r="AA472" s="38">
        <v>512689.5</v>
      </c>
      <c r="AB472" s="38">
        <v>0.0</v>
      </c>
      <c r="AC472" s="38">
        <v>2500.0</v>
      </c>
      <c r="AD472" s="38">
        <v>0.0</v>
      </c>
      <c r="AE472" s="38">
        <v>0.0</v>
      </c>
      <c r="AF472" s="38">
        <v>0.0</v>
      </c>
      <c r="AG472" s="38">
        <v>0.0</v>
      </c>
      <c r="AH472" s="38">
        <v>0.0</v>
      </c>
      <c r="AI472" s="38">
        <v>512689.5</v>
      </c>
      <c r="AJ472" s="38">
        <v>512689.5</v>
      </c>
      <c r="AK472" s="38">
        <v>0.0</v>
      </c>
      <c r="AL472" s="38">
        <v>250.8</v>
      </c>
      <c r="AM472" s="38">
        <v>0.0</v>
      </c>
      <c r="AN472" s="34" t="s">
        <v>62</v>
      </c>
      <c r="AO472" s="34" t="s">
        <v>62</v>
      </c>
      <c r="AP472" s="34" t="s">
        <v>62</v>
      </c>
      <c r="AQ472" s="34" t="s">
        <v>62</v>
      </c>
      <c r="AR472" s="38">
        <v>0.0</v>
      </c>
      <c r="AS472" s="38" t="s">
        <v>2674</v>
      </c>
      <c r="AT472" s="35" t="s">
        <v>2202</v>
      </c>
      <c r="AU472" s="39" t="s">
        <v>2203</v>
      </c>
      <c r="AV472" s="40">
        <v>46166.0</v>
      </c>
    </row>
    <row r="473">
      <c r="A473" s="38">
        <v>344867.0</v>
      </c>
      <c r="B473" s="38">
        <v>344866.0</v>
      </c>
      <c r="C473" s="38">
        <v>344866.0</v>
      </c>
      <c r="D473" s="38">
        <v>155063.0</v>
      </c>
      <c r="E473" s="38">
        <v>155063.0</v>
      </c>
      <c r="F473" s="18" t="s">
        <v>1284</v>
      </c>
      <c r="G473" s="18" t="s">
        <v>1285</v>
      </c>
      <c r="H473" s="18" t="s">
        <v>2675</v>
      </c>
      <c r="I473" s="18" t="s">
        <v>1256</v>
      </c>
      <c r="J473" s="18" t="s">
        <v>2205</v>
      </c>
      <c r="K473" s="18" t="s">
        <v>2676</v>
      </c>
      <c r="L473" s="18" t="s">
        <v>52</v>
      </c>
      <c r="M473" s="18" t="s">
        <v>89</v>
      </c>
      <c r="N473" s="18" t="s">
        <v>861</v>
      </c>
      <c r="O473" s="18" t="s">
        <v>126</v>
      </c>
      <c r="P473" s="18" t="s">
        <v>131</v>
      </c>
      <c r="Q473" s="18" t="s">
        <v>139</v>
      </c>
      <c r="R473" s="18" t="s">
        <v>133</v>
      </c>
      <c r="S473" s="18" t="s">
        <v>59</v>
      </c>
      <c r="T473" s="38">
        <v>2026.0</v>
      </c>
      <c r="U473" s="38">
        <v>5.0</v>
      </c>
      <c r="V473" s="38">
        <v>1.081523167E9</v>
      </c>
      <c r="W473" s="38">
        <v>1.081541237E9</v>
      </c>
      <c r="X473" s="18" t="s">
        <v>2199</v>
      </c>
      <c r="Y473" s="18" t="s">
        <v>2200</v>
      </c>
      <c r="Z473" s="38">
        <v>63352.0</v>
      </c>
      <c r="AA473" s="38">
        <v>63352.0</v>
      </c>
      <c r="AB473" s="38">
        <v>0.0</v>
      </c>
      <c r="AC473" s="38">
        <v>0.0</v>
      </c>
      <c r="AD473" s="38">
        <v>0.0</v>
      </c>
      <c r="AE473" s="38">
        <v>0.0</v>
      </c>
      <c r="AF473" s="38">
        <v>0.0</v>
      </c>
      <c r="AG473" s="38">
        <v>0.0</v>
      </c>
      <c r="AH473" s="38">
        <v>0.0</v>
      </c>
      <c r="AI473" s="38">
        <v>63352.0</v>
      </c>
      <c r="AJ473" s="38">
        <v>188533.76</v>
      </c>
      <c r="AK473" s="38">
        <v>2.0</v>
      </c>
      <c r="AL473" s="38">
        <v>250.8</v>
      </c>
      <c r="AM473" s="38">
        <v>0.0</v>
      </c>
      <c r="AN473" s="34" t="s">
        <v>62</v>
      </c>
      <c r="AO473" s="34" t="s">
        <v>62</v>
      </c>
      <c r="AP473" s="34" t="s">
        <v>62</v>
      </c>
      <c r="AQ473" s="34" t="s">
        <v>62</v>
      </c>
      <c r="AR473" s="38">
        <v>0.0</v>
      </c>
      <c r="AS473" s="38" t="s">
        <v>2677</v>
      </c>
      <c r="AT473" s="35" t="s">
        <v>2202</v>
      </c>
      <c r="AU473" s="39" t="s">
        <v>2203</v>
      </c>
      <c r="AV473" s="40">
        <v>46171.0</v>
      </c>
    </row>
    <row r="474">
      <c r="A474" s="38">
        <v>347.0</v>
      </c>
      <c r="B474" s="38">
        <v>346.0</v>
      </c>
      <c r="C474" s="38">
        <v>346.0</v>
      </c>
      <c r="D474" s="38">
        <v>9.0241958E7</v>
      </c>
      <c r="E474" s="38">
        <v>9.0241958E7</v>
      </c>
      <c r="F474" s="38">
        <v>8.00158137E8</v>
      </c>
      <c r="G474" s="18" t="s">
        <v>1287</v>
      </c>
      <c r="H474" s="18" t="s">
        <v>2678</v>
      </c>
      <c r="I474" s="18" t="s">
        <v>443</v>
      </c>
      <c r="J474" s="18" t="s">
        <v>982</v>
      </c>
      <c r="K474" s="18" t="s">
        <v>982</v>
      </c>
      <c r="L474" s="18" t="s">
        <v>52</v>
      </c>
      <c r="M474" s="18" t="s">
        <v>89</v>
      </c>
      <c r="N474" s="18" t="s">
        <v>861</v>
      </c>
      <c r="O474" s="18" t="s">
        <v>126</v>
      </c>
      <c r="P474" s="18" t="s">
        <v>56</v>
      </c>
      <c r="Q474" s="18" t="s">
        <v>90</v>
      </c>
      <c r="R474" s="18" t="s">
        <v>143</v>
      </c>
      <c r="S474" s="18" t="s">
        <v>59</v>
      </c>
      <c r="T474" s="38">
        <v>2026.0</v>
      </c>
      <c r="U474" s="38">
        <v>5.0</v>
      </c>
      <c r="V474" s="38">
        <v>1.081522855E9</v>
      </c>
      <c r="W474" s="38">
        <v>1.081540925E9</v>
      </c>
      <c r="X474" s="18" t="s">
        <v>2199</v>
      </c>
      <c r="Y474" s="18" t="s">
        <v>2200</v>
      </c>
      <c r="Z474" s="38">
        <v>299963.84</v>
      </c>
      <c r="AA474" s="38">
        <v>299963.84</v>
      </c>
      <c r="AB474" s="38">
        <v>99987.95</v>
      </c>
      <c r="AC474" s="38">
        <v>852.5</v>
      </c>
      <c r="AD474" s="38">
        <v>0.0</v>
      </c>
      <c r="AE474" s="38">
        <v>0.0</v>
      </c>
      <c r="AF474" s="38">
        <v>0.0</v>
      </c>
      <c r="AG474" s="38">
        <v>0.0</v>
      </c>
      <c r="AH474" s="38">
        <v>0.0</v>
      </c>
      <c r="AI474" s="38">
        <v>299963.84</v>
      </c>
      <c r="AJ474" s="38">
        <v>299964.65</v>
      </c>
      <c r="AK474" s="38">
        <v>1.0</v>
      </c>
      <c r="AL474" s="38">
        <v>376.2</v>
      </c>
      <c r="AM474" s="38">
        <v>0.0</v>
      </c>
      <c r="AN474" s="34" t="s">
        <v>62</v>
      </c>
      <c r="AO474" s="34" t="s">
        <v>62</v>
      </c>
      <c r="AP474" s="34" t="s">
        <v>62</v>
      </c>
      <c r="AQ474" s="34" t="s">
        <v>62</v>
      </c>
      <c r="AR474" s="38">
        <v>0.0</v>
      </c>
      <c r="AS474" s="38" t="s">
        <v>2679</v>
      </c>
      <c r="AT474" s="35" t="s">
        <v>2275</v>
      </c>
      <c r="AU474" s="39" t="s">
        <v>2326</v>
      </c>
      <c r="AV474" s="40">
        <v>46163.0</v>
      </c>
    </row>
    <row r="475">
      <c r="A475" s="38">
        <v>355.0</v>
      </c>
      <c r="B475" s="38">
        <v>354.0</v>
      </c>
      <c r="C475" s="38">
        <v>354.0</v>
      </c>
      <c r="D475" s="38">
        <v>9.0242454E7</v>
      </c>
      <c r="E475" s="38">
        <v>9.0242454E7</v>
      </c>
      <c r="F475" s="18" t="s">
        <v>964</v>
      </c>
      <c r="G475" s="18" t="s">
        <v>965</v>
      </c>
      <c r="H475" s="18" t="s">
        <v>2680</v>
      </c>
      <c r="I475" s="18" t="s">
        <v>982</v>
      </c>
      <c r="J475" s="18" t="s">
        <v>2205</v>
      </c>
      <c r="K475" s="18" t="s">
        <v>2681</v>
      </c>
      <c r="L475" s="18" t="s">
        <v>52</v>
      </c>
      <c r="M475" s="18" t="s">
        <v>89</v>
      </c>
      <c r="N475" s="18" t="s">
        <v>861</v>
      </c>
      <c r="O475" s="18" t="s">
        <v>126</v>
      </c>
      <c r="P475" s="18" t="s">
        <v>131</v>
      </c>
      <c r="Q475" s="18" t="s">
        <v>151</v>
      </c>
      <c r="R475" s="18" t="s">
        <v>133</v>
      </c>
      <c r="S475" s="18" t="s">
        <v>59</v>
      </c>
      <c r="T475" s="38">
        <v>2026.0</v>
      </c>
      <c r="U475" s="38">
        <v>5.0</v>
      </c>
      <c r="V475" s="38">
        <v>1.081522859E9</v>
      </c>
      <c r="W475" s="38">
        <v>1.081540929E9</v>
      </c>
      <c r="X475" s="18" t="s">
        <v>2199</v>
      </c>
      <c r="Y475" s="18" t="s">
        <v>2200</v>
      </c>
      <c r="Z475" s="38">
        <v>75941.0</v>
      </c>
      <c r="AA475" s="38">
        <v>75941.0</v>
      </c>
      <c r="AB475" s="38">
        <v>0.0</v>
      </c>
      <c r="AC475" s="38">
        <v>0.0</v>
      </c>
      <c r="AD475" s="38">
        <v>0.0</v>
      </c>
      <c r="AE475" s="38">
        <v>0.0</v>
      </c>
      <c r="AF475" s="38">
        <v>0.0</v>
      </c>
      <c r="AG475" s="38">
        <v>0.0</v>
      </c>
      <c r="AH475" s="38">
        <v>0.0</v>
      </c>
      <c r="AI475" s="38">
        <v>75941.0</v>
      </c>
      <c r="AJ475" s="38">
        <v>75941.0</v>
      </c>
      <c r="AK475" s="38">
        <v>0.0</v>
      </c>
      <c r="AL475" s="38">
        <v>250.8</v>
      </c>
      <c r="AM475" s="38">
        <v>0.0</v>
      </c>
      <c r="AN475" s="34" t="s">
        <v>62</v>
      </c>
      <c r="AO475" s="34" t="s">
        <v>62</v>
      </c>
      <c r="AP475" s="34" t="s">
        <v>62</v>
      </c>
      <c r="AQ475" s="34" t="s">
        <v>62</v>
      </c>
      <c r="AR475" s="38">
        <v>0.0</v>
      </c>
      <c r="AS475" s="38" t="s">
        <v>2682</v>
      </c>
      <c r="AT475" s="35" t="s">
        <v>2202</v>
      </c>
      <c r="AU475" s="39" t="s">
        <v>2203</v>
      </c>
      <c r="AV475" s="40">
        <v>46169.0</v>
      </c>
    </row>
    <row r="476">
      <c r="A476" s="38">
        <v>359.0</v>
      </c>
      <c r="B476" s="38">
        <v>358.0</v>
      </c>
      <c r="C476" s="38">
        <v>358.0</v>
      </c>
      <c r="D476" s="38">
        <v>9.0242832E7</v>
      </c>
      <c r="E476" s="38">
        <v>9.0242832E7</v>
      </c>
      <c r="F476" s="18" t="s">
        <v>1290</v>
      </c>
      <c r="G476" s="18" t="s">
        <v>1291</v>
      </c>
      <c r="H476" s="18" t="s">
        <v>2683</v>
      </c>
      <c r="I476" s="18" t="s">
        <v>982</v>
      </c>
      <c r="J476" s="18" t="s">
        <v>2205</v>
      </c>
      <c r="K476" s="18" t="s">
        <v>2684</v>
      </c>
      <c r="L476" s="18" t="s">
        <v>52</v>
      </c>
      <c r="M476" s="18" t="s">
        <v>89</v>
      </c>
      <c r="N476" s="18" t="s">
        <v>861</v>
      </c>
      <c r="O476" s="18" t="s">
        <v>126</v>
      </c>
      <c r="P476" s="18" t="s">
        <v>56</v>
      </c>
      <c r="Q476" s="18" t="s">
        <v>57</v>
      </c>
      <c r="R476" s="18" t="s">
        <v>143</v>
      </c>
      <c r="S476" s="18" t="s">
        <v>59</v>
      </c>
      <c r="T476" s="38">
        <v>2026.0</v>
      </c>
      <c r="U476" s="38">
        <v>5.0</v>
      </c>
      <c r="V476" s="38">
        <v>1.081522862E9</v>
      </c>
      <c r="W476" s="38">
        <v>1.081540932E9</v>
      </c>
      <c r="X476" s="18" t="s">
        <v>2199</v>
      </c>
      <c r="Y476" s="18" t="s">
        <v>2200</v>
      </c>
      <c r="Z476" s="38">
        <v>521231.0</v>
      </c>
      <c r="AA476" s="38">
        <v>521231.0</v>
      </c>
      <c r="AB476" s="38">
        <v>0.0</v>
      </c>
      <c r="AC476" s="38">
        <v>2545.0</v>
      </c>
      <c r="AD476" s="38">
        <v>0.0</v>
      </c>
      <c r="AE476" s="38">
        <v>0.0</v>
      </c>
      <c r="AF476" s="38">
        <v>0.0</v>
      </c>
      <c r="AG476" s="38">
        <v>0.0</v>
      </c>
      <c r="AH476" s="38">
        <v>0.0</v>
      </c>
      <c r="AI476" s="38">
        <v>521231.0</v>
      </c>
      <c r="AJ476" s="38">
        <v>1140307.17</v>
      </c>
      <c r="AK476" s="38">
        <v>2.0</v>
      </c>
      <c r="AL476" s="38">
        <v>250.8</v>
      </c>
      <c r="AM476" s="38">
        <v>0.0</v>
      </c>
      <c r="AN476" s="34" t="s">
        <v>62</v>
      </c>
      <c r="AO476" s="34" t="s">
        <v>62</v>
      </c>
      <c r="AP476" s="34" t="s">
        <v>62</v>
      </c>
      <c r="AQ476" s="34" t="s">
        <v>62</v>
      </c>
      <c r="AR476" s="38">
        <v>0.0</v>
      </c>
      <c r="AS476" s="38" t="s">
        <v>2685</v>
      </c>
      <c r="AT476" s="35" t="s">
        <v>2294</v>
      </c>
      <c r="AU476" s="39" t="s">
        <v>2295</v>
      </c>
      <c r="AV476" s="40">
        <v>46164.0</v>
      </c>
    </row>
    <row r="477">
      <c r="A477" s="38">
        <v>363.0</v>
      </c>
      <c r="B477" s="38">
        <v>362.0</v>
      </c>
      <c r="C477" s="38">
        <v>362.0</v>
      </c>
      <c r="D477" s="38">
        <v>9.0242837E7</v>
      </c>
      <c r="E477" s="38">
        <v>9.0242837E7</v>
      </c>
      <c r="F477" s="18" t="s">
        <v>1293</v>
      </c>
      <c r="G477" s="18" t="s">
        <v>1294</v>
      </c>
      <c r="H477" s="18" t="s">
        <v>2686</v>
      </c>
      <c r="I477" s="18" t="s">
        <v>982</v>
      </c>
      <c r="J477" s="18" t="s">
        <v>2205</v>
      </c>
      <c r="K477" s="18" t="s">
        <v>2205</v>
      </c>
      <c r="L477" s="18" t="s">
        <v>52</v>
      </c>
      <c r="M477" s="18" t="s">
        <v>89</v>
      </c>
      <c r="N477" s="18" t="s">
        <v>861</v>
      </c>
      <c r="O477" s="18" t="s">
        <v>126</v>
      </c>
      <c r="P477" s="18" t="s">
        <v>56</v>
      </c>
      <c r="Q477" s="18" t="s">
        <v>90</v>
      </c>
      <c r="R477" s="18" t="s">
        <v>143</v>
      </c>
      <c r="S477" s="18" t="s">
        <v>59</v>
      </c>
      <c r="T477" s="38">
        <v>2026.0</v>
      </c>
      <c r="U477" s="38">
        <v>5.0</v>
      </c>
      <c r="V477" s="38">
        <v>1.081522866E9</v>
      </c>
      <c r="W477" s="38">
        <v>1.081540936E9</v>
      </c>
      <c r="X477" s="18" t="s">
        <v>2199</v>
      </c>
      <c r="Y477" s="18" t="s">
        <v>2200</v>
      </c>
      <c r="Z477" s="38">
        <v>270780.38</v>
      </c>
      <c r="AA477" s="38">
        <v>270780.38</v>
      </c>
      <c r="AB477" s="38">
        <v>90260.13</v>
      </c>
      <c r="AC477" s="38">
        <v>750.0</v>
      </c>
      <c r="AD477" s="38">
        <v>0.0</v>
      </c>
      <c r="AE477" s="38">
        <v>0.0</v>
      </c>
      <c r="AF477" s="38">
        <v>0.0</v>
      </c>
      <c r="AG477" s="38">
        <v>0.0</v>
      </c>
      <c r="AH477" s="38">
        <v>0.0</v>
      </c>
      <c r="AI477" s="38">
        <v>270780.38</v>
      </c>
      <c r="AJ477" s="38">
        <v>270780.38</v>
      </c>
      <c r="AK477" s="38">
        <v>0.0</v>
      </c>
      <c r="AL477" s="38">
        <v>376.2</v>
      </c>
      <c r="AM477" s="38">
        <v>0.0</v>
      </c>
      <c r="AN477" s="34" t="s">
        <v>62</v>
      </c>
      <c r="AO477" s="34" t="s">
        <v>62</v>
      </c>
      <c r="AP477" s="34" t="s">
        <v>62</v>
      </c>
      <c r="AQ477" s="34" t="s">
        <v>62</v>
      </c>
      <c r="AR477" s="38">
        <v>0.0</v>
      </c>
      <c r="AS477" s="38" t="s">
        <v>2687</v>
      </c>
      <c r="AT477" s="35" t="s">
        <v>2202</v>
      </c>
      <c r="AU477" s="39" t="s">
        <v>2254</v>
      </c>
      <c r="AV477" s="40">
        <v>46170.0</v>
      </c>
    </row>
    <row r="478">
      <c r="A478" s="38">
        <v>367.0</v>
      </c>
      <c r="B478" s="38">
        <v>366.0</v>
      </c>
      <c r="C478" s="38">
        <v>366.0</v>
      </c>
      <c r="D478" s="38">
        <v>9.0242938E7</v>
      </c>
      <c r="E478" s="38">
        <v>9.0242938E7</v>
      </c>
      <c r="F478" s="18" t="s">
        <v>1296</v>
      </c>
      <c r="G478" s="18" t="s">
        <v>1297</v>
      </c>
      <c r="H478" s="18" t="s">
        <v>2688</v>
      </c>
      <c r="I478" s="18" t="s">
        <v>982</v>
      </c>
      <c r="J478" s="18" t="s">
        <v>2205</v>
      </c>
      <c r="K478" s="18" t="s">
        <v>2205</v>
      </c>
      <c r="L478" s="18" t="s">
        <v>52</v>
      </c>
      <c r="M478" s="18" t="s">
        <v>89</v>
      </c>
      <c r="N478" s="18" t="s">
        <v>861</v>
      </c>
      <c r="O478" s="18" t="s">
        <v>126</v>
      </c>
      <c r="P478" s="18" t="s">
        <v>56</v>
      </c>
      <c r="Q478" s="18" t="s">
        <v>90</v>
      </c>
      <c r="R478" s="18" t="s">
        <v>143</v>
      </c>
      <c r="S478" s="18" t="s">
        <v>59</v>
      </c>
      <c r="T478" s="38">
        <v>2026.0</v>
      </c>
      <c r="U478" s="38">
        <v>5.0</v>
      </c>
      <c r="V478" s="38">
        <v>1.08152287E9</v>
      </c>
      <c r="W478" s="38">
        <v>1.08154094E9</v>
      </c>
      <c r="X478" s="18" t="s">
        <v>2199</v>
      </c>
      <c r="Y478" s="18" t="s">
        <v>2200</v>
      </c>
      <c r="Z478" s="38">
        <v>171129.6</v>
      </c>
      <c r="AA478" s="38">
        <v>171129.6</v>
      </c>
      <c r="AB478" s="38">
        <v>57043.2</v>
      </c>
      <c r="AC478" s="38">
        <v>400.0</v>
      </c>
      <c r="AD478" s="38">
        <v>0.0</v>
      </c>
      <c r="AE478" s="38">
        <v>0.0</v>
      </c>
      <c r="AF478" s="38">
        <v>0.0</v>
      </c>
      <c r="AG478" s="38">
        <v>0.0</v>
      </c>
      <c r="AH478" s="38">
        <v>0.0</v>
      </c>
      <c r="AI478" s="38">
        <v>171129.6</v>
      </c>
      <c r="AJ478" s="38">
        <v>171129.6</v>
      </c>
      <c r="AK478" s="38">
        <v>0.0</v>
      </c>
      <c r="AL478" s="38">
        <v>376.2</v>
      </c>
      <c r="AM478" s="38">
        <v>0.0</v>
      </c>
      <c r="AN478" s="34" t="s">
        <v>62</v>
      </c>
      <c r="AO478" s="34" t="s">
        <v>62</v>
      </c>
      <c r="AP478" s="34" t="s">
        <v>62</v>
      </c>
      <c r="AQ478" s="34" t="s">
        <v>62</v>
      </c>
      <c r="AR478" s="38">
        <v>0.0</v>
      </c>
      <c r="AS478" s="38" t="s">
        <v>2689</v>
      </c>
      <c r="AT478" s="35" t="s">
        <v>2202</v>
      </c>
      <c r="AU478" s="39" t="s">
        <v>2254</v>
      </c>
      <c r="AV478" s="40">
        <v>46170.0</v>
      </c>
    </row>
    <row r="479">
      <c r="A479" s="38">
        <v>379560.0</v>
      </c>
      <c r="B479" s="38">
        <v>366634.0</v>
      </c>
      <c r="C479" s="38">
        <v>373112.0</v>
      </c>
      <c r="D479" s="34" t="s">
        <v>62</v>
      </c>
      <c r="E479" s="34" t="s">
        <v>62</v>
      </c>
      <c r="F479" s="18" t="s">
        <v>1299</v>
      </c>
      <c r="G479" s="18" t="s">
        <v>1300</v>
      </c>
      <c r="H479" s="18" t="s">
        <v>2690</v>
      </c>
      <c r="I479" s="18" t="s">
        <v>991</v>
      </c>
      <c r="J479" s="18" t="s">
        <v>2691</v>
      </c>
      <c r="K479" s="18" t="s">
        <v>2691</v>
      </c>
      <c r="L479" s="18" t="s">
        <v>52</v>
      </c>
      <c r="M479" s="18" t="s">
        <v>89</v>
      </c>
      <c r="N479" s="18" t="s">
        <v>861</v>
      </c>
      <c r="O479" s="18" t="s">
        <v>126</v>
      </c>
      <c r="P479" s="18" t="s">
        <v>56</v>
      </c>
      <c r="Q479" s="18" t="s">
        <v>90</v>
      </c>
      <c r="R479" s="18" t="s">
        <v>143</v>
      </c>
      <c r="S479" s="18" t="s">
        <v>59</v>
      </c>
      <c r="T479" s="38">
        <v>2026.0</v>
      </c>
      <c r="U479" s="38">
        <v>5.0</v>
      </c>
      <c r="V479" s="38">
        <v>1.081523171E9</v>
      </c>
      <c r="W479" s="38">
        <v>1.081541241E9</v>
      </c>
      <c r="X479" s="18" t="s">
        <v>2199</v>
      </c>
      <c r="Y479" s="18" t="s">
        <v>2200</v>
      </c>
      <c r="Z479" s="38">
        <v>129998.01</v>
      </c>
      <c r="AA479" s="38">
        <v>129998.01</v>
      </c>
      <c r="AB479" s="38">
        <v>42807.38</v>
      </c>
      <c r="AC479" s="38">
        <v>250.0</v>
      </c>
      <c r="AD479" s="38">
        <v>1575.88</v>
      </c>
      <c r="AE479" s="38">
        <v>0.0</v>
      </c>
      <c r="AF479" s="38">
        <v>0.0</v>
      </c>
      <c r="AG479" s="38">
        <v>0.0</v>
      </c>
      <c r="AH479" s="38">
        <v>0.0</v>
      </c>
      <c r="AI479" s="38">
        <v>129998.01</v>
      </c>
      <c r="AJ479" s="38">
        <v>385483.8</v>
      </c>
      <c r="AK479" s="38">
        <v>2.0</v>
      </c>
      <c r="AL479" s="38">
        <v>376.2</v>
      </c>
      <c r="AM479" s="38">
        <v>0.0</v>
      </c>
      <c r="AN479" s="34" t="s">
        <v>62</v>
      </c>
      <c r="AO479" s="34" t="s">
        <v>62</v>
      </c>
      <c r="AP479" s="34" t="s">
        <v>62</v>
      </c>
      <c r="AQ479" s="34" t="s">
        <v>62</v>
      </c>
      <c r="AR479" s="38">
        <v>0.0</v>
      </c>
      <c r="AS479" s="38" t="s">
        <v>2692</v>
      </c>
      <c r="AT479" s="38" t="s">
        <v>2275</v>
      </c>
      <c r="AU479" s="39" t="s">
        <v>2276</v>
      </c>
      <c r="AV479" s="40">
        <v>46163.0</v>
      </c>
    </row>
    <row r="480">
      <c r="A480" s="38">
        <v>382942.0</v>
      </c>
      <c r="B480" s="38">
        <v>368102.0</v>
      </c>
      <c r="C480" s="38">
        <v>375651.0</v>
      </c>
      <c r="D480" s="34" t="s">
        <v>62</v>
      </c>
      <c r="E480" s="34" t="s">
        <v>62</v>
      </c>
      <c r="F480" s="18" t="s">
        <v>1302</v>
      </c>
      <c r="G480" s="18" t="s">
        <v>1303</v>
      </c>
      <c r="H480" s="18" t="s">
        <v>2693</v>
      </c>
      <c r="I480" s="18" t="s">
        <v>991</v>
      </c>
      <c r="J480" s="18" t="s">
        <v>2691</v>
      </c>
      <c r="K480" s="18" t="s">
        <v>2691</v>
      </c>
      <c r="L480" s="18" t="s">
        <v>52</v>
      </c>
      <c r="M480" s="18" t="s">
        <v>89</v>
      </c>
      <c r="N480" s="18" t="s">
        <v>861</v>
      </c>
      <c r="O480" s="18" t="s">
        <v>126</v>
      </c>
      <c r="P480" s="18" t="s">
        <v>56</v>
      </c>
      <c r="Q480" s="18" t="s">
        <v>90</v>
      </c>
      <c r="R480" s="18" t="s">
        <v>143</v>
      </c>
      <c r="S480" s="18" t="s">
        <v>59</v>
      </c>
      <c r="T480" s="38">
        <v>2026.0</v>
      </c>
      <c r="U480" s="38">
        <v>5.0</v>
      </c>
      <c r="V480" s="38">
        <v>1.081523175E9</v>
      </c>
      <c r="W480" s="38">
        <v>1.081541245E9</v>
      </c>
      <c r="X480" s="18" t="s">
        <v>2199</v>
      </c>
      <c r="Y480" s="18" t="s">
        <v>2200</v>
      </c>
      <c r="Z480" s="38">
        <v>128787.69</v>
      </c>
      <c r="AA480" s="38">
        <v>128787.69</v>
      </c>
      <c r="AB480" s="38">
        <v>42807.38</v>
      </c>
      <c r="AC480" s="38">
        <v>250.0</v>
      </c>
      <c r="AD480" s="38">
        <v>365.56</v>
      </c>
      <c r="AE480" s="38">
        <v>0.0</v>
      </c>
      <c r="AF480" s="38">
        <v>0.0</v>
      </c>
      <c r="AG480" s="38">
        <v>0.0</v>
      </c>
      <c r="AH480" s="38">
        <v>0.0</v>
      </c>
      <c r="AI480" s="38">
        <v>128787.69</v>
      </c>
      <c r="AJ480" s="38">
        <v>128787.69</v>
      </c>
      <c r="AK480" s="38">
        <v>0.0</v>
      </c>
      <c r="AL480" s="38">
        <v>376.2</v>
      </c>
      <c r="AM480" s="38">
        <v>0.0</v>
      </c>
      <c r="AN480" s="34" t="s">
        <v>62</v>
      </c>
      <c r="AO480" s="34" t="s">
        <v>62</v>
      </c>
      <c r="AP480" s="34" t="s">
        <v>62</v>
      </c>
      <c r="AQ480" s="34" t="s">
        <v>62</v>
      </c>
      <c r="AR480" s="38">
        <v>0.0</v>
      </c>
      <c r="AS480" s="38" t="s">
        <v>2694</v>
      </c>
      <c r="AT480" s="38" t="s">
        <v>2275</v>
      </c>
      <c r="AU480" s="39" t="s">
        <v>2276</v>
      </c>
      <c r="AV480" s="40">
        <v>46163.0</v>
      </c>
    </row>
    <row r="481">
      <c r="A481" s="38">
        <v>297.0</v>
      </c>
      <c r="B481" s="38">
        <v>369838.0</v>
      </c>
      <c r="C481" s="38">
        <v>377852.0</v>
      </c>
      <c r="D481" s="38">
        <v>152303.0</v>
      </c>
      <c r="E481" s="38">
        <v>152303.0</v>
      </c>
      <c r="F481" s="18" t="s">
        <v>135</v>
      </c>
      <c r="G481" s="18" t="s">
        <v>136</v>
      </c>
      <c r="H481" s="18" t="s">
        <v>2258</v>
      </c>
      <c r="I481" s="18" t="s">
        <v>1305</v>
      </c>
      <c r="J481" s="18" t="s">
        <v>2205</v>
      </c>
      <c r="K481" s="18" t="s">
        <v>2259</v>
      </c>
      <c r="L481" s="18" t="s">
        <v>52</v>
      </c>
      <c r="M481" s="18" t="s">
        <v>1060</v>
      </c>
      <c r="N481" s="18" t="s">
        <v>861</v>
      </c>
      <c r="O481" s="18" t="s">
        <v>126</v>
      </c>
      <c r="P481" s="18" t="s">
        <v>131</v>
      </c>
      <c r="Q481" s="18" t="s">
        <v>1111</v>
      </c>
      <c r="R481" s="18" t="s">
        <v>133</v>
      </c>
      <c r="S481" s="18" t="s">
        <v>59</v>
      </c>
      <c r="T481" s="38">
        <v>2026.0</v>
      </c>
      <c r="U481" s="38">
        <v>5.0</v>
      </c>
      <c r="V481" s="38">
        <v>1.081523179E9</v>
      </c>
      <c r="W481" s="38">
        <v>1.081541249E9</v>
      </c>
      <c r="X481" s="18" t="s">
        <v>2199</v>
      </c>
      <c r="Y481" s="18" t="s">
        <v>2200</v>
      </c>
      <c r="Z481" s="38">
        <v>16397.0</v>
      </c>
      <c r="AA481" s="38">
        <v>16397.0</v>
      </c>
      <c r="AB481" s="38">
        <v>0.0</v>
      </c>
      <c r="AC481" s="38">
        <v>0.0</v>
      </c>
      <c r="AD481" s="38">
        <v>0.0</v>
      </c>
      <c r="AE481" s="38">
        <v>0.0</v>
      </c>
      <c r="AF481" s="38">
        <v>0.0</v>
      </c>
      <c r="AG481" s="38">
        <v>0.0</v>
      </c>
      <c r="AH481" s="38">
        <v>0.0</v>
      </c>
      <c r="AI481" s="38">
        <v>16397.0</v>
      </c>
      <c r="AJ481" s="38">
        <v>16397.0</v>
      </c>
      <c r="AK481" s="38">
        <v>0.0</v>
      </c>
      <c r="AL481" s="38">
        <v>250.8</v>
      </c>
      <c r="AM481" s="38">
        <v>0.0</v>
      </c>
      <c r="AN481" s="34" t="s">
        <v>62</v>
      </c>
      <c r="AO481" s="34" t="s">
        <v>62</v>
      </c>
      <c r="AP481" s="34" t="s">
        <v>62</v>
      </c>
      <c r="AQ481" s="34" t="s">
        <v>62</v>
      </c>
      <c r="AR481" s="38">
        <v>0.0</v>
      </c>
      <c r="AS481" s="38" t="s">
        <v>2260</v>
      </c>
      <c r="AT481" s="35" t="s">
        <v>2202</v>
      </c>
      <c r="AU481" s="39" t="s">
        <v>2203</v>
      </c>
      <c r="AV481" s="40">
        <v>46164.0</v>
      </c>
    </row>
    <row r="482">
      <c r="A482" s="38">
        <v>386513.0</v>
      </c>
      <c r="B482" s="38">
        <v>370538.0</v>
      </c>
      <c r="C482" s="38">
        <v>378722.0</v>
      </c>
      <c r="D482" s="34" t="s">
        <v>62</v>
      </c>
      <c r="E482" s="34" t="s">
        <v>62</v>
      </c>
      <c r="F482" s="18" t="s">
        <v>1307</v>
      </c>
      <c r="G482" s="18" t="s">
        <v>1308</v>
      </c>
      <c r="H482" s="18" t="s">
        <v>2695</v>
      </c>
      <c r="I482" s="18" t="s">
        <v>991</v>
      </c>
      <c r="J482" s="18" t="s">
        <v>2691</v>
      </c>
      <c r="K482" s="18" t="s">
        <v>2691</v>
      </c>
      <c r="L482" s="18" t="s">
        <v>52</v>
      </c>
      <c r="M482" s="18" t="s">
        <v>89</v>
      </c>
      <c r="N482" s="18" t="s">
        <v>861</v>
      </c>
      <c r="O482" s="18" t="s">
        <v>126</v>
      </c>
      <c r="P482" s="18" t="s">
        <v>56</v>
      </c>
      <c r="Q482" s="18" t="s">
        <v>90</v>
      </c>
      <c r="R482" s="18" t="s">
        <v>143</v>
      </c>
      <c r="S482" s="18" t="s">
        <v>59</v>
      </c>
      <c r="T482" s="38">
        <v>2026.0</v>
      </c>
      <c r="U482" s="38">
        <v>5.0</v>
      </c>
      <c r="V482" s="38">
        <v>1.081523182E9</v>
      </c>
      <c r="W482" s="38">
        <v>1.081541252E9</v>
      </c>
      <c r="X482" s="18" t="s">
        <v>2199</v>
      </c>
      <c r="Y482" s="18" t="s">
        <v>2200</v>
      </c>
      <c r="Z482" s="38">
        <v>128422.13</v>
      </c>
      <c r="AA482" s="38">
        <v>128422.13</v>
      </c>
      <c r="AB482" s="38">
        <v>42807.38</v>
      </c>
      <c r="AC482" s="38">
        <v>250.0</v>
      </c>
      <c r="AD482" s="38">
        <v>0.0</v>
      </c>
      <c r="AE482" s="38">
        <v>0.0</v>
      </c>
      <c r="AF482" s="38">
        <v>0.0</v>
      </c>
      <c r="AG482" s="38">
        <v>0.0</v>
      </c>
      <c r="AH482" s="38">
        <v>0.0</v>
      </c>
      <c r="AI482" s="38">
        <v>128422.13</v>
      </c>
      <c r="AJ482" s="38">
        <v>128422.13</v>
      </c>
      <c r="AK482" s="38">
        <v>0.0</v>
      </c>
      <c r="AL482" s="38">
        <v>376.2</v>
      </c>
      <c r="AM482" s="38">
        <v>0.0</v>
      </c>
      <c r="AN482" s="34" t="s">
        <v>62</v>
      </c>
      <c r="AO482" s="34" t="s">
        <v>62</v>
      </c>
      <c r="AP482" s="34" t="s">
        <v>62</v>
      </c>
      <c r="AQ482" s="34" t="s">
        <v>62</v>
      </c>
      <c r="AR482" s="38">
        <v>0.0</v>
      </c>
      <c r="AS482" s="38" t="s">
        <v>2696</v>
      </c>
      <c r="AT482" s="38" t="s">
        <v>2275</v>
      </c>
      <c r="AU482" s="39" t="s">
        <v>2276</v>
      </c>
      <c r="AV482" s="40">
        <v>46163.0</v>
      </c>
    </row>
    <row r="483">
      <c r="A483" s="38">
        <v>386682.0</v>
      </c>
      <c r="B483" s="38">
        <v>370562.0</v>
      </c>
      <c r="C483" s="38">
        <v>378806.0</v>
      </c>
      <c r="D483" s="34" t="s">
        <v>62</v>
      </c>
      <c r="E483" s="34" t="s">
        <v>62</v>
      </c>
      <c r="F483" s="18" t="s">
        <v>1310</v>
      </c>
      <c r="G483" s="18" t="s">
        <v>1311</v>
      </c>
      <c r="H483" s="18" t="s">
        <v>2697</v>
      </c>
      <c r="I483" s="18" t="s">
        <v>991</v>
      </c>
      <c r="J483" s="18" t="s">
        <v>2691</v>
      </c>
      <c r="K483" s="18" t="s">
        <v>2691</v>
      </c>
      <c r="L483" s="18" t="s">
        <v>52</v>
      </c>
      <c r="M483" s="18" t="s">
        <v>89</v>
      </c>
      <c r="N483" s="18" t="s">
        <v>861</v>
      </c>
      <c r="O483" s="18" t="s">
        <v>126</v>
      </c>
      <c r="P483" s="18" t="s">
        <v>56</v>
      </c>
      <c r="Q483" s="18" t="s">
        <v>90</v>
      </c>
      <c r="R483" s="18" t="s">
        <v>143</v>
      </c>
      <c r="S483" s="18" t="s">
        <v>59</v>
      </c>
      <c r="T483" s="38">
        <v>2026.0</v>
      </c>
      <c r="U483" s="38">
        <v>5.0</v>
      </c>
      <c r="V483" s="38">
        <v>1.081523184E9</v>
      </c>
      <c r="W483" s="38">
        <v>1.081541254E9</v>
      </c>
      <c r="X483" s="18" t="s">
        <v>2199</v>
      </c>
      <c r="Y483" s="18" t="s">
        <v>2200</v>
      </c>
      <c r="Z483" s="38">
        <v>128422.13</v>
      </c>
      <c r="AA483" s="38">
        <v>128422.13</v>
      </c>
      <c r="AB483" s="38">
        <v>42807.38</v>
      </c>
      <c r="AC483" s="38">
        <v>250.0</v>
      </c>
      <c r="AD483" s="38">
        <v>0.0</v>
      </c>
      <c r="AE483" s="38">
        <v>0.0</v>
      </c>
      <c r="AF483" s="38">
        <v>0.0</v>
      </c>
      <c r="AG483" s="38">
        <v>0.0</v>
      </c>
      <c r="AH483" s="38">
        <v>0.0</v>
      </c>
      <c r="AI483" s="38">
        <v>128422.13</v>
      </c>
      <c r="AJ483" s="38">
        <v>128422.13</v>
      </c>
      <c r="AK483" s="38">
        <v>0.0</v>
      </c>
      <c r="AL483" s="38">
        <v>376.2</v>
      </c>
      <c r="AM483" s="38">
        <v>0.0</v>
      </c>
      <c r="AN483" s="34" t="s">
        <v>62</v>
      </c>
      <c r="AO483" s="34" t="s">
        <v>62</v>
      </c>
      <c r="AP483" s="34" t="s">
        <v>62</v>
      </c>
      <c r="AQ483" s="34" t="s">
        <v>62</v>
      </c>
      <c r="AR483" s="38">
        <v>0.0</v>
      </c>
      <c r="AS483" s="38" t="s">
        <v>2698</v>
      </c>
      <c r="AT483" s="38" t="s">
        <v>2275</v>
      </c>
      <c r="AU483" s="39" t="s">
        <v>2276</v>
      </c>
      <c r="AV483" s="40">
        <v>46163.0</v>
      </c>
    </row>
    <row r="484">
      <c r="A484" s="38">
        <v>684.0</v>
      </c>
      <c r="B484" s="38">
        <v>371630.0</v>
      </c>
      <c r="C484" s="38">
        <v>380790.0</v>
      </c>
      <c r="D484" s="34" t="s">
        <v>62</v>
      </c>
      <c r="E484" s="34" t="s">
        <v>62</v>
      </c>
      <c r="F484" s="18" t="s">
        <v>1052</v>
      </c>
      <c r="G484" s="18" t="s">
        <v>1053</v>
      </c>
      <c r="H484" s="18" t="s">
        <v>2699</v>
      </c>
      <c r="I484" s="18" t="s">
        <v>991</v>
      </c>
      <c r="J484" s="18" t="s">
        <v>2700</v>
      </c>
      <c r="K484" s="18" t="s">
        <v>2700</v>
      </c>
      <c r="L484" s="18" t="s">
        <v>52</v>
      </c>
      <c r="M484" s="18" t="s">
        <v>89</v>
      </c>
      <c r="N484" s="18" t="s">
        <v>861</v>
      </c>
      <c r="O484" s="18" t="s">
        <v>126</v>
      </c>
      <c r="P484" s="18" t="s">
        <v>131</v>
      </c>
      <c r="Q484" s="18" t="s">
        <v>132</v>
      </c>
      <c r="R484" s="18" t="s">
        <v>133</v>
      </c>
      <c r="S484" s="18" t="s">
        <v>59</v>
      </c>
      <c r="T484" s="38">
        <v>2026.0</v>
      </c>
      <c r="U484" s="38">
        <v>5.0</v>
      </c>
      <c r="V484" s="38">
        <v>1.081523188E9</v>
      </c>
      <c r="W484" s="38">
        <v>1.081541258E9</v>
      </c>
      <c r="X484" s="18" t="s">
        <v>2199</v>
      </c>
      <c r="Y484" s="18" t="s">
        <v>2200</v>
      </c>
      <c r="Z484" s="38">
        <v>117586.97</v>
      </c>
      <c r="AA484" s="38">
        <v>117586.97</v>
      </c>
      <c r="AB484" s="38">
        <v>37970.5</v>
      </c>
      <c r="AC484" s="38">
        <v>0.0</v>
      </c>
      <c r="AD484" s="38">
        <v>3675.47</v>
      </c>
      <c r="AE484" s="38">
        <v>0.0</v>
      </c>
      <c r="AF484" s="38">
        <v>0.0</v>
      </c>
      <c r="AG484" s="38">
        <v>0.0</v>
      </c>
      <c r="AH484" s="38">
        <v>0.0</v>
      </c>
      <c r="AI484" s="38">
        <v>117586.97</v>
      </c>
      <c r="AJ484" s="38">
        <v>379636.22</v>
      </c>
      <c r="AK484" s="38">
        <v>4.0</v>
      </c>
      <c r="AL484" s="38">
        <v>376.2</v>
      </c>
      <c r="AM484" s="38">
        <v>0.0</v>
      </c>
      <c r="AN484" s="34" t="s">
        <v>62</v>
      </c>
      <c r="AO484" s="34" t="s">
        <v>62</v>
      </c>
      <c r="AP484" s="34" t="s">
        <v>62</v>
      </c>
      <c r="AQ484" s="34" t="s">
        <v>62</v>
      </c>
      <c r="AR484" s="38">
        <v>0.0</v>
      </c>
      <c r="AS484" s="38" t="s">
        <v>2701</v>
      </c>
      <c r="AT484" s="35" t="s">
        <v>2202</v>
      </c>
      <c r="AU484" s="39" t="s">
        <v>2203</v>
      </c>
      <c r="AV484" s="40">
        <v>46164.0</v>
      </c>
    </row>
    <row r="485">
      <c r="A485" s="38">
        <v>387.0</v>
      </c>
      <c r="B485" s="38">
        <v>386.0</v>
      </c>
      <c r="C485" s="38">
        <v>386.0</v>
      </c>
      <c r="D485" s="38">
        <v>9.0243249E7</v>
      </c>
      <c r="E485" s="38">
        <v>9.0243249E7</v>
      </c>
      <c r="F485" s="18" t="s">
        <v>1314</v>
      </c>
      <c r="G485" s="18" t="s">
        <v>1315</v>
      </c>
      <c r="H485" s="18" t="s">
        <v>2702</v>
      </c>
      <c r="I485" s="18" t="s">
        <v>982</v>
      </c>
      <c r="J485" s="18" t="s">
        <v>2205</v>
      </c>
      <c r="K485" s="18" t="s">
        <v>2205</v>
      </c>
      <c r="L485" s="18" t="s">
        <v>52</v>
      </c>
      <c r="M485" s="18" t="s">
        <v>89</v>
      </c>
      <c r="N485" s="18" t="s">
        <v>861</v>
      </c>
      <c r="O485" s="18" t="s">
        <v>126</v>
      </c>
      <c r="P485" s="18" t="s">
        <v>56</v>
      </c>
      <c r="Q485" s="18" t="s">
        <v>90</v>
      </c>
      <c r="R485" s="18" t="s">
        <v>143</v>
      </c>
      <c r="S485" s="18" t="s">
        <v>59</v>
      </c>
      <c r="T485" s="38">
        <v>2026.0</v>
      </c>
      <c r="U485" s="38">
        <v>5.0</v>
      </c>
      <c r="V485" s="38">
        <v>1.081522874E9</v>
      </c>
      <c r="W485" s="38">
        <v>1.081540944E9</v>
      </c>
      <c r="X485" s="18" t="s">
        <v>2199</v>
      </c>
      <c r="Y485" s="18" t="s">
        <v>2200</v>
      </c>
      <c r="Z485" s="38">
        <v>484317.75</v>
      </c>
      <c r="AA485" s="38">
        <v>484317.75</v>
      </c>
      <c r="AB485" s="38">
        <v>161439.25</v>
      </c>
      <c r="AC485" s="38">
        <v>1500.0</v>
      </c>
      <c r="AD485" s="38">
        <v>0.0</v>
      </c>
      <c r="AE485" s="38">
        <v>0.0</v>
      </c>
      <c r="AF485" s="38">
        <v>0.0</v>
      </c>
      <c r="AG485" s="38">
        <v>0.0</v>
      </c>
      <c r="AH485" s="38">
        <v>0.0</v>
      </c>
      <c r="AI485" s="38">
        <v>484317.75</v>
      </c>
      <c r="AJ485" s="38">
        <v>484318.5</v>
      </c>
      <c r="AK485" s="38">
        <v>1.0</v>
      </c>
      <c r="AL485" s="38">
        <v>376.2</v>
      </c>
      <c r="AM485" s="38">
        <v>0.0</v>
      </c>
      <c r="AN485" s="34" t="s">
        <v>62</v>
      </c>
      <c r="AO485" s="34" t="s">
        <v>62</v>
      </c>
      <c r="AP485" s="34" t="s">
        <v>62</v>
      </c>
      <c r="AQ485" s="34" t="s">
        <v>62</v>
      </c>
      <c r="AR485" s="38">
        <v>0.0</v>
      </c>
      <c r="AS485" s="38" t="s">
        <v>2703</v>
      </c>
      <c r="AT485" s="35" t="s">
        <v>2202</v>
      </c>
      <c r="AU485" s="39" t="s">
        <v>2254</v>
      </c>
      <c r="AV485" s="40">
        <v>46170.0</v>
      </c>
    </row>
    <row r="486">
      <c r="A486" s="38">
        <v>391.0</v>
      </c>
      <c r="B486" s="38">
        <v>390.0</v>
      </c>
      <c r="C486" s="38">
        <v>390.0</v>
      </c>
      <c r="D486" s="38">
        <v>9.0243332E7</v>
      </c>
      <c r="E486" s="38">
        <v>9.0243332E7</v>
      </c>
      <c r="F486" s="18" t="s">
        <v>1317</v>
      </c>
      <c r="G486" s="18" t="s">
        <v>1318</v>
      </c>
      <c r="H486" s="18" t="s">
        <v>2704</v>
      </c>
      <c r="I486" s="18" t="s">
        <v>982</v>
      </c>
      <c r="J486" s="18" t="s">
        <v>2205</v>
      </c>
      <c r="K486" s="18" t="s">
        <v>2205</v>
      </c>
      <c r="L486" s="18" t="s">
        <v>52</v>
      </c>
      <c r="M486" s="18" t="s">
        <v>89</v>
      </c>
      <c r="N486" s="18" t="s">
        <v>861</v>
      </c>
      <c r="O486" s="18" t="s">
        <v>126</v>
      </c>
      <c r="P486" s="18" t="s">
        <v>56</v>
      </c>
      <c r="Q486" s="18" t="s">
        <v>90</v>
      </c>
      <c r="R486" s="18" t="s">
        <v>143</v>
      </c>
      <c r="S486" s="18" t="s">
        <v>59</v>
      </c>
      <c r="T486" s="38">
        <v>2026.0</v>
      </c>
      <c r="U486" s="38">
        <v>5.0</v>
      </c>
      <c r="V486" s="38">
        <v>1.081522878E9</v>
      </c>
      <c r="W486" s="38">
        <v>1.081540948E9</v>
      </c>
      <c r="X486" s="18" t="s">
        <v>2199</v>
      </c>
      <c r="Y486" s="18" t="s">
        <v>2200</v>
      </c>
      <c r="Z486" s="38">
        <v>427374.45</v>
      </c>
      <c r="AA486" s="38">
        <v>427374.45</v>
      </c>
      <c r="AB486" s="38">
        <v>142458.15</v>
      </c>
      <c r="AC486" s="38">
        <v>1300.0</v>
      </c>
      <c r="AD486" s="38">
        <v>0.0</v>
      </c>
      <c r="AE486" s="38">
        <v>0.0</v>
      </c>
      <c r="AF486" s="38">
        <v>0.0</v>
      </c>
      <c r="AG486" s="38">
        <v>0.0</v>
      </c>
      <c r="AH486" s="38">
        <v>0.0</v>
      </c>
      <c r="AI486" s="38">
        <v>427374.45</v>
      </c>
      <c r="AJ486" s="38">
        <v>427374.45</v>
      </c>
      <c r="AK486" s="38">
        <v>0.0</v>
      </c>
      <c r="AL486" s="38">
        <v>376.2</v>
      </c>
      <c r="AM486" s="38">
        <v>0.0</v>
      </c>
      <c r="AN486" s="34" t="s">
        <v>62</v>
      </c>
      <c r="AO486" s="34" t="s">
        <v>62</v>
      </c>
      <c r="AP486" s="34" t="s">
        <v>62</v>
      </c>
      <c r="AQ486" s="34" t="s">
        <v>62</v>
      </c>
      <c r="AR486" s="38">
        <v>0.0</v>
      </c>
      <c r="AS486" s="38" t="s">
        <v>2705</v>
      </c>
      <c r="AT486" s="35" t="s">
        <v>2202</v>
      </c>
      <c r="AU486" s="39" t="s">
        <v>2254</v>
      </c>
      <c r="AV486" s="40">
        <v>46170.0</v>
      </c>
    </row>
    <row r="487">
      <c r="A487" s="38">
        <v>455370.0</v>
      </c>
      <c r="B487" s="38">
        <v>398.0</v>
      </c>
      <c r="C487" s="38">
        <v>398.0</v>
      </c>
      <c r="D487" s="38">
        <v>9.0244297E7</v>
      </c>
      <c r="E487" s="38">
        <v>9.0244297E7</v>
      </c>
      <c r="F487" s="18" t="s">
        <v>148</v>
      </c>
      <c r="G487" s="18" t="s">
        <v>149</v>
      </c>
      <c r="H487" s="18" t="s">
        <v>2296</v>
      </c>
      <c r="I487" s="18" t="s">
        <v>1320</v>
      </c>
      <c r="J487" s="18" t="s">
        <v>2205</v>
      </c>
      <c r="K487" s="18" t="s">
        <v>2611</v>
      </c>
      <c r="L487" s="18" t="s">
        <v>52</v>
      </c>
      <c r="M487" s="18" t="s">
        <v>53</v>
      </c>
      <c r="N487" s="18" t="s">
        <v>861</v>
      </c>
      <c r="O487" s="18" t="s">
        <v>126</v>
      </c>
      <c r="P487" s="18" t="s">
        <v>56</v>
      </c>
      <c r="Q487" s="18" t="s">
        <v>57</v>
      </c>
      <c r="R487" s="18" t="s">
        <v>143</v>
      </c>
      <c r="S487" s="18" t="s">
        <v>59</v>
      </c>
      <c r="T487" s="38">
        <v>2026.0</v>
      </c>
      <c r="U487" s="38">
        <v>5.0</v>
      </c>
      <c r="V487" s="38">
        <v>1.081522881E9</v>
      </c>
      <c r="W487" s="38">
        <v>1.081540951E9</v>
      </c>
      <c r="X487" s="18" t="s">
        <v>2199</v>
      </c>
      <c r="Y487" s="18" t="s">
        <v>2200</v>
      </c>
      <c r="Z487" s="38">
        <v>201399.46</v>
      </c>
      <c r="AA487" s="38">
        <v>201399.46</v>
      </c>
      <c r="AB487" s="38">
        <v>0.0</v>
      </c>
      <c r="AC487" s="38">
        <v>860.0</v>
      </c>
      <c r="AD487" s="38">
        <v>0.0</v>
      </c>
      <c r="AE487" s="38">
        <v>0.0</v>
      </c>
      <c r="AF487" s="38">
        <v>0.0</v>
      </c>
      <c r="AG487" s="38">
        <v>0.0</v>
      </c>
      <c r="AH487" s="38">
        <v>0.0</v>
      </c>
      <c r="AI487" s="38">
        <v>201399.46</v>
      </c>
      <c r="AJ487" s="38">
        <v>561262.74</v>
      </c>
      <c r="AK487" s="38">
        <v>3.0</v>
      </c>
      <c r="AL487" s="38">
        <v>250.8</v>
      </c>
      <c r="AM487" s="38">
        <v>0.0</v>
      </c>
      <c r="AN487" s="34" t="s">
        <v>62</v>
      </c>
      <c r="AO487" s="34" t="s">
        <v>62</v>
      </c>
      <c r="AP487" s="34" t="s">
        <v>62</v>
      </c>
      <c r="AQ487" s="34" t="s">
        <v>62</v>
      </c>
      <c r="AR487" s="38">
        <v>0.0</v>
      </c>
      <c r="AS487" s="38" t="s">
        <v>2293</v>
      </c>
      <c r="AT487" s="35" t="s">
        <v>2294</v>
      </c>
      <c r="AU487" s="39" t="s">
        <v>2295</v>
      </c>
      <c r="AV487" s="40">
        <v>46164.0</v>
      </c>
    </row>
    <row r="488">
      <c r="A488" s="38">
        <v>455370.0</v>
      </c>
      <c r="B488" s="38">
        <v>402.0</v>
      </c>
      <c r="C488" s="38">
        <v>402.0</v>
      </c>
      <c r="D488" s="38">
        <v>9.0245092E7</v>
      </c>
      <c r="E488" s="38">
        <v>9.0245092E7</v>
      </c>
      <c r="F488" s="18" t="s">
        <v>148</v>
      </c>
      <c r="G488" s="18" t="s">
        <v>149</v>
      </c>
      <c r="H488" s="18" t="s">
        <v>2296</v>
      </c>
      <c r="I488" s="18" t="s">
        <v>1322</v>
      </c>
      <c r="J488" s="18" t="s">
        <v>2205</v>
      </c>
      <c r="K488" s="18" t="s">
        <v>2611</v>
      </c>
      <c r="L488" s="18" t="s">
        <v>52</v>
      </c>
      <c r="M488" s="18" t="s">
        <v>53</v>
      </c>
      <c r="N488" s="18" t="s">
        <v>861</v>
      </c>
      <c r="O488" s="18" t="s">
        <v>126</v>
      </c>
      <c r="P488" s="18" t="s">
        <v>56</v>
      </c>
      <c r="Q488" s="18" t="s">
        <v>57</v>
      </c>
      <c r="R488" s="18" t="s">
        <v>143</v>
      </c>
      <c r="S488" s="18" t="s">
        <v>59</v>
      </c>
      <c r="T488" s="38">
        <v>2026.0</v>
      </c>
      <c r="U488" s="38">
        <v>5.0</v>
      </c>
      <c r="V488" s="38">
        <v>1.081522885E9</v>
      </c>
      <c r="W488" s="38">
        <v>1.081540955E9</v>
      </c>
      <c r="X488" s="18" t="s">
        <v>2199</v>
      </c>
      <c r="Y488" s="18" t="s">
        <v>2200</v>
      </c>
      <c r="Z488" s="38">
        <v>164386.32</v>
      </c>
      <c r="AA488" s="38">
        <v>164386.32</v>
      </c>
      <c r="AB488" s="38">
        <v>0.0</v>
      </c>
      <c r="AC488" s="38">
        <v>665.0</v>
      </c>
      <c r="AD488" s="38">
        <v>0.0</v>
      </c>
      <c r="AE488" s="38">
        <v>0.0</v>
      </c>
      <c r="AF488" s="38">
        <v>0.0</v>
      </c>
      <c r="AG488" s="38">
        <v>0.0</v>
      </c>
      <c r="AH488" s="38">
        <v>0.0</v>
      </c>
      <c r="AI488" s="38">
        <v>164386.32</v>
      </c>
      <c r="AJ488" s="38">
        <v>488125.27</v>
      </c>
      <c r="AK488" s="38">
        <v>3.0</v>
      </c>
      <c r="AL488" s="38">
        <v>250.8</v>
      </c>
      <c r="AM488" s="38">
        <v>0.0</v>
      </c>
      <c r="AN488" s="34" t="s">
        <v>62</v>
      </c>
      <c r="AO488" s="34" t="s">
        <v>62</v>
      </c>
      <c r="AP488" s="34" t="s">
        <v>62</v>
      </c>
      <c r="AQ488" s="34" t="s">
        <v>62</v>
      </c>
      <c r="AR488" s="38">
        <v>0.0</v>
      </c>
      <c r="AS488" s="38" t="s">
        <v>2293</v>
      </c>
      <c r="AT488" s="35" t="s">
        <v>2294</v>
      </c>
      <c r="AU488" s="39" t="s">
        <v>2295</v>
      </c>
      <c r="AV488" s="40">
        <v>46164.0</v>
      </c>
    </row>
    <row r="489">
      <c r="A489" s="38">
        <v>407.0</v>
      </c>
      <c r="B489" s="38">
        <v>406.0</v>
      </c>
      <c r="C489" s="38">
        <v>406.0</v>
      </c>
      <c r="D489" s="38">
        <v>9.0247667E7</v>
      </c>
      <c r="E489" s="38">
        <v>9.0247667E7</v>
      </c>
      <c r="F489" s="38">
        <v>9.00378558E8</v>
      </c>
      <c r="G489" s="18" t="s">
        <v>1324</v>
      </c>
      <c r="H489" s="18" t="s">
        <v>2706</v>
      </c>
      <c r="I489" s="18" t="s">
        <v>1325</v>
      </c>
      <c r="J489" s="18" t="s">
        <v>2205</v>
      </c>
      <c r="K489" s="18" t="s">
        <v>2205</v>
      </c>
      <c r="L489" s="18" t="s">
        <v>52</v>
      </c>
      <c r="M489" s="18" t="s">
        <v>89</v>
      </c>
      <c r="N489" s="18" t="s">
        <v>861</v>
      </c>
      <c r="O489" s="18" t="s">
        <v>126</v>
      </c>
      <c r="P489" s="18" t="s">
        <v>56</v>
      </c>
      <c r="Q489" s="18" t="s">
        <v>90</v>
      </c>
      <c r="R489" s="18" t="s">
        <v>143</v>
      </c>
      <c r="S489" s="18" t="s">
        <v>59</v>
      </c>
      <c r="T489" s="38">
        <v>2026.0</v>
      </c>
      <c r="U489" s="38">
        <v>5.0</v>
      </c>
      <c r="V489" s="38">
        <v>1.081522888E9</v>
      </c>
      <c r="W489" s="38">
        <v>1.081540958E9</v>
      </c>
      <c r="X489" s="18" t="s">
        <v>2199</v>
      </c>
      <c r="Y489" s="18" t="s">
        <v>2200</v>
      </c>
      <c r="Z489" s="38">
        <v>192258.1</v>
      </c>
      <c r="AA489" s="38">
        <v>192258.1</v>
      </c>
      <c r="AB489" s="38">
        <v>52297.93</v>
      </c>
      <c r="AC489" s="38">
        <v>350.0</v>
      </c>
      <c r="AD489" s="38">
        <v>35364.32</v>
      </c>
      <c r="AE489" s="38">
        <v>0.0</v>
      </c>
      <c r="AF489" s="38">
        <v>0.0</v>
      </c>
      <c r="AG489" s="38">
        <v>0.0</v>
      </c>
      <c r="AH489" s="38">
        <v>0.0</v>
      </c>
      <c r="AI489" s="38">
        <v>192258.1</v>
      </c>
      <c r="AJ489" s="38">
        <v>2286270.43</v>
      </c>
      <c r="AK489" s="38">
        <v>14.0</v>
      </c>
      <c r="AL489" s="38">
        <v>376.2</v>
      </c>
      <c r="AM489" s="38">
        <v>0.0</v>
      </c>
      <c r="AN489" s="34" t="s">
        <v>62</v>
      </c>
      <c r="AO489" s="34" t="s">
        <v>62</v>
      </c>
      <c r="AP489" s="34" t="s">
        <v>62</v>
      </c>
      <c r="AQ489" s="34" t="s">
        <v>62</v>
      </c>
      <c r="AR489" s="38">
        <v>0.0</v>
      </c>
      <c r="AS489" s="38" t="s">
        <v>2707</v>
      </c>
      <c r="AT489" s="35" t="s">
        <v>2202</v>
      </c>
      <c r="AU489" s="39" t="s">
        <v>2254</v>
      </c>
      <c r="AV489" s="40">
        <v>46170.0</v>
      </c>
    </row>
    <row r="490">
      <c r="A490" s="38">
        <v>455370.0</v>
      </c>
      <c r="B490" s="38">
        <v>410.0</v>
      </c>
      <c r="C490" s="38">
        <v>410.0</v>
      </c>
      <c r="D490" s="38">
        <v>9.0249679E7</v>
      </c>
      <c r="E490" s="38">
        <v>9.0249679E7</v>
      </c>
      <c r="F490" s="18" t="s">
        <v>148</v>
      </c>
      <c r="G490" s="18" t="s">
        <v>149</v>
      </c>
      <c r="H490" s="18" t="s">
        <v>2296</v>
      </c>
      <c r="I490" s="18" t="s">
        <v>1021</v>
      </c>
      <c r="J490" s="18" t="s">
        <v>2205</v>
      </c>
      <c r="K490" s="18" t="s">
        <v>2611</v>
      </c>
      <c r="L490" s="18" t="s">
        <v>52</v>
      </c>
      <c r="M490" s="18" t="s">
        <v>53</v>
      </c>
      <c r="N490" s="18" t="s">
        <v>861</v>
      </c>
      <c r="O490" s="18" t="s">
        <v>126</v>
      </c>
      <c r="P490" s="18" t="s">
        <v>56</v>
      </c>
      <c r="Q490" s="18" t="s">
        <v>57</v>
      </c>
      <c r="R490" s="18" t="s">
        <v>143</v>
      </c>
      <c r="S490" s="18" t="s">
        <v>59</v>
      </c>
      <c r="T490" s="38">
        <v>2026.0</v>
      </c>
      <c r="U490" s="38">
        <v>5.0</v>
      </c>
      <c r="V490" s="38">
        <v>1.081522893E9</v>
      </c>
      <c r="W490" s="38">
        <v>1.081540963E9</v>
      </c>
      <c r="X490" s="18" t="s">
        <v>2199</v>
      </c>
      <c r="Y490" s="18" t="s">
        <v>2200</v>
      </c>
      <c r="Z490" s="38">
        <v>153946.71</v>
      </c>
      <c r="AA490" s="38">
        <v>153946.71</v>
      </c>
      <c r="AB490" s="38">
        <v>0.0</v>
      </c>
      <c r="AC490" s="38">
        <v>610.0</v>
      </c>
      <c r="AD490" s="38">
        <v>0.0</v>
      </c>
      <c r="AE490" s="38">
        <v>0.0</v>
      </c>
      <c r="AF490" s="38">
        <v>0.0</v>
      </c>
      <c r="AG490" s="38">
        <v>0.0</v>
      </c>
      <c r="AH490" s="38">
        <v>0.0</v>
      </c>
      <c r="AI490" s="38">
        <v>153946.71</v>
      </c>
      <c r="AJ490" s="38">
        <v>467496.74</v>
      </c>
      <c r="AK490" s="38">
        <v>3.0</v>
      </c>
      <c r="AL490" s="38">
        <v>250.8</v>
      </c>
      <c r="AM490" s="38">
        <v>0.0</v>
      </c>
      <c r="AN490" s="34" t="s">
        <v>62</v>
      </c>
      <c r="AO490" s="34" t="s">
        <v>62</v>
      </c>
      <c r="AP490" s="34" t="s">
        <v>62</v>
      </c>
      <c r="AQ490" s="34" t="s">
        <v>62</v>
      </c>
      <c r="AR490" s="38">
        <v>0.0</v>
      </c>
      <c r="AS490" s="38" t="s">
        <v>2293</v>
      </c>
      <c r="AT490" s="35" t="s">
        <v>2294</v>
      </c>
      <c r="AU490" s="39" t="s">
        <v>2295</v>
      </c>
      <c r="AV490" s="40">
        <v>46164.0</v>
      </c>
    </row>
    <row r="491">
      <c r="A491" s="38">
        <v>455370.0</v>
      </c>
      <c r="B491" s="38">
        <v>414.0</v>
      </c>
      <c r="C491" s="38">
        <v>414.0</v>
      </c>
      <c r="D491" s="38">
        <v>9.0250763E7</v>
      </c>
      <c r="E491" s="38">
        <v>9.0250763E7</v>
      </c>
      <c r="F491" s="18" t="s">
        <v>148</v>
      </c>
      <c r="G491" s="18" t="s">
        <v>149</v>
      </c>
      <c r="H491" s="18" t="s">
        <v>2296</v>
      </c>
      <c r="I491" s="18" t="s">
        <v>1021</v>
      </c>
      <c r="J491" s="18" t="s">
        <v>2205</v>
      </c>
      <c r="K491" s="18" t="s">
        <v>2611</v>
      </c>
      <c r="L491" s="18" t="s">
        <v>52</v>
      </c>
      <c r="M491" s="18" t="s">
        <v>53</v>
      </c>
      <c r="N491" s="18" t="s">
        <v>861</v>
      </c>
      <c r="O491" s="18" t="s">
        <v>126</v>
      </c>
      <c r="P491" s="18" t="s">
        <v>56</v>
      </c>
      <c r="Q491" s="18" t="s">
        <v>57</v>
      </c>
      <c r="R491" s="18" t="s">
        <v>143</v>
      </c>
      <c r="S491" s="18" t="s">
        <v>59</v>
      </c>
      <c r="T491" s="38">
        <v>2026.0</v>
      </c>
      <c r="U491" s="38">
        <v>5.0</v>
      </c>
      <c r="V491" s="38">
        <v>1.081522897E9</v>
      </c>
      <c r="W491" s="38">
        <v>1.081540967E9</v>
      </c>
      <c r="X491" s="18" t="s">
        <v>2199</v>
      </c>
      <c r="Y491" s="18" t="s">
        <v>2200</v>
      </c>
      <c r="Z491" s="38">
        <v>232718.28</v>
      </c>
      <c r="AA491" s="38">
        <v>232718.28</v>
      </c>
      <c r="AB491" s="38">
        <v>0.0</v>
      </c>
      <c r="AC491" s="38">
        <v>1025.0</v>
      </c>
      <c r="AD491" s="38">
        <v>0.0</v>
      </c>
      <c r="AE491" s="38">
        <v>0.0</v>
      </c>
      <c r="AF491" s="38">
        <v>0.0</v>
      </c>
      <c r="AG491" s="38">
        <v>0.0</v>
      </c>
      <c r="AH491" s="38">
        <v>0.0</v>
      </c>
      <c r="AI491" s="38">
        <v>232718.28</v>
      </c>
      <c r="AJ491" s="38">
        <v>623148.31</v>
      </c>
      <c r="AK491" s="38">
        <v>3.0</v>
      </c>
      <c r="AL491" s="38">
        <v>250.8</v>
      </c>
      <c r="AM491" s="38">
        <v>0.0</v>
      </c>
      <c r="AN491" s="34" t="s">
        <v>62</v>
      </c>
      <c r="AO491" s="34" t="s">
        <v>62</v>
      </c>
      <c r="AP491" s="34" t="s">
        <v>62</v>
      </c>
      <c r="AQ491" s="34" t="s">
        <v>62</v>
      </c>
      <c r="AR491" s="38">
        <v>0.0</v>
      </c>
      <c r="AS491" s="38" t="s">
        <v>2293</v>
      </c>
      <c r="AT491" s="35" t="s">
        <v>2294</v>
      </c>
      <c r="AU491" s="39" t="s">
        <v>2295</v>
      </c>
      <c r="AV491" s="40">
        <v>46164.0</v>
      </c>
    </row>
    <row r="492">
      <c r="A492" s="38">
        <v>419.0</v>
      </c>
      <c r="B492" s="38">
        <v>418.0</v>
      </c>
      <c r="C492" s="38">
        <v>418.0</v>
      </c>
      <c r="D492" s="38">
        <v>9.0251637E7</v>
      </c>
      <c r="E492" s="38">
        <v>9.0251637E7</v>
      </c>
      <c r="F492" s="18" t="s">
        <v>875</v>
      </c>
      <c r="G492" s="18" t="s">
        <v>1329</v>
      </c>
      <c r="H492" s="18" t="s">
        <v>2708</v>
      </c>
      <c r="I492" s="18" t="s">
        <v>1021</v>
      </c>
      <c r="J492" s="18" t="s">
        <v>2205</v>
      </c>
      <c r="K492" s="18" t="s">
        <v>2684</v>
      </c>
      <c r="L492" s="18" t="s">
        <v>52</v>
      </c>
      <c r="M492" s="18" t="s">
        <v>89</v>
      </c>
      <c r="N492" s="18" t="s">
        <v>861</v>
      </c>
      <c r="O492" s="18" t="s">
        <v>126</v>
      </c>
      <c r="P492" s="18" t="s">
        <v>56</v>
      </c>
      <c r="Q492" s="18" t="s">
        <v>57</v>
      </c>
      <c r="R492" s="18" t="s">
        <v>143</v>
      </c>
      <c r="S492" s="18" t="s">
        <v>59</v>
      </c>
      <c r="T492" s="38">
        <v>2026.0</v>
      </c>
      <c r="U492" s="38">
        <v>5.0</v>
      </c>
      <c r="V492" s="38">
        <v>1.081522901E9</v>
      </c>
      <c r="W492" s="38">
        <v>1.081540971E9</v>
      </c>
      <c r="X492" s="18" t="s">
        <v>2199</v>
      </c>
      <c r="Y492" s="18" t="s">
        <v>2200</v>
      </c>
      <c r="Z492" s="38">
        <v>3080832.33</v>
      </c>
      <c r="AA492" s="38">
        <v>3080832.33</v>
      </c>
      <c r="AB492" s="38">
        <v>0.0</v>
      </c>
      <c r="AC492" s="38">
        <v>16030.0</v>
      </c>
      <c r="AD492" s="38">
        <v>0.0</v>
      </c>
      <c r="AE492" s="38">
        <v>0.0</v>
      </c>
      <c r="AF492" s="38">
        <v>0.0</v>
      </c>
      <c r="AG492" s="38">
        <v>0.0</v>
      </c>
      <c r="AH492" s="38">
        <v>0.0</v>
      </c>
      <c r="AI492" s="38">
        <v>3080832.33</v>
      </c>
      <c r="AJ492" s="38">
        <v>1.419282476E7</v>
      </c>
      <c r="AK492" s="38">
        <v>4.0</v>
      </c>
      <c r="AL492" s="38">
        <v>250.8</v>
      </c>
      <c r="AM492" s="38">
        <v>0.0</v>
      </c>
      <c r="AN492" s="34" t="s">
        <v>62</v>
      </c>
      <c r="AO492" s="34" t="s">
        <v>62</v>
      </c>
      <c r="AP492" s="34" t="s">
        <v>62</v>
      </c>
      <c r="AQ492" s="34" t="s">
        <v>62</v>
      </c>
      <c r="AR492" s="38">
        <v>0.0</v>
      </c>
      <c r="AS492" s="38" t="s">
        <v>2685</v>
      </c>
      <c r="AT492" s="35" t="s">
        <v>2294</v>
      </c>
      <c r="AU492" s="39" t="s">
        <v>2295</v>
      </c>
      <c r="AV492" s="40">
        <v>46164.0</v>
      </c>
    </row>
    <row r="493">
      <c r="A493" s="49">
        <v>423.0</v>
      </c>
      <c r="B493" s="49">
        <v>422.0</v>
      </c>
      <c r="C493" s="49">
        <v>422.0</v>
      </c>
      <c r="D493" s="49">
        <v>9.0253246E7</v>
      </c>
      <c r="E493" s="49">
        <v>9.0253246E7</v>
      </c>
      <c r="F493" s="49">
        <v>860001.0</v>
      </c>
      <c r="G493" s="50" t="s">
        <v>1331</v>
      </c>
      <c r="H493" s="18" t="s">
        <v>2709</v>
      </c>
      <c r="I493" s="18" t="s">
        <v>877</v>
      </c>
      <c r="J493" s="18" t="s">
        <v>2205</v>
      </c>
      <c r="K493" s="18" t="s">
        <v>2205</v>
      </c>
      <c r="L493" s="50" t="s">
        <v>52</v>
      </c>
      <c r="M493" s="50" t="s">
        <v>89</v>
      </c>
      <c r="N493" s="50" t="s">
        <v>861</v>
      </c>
      <c r="O493" s="50" t="s">
        <v>126</v>
      </c>
      <c r="P493" s="50" t="s">
        <v>56</v>
      </c>
      <c r="Q493" s="50" t="s">
        <v>90</v>
      </c>
      <c r="R493" s="50" t="s">
        <v>58</v>
      </c>
      <c r="S493" s="50" t="s">
        <v>59</v>
      </c>
      <c r="T493" s="49">
        <v>2026.0</v>
      </c>
      <c r="U493" s="49">
        <v>5.0</v>
      </c>
      <c r="V493" s="49">
        <v>1.081522905E9</v>
      </c>
      <c r="W493" s="49">
        <v>1.081540975E9</v>
      </c>
      <c r="X493" s="50" t="s">
        <v>2199</v>
      </c>
      <c r="Y493" s="50" t="s">
        <v>2200</v>
      </c>
      <c r="Z493" s="49">
        <v>4559322.68</v>
      </c>
      <c r="AA493" s="49">
        <v>4559322.68</v>
      </c>
      <c r="AB493" s="49">
        <v>1519774.23</v>
      </c>
      <c r="AC493" s="49">
        <v>15812.5</v>
      </c>
      <c r="AD493" s="49">
        <v>0.0</v>
      </c>
      <c r="AE493" s="49">
        <v>0.0</v>
      </c>
      <c r="AF493" s="49">
        <v>0.0</v>
      </c>
      <c r="AG493" s="49">
        <v>0.0</v>
      </c>
      <c r="AH493" s="49">
        <v>0.0</v>
      </c>
      <c r="AI493" s="49">
        <v>4559322.59</v>
      </c>
      <c r="AJ493" s="49">
        <v>4559322.59</v>
      </c>
      <c r="AK493" s="49">
        <v>0.0</v>
      </c>
      <c r="AL493" s="49">
        <v>376.2</v>
      </c>
      <c r="AM493" s="49">
        <v>0.0</v>
      </c>
      <c r="AN493" s="51" t="s">
        <v>62</v>
      </c>
      <c r="AO493" s="51" t="s">
        <v>62</v>
      </c>
      <c r="AP493" s="49">
        <v>0.09</v>
      </c>
      <c r="AQ493" s="51" t="s">
        <v>62</v>
      </c>
      <c r="AR493" s="49">
        <v>0.0</v>
      </c>
      <c r="AS493" s="38" t="s">
        <v>2710</v>
      </c>
      <c r="AT493" s="35" t="s">
        <v>2202</v>
      </c>
      <c r="AU493" s="39" t="s">
        <v>2254</v>
      </c>
      <c r="AV493" s="40">
        <v>46170.0</v>
      </c>
    </row>
    <row r="494">
      <c r="A494" s="38">
        <v>464111.0</v>
      </c>
      <c r="B494" s="38">
        <v>429546.0</v>
      </c>
      <c r="C494" s="38">
        <v>448049.0</v>
      </c>
      <c r="D494" s="34" t="s">
        <v>62</v>
      </c>
      <c r="E494" s="34" t="s">
        <v>62</v>
      </c>
      <c r="F494" s="38">
        <v>9.01413773E8</v>
      </c>
      <c r="G494" s="18" t="s">
        <v>1333</v>
      </c>
      <c r="H494" s="18" t="s">
        <v>2711</v>
      </c>
      <c r="I494" s="18" t="s">
        <v>991</v>
      </c>
      <c r="J494" s="18" t="s">
        <v>2691</v>
      </c>
      <c r="K494" s="18" t="s">
        <v>2691</v>
      </c>
      <c r="L494" s="18" t="s">
        <v>52</v>
      </c>
      <c r="M494" s="18" t="s">
        <v>89</v>
      </c>
      <c r="N494" s="18" t="s">
        <v>861</v>
      </c>
      <c r="O494" s="18" t="s">
        <v>126</v>
      </c>
      <c r="P494" s="18" t="s">
        <v>56</v>
      </c>
      <c r="Q494" s="18" t="s">
        <v>90</v>
      </c>
      <c r="R494" s="18" t="s">
        <v>143</v>
      </c>
      <c r="S494" s="18" t="s">
        <v>59</v>
      </c>
      <c r="T494" s="38">
        <v>2026.0</v>
      </c>
      <c r="U494" s="38">
        <v>5.0</v>
      </c>
      <c r="V494" s="38">
        <v>1.08152319E9</v>
      </c>
      <c r="W494" s="38">
        <v>1.08154126E9</v>
      </c>
      <c r="X494" s="18" t="s">
        <v>2199</v>
      </c>
      <c r="Y494" s="18" t="s">
        <v>2200</v>
      </c>
      <c r="Z494" s="38">
        <v>129276.28</v>
      </c>
      <c r="AA494" s="38">
        <v>129276.28</v>
      </c>
      <c r="AB494" s="38">
        <v>43092.1</v>
      </c>
      <c r="AC494" s="38">
        <v>253.0</v>
      </c>
      <c r="AD494" s="38">
        <v>0.0</v>
      </c>
      <c r="AE494" s="38">
        <v>0.0</v>
      </c>
      <c r="AF494" s="38">
        <v>0.0</v>
      </c>
      <c r="AG494" s="38">
        <v>0.0</v>
      </c>
      <c r="AH494" s="38">
        <v>0.0</v>
      </c>
      <c r="AI494" s="38">
        <v>129276.28</v>
      </c>
      <c r="AJ494" s="38">
        <v>255285.93</v>
      </c>
      <c r="AK494" s="38">
        <v>1.0</v>
      </c>
      <c r="AL494" s="38">
        <v>376.2</v>
      </c>
      <c r="AM494" s="38">
        <v>0.0</v>
      </c>
      <c r="AN494" s="34" t="s">
        <v>62</v>
      </c>
      <c r="AO494" s="34" t="s">
        <v>62</v>
      </c>
      <c r="AP494" s="34" t="s">
        <v>62</v>
      </c>
      <c r="AQ494" s="34" t="s">
        <v>62</v>
      </c>
      <c r="AR494" s="38">
        <v>0.0</v>
      </c>
      <c r="AS494" s="38" t="s">
        <v>2712</v>
      </c>
      <c r="AT494" s="38" t="s">
        <v>2275</v>
      </c>
      <c r="AU494" s="39" t="s">
        <v>2276</v>
      </c>
      <c r="AV494" s="40">
        <v>46163.0</v>
      </c>
    </row>
    <row r="495">
      <c r="A495" s="38">
        <v>464134.0</v>
      </c>
      <c r="B495" s="38">
        <v>429554.0</v>
      </c>
      <c r="C495" s="38">
        <v>448072.0</v>
      </c>
      <c r="D495" s="34" t="s">
        <v>62</v>
      </c>
      <c r="E495" s="34" t="s">
        <v>62</v>
      </c>
      <c r="F495" s="38">
        <v>9.01751857E8</v>
      </c>
      <c r="G495" s="18" t="s">
        <v>1335</v>
      </c>
      <c r="H495" s="18" t="s">
        <v>2713</v>
      </c>
      <c r="I495" s="18" t="s">
        <v>991</v>
      </c>
      <c r="J495" s="18" t="s">
        <v>2691</v>
      </c>
      <c r="K495" s="18" t="s">
        <v>2691</v>
      </c>
      <c r="L495" s="18" t="s">
        <v>52</v>
      </c>
      <c r="M495" s="18" t="s">
        <v>89</v>
      </c>
      <c r="N495" s="18" t="s">
        <v>861</v>
      </c>
      <c r="O495" s="18" t="s">
        <v>126</v>
      </c>
      <c r="P495" s="18" t="s">
        <v>56</v>
      </c>
      <c r="Q495" s="18" t="s">
        <v>90</v>
      </c>
      <c r="R495" s="18" t="s">
        <v>143</v>
      </c>
      <c r="S495" s="18" t="s">
        <v>59</v>
      </c>
      <c r="T495" s="38">
        <v>2026.0</v>
      </c>
      <c r="U495" s="38">
        <v>5.0</v>
      </c>
      <c r="V495" s="38">
        <v>1.081523192E9</v>
      </c>
      <c r="W495" s="38">
        <v>1.081541262E9</v>
      </c>
      <c r="X495" s="18" t="s">
        <v>2199</v>
      </c>
      <c r="Y495" s="18" t="s">
        <v>2200</v>
      </c>
      <c r="Z495" s="38">
        <v>436329.81</v>
      </c>
      <c r="AA495" s="38">
        <v>436329.81</v>
      </c>
      <c r="AB495" s="38">
        <v>143691.93</v>
      </c>
      <c r="AC495" s="38">
        <v>1313.0</v>
      </c>
      <c r="AD495" s="38">
        <v>5254.04</v>
      </c>
      <c r="AE495" s="38">
        <v>0.0</v>
      </c>
      <c r="AF495" s="38">
        <v>0.0</v>
      </c>
      <c r="AG495" s="38">
        <v>0.0</v>
      </c>
      <c r="AH495" s="38">
        <v>0.0</v>
      </c>
      <c r="AI495" s="38">
        <v>436329.81</v>
      </c>
      <c r="AJ495" s="38">
        <v>1282843.92</v>
      </c>
      <c r="AK495" s="38">
        <v>2.0</v>
      </c>
      <c r="AL495" s="38">
        <v>376.2</v>
      </c>
      <c r="AM495" s="38">
        <v>0.0</v>
      </c>
      <c r="AN495" s="34" t="s">
        <v>62</v>
      </c>
      <c r="AO495" s="34" t="s">
        <v>62</v>
      </c>
      <c r="AP495" s="34" t="s">
        <v>62</v>
      </c>
      <c r="AQ495" s="34" t="s">
        <v>62</v>
      </c>
      <c r="AR495" s="38">
        <v>0.0</v>
      </c>
      <c r="AS495" s="38" t="s">
        <v>2714</v>
      </c>
      <c r="AT495" s="38" t="s">
        <v>2275</v>
      </c>
      <c r="AU495" s="39" t="s">
        <v>2276</v>
      </c>
      <c r="AV495" s="40">
        <v>46163.0</v>
      </c>
    </row>
    <row r="496">
      <c r="A496" s="38">
        <v>684.0</v>
      </c>
      <c r="B496" s="38">
        <v>429558.0</v>
      </c>
      <c r="C496" s="38">
        <v>448076.0</v>
      </c>
      <c r="D496" s="34" t="s">
        <v>62</v>
      </c>
      <c r="E496" s="34" t="s">
        <v>62</v>
      </c>
      <c r="F496" s="18" t="s">
        <v>1052</v>
      </c>
      <c r="G496" s="18" t="s">
        <v>1053</v>
      </c>
      <c r="H496" s="18" t="s">
        <v>2699</v>
      </c>
      <c r="I496" s="18" t="s">
        <v>991</v>
      </c>
      <c r="J496" s="18" t="s">
        <v>2700</v>
      </c>
      <c r="K496" s="18" t="s">
        <v>2700</v>
      </c>
      <c r="L496" s="18" t="s">
        <v>52</v>
      </c>
      <c r="M496" s="18" t="s">
        <v>89</v>
      </c>
      <c r="N496" s="18" t="s">
        <v>861</v>
      </c>
      <c r="O496" s="18" t="s">
        <v>126</v>
      </c>
      <c r="P496" s="18" t="s">
        <v>131</v>
      </c>
      <c r="Q496" s="18" t="s">
        <v>132</v>
      </c>
      <c r="R496" s="18" t="s">
        <v>133</v>
      </c>
      <c r="S496" s="18" t="s">
        <v>163</v>
      </c>
      <c r="T496" s="38">
        <v>2026.0</v>
      </c>
      <c r="U496" s="38">
        <v>5.0</v>
      </c>
      <c r="V496" s="38">
        <v>1.081523195E9</v>
      </c>
      <c r="W496" s="38">
        <v>1.081541265E9</v>
      </c>
      <c r="X496" s="18" t="s">
        <v>2199</v>
      </c>
      <c r="Y496" s="18" t="s">
        <v>2200</v>
      </c>
      <c r="Z496" s="38">
        <v>57002.54</v>
      </c>
      <c r="AA496" s="38">
        <v>57002.54</v>
      </c>
      <c r="AB496" s="38">
        <v>18873.0</v>
      </c>
      <c r="AC496" s="38">
        <v>0.0</v>
      </c>
      <c r="AD496" s="38">
        <v>383.54</v>
      </c>
      <c r="AE496" s="38">
        <v>0.0</v>
      </c>
      <c r="AF496" s="38">
        <v>0.0</v>
      </c>
      <c r="AG496" s="38">
        <v>0.0</v>
      </c>
      <c r="AH496" s="38">
        <v>0.0</v>
      </c>
      <c r="AI496" s="38">
        <v>57002.54</v>
      </c>
      <c r="AJ496" s="38">
        <v>115779.76</v>
      </c>
      <c r="AK496" s="38">
        <v>1.0</v>
      </c>
      <c r="AL496" s="38">
        <v>376.2</v>
      </c>
      <c r="AM496" s="38">
        <v>0.0</v>
      </c>
      <c r="AN496" s="34" t="s">
        <v>62</v>
      </c>
      <c r="AO496" s="34" t="s">
        <v>62</v>
      </c>
      <c r="AP496" s="34" t="s">
        <v>62</v>
      </c>
      <c r="AQ496" s="34" t="s">
        <v>62</v>
      </c>
      <c r="AR496" s="38">
        <v>0.0</v>
      </c>
      <c r="AS496" s="38" t="s">
        <v>2701</v>
      </c>
      <c r="AT496" s="35" t="s">
        <v>2202</v>
      </c>
      <c r="AU496" s="39" t="s">
        <v>2203</v>
      </c>
      <c r="AV496" s="40">
        <v>46164.0</v>
      </c>
    </row>
    <row r="497">
      <c r="A497" s="38">
        <v>431.0</v>
      </c>
      <c r="B497" s="38">
        <v>430.0</v>
      </c>
      <c r="C497" s="38">
        <v>430.0</v>
      </c>
      <c r="D497" s="38">
        <v>9.0253727E7</v>
      </c>
      <c r="E497" s="38">
        <v>9.0253727E7</v>
      </c>
      <c r="F497" s="18" t="s">
        <v>620</v>
      </c>
      <c r="G497" s="18" t="s">
        <v>621</v>
      </c>
      <c r="H497" s="18" t="s">
        <v>2482</v>
      </c>
      <c r="I497" s="18" t="s">
        <v>982</v>
      </c>
      <c r="J497" s="18" t="s">
        <v>2205</v>
      </c>
      <c r="K497" s="18" t="s">
        <v>2483</v>
      </c>
      <c r="L497" s="18" t="s">
        <v>52</v>
      </c>
      <c r="M497" s="18" t="s">
        <v>89</v>
      </c>
      <c r="N497" s="18" t="s">
        <v>861</v>
      </c>
      <c r="O497" s="18" t="s">
        <v>126</v>
      </c>
      <c r="P497" s="18" t="s">
        <v>56</v>
      </c>
      <c r="Q497" s="18" t="s">
        <v>90</v>
      </c>
      <c r="R497" s="18" t="s">
        <v>143</v>
      </c>
      <c r="S497" s="18" t="s">
        <v>59</v>
      </c>
      <c r="T497" s="38">
        <v>2026.0</v>
      </c>
      <c r="U497" s="38">
        <v>5.0</v>
      </c>
      <c r="V497" s="38">
        <v>1.081522908E9</v>
      </c>
      <c r="W497" s="38">
        <v>1.081540978E9</v>
      </c>
      <c r="X497" s="18" t="s">
        <v>2199</v>
      </c>
      <c r="Y497" s="18" t="s">
        <v>2200</v>
      </c>
      <c r="Z497" s="38">
        <v>390579.36</v>
      </c>
      <c r="AA497" s="38">
        <v>390579.36</v>
      </c>
      <c r="AB497" s="38">
        <v>123477.05</v>
      </c>
      <c r="AC497" s="38">
        <v>1100.0</v>
      </c>
      <c r="AD497" s="38">
        <v>20148.21</v>
      </c>
      <c r="AE497" s="38">
        <v>0.0</v>
      </c>
      <c r="AF497" s="38">
        <v>0.0</v>
      </c>
      <c r="AG497" s="38">
        <v>0.0</v>
      </c>
      <c r="AH497" s="38">
        <v>0.0</v>
      </c>
      <c r="AI497" s="38">
        <v>390579.36</v>
      </c>
      <c r="AJ497" s="38">
        <v>1413692.24</v>
      </c>
      <c r="AK497" s="38">
        <v>3.0</v>
      </c>
      <c r="AL497" s="38">
        <v>376.2</v>
      </c>
      <c r="AM497" s="38">
        <v>0.0</v>
      </c>
      <c r="AN497" s="34" t="s">
        <v>62</v>
      </c>
      <c r="AO497" s="34" t="s">
        <v>62</v>
      </c>
      <c r="AP497" s="34" t="s">
        <v>62</v>
      </c>
      <c r="AQ497" s="34" t="s">
        <v>62</v>
      </c>
      <c r="AR497" s="38">
        <v>0.0</v>
      </c>
      <c r="AS497" s="38" t="s">
        <v>2484</v>
      </c>
      <c r="AT497" s="35" t="s">
        <v>2202</v>
      </c>
      <c r="AU497" s="39" t="s">
        <v>2203</v>
      </c>
      <c r="AV497" s="40">
        <v>46163.0</v>
      </c>
    </row>
    <row r="498">
      <c r="A498" s="38">
        <v>435.0</v>
      </c>
      <c r="B498" s="38">
        <v>434.0</v>
      </c>
      <c r="C498" s="38">
        <v>434.0</v>
      </c>
      <c r="D498" s="38">
        <v>9.0254784E7</v>
      </c>
      <c r="E498" s="38">
        <v>9.0254784E7</v>
      </c>
      <c r="F498" s="38">
        <v>9.0016146E8</v>
      </c>
      <c r="G498" s="18" t="s">
        <v>1339</v>
      </c>
      <c r="H498" s="18" t="s">
        <v>2715</v>
      </c>
      <c r="I498" s="18" t="s">
        <v>942</v>
      </c>
      <c r="J498" s="18" t="s">
        <v>2205</v>
      </c>
      <c r="K498" s="18" t="s">
        <v>2205</v>
      </c>
      <c r="L498" s="18" t="s">
        <v>52</v>
      </c>
      <c r="M498" s="18" t="s">
        <v>89</v>
      </c>
      <c r="N498" s="18" t="s">
        <v>861</v>
      </c>
      <c r="O498" s="18" t="s">
        <v>126</v>
      </c>
      <c r="P498" s="18" t="s">
        <v>131</v>
      </c>
      <c r="Q498" s="18" t="s">
        <v>1111</v>
      </c>
      <c r="R498" s="18" t="s">
        <v>133</v>
      </c>
      <c r="S498" s="18" t="s">
        <v>59</v>
      </c>
      <c r="T498" s="38">
        <v>2026.0</v>
      </c>
      <c r="U498" s="38">
        <v>5.0</v>
      </c>
      <c r="V498" s="38">
        <v>1.081522913E9</v>
      </c>
      <c r="W498" s="38">
        <v>1.081540983E9</v>
      </c>
      <c r="X498" s="18" t="s">
        <v>2199</v>
      </c>
      <c r="Y498" s="18" t="s">
        <v>2200</v>
      </c>
      <c r="Z498" s="38">
        <v>50761.0</v>
      </c>
      <c r="AA498" s="38">
        <v>50761.0</v>
      </c>
      <c r="AB498" s="38">
        <v>0.0</v>
      </c>
      <c r="AC498" s="38">
        <v>0.0</v>
      </c>
      <c r="AD498" s="38">
        <v>0.0</v>
      </c>
      <c r="AE498" s="38">
        <v>0.0</v>
      </c>
      <c r="AF498" s="38">
        <v>0.0</v>
      </c>
      <c r="AG498" s="38">
        <v>0.0</v>
      </c>
      <c r="AH498" s="38">
        <v>0.0</v>
      </c>
      <c r="AI498" s="38">
        <v>50761.0</v>
      </c>
      <c r="AJ498" s="38">
        <v>50761.0</v>
      </c>
      <c r="AK498" s="38">
        <v>0.0</v>
      </c>
      <c r="AL498" s="38">
        <v>250.8</v>
      </c>
      <c r="AM498" s="38">
        <v>0.0</v>
      </c>
      <c r="AN498" s="34" t="s">
        <v>62</v>
      </c>
      <c r="AO498" s="34" t="s">
        <v>62</v>
      </c>
      <c r="AP498" s="34" t="s">
        <v>62</v>
      </c>
      <c r="AQ498" s="34" t="s">
        <v>62</v>
      </c>
      <c r="AR498" s="38">
        <v>0.0</v>
      </c>
      <c r="AS498" s="38" t="s">
        <v>2716</v>
      </c>
      <c r="AT498" s="35" t="s">
        <v>2202</v>
      </c>
      <c r="AU498" s="39" t="s">
        <v>2254</v>
      </c>
      <c r="AV498" s="40">
        <v>46170.0</v>
      </c>
    </row>
    <row r="499">
      <c r="A499" s="38">
        <v>699.0</v>
      </c>
      <c r="B499" s="38">
        <v>434550.0</v>
      </c>
      <c r="C499" s="38">
        <v>456075.0</v>
      </c>
      <c r="D499" s="38">
        <v>1086001.0</v>
      </c>
      <c r="E499" s="38">
        <v>1086001.0</v>
      </c>
      <c r="F499" s="38">
        <v>9.00480569E8</v>
      </c>
      <c r="G499" s="18" t="s">
        <v>141</v>
      </c>
      <c r="H499" s="18" t="s">
        <v>2255</v>
      </c>
      <c r="I499" s="18" t="s">
        <v>910</v>
      </c>
      <c r="J499" s="18" t="s">
        <v>2205</v>
      </c>
      <c r="K499" s="18" t="s">
        <v>2256</v>
      </c>
      <c r="L499" s="18" t="s">
        <v>52</v>
      </c>
      <c r="M499" s="18" t="s">
        <v>53</v>
      </c>
      <c r="N499" s="18" t="s">
        <v>861</v>
      </c>
      <c r="O499" s="18" t="s">
        <v>126</v>
      </c>
      <c r="P499" s="18" t="s">
        <v>56</v>
      </c>
      <c r="Q499" s="18" t="s">
        <v>90</v>
      </c>
      <c r="R499" s="18" t="s">
        <v>143</v>
      </c>
      <c r="S499" s="18" t="s">
        <v>59</v>
      </c>
      <c r="T499" s="38">
        <v>2026.0</v>
      </c>
      <c r="U499" s="38">
        <v>5.0</v>
      </c>
      <c r="V499" s="38">
        <v>1.081523198E9</v>
      </c>
      <c r="W499" s="38">
        <v>1.081541268E9</v>
      </c>
      <c r="X499" s="18" t="s">
        <v>2199</v>
      </c>
      <c r="Y499" s="18" t="s">
        <v>2200</v>
      </c>
      <c r="Z499" s="38">
        <v>741986.2</v>
      </c>
      <c r="AA499" s="38">
        <v>741986.2</v>
      </c>
      <c r="AB499" s="38">
        <v>247328.74</v>
      </c>
      <c r="AC499" s="38">
        <v>2405.0</v>
      </c>
      <c r="AD499" s="38">
        <v>0.0</v>
      </c>
      <c r="AE499" s="38">
        <v>0.0</v>
      </c>
      <c r="AF499" s="38">
        <v>0.0</v>
      </c>
      <c r="AG499" s="38">
        <v>0.0</v>
      </c>
      <c r="AH499" s="38">
        <v>0.0</v>
      </c>
      <c r="AI499" s="38">
        <v>741986.2</v>
      </c>
      <c r="AJ499" s="38">
        <v>741986.2</v>
      </c>
      <c r="AK499" s="38">
        <v>0.0</v>
      </c>
      <c r="AL499" s="38">
        <v>376.2</v>
      </c>
      <c r="AM499" s="38">
        <v>0.0</v>
      </c>
      <c r="AN499" s="34" t="s">
        <v>62</v>
      </c>
      <c r="AO499" s="34" t="s">
        <v>62</v>
      </c>
      <c r="AP499" s="34" t="s">
        <v>62</v>
      </c>
      <c r="AQ499" s="34" t="s">
        <v>62</v>
      </c>
      <c r="AR499" s="38">
        <v>0.0</v>
      </c>
      <c r="AS499" s="38" t="s">
        <v>2257</v>
      </c>
      <c r="AT499" s="35" t="s">
        <v>2202</v>
      </c>
      <c r="AU499" s="39" t="s">
        <v>2203</v>
      </c>
      <c r="AV499" s="40">
        <v>46163.0</v>
      </c>
    </row>
    <row r="500">
      <c r="A500" s="38">
        <v>439.0</v>
      </c>
      <c r="B500" s="38">
        <v>438.0</v>
      </c>
      <c r="C500" s="38">
        <v>438.0</v>
      </c>
      <c r="D500" s="38">
        <v>9.0256548E7</v>
      </c>
      <c r="E500" s="38">
        <v>9.0256548E7</v>
      </c>
      <c r="F500" s="38">
        <v>8.90500705E8</v>
      </c>
      <c r="G500" s="18" t="s">
        <v>1342</v>
      </c>
      <c r="H500" s="18" t="s">
        <v>2717</v>
      </c>
      <c r="I500" s="18" t="s">
        <v>869</v>
      </c>
      <c r="J500" s="18" t="s">
        <v>2205</v>
      </c>
      <c r="K500" s="18" t="s">
        <v>2205</v>
      </c>
      <c r="L500" s="18" t="s">
        <v>52</v>
      </c>
      <c r="M500" s="18" t="s">
        <v>89</v>
      </c>
      <c r="N500" s="18" t="s">
        <v>861</v>
      </c>
      <c r="O500" s="18" t="s">
        <v>126</v>
      </c>
      <c r="P500" s="18" t="s">
        <v>56</v>
      </c>
      <c r="Q500" s="18" t="s">
        <v>90</v>
      </c>
      <c r="R500" s="18" t="s">
        <v>143</v>
      </c>
      <c r="S500" s="18" t="s">
        <v>59</v>
      </c>
      <c r="T500" s="38">
        <v>2026.0</v>
      </c>
      <c r="U500" s="38">
        <v>5.0</v>
      </c>
      <c r="V500" s="38">
        <v>1.081522917E9</v>
      </c>
      <c r="W500" s="38">
        <v>1.081540987E9</v>
      </c>
      <c r="X500" s="18" t="s">
        <v>2199</v>
      </c>
      <c r="Y500" s="18" t="s">
        <v>2200</v>
      </c>
      <c r="Z500" s="38">
        <v>1157094.28</v>
      </c>
      <c r="AA500" s="38">
        <v>1157094.28</v>
      </c>
      <c r="AB500" s="38">
        <v>384467.18</v>
      </c>
      <c r="AC500" s="38">
        <v>3850.0</v>
      </c>
      <c r="AD500" s="38">
        <v>3692.75</v>
      </c>
      <c r="AE500" s="38">
        <v>0.0</v>
      </c>
      <c r="AF500" s="38">
        <v>0.0</v>
      </c>
      <c r="AG500" s="38">
        <v>0.0</v>
      </c>
      <c r="AH500" s="38">
        <v>0.0</v>
      </c>
      <c r="AI500" s="38">
        <v>1157094.28</v>
      </c>
      <c r="AJ500" s="38">
        <v>2284048.86</v>
      </c>
      <c r="AK500" s="38">
        <v>1.0</v>
      </c>
      <c r="AL500" s="38">
        <v>376.2</v>
      </c>
      <c r="AM500" s="38">
        <v>0.0</v>
      </c>
      <c r="AN500" s="34" t="s">
        <v>62</v>
      </c>
      <c r="AO500" s="34" t="s">
        <v>62</v>
      </c>
      <c r="AP500" s="34" t="s">
        <v>62</v>
      </c>
      <c r="AQ500" s="34" t="s">
        <v>62</v>
      </c>
      <c r="AR500" s="38">
        <v>0.0</v>
      </c>
      <c r="AS500" s="38" t="s">
        <v>2718</v>
      </c>
      <c r="AT500" s="35" t="s">
        <v>2202</v>
      </c>
      <c r="AU500" s="39" t="s">
        <v>2254</v>
      </c>
      <c r="AV500" s="40">
        <v>46170.0</v>
      </c>
    </row>
    <row r="501">
      <c r="A501" s="38">
        <v>451.0</v>
      </c>
      <c r="B501" s="38">
        <v>450.0</v>
      </c>
      <c r="C501" s="38">
        <v>450.0</v>
      </c>
      <c r="D501" s="38">
        <v>9.0256625E7</v>
      </c>
      <c r="E501" s="38">
        <v>9.0256625E7</v>
      </c>
      <c r="F501" s="38">
        <v>8.90903858E8</v>
      </c>
      <c r="G501" s="18" t="s">
        <v>1344</v>
      </c>
      <c r="H501" s="18" t="s">
        <v>2719</v>
      </c>
      <c r="I501" s="18" t="s">
        <v>1075</v>
      </c>
      <c r="J501" s="18" t="s">
        <v>2205</v>
      </c>
      <c r="K501" s="18" t="s">
        <v>2205</v>
      </c>
      <c r="L501" s="18" t="s">
        <v>52</v>
      </c>
      <c r="M501" s="18" t="s">
        <v>89</v>
      </c>
      <c r="N501" s="18" t="s">
        <v>861</v>
      </c>
      <c r="O501" s="18" t="s">
        <v>126</v>
      </c>
      <c r="P501" s="18" t="s">
        <v>56</v>
      </c>
      <c r="Q501" s="18" t="s">
        <v>90</v>
      </c>
      <c r="R501" s="18" t="s">
        <v>58</v>
      </c>
      <c r="S501" s="18" t="s">
        <v>59</v>
      </c>
      <c r="T501" s="38">
        <v>2026.0</v>
      </c>
      <c r="U501" s="38">
        <v>5.0</v>
      </c>
      <c r="V501" s="38">
        <v>1.081522923E9</v>
      </c>
      <c r="W501" s="38">
        <v>1.081540993E9</v>
      </c>
      <c r="X501" s="18" t="s">
        <v>2199</v>
      </c>
      <c r="Y501" s="18" t="s">
        <v>2200</v>
      </c>
      <c r="Z501" s="38">
        <v>1075104.51</v>
      </c>
      <c r="AA501" s="38">
        <v>1075104.51</v>
      </c>
      <c r="AB501" s="38">
        <v>358368.18</v>
      </c>
      <c r="AC501" s="38">
        <v>3575.0</v>
      </c>
      <c r="AD501" s="38">
        <v>0.0</v>
      </c>
      <c r="AE501" s="38">
        <v>0.0</v>
      </c>
      <c r="AF501" s="38">
        <v>0.0</v>
      </c>
      <c r="AG501" s="38">
        <v>0.0</v>
      </c>
      <c r="AH501" s="38">
        <v>0.0</v>
      </c>
      <c r="AI501" s="38">
        <v>1075104.51</v>
      </c>
      <c r="AJ501" s="38">
        <v>1075104.51</v>
      </c>
      <c r="AK501" s="38">
        <v>0.0</v>
      </c>
      <c r="AL501" s="38">
        <v>376.2</v>
      </c>
      <c r="AM501" s="38">
        <v>0.0</v>
      </c>
      <c r="AN501" s="34" t="s">
        <v>62</v>
      </c>
      <c r="AO501" s="34" t="s">
        <v>62</v>
      </c>
      <c r="AP501" s="34" t="s">
        <v>62</v>
      </c>
      <c r="AQ501" s="34" t="s">
        <v>62</v>
      </c>
      <c r="AR501" s="38">
        <v>0.0</v>
      </c>
      <c r="AS501" s="38" t="s">
        <v>2720</v>
      </c>
      <c r="AT501" s="35" t="s">
        <v>2202</v>
      </c>
      <c r="AU501" s="39" t="s">
        <v>2254</v>
      </c>
      <c r="AV501" s="40">
        <v>46170.0</v>
      </c>
    </row>
    <row r="502">
      <c r="A502" s="38">
        <v>455.0</v>
      </c>
      <c r="B502" s="38">
        <v>454.0</v>
      </c>
      <c r="C502" s="38">
        <v>454.0</v>
      </c>
      <c r="D502" s="38">
        <v>9.0256727E7</v>
      </c>
      <c r="E502" s="38">
        <v>9.0256727E7</v>
      </c>
      <c r="F502" s="18" t="s">
        <v>1346</v>
      </c>
      <c r="G502" s="18" t="s">
        <v>1347</v>
      </c>
      <c r="H502" s="18" t="s">
        <v>2721</v>
      </c>
      <c r="I502" s="18" t="s">
        <v>915</v>
      </c>
      <c r="J502" s="18" t="s">
        <v>2205</v>
      </c>
      <c r="K502" s="18" t="s">
        <v>2205</v>
      </c>
      <c r="L502" s="18" t="s">
        <v>52</v>
      </c>
      <c r="M502" s="18" t="s">
        <v>89</v>
      </c>
      <c r="N502" s="18" t="s">
        <v>861</v>
      </c>
      <c r="O502" s="18" t="s">
        <v>126</v>
      </c>
      <c r="P502" s="18" t="s">
        <v>56</v>
      </c>
      <c r="Q502" s="18" t="s">
        <v>57</v>
      </c>
      <c r="R502" s="18" t="s">
        <v>143</v>
      </c>
      <c r="S502" s="18" t="s">
        <v>59</v>
      </c>
      <c r="T502" s="38">
        <v>2026.0</v>
      </c>
      <c r="U502" s="38">
        <v>5.0</v>
      </c>
      <c r="V502" s="38">
        <v>1.081522927E9</v>
      </c>
      <c r="W502" s="38">
        <v>1.081540997E9</v>
      </c>
      <c r="X502" s="18" t="s">
        <v>2199</v>
      </c>
      <c r="Y502" s="18" t="s">
        <v>2200</v>
      </c>
      <c r="Z502" s="38">
        <v>342334.14</v>
      </c>
      <c r="AA502" s="38">
        <v>342334.14</v>
      </c>
      <c r="AB502" s="38">
        <v>0.0</v>
      </c>
      <c r="AC502" s="38">
        <v>1602.5</v>
      </c>
      <c r="AD502" s="38">
        <v>0.0</v>
      </c>
      <c r="AE502" s="38">
        <v>0.0</v>
      </c>
      <c r="AF502" s="38">
        <v>0.0</v>
      </c>
      <c r="AG502" s="38">
        <v>0.0</v>
      </c>
      <c r="AH502" s="38">
        <v>0.0</v>
      </c>
      <c r="AI502" s="38">
        <v>342334.14</v>
      </c>
      <c r="AJ502" s="38">
        <v>1333607.39</v>
      </c>
      <c r="AK502" s="38">
        <v>3.0</v>
      </c>
      <c r="AL502" s="38">
        <v>250.8</v>
      </c>
      <c r="AM502" s="38">
        <v>0.0</v>
      </c>
      <c r="AN502" s="34" t="s">
        <v>62</v>
      </c>
      <c r="AO502" s="34" t="s">
        <v>62</v>
      </c>
      <c r="AP502" s="34" t="s">
        <v>62</v>
      </c>
      <c r="AQ502" s="34" t="s">
        <v>62</v>
      </c>
      <c r="AR502" s="38">
        <v>0.0</v>
      </c>
      <c r="AS502" s="38" t="s">
        <v>2722</v>
      </c>
      <c r="AT502" s="35" t="s">
        <v>2202</v>
      </c>
      <c r="AU502" s="39" t="s">
        <v>2254</v>
      </c>
      <c r="AV502" s="40">
        <v>46170.0</v>
      </c>
    </row>
    <row r="503">
      <c r="A503" s="38">
        <v>459.0</v>
      </c>
      <c r="B503" s="38">
        <v>458.0</v>
      </c>
      <c r="C503" s="38">
        <v>458.0</v>
      </c>
      <c r="D503" s="38">
        <v>9.0256851E7</v>
      </c>
      <c r="E503" s="38">
        <v>9.0256851E7</v>
      </c>
      <c r="F503" s="38">
        <v>8.07001836E8</v>
      </c>
      <c r="G503" s="18" t="s">
        <v>1349</v>
      </c>
      <c r="H503" s="18" t="s">
        <v>2723</v>
      </c>
      <c r="I503" s="18" t="s">
        <v>443</v>
      </c>
      <c r="J503" s="18" t="s">
        <v>2205</v>
      </c>
      <c r="K503" s="18" t="s">
        <v>2724</v>
      </c>
      <c r="L503" s="18" t="s">
        <v>52</v>
      </c>
      <c r="M503" s="18" t="s">
        <v>89</v>
      </c>
      <c r="N503" s="18" t="s">
        <v>861</v>
      </c>
      <c r="O503" s="18" t="s">
        <v>126</v>
      </c>
      <c r="P503" s="18" t="s">
        <v>56</v>
      </c>
      <c r="Q503" s="18" t="s">
        <v>57</v>
      </c>
      <c r="R503" s="18" t="s">
        <v>143</v>
      </c>
      <c r="S503" s="18" t="s">
        <v>59</v>
      </c>
      <c r="T503" s="38">
        <v>2026.0</v>
      </c>
      <c r="U503" s="38">
        <v>5.0</v>
      </c>
      <c r="V503" s="38">
        <v>1.08152293E9</v>
      </c>
      <c r="W503" s="38">
        <v>1.081541E9</v>
      </c>
      <c r="X503" s="18" t="s">
        <v>2199</v>
      </c>
      <c r="Y503" s="18" t="s">
        <v>2200</v>
      </c>
      <c r="Z503" s="38">
        <v>294406.85</v>
      </c>
      <c r="AA503" s="38">
        <v>294406.85</v>
      </c>
      <c r="AB503" s="38">
        <v>0.0</v>
      </c>
      <c r="AC503" s="38">
        <v>1350.0</v>
      </c>
      <c r="AD503" s="38">
        <v>0.0</v>
      </c>
      <c r="AE503" s="38">
        <v>0.0</v>
      </c>
      <c r="AF503" s="38">
        <v>0.0</v>
      </c>
      <c r="AG503" s="38">
        <v>0.0</v>
      </c>
      <c r="AH503" s="38">
        <v>0.0</v>
      </c>
      <c r="AI503" s="38">
        <v>294406.85</v>
      </c>
      <c r="AJ503" s="38">
        <v>301314.4</v>
      </c>
      <c r="AK503" s="38">
        <v>1.0</v>
      </c>
      <c r="AL503" s="38">
        <v>250.8</v>
      </c>
      <c r="AM503" s="38">
        <v>0.0</v>
      </c>
      <c r="AN503" s="34" t="s">
        <v>62</v>
      </c>
      <c r="AO503" s="34" t="s">
        <v>62</v>
      </c>
      <c r="AP503" s="34" t="s">
        <v>62</v>
      </c>
      <c r="AQ503" s="34" t="s">
        <v>62</v>
      </c>
      <c r="AR503" s="38">
        <v>0.0</v>
      </c>
      <c r="AS503" s="38" t="s">
        <v>2725</v>
      </c>
      <c r="AT503" s="35" t="s">
        <v>2202</v>
      </c>
      <c r="AU503" s="39" t="s">
        <v>2203</v>
      </c>
      <c r="AV503" s="40">
        <v>46168.0</v>
      </c>
    </row>
    <row r="504">
      <c r="A504" s="38">
        <v>505442.0</v>
      </c>
      <c r="B504" s="38">
        <v>458094.0</v>
      </c>
      <c r="C504" s="38">
        <v>485032.0</v>
      </c>
      <c r="D504" s="34" t="s">
        <v>62</v>
      </c>
      <c r="E504" s="34" t="s">
        <v>62</v>
      </c>
      <c r="F504" s="18" t="s">
        <v>1351</v>
      </c>
      <c r="G504" s="18" t="s">
        <v>1352</v>
      </c>
      <c r="H504" s="18" t="s">
        <v>2726</v>
      </c>
      <c r="I504" s="18" t="s">
        <v>991</v>
      </c>
      <c r="J504" s="18" t="s">
        <v>2691</v>
      </c>
      <c r="K504" s="18" t="s">
        <v>2691</v>
      </c>
      <c r="L504" s="18" t="s">
        <v>52</v>
      </c>
      <c r="M504" s="18" t="s">
        <v>89</v>
      </c>
      <c r="N504" s="18" t="s">
        <v>861</v>
      </c>
      <c r="O504" s="18" t="s">
        <v>126</v>
      </c>
      <c r="P504" s="18" t="s">
        <v>56</v>
      </c>
      <c r="Q504" s="18" t="s">
        <v>90</v>
      </c>
      <c r="R504" s="18" t="s">
        <v>143</v>
      </c>
      <c r="S504" s="18" t="s">
        <v>59</v>
      </c>
      <c r="T504" s="38">
        <v>2026.0</v>
      </c>
      <c r="U504" s="38">
        <v>5.0</v>
      </c>
      <c r="V504" s="38">
        <v>1.0815232E9</v>
      </c>
      <c r="W504" s="38">
        <v>1.08154127E9</v>
      </c>
      <c r="X504" s="18" t="s">
        <v>2199</v>
      </c>
      <c r="Y504" s="18" t="s">
        <v>2200</v>
      </c>
      <c r="Z504" s="38">
        <v>129276.28</v>
      </c>
      <c r="AA504" s="38">
        <v>129276.28</v>
      </c>
      <c r="AB504" s="38">
        <v>43092.1</v>
      </c>
      <c r="AC504" s="38">
        <v>253.0</v>
      </c>
      <c r="AD504" s="38">
        <v>0.0</v>
      </c>
      <c r="AE504" s="38">
        <v>0.0</v>
      </c>
      <c r="AF504" s="38">
        <v>0.0</v>
      </c>
      <c r="AG504" s="38">
        <v>0.0</v>
      </c>
      <c r="AH504" s="38">
        <v>0.0</v>
      </c>
      <c r="AI504" s="38">
        <v>129276.28</v>
      </c>
      <c r="AJ504" s="38">
        <v>129276.28</v>
      </c>
      <c r="AK504" s="38">
        <v>0.0</v>
      </c>
      <c r="AL504" s="38">
        <v>376.2</v>
      </c>
      <c r="AM504" s="38">
        <v>0.0</v>
      </c>
      <c r="AN504" s="34" t="s">
        <v>62</v>
      </c>
      <c r="AO504" s="34" t="s">
        <v>62</v>
      </c>
      <c r="AP504" s="34" t="s">
        <v>62</v>
      </c>
      <c r="AQ504" s="34" t="s">
        <v>62</v>
      </c>
      <c r="AR504" s="38">
        <v>0.0</v>
      </c>
      <c r="AS504" s="38" t="s">
        <v>2727</v>
      </c>
      <c r="AT504" s="38" t="s">
        <v>2275</v>
      </c>
      <c r="AU504" s="39" t="s">
        <v>2276</v>
      </c>
      <c r="AV504" s="40">
        <v>46163.0</v>
      </c>
    </row>
    <row r="505">
      <c r="A505" s="38">
        <v>505455.0</v>
      </c>
      <c r="B505" s="38">
        <v>458098.0</v>
      </c>
      <c r="C505" s="38">
        <v>485041.0</v>
      </c>
      <c r="D505" s="34" t="s">
        <v>62</v>
      </c>
      <c r="E505" s="34" t="s">
        <v>62</v>
      </c>
      <c r="F505" s="38">
        <v>9.00680675E8</v>
      </c>
      <c r="G505" s="18" t="s">
        <v>1354</v>
      </c>
      <c r="H505" s="18" t="s">
        <v>2728</v>
      </c>
      <c r="I505" s="18" t="s">
        <v>991</v>
      </c>
      <c r="J505" s="18" t="s">
        <v>2700</v>
      </c>
      <c r="K505" s="18" t="s">
        <v>2700</v>
      </c>
      <c r="L505" s="18" t="s">
        <v>52</v>
      </c>
      <c r="M505" s="18" t="s">
        <v>89</v>
      </c>
      <c r="N505" s="18" t="s">
        <v>861</v>
      </c>
      <c r="O505" s="18" t="s">
        <v>126</v>
      </c>
      <c r="P505" s="18" t="s">
        <v>56</v>
      </c>
      <c r="Q505" s="18" t="s">
        <v>90</v>
      </c>
      <c r="R505" s="18" t="s">
        <v>143</v>
      </c>
      <c r="S505" s="18" t="s">
        <v>59</v>
      </c>
      <c r="T505" s="38">
        <v>2026.0</v>
      </c>
      <c r="U505" s="38">
        <v>5.0</v>
      </c>
      <c r="V505" s="38">
        <v>1.081523203E9</v>
      </c>
      <c r="W505" s="38">
        <v>1.081541273E9</v>
      </c>
      <c r="X505" s="18" t="s">
        <v>2199</v>
      </c>
      <c r="Y505" s="18" t="s">
        <v>2200</v>
      </c>
      <c r="Z505" s="38">
        <v>129276.28</v>
      </c>
      <c r="AA505" s="38">
        <v>129276.28</v>
      </c>
      <c r="AB505" s="38">
        <v>43092.1</v>
      </c>
      <c r="AC505" s="38">
        <v>253.0</v>
      </c>
      <c r="AD505" s="38">
        <v>0.0</v>
      </c>
      <c r="AE505" s="38">
        <v>0.0</v>
      </c>
      <c r="AF505" s="38">
        <v>0.0</v>
      </c>
      <c r="AG505" s="38">
        <v>0.0</v>
      </c>
      <c r="AH505" s="38">
        <v>0.0</v>
      </c>
      <c r="AI505" s="38">
        <v>129276.28</v>
      </c>
      <c r="AJ505" s="38">
        <v>256698.31</v>
      </c>
      <c r="AK505" s="38">
        <v>1.0</v>
      </c>
      <c r="AL505" s="38">
        <v>376.2</v>
      </c>
      <c r="AM505" s="38">
        <v>0.0</v>
      </c>
      <c r="AN505" s="34" t="s">
        <v>62</v>
      </c>
      <c r="AO505" s="34" t="s">
        <v>62</v>
      </c>
      <c r="AP505" s="34" t="s">
        <v>62</v>
      </c>
      <c r="AQ505" s="34" t="s">
        <v>62</v>
      </c>
      <c r="AR505" s="38">
        <v>0.0</v>
      </c>
      <c r="AS505" s="38" t="s">
        <v>2701</v>
      </c>
      <c r="AT505" s="35" t="s">
        <v>2202</v>
      </c>
      <c r="AU505" s="39" t="s">
        <v>2203</v>
      </c>
      <c r="AV505" s="40">
        <v>46164.0</v>
      </c>
    </row>
    <row r="506">
      <c r="A506" s="38">
        <v>511782.0</v>
      </c>
      <c r="B506" s="38">
        <v>461074.0</v>
      </c>
      <c r="C506" s="38">
        <v>489745.0</v>
      </c>
      <c r="D506" s="34" t="s">
        <v>62</v>
      </c>
      <c r="E506" s="34" t="s">
        <v>62</v>
      </c>
      <c r="F506" s="18" t="s">
        <v>1356</v>
      </c>
      <c r="G506" s="18" t="s">
        <v>1357</v>
      </c>
      <c r="H506" s="18" t="s">
        <v>2729</v>
      </c>
      <c r="I506" s="18" t="s">
        <v>991</v>
      </c>
      <c r="J506" s="18" t="s">
        <v>2691</v>
      </c>
      <c r="K506" s="18" t="s">
        <v>2691</v>
      </c>
      <c r="L506" s="18" t="s">
        <v>52</v>
      </c>
      <c r="M506" s="18" t="s">
        <v>89</v>
      </c>
      <c r="N506" s="18" t="s">
        <v>861</v>
      </c>
      <c r="O506" s="18" t="s">
        <v>126</v>
      </c>
      <c r="P506" s="18" t="s">
        <v>56</v>
      </c>
      <c r="Q506" s="18" t="s">
        <v>90</v>
      </c>
      <c r="R506" s="18" t="s">
        <v>143</v>
      </c>
      <c r="S506" s="18" t="s">
        <v>59</v>
      </c>
      <c r="T506" s="38">
        <v>2026.0</v>
      </c>
      <c r="U506" s="38">
        <v>5.0</v>
      </c>
      <c r="V506" s="38">
        <v>1.081523206E9</v>
      </c>
      <c r="W506" s="38">
        <v>1.081541276E9</v>
      </c>
      <c r="X506" s="18" t="s">
        <v>2199</v>
      </c>
      <c r="Y506" s="18" t="s">
        <v>2200</v>
      </c>
      <c r="Z506" s="38">
        <v>129276.28</v>
      </c>
      <c r="AA506" s="38">
        <v>129276.28</v>
      </c>
      <c r="AB506" s="38">
        <v>43092.1</v>
      </c>
      <c r="AC506" s="38">
        <v>253.0</v>
      </c>
      <c r="AD506" s="38">
        <v>0.0</v>
      </c>
      <c r="AE506" s="38">
        <v>0.0</v>
      </c>
      <c r="AF506" s="38">
        <v>0.0</v>
      </c>
      <c r="AG506" s="38">
        <v>0.0</v>
      </c>
      <c r="AH506" s="38">
        <v>0.0</v>
      </c>
      <c r="AI506" s="38">
        <v>129276.28</v>
      </c>
      <c r="AJ506" s="38">
        <v>129276.28</v>
      </c>
      <c r="AK506" s="38">
        <v>0.0</v>
      </c>
      <c r="AL506" s="38">
        <v>376.2</v>
      </c>
      <c r="AM506" s="38">
        <v>0.0</v>
      </c>
      <c r="AN506" s="34" t="s">
        <v>62</v>
      </c>
      <c r="AO506" s="34" t="s">
        <v>62</v>
      </c>
      <c r="AP506" s="34" t="s">
        <v>62</v>
      </c>
      <c r="AQ506" s="34" t="s">
        <v>62</v>
      </c>
      <c r="AR506" s="38">
        <v>0.0</v>
      </c>
      <c r="AS506" s="38" t="s">
        <v>2730</v>
      </c>
      <c r="AT506" s="38" t="s">
        <v>2275</v>
      </c>
      <c r="AU506" s="39" t="s">
        <v>2276</v>
      </c>
      <c r="AV506" s="40">
        <v>46163.0</v>
      </c>
    </row>
    <row r="507">
      <c r="A507" s="38">
        <v>379545.0</v>
      </c>
      <c r="B507" s="38">
        <v>462318.0</v>
      </c>
      <c r="C507" s="38">
        <v>492085.0</v>
      </c>
      <c r="D507" s="34" t="s">
        <v>62</v>
      </c>
      <c r="E507" s="34" t="s">
        <v>62</v>
      </c>
      <c r="F507" s="38">
        <v>9.01365998E8</v>
      </c>
      <c r="G507" s="18" t="s">
        <v>1359</v>
      </c>
      <c r="H507" s="18" t="s">
        <v>2731</v>
      </c>
      <c r="I507" s="18" t="s">
        <v>991</v>
      </c>
      <c r="J507" s="18" t="s">
        <v>2691</v>
      </c>
      <c r="K507" s="18" t="s">
        <v>2691</v>
      </c>
      <c r="L507" s="18" t="s">
        <v>52</v>
      </c>
      <c r="M507" s="18" t="s">
        <v>53</v>
      </c>
      <c r="N507" s="18" t="s">
        <v>861</v>
      </c>
      <c r="O507" s="18" t="s">
        <v>126</v>
      </c>
      <c r="P507" s="18" t="s">
        <v>56</v>
      </c>
      <c r="Q507" s="18" t="s">
        <v>90</v>
      </c>
      <c r="R507" s="18" t="s">
        <v>143</v>
      </c>
      <c r="S507" s="18" t="s">
        <v>59</v>
      </c>
      <c r="T507" s="38">
        <v>2026.0</v>
      </c>
      <c r="U507" s="38">
        <v>5.0</v>
      </c>
      <c r="V507" s="38">
        <v>1.081523209E9</v>
      </c>
      <c r="W507" s="38">
        <v>1.081541279E9</v>
      </c>
      <c r="X507" s="18" t="s">
        <v>2199</v>
      </c>
      <c r="Y507" s="18" t="s">
        <v>2200</v>
      </c>
      <c r="Z507" s="38">
        <v>129276.28</v>
      </c>
      <c r="AA507" s="38">
        <v>129276.28</v>
      </c>
      <c r="AB507" s="38">
        <v>43092.1</v>
      </c>
      <c r="AC507" s="38">
        <v>253.0</v>
      </c>
      <c r="AD507" s="38">
        <v>0.0</v>
      </c>
      <c r="AE507" s="38">
        <v>0.0</v>
      </c>
      <c r="AF507" s="38">
        <v>0.0</v>
      </c>
      <c r="AG507" s="38">
        <v>0.0</v>
      </c>
      <c r="AH507" s="38">
        <v>0.0</v>
      </c>
      <c r="AI507" s="38">
        <v>129276.28</v>
      </c>
      <c r="AJ507" s="38">
        <v>129276.28</v>
      </c>
      <c r="AK507" s="38">
        <v>0.0</v>
      </c>
      <c r="AL507" s="38">
        <v>376.2</v>
      </c>
      <c r="AM507" s="38">
        <v>0.0</v>
      </c>
      <c r="AN507" s="34" t="s">
        <v>62</v>
      </c>
      <c r="AO507" s="34" t="s">
        <v>62</v>
      </c>
      <c r="AP507" s="34" t="s">
        <v>62</v>
      </c>
      <c r="AQ507" s="34" t="s">
        <v>62</v>
      </c>
      <c r="AR507" s="38">
        <v>0.0</v>
      </c>
      <c r="AS507" s="38" t="s">
        <v>2732</v>
      </c>
      <c r="AT507" s="38" t="s">
        <v>2275</v>
      </c>
      <c r="AU507" s="39" t="s">
        <v>2276</v>
      </c>
      <c r="AV507" s="40">
        <v>46163.0</v>
      </c>
    </row>
    <row r="508">
      <c r="A508" s="38">
        <v>467.0</v>
      </c>
      <c r="B508" s="38">
        <v>466.0</v>
      </c>
      <c r="C508" s="38">
        <v>466.0</v>
      </c>
      <c r="D508" s="38">
        <v>9.025781E7</v>
      </c>
      <c r="E508" s="38">
        <v>9.025781E7</v>
      </c>
      <c r="F508" s="38">
        <v>8.90501434E8</v>
      </c>
      <c r="G508" s="18" t="s">
        <v>1361</v>
      </c>
      <c r="H508" s="18" t="s">
        <v>2733</v>
      </c>
      <c r="I508" s="18" t="s">
        <v>1362</v>
      </c>
      <c r="J508" s="18" t="s">
        <v>2205</v>
      </c>
      <c r="K508" s="18" t="s">
        <v>2611</v>
      </c>
      <c r="L508" s="18" t="s">
        <v>52</v>
      </c>
      <c r="M508" s="18" t="s">
        <v>269</v>
      </c>
      <c r="N508" s="18" t="s">
        <v>861</v>
      </c>
      <c r="O508" s="18" t="s">
        <v>632</v>
      </c>
      <c r="P508" s="18" t="s">
        <v>56</v>
      </c>
      <c r="Q508" s="18" t="s">
        <v>57</v>
      </c>
      <c r="R508" s="18" t="s">
        <v>143</v>
      </c>
      <c r="S508" s="18" t="s">
        <v>59</v>
      </c>
      <c r="T508" s="38">
        <v>2026.0</v>
      </c>
      <c r="U508" s="38">
        <v>5.0</v>
      </c>
      <c r="V508" s="38">
        <v>1.081522934E9</v>
      </c>
      <c r="W508" s="38">
        <v>1.081541004E9</v>
      </c>
      <c r="X508" s="18" t="s">
        <v>2199</v>
      </c>
      <c r="Y508" s="18" t="s">
        <v>2200</v>
      </c>
      <c r="Z508" s="38">
        <v>37671.46</v>
      </c>
      <c r="AA508" s="38">
        <v>37671.46</v>
      </c>
      <c r="AB508" s="38">
        <v>0.0</v>
      </c>
      <c r="AC508" s="38">
        <v>253.0</v>
      </c>
      <c r="AD508" s="38">
        <v>0.0</v>
      </c>
      <c r="AE508" s="38">
        <v>0.0</v>
      </c>
      <c r="AF508" s="38">
        <v>0.0</v>
      </c>
      <c r="AG508" s="38">
        <v>0.0</v>
      </c>
      <c r="AH508" s="38">
        <v>0.0</v>
      </c>
      <c r="AI508" s="38">
        <v>37671.46</v>
      </c>
      <c r="AJ508" s="38">
        <v>147406.67</v>
      </c>
      <c r="AK508" s="38">
        <v>3.0</v>
      </c>
      <c r="AL508" s="38">
        <v>-13897.92</v>
      </c>
      <c r="AM508" s="38">
        <v>0.0</v>
      </c>
      <c r="AN508" s="34" t="s">
        <v>62</v>
      </c>
      <c r="AO508" s="34" t="s">
        <v>62</v>
      </c>
      <c r="AP508" s="34" t="s">
        <v>62</v>
      </c>
      <c r="AQ508" s="34" t="s">
        <v>62</v>
      </c>
      <c r="AR508" s="38">
        <v>0.0</v>
      </c>
      <c r="AS508" s="38" t="s">
        <v>2293</v>
      </c>
      <c r="AT508" s="35" t="s">
        <v>2294</v>
      </c>
      <c r="AU508" s="39" t="s">
        <v>2295</v>
      </c>
      <c r="AV508" s="40">
        <v>46164.0</v>
      </c>
    </row>
    <row r="509">
      <c r="A509" s="38">
        <v>540609.0</v>
      </c>
      <c r="B509" s="38">
        <v>472234.0</v>
      </c>
      <c r="C509" s="38">
        <v>509895.0</v>
      </c>
      <c r="D509" s="38">
        <v>1131110.0</v>
      </c>
      <c r="E509" s="38">
        <v>1131110.0</v>
      </c>
      <c r="F509" s="38">
        <v>1131110.0</v>
      </c>
      <c r="G509" s="18" t="s">
        <v>1364</v>
      </c>
      <c r="H509" s="18" t="s">
        <v>2734</v>
      </c>
      <c r="I509" s="18" t="s">
        <v>869</v>
      </c>
      <c r="J509" s="18" t="s">
        <v>2205</v>
      </c>
      <c r="K509" s="18" t="s">
        <v>2270</v>
      </c>
      <c r="L509" s="18" t="s">
        <v>52</v>
      </c>
      <c r="M509" s="18" t="s">
        <v>53</v>
      </c>
      <c r="N509" s="18" t="s">
        <v>861</v>
      </c>
      <c r="O509" s="18" t="s">
        <v>126</v>
      </c>
      <c r="P509" s="18" t="s">
        <v>131</v>
      </c>
      <c r="Q509" s="18" t="s">
        <v>132</v>
      </c>
      <c r="R509" s="18" t="s">
        <v>133</v>
      </c>
      <c r="S509" s="18" t="s">
        <v>59</v>
      </c>
      <c r="T509" s="38">
        <v>2026.0</v>
      </c>
      <c r="U509" s="38">
        <v>5.0</v>
      </c>
      <c r="V509" s="38">
        <v>1.081523211E9</v>
      </c>
      <c r="W509" s="38">
        <v>1.081541281E9</v>
      </c>
      <c r="X509" s="18" t="s">
        <v>2199</v>
      </c>
      <c r="Y509" s="18" t="s">
        <v>2200</v>
      </c>
      <c r="Z509" s="38">
        <v>230274.0</v>
      </c>
      <c r="AA509" s="38">
        <v>230274.0</v>
      </c>
      <c r="AB509" s="38">
        <v>38680.0</v>
      </c>
      <c r="AC509" s="38">
        <v>0.0</v>
      </c>
      <c r="AD509" s="38">
        <v>0.0</v>
      </c>
      <c r="AE509" s="38">
        <v>0.0</v>
      </c>
      <c r="AF509" s="38">
        <v>0.0</v>
      </c>
      <c r="AG509" s="38">
        <v>0.0</v>
      </c>
      <c r="AH509" s="38">
        <v>0.0</v>
      </c>
      <c r="AI509" s="38">
        <v>230274.0</v>
      </c>
      <c r="AJ509" s="38">
        <v>344758.5</v>
      </c>
      <c r="AK509" s="38">
        <v>1.0</v>
      </c>
      <c r="AL509" s="38">
        <v>120654.0</v>
      </c>
      <c r="AM509" s="38">
        <v>0.0</v>
      </c>
      <c r="AN509" s="34" t="s">
        <v>62</v>
      </c>
      <c r="AO509" s="34" t="s">
        <v>62</v>
      </c>
      <c r="AP509" s="34" t="s">
        <v>62</v>
      </c>
      <c r="AQ509" s="34" t="s">
        <v>62</v>
      </c>
      <c r="AR509" s="38">
        <v>0.0</v>
      </c>
      <c r="AS509" s="38" t="s">
        <v>2271</v>
      </c>
      <c r="AT509" s="38" t="s">
        <v>2202</v>
      </c>
      <c r="AU509" s="39" t="s">
        <v>2203</v>
      </c>
      <c r="AV509" s="40">
        <v>46163.0</v>
      </c>
    </row>
    <row r="510">
      <c r="A510" s="38">
        <v>545073.0</v>
      </c>
      <c r="B510" s="38">
        <v>473902.0</v>
      </c>
      <c r="C510" s="38">
        <v>513089.0</v>
      </c>
      <c r="D510" s="34" t="s">
        <v>62</v>
      </c>
      <c r="E510" s="34" t="s">
        <v>62</v>
      </c>
      <c r="F510" s="18" t="s">
        <v>936</v>
      </c>
      <c r="G510" s="18" t="s">
        <v>937</v>
      </c>
      <c r="H510" s="18" t="s">
        <v>2735</v>
      </c>
      <c r="I510" s="18" t="s">
        <v>991</v>
      </c>
      <c r="J510" s="18" t="s">
        <v>2691</v>
      </c>
      <c r="K510" s="18" t="s">
        <v>2691</v>
      </c>
      <c r="L510" s="18" t="s">
        <v>52</v>
      </c>
      <c r="M510" s="18" t="s">
        <v>53</v>
      </c>
      <c r="N510" s="18" t="s">
        <v>861</v>
      </c>
      <c r="O510" s="18" t="s">
        <v>126</v>
      </c>
      <c r="P510" s="18" t="s">
        <v>56</v>
      </c>
      <c r="Q510" s="18" t="s">
        <v>90</v>
      </c>
      <c r="R510" s="18" t="s">
        <v>143</v>
      </c>
      <c r="S510" s="18" t="s">
        <v>59</v>
      </c>
      <c r="T510" s="38">
        <v>2026.0</v>
      </c>
      <c r="U510" s="38">
        <v>5.0</v>
      </c>
      <c r="V510" s="38">
        <v>1.081523215E9</v>
      </c>
      <c r="W510" s="38">
        <v>1.081541285E9</v>
      </c>
      <c r="X510" s="18" t="s">
        <v>2199</v>
      </c>
      <c r="Y510" s="18" t="s">
        <v>2200</v>
      </c>
      <c r="Z510" s="38">
        <v>129276.28</v>
      </c>
      <c r="AA510" s="38">
        <v>129276.28</v>
      </c>
      <c r="AB510" s="38">
        <v>43092.1</v>
      </c>
      <c r="AC510" s="38">
        <v>253.0</v>
      </c>
      <c r="AD510" s="38">
        <v>0.0</v>
      </c>
      <c r="AE510" s="38">
        <v>0.0</v>
      </c>
      <c r="AF510" s="38">
        <v>0.0</v>
      </c>
      <c r="AG510" s="38">
        <v>0.0</v>
      </c>
      <c r="AH510" s="38">
        <v>0.0</v>
      </c>
      <c r="AI510" s="38">
        <v>129276.28</v>
      </c>
      <c r="AJ510" s="38">
        <v>129276.28</v>
      </c>
      <c r="AK510" s="38">
        <v>0.0</v>
      </c>
      <c r="AL510" s="38">
        <v>376.2</v>
      </c>
      <c r="AM510" s="38">
        <v>0.0</v>
      </c>
      <c r="AN510" s="34" t="s">
        <v>62</v>
      </c>
      <c r="AO510" s="34" t="s">
        <v>62</v>
      </c>
      <c r="AP510" s="34" t="s">
        <v>62</v>
      </c>
      <c r="AQ510" s="34" t="s">
        <v>62</v>
      </c>
      <c r="AR510" s="38">
        <v>0.0</v>
      </c>
      <c r="AS510" s="38" t="s">
        <v>2736</v>
      </c>
      <c r="AT510" s="38" t="s">
        <v>2275</v>
      </c>
      <c r="AU510" s="39" t="s">
        <v>2276</v>
      </c>
      <c r="AV510" s="40">
        <v>46163.0</v>
      </c>
    </row>
    <row r="511">
      <c r="A511" s="38">
        <v>479.0</v>
      </c>
      <c r="B511" s="38">
        <v>478.0</v>
      </c>
      <c r="C511" s="38">
        <v>478.0</v>
      </c>
      <c r="D511" s="38">
        <v>9.0259129E7</v>
      </c>
      <c r="E511" s="38">
        <v>9.0259129E7</v>
      </c>
      <c r="F511" s="18" t="s">
        <v>1367</v>
      </c>
      <c r="G511" s="18" t="s">
        <v>1368</v>
      </c>
      <c r="H511" s="18" t="s">
        <v>2737</v>
      </c>
      <c r="I511" s="18" t="s">
        <v>982</v>
      </c>
      <c r="J511" s="18" t="s">
        <v>2205</v>
      </c>
      <c r="K511" s="18" t="s">
        <v>2205</v>
      </c>
      <c r="L511" s="18" t="s">
        <v>52</v>
      </c>
      <c r="M511" s="18" t="s">
        <v>89</v>
      </c>
      <c r="N511" s="18" t="s">
        <v>861</v>
      </c>
      <c r="O511" s="18" t="s">
        <v>126</v>
      </c>
      <c r="P511" s="18" t="s">
        <v>56</v>
      </c>
      <c r="Q511" s="18" t="s">
        <v>90</v>
      </c>
      <c r="R511" s="18" t="s">
        <v>143</v>
      </c>
      <c r="S511" s="18" t="s">
        <v>59</v>
      </c>
      <c r="T511" s="38">
        <v>2026.0</v>
      </c>
      <c r="U511" s="38">
        <v>5.0</v>
      </c>
      <c r="V511" s="38">
        <v>1.08152294E9</v>
      </c>
      <c r="W511" s="38">
        <v>1.08154101E9</v>
      </c>
      <c r="X511" s="18" t="s">
        <v>2199</v>
      </c>
      <c r="Y511" s="18" t="s">
        <v>2200</v>
      </c>
      <c r="Z511" s="38">
        <v>184653.67</v>
      </c>
      <c r="AA511" s="38">
        <v>184653.67</v>
      </c>
      <c r="AB511" s="38">
        <v>61551.23</v>
      </c>
      <c r="AC511" s="38">
        <v>447.5</v>
      </c>
      <c r="AD511" s="38">
        <v>0.01</v>
      </c>
      <c r="AE511" s="38">
        <v>0.0</v>
      </c>
      <c r="AF511" s="38">
        <v>0.0</v>
      </c>
      <c r="AG511" s="38">
        <v>0.0</v>
      </c>
      <c r="AH511" s="38">
        <v>0.0</v>
      </c>
      <c r="AI511" s="38">
        <v>184653.67</v>
      </c>
      <c r="AJ511" s="38">
        <v>370775.96</v>
      </c>
      <c r="AK511" s="38">
        <v>2.0</v>
      </c>
      <c r="AL511" s="38">
        <v>376.2</v>
      </c>
      <c r="AM511" s="38">
        <v>0.0</v>
      </c>
      <c r="AN511" s="34" t="s">
        <v>62</v>
      </c>
      <c r="AO511" s="34" t="s">
        <v>62</v>
      </c>
      <c r="AP511" s="34" t="s">
        <v>62</v>
      </c>
      <c r="AQ511" s="34" t="s">
        <v>62</v>
      </c>
      <c r="AR511" s="38">
        <v>0.0</v>
      </c>
      <c r="AS511" s="38" t="s">
        <v>2738</v>
      </c>
      <c r="AT511" s="35" t="s">
        <v>2202</v>
      </c>
      <c r="AU511" s="39" t="s">
        <v>2254</v>
      </c>
      <c r="AV511" s="40">
        <v>46170.0</v>
      </c>
    </row>
    <row r="512">
      <c r="A512" s="38">
        <v>483.0</v>
      </c>
      <c r="B512" s="38">
        <v>482.0</v>
      </c>
      <c r="C512" s="38">
        <v>482.0</v>
      </c>
      <c r="D512" s="38">
        <v>9.0259373E7</v>
      </c>
      <c r="E512" s="38">
        <v>9.0259373E7</v>
      </c>
      <c r="F512" s="38">
        <v>8.60035827E8</v>
      </c>
      <c r="G512" s="18" t="s">
        <v>1370</v>
      </c>
      <c r="H512" s="18" t="s">
        <v>2739</v>
      </c>
      <c r="I512" s="18" t="s">
        <v>860</v>
      </c>
      <c r="J512" s="18" t="s">
        <v>2205</v>
      </c>
      <c r="K512" s="18" t="s">
        <v>2205</v>
      </c>
      <c r="L512" s="18" t="s">
        <v>52</v>
      </c>
      <c r="M512" s="18" t="s">
        <v>89</v>
      </c>
      <c r="N512" s="18" t="s">
        <v>861</v>
      </c>
      <c r="O512" s="18" t="s">
        <v>126</v>
      </c>
      <c r="P512" s="18" t="s">
        <v>131</v>
      </c>
      <c r="Q512" s="18" t="s">
        <v>132</v>
      </c>
      <c r="R512" s="18" t="s">
        <v>133</v>
      </c>
      <c r="S512" s="18" t="s">
        <v>59</v>
      </c>
      <c r="T512" s="38">
        <v>2026.0</v>
      </c>
      <c r="U512" s="38">
        <v>5.0</v>
      </c>
      <c r="V512" s="38">
        <v>1.081522944E9</v>
      </c>
      <c r="W512" s="38">
        <v>1.081541014E9</v>
      </c>
      <c r="X512" s="18" t="s">
        <v>2199</v>
      </c>
      <c r="Y512" s="18" t="s">
        <v>2200</v>
      </c>
      <c r="Z512" s="38">
        <v>113911.5</v>
      </c>
      <c r="AA512" s="38">
        <v>113911.5</v>
      </c>
      <c r="AB512" s="38">
        <v>37970.5</v>
      </c>
      <c r="AC512" s="38">
        <v>0.0</v>
      </c>
      <c r="AD512" s="38">
        <v>0.0</v>
      </c>
      <c r="AE512" s="38">
        <v>0.0</v>
      </c>
      <c r="AF512" s="38">
        <v>0.0</v>
      </c>
      <c r="AG512" s="38">
        <v>0.0</v>
      </c>
      <c r="AH512" s="38">
        <v>0.0</v>
      </c>
      <c r="AI512" s="38">
        <v>113911.5</v>
      </c>
      <c r="AJ512" s="38">
        <v>113911.5</v>
      </c>
      <c r="AK512" s="38">
        <v>0.0</v>
      </c>
      <c r="AL512" s="38">
        <v>376.2</v>
      </c>
      <c r="AM512" s="38">
        <v>0.0</v>
      </c>
      <c r="AN512" s="34" t="s">
        <v>62</v>
      </c>
      <c r="AO512" s="34" t="s">
        <v>62</v>
      </c>
      <c r="AP512" s="34" t="s">
        <v>62</v>
      </c>
      <c r="AQ512" s="34" t="s">
        <v>62</v>
      </c>
      <c r="AR512" s="38">
        <v>0.0</v>
      </c>
      <c r="AS512" s="38" t="s">
        <v>2740</v>
      </c>
      <c r="AT512" s="35" t="s">
        <v>2202</v>
      </c>
      <c r="AU512" s="39" t="s">
        <v>2254</v>
      </c>
      <c r="AV512" s="40">
        <v>46170.0</v>
      </c>
    </row>
    <row r="513">
      <c r="A513" s="38">
        <v>632.0</v>
      </c>
      <c r="B513" s="38">
        <v>486.0</v>
      </c>
      <c r="C513" s="38">
        <v>486.0</v>
      </c>
      <c r="D513" s="38">
        <v>9.0260602E7</v>
      </c>
      <c r="E513" s="38">
        <v>9.0260602E7</v>
      </c>
      <c r="F513" s="38">
        <v>8.90107487E8</v>
      </c>
      <c r="G513" s="18" t="s">
        <v>1121</v>
      </c>
      <c r="H513" s="18" t="s">
        <v>2741</v>
      </c>
      <c r="I513" s="18" t="s">
        <v>910</v>
      </c>
      <c r="J513" s="18" t="s">
        <v>2205</v>
      </c>
      <c r="K513" s="18" t="s">
        <v>2742</v>
      </c>
      <c r="L513" s="18" t="s">
        <v>52</v>
      </c>
      <c r="M513" s="18" t="s">
        <v>53</v>
      </c>
      <c r="N513" s="18" t="s">
        <v>861</v>
      </c>
      <c r="O513" s="18" t="s">
        <v>126</v>
      </c>
      <c r="P513" s="18" t="s">
        <v>56</v>
      </c>
      <c r="Q513" s="18" t="s">
        <v>90</v>
      </c>
      <c r="R513" s="18" t="s">
        <v>143</v>
      </c>
      <c r="S513" s="18" t="s">
        <v>59</v>
      </c>
      <c r="T513" s="38">
        <v>2026.0</v>
      </c>
      <c r="U513" s="38">
        <v>5.0</v>
      </c>
      <c r="V513" s="38">
        <v>1.081522949E9</v>
      </c>
      <c r="W513" s="38">
        <v>1.081541019E9</v>
      </c>
      <c r="X513" s="18" t="s">
        <v>2199</v>
      </c>
      <c r="Y513" s="18" t="s">
        <v>2200</v>
      </c>
      <c r="Z513" s="38">
        <v>555496.88</v>
      </c>
      <c r="AA513" s="38">
        <v>555496.88</v>
      </c>
      <c r="AB513" s="38">
        <v>185165.63</v>
      </c>
      <c r="AC513" s="38">
        <v>1750.0</v>
      </c>
      <c r="AD513" s="38">
        <v>0.0</v>
      </c>
      <c r="AE513" s="38">
        <v>0.0</v>
      </c>
      <c r="AF513" s="38">
        <v>0.0</v>
      </c>
      <c r="AG513" s="38">
        <v>0.0</v>
      </c>
      <c r="AH513" s="38">
        <v>0.0</v>
      </c>
      <c r="AI513" s="38">
        <v>555496.88</v>
      </c>
      <c r="AJ513" s="38">
        <v>555496.88</v>
      </c>
      <c r="AK513" s="38">
        <v>0.0</v>
      </c>
      <c r="AL513" s="38">
        <v>376.2</v>
      </c>
      <c r="AM513" s="38">
        <v>0.0</v>
      </c>
      <c r="AN513" s="34" t="s">
        <v>62</v>
      </c>
      <c r="AO513" s="34" t="s">
        <v>62</v>
      </c>
      <c r="AP513" s="34" t="s">
        <v>62</v>
      </c>
      <c r="AQ513" s="34" t="s">
        <v>62</v>
      </c>
      <c r="AR513" s="38">
        <v>0.0</v>
      </c>
      <c r="AS513" s="38" t="s">
        <v>2743</v>
      </c>
      <c r="AT513" s="35" t="s">
        <v>2202</v>
      </c>
      <c r="AU513" s="39" t="s">
        <v>2203</v>
      </c>
      <c r="AV513" s="40">
        <v>46169.0</v>
      </c>
    </row>
    <row r="514">
      <c r="A514" s="38">
        <v>495.0</v>
      </c>
      <c r="B514" s="38">
        <v>494.0</v>
      </c>
      <c r="C514" s="38">
        <v>494.0</v>
      </c>
      <c r="D514" s="38">
        <v>9.0266585E7</v>
      </c>
      <c r="E514" s="38">
        <v>9.0266585E7</v>
      </c>
      <c r="F514" s="18" t="s">
        <v>1373</v>
      </c>
      <c r="G514" s="18" t="s">
        <v>1374</v>
      </c>
      <c r="H514" s="18" t="s">
        <v>2744</v>
      </c>
      <c r="I514" s="18" t="s">
        <v>942</v>
      </c>
      <c r="J514" s="18" t="s">
        <v>2205</v>
      </c>
      <c r="K514" s="18" t="s">
        <v>2205</v>
      </c>
      <c r="L514" s="18" t="s">
        <v>52</v>
      </c>
      <c r="M514" s="18" t="s">
        <v>89</v>
      </c>
      <c r="N514" s="18" t="s">
        <v>861</v>
      </c>
      <c r="O514" s="18" t="s">
        <v>126</v>
      </c>
      <c r="P514" s="18" t="s">
        <v>131</v>
      </c>
      <c r="Q514" s="18" t="s">
        <v>538</v>
      </c>
      <c r="R514" s="18" t="s">
        <v>133</v>
      </c>
      <c r="S514" s="18" t="s">
        <v>59</v>
      </c>
      <c r="T514" s="38">
        <v>2026.0</v>
      </c>
      <c r="U514" s="38">
        <v>5.0</v>
      </c>
      <c r="V514" s="38">
        <v>1.081522953E9</v>
      </c>
      <c r="W514" s="38">
        <v>1.081541023E9</v>
      </c>
      <c r="X514" s="18" t="s">
        <v>2199</v>
      </c>
      <c r="Y514" s="18" t="s">
        <v>2200</v>
      </c>
      <c r="Z514" s="38">
        <v>95028.0</v>
      </c>
      <c r="AA514" s="38">
        <v>95028.0</v>
      </c>
      <c r="AB514" s="38">
        <v>31676.0</v>
      </c>
      <c r="AC514" s="38">
        <v>0.0</v>
      </c>
      <c r="AD514" s="38">
        <v>0.0</v>
      </c>
      <c r="AE514" s="38">
        <v>0.0</v>
      </c>
      <c r="AF514" s="38">
        <v>0.0</v>
      </c>
      <c r="AG514" s="38">
        <v>0.0</v>
      </c>
      <c r="AH514" s="38">
        <v>0.0</v>
      </c>
      <c r="AI514" s="38">
        <v>95028.0</v>
      </c>
      <c r="AJ514" s="38">
        <v>95028.0</v>
      </c>
      <c r="AK514" s="38">
        <v>0.0</v>
      </c>
      <c r="AL514" s="38">
        <v>376.2</v>
      </c>
      <c r="AM514" s="38">
        <v>0.0</v>
      </c>
      <c r="AN514" s="34" t="s">
        <v>62</v>
      </c>
      <c r="AO514" s="34" t="s">
        <v>62</v>
      </c>
      <c r="AP514" s="34" t="s">
        <v>62</v>
      </c>
      <c r="AQ514" s="34" t="s">
        <v>62</v>
      </c>
      <c r="AR514" s="38">
        <v>0.0</v>
      </c>
      <c r="AS514" s="38" t="s">
        <v>2745</v>
      </c>
      <c r="AT514" s="35" t="s">
        <v>2202</v>
      </c>
      <c r="AU514" s="39" t="s">
        <v>2254</v>
      </c>
      <c r="AV514" s="40">
        <v>46170.0</v>
      </c>
    </row>
    <row r="515">
      <c r="A515" s="38">
        <v>285191.0</v>
      </c>
      <c r="B515" s="38">
        <v>49722.0</v>
      </c>
      <c r="C515" s="38">
        <v>49722.0</v>
      </c>
      <c r="D515" s="38">
        <v>315839.0</v>
      </c>
      <c r="E515" s="38">
        <v>315839.0</v>
      </c>
      <c r="F515" s="38">
        <v>9.00276962E8</v>
      </c>
      <c r="G515" s="18" t="s">
        <v>128</v>
      </c>
      <c r="H515" s="18" t="s">
        <v>2269</v>
      </c>
      <c r="I515" s="18" t="s">
        <v>443</v>
      </c>
      <c r="J515" s="18" t="s">
        <v>2205</v>
      </c>
      <c r="K515" s="18" t="s">
        <v>2270</v>
      </c>
      <c r="L515" s="18" t="s">
        <v>52</v>
      </c>
      <c r="M515" s="18" t="s">
        <v>89</v>
      </c>
      <c r="N515" s="18" t="s">
        <v>861</v>
      </c>
      <c r="O515" s="18" t="s">
        <v>126</v>
      </c>
      <c r="P515" s="18" t="s">
        <v>131</v>
      </c>
      <c r="Q515" s="18" t="s">
        <v>132</v>
      </c>
      <c r="R515" s="18" t="s">
        <v>133</v>
      </c>
      <c r="S515" s="18" t="s">
        <v>59</v>
      </c>
      <c r="T515" s="38">
        <v>2026.0</v>
      </c>
      <c r="U515" s="38">
        <v>5.0</v>
      </c>
      <c r="V515" s="38">
        <v>1.081523072E9</v>
      </c>
      <c r="W515" s="38">
        <v>1.081541142E9</v>
      </c>
      <c r="X515" s="18" t="s">
        <v>2199</v>
      </c>
      <c r="Y515" s="18" t="s">
        <v>2200</v>
      </c>
      <c r="Z515" s="38">
        <v>113911.5</v>
      </c>
      <c r="AA515" s="38">
        <v>113911.5</v>
      </c>
      <c r="AB515" s="38">
        <v>37970.5</v>
      </c>
      <c r="AC515" s="38">
        <v>0.0</v>
      </c>
      <c r="AD515" s="38">
        <v>0.0</v>
      </c>
      <c r="AE515" s="38">
        <v>0.0</v>
      </c>
      <c r="AF515" s="38">
        <v>0.0</v>
      </c>
      <c r="AG515" s="38">
        <v>0.0</v>
      </c>
      <c r="AH515" s="38">
        <v>0.0</v>
      </c>
      <c r="AI515" s="38">
        <v>113911.5</v>
      </c>
      <c r="AJ515" s="38">
        <v>225796.5</v>
      </c>
      <c r="AK515" s="38">
        <v>1.0</v>
      </c>
      <c r="AL515" s="38">
        <v>376.2</v>
      </c>
      <c r="AM515" s="38">
        <v>0.0</v>
      </c>
      <c r="AN515" s="34" t="s">
        <v>62</v>
      </c>
      <c r="AO515" s="34" t="s">
        <v>62</v>
      </c>
      <c r="AP515" s="34" t="s">
        <v>62</v>
      </c>
      <c r="AQ515" s="34" t="s">
        <v>62</v>
      </c>
      <c r="AR515" s="38">
        <v>0.0</v>
      </c>
      <c r="AS515" s="38" t="s">
        <v>2271</v>
      </c>
      <c r="AT515" s="35" t="s">
        <v>2202</v>
      </c>
      <c r="AU515" s="39" t="s">
        <v>2203</v>
      </c>
      <c r="AV515" s="40">
        <v>46163.0</v>
      </c>
    </row>
    <row r="516">
      <c r="A516" s="38">
        <v>593973.0</v>
      </c>
      <c r="B516" s="38">
        <v>497906.0</v>
      </c>
      <c r="C516" s="38">
        <v>550649.0</v>
      </c>
      <c r="D516" s="34" t="s">
        <v>62</v>
      </c>
      <c r="E516" s="34" t="s">
        <v>62</v>
      </c>
      <c r="F516" s="38">
        <v>1.098740363E9</v>
      </c>
      <c r="G516" s="18" t="s">
        <v>1377</v>
      </c>
      <c r="H516" s="18" t="s">
        <v>2746</v>
      </c>
      <c r="I516" s="18" t="s">
        <v>991</v>
      </c>
      <c r="J516" s="18" t="s">
        <v>2691</v>
      </c>
      <c r="K516" s="18" t="s">
        <v>2691</v>
      </c>
      <c r="L516" s="18" t="s">
        <v>52</v>
      </c>
      <c r="M516" s="18" t="s">
        <v>89</v>
      </c>
      <c r="N516" s="18" t="s">
        <v>861</v>
      </c>
      <c r="O516" s="18" t="s">
        <v>126</v>
      </c>
      <c r="P516" s="18" t="s">
        <v>131</v>
      </c>
      <c r="Q516" s="18" t="s">
        <v>363</v>
      </c>
      <c r="R516" s="18" t="s">
        <v>133</v>
      </c>
      <c r="S516" s="18" t="s">
        <v>59</v>
      </c>
      <c r="T516" s="38">
        <v>2026.0</v>
      </c>
      <c r="U516" s="38">
        <v>5.0</v>
      </c>
      <c r="V516" s="38">
        <v>1.081523218E9</v>
      </c>
      <c r="W516" s="38">
        <v>1.081541288E9</v>
      </c>
      <c r="X516" s="18" t="s">
        <v>2199</v>
      </c>
      <c r="Y516" s="18" t="s">
        <v>2200</v>
      </c>
      <c r="Z516" s="38">
        <v>76141.5</v>
      </c>
      <c r="AA516" s="38">
        <v>76141.5</v>
      </c>
      <c r="AB516" s="38">
        <v>25380.5</v>
      </c>
      <c r="AC516" s="38">
        <v>0.0</v>
      </c>
      <c r="AD516" s="38">
        <v>0.0</v>
      </c>
      <c r="AE516" s="38">
        <v>0.0</v>
      </c>
      <c r="AF516" s="38">
        <v>0.0</v>
      </c>
      <c r="AG516" s="38">
        <v>0.0</v>
      </c>
      <c r="AH516" s="38">
        <v>0.0</v>
      </c>
      <c r="AI516" s="38">
        <v>76141.5</v>
      </c>
      <c r="AJ516" s="38">
        <v>76142.0</v>
      </c>
      <c r="AK516" s="38">
        <v>1.0</v>
      </c>
      <c r="AL516" s="38">
        <v>376.2</v>
      </c>
      <c r="AM516" s="38">
        <v>0.0</v>
      </c>
      <c r="AN516" s="34" t="s">
        <v>62</v>
      </c>
      <c r="AO516" s="34" t="s">
        <v>62</v>
      </c>
      <c r="AP516" s="34" t="s">
        <v>62</v>
      </c>
      <c r="AQ516" s="34" t="s">
        <v>62</v>
      </c>
      <c r="AR516" s="38">
        <v>0.0</v>
      </c>
      <c r="AS516" s="38" t="s">
        <v>2747</v>
      </c>
      <c r="AT516" s="38" t="s">
        <v>2275</v>
      </c>
      <c r="AU516" s="39" t="s">
        <v>2276</v>
      </c>
      <c r="AV516" s="40">
        <v>46163.0</v>
      </c>
    </row>
    <row r="517">
      <c r="A517" s="38">
        <v>499.0</v>
      </c>
      <c r="B517" s="38">
        <v>498.0</v>
      </c>
      <c r="C517" s="38">
        <v>498.0</v>
      </c>
      <c r="D517" s="38">
        <v>9.0267308E7</v>
      </c>
      <c r="E517" s="38">
        <v>9.0267308E7</v>
      </c>
      <c r="F517" s="38">
        <v>9.00531571E8</v>
      </c>
      <c r="G517" s="18" t="s">
        <v>1379</v>
      </c>
      <c r="H517" s="18" t="s">
        <v>2748</v>
      </c>
      <c r="I517" s="18" t="s">
        <v>982</v>
      </c>
      <c r="J517" s="18" t="s">
        <v>2205</v>
      </c>
      <c r="K517" s="18" t="s">
        <v>2205</v>
      </c>
      <c r="L517" s="18" t="s">
        <v>52</v>
      </c>
      <c r="M517" s="18" t="s">
        <v>89</v>
      </c>
      <c r="N517" s="18" t="s">
        <v>861</v>
      </c>
      <c r="O517" s="18" t="s">
        <v>126</v>
      </c>
      <c r="P517" s="18" t="s">
        <v>56</v>
      </c>
      <c r="Q517" s="18" t="s">
        <v>90</v>
      </c>
      <c r="R517" s="18" t="s">
        <v>143</v>
      </c>
      <c r="S517" s="18" t="s">
        <v>59</v>
      </c>
      <c r="T517" s="38">
        <v>2026.0</v>
      </c>
      <c r="U517" s="38">
        <v>5.0</v>
      </c>
      <c r="V517" s="38">
        <v>1.081522959E9</v>
      </c>
      <c r="W517" s="38">
        <v>1.081541029E9</v>
      </c>
      <c r="X517" s="18" t="s">
        <v>2199</v>
      </c>
      <c r="Y517" s="18" t="s">
        <v>2200</v>
      </c>
      <c r="Z517" s="38">
        <v>867832.96</v>
      </c>
      <c r="AA517" s="38">
        <v>867832.96</v>
      </c>
      <c r="AB517" s="38">
        <v>185165.63</v>
      </c>
      <c r="AC517" s="38">
        <v>1750.0</v>
      </c>
      <c r="AD517" s="38">
        <v>312336.08</v>
      </c>
      <c r="AE517" s="38">
        <v>0.0</v>
      </c>
      <c r="AF517" s="38">
        <v>0.0</v>
      </c>
      <c r="AG517" s="38">
        <v>0.0</v>
      </c>
      <c r="AH517" s="38">
        <v>0.0</v>
      </c>
      <c r="AI517" s="38">
        <v>867832.96</v>
      </c>
      <c r="AJ517" s="38">
        <v>1.901615115E7</v>
      </c>
      <c r="AK517" s="38">
        <v>12.0</v>
      </c>
      <c r="AL517" s="38">
        <v>376.2</v>
      </c>
      <c r="AM517" s="38">
        <v>0.0</v>
      </c>
      <c r="AN517" s="34" t="s">
        <v>62</v>
      </c>
      <c r="AO517" s="34" t="s">
        <v>62</v>
      </c>
      <c r="AP517" s="34" t="s">
        <v>62</v>
      </c>
      <c r="AQ517" s="34" t="s">
        <v>62</v>
      </c>
      <c r="AR517" s="38">
        <v>0.0</v>
      </c>
      <c r="AS517" s="38" t="s">
        <v>2749</v>
      </c>
      <c r="AT517" s="35" t="s">
        <v>2202</v>
      </c>
      <c r="AU517" s="39" t="s">
        <v>2254</v>
      </c>
      <c r="AV517" s="40">
        <v>46170.0</v>
      </c>
    </row>
    <row r="518">
      <c r="A518" s="38">
        <v>596830.0</v>
      </c>
      <c r="B518" s="38">
        <v>499138.0</v>
      </c>
      <c r="C518" s="38">
        <v>553199.0</v>
      </c>
      <c r="D518" s="34" t="s">
        <v>62</v>
      </c>
      <c r="E518" s="34" t="s">
        <v>62</v>
      </c>
      <c r="F518" s="38">
        <v>8.90936785E8</v>
      </c>
      <c r="G518" s="18" t="s">
        <v>1381</v>
      </c>
      <c r="H518" s="38">
        <v>0.0</v>
      </c>
      <c r="I518" s="18" t="s">
        <v>991</v>
      </c>
      <c r="J518" s="18" t="s">
        <v>2691</v>
      </c>
      <c r="K518" s="18" t="s">
        <v>2691</v>
      </c>
      <c r="L518" s="18" t="s">
        <v>52</v>
      </c>
      <c r="M518" s="18" t="s">
        <v>53</v>
      </c>
      <c r="N518" s="18" t="s">
        <v>861</v>
      </c>
      <c r="O518" s="18" t="s">
        <v>126</v>
      </c>
      <c r="P518" s="18" t="s">
        <v>131</v>
      </c>
      <c r="Q518" s="18" t="s">
        <v>363</v>
      </c>
      <c r="R518" s="18" t="s">
        <v>133</v>
      </c>
      <c r="S518" s="18" t="s">
        <v>59</v>
      </c>
      <c r="T518" s="38">
        <v>2026.0</v>
      </c>
      <c r="U518" s="38">
        <v>5.0</v>
      </c>
      <c r="V518" s="38">
        <v>1.081523221E9</v>
      </c>
      <c r="W518" s="38">
        <v>1.081541291E9</v>
      </c>
      <c r="X518" s="18" t="s">
        <v>2199</v>
      </c>
      <c r="Y518" s="18" t="s">
        <v>2200</v>
      </c>
      <c r="Z518" s="38">
        <v>78270.0</v>
      </c>
      <c r="AA518" s="38">
        <v>78270.0</v>
      </c>
      <c r="AB518" s="38">
        <v>26090.0</v>
      </c>
      <c r="AC518" s="38">
        <v>0.0</v>
      </c>
      <c r="AD518" s="38">
        <v>0.0</v>
      </c>
      <c r="AE518" s="38">
        <v>0.0</v>
      </c>
      <c r="AF518" s="38">
        <v>0.0</v>
      </c>
      <c r="AG518" s="38">
        <v>0.0</v>
      </c>
      <c r="AH518" s="38">
        <v>0.0</v>
      </c>
      <c r="AI518" s="38">
        <v>78270.0</v>
      </c>
      <c r="AJ518" s="38">
        <v>78270.0</v>
      </c>
      <c r="AK518" s="38">
        <v>0.0</v>
      </c>
      <c r="AL518" s="38">
        <v>6420.0</v>
      </c>
      <c r="AM518" s="38">
        <v>0.0</v>
      </c>
      <c r="AN518" s="34" t="s">
        <v>62</v>
      </c>
      <c r="AO518" s="34" t="s">
        <v>62</v>
      </c>
      <c r="AP518" s="34" t="s">
        <v>62</v>
      </c>
      <c r="AQ518" s="34" t="s">
        <v>62</v>
      </c>
      <c r="AR518" s="38">
        <v>0.0</v>
      </c>
      <c r="AS518" s="34"/>
      <c r="AT518" s="38" t="s">
        <v>2275</v>
      </c>
      <c r="AU518" s="39" t="s">
        <v>2276</v>
      </c>
      <c r="AV518" s="40">
        <v>46163.0</v>
      </c>
    </row>
    <row r="519">
      <c r="A519" s="38">
        <v>503.0</v>
      </c>
      <c r="B519" s="38">
        <v>502.0</v>
      </c>
      <c r="C519" s="38">
        <v>502.0</v>
      </c>
      <c r="D519" s="38">
        <v>9.0267772E7</v>
      </c>
      <c r="E519" s="38">
        <v>9.0267772E7</v>
      </c>
      <c r="F519" s="18" t="s">
        <v>258</v>
      </c>
      <c r="G519" s="18" t="s">
        <v>259</v>
      </c>
      <c r="H519" s="18" t="s">
        <v>2394</v>
      </c>
      <c r="I519" s="18" t="s">
        <v>982</v>
      </c>
      <c r="J519" s="18" t="s">
        <v>2205</v>
      </c>
      <c r="K519" s="18" t="s">
        <v>2395</v>
      </c>
      <c r="L519" s="18" t="s">
        <v>52</v>
      </c>
      <c r="M519" s="18" t="s">
        <v>89</v>
      </c>
      <c r="N519" s="18" t="s">
        <v>861</v>
      </c>
      <c r="O519" s="18" t="s">
        <v>126</v>
      </c>
      <c r="P519" s="18" t="s">
        <v>131</v>
      </c>
      <c r="Q519" s="18" t="s">
        <v>132</v>
      </c>
      <c r="R519" s="18" t="s">
        <v>133</v>
      </c>
      <c r="S519" s="18" t="s">
        <v>59</v>
      </c>
      <c r="T519" s="38">
        <v>2026.0</v>
      </c>
      <c r="U519" s="38">
        <v>5.0</v>
      </c>
      <c r="V519" s="38">
        <v>1.081522963E9</v>
      </c>
      <c r="W519" s="38">
        <v>1.081541033E9</v>
      </c>
      <c r="X519" s="18" t="s">
        <v>2199</v>
      </c>
      <c r="Y519" s="18" t="s">
        <v>2200</v>
      </c>
      <c r="Z519" s="38">
        <v>113911.5</v>
      </c>
      <c r="AA519" s="38">
        <v>113911.5</v>
      </c>
      <c r="AB519" s="38">
        <v>37970.5</v>
      </c>
      <c r="AC519" s="38">
        <v>0.0</v>
      </c>
      <c r="AD519" s="38">
        <v>0.0</v>
      </c>
      <c r="AE519" s="38">
        <v>0.0</v>
      </c>
      <c r="AF519" s="38">
        <v>0.0</v>
      </c>
      <c r="AG519" s="38">
        <v>0.0</v>
      </c>
      <c r="AH519" s="38">
        <v>0.0</v>
      </c>
      <c r="AI519" s="38">
        <v>113911.5</v>
      </c>
      <c r="AJ519" s="38">
        <v>119914.5</v>
      </c>
      <c r="AK519" s="38">
        <v>1.0</v>
      </c>
      <c r="AL519" s="38">
        <v>376.2</v>
      </c>
      <c r="AM519" s="38">
        <v>0.0</v>
      </c>
      <c r="AN519" s="34" t="s">
        <v>62</v>
      </c>
      <c r="AO519" s="34" t="s">
        <v>62</v>
      </c>
      <c r="AP519" s="34" t="s">
        <v>62</v>
      </c>
      <c r="AQ519" s="34" t="s">
        <v>62</v>
      </c>
      <c r="AR519" s="38">
        <v>0.0</v>
      </c>
      <c r="AS519" s="38" t="s">
        <v>2396</v>
      </c>
      <c r="AT519" s="35" t="s">
        <v>2202</v>
      </c>
      <c r="AU519" s="39" t="s">
        <v>2203</v>
      </c>
      <c r="AV519" s="40">
        <v>46168.0</v>
      </c>
    </row>
    <row r="520">
      <c r="A520" s="38">
        <v>632.0</v>
      </c>
      <c r="B520" s="38">
        <v>574.0</v>
      </c>
      <c r="C520" s="38">
        <v>574.0</v>
      </c>
      <c r="D520" s="38">
        <v>9.0274055E7</v>
      </c>
      <c r="E520" s="38">
        <v>9.0274055E7</v>
      </c>
      <c r="F520" s="38">
        <v>8.90107487E8</v>
      </c>
      <c r="G520" s="18" t="s">
        <v>1121</v>
      </c>
      <c r="H520" s="18" t="s">
        <v>2741</v>
      </c>
      <c r="I520" s="18" t="s">
        <v>982</v>
      </c>
      <c r="J520" s="18" t="s">
        <v>2205</v>
      </c>
      <c r="K520" s="18" t="s">
        <v>2742</v>
      </c>
      <c r="L520" s="18" t="s">
        <v>52</v>
      </c>
      <c r="M520" s="18" t="s">
        <v>53</v>
      </c>
      <c r="N520" s="18" t="s">
        <v>861</v>
      </c>
      <c r="O520" s="18" t="s">
        <v>126</v>
      </c>
      <c r="P520" s="18" t="s">
        <v>56</v>
      </c>
      <c r="Q520" s="18" t="s">
        <v>90</v>
      </c>
      <c r="R520" s="18" t="s">
        <v>143</v>
      </c>
      <c r="S520" s="18" t="s">
        <v>59</v>
      </c>
      <c r="T520" s="38">
        <v>2026.0</v>
      </c>
      <c r="U520" s="38">
        <v>5.0</v>
      </c>
      <c r="V520" s="38">
        <v>1.081522967E9</v>
      </c>
      <c r="W520" s="38">
        <v>1.081541037E9</v>
      </c>
      <c r="X520" s="18" t="s">
        <v>2199</v>
      </c>
      <c r="Y520" s="18" t="s">
        <v>2200</v>
      </c>
      <c r="Z520" s="38">
        <v>1119235.55</v>
      </c>
      <c r="AA520" s="38">
        <v>1119235.55</v>
      </c>
      <c r="AB520" s="38">
        <v>373078.52</v>
      </c>
      <c r="AC520" s="38">
        <v>3730.0</v>
      </c>
      <c r="AD520" s="38">
        <v>0.0</v>
      </c>
      <c r="AE520" s="38">
        <v>0.0</v>
      </c>
      <c r="AF520" s="38">
        <v>0.0</v>
      </c>
      <c r="AG520" s="38">
        <v>0.0</v>
      </c>
      <c r="AH520" s="38">
        <v>0.0</v>
      </c>
      <c r="AI520" s="38">
        <v>1119235.55</v>
      </c>
      <c r="AJ520" s="38">
        <v>1119235.55</v>
      </c>
      <c r="AK520" s="38">
        <v>0.0</v>
      </c>
      <c r="AL520" s="38">
        <v>376.2</v>
      </c>
      <c r="AM520" s="38">
        <v>0.0</v>
      </c>
      <c r="AN520" s="34" t="s">
        <v>62</v>
      </c>
      <c r="AO520" s="34" t="s">
        <v>62</v>
      </c>
      <c r="AP520" s="34" t="s">
        <v>62</v>
      </c>
      <c r="AQ520" s="34" t="s">
        <v>62</v>
      </c>
      <c r="AR520" s="38">
        <v>0.0</v>
      </c>
      <c r="AS520" s="38" t="s">
        <v>2743</v>
      </c>
      <c r="AT520" s="35" t="s">
        <v>2202</v>
      </c>
      <c r="AU520" s="39" t="s">
        <v>2203</v>
      </c>
      <c r="AV520" s="40">
        <v>46169.0</v>
      </c>
    </row>
    <row r="521">
      <c r="A521" s="38">
        <v>147.0</v>
      </c>
      <c r="B521" s="38">
        <v>578.0</v>
      </c>
      <c r="C521" s="38">
        <v>578.0</v>
      </c>
      <c r="D521" s="38">
        <v>9.0274086E7</v>
      </c>
      <c r="E521" s="38">
        <v>9.0274086E7</v>
      </c>
      <c r="F521" s="18" t="s">
        <v>179</v>
      </c>
      <c r="G521" s="18" t="s">
        <v>180</v>
      </c>
      <c r="H521" s="18" t="s">
        <v>2320</v>
      </c>
      <c r="I521" s="18" t="s">
        <v>982</v>
      </c>
      <c r="J521" s="18" t="s">
        <v>2205</v>
      </c>
      <c r="K521" s="18" t="s">
        <v>2289</v>
      </c>
      <c r="L521" s="18" t="s">
        <v>52</v>
      </c>
      <c r="M521" s="18" t="s">
        <v>89</v>
      </c>
      <c r="N521" s="18" t="s">
        <v>861</v>
      </c>
      <c r="O521" s="18" t="s">
        <v>126</v>
      </c>
      <c r="P521" s="18" t="s">
        <v>131</v>
      </c>
      <c r="Q521" s="18" t="s">
        <v>1111</v>
      </c>
      <c r="R521" s="18" t="s">
        <v>133</v>
      </c>
      <c r="S521" s="18" t="s">
        <v>59</v>
      </c>
      <c r="T521" s="38">
        <v>2026.0</v>
      </c>
      <c r="U521" s="38">
        <v>5.0</v>
      </c>
      <c r="V521" s="38">
        <v>1.081522971E9</v>
      </c>
      <c r="W521" s="38">
        <v>1.081541041E9</v>
      </c>
      <c r="X521" s="18" t="s">
        <v>2199</v>
      </c>
      <c r="Y521" s="18" t="s">
        <v>2200</v>
      </c>
      <c r="Z521" s="38">
        <v>50761.0</v>
      </c>
      <c r="AA521" s="38">
        <v>50761.0</v>
      </c>
      <c r="AB521" s="38">
        <v>0.0</v>
      </c>
      <c r="AC521" s="38">
        <v>0.0</v>
      </c>
      <c r="AD521" s="38">
        <v>0.0</v>
      </c>
      <c r="AE521" s="38">
        <v>0.0</v>
      </c>
      <c r="AF521" s="38">
        <v>0.0</v>
      </c>
      <c r="AG521" s="38">
        <v>0.0</v>
      </c>
      <c r="AH521" s="38">
        <v>0.0</v>
      </c>
      <c r="AI521" s="38">
        <v>50761.0</v>
      </c>
      <c r="AJ521" s="38">
        <v>101136.0</v>
      </c>
      <c r="AK521" s="38">
        <v>1.0</v>
      </c>
      <c r="AL521" s="38">
        <v>250.8</v>
      </c>
      <c r="AM521" s="38">
        <v>0.0</v>
      </c>
      <c r="AN521" s="34" t="s">
        <v>62</v>
      </c>
      <c r="AO521" s="34" t="s">
        <v>62</v>
      </c>
      <c r="AP521" s="34" t="s">
        <v>62</v>
      </c>
      <c r="AQ521" s="34" t="s">
        <v>62</v>
      </c>
      <c r="AR521" s="38">
        <v>0.0</v>
      </c>
      <c r="AS521" s="38" t="s">
        <v>2321</v>
      </c>
      <c r="AT521" s="35" t="s">
        <v>2202</v>
      </c>
      <c r="AU521" s="39" t="s">
        <v>2203</v>
      </c>
      <c r="AV521" s="40">
        <v>46163.0</v>
      </c>
    </row>
    <row r="522">
      <c r="A522" s="38">
        <v>583.0</v>
      </c>
      <c r="B522" s="38">
        <v>582.0</v>
      </c>
      <c r="C522" s="38">
        <v>582.0</v>
      </c>
      <c r="D522" s="38">
        <v>9.0275328E7</v>
      </c>
      <c r="E522" s="38">
        <v>9.0275328E7</v>
      </c>
      <c r="F522" s="38">
        <v>8.30033206E8</v>
      </c>
      <c r="G522" s="18" t="s">
        <v>1386</v>
      </c>
      <c r="H522" s="18" t="s">
        <v>2750</v>
      </c>
      <c r="I522" s="18" t="s">
        <v>942</v>
      </c>
      <c r="J522" s="18" t="s">
        <v>2205</v>
      </c>
      <c r="K522" s="18" t="s">
        <v>2205</v>
      </c>
      <c r="L522" s="18" t="s">
        <v>52</v>
      </c>
      <c r="M522" s="18" t="s">
        <v>89</v>
      </c>
      <c r="N522" s="18" t="s">
        <v>861</v>
      </c>
      <c r="O522" s="18" t="s">
        <v>126</v>
      </c>
      <c r="P522" s="18" t="s">
        <v>131</v>
      </c>
      <c r="Q522" s="18" t="s">
        <v>132</v>
      </c>
      <c r="R522" s="18" t="s">
        <v>133</v>
      </c>
      <c r="S522" s="18" t="s">
        <v>59</v>
      </c>
      <c r="T522" s="38">
        <v>2026.0</v>
      </c>
      <c r="U522" s="38">
        <v>5.0</v>
      </c>
      <c r="V522" s="38">
        <v>1.081522974E9</v>
      </c>
      <c r="W522" s="38">
        <v>1.081541044E9</v>
      </c>
      <c r="X522" s="18" t="s">
        <v>2199</v>
      </c>
      <c r="Y522" s="18" t="s">
        <v>2200</v>
      </c>
      <c r="Z522" s="38">
        <v>113911.5</v>
      </c>
      <c r="AA522" s="38">
        <v>113911.5</v>
      </c>
      <c r="AB522" s="38">
        <v>37970.5</v>
      </c>
      <c r="AC522" s="38">
        <v>0.0</v>
      </c>
      <c r="AD522" s="38">
        <v>0.0</v>
      </c>
      <c r="AE522" s="38">
        <v>0.0</v>
      </c>
      <c r="AF522" s="38">
        <v>0.0</v>
      </c>
      <c r="AG522" s="38">
        <v>0.0</v>
      </c>
      <c r="AH522" s="38">
        <v>0.0</v>
      </c>
      <c r="AI522" s="38">
        <v>113911.5</v>
      </c>
      <c r="AJ522" s="38">
        <v>226336.5</v>
      </c>
      <c r="AK522" s="38">
        <v>1.0</v>
      </c>
      <c r="AL522" s="38">
        <v>376.2</v>
      </c>
      <c r="AM522" s="38">
        <v>0.0</v>
      </c>
      <c r="AN522" s="34" t="s">
        <v>62</v>
      </c>
      <c r="AO522" s="34" t="s">
        <v>62</v>
      </c>
      <c r="AP522" s="34" t="s">
        <v>62</v>
      </c>
      <c r="AQ522" s="34" t="s">
        <v>62</v>
      </c>
      <c r="AR522" s="38">
        <v>0.0</v>
      </c>
      <c r="AS522" s="38" t="s">
        <v>2751</v>
      </c>
      <c r="AT522" s="35" t="s">
        <v>2202</v>
      </c>
      <c r="AU522" s="39" t="s">
        <v>2254</v>
      </c>
      <c r="AV522" s="40">
        <v>46170.0</v>
      </c>
    </row>
    <row r="523">
      <c r="A523" s="38">
        <v>297.0</v>
      </c>
      <c r="B523" s="38">
        <v>58814.0</v>
      </c>
      <c r="C523" s="38">
        <v>58814.0</v>
      </c>
      <c r="D523" s="38">
        <v>56751.0</v>
      </c>
      <c r="E523" s="38">
        <v>56751.0</v>
      </c>
      <c r="F523" s="18" t="s">
        <v>135</v>
      </c>
      <c r="G523" s="18" t="s">
        <v>136</v>
      </c>
      <c r="H523" s="18" t="s">
        <v>2258</v>
      </c>
      <c r="I523" s="18" t="s">
        <v>1181</v>
      </c>
      <c r="J523" s="18" t="s">
        <v>2205</v>
      </c>
      <c r="K523" s="18" t="s">
        <v>2259</v>
      </c>
      <c r="L523" s="18" t="s">
        <v>52</v>
      </c>
      <c r="M523" s="18" t="s">
        <v>53</v>
      </c>
      <c r="N523" s="18" t="s">
        <v>861</v>
      </c>
      <c r="O523" s="18" t="s">
        <v>126</v>
      </c>
      <c r="P523" s="18" t="s">
        <v>218</v>
      </c>
      <c r="Q523" s="18" t="s">
        <v>943</v>
      </c>
      <c r="R523" s="18" t="s">
        <v>133</v>
      </c>
      <c r="S523" s="18" t="s">
        <v>59</v>
      </c>
      <c r="T523" s="38">
        <v>2026.0</v>
      </c>
      <c r="U523" s="38">
        <v>5.0</v>
      </c>
      <c r="V523" s="38">
        <v>1.081523076E9</v>
      </c>
      <c r="W523" s="38">
        <v>1.081541146E9</v>
      </c>
      <c r="X523" s="18" t="s">
        <v>2199</v>
      </c>
      <c r="Y523" s="18" t="s">
        <v>2200</v>
      </c>
      <c r="Z523" s="38">
        <v>85584.0</v>
      </c>
      <c r="AA523" s="38">
        <v>85584.0</v>
      </c>
      <c r="AB523" s="38">
        <v>28528.0</v>
      </c>
      <c r="AC523" s="38">
        <v>0.0</v>
      </c>
      <c r="AD523" s="38">
        <v>0.0</v>
      </c>
      <c r="AE523" s="38">
        <v>0.0</v>
      </c>
      <c r="AF523" s="38">
        <v>0.0</v>
      </c>
      <c r="AG523" s="38">
        <v>0.0</v>
      </c>
      <c r="AH523" s="38">
        <v>0.0</v>
      </c>
      <c r="AI523" s="38">
        <v>85584.0</v>
      </c>
      <c r="AJ523" s="38">
        <v>85584.0</v>
      </c>
      <c r="AK523" s="38">
        <v>0.0</v>
      </c>
      <c r="AL523" s="38">
        <v>376.2</v>
      </c>
      <c r="AM523" s="38">
        <v>0.0</v>
      </c>
      <c r="AN523" s="34" t="s">
        <v>62</v>
      </c>
      <c r="AO523" s="34" t="s">
        <v>62</v>
      </c>
      <c r="AP523" s="34" t="s">
        <v>62</v>
      </c>
      <c r="AQ523" s="34" t="s">
        <v>62</v>
      </c>
      <c r="AR523" s="38">
        <v>0.0</v>
      </c>
      <c r="AS523" s="38" t="s">
        <v>2260</v>
      </c>
      <c r="AT523" s="35" t="s">
        <v>2202</v>
      </c>
      <c r="AU523" s="39" t="s">
        <v>2203</v>
      </c>
      <c r="AV523" s="40">
        <v>46164.0</v>
      </c>
    </row>
    <row r="524">
      <c r="A524" s="38">
        <v>611.0</v>
      </c>
      <c r="B524" s="38">
        <v>610.0</v>
      </c>
      <c r="C524" s="38">
        <v>610.0</v>
      </c>
      <c r="D524" s="38">
        <v>9.0284578E7</v>
      </c>
      <c r="E524" s="38">
        <v>9.0284578E7</v>
      </c>
      <c r="F524" s="18" t="s">
        <v>1389</v>
      </c>
      <c r="G524" s="18" t="s">
        <v>1390</v>
      </c>
      <c r="H524" s="18" t="s">
        <v>2752</v>
      </c>
      <c r="I524" s="18" t="s">
        <v>1391</v>
      </c>
      <c r="J524" s="18" t="s">
        <v>2205</v>
      </c>
      <c r="K524" s="18" t="s">
        <v>2205</v>
      </c>
      <c r="L524" s="18" t="s">
        <v>52</v>
      </c>
      <c r="M524" s="18" t="s">
        <v>269</v>
      </c>
      <c r="N524" s="18" t="s">
        <v>861</v>
      </c>
      <c r="O524" s="18" t="s">
        <v>126</v>
      </c>
      <c r="P524" s="18" t="s">
        <v>56</v>
      </c>
      <c r="Q524" s="18" t="s">
        <v>90</v>
      </c>
      <c r="R524" s="18" t="s">
        <v>143</v>
      </c>
      <c r="S524" s="18" t="s">
        <v>59</v>
      </c>
      <c r="T524" s="38">
        <v>2026.0</v>
      </c>
      <c r="U524" s="38">
        <v>5.0</v>
      </c>
      <c r="V524" s="38">
        <v>1.081522978E9</v>
      </c>
      <c r="W524" s="38">
        <v>1.081541048E9</v>
      </c>
      <c r="X524" s="18" t="s">
        <v>2199</v>
      </c>
      <c r="Y524" s="18" t="s">
        <v>2200</v>
      </c>
      <c r="Z524" s="38">
        <v>155173.18</v>
      </c>
      <c r="AA524" s="38">
        <v>155173.18</v>
      </c>
      <c r="AB524" s="38">
        <v>51724.4</v>
      </c>
      <c r="AC524" s="38">
        <v>525.0</v>
      </c>
      <c r="AD524" s="38">
        <v>0.0</v>
      </c>
      <c r="AE524" s="38">
        <v>0.0</v>
      </c>
      <c r="AF524" s="38">
        <v>0.0</v>
      </c>
      <c r="AG524" s="38">
        <v>0.0</v>
      </c>
      <c r="AH524" s="38">
        <v>0.0</v>
      </c>
      <c r="AI524" s="38">
        <v>155173.18</v>
      </c>
      <c r="AJ524" s="38">
        <v>308109.65</v>
      </c>
      <c r="AK524" s="38">
        <v>2.0</v>
      </c>
      <c r="AL524" s="38">
        <v>376.2</v>
      </c>
      <c r="AM524" s="38">
        <v>0.0</v>
      </c>
      <c r="AN524" s="34" t="s">
        <v>62</v>
      </c>
      <c r="AO524" s="34" t="s">
        <v>62</v>
      </c>
      <c r="AP524" s="34" t="s">
        <v>62</v>
      </c>
      <c r="AQ524" s="34" t="s">
        <v>62</v>
      </c>
      <c r="AR524" s="38">
        <v>0.0</v>
      </c>
      <c r="AS524" s="38" t="s">
        <v>2753</v>
      </c>
      <c r="AT524" s="35" t="s">
        <v>2202</v>
      </c>
      <c r="AU524" s="39" t="s">
        <v>2254</v>
      </c>
      <c r="AV524" s="40">
        <v>46170.0</v>
      </c>
    </row>
    <row r="525">
      <c r="A525" s="38">
        <v>627.0</v>
      </c>
      <c r="B525" s="38">
        <v>626.0</v>
      </c>
      <c r="C525" s="38">
        <v>626.0</v>
      </c>
      <c r="D525" s="38">
        <v>9.0288804E7</v>
      </c>
      <c r="E525" s="38">
        <v>9.0288804E7</v>
      </c>
      <c r="F525" s="18" t="s">
        <v>1393</v>
      </c>
      <c r="G525" s="18" t="s">
        <v>1394</v>
      </c>
      <c r="H525" s="18" t="s">
        <v>2754</v>
      </c>
      <c r="I525" s="18" t="s">
        <v>991</v>
      </c>
      <c r="J525" s="18" t="s">
        <v>2205</v>
      </c>
      <c r="K525" s="18" t="s">
        <v>2205</v>
      </c>
      <c r="L525" s="18" t="s">
        <v>52</v>
      </c>
      <c r="M525" s="18" t="s">
        <v>89</v>
      </c>
      <c r="N525" s="18" t="s">
        <v>861</v>
      </c>
      <c r="O525" s="18" t="s">
        <v>126</v>
      </c>
      <c r="P525" s="18" t="s">
        <v>56</v>
      </c>
      <c r="Q525" s="18" t="s">
        <v>72</v>
      </c>
      <c r="R525" s="18" t="s">
        <v>143</v>
      </c>
      <c r="S525" s="18" t="s">
        <v>59</v>
      </c>
      <c r="T525" s="38">
        <v>2026.0</v>
      </c>
      <c r="U525" s="38">
        <v>5.0</v>
      </c>
      <c r="V525" s="38">
        <v>1.081522983E9</v>
      </c>
      <c r="W525" s="38">
        <v>1.081541053E9</v>
      </c>
      <c r="X525" s="18" t="s">
        <v>2199</v>
      </c>
      <c r="Y525" s="18" t="s">
        <v>2200</v>
      </c>
      <c r="Z525" s="38">
        <v>1691604.73</v>
      </c>
      <c r="AA525" s="38">
        <v>1691604.73</v>
      </c>
      <c r="AB525" s="38">
        <v>389125.04</v>
      </c>
      <c r="AC525" s="38">
        <v>6632.5</v>
      </c>
      <c r="AD525" s="38">
        <v>5396.22</v>
      </c>
      <c r="AE525" s="38">
        <v>0.0</v>
      </c>
      <c r="AF525" s="38">
        <v>0.0</v>
      </c>
      <c r="AG525" s="38">
        <v>0.0</v>
      </c>
      <c r="AH525" s="38">
        <v>0.0</v>
      </c>
      <c r="AI525" s="38">
        <v>1691604.73</v>
      </c>
      <c r="AJ525" s="38">
        <v>1691604.73</v>
      </c>
      <c r="AK525" s="38">
        <v>0.0</v>
      </c>
      <c r="AL525" s="38">
        <v>326.04</v>
      </c>
      <c r="AM525" s="38">
        <v>0.0</v>
      </c>
      <c r="AN525" s="34" t="s">
        <v>62</v>
      </c>
      <c r="AO525" s="34" t="s">
        <v>62</v>
      </c>
      <c r="AP525" s="34" t="s">
        <v>62</v>
      </c>
      <c r="AQ525" s="34" t="s">
        <v>62</v>
      </c>
      <c r="AR525" s="38">
        <v>0.0</v>
      </c>
      <c r="AS525" s="38" t="s">
        <v>2755</v>
      </c>
      <c r="AT525" s="35" t="s">
        <v>2202</v>
      </c>
      <c r="AU525" s="39" t="s">
        <v>2254</v>
      </c>
      <c r="AV525" s="40">
        <v>46170.0</v>
      </c>
    </row>
    <row r="526">
      <c r="A526" s="38">
        <v>631.0</v>
      </c>
      <c r="B526" s="38">
        <v>630.0</v>
      </c>
      <c r="C526" s="38">
        <v>630.0</v>
      </c>
      <c r="D526" s="38">
        <v>9.0290478E7</v>
      </c>
      <c r="E526" s="38">
        <v>9.0290478E7</v>
      </c>
      <c r="F526" s="18" t="s">
        <v>1396</v>
      </c>
      <c r="G526" s="18" t="s">
        <v>1397</v>
      </c>
      <c r="H526" s="18" t="s">
        <v>2756</v>
      </c>
      <c r="I526" s="18" t="s">
        <v>931</v>
      </c>
      <c r="J526" s="18" t="s">
        <v>2205</v>
      </c>
      <c r="K526" s="18" t="s">
        <v>2757</v>
      </c>
      <c r="L526" s="18" t="s">
        <v>52</v>
      </c>
      <c r="M526" s="18" t="s">
        <v>89</v>
      </c>
      <c r="N526" s="18" t="s">
        <v>861</v>
      </c>
      <c r="O526" s="18" t="s">
        <v>126</v>
      </c>
      <c r="P526" s="18" t="s">
        <v>56</v>
      </c>
      <c r="Q526" s="18" t="s">
        <v>90</v>
      </c>
      <c r="R526" s="18" t="s">
        <v>143</v>
      </c>
      <c r="S526" s="18" t="s">
        <v>59</v>
      </c>
      <c r="T526" s="38">
        <v>2026.0</v>
      </c>
      <c r="U526" s="38">
        <v>5.0</v>
      </c>
      <c r="V526" s="38">
        <v>1.08152299E9</v>
      </c>
      <c r="W526" s="38">
        <v>1.08154106E9</v>
      </c>
      <c r="X526" s="18" t="s">
        <v>2199</v>
      </c>
      <c r="Y526" s="18" t="s">
        <v>2200</v>
      </c>
      <c r="Z526" s="38">
        <v>761916.36</v>
      </c>
      <c r="AA526" s="38">
        <v>761916.36</v>
      </c>
      <c r="AB526" s="38">
        <v>253972.13</v>
      </c>
      <c r="AC526" s="38">
        <v>2475.0</v>
      </c>
      <c r="AD526" s="38">
        <v>0.0</v>
      </c>
      <c r="AE526" s="38">
        <v>0.0</v>
      </c>
      <c r="AF526" s="38">
        <v>0.0</v>
      </c>
      <c r="AG526" s="38">
        <v>0.0</v>
      </c>
      <c r="AH526" s="38">
        <v>0.0</v>
      </c>
      <c r="AI526" s="38">
        <v>761916.36</v>
      </c>
      <c r="AJ526" s="38">
        <v>761916.36</v>
      </c>
      <c r="AK526" s="38">
        <v>0.0</v>
      </c>
      <c r="AL526" s="38">
        <v>376.2</v>
      </c>
      <c r="AM526" s="38">
        <v>0.0</v>
      </c>
      <c r="AN526" s="34" t="s">
        <v>62</v>
      </c>
      <c r="AO526" s="34" t="s">
        <v>62</v>
      </c>
      <c r="AP526" s="34" t="s">
        <v>62</v>
      </c>
      <c r="AQ526" s="34" t="s">
        <v>62</v>
      </c>
      <c r="AR526" s="38">
        <v>0.0</v>
      </c>
      <c r="AS526" s="38" t="s">
        <v>2758</v>
      </c>
      <c r="AT526" s="35" t="s">
        <v>2202</v>
      </c>
      <c r="AU526" s="39" t="s">
        <v>2203</v>
      </c>
      <c r="AV526" s="40">
        <v>46168.0</v>
      </c>
    </row>
    <row r="527">
      <c r="A527" s="38">
        <v>635.0</v>
      </c>
      <c r="B527" s="38">
        <v>634.0</v>
      </c>
      <c r="C527" s="38">
        <v>634.0</v>
      </c>
      <c r="D527" s="38">
        <v>9.0290678E7</v>
      </c>
      <c r="E527" s="38">
        <v>9.0290678E7</v>
      </c>
      <c r="F527" s="18" t="s">
        <v>1399</v>
      </c>
      <c r="G527" s="18" t="s">
        <v>1400</v>
      </c>
      <c r="H527" s="18" t="s">
        <v>2759</v>
      </c>
      <c r="I527" s="18" t="s">
        <v>991</v>
      </c>
      <c r="J527" s="18" t="s">
        <v>2205</v>
      </c>
      <c r="K527" s="18" t="s">
        <v>2395</v>
      </c>
      <c r="L527" s="18" t="s">
        <v>52</v>
      </c>
      <c r="M527" s="18" t="s">
        <v>53</v>
      </c>
      <c r="N527" s="18" t="s">
        <v>861</v>
      </c>
      <c r="O527" s="18" t="s">
        <v>126</v>
      </c>
      <c r="P527" s="18" t="s">
        <v>56</v>
      </c>
      <c r="Q527" s="18" t="s">
        <v>90</v>
      </c>
      <c r="R527" s="18" t="s">
        <v>143</v>
      </c>
      <c r="S527" s="18" t="s">
        <v>59</v>
      </c>
      <c r="T527" s="38">
        <v>2026.0</v>
      </c>
      <c r="U527" s="38">
        <v>5.0</v>
      </c>
      <c r="V527" s="38">
        <v>1.081522993E9</v>
      </c>
      <c r="W527" s="38">
        <v>1.081541063E9</v>
      </c>
      <c r="X527" s="18" t="s">
        <v>2199</v>
      </c>
      <c r="Y527" s="18" t="s">
        <v>2200</v>
      </c>
      <c r="Z527" s="38">
        <v>128422.14</v>
      </c>
      <c r="AA527" s="38">
        <v>128422.14</v>
      </c>
      <c r="AB527" s="38">
        <v>42807.38</v>
      </c>
      <c r="AC527" s="38">
        <v>250.0</v>
      </c>
      <c r="AD527" s="38">
        <v>0.01</v>
      </c>
      <c r="AE527" s="38">
        <v>0.0</v>
      </c>
      <c r="AF527" s="38">
        <v>0.0</v>
      </c>
      <c r="AG527" s="38">
        <v>0.0</v>
      </c>
      <c r="AH527" s="38">
        <v>0.0</v>
      </c>
      <c r="AI527" s="38">
        <v>128422.14</v>
      </c>
      <c r="AJ527" s="38">
        <v>128422.14</v>
      </c>
      <c r="AK527" s="38">
        <v>0.0</v>
      </c>
      <c r="AL527" s="38">
        <v>376.2</v>
      </c>
      <c r="AM527" s="38">
        <v>0.0</v>
      </c>
      <c r="AN527" s="34" t="s">
        <v>62</v>
      </c>
      <c r="AO527" s="34" t="s">
        <v>62</v>
      </c>
      <c r="AP527" s="34" t="s">
        <v>62</v>
      </c>
      <c r="AQ527" s="34" t="s">
        <v>62</v>
      </c>
      <c r="AR527" s="38">
        <v>0.0</v>
      </c>
      <c r="AS527" s="38" t="s">
        <v>2760</v>
      </c>
      <c r="AT527" s="35" t="s">
        <v>2202</v>
      </c>
      <c r="AU527" s="39" t="s">
        <v>2203</v>
      </c>
      <c r="AV527" s="40">
        <v>46168.0</v>
      </c>
    </row>
    <row r="528">
      <c r="A528" s="38">
        <v>639.0</v>
      </c>
      <c r="B528" s="38">
        <v>638.0</v>
      </c>
      <c r="C528" s="38">
        <v>638.0</v>
      </c>
      <c r="D528" s="38">
        <v>9.0290682E7</v>
      </c>
      <c r="E528" s="38">
        <v>9.0290682E7</v>
      </c>
      <c r="F528" s="18" t="s">
        <v>1402</v>
      </c>
      <c r="G528" s="18" t="s">
        <v>1403</v>
      </c>
      <c r="H528" s="18" t="s">
        <v>2761</v>
      </c>
      <c r="I528" s="18" t="s">
        <v>991</v>
      </c>
      <c r="J528" s="18" t="s">
        <v>2691</v>
      </c>
      <c r="K528" s="18" t="s">
        <v>2691</v>
      </c>
      <c r="L528" s="18" t="s">
        <v>52</v>
      </c>
      <c r="M528" s="18" t="s">
        <v>89</v>
      </c>
      <c r="N528" s="18" t="s">
        <v>861</v>
      </c>
      <c r="O528" s="18" t="s">
        <v>126</v>
      </c>
      <c r="P528" s="18" t="s">
        <v>56</v>
      </c>
      <c r="Q528" s="18" t="s">
        <v>90</v>
      </c>
      <c r="R528" s="18" t="s">
        <v>143</v>
      </c>
      <c r="S528" s="18" t="s">
        <v>59</v>
      </c>
      <c r="T528" s="38">
        <v>2026.0</v>
      </c>
      <c r="U528" s="38">
        <v>5.0</v>
      </c>
      <c r="V528" s="38">
        <v>1.081522998E9</v>
      </c>
      <c r="W528" s="38">
        <v>1.081541068E9</v>
      </c>
      <c r="X528" s="18" t="s">
        <v>2199</v>
      </c>
      <c r="Y528" s="18" t="s">
        <v>2200</v>
      </c>
      <c r="Z528" s="38">
        <v>128422.13</v>
      </c>
      <c r="AA528" s="38">
        <v>128422.13</v>
      </c>
      <c r="AB528" s="38">
        <v>42807.38</v>
      </c>
      <c r="AC528" s="38">
        <v>250.0</v>
      </c>
      <c r="AD528" s="38">
        <v>0.0</v>
      </c>
      <c r="AE528" s="38">
        <v>0.0</v>
      </c>
      <c r="AF528" s="38">
        <v>0.0</v>
      </c>
      <c r="AG528" s="38">
        <v>0.0</v>
      </c>
      <c r="AH528" s="38">
        <v>0.0</v>
      </c>
      <c r="AI528" s="38">
        <v>128422.13</v>
      </c>
      <c r="AJ528" s="38">
        <v>128422.13</v>
      </c>
      <c r="AK528" s="38">
        <v>0.0</v>
      </c>
      <c r="AL528" s="38">
        <v>376.2</v>
      </c>
      <c r="AM528" s="38">
        <v>0.0</v>
      </c>
      <c r="AN528" s="34" t="s">
        <v>62</v>
      </c>
      <c r="AO528" s="34" t="s">
        <v>62</v>
      </c>
      <c r="AP528" s="34" t="s">
        <v>62</v>
      </c>
      <c r="AQ528" s="34" t="s">
        <v>62</v>
      </c>
      <c r="AR528" s="38">
        <v>0.0</v>
      </c>
      <c r="AS528" s="38" t="s">
        <v>2762</v>
      </c>
      <c r="AT528" s="38" t="s">
        <v>2275</v>
      </c>
      <c r="AU528" s="39" t="s">
        <v>2276</v>
      </c>
      <c r="AV528" s="40">
        <v>46163.0</v>
      </c>
    </row>
    <row r="529">
      <c r="A529" s="38">
        <v>643.0</v>
      </c>
      <c r="B529" s="38">
        <v>642.0</v>
      </c>
      <c r="C529" s="38">
        <v>642.0</v>
      </c>
      <c r="D529" s="38">
        <v>9.0290686E7</v>
      </c>
      <c r="E529" s="38">
        <v>9.0290686E7</v>
      </c>
      <c r="F529" s="18" t="s">
        <v>1189</v>
      </c>
      <c r="G529" s="18" t="s">
        <v>1190</v>
      </c>
      <c r="H529" s="18" t="s">
        <v>2615</v>
      </c>
      <c r="I529" s="18" t="s">
        <v>991</v>
      </c>
      <c r="J529" s="18" t="s">
        <v>2691</v>
      </c>
      <c r="K529" s="18" t="s">
        <v>2691</v>
      </c>
      <c r="L529" s="18" t="s">
        <v>52</v>
      </c>
      <c r="M529" s="18" t="s">
        <v>89</v>
      </c>
      <c r="N529" s="18" t="s">
        <v>861</v>
      </c>
      <c r="O529" s="18" t="s">
        <v>126</v>
      </c>
      <c r="P529" s="18" t="s">
        <v>131</v>
      </c>
      <c r="Q529" s="18" t="s">
        <v>132</v>
      </c>
      <c r="R529" s="18" t="s">
        <v>133</v>
      </c>
      <c r="S529" s="18" t="s">
        <v>59</v>
      </c>
      <c r="T529" s="38">
        <v>2026.0</v>
      </c>
      <c r="U529" s="38">
        <v>5.0</v>
      </c>
      <c r="V529" s="38">
        <v>1.081523002E9</v>
      </c>
      <c r="W529" s="38">
        <v>1.081541072E9</v>
      </c>
      <c r="X529" s="18" t="s">
        <v>2199</v>
      </c>
      <c r="Y529" s="18" t="s">
        <v>2200</v>
      </c>
      <c r="Z529" s="38">
        <v>113911.5</v>
      </c>
      <c r="AA529" s="38">
        <v>113911.5</v>
      </c>
      <c r="AB529" s="38">
        <v>37970.5</v>
      </c>
      <c r="AC529" s="38">
        <v>0.0</v>
      </c>
      <c r="AD529" s="38">
        <v>0.0</v>
      </c>
      <c r="AE529" s="38">
        <v>0.0</v>
      </c>
      <c r="AF529" s="38">
        <v>0.0</v>
      </c>
      <c r="AG529" s="38">
        <v>0.0</v>
      </c>
      <c r="AH529" s="38">
        <v>0.0</v>
      </c>
      <c r="AI529" s="38">
        <v>113911.5</v>
      </c>
      <c r="AJ529" s="38">
        <v>113911.5</v>
      </c>
      <c r="AK529" s="38">
        <v>0.0</v>
      </c>
      <c r="AL529" s="38">
        <v>376.2</v>
      </c>
      <c r="AM529" s="38">
        <v>0.0</v>
      </c>
      <c r="AN529" s="34" t="s">
        <v>62</v>
      </c>
      <c r="AO529" s="34" t="s">
        <v>62</v>
      </c>
      <c r="AP529" s="34" t="s">
        <v>62</v>
      </c>
      <c r="AQ529" s="34" t="s">
        <v>62</v>
      </c>
      <c r="AR529" s="38">
        <v>0.0</v>
      </c>
      <c r="AS529" s="38" t="s">
        <v>2616</v>
      </c>
      <c r="AT529" s="38" t="s">
        <v>2275</v>
      </c>
      <c r="AU529" s="39" t="s">
        <v>2276</v>
      </c>
      <c r="AV529" s="40">
        <v>46163.0</v>
      </c>
    </row>
    <row r="530">
      <c r="A530" s="38">
        <v>647.0</v>
      </c>
      <c r="B530" s="38">
        <v>646.0</v>
      </c>
      <c r="C530" s="38">
        <v>646.0</v>
      </c>
      <c r="D530" s="38">
        <v>9.029069E7</v>
      </c>
      <c r="E530" s="38">
        <v>9.029069E7</v>
      </c>
      <c r="F530" s="38">
        <v>9.01464682E8</v>
      </c>
      <c r="G530" s="18" t="s">
        <v>2763</v>
      </c>
      <c r="H530" s="18" t="s">
        <v>2764</v>
      </c>
      <c r="I530" s="18" t="s">
        <v>991</v>
      </c>
      <c r="J530" s="18" t="s">
        <v>2691</v>
      </c>
      <c r="K530" s="18" t="s">
        <v>2691</v>
      </c>
      <c r="L530" s="18" t="s">
        <v>52</v>
      </c>
      <c r="M530" s="18" t="s">
        <v>89</v>
      </c>
      <c r="N530" s="18" t="s">
        <v>861</v>
      </c>
      <c r="O530" s="18" t="s">
        <v>126</v>
      </c>
      <c r="P530" s="18" t="s">
        <v>131</v>
      </c>
      <c r="Q530" s="18" t="s">
        <v>538</v>
      </c>
      <c r="R530" s="18" t="s">
        <v>133</v>
      </c>
      <c r="S530" s="18" t="s">
        <v>59</v>
      </c>
      <c r="T530" s="38">
        <v>2026.0</v>
      </c>
      <c r="U530" s="38">
        <v>5.0</v>
      </c>
      <c r="V530" s="38">
        <v>1.081523005E9</v>
      </c>
      <c r="W530" s="38">
        <v>1.081541075E9</v>
      </c>
      <c r="X530" s="18" t="s">
        <v>2199</v>
      </c>
      <c r="Y530" s="18" t="s">
        <v>2200</v>
      </c>
      <c r="Z530" s="38">
        <v>95028.0</v>
      </c>
      <c r="AA530" s="38">
        <v>95028.0</v>
      </c>
      <c r="AB530" s="38">
        <v>31676.0</v>
      </c>
      <c r="AC530" s="38">
        <v>0.0</v>
      </c>
      <c r="AD530" s="38">
        <v>0.0</v>
      </c>
      <c r="AE530" s="38">
        <v>0.0</v>
      </c>
      <c r="AF530" s="38">
        <v>0.0</v>
      </c>
      <c r="AG530" s="38">
        <v>0.0</v>
      </c>
      <c r="AH530" s="38">
        <v>0.0</v>
      </c>
      <c r="AI530" s="38">
        <v>95028.0</v>
      </c>
      <c r="AJ530" s="38">
        <v>95028.5</v>
      </c>
      <c r="AK530" s="38">
        <v>1.0</v>
      </c>
      <c r="AL530" s="38">
        <v>376.2</v>
      </c>
      <c r="AM530" s="38">
        <v>0.0</v>
      </c>
      <c r="AN530" s="34" t="s">
        <v>62</v>
      </c>
      <c r="AO530" s="34" t="s">
        <v>62</v>
      </c>
      <c r="AP530" s="34" t="s">
        <v>62</v>
      </c>
      <c r="AQ530" s="34" t="s">
        <v>62</v>
      </c>
      <c r="AR530" s="38">
        <v>0.0</v>
      </c>
      <c r="AS530" s="38" t="s">
        <v>2765</v>
      </c>
      <c r="AT530" s="38" t="s">
        <v>2275</v>
      </c>
      <c r="AU530" s="39" t="s">
        <v>2276</v>
      </c>
      <c r="AV530" s="40">
        <v>46163.0</v>
      </c>
    </row>
    <row r="531">
      <c r="A531" s="38">
        <v>651.0</v>
      </c>
      <c r="B531" s="38">
        <v>650.0</v>
      </c>
      <c r="C531" s="38">
        <v>650.0</v>
      </c>
      <c r="D531" s="38">
        <v>9.0290694E7</v>
      </c>
      <c r="E531" s="38">
        <v>9.0290694E7</v>
      </c>
      <c r="F531" s="18" t="s">
        <v>1408</v>
      </c>
      <c r="G531" s="18" t="s">
        <v>1409</v>
      </c>
      <c r="H531" s="18" t="s">
        <v>2766</v>
      </c>
      <c r="I531" s="18" t="s">
        <v>991</v>
      </c>
      <c r="J531" s="18" t="s">
        <v>2691</v>
      </c>
      <c r="K531" s="18" t="s">
        <v>2691</v>
      </c>
      <c r="L531" s="18" t="s">
        <v>52</v>
      </c>
      <c r="M531" s="18" t="s">
        <v>89</v>
      </c>
      <c r="N531" s="18" t="s">
        <v>861</v>
      </c>
      <c r="O531" s="18" t="s">
        <v>126</v>
      </c>
      <c r="P531" s="18" t="s">
        <v>56</v>
      </c>
      <c r="Q531" s="18" t="s">
        <v>90</v>
      </c>
      <c r="R531" s="18" t="s">
        <v>143</v>
      </c>
      <c r="S531" s="18" t="s">
        <v>59</v>
      </c>
      <c r="T531" s="38">
        <v>2026.0</v>
      </c>
      <c r="U531" s="38">
        <v>5.0</v>
      </c>
      <c r="V531" s="38">
        <v>1.081523008E9</v>
      </c>
      <c r="W531" s="38">
        <v>1.081541078E9</v>
      </c>
      <c r="X531" s="18" t="s">
        <v>2199</v>
      </c>
      <c r="Y531" s="18" t="s">
        <v>2200</v>
      </c>
      <c r="Z531" s="38">
        <v>192483.36</v>
      </c>
      <c r="AA531" s="38">
        <v>192483.36</v>
      </c>
      <c r="AB531" s="38">
        <v>64161.13</v>
      </c>
      <c r="AC531" s="38">
        <v>475.0</v>
      </c>
      <c r="AD531" s="38">
        <v>0.0</v>
      </c>
      <c r="AE531" s="38">
        <v>0.0</v>
      </c>
      <c r="AF531" s="38">
        <v>0.0</v>
      </c>
      <c r="AG531" s="38">
        <v>0.0</v>
      </c>
      <c r="AH531" s="38">
        <v>0.0</v>
      </c>
      <c r="AI531" s="38">
        <v>192483.36</v>
      </c>
      <c r="AJ531" s="38">
        <v>192484.16</v>
      </c>
      <c r="AK531" s="38">
        <v>1.0</v>
      </c>
      <c r="AL531" s="38">
        <v>376.2</v>
      </c>
      <c r="AM531" s="38">
        <v>0.0</v>
      </c>
      <c r="AN531" s="34" t="s">
        <v>62</v>
      </c>
      <c r="AO531" s="34" t="s">
        <v>62</v>
      </c>
      <c r="AP531" s="34" t="s">
        <v>62</v>
      </c>
      <c r="AQ531" s="34" t="s">
        <v>62</v>
      </c>
      <c r="AR531" s="38">
        <v>0.0</v>
      </c>
      <c r="AS531" s="38" t="s">
        <v>2767</v>
      </c>
      <c r="AT531" s="38" t="s">
        <v>2275</v>
      </c>
      <c r="AU531" s="39" t="s">
        <v>2276</v>
      </c>
      <c r="AV531" s="40">
        <v>46163.0</v>
      </c>
    </row>
    <row r="532">
      <c r="A532" s="38">
        <v>655.0</v>
      </c>
      <c r="B532" s="38">
        <v>654.0</v>
      </c>
      <c r="C532" s="38">
        <v>654.0</v>
      </c>
      <c r="D532" s="38">
        <v>9.0290698E7</v>
      </c>
      <c r="E532" s="38">
        <v>9.0290698E7</v>
      </c>
      <c r="F532" s="18" t="s">
        <v>1411</v>
      </c>
      <c r="G532" s="18" t="s">
        <v>1412</v>
      </c>
      <c r="H532" s="18" t="s">
        <v>2768</v>
      </c>
      <c r="I532" s="18" t="s">
        <v>991</v>
      </c>
      <c r="J532" s="18" t="s">
        <v>2691</v>
      </c>
      <c r="K532" s="18" t="s">
        <v>2691</v>
      </c>
      <c r="L532" s="18" t="s">
        <v>52</v>
      </c>
      <c r="M532" s="18" t="s">
        <v>53</v>
      </c>
      <c r="N532" s="18" t="s">
        <v>861</v>
      </c>
      <c r="O532" s="18" t="s">
        <v>126</v>
      </c>
      <c r="P532" s="18" t="s">
        <v>56</v>
      </c>
      <c r="Q532" s="18" t="s">
        <v>90</v>
      </c>
      <c r="R532" s="18" t="s">
        <v>143</v>
      </c>
      <c r="S532" s="18" t="s">
        <v>59</v>
      </c>
      <c r="T532" s="38">
        <v>2026.0</v>
      </c>
      <c r="U532" s="38">
        <v>5.0</v>
      </c>
      <c r="V532" s="38">
        <v>1.081523012E9</v>
      </c>
      <c r="W532" s="38">
        <v>1.081541082E9</v>
      </c>
      <c r="X532" s="18" t="s">
        <v>2199</v>
      </c>
      <c r="Y532" s="18" t="s">
        <v>2200</v>
      </c>
      <c r="Z532" s="38">
        <v>128422.13</v>
      </c>
      <c r="AA532" s="38">
        <v>128422.13</v>
      </c>
      <c r="AB532" s="38">
        <v>42807.38</v>
      </c>
      <c r="AC532" s="38">
        <v>250.0</v>
      </c>
      <c r="AD532" s="38">
        <v>0.0</v>
      </c>
      <c r="AE532" s="38">
        <v>0.0</v>
      </c>
      <c r="AF532" s="38">
        <v>0.0</v>
      </c>
      <c r="AG532" s="38">
        <v>0.0</v>
      </c>
      <c r="AH532" s="38">
        <v>0.0</v>
      </c>
      <c r="AI532" s="38">
        <v>128422.13</v>
      </c>
      <c r="AJ532" s="38">
        <v>128422.13</v>
      </c>
      <c r="AK532" s="38">
        <v>0.0</v>
      </c>
      <c r="AL532" s="38">
        <v>376.2</v>
      </c>
      <c r="AM532" s="38">
        <v>0.0</v>
      </c>
      <c r="AN532" s="34" t="s">
        <v>62</v>
      </c>
      <c r="AO532" s="34" t="s">
        <v>62</v>
      </c>
      <c r="AP532" s="34" t="s">
        <v>62</v>
      </c>
      <c r="AQ532" s="34" t="s">
        <v>62</v>
      </c>
      <c r="AR532" s="38">
        <v>0.0</v>
      </c>
      <c r="AS532" s="34"/>
      <c r="AT532" s="38" t="s">
        <v>2275</v>
      </c>
      <c r="AU532" s="39" t="s">
        <v>2276</v>
      </c>
      <c r="AV532" s="40">
        <v>46163.0</v>
      </c>
    </row>
    <row r="533">
      <c r="A533" s="38">
        <v>659.0</v>
      </c>
      <c r="B533" s="38">
        <v>658.0</v>
      </c>
      <c r="C533" s="38">
        <v>658.0</v>
      </c>
      <c r="D533" s="38">
        <v>9.0290702E7</v>
      </c>
      <c r="E533" s="38">
        <v>9.0290702E7</v>
      </c>
      <c r="F533" s="18" t="s">
        <v>1414</v>
      </c>
      <c r="G533" s="18" t="s">
        <v>1415</v>
      </c>
      <c r="H533" s="18" t="s">
        <v>2769</v>
      </c>
      <c r="I533" s="18" t="s">
        <v>991</v>
      </c>
      <c r="J533" s="18" t="s">
        <v>2691</v>
      </c>
      <c r="K533" s="18" t="s">
        <v>2770</v>
      </c>
      <c r="L533" s="18" t="s">
        <v>52</v>
      </c>
      <c r="M533" s="18" t="s">
        <v>89</v>
      </c>
      <c r="N533" s="18" t="s">
        <v>861</v>
      </c>
      <c r="O533" s="18" t="s">
        <v>126</v>
      </c>
      <c r="P533" s="18" t="s">
        <v>56</v>
      </c>
      <c r="Q533" s="18" t="s">
        <v>90</v>
      </c>
      <c r="R533" s="18" t="s">
        <v>143</v>
      </c>
      <c r="S533" s="18" t="s">
        <v>59</v>
      </c>
      <c r="T533" s="38">
        <v>2026.0</v>
      </c>
      <c r="U533" s="38">
        <v>5.0</v>
      </c>
      <c r="V533" s="38">
        <v>1.081523016E9</v>
      </c>
      <c r="W533" s="38">
        <v>1.081541086E9</v>
      </c>
      <c r="X533" s="18" t="s">
        <v>2199</v>
      </c>
      <c r="Y533" s="18" t="s">
        <v>2200</v>
      </c>
      <c r="Z533" s="38">
        <v>129998.02</v>
      </c>
      <c r="AA533" s="38">
        <v>129998.02</v>
      </c>
      <c r="AB533" s="38">
        <v>42807.38</v>
      </c>
      <c r="AC533" s="38">
        <v>250.0</v>
      </c>
      <c r="AD533" s="38">
        <v>1575.89</v>
      </c>
      <c r="AE533" s="38">
        <v>0.0</v>
      </c>
      <c r="AF533" s="38">
        <v>0.0</v>
      </c>
      <c r="AG533" s="38">
        <v>0.0</v>
      </c>
      <c r="AH533" s="38">
        <v>0.0</v>
      </c>
      <c r="AI533" s="38">
        <v>129998.02</v>
      </c>
      <c r="AJ533" s="38">
        <v>272629.74</v>
      </c>
      <c r="AK533" s="38">
        <v>2.0</v>
      </c>
      <c r="AL533" s="38">
        <v>376.2</v>
      </c>
      <c r="AM533" s="38">
        <v>0.0</v>
      </c>
      <c r="AN533" s="34" t="s">
        <v>62</v>
      </c>
      <c r="AO533" s="34" t="s">
        <v>62</v>
      </c>
      <c r="AP533" s="34" t="s">
        <v>62</v>
      </c>
      <c r="AQ533" s="34" t="s">
        <v>62</v>
      </c>
      <c r="AR533" s="38">
        <v>0.0</v>
      </c>
      <c r="AS533" s="38" t="s">
        <v>2771</v>
      </c>
      <c r="AT533" s="38" t="s">
        <v>2275</v>
      </c>
      <c r="AU533" s="39" t="s">
        <v>2276</v>
      </c>
      <c r="AV533" s="40">
        <v>46163.0</v>
      </c>
    </row>
    <row r="534">
      <c r="A534" s="38">
        <v>663.0</v>
      </c>
      <c r="B534" s="38">
        <v>662.0</v>
      </c>
      <c r="C534" s="38">
        <v>662.0</v>
      </c>
      <c r="D534" s="38">
        <v>9.0290706E7</v>
      </c>
      <c r="E534" s="38">
        <v>9.0290706E7</v>
      </c>
      <c r="F534" s="18" t="s">
        <v>1417</v>
      </c>
      <c r="G534" s="18" t="s">
        <v>1418</v>
      </c>
      <c r="H534" s="18" t="s">
        <v>2772</v>
      </c>
      <c r="I534" s="18" t="s">
        <v>991</v>
      </c>
      <c r="J534" s="18" t="s">
        <v>2691</v>
      </c>
      <c r="K534" s="18" t="s">
        <v>2691</v>
      </c>
      <c r="L534" s="18" t="s">
        <v>52</v>
      </c>
      <c r="M534" s="18" t="s">
        <v>89</v>
      </c>
      <c r="N534" s="18" t="s">
        <v>861</v>
      </c>
      <c r="O534" s="18" t="s">
        <v>126</v>
      </c>
      <c r="P534" s="18" t="s">
        <v>131</v>
      </c>
      <c r="Q534" s="18" t="s">
        <v>132</v>
      </c>
      <c r="R534" s="18" t="s">
        <v>133</v>
      </c>
      <c r="S534" s="18" t="s">
        <v>59</v>
      </c>
      <c r="T534" s="38">
        <v>2026.0</v>
      </c>
      <c r="U534" s="38">
        <v>5.0</v>
      </c>
      <c r="V534" s="38">
        <v>1.08152302E9</v>
      </c>
      <c r="W534" s="38">
        <v>1.08154109E9</v>
      </c>
      <c r="X534" s="18" t="s">
        <v>2199</v>
      </c>
      <c r="Y534" s="18" t="s">
        <v>2200</v>
      </c>
      <c r="Z534" s="38">
        <v>113911.5</v>
      </c>
      <c r="AA534" s="38">
        <v>113911.5</v>
      </c>
      <c r="AB534" s="38">
        <v>37970.5</v>
      </c>
      <c r="AC534" s="38">
        <v>0.0</v>
      </c>
      <c r="AD534" s="38">
        <v>0.0</v>
      </c>
      <c r="AE534" s="38">
        <v>0.0</v>
      </c>
      <c r="AF534" s="38">
        <v>0.0</v>
      </c>
      <c r="AG534" s="38">
        <v>0.0</v>
      </c>
      <c r="AH534" s="38">
        <v>0.0</v>
      </c>
      <c r="AI534" s="38">
        <v>113911.5</v>
      </c>
      <c r="AJ534" s="38">
        <v>113911.5</v>
      </c>
      <c r="AK534" s="38">
        <v>0.0</v>
      </c>
      <c r="AL534" s="38">
        <v>376.2</v>
      </c>
      <c r="AM534" s="38">
        <v>0.0</v>
      </c>
      <c r="AN534" s="34" t="s">
        <v>62</v>
      </c>
      <c r="AO534" s="34" t="s">
        <v>62</v>
      </c>
      <c r="AP534" s="34" t="s">
        <v>62</v>
      </c>
      <c r="AQ534" s="34" t="s">
        <v>62</v>
      </c>
      <c r="AR534" s="38">
        <v>0.0</v>
      </c>
      <c r="AS534" s="38" t="s">
        <v>2773</v>
      </c>
      <c r="AT534" s="38" t="s">
        <v>2275</v>
      </c>
      <c r="AU534" s="39" t="s">
        <v>2276</v>
      </c>
      <c r="AV534" s="40">
        <v>46163.0</v>
      </c>
    </row>
    <row r="535">
      <c r="A535" s="38">
        <v>684.0</v>
      </c>
      <c r="B535" s="38">
        <v>666.0</v>
      </c>
      <c r="C535" s="38">
        <v>666.0</v>
      </c>
      <c r="D535" s="38">
        <v>9.029071E7</v>
      </c>
      <c r="E535" s="38">
        <v>9.029071E7</v>
      </c>
      <c r="F535" s="18" t="s">
        <v>1052</v>
      </c>
      <c r="G535" s="18" t="s">
        <v>1053</v>
      </c>
      <c r="H535" s="18" t="s">
        <v>2699</v>
      </c>
      <c r="I535" s="18" t="s">
        <v>991</v>
      </c>
      <c r="J535" s="18" t="s">
        <v>2700</v>
      </c>
      <c r="K535" s="18" t="s">
        <v>2700</v>
      </c>
      <c r="L535" s="18" t="s">
        <v>52</v>
      </c>
      <c r="M535" s="18" t="s">
        <v>89</v>
      </c>
      <c r="N535" s="18" t="s">
        <v>861</v>
      </c>
      <c r="O535" s="18" t="s">
        <v>126</v>
      </c>
      <c r="P535" s="18" t="s">
        <v>131</v>
      </c>
      <c r="Q535" s="18" t="s">
        <v>132</v>
      </c>
      <c r="R535" s="18" t="s">
        <v>133</v>
      </c>
      <c r="S535" s="18" t="s">
        <v>163</v>
      </c>
      <c r="T535" s="38">
        <v>2026.0</v>
      </c>
      <c r="U535" s="38">
        <v>5.0</v>
      </c>
      <c r="V535" s="38">
        <v>1.081523024E9</v>
      </c>
      <c r="W535" s="38">
        <v>1.081541094E9</v>
      </c>
      <c r="X535" s="18" t="s">
        <v>2199</v>
      </c>
      <c r="Y535" s="18" t="s">
        <v>2200</v>
      </c>
      <c r="Z535" s="38">
        <v>57002.54</v>
      </c>
      <c r="AA535" s="38">
        <v>57002.54</v>
      </c>
      <c r="AB535" s="38">
        <v>18873.0</v>
      </c>
      <c r="AC535" s="38">
        <v>0.0</v>
      </c>
      <c r="AD535" s="38">
        <v>383.54</v>
      </c>
      <c r="AE535" s="38">
        <v>0.0</v>
      </c>
      <c r="AF535" s="38">
        <v>0.0</v>
      </c>
      <c r="AG535" s="38">
        <v>0.0</v>
      </c>
      <c r="AH535" s="38">
        <v>0.0</v>
      </c>
      <c r="AI535" s="38">
        <v>57002.54</v>
      </c>
      <c r="AJ535" s="38">
        <v>115779.76</v>
      </c>
      <c r="AK535" s="38">
        <v>1.0</v>
      </c>
      <c r="AL535" s="38">
        <v>376.2</v>
      </c>
      <c r="AM535" s="38">
        <v>0.0</v>
      </c>
      <c r="AN535" s="34" t="s">
        <v>62</v>
      </c>
      <c r="AO535" s="34" t="s">
        <v>62</v>
      </c>
      <c r="AP535" s="34" t="s">
        <v>62</v>
      </c>
      <c r="AQ535" s="34" t="s">
        <v>62</v>
      </c>
      <c r="AR535" s="38">
        <v>0.0</v>
      </c>
      <c r="AS535" s="38" t="s">
        <v>2701</v>
      </c>
      <c r="AT535" s="35" t="s">
        <v>2202</v>
      </c>
      <c r="AU535" s="39" t="s">
        <v>2203</v>
      </c>
      <c r="AV535" s="40">
        <v>46164.0</v>
      </c>
    </row>
    <row r="536">
      <c r="A536" s="38">
        <v>671.0</v>
      </c>
      <c r="B536" s="38">
        <v>670.0</v>
      </c>
      <c r="C536" s="38">
        <v>670.0</v>
      </c>
      <c r="D536" s="38">
        <v>9.0290714E7</v>
      </c>
      <c r="E536" s="38">
        <v>9.0290714E7</v>
      </c>
      <c r="F536" s="18" t="s">
        <v>1421</v>
      </c>
      <c r="G536" s="18" t="s">
        <v>1422</v>
      </c>
      <c r="H536" s="18" t="s">
        <v>2774</v>
      </c>
      <c r="I536" s="18" t="s">
        <v>991</v>
      </c>
      <c r="J536" s="18" t="s">
        <v>2691</v>
      </c>
      <c r="K536" s="18" t="s">
        <v>2691</v>
      </c>
      <c r="L536" s="18" t="s">
        <v>52</v>
      </c>
      <c r="M536" s="18" t="s">
        <v>89</v>
      </c>
      <c r="N536" s="18" t="s">
        <v>861</v>
      </c>
      <c r="O536" s="18" t="s">
        <v>126</v>
      </c>
      <c r="P536" s="18" t="s">
        <v>56</v>
      </c>
      <c r="Q536" s="18" t="s">
        <v>90</v>
      </c>
      <c r="R536" s="18" t="s">
        <v>143</v>
      </c>
      <c r="S536" s="18" t="s">
        <v>59</v>
      </c>
      <c r="T536" s="38">
        <v>2026.0</v>
      </c>
      <c r="U536" s="38">
        <v>5.0</v>
      </c>
      <c r="V536" s="38">
        <v>1.081523029E9</v>
      </c>
      <c r="W536" s="38">
        <v>1.081541099E9</v>
      </c>
      <c r="X536" s="18" t="s">
        <v>2199</v>
      </c>
      <c r="Y536" s="18" t="s">
        <v>2200</v>
      </c>
      <c r="Z536" s="38">
        <v>132354.06</v>
      </c>
      <c r="AA536" s="38">
        <v>132354.06</v>
      </c>
      <c r="AB536" s="38">
        <v>42807.38</v>
      </c>
      <c r="AC536" s="38">
        <v>250.0</v>
      </c>
      <c r="AD536" s="38">
        <v>3931.93</v>
      </c>
      <c r="AE536" s="38">
        <v>0.0</v>
      </c>
      <c r="AF536" s="38">
        <v>0.0</v>
      </c>
      <c r="AG536" s="38">
        <v>0.0</v>
      </c>
      <c r="AH536" s="38">
        <v>0.0</v>
      </c>
      <c r="AI536" s="38">
        <v>132354.06</v>
      </c>
      <c r="AJ536" s="38">
        <v>503323.07</v>
      </c>
      <c r="AK536" s="38">
        <v>3.0</v>
      </c>
      <c r="AL536" s="38">
        <v>376.2</v>
      </c>
      <c r="AM536" s="38">
        <v>0.0</v>
      </c>
      <c r="AN536" s="34" t="s">
        <v>62</v>
      </c>
      <c r="AO536" s="34" t="s">
        <v>62</v>
      </c>
      <c r="AP536" s="34" t="s">
        <v>62</v>
      </c>
      <c r="AQ536" s="34" t="s">
        <v>62</v>
      </c>
      <c r="AR536" s="38">
        <v>0.0</v>
      </c>
      <c r="AS536" s="38" t="s">
        <v>2775</v>
      </c>
      <c r="AT536" s="38" t="s">
        <v>2275</v>
      </c>
      <c r="AU536" s="39" t="s">
        <v>2276</v>
      </c>
      <c r="AV536" s="40">
        <v>46163.0</v>
      </c>
    </row>
    <row r="537">
      <c r="A537" s="38">
        <v>675.0</v>
      </c>
      <c r="B537" s="38">
        <v>674.0</v>
      </c>
      <c r="C537" s="38">
        <v>674.0</v>
      </c>
      <c r="D537" s="38">
        <v>9.029074E7</v>
      </c>
      <c r="E537" s="38">
        <v>9.029074E7</v>
      </c>
      <c r="F537" s="18" t="s">
        <v>1424</v>
      </c>
      <c r="G537" s="18" t="s">
        <v>1425</v>
      </c>
      <c r="H537" s="18" t="s">
        <v>2776</v>
      </c>
      <c r="I537" s="18" t="s">
        <v>76</v>
      </c>
      <c r="J537" s="18" t="s">
        <v>2691</v>
      </c>
      <c r="K537" s="18" t="s">
        <v>2691</v>
      </c>
      <c r="L537" s="18" t="s">
        <v>52</v>
      </c>
      <c r="M537" s="18" t="s">
        <v>53</v>
      </c>
      <c r="N537" s="18" t="s">
        <v>861</v>
      </c>
      <c r="O537" s="18" t="s">
        <v>126</v>
      </c>
      <c r="P537" s="18" t="s">
        <v>56</v>
      </c>
      <c r="Q537" s="18" t="s">
        <v>90</v>
      </c>
      <c r="R537" s="18" t="s">
        <v>143</v>
      </c>
      <c r="S537" s="18" t="s">
        <v>59</v>
      </c>
      <c r="T537" s="38">
        <v>2026.0</v>
      </c>
      <c r="U537" s="38">
        <v>5.0</v>
      </c>
      <c r="V537" s="38">
        <v>1.081523031E9</v>
      </c>
      <c r="W537" s="38">
        <v>1.081541101E9</v>
      </c>
      <c r="X537" s="18" t="s">
        <v>2199</v>
      </c>
      <c r="Y537" s="18" t="s">
        <v>2200</v>
      </c>
      <c r="Z537" s="38">
        <v>508518.67</v>
      </c>
      <c r="AA537" s="38">
        <v>508518.67</v>
      </c>
      <c r="AB537" s="38">
        <v>169506.23</v>
      </c>
      <c r="AC537" s="38">
        <v>1585.0</v>
      </c>
      <c r="AD537" s="38">
        <v>0.0</v>
      </c>
      <c r="AE537" s="38">
        <v>0.0</v>
      </c>
      <c r="AF537" s="38">
        <v>0.0</v>
      </c>
      <c r="AG537" s="38">
        <v>0.0</v>
      </c>
      <c r="AH537" s="38">
        <v>0.0</v>
      </c>
      <c r="AI537" s="38">
        <v>508518.67</v>
      </c>
      <c r="AJ537" s="38">
        <v>508518.67</v>
      </c>
      <c r="AK537" s="38">
        <v>0.0</v>
      </c>
      <c r="AL537" s="38">
        <v>376.2</v>
      </c>
      <c r="AM537" s="38">
        <v>0.0</v>
      </c>
      <c r="AN537" s="34" t="s">
        <v>62</v>
      </c>
      <c r="AO537" s="34" t="s">
        <v>62</v>
      </c>
      <c r="AP537" s="34" t="s">
        <v>62</v>
      </c>
      <c r="AQ537" s="34" t="s">
        <v>62</v>
      </c>
      <c r="AR537" s="38">
        <v>0.0</v>
      </c>
      <c r="AS537" s="38" t="s">
        <v>2777</v>
      </c>
      <c r="AT537" s="38" t="s">
        <v>2275</v>
      </c>
      <c r="AU537" s="39" t="s">
        <v>2276</v>
      </c>
      <c r="AV537" s="40">
        <v>46163.0</v>
      </c>
    </row>
    <row r="538">
      <c r="A538" s="38">
        <v>679.0</v>
      </c>
      <c r="B538" s="38">
        <v>678.0</v>
      </c>
      <c r="C538" s="38">
        <v>678.0</v>
      </c>
      <c r="D538" s="38">
        <v>9.0290744E7</v>
      </c>
      <c r="E538" s="38">
        <v>9.0290744E7</v>
      </c>
      <c r="F538" s="18" t="s">
        <v>1427</v>
      </c>
      <c r="G538" s="18" t="s">
        <v>1428</v>
      </c>
      <c r="H538" s="18" t="s">
        <v>2778</v>
      </c>
      <c r="I538" s="18" t="s">
        <v>991</v>
      </c>
      <c r="J538" s="18" t="s">
        <v>2691</v>
      </c>
      <c r="K538" s="18" t="s">
        <v>2691</v>
      </c>
      <c r="L538" s="18" t="s">
        <v>52</v>
      </c>
      <c r="M538" s="18" t="s">
        <v>89</v>
      </c>
      <c r="N538" s="18" t="s">
        <v>861</v>
      </c>
      <c r="O538" s="18" t="s">
        <v>126</v>
      </c>
      <c r="P538" s="18" t="s">
        <v>131</v>
      </c>
      <c r="Q538" s="18" t="s">
        <v>132</v>
      </c>
      <c r="R538" s="18" t="s">
        <v>133</v>
      </c>
      <c r="S538" s="18" t="s">
        <v>59</v>
      </c>
      <c r="T538" s="38">
        <v>2026.0</v>
      </c>
      <c r="U538" s="38">
        <v>5.0</v>
      </c>
      <c r="V538" s="38">
        <v>1.081523037E9</v>
      </c>
      <c r="W538" s="38">
        <v>1.081541107E9</v>
      </c>
      <c r="X538" s="18" t="s">
        <v>2199</v>
      </c>
      <c r="Y538" s="18" t="s">
        <v>2200</v>
      </c>
      <c r="Z538" s="38">
        <v>113911.51</v>
      </c>
      <c r="AA538" s="38">
        <v>113911.51</v>
      </c>
      <c r="AB538" s="38">
        <v>37970.5</v>
      </c>
      <c r="AC538" s="38">
        <v>0.0</v>
      </c>
      <c r="AD538" s="38">
        <v>0.01</v>
      </c>
      <c r="AE538" s="38">
        <v>0.0</v>
      </c>
      <c r="AF538" s="38">
        <v>0.0</v>
      </c>
      <c r="AG538" s="38">
        <v>0.0</v>
      </c>
      <c r="AH538" s="38">
        <v>0.0</v>
      </c>
      <c r="AI538" s="38">
        <v>113911.51</v>
      </c>
      <c r="AJ538" s="38">
        <v>226337.42</v>
      </c>
      <c r="AK538" s="38">
        <v>2.0</v>
      </c>
      <c r="AL538" s="38">
        <v>376.2</v>
      </c>
      <c r="AM538" s="38">
        <v>0.0</v>
      </c>
      <c r="AN538" s="34" t="s">
        <v>62</v>
      </c>
      <c r="AO538" s="34" t="s">
        <v>62</v>
      </c>
      <c r="AP538" s="34" t="s">
        <v>62</v>
      </c>
      <c r="AQ538" s="34" t="s">
        <v>62</v>
      </c>
      <c r="AR538" s="38">
        <v>0.0</v>
      </c>
      <c r="AS538" s="38" t="s">
        <v>2779</v>
      </c>
      <c r="AT538" s="38" t="s">
        <v>2275</v>
      </c>
      <c r="AU538" s="39" t="s">
        <v>2276</v>
      </c>
      <c r="AV538" s="40">
        <v>46163.0</v>
      </c>
    </row>
    <row r="539">
      <c r="A539" s="38">
        <v>683.0</v>
      </c>
      <c r="B539" s="38">
        <v>682.0</v>
      </c>
      <c r="C539" s="38">
        <v>682.0</v>
      </c>
      <c r="D539" s="38">
        <v>9.0290762E7</v>
      </c>
      <c r="E539" s="38">
        <v>9.0290762E7</v>
      </c>
      <c r="F539" s="38">
        <v>9.01302833E8</v>
      </c>
      <c r="G539" s="18" t="s">
        <v>1430</v>
      </c>
      <c r="H539" s="18" t="s">
        <v>2780</v>
      </c>
      <c r="I539" s="18" t="s">
        <v>76</v>
      </c>
      <c r="J539" s="18" t="s">
        <v>2691</v>
      </c>
      <c r="K539" s="18" t="s">
        <v>2691</v>
      </c>
      <c r="L539" s="18" t="s">
        <v>52</v>
      </c>
      <c r="M539" s="18" t="s">
        <v>89</v>
      </c>
      <c r="N539" s="18" t="s">
        <v>861</v>
      </c>
      <c r="O539" s="18" t="s">
        <v>126</v>
      </c>
      <c r="P539" s="18" t="s">
        <v>56</v>
      </c>
      <c r="Q539" s="18" t="s">
        <v>90</v>
      </c>
      <c r="R539" s="18" t="s">
        <v>143</v>
      </c>
      <c r="S539" s="18" t="s">
        <v>59</v>
      </c>
      <c r="T539" s="38">
        <v>2026.0</v>
      </c>
      <c r="U539" s="38">
        <v>5.0</v>
      </c>
      <c r="V539" s="38">
        <v>1.08152304E9</v>
      </c>
      <c r="W539" s="38">
        <v>1.08154111E9</v>
      </c>
      <c r="X539" s="18" t="s">
        <v>2199</v>
      </c>
      <c r="Y539" s="18" t="s">
        <v>2200</v>
      </c>
      <c r="Z539" s="38">
        <v>191771.57</v>
      </c>
      <c r="AA539" s="38">
        <v>191771.57</v>
      </c>
      <c r="AB539" s="38">
        <v>63923.86</v>
      </c>
      <c r="AC539" s="38">
        <v>472.5</v>
      </c>
      <c r="AD539" s="38">
        <v>0.0</v>
      </c>
      <c r="AE539" s="38">
        <v>0.0</v>
      </c>
      <c r="AF539" s="38">
        <v>0.0</v>
      </c>
      <c r="AG539" s="38">
        <v>0.0</v>
      </c>
      <c r="AH539" s="38">
        <v>0.0</v>
      </c>
      <c r="AI539" s="38">
        <v>191771.57</v>
      </c>
      <c r="AJ539" s="38">
        <v>191771.57</v>
      </c>
      <c r="AK539" s="38">
        <v>0.0</v>
      </c>
      <c r="AL539" s="38">
        <v>376.2</v>
      </c>
      <c r="AM539" s="38">
        <v>0.0</v>
      </c>
      <c r="AN539" s="34" t="s">
        <v>62</v>
      </c>
      <c r="AO539" s="34" t="s">
        <v>62</v>
      </c>
      <c r="AP539" s="34" t="s">
        <v>62</v>
      </c>
      <c r="AQ539" s="34" t="s">
        <v>62</v>
      </c>
      <c r="AR539" s="38">
        <v>0.0</v>
      </c>
      <c r="AS539" s="38" t="s">
        <v>2781</v>
      </c>
      <c r="AT539" s="38" t="s">
        <v>2275</v>
      </c>
      <c r="AU539" s="39" t="s">
        <v>2276</v>
      </c>
      <c r="AV539" s="40">
        <v>46163.0</v>
      </c>
    </row>
    <row r="540">
      <c r="A540" s="38">
        <v>687.0</v>
      </c>
      <c r="B540" s="38">
        <v>686.0</v>
      </c>
      <c r="C540" s="38">
        <v>686.0</v>
      </c>
      <c r="D540" s="38">
        <v>9.0290774E7</v>
      </c>
      <c r="E540" s="38">
        <v>9.0290774E7</v>
      </c>
      <c r="F540" s="18" t="s">
        <v>1228</v>
      </c>
      <c r="G540" s="18" t="s">
        <v>1432</v>
      </c>
      <c r="H540" s="18" t="s">
        <v>2782</v>
      </c>
      <c r="I540" s="18" t="s">
        <v>76</v>
      </c>
      <c r="J540" s="18" t="s">
        <v>2205</v>
      </c>
      <c r="K540" s="18" t="s">
        <v>2783</v>
      </c>
      <c r="L540" s="18" t="s">
        <v>52</v>
      </c>
      <c r="M540" s="18" t="s">
        <v>89</v>
      </c>
      <c r="N540" s="18" t="s">
        <v>861</v>
      </c>
      <c r="O540" s="18" t="s">
        <v>126</v>
      </c>
      <c r="P540" s="18" t="s">
        <v>56</v>
      </c>
      <c r="Q540" s="18" t="s">
        <v>57</v>
      </c>
      <c r="R540" s="18" t="s">
        <v>58</v>
      </c>
      <c r="S540" s="18" t="s">
        <v>59</v>
      </c>
      <c r="T540" s="38">
        <v>2026.0</v>
      </c>
      <c r="U540" s="38">
        <v>5.0</v>
      </c>
      <c r="V540" s="38">
        <v>1.081523044E9</v>
      </c>
      <c r="W540" s="38">
        <v>1.081541114E9</v>
      </c>
      <c r="X540" s="18" t="s">
        <v>2199</v>
      </c>
      <c r="Y540" s="18" t="s">
        <v>2200</v>
      </c>
      <c r="Z540" s="38">
        <v>1572783.94</v>
      </c>
      <c r="AA540" s="38">
        <v>1572783.94</v>
      </c>
      <c r="AB540" s="38">
        <v>0.0</v>
      </c>
      <c r="AC540" s="38">
        <v>8085.0</v>
      </c>
      <c r="AD540" s="38">
        <v>0.0</v>
      </c>
      <c r="AE540" s="38">
        <v>0.0</v>
      </c>
      <c r="AF540" s="38">
        <v>0.0</v>
      </c>
      <c r="AG540" s="38">
        <v>0.0</v>
      </c>
      <c r="AH540" s="38">
        <v>0.0</v>
      </c>
      <c r="AI540" s="38">
        <v>1572783.94</v>
      </c>
      <c r="AJ540" s="38">
        <v>1572783.94</v>
      </c>
      <c r="AK540" s="38">
        <v>0.0</v>
      </c>
      <c r="AL540" s="38">
        <v>250.8</v>
      </c>
      <c r="AM540" s="38">
        <v>0.0</v>
      </c>
      <c r="AN540" s="34" t="s">
        <v>62</v>
      </c>
      <c r="AO540" s="34" t="s">
        <v>62</v>
      </c>
      <c r="AP540" s="34" t="s">
        <v>62</v>
      </c>
      <c r="AQ540" s="34" t="s">
        <v>62</v>
      </c>
      <c r="AR540" s="38">
        <v>0.0</v>
      </c>
      <c r="AS540" s="38" t="s">
        <v>2784</v>
      </c>
      <c r="AT540" s="35" t="s">
        <v>2202</v>
      </c>
      <c r="AU540" s="39" t="s">
        <v>2203</v>
      </c>
      <c r="AV540" s="40">
        <v>46169.0</v>
      </c>
    </row>
    <row r="541">
      <c r="A541" s="38">
        <v>691.0</v>
      </c>
      <c r="B541" s="38">
        <v>690.0</v>
      </c>
      <c r="C541" s="38">
        <v>690.0</v>
      </c>
      <c r="D541" s="38">
        <v>9.029085E7</v>
      </c>
      <c r="E541" s="38">
        <v>9.029085E7</v>
      </c>
      <c r="F541" s="38">
        <v>9.01590489E8</v>
      </c>
      <c r="G541" s="18" t="s">
        <v>1434</v>
      </c>
      <c r="H541" s="18" t="s">
        <v>2785</v>
      </c>
      <c r="I541" s="18" t="s">
        <v>991</v>
      </c>
      <c r="J541" s="18" t="s">
        <v>2691</v>
      </c>
      <c r="K541" s="18" t="s">
        <v>2691</v>
      </c>
      <c r="L541" s="18" t="s">
        <v>52</v>
      </c>
      <c r="M541" s="18" t="s">
        <v>89</v>
      </c>
      <c r="N541" s="18" t="s">
        <v>861</v>
      </c>
      <c r="O541" s="18" t="s">
        <v>126</v>
      </c>
      <c r="P541" s="18" t="s">
        <v>56</v>
      </c>
      <c r="Q541" s="18" t="s">
        <v>90</v>
      </c>
      <c r="R541" s="18" t="s">
        <v>143</v>
      </c>
      <c r="S541" s="18" t="s">
        <v>59</v>
      </c>
      <c r="T541" s="38">
        <v>2026.0</v>
      </c>
      <c r="U541" s="38">
        <v>5.0</v>
      </c>
      <c r="V541" s="38">
        <v>1.081523047E9</v>
      </c>
      <c r="W541" s="38">
        <v>1.081541117E9</v>
      </c>
      <c r="X541" s="18" t="s">
        <v>2199</v>
      </c>
      <c r="Y541" s="18" t="s">
        <v>2200</v>
      </c>
      <c r="Z541" s="38">
        <v>128422.13</v>
      </c>
      <c r="AA541" s="38">
        <v>128422.13</v>
      </c>
      <c r="AB541" s="38">
        <v>42807.38</v>
      </c>
      <c r="AC541" s="38">
        <v>250.0</v>
      </c>
      <c r="AD541" s="38">
        <v>0.0</v>
      </c>
      <c r="AE541" s="38">
        <v>0.0</v>
      </c>
      <c r="AF541" s="38">
        <v>0.0</v>
      </c>
      <c r="AG541" s="38">
        <v>0.0</v>
      </c>
      <c r="AH541" s="38">
        <v>0.0</v>
      </c>
      <c r="AI541" s="38">
        <v>128422.13</v>
      </c>
      <c r="AJ541" s="38">
        <v>255010.51</v>
      </c>
      <c r="AK541" s="38">
        <v>1.0</v>
      </c>
      <c r="AL541" s="38">
        <v>376.2</v>
      </c>
      <c r="AM541" s="38">
        <v>0.0</v>
      </c>
      <c r="AN541" s="34" t="s">
        <v>62</v>
      </c>
      <c r="AO541" s="34" t="s">
        <v>62</v>
      </c>
      <c r="AP541" s="34" t="s">
        <v>62</v>
      </c>
      <c r="AQ541" s="34" t="s">
        <v>62</v>
      </c>
      <c r="AR541" s="38">
        <v>0.0</v>
      </c>
      <c r="AS541" s="38" t="s">
        <v>2786</v>
      </c>
      <c r="AT541" s="38" t="s">
        <v>2275</v>
      </c>
      <c r="AU541" s="39" t="s">
        <v>2276</v>
      </c>
      <c r="AV541" s="40">
        <v>46163.0</v>
      </c>
    </row>
    <row r="542">
      <c r="A542" s="38">
        <v>695.0</v>
      </c>
      <c r="B542" s="38">
        <v>694.0</v>
      </c>
      <c r="C542" s="38">
        <v>694.0</v>
      </c>
      <c r="D542" s="38">
        <v>9.0290854E7</v>
      </c>
      <c r="E542" s="38">
        <v>9.0290854E7</v>
      </c>
      <c r="F542" s="18" t="s">
        <v>1436</v>
      </c>
      <c r="G542" s="18" t="s">
        <v>1437</v>
      </c>
      <c r="H542" s="18" t="s">
        <v>2787</v>
      </c>
      <c r="I542" s="18" t="s">
        <v>991</v>
      </c>
      <c r="J542" s="18" t="s">
        <v>2691</v>
      </c>
      <c r="K542" s="18" t="s">
        <v>2691</v>
      </c>
      <c r="L542" s="18" t="s">
        <v>52</v>
      </c>
      <c r="M542" s="18" t="s">
        <v>89</v>
      </c>
      <c r="N542" s="18" t="s">
        <v>861</v>
      </c>
      <c r="O542" s="18" t="s">
        <v>126</v>
      </c>
      <c r="P542" s="18" t="s">
        <v>56</v>
      </c>
      <c r="Q542" s="18" t="s">
        <v>90</v>
      </c>
      <c r="R542" s="18" t="s">
        <v>143</v>
      </c>
      <c r="S542" s="18" t="s">
        <v>59</v>
      </c>
      <c r="T542" s="38">
        <v>2026.0</v>
      </c>
      <c r="U542" s="38">
        <v>5.0</v>
      </c>
      <c r="V542" s="38">
        <v>1.081523049E9</v>
      </c>
      <c r="W542" s="38">
        <v>1.081541119E9</v>
      </c>
      <c r="X542" s="18" t="s">
        <v>2199</v>
      </c>
      <c r="Y542" s="18" t="s">
        <v>2200</v>
      </c>
      <c r="Z542" s="38">
        <v>128422.13</v>
      </c>
      <c r="AA542" s="38">
        <v>128422.13</v>
      </c>
      <c r="AB542" s="38">
        <v>42807.38</v>
      </c>
      <c r="AC542" s="38">
        <v>250.0</v>
      </c>
      <c r="AD542" s="38">
        <v>0.0</v>
      </c>
      <c r="AE542" s="38">
        <v>0.0</v>
      </c>
      <c r="AF542" s="38">
        <v>0.0</v>
      </c>
      <c r="AG542" s="38">
        <v>0.0</v>
      </c>
      <c r="AH542" s="38">
        <v>0.0</v>
      </c>
      <c r="AI542" s="38">
        <v>128422.13</v>
      </c>
      <c r="AJ542" s="38">
        <v>128422.13</v>
      </c>
      <c r="AK542" s="38">
        <v>0.0</v>
      </c>
      <c r="AL542" s="38">
        <v>376.2</v>
      </c>
      <c r="AM542" s="38">
        <v>0.0</v>
      </c>
      <c r="AN542" s="34" t="s">
        <v>62</v>
      </c>
      <c r="AO542" s="34" t="s">
        <v>62</v>
      </c>
      <c r="AP542" s="34" t="s">
        <v>62</v>
      </c>
      <c r="AQ542" s="34" t="s">
        <v>62</v>
      </c>
      <c r="AR542" s="38">
        <v>0.0</v>
      </c>
      <c r="AS542" s="38" t="s">
        <v>2788</v>
      </c>
      <c r="AT542" s="38" t="s">
        <v>2275</v>
      </c>
      <c r="AU542" s="39" t="s">
        <v>2276</v>
      </c>
      <c r="AV542" s="40">
        <v>46163.0</v>
      </c>
    </row>
    <row r="543">
      <c r="A543" s="38">
        <v>699.0</v>
      </c>
      <c r="B543" s="38">
        <v>698.0</v>
      </c>
      <c r="C543" s="38">
        <v>698.0</v>
      </c>
      <c r="D543" s="38">
        <v>9.0291866E7</v>
      </c>
      <c r="E543" s="38">
        <v>9.0291866E7</v>
      </c>
      <c r="F543" s="38">
        <v>9.00480569E8</v>
      </c>
      <c r="G543" s="18" t="s">
        <v>141</v>
      </c>
      <c r="H543" s="18" t="s">
        <v>2255</v>
      </c>
      <c r="I543" s="18" t="s">
        <v>343</v>
      </c>
      <c r="J543" s="18" t="s">
        <v>2205</v>
      </c>
      <c r="K543" s="18" t="s">
        <v>2256</v>
      </c>
      <c r="L543" s="18" t="s">
        <v>52</v>
      </c>
      <c r="M543" s="18" t="s">
        <v>53</v>
      </c>
      <c r="N543" s="18" t="s">
        <v>861</v>
      </c>
      <c r="O543" s="18" t="s">
        <v>126</v>
      </c>
      <c r="P543" s="18" t="s">
        <v>56</v>
      </c>
      <c r="Q543" s="18" t="s">
        <v>90</v>
      </c>
      <c r="R543" s="18" t="s">
        <v>143</v>
      </c>
      <c r="S543" s="18" t="s">
        <v>59</v>
      </c>
      <c r="T543" s="38">
        <v>2026.0</v>
      </c>
      <c r="U543" s="38">
        <v>5.0</v>
      </c>
      <c r="V543" s="38">
        <v>1.081523053E9</v>
      </c>
      <c r="W543" s="38">
        <v>1.081541123E9</v>
      </c>
      <c r="X543" s="18" t="s">
        <v>2199</v>
      </c>
      <c r="Y543" s="18" t="s">
        <v>2200</v>
      </c>
      <c r="Z543" s="38">
        <v>816723.0</v>
      </c>
      <c r="AA543" s="38">
        <v>816723.0</v>
      </c>
      <c r="AB543" s="38">
        <v>268967.19</v>
      </c>
      <c r="AC543" s="38">
        <v>2633.0</v>
      </c>
      <c r="AD543" s="38">
        <v>9821.45</v>
      </c>
      <c r="AE543" s="38">
        <v>0.0</v>
      </c>
      <c r="AF543" s="38">
        <v>0.0</v>
      </c>
      <c r="AG543" s="38">
        <v>0.0</v>
      </c>
      <c r="AH543" s="38">
        <v>0.0</v>
      </c>
      <c r="AI543" s="38">
        <v>816723.0</v>
      </c>
      <c r="AJ543" s="38">
        <v>2398474.04</v>
      </c>
      <c r="AK543" s="38">
        <v>2.0</v>
      </c>
      <c r="AL543" s="38">
        <v>376.2</v>
      </c>
      <c r="AM543" s="38">
        <v>0.0</v>
      </c>
      <c r="AN543" s="34" t="s">
        <v>62</v>
      </c>
      <c r="AO543" s="34" t="s">
        <v>62</v>
      </c>
      <c r="AP543" s="34" t="s">
        <v>62</v>
      </c>
      <c r="AQ543" s="34" t="s">
        <v>62</v>
      </c>
      <c r="AR543" s="38">
        <v>0.0</v>
      </c>
      <c r="AS543" s="38" t="s">
        <v>2257</v>
      </c>
      <c r="AT543" s="35" t="s">
        <v>2202</v>
      </c>
      <c r="AU543" s="39" t="s">
        <v>2203</v>
      </c>
      <c r="AV543" s="40">
        <v>46163.0</v>
      </c>
    </row>
    <row r="544">
      <c r="A544" s="38">
        <v>703.0</v>
      </c>
      <c r="B544" s="38">
        <v>702.0</v>
      </c>
      <c r="C544" s="38">
        <v>702.0</v>
      </c>
      <c r="D544" s="38">
        <v>9.0291875E7</v>
      </c>
      <c r="E544" s="38">
        <v>9.0291875E7</v>
      </c>
      <c r="F544" s="38">
        <v>9.0291875E7</v>
      </c>
      <c r="G544" s="18" t="s">
        <v>1440</v>
      </c>
      <c r="H544" s="18" t="s">
        <v>2789</v>
      </c>
      <c r="I544" s="18" t="s">
        <v>991</v>
      </c>
      <c r="J544" s="18" t="s">
        <v>2691</v>
      </c>
      <c r="K544" s="18" t="s">
        <v>2691</v>
      </c>
      <c r="L544" s="18" t="s">
        <v>52</v>
      </c>
      <c r="M544" s="18" t="s">
        <v>89</v>
      </c>
      <c r="N544" s="18" t="s">
        <v>861</v>
      </c>
      <c r="O544" s="18" t="s">
        <v>126</v>
      </c>
      <c r="P544" s="18" t="s">
        <v>56</v>
      </c>
      <c r="Q544" s="18" t="s">
        <v>90</v>
      </c>
      <c r="R544" s="18" t="s">
        <v>143</v>
      </c>
      <c r="S544" s="18" t="s">
        <v>59</v>
      </c>
      <c r="T544" s="38">
        <v>2026.0</v>
      </c>
      <c r="U544" s="38">
        <v>5.0</v>
      </c>
      <c r="V544" s="38">
        <v>1.081523056E9</v>
      </c>
      <c r="W544" s="38">
        <v>1.081541126E9</v>
      </c>
      <c r="X544" s="18" t="s">
        <v>2199</v>
      </c>
      <c r="Y544" s="18" t="s">
        <v>2200</v>
      </c>
      <c r="Z544" s="38">
        <v>324307.09</v>
      </c>
      <c r="AA544" s="38">
        <v>324307.09</v>
      </c>
      <c r="AB544" s="38">
        <v>108102.37</v>
      </c>
      <c r="AC544" s="38">
        <v>938.0</v>
      </c>
      <c r="AD544" s="38">
        <v>0.0</v>
      </c>
      <c r="AE544" s="38">
        <v>0.0</v>
      </c>
      <c r="AF544" s="38">
        <v>0.0</v>
      </c>
      <c r="AG544" s="38">
        <v>0.0</v>
      </c>
      <c r="AH544" s="38">
        <v>0.0</v>
      </c>
      <c r="AI544" s="38">
        <v>324307.09</v>
      </c>
      <c r="AJ544" s="38">
        <v>383496.1</v>
      </c>
      <c r="AK544" s="38">
        <v>1.0</v>
      </c>
      <c r="AL544" s="38">
        <v>376.2</v>
      </c>
      <c r="AM544" s="38">
        <v>0.0</v>
      </c>
      <c r="AN544" s="34" t="s">
        <v>62</v>
      </c>
      <c r="AO544" s="34" t="s">
        <v>62</v>
      </c>
      <c r="AP544" s="34" t="s">
        <v>62</v>
      </c>
      <c r="AQ544" s="34" t="s">
        <v>62</v>
      </c>
      <c r="AR544" s="38">
        <v>0.0</v>
      </c>
      <c r="AS544" s="38" t="s">
        <v>2328</v>
      </c>
      <c r="AT544" s="38" t="s">
        <v>2275</v>
      </c>
      <c r="AU544" s="39" t="s">
        <v>2276</v>
      </c>
      <c r="AV544" s="40">
        <v>46163.0</v>
      </c>
    </row>
    <row r="545">
      <c r="A545" s="38">
        <v>89267.0</v>
      </c>
      <c r="B545" s="38">
        <v>89266.0</v>
      </c>
      <c r="C545" s="38">
        <v>89266.0</v>
      </c>
      <c r="D545" s="38">
        <v>51796.0</v>
      </c>
      <c r="E545" s="38">
        <v>51796.0</v>
      </c>
      <c r="F545" s="38">
        <v>51796.0</v>
      </c>
      <c r="G545" s="18" t="s">
        <v>1442</v>
      </c>
      <c r="H545" s="18" t="s">
        <v>2790</v>
      </c>
      <c r="I545" s="18" t="s">
        <v>343</v>
      </c>
      <c r="J545" s="18" t="s">
        <v>2205</v>
      </c>
      <c r="K545" s="18" t="s">
        <v>2205</v>
      </c>
      <c r="L545" s="18" t="s">
        <v>52</v>
      </c>
      <c r="M545" s="18" t="s">
        <v>89</v>
      </c>
      <c r="N545" s="18" t="s">
        <v>861</v>
      </c>
      <c r="O545" s="18" t="s">
        <v>126</v>
      </c>
      <c r="P545" s="18" t="s">
        <v>131</v>
      </c>
      <c r="Q545" s="18" t="s">
        <v>132</v>
      </c>
      <c r="R545" s="18" t="s">
        <v>133</v>
      </c>
      <c r="S545" s="18" t="s">
        <v>59</v>
      </c>
      <c r="T545" s="38">
        <v>2026.0</v>
      </c>
      <c r="U545" s="38">
        <v>5.0</v>
      </c>
      <c r="V545" s="38">
        <v>1.081523077E9</v>
      </c>
      <c r="W545" s="38">
        <v>1.081541147E9</v>
      </c>
      <c r="X545" s="18" t="s">
        <v>2199</v>
      </c>
      <c r="Y545" s="18" t="s">
        <v>2200</v>
      </c>
      <c r="Z545" s="38">
        <v>133294.47</v>
      </c>
      <c r="AA545" s="38">
        <v>133294.47</v>
      </c>
      <c r="AB545" s="38">
        <v>37970.5</v>
      </c>
      <c r="AC545" s="38">
        <v>0.0</v>
      </c>
      <c r="AD545" s="38">
        <v>19382.97</v>
      </c>
      <c r="AE545" s="38">
        <v>0.0</v>
      </c>
      <c r="AF545" s="38">
        <v>0.0</v>
      </c>
      <c r="AG545" s="38">
        <v>0.0</v>
      </c>
      <c r="AH545" s="38">
        <v>0.0</v>
      </c>
      <c r="AI545" s="38">
        <v>133294.47</v>
      </c>
      <c r="AJ545" s="38">
        <v>1299951.28</v>
      </c>
      <c r="AK545" s="38">
        <v>10.0</v>
      </c>
      <c r="AL545" s="38">
        <v>376.2</v>
      </c>
      <c r="AM545" s="38">
        <v>0.0</v>
      </c>
      <c r="AN545" s="34" t="s">
        <v>62</v>
      </c>
      <c r="AO545" s="34" t="s">
        <v>62</v>
      </c>
      <c r="AP545" s="34" t="s">
        <v>62</v>
      </c>
      <c r="AQ545" s="34" t="s">
        <v>62</v>
      </c>
      <c r="AR545" s="38">
        <v>0.0</v>
      </c>
      <c r="AS545" s="38" t="s">
        <v>2791</v>
      </c>
      <c r="AT545" s="35" t="s">
        <v>2202</v>
      </c>
      <c r="AU545" s="39" t="s">
        <v>2254</v>
      </c>
      <c r="AV545" s="40">
        <v>46170.0</v>
      </c>
    </row>
    <row r="546">
      <c r="A546" s="38">
        <v>314877.0</v>
      </c>
      <c r="B546" s="38">
        <v>95862.0</v>
      </c>
      <c r="C546" s="38">
        <v>95862.0</v>
      </c>
      <c r="D546" s="38">
        <v>458078.0</v>
      </c>
      <c r="E546" s="38">
        <v>458078.0</v>
      </c>
      <c r="F546" s="38">
        <v>8.60503159E8</v>
      </c>
      <c r="G546" s="18" t="s">
        <v>371</v>
      </c>
      <c r="H546" s="18" t="s">
        <v>2279</v>
      </c>
      <c r="I546" s="18" t="s">
        <v>942</v>
      </c>
      <c r="J546" s="18" t="s">
        <v>982</v>
      </c>
      <c r="K546" s="18" t="s">
        <v>2280</v>
      </c>
      <c r="L546" s="18" t="s">
        <v>52</v>
      </c>
      <c r="M546" s="18" t="s">
        <v>89</v>
      </c>
      <c r="N546" s="18" t="s">
        <v>861</v>
      </c>
      <c r="O546" s="18" t="s">
        <v>126</v>
      </c>
      <c r="P546" s="18" t="s">
        <v>131</v>
      </c>
      <c r="Q546" s="18" t="s">
        <v>132</v>
      </c>
      <c r="R546" s="18" t="s">
        <v>133</v>
      </c>
      <c r="S546" s="18" t="s">
        <v>59</v>
      </c>
      <c r="T546" s="38">
        <v>2026.0</v>
      </c>
      <c r="U546" s="38">
        <v>5.0</v>
      </c>
      <c r="V546" s="38">
        <v>1.081523082E9</v>
      </c>
      <c r="W546" s="38">
        <v>1.081541152E9</v>
      </c>
      <c r="X546" s="18" t="s">
        <v>2199</v>
      </c>
      <c r="Y546" s="18" t="s">
        <v>2200</v>
      </c>
      <c r="Z546" s="38">
        <v>113911.5</v>
      </c>
      <c r="AA546" s="38">
        <v>113911.5</v>
      </c>
      <c r="AB546" s="38">
        <v>37970.5</v>
      </c>
      <c r="AC546" s="38">
        <v>0.0</v>
      </c>
      <c r="AD546" s="38">
        <v>0.0</v>
      </c>
      <c r="AE546" s="38">
        <v>0.0</v>
      </c>
      <c r="AF546" s="38">
        <v>0.0</v>
      </c>
      <c r="AG546" s="38">
        <v>0.0</v>
      </c>
      <c r="AH546" s="38">
        <v>0.0</v>
      </c>
      <c r="AI546" s="38">
        <v>113911.5</v>
      </c>
      <c r="AJ546" s="38">
        <v>113911.5</v>
      </c>
      <c r="AK546" s="38">
        <v>0.0</v>
      </c>
      <c r="AL546" s="38">
        <v>376.2</v>
      </c>
      <c r="AM546" s="38">
        <v>0.0</v>
      </c>
      <c r="AN546" s="34" t="s">
        <v>62</v>
      </c>
      <c r="AO546" s="34" t="s">
        <v>62</v>
      </c>
      <c r="AP546" s="34" t="s">
        <v>62</v>
      </c>
      <c r="AQ546" s="34" t="s">
        <v>62</v>
      </c>
      <c r="AR546" s="38">
        <v>0.0</v>
      </c>
      <c r="AS546" s="38" t="s">
        <v>2281</v>
      </c>
      <c r="AT546" s="35" t="s">
        <v>2275</v>
      </c>
      <c r="AU546" s="39" t="s">
        <v>2475</v>
      </c>
      <c r="AV546" s="40">
        <v>46163.0</v>
      </c>
    </row>
    <row r="547">
      <c r="A547" s="38">
        <v>95931.0</v>
      </c>
      <c r="B547" s="38">
        <v>95930.0</v>
      </c>
      <c r="C547" s="38">
        <v>95930.0</v>
      </c>
      <c r="D547" s="38">
        <v>457785.0</v>
      </c>
      <c r="E547" s="38">
        <v>457785.0</v>
      </c>
      <c r="F547" s="38">
        <v>9.00439301E8</v>
      </c>
      <c r="G547" s="18" t="s">
        <v>1033</v>
      </c>
      <c r="H547" s="18" t="s">
        <v>2792</v>
      </c>
      <c r="I547" s="18" t="s">
        <v>942</v>
      </c>
      <c r="J547" s="18" t="s">
        <v>982</v>
      </c>
      <c r="K547" s="18" t="s">
        <v>2793</v>
      </c>
      <c r="L547" s="18" t="s">
        <v>52</v>
      </c>
      <c r="M547" s="18" t="s">
        <v>89</v>
      </c>
      <c r="N547" s="18" t="s">
        <v>861</v>
      </c>
      <c r="O547" s="18" t="s">
        <v>126</v>
      </c>
      <c r="P547" s="18" t="s">
        <v>131</v>
      </c>
      <c r="Q547" s="18" t="s">
        <v>132</v>
      </c>
      <c r="R547" s="18" t="s">
        <v>133</v>
      </c>
      <c r="S547" s="18" t="s">
        <v>59</v>
      </c>
      <c r="T547" s="38">
        <v>2026.0</v>
      </c>
      <c r="U547" s="38">
        <v>5.0</v>
      </c>
      <c r="V547" s="38">
        <v>1.081523086E9</v>
      </c>
      <c r="W547" s="38">
        <v>1.081541156E9</v>
      </c>
      <c r="X547" s="18" t="s">
        <v>2199</v>
      </c>
      <c r="Y547" s="18" t="s">
        <v>2200</v>
      </c>
      <c r="Z547" s="38">
        <v>113911.5</v>
      </c>
      <c r="AA547" s="38">
        <v>113911.5</v>
      </c>
      <c r="AB547" s="38">
        <v>37970.5</v>
      </c>
      <c r="AC547" s="38">
        <v>0.0</v>
      </c>
      <c r="AD547" s="38">
        <v>0.0</v>
      </c>
      <c r="AE547" s="38">
        <v>0.0</v>
      </c>
      <c r="AF547" s="38">
        <v>0.0</v>
      </c>
      <c r="AG547" s="38">
        <v>0.0</v>
      </c>
      <c r="AH547" s="38">
        <v>0.0</v>
      </c>
      <c r="AI547" s="38">
        <v>113911.5</v>
      </c>
      <c r="AJ547" s="38">
        <v>113911.5</v>
      </c>
      <c r="AK547" s="38">
        <v>0.0</v>
      </c>
      <c r="AL547" s="38">
        <v>376.2</v>
      </c>
      <c r="AM547" s="38">
        <v>0.0</v>
      </c>
      <c r="AN547" s="34" t="s">
        <v>62</v>
      </c>
      <c r="AO547" s="34" t="s">
        <v>62</v>
      </c>
      <c r="AP547" s="34" t="s">
        <v>62</v>
      </c>
      <c r="AQ547" s="34" t="s">
        <v>62</v>
      </c>
      <c r="AR547" s="38">
        <v>0.0</v>
      </c>
      <c r="AS547" s="38" t="s">
        <v>2794</v>
      </c>
      <c r="AT547" s="35" t="s">
        <v>2275</v>
      </c>
      <c r="AU547" s="39" t="s">
        <v>2475</v>
      </c>
      <c r="AV547" s="40">
        <v>46163.0</v>
      </c>
    </row>
    <row r="548">
      <c r="A548" s="38">
        <v>297.0</v>
      </c>
      <c r="B548" s="38">
        <v>96818.0</v>
      </c>
      <c r="C548" s="38">
        <v>96818.0</v>
      </c>
      <c r="D548" s="38">
        <v>194289.0</v>
      </c>
      <c r="E548" s="38">
        <v>194289.0</v>
      </c>
      <c r="F548" s="18" t="s">
        <v>135</v>
      </c>
      <c r="G548" s="18" t="s">
        <v>136</v>
      </c>
      <c r="H548" s="18" t="s">
        <v>2258</v>
      </c>
      <c r="I548" s="18" t="s">
        <v>1446</v>
      </c>
      <c r="J548" s="18" t="s">
        <v>2205</v>
      </c>
      <c r="K548" s="18" t="s">
        <v>2259</v>
      </c>
      <c r="L548" s="18" t="s">
        <v>52</v>
      </c>
      <c r="M548" s="18" t="s">
        <v>1060</v>
      </c>
      <c r="N548" s="18" t="s">
        <v>861</v>
      </c>
      <c r="O548" s="18" t="s">
        <v>126</v>
      </c>
      <c r="P548" s="18" t="s">
        <v>131</v>
      </c>
      <c r="Q548" s="18" t="s">
        <v>1111</v>
      </c>
      <c r="R548" s="18" t="s">
        <v>133</v>
      </c>
      <c r="S548" s="18" t="s">
        <v>59</v>
      </c>
      <c r="T548" s="38">
        <v>2026.0</v>
      </c>
      <c r="U548" s="38">
        <v>5.0</v>
      </c>
      <c r="V548" s="38">
        <v>1.081523089E9</v>
      </c>
      <c r="W548" s="38">
        <v>1.081541159E9</v>
      </c>
      <c r="X548" s="18" t="s">
        <v>2199</v>
      </c>
      <c r="Y548" s="18" t="s">
        <v>2200</v>
      </c>
      <c r="Z548" s="38">
        <v>16397.0</v>
      </c>
      <c r="AA548" s="38">
        <v>16397.0</v>
      </c>
      <c r="AB548" s="38">
        <v>0.0</v>
      </c>
      <c r="AC548" s="38">
        <v>0.0</v>
      </c>
      <c r="AD548" s="38">
        <v>0.0</v>
      </c>
      <c r="AE548" s="38">
        <v>0.0</v>
      </c>
      <c r="AF548" s="38">
        <v>0.0</v>
      </c>
      <c r="AG548" s="38">
        <v>0.0</v>
      </c>
      <c r="AH548" s="38">
        <v>0.0</v>
      </c>
      <c r="AI548" s="38">
        <v>16397.0</v>
      </c>
      <c r="AJ548" s="38">
        <v>16397.0</v>
      </c>
      <c r="AK548" s="38">
        <v>0.0</v>
      </c>
      <c r="AL548" s="38">
        <v>250.8</v>
      </c>
      <c r="AM548" s="38">
        <v>0.0</v>
      </c>
      <c r="AN548" s="34" t="s">
        <v>62</v>
      </c>
      <c r="AO548" s="34" t="s">
        <v>62</v>
      </c>
      <c r="AP548" s="34" t="s">
        <v>62</v>
      </c>
      <c r="AQ548" s="34" t="s">
        <v>62</v>
      </c>
      <c r="AR548" s="38">
        <v>0.0</v>
      </c>
      <c r="AS548" s="38" t="s">
        <v>2260</v>
      </c>
      <c r="AT548" s="35" t="s">
        <v>2202</v>
      </c>
      <c r="AU548" s="39" t="s">
        <v>2203</v>
      </c>
      <c r="AV548" s="40">
        <v>46164.0</v>
      </c>
    </row>
    <row r="549">
      <c r="A549" s="38">
        <v>699.0</v>
      </c>
      <c r="B549" s="38">
        <v>9902.0</v>
      </c>
      <c r="C549" s="38">
        <v>9902.0</v>
      </c>
      <c r="D549" s="38">
        <v>22750.0</v>
      </c>
      <c r="E549" s="38">
        <v>22750.0</v>
      </c>
      <c r="F549" s="38">
        <v>9.00480569E8</v>
      </c>
      <c r="G549" s="18" t="s">
        <v>141</v>
      </c>
      <c r="H549" s="18" t="s">
        <v>2255</v>
      </c>
      <c r="I549" s="18" t="s">
        <v>926</v>
      </c>
      <c r="J549" s="18" t="s">
        <v>2205</v>
      </c>
      <c r="K549" s="18" t="s">
        <v>2256</v>
      </c>
      <c r="L549" s="18" t="s">
        <v>52</v>
      </c>
      <c r="M549" s="18" t="s">
        <v>53</v>
      </c>
      <c r="N549" s="18" t="s">
        <v>861</v>
      </c>
      <c r="O549" s="18" t="s">
        <v>126</v>
      </c>
      <c r="P549" s="18" t="s">
        <v>56</v>
      </c>
      <c r="Q549" s="18" t="s">
        <v>90</v>
      </c>
      <c r="R549" s="18" t="s">
        <v>143</v>
      </c>
      <c r="S549" s="18" t="s">
        <v>59</v>
      </c>
      <c r="T549" s="38">
        <v>2026.0</v>
      </c>
      <c r="U549" s="38">
        <v>5.0</v>
      </c>
      <c r="V549" s="38">
        <v>1.08152306E9</v>
      </c>
      <c r="W549" s="38">
        <v>1.08154113E9</v>
      </c>
      <c r="X549" s="18" t="s">
        <v>2199</v>
      </c>
      <c r="Y549" s="18" t="s">
        <v>2200</v>
      </c>
      <c r="Z549" s="38">
        <v>978300.9</v>
      </c>
      <c r="AA549" s="38">
        <v>978300.9</v>
      </c>
      <c r="AB549" s="38">
        <v>326100.31</v>
      </c>
      <c r="AC549" s="38">
        <v>3235.0</v>
      </c>
      <c r="AD549" s="38">
        <v>0.0</v>
      </c>
      <c r="AE549" s="38">
        <v>0.0</v>
      </c>
      <c r="AF549" s="38">
        <v>0.0</v>
      </c>
      <c r="AG549" s="38">
        <v>0.0</v>
      </c>
      <c r="AH549" s="38">
        <v>0.0</v>
      </c>
      <c r="AI549" s="38">
        <v>978300.9</v>
      </c>
      <c r="AJ549" s="38">
        <v>1934359.61</v>
      </c>
      <c r="AK549" s="38">
        <v>1.0</v>
      </c>
      <c r="AL549" s="38">
        <v>376.2</v>
      </c>
      <c r="AM549" s="38">
        <v>0.0</v>
      </c>
      <c r="AN549" s="34" t="s">
        <v>62</v>
      </c>
      <c r="AO549" s="34" t="s">
        <v>62</v>
      </c>
      <c r="AP549" s="34" t="s">
        <v>62</v>
      </c>
      <c r="AQ549" s="34" t="s">
        <v>62</v>
      </c>
      <c r="AR549" s="38">
        <v>0.0</v>
      </c>
      <c r="AS549" s="38" t="s">
        <v>2257</v>
      </c>
      <c r="AT549" s="35" t="s">
        <v>2202</v>
      </c>
      <c r="AU549" s="39" t="s">
        <v>2203</v>
      </c>
      <c r="AV549" s="40">
        <v>46163.0</v>
      </c>
    </row>
    <row r="550">
      <c r="A550" s="38">
        <v>455370.0</v>
      </c>
      <c r="B550" s="38">
        <v>109.0</v>
      </c>
      <c r="C550" s="38">
        <v>109.0</v>
      </c>
      <c r="D550" s="38">
        <v>9.0200142E7</v>
      </c>
      <c r="E550" s="38">
        <v>9.0200142E7</v>
      </c>
      <c r="F550" s="18" t="s">
        <v>148</v>
      </c>
      <c r="G550" s="18" t="s">
        <v>149</v>
      </c>
      <c r="H550" s="18" t="s">
        <v>2296</v>
      </c>
      <c r="I550" s="18" t="s">
        <v>1172</v>
      </c>
      <c r="J550" s="18" t="s">
        <v>2205</v>
      </c>
      <c r="K550" s="18" t="s">
        <v>2611</v>
      </c>
      <c r="L550" s="18" t="s">
        <v>52</v>
      </c>
      <c r="M550" s="18" t="s">
        <v>53</v>
      </c>
      <c r="N550" s="18" t="s">
        <v>861</v>
      </c>
      <c r="O550" s="18" t="s">
        <v>126</v>
      </c>
      <c r="P550" s="18" t="s">
        <v>56</v>
      </c>
      <c r="Q550" s="18" t="s">
        <v>57</v>
      </c>
      <c r="R550" s="18" t="s">
        <v>143</v>
      </c>
      <c r="S550" s="18" t="s">
        <v>59</v>
      </c>
      <c r="T550" s="38">
        <v>2026.0</v>
      </c>
      <c r="U550" s="38">
        <v>5.0</v>
      </c>
      <c r="V550" s="38">
        <v>1.081522685E9</v>
      </c>
      <c r="W550" s="38">
        <v>1.081540755E9</v>
      </c>
      <c r="X550" s="18" t="s">
        <v>2199</v>
      </c>
      <c r="Y550" s="18" t="s">
        <v>2200</v>
      </c>
      <c r="Z550" s="38">
        <v>254546.54</v>
      </c>
      <c r="AA550" s="38">
        <v>254546.54</v>
      </c>
      <c r="AB550" s="38">
        <v>0.0</v>
      </c>
      <c r="AC550" s="38">
        <v>1140.0</v>
      </c>
      <c r="AD550" s="38">
        <v>0.0</v>
      </c>
      <c r="AE550" s="38">
        <v>0.0</v>
      </c>
      <c r="AF550" s="38">
        <v>0.0</v>
      </c>
      <c r="AG550" s="38">
        <v>0.0</v>
      </c>
      <c r="AH550" s="38">
        <v>0.0</v>
      </c>
      <c r="AI550" s="38">
        <v>254546.54</v>
      </c>
      <c r="AJ550" s="38">
        <v>666280.66</v>
      </c>
      <c r="AK550" s="38">
        <v>3.0</v>
      </c>
      <c r="AL550" s="38">
        <v>250.8</v>
      </c>
      <c r="AM550" s="38">
        <v>0.0</v>
      </c>
      <c r="AN550" s="34" t="s">
        <v>62</v>
      </c>
      <c r="AO550" s="34" t="s">
        <v>62</v>
      </c>
      <c r="AP550" s="34" t="s">
        <v>62</v>
      </c>
      <c r="AQ550" s="34" t="s">
        <v>62</v>
      </c>
      <c r="AR550" s="38">
        <v>0.0</v>
      </c>
      <c r="AS550" s="38" t="s">
        <v>2293</v>
      </c>
      <c r="AT550" s="35" t="s">
        <v>2294</v>
      </c>
      <c r="AU550" s="39" t="s">
        <v>2295</v>
      </c>
      <c r="AV550" s="40">
        <v>46164.0</v>
      </c>
    </row>
    <row r="551">
      <c r="A551" s="38">
        <v>147.0</v>
      </c>
      <c r="B551" s="38">
        <v>110409.0</v>
      </c>
      <c r="C551" s="38">
        <v>110409.0</v>
      </c>
      <c r="D551" s="38">
        <v>441500.0</v>
      </c>
      <c r="E551" s="38">
        <v>441500.0</v>
      </c>
      <c r="F551" s="18" t="s">
        <v>179</v>
      </c>
      <c r="G551" s="18" t="s">
        <v>180</v>
      </c>
      <c r="H551" s="18" t="s">
        <v>2320</v>
      </c>
      <c r="I551" s="18" t="s">
        <v>1256</v>
      </c>
      <c r="J551" s="18" t="s">
        <v>2205</v>
      </c>
      <c r="K551" s="18" t="s">
        <v>2289</v>
      </c>
      <c r="L551" s="18" t="s">
        <v>52</v>
      </c>
      <c r="M551" s="18" t="s">
        <v>89</v>
      </c>
      <c r="N551" s="18" t="s">
        <v>861</v>
      </c>
      <c r="O551" s="18" t="s">
        <v>126</v>
      </c>
      <c r="P551" s="18" t="s">
        <v>131</v>
      </c>
      <c r="Q551" s="18" t="s">
        <v>1111</v>
      </c>
      <c r="R551" s="18" t="s">
        <v>133</v>
      </c>
      <c r="S551" s="18" t="s">
        <v>59</v>
      </c>
      <c r="T551" s="38">
        <v>2026.0</v>
      </c>
      <c r="U551" s="38">
        <v>5.0</v>
      </c>
      <c r="V551" s="38">
        <v>1.081523132E9</v>
      </c>
      <c r="W551" s="38">
        <v>1.081541202E9</v>
      </c>
      <c r="X551" s="18" t="s">
        <v>2199</v>
      </c>
      <c r="Y551" s="18" t="s">
        <v>2200</v>
      </c>
      <c r="Z551" s="38">
        <v>50761.0</v>
      </c>
      <c r="AA551" s="38">
        <v>50761.0</v>
      </c>
      <c r="AB551" s="38">
        <v>0.0</v>
      </c>
      <c r="AC551" s="38">
        <v>0.0</v>
      </c>
      <c r="AD551" s="38">
        <v>0.0</v>
      </c>
      <c r="AE551" s="38">
        <v>0.0</v>
      </c>
      <c r="AF551" s="38">
        <v>0.0</v>
      </c>
      <c r="AG551" s="38">
        <v>0.0</v>
      </c>
      <c r="AH551" s="38">
        <v>0.0</v>
      </c>
      <c r="AI551" s="38">
        <v>50761.0</v>
      </c>
      <c r="AJ551" s="38">
        <v>101136.0</v>
      </c>
      <c r="AK551" s="38">
        <v>1.0</v>
      </c>
      <c r="AL551" s="38">
        <v>250.8</v>
      </c>
      <c r="AM551" s="38">
        <v>0.0</v>
      </c>
      <c r="AN551" s="34" t="s">
        <v>62</v>
      </c>
      <c r="AO551" s="34" t="s">
        <v>62</v>
      </c>
      <c r="AP551" s="34" t="s">
        <v>62</v>
      </c>
      <c r="AQ551" s="34" t="s">
        <v>62</v>
      </c>
      <c r="AR551" s="38">
        <v>0.0</v>
      </c>
      <c r="AS551" s="38" t="s">
        <v>2321</v>
      </c>
      <c r="AT551" s="35" t="s">
        <v>2202</v>
      </c>
      <c r="AU551" s="39" t="s">
        <v>2203</v>
      </c>
      <c r="AV551" s="40">
        <v>46163.0</v>
      </c>
    </row>
    <row r="552">
      <c r="A552" s="38">
        <v>455370.0</v>
      </c>
      <c r="B552" s="38">
        <v>113.0</v>
      </c>
      <c r="C552" s="38">
        <v>113.0</v>
      </c>
      <c r="D552" s="38">
        <v>9.0201599E7</v>
      </c>
      <c r="E552" s="38">
        <v>9.0201599E7</v>
      </c>
      <c r="F552" s="18" t="s">
        <v>148</v>
      </c>
      <c r="G552" s="18" t="s">
        <v>149</v>
      </c>
      <c r="H552" s="18" t="s">
        <v>2296</v>
      </c>
      <c r="I552" s="18" t="s">
        <v>863</v>
      </c>
      <c r="J552" s="18" t="s">
        <v>2205</v>
      </c>
      <c r="K552" s="18" t="s">
        <v>2611</v>
      </c>
      <c r="L552" s="18" t="s">
        <v>52</v>
      </c>
      <c r="M552" s="18" t="s">
        <v>53</v>
      </c>
      <c r="N552" s="18" t="s">
        <v>861</v>
      </c>
      <c r="O552" s="18" t="s">
        <v>126</v>
      </c>
      <c r="P552" s="18" t="s">
        <v>56</v>
      </c>
      <c r="Q552" s="18" t="s">
        <v>57</v>
      </c>
      <c r="R552" s="18" t="s">
        <v>143</v>
      </c>
      <c r="S552" s="18" t="s">
        <v>59</v>
      </c>
      <c r="T552" s="38">
        <v>2026.0</v>
      </c>
      <c r="U552" s="38">
        <v>5.0</v>
      </c>
      <c r="V552" s="38">
        <v>1.08152269E9</v>
      </c>
      <c r="W552" s="38">
        <v>1.08154076E9</v>
      </c>
      <c r="X552" s="18" t="s">
        <v>2199</v>
      </c>
      <c r="Y552" s="18" t="s">
        <v>2200</v>
      </c>
      <c r="Z552" s="38">
        <v>166284.43</v>
      </c>
      <c r="AA552" s="38">
        <v>166284.43</v>
      </c>
      <c r="AB552" s="38">
        <v>0.0</v>
      </c>
      <c r="AC552" s="38">
        <v>675.0</v>
      </c>
      <c r="AD552" s="38">
        <v>0.0</v>
      </c>
      <c r="AE552" s="38">
        <v>0.0</v>
      </c>
      <c r="AF552" s="38">
        <v>0.0</v>
      </c>
      <c r="AG552" s="38">
        <v>0.0</v>
      </c>
      <c r="AH552" s="38">
        <v>0.0</v>
      </c>
      <c r="AI552" s="38">
        <v>166284.43</v>
      </c>
      <c r="AJ552" s="38">
        <v>491875.91</v>
      </c>
      <c r="AK552" s="38">
        <v>3.0</v>
      </c>
      <c r="AL552" s="38">
        <v>250.8</v>
      </c>
      <c r="AM552" s="38">
        <v>0.0</v>
      </c>
      <c r="AN552" s="34" t="s">
        <v>62</v>
      </c>
      <c r="AO552" s="34" t="s">
        <v>62</v>
      </c>
      <c r="AP552" s="34" t="s">
        <v>62</v>
      </c>
      <c r="AQ552" s="34" t="s">
        <v>62</v>
      </c>
      <c r="AR552" s="38">
        <v>0.0</v>
      </c>
      <c r="AS552" s="38" t="s">
        <v>2293</v>
      </c>
      <c r="AT552" s="35" t="s">
        <v>2294</v>
      </c>
      <c r="AU552" s="39" t="s">
        <v>2295</v>
      </c>
      <c r="AV552" s="40">
        <v>46164.0</v>
      </c>
    </row>
    <row r="553">
      <c r="A553" s="38">
        <v>116538.0</v>
      </c>
      <c r="B553" s="38">
        <v>116537.0</v>
      </c>
      <c r="C553" s="38">
        <v>116537.0</v>
      </c>
      <c r="D553" s="38">
        <v>623708.0</v>
      </c>
      <c r="E553" s="38">
        <v>623708.0</v>
      </c>
      <c r="F553" s="38">
        <v>623708.0</v>
      </c>
      <c r="G553" s="18" t="s">
        <v>1740</v>
      </c>
      <c r="H553" s="18" t="s">
        <v>2795</v>
      </c>
      <c r="I553" s="18" t="s">
        <v>343</v>
      </c>
      <c r="J553" s="18" t="s">
        <v>982</v>
      </c>
      <c r="K553" s="18" t="s">
        <v>2205</v>
      </c>
      <c r="L553" s="18" t="s">
        <v>52</v>
      </c>
      <c r="M553" s="18" t="s">
        <v>89</v>
      </c>
      <c r="N553" s="18" t="s">
        <v>861</v>
      </c>
      <c r="O553" s="18" t="s">
        <v>126</v>
      </c>
      <c r="P553" s="18" t="s">
        <v>131</v>
      </c>
      <c r="Q553" s="18" t="s">
        <v>363</v>
      </c>
      <c r="R553" s="18" t="s">
        <v>133</v>
      </c>
      <c r="S553" s="18" t="s">
        <v>163</v>
      </c>
      <c r="T553" s="38">
        <v>2026.0</v>
      </c>
      <c r="U553" s="38">
        <v>5.0</v>
      </c>
      <c r="V553" s="38">
        <v>1.081523138E9</v>
      </c>
      <c r="W553" s="38">
        <v>1.081541208E9</v>
      </c>
      <c r="X553" s="18" t="s">
        <v>2199</v>
      </c>
      <c r="Y553" s="18" t="s">
        <v>2200</v>
      </c>
      <c r="Z553" s="38">
        <v>56619.0</v>
      </c>
      <c r="AA553" s="38">
        <v>56619.0</v>
      </c>
      <c r="AB553" s="38">
        <v>18873.0</v>
      </c>
      <c r="AC553" s="38">
        <v>0.0</v>
      </c>
      <c r="AD553" s="38">
        <v>0.0</v>
      </c>
      <c r="AE553" s="38">
        <v>0.0</v>
      </c>
      <c r="AF553" s="38">
        <v>0.0</v>
      </c>
      <c r="AG553" s="38">
        <v>0.0</v>
      </c>
      <c r="AH553" s="38">
        <v>0.0</v>
      </c>
      <c r="AI553" s="38">
        <v>56619.0</v>
      </c>
      <c r="AJ553" s="38">
        <v>134788.33</v>
      </c>
      <c r="AK553" s="38">
        <v>1.0</v>
      </c>
      <c r="AL553" s="38">
        <v>376.2</v>
      </c>
      <c r="AM553" s="38">
        <v>0.0</v>
      </c>
      <c r="AN553" s="34" t="s">
        <v>62</v>
      </c>
      <c r="AO553" s="34" t="s">
        <v>62</v>
      </c>
      <c r="AP553" s="34" t="s">
        <v>62</v>
      </c>
      <c r="AQ553" s="34" t="s">
        <v>62</v>
      </c>
      <c r="AR553" s="38">
        <v>0.0</v>
      </c>
      <c r="AS553" s="41" t="s">
        <v>2796</v>
      </c>
      <c r="AT553" s="35" t="s">
        <v>2275</v>
      </c>
      <c r="AU553" s="39" t="s">
        <v>2475</v>
      </c>
      <c r="AV553" s="40">
        <v>46163.0</v>
      </c>
    </row>
    <row r="554">
      <c r="A554" s="38">
        <v>232.0</v>
      </c>
      <c r="B554" s="38">
        <v>117.0</v>
      </c>
      <c r="C554" s="38">
        <v>117.0</v>
      </c>
      <c r="D554" s="38">
        <v>9.0202829E7</v>
      </c>
      <c r="E554" s="38">
        <v>9.0202829E7</v>
      </c>
      <c r="F554" s="38">
        <v>8.30122566E8</v>
      </c>
      <c r="G554" s="18" t="s">
        <v>193</v>
      </c>
      <c r="H554" s="18" t="s">
        <v>2282</v>
      </c>
      <c r="I554" s="18" t="s">
        <v>1050</v>
      </c>
      <c r="J554" s="18" t="s">
        <v>2205</v>
      </c>
      <c r="K554" s="18" t="s">
        <v>2283</v>
      </c>
      <c r="L554" s="18" t="s">
        <v>52</v>
      </c>
      <c r="M554" s="18" t="s">
        <v>53</v>
      </c>
      <c r="N554" s="18" t="s">
        <v>861</v>
      </c>
      <c r="O554" s="18" t="s">
        <v>126</v>
      </c>
      <c r="P554" s="18" t="s">
        <v>131</v>
      </c>
      <c r="Q554" s="18" t="s">
        <v>151</v>
      </c>
      <c r="R554" s="18" t="s">
        <v>133</v>
      </c>
      <c r="S554" s="18" t="s">
        <v>59</v>
      </c>
      <c r="T554" s="38">
        <v>2026.0</v>
      </c>
      <c r="U554" s="38">
        <v>5.0</v>
      </c>
      <c r="V554" s="38">
        <v>1.081522692E9</v>
      </c>
      <c r="W554" s="38">
        <v>1.081540762E9</v>
      </c>
      <c r="X554" s="18" t="s">
        <v>2199</v>
      </c>
      <c r="Y554" s="18" t="s">
        <v>2200</v>
      </c>
      <c r="Z554" s="38">
        <v>75941.0</v>
      </c>
      <c r="AA554" s="38">
        <v>75941.0</v>
      </c>
      <c r="AB554" s="38">
        <v>0.0</v>
      </c>
      <c r="AC554" s="38">
        <v>0.0</v>
      </c>
      <c r="AD554" s="38">
        <v>0.0</v>
      </c>
      <c r="AE554" s="38">
        <v>0.0</v>
      </c>
      <c r="AF554" s="38">
        <v>0.0</v>
      </c>
      <c r="AG554" s="38">
        <v>0.0</v>
      </c>
      <c r="AH554" s="38">
        <v>0.0</v>
      </c>
      <c r="AI554" s="38">
        <v>75941.0</v>
      </c>
      <c r="AJ554" s="38">
        <v>150891.0</v>
      </c>
      <c r="AK554" s="38">
        <v>1.0</v>
      </c>
      <c r="AL554" s="38">
        <v>250.8</v>
      </c>
      <c r="AM554" s="38">
        <v>0.0</v>
      </c>
      <c r="AN554" s="34" t="s">
        <v>62</v>
      </c>
      <c r="AO554" s="34" t="s">
        <v>62</v>
      </c>
      <c r="AP554" s="34" t="s">
        <v>62</v>
      </c>
      <c r="AQ554" s="34" t="s">
        <v>62</v>
      </c>
      <c r="AR554" s="38">
        <v>0.0</v>
      </c>
      <c r="AS554" s="38" t="s">
        <v>2284</v>
      </c>
      <c r="AT554" s="35" t="s">
        <v>2202</v>
      </c>
      <c r="AU554" s="39" t="s">
        <v>2203</v>
      </c>
      <c r="AV554" s="40">
        <v>46164.0</v>
      </c>
    </row>
    <row r="555">
      <c r="A555" s="38">
        <v>350.0</v>
      </c>
      <c r="B555" s="38">
        <v>120541.0</v>
      </c>
      <c r="C555" s="38">
        <v>120541.0</v>
      </c>
      <c r="D555" s="38">
        <v>671088.0</v>
      </c>
      <c r="E555" s="38">
        <v>671088.0</v>
      </c>
      <c r="F555" s="38">
        <v>9.00603041E8</v>
      </c>
      <c r="G555" s="18" t="s">
        <v>400</v>
      </c>
      <c r="H555" s="18" t="s">
        <v>2304</v>
      </c>
      <c r="I555" s="18" t="s">
        <v>1000</v>
      </c>
      <c r="J555" s="18" t="s">
        <v>2205</v>
      </c>
      <c r="K555" s="18" t="s">
        <v>2305</v>
      </c>
      <c r="L555" s="18" t="s">
        <v>52</v>
      </c>
      <c r="M555" s="18" t="s">
        <v>89</v>
      </c>
      <c r="N555" s="18" t="s">
        <v>861</v>
      </c>
      <c r="O555" s="18" t="s">
        <v>126</v>
      </c>
      <c r="P555" s="18" t="s">
        <v>56</v>
      </c>
      <c r="Q555" s="18" t="s">
        <v>90</v>
      </c>
      <c r="R555" s="18" t="s">
        <v>143</v>
      </c>
      <c r="S555" s="18" t="s">
        <v>59</v>
      </c>
      <c r="T555" s="38">
        <v>2026.0</v>
      </c>
      <c r="U555" s="38">
        <v>5.0</v>
      </c>
      <c r="V555" s="38">
        <v>1.081523143E9</v>
      </c>
      <c r="W555" s="38">
        <v>1.081541213E9</v>
      </c>
      <c r="X555" s="18" t="s">
        <v>2199</v>
      </c>
      <c r="Y555" s="18" t="s">
        <v>2200</v>
      </c>
      <c r="Z555" s="38">
        <v>925911.56</v>
      </c>
      <c r="AA555" s="38">
        <v>925911.56</v>
      </c>
      <c r="AB555" s="38">
        <v>303797.5</v>
      </c>
      <c r="AC555" s="38">
        <v>3000.0</v>
      </c>
      <c r="AD555" s="38">
        <v>14519.06</v>
      </c>
      <c r="AE555" s="38">
        <v>0.0</v>
      </c>
      <c r="AF555" s="38">
        <v>0.0</v>
      </c>
      <c r="AG555" s="38">
        <v>0.0</v>
      </c>
      <c r="AH555" s="38">
        <v>0.0</v>
      </c>
      <c r="AI555" s="38">
        <v>925911.56</v>
      </c>
      <c r="AJ555" s="38">
        <v>2709314.55</v>
      </c>
      <c r="AK555" s="38">
        <v>2.0</v>
      </c>
      <c r="AL555" s="38">
        <v>376.2</v>
      </c>
      <c r="AM555" s="38">
        <v>0.0</v>
      </c>
      <c r="AN555" s="34" t="s">
        <v>62</v>
      </c>
      <c r="AO555" s="34" t="s">
        <v>62</v>
      </c>
      <c r="AP555" s="34" t="s">
        <v>62</v>
      </c>
      <c r="AQ555" s="34" t="s">
        <v>62</v>
      </c>
      <c r="AR555" s="38">
        <v>0.0</v>
      </c>
      <c r="AS555" s="38" t="s">
        <v>2306</v>
      </c>
      <c r="AT555" s="35" t="s">
        <v>2202</v>
      </c>
      <c r="AU555" s="39" t="s">
        <v>2203</v>
      </c>
      <c r="AV555" s="40">
        <v>46164.0</v>
      </c>
    </row>
    <row r="556">
      <c r="A556" s="38">
        <v>297.0</v>
      </c>
      <c r="B556" s="38">
        <v>121.0</v>
      </c>
      <c r="C556" s="38">
        <v>121.0</v>
      </c>
      <c r="D556" s="38">
        <v>9.0205954E7</v>
      </c>
      <c r="E556" s="38">
        <v>9.0205954E7</v>
      </c>
      <c r="F556" s="18" t="s">
        <v>135</v>
      </c>
      <c r="G556" s="18" t="s">
        <v>136</v>
      </c>
      <c r="H556" s="18" t="s">
        <v>2258</v>
      </c>
      <c r="I556" s="18" t="s">
        <v>869</v>
      </c>
      <c r="J556" s="18" t="s">
        <v>2205</v>
      </c>
      <c r="K556" s="18" t="s">
        <v>2259</v>
      </c>
      <c r="L556" s="18" t="s">
        <v>52</v>
      </c>
      <c r="M556" s="18" t="s">
        <v>53</v>
      </c>
      <c r="N556" s="18" t="s">
        <v>861</v>
      </c>
      <c r="O556" s="18" t="s">
        <v>126</v>
      </c>
      <c r="P556" s="18" t="s">
        <v>131</v>
      </c>
      <c r="Q556" s="18" t="s">
        <v>151</v>
      </c>
      <c r="R556" s="18" t="s">
        <v>133</v>
      </c>
      <c r="S556" s="18" t="s">
        <v>59</v>
      </c>
      <c r="T556" s="38">
        <v>2026.0</v>
      </c>
      <c r="U556" s="38">
        <v>5.0</v>
      </c>
      <c r="V556" s="38">
        <v>1.081522697E9</v>
      </c>
      <c r="W556" s="38">
        <v>1.081540767E9</v>
      </c>
      <c r="X556" s="18" t="s">
        <v>2199</v>
      </c>
      <c r="Y556" s="18" t="s">
        <v>2200</v>
      </c>
      <c r="Z556" s="38">
        <v>75941.0</v>
      </c>
      <c r="AA556" s="38">
        <v>75941.0</v>
      </c>
      <c r="AB556" s="38">
        <v>0.0</v>
      </c>
      <c r="AC556" s="38">
        <v>0.0</v>
      </c>
      <c r="AD556" s="38">
        <v>0.0</v>
      </c>
      <c r="AE556" s="38">
        <v>0.0</v>
      </c>
      <c r="AF556" s="38">
        <v>0.0</v>
      </c>
      <c r="AG556" s="38">
        <v>0.0</v>
      </c>
      <c r="AH556" s="38">
        <v>0.0</v>
      </c>
      <c r="AI556" s="38">
        <v>75941.0</v>
      </c>
      <c r="AJ556" s="38">
        <v>75941.0</v>
      </c>
      <c r="AK556" s="38">
        <v>0.0</v>
      </c>
      <c r="AL556" s="38">
        <v>250.8</v>
      </c>
      <c r="AM556" s="38">
        <v>0.0</v>
      </c>
      <c r="AN556" s="34" t="s">
        <v>62</v>
      </c>
      <c r="AO556" s="34" t="s">
        <v>62</v>
      </c>
      <c r="AP556" s="34" t="s">
        <v>62</v>
      </c>
      <c r="AQ556" s="34" t="s">
        <v>62</v>
      </c>
      <c r="AR556" s="38">
        <v>0.0</v>
      </c>
      <c r="AS556" s="38" t="s">
        <v>2260</v>
      </c>
      <c r="AT556" s="35" t="s">
        <v>2202</v>
      </c>
      <c r="AU556" s="39" t="s">
        <v>2203</v>
      </c>
      <c r="AV556" s="40">
        <v>46164.0</v>
      </c>
    </row>
    <row r="557">
      <c r="A557" s="38">
        <v>350.0</v>
      </c>
      <c r="B557" s="38">
        <v>122125.0</v>
      </c>
      <c r="C557" s="38">
        <v>122125.0</v>
      </c>
      <c r="D557" s="38">
        <v>718700.0</v>
      </c>
      <c r="E557" s="38">
        <v>718700.0</v>
      </c>
      <c r="F557" s="38">
        <v>9.00603041E8</v>
      </c>
      <c r="G557" s="18" t="s">
        <v>400</v>
      </c>
      <c r="H557" s="18" t="s">
        <v>2304</v>
      </c>
      <c r="I557" s="18" t="s">
        <v>76</v>
      </c>
      <c r="J557" s="18" t="s">
        <v>2205</v>
      </c>
      <c r="K557" s="18" t="s">
        <v>2305</v>
      </c>
      <c r="L557" s="18" t="s">
        <v>52</v>
      </c>
      <c r="M557" s="18" t="s">
        <v>89</v>
      </c>
      <c r="N557" s="18" t="s">
        <v>861</v>
      </c>
      <c r="O557" s="18" t="s">
        <v>126</v>
      </c>
      <c r="P557" s="18" t="s">
        <v>56</v>
      </c>
      <c r="Q557" s="18" t="s">
        <v>90</v>
      </c>
      <c r="R557" s="18" t="s">
        <v>143</v>
      </c>
      <c r="S557" s="18" t="s">
        <v>59</v>
      </c>
      <c r="T557" s="38">
        <v>2026.0</v>
      </c>
      <c r="U557" s="38">
        <v>5.0</v>
      </c>
      <c r="V557" s="38">
        <v>1.081523148E9</v>
      </c>
      <c r="W557" s="38">
        <v>1.081541218E9</v>
      </c>
      <c r="X557" s="18" t="s">
        <v>2199</v>
      </c>
      <c r="Y557" s="18" t="s">
        <v>2200</v>
      </c>
      <c r="Z557" s="38">
        <v>199781.93</v>
      </c>
      <c r="AA557" s="38">
        <v>199781.93</v>
      </c>
      <c r="AB557" s="38">
        <v>66533.75</v>
      </c>
      <c r="AC557" s="38">
        <v>500.0</v>
      </c>
      <c r="AD557" s="38">
        <v>180.68</v>
      </c>
      <c r="AE557" s="38">
        <v>0.0</v>
      </c>
      <c r="AF557" s="38">
        <v>0.0</v>
      </c>
      <c r="AG557" s="38">
        <v>0.0</v>
      </c>
      <c r="AH557" s="38">
        <v>0.0</v>
      </c>
      <c r="AI557" s="38">
        <v>199781.93</v>
      </c>
      <c r="AJ557" s="38">
        <v>409566.18</v>
      </c>
      <c r="AK557" s="38">
        <v>2.0</v>
      </c>
      <c r="AL557" s="38">
        <v>376.2</v>
      </c>
      <c r="AM557" s="38">
        <v>0.0</v>
      </c>
      <c r="AN557" s="34" t="s">
        <v>62</v>
      </c>
      <c r="AO557" s="34" t="s">
        <v>62</v>
      </c>
      <c r="AP557" s="34" t="s">
        <v>62</v>
      </c>
      <c r="AQ557" s="34" t="s">
        <v>62</v>
      </c>
      <c r="AR557" s="38">
        <v>0.0</v>
      </c>
      <c r="AS557" s="38" t="s">
        <v>2306</v>
      </c>
      <c r="AT557" s="35" t="s">
        <v>2202</v>
      </c>
      <c r="AU557" s="39" t="s">
        <v>2203</v>
      </c>
      <c r="AV557" s="40">
        <v>46164.0</v>
      </c>
    </row>
    <row r="558">
      <c r="A558" s="38">
        <v>147.0</v>
      </c>
      <c r="B558" s="38">
        <v>125.0</v>
      </c>
      <c r="C558" s="38">
        <v>125.0</v>
      </c>
      <c r="D558" s="38">
        <v>9.0207917E7</v>
      </c>
      <c r="E558" s="38">
        <v>9.0207917E7</v>
      </c>
      <c r="F558" s="18" t="s">
        <v>179</v>
      </c>
      <c r="G558" s="18" t="s">
        <v>180</v>
      </c>
      <c r="H558" s="18" t="s">
        <v>2320</v>
      </c>
      <c r="I558" s="18" t="s">
        <v>877</v>
      </c>
      <c r="J558" s="18" t="s">
        <v>2205</v>
      </c>
      <c r="K558" s="18" t="s">
        <v>2289</v>
      </c>
      <c r="L558" s="18" t="s">
        <v>52</v>
      </c>
      <c r="M558" s="18" t="s">
        <v>89</v>
      </c>
      <c r="N558" s="18" t="s">
        <v>861</v>
      </c>
      <c r="O558" s="18" t="s">
        <v>126</v>
      </c>
      <c r="P558" s="18" t="s">
        <v>131</v>
      </c>
      <c r="Q558" s="18" t="s">
        <v>151</v>
      </c>
      <c r="R558" s="18" t="s">
        <v>133</v>
      </c>
      <c r="S558" s="18" t="s">
        <v>59</v>
      </c>
      <c r="T558" s="38">
        <v>2026.0</v>
      </c>
      <c r="U558" s="38">
        <v>5.0</v>
      </c>
      <c r="V558" s="38">
        <v>1.081522701E9</v>
      </c>
      <c r="W558" s="38">
        <v>1.081540771E9</v>
      </c>
      <c r="X558" s="18" t="s">
        <v>2199</v>
      </c>
      <c r="Y558" s="18" t="s">
        <v>2200</v>
      </c>
      <c r="Z558" s="38">
        <v>75941.0</v>
      </c>
      <c r="AA558" s="38">
        <v>75941.0</v>
      </c>
      <c r="AB558" s="38">
        <v>0.0</v>
      </c>
      <c r="AC558" s="38">
        <v>0.0</v>
      </c>
      <c r="AD558" s="38">
        <v>0.0</v>
      </c>
      <c r="AE558" s="38">
        <v>0.0</v>
      </c>
      <c r="AF558" s="38">
        <v>0.0</v>
      </c>
      <c r="AG558" s="38">
        <v>0.0</v>
      </c>
      <c r="AH558" s="38">
        <v>0.0</v>
      </c>
      <c r="AI558" s="38">
        <v>75941.0</v>
      </c>
      <c r="AJ558" s="38">
        <v>150891.0</v>
      </c>
      <c r="AK558" s="38">
        <v>1.0</v>
      </c>
      <c r="AL558" s="38">
        <v>250.8</v>
      </c>
      <c r="AM558" s="38">
        <v>0.0</v>
      </c>
      <c r="AN558" s="34" t="s">
        <v>62</v>
      </c>
      <c r="AO558" s="34" t="s">
        <v>62</v>
      </c>
      <c r="AP558" s="34" t="s">
        <v>62</v>
      </c>
      <c r="AQ558" s="34" t="s">
        <v>62</v>
      </c>
      <c r="AR558" s="38">
        <v>0.0</v>
      </c>
      <c r="AS558" s="38" t="s">
        <v>2321</v>
      </c>
      <c r="AT558" s="35" t="s">
        <v>2202</v>
      </c>
      <c r="AU558" s="39" t="s">
        <v>2203</v>
      </c>
      <c r="AV558" s="40">
        <v>46163.0</v>
      </c>
    </row>
    <row r="559">
      <c r="A559" s="38">
        <v>134.0</v>
      </c>
      <c r="B559" s="38">
        <v>133.0</v>
      </c>
      <c r="C559" s="38">
        <v>133.0</v>
      </c>
      <c r="D559" s="38">
        <v>9.0212226E7</v>
      </c>
      <c r="E559" s="38">
        <v>9.0212226E7</v>
      </c>
      <c r="F559" s="18" t="s">
        <v>875</v>
      </c>
      <c r="G559" s="18" t="s">
        <v>1747</v>
      </c>
      <c r="H559" s="18" t="s">
        <v>2797</v>
      </c>
      <c r="I559" s="18" t="s">
        <v>880</v>
      </c>
      <c r="J559" s="18" t="s">
        <v>2205</v>
      </c>
      <c r="K559" s="18" t="s">
        <v>2611</v>
      </c>
      <c r="L559" s="18" t="s">
        <v>52</v>
      </c>
      <c r="M559" s="18" t="s">
        <v>89</v>
      </c>
      <c r="N559" s="18" t="s">
        <v>861</v>
      </c>
      <c r="O559" s="18" t="s">
        <v>126</v>
      </c>
      <c r="P559" s="18" t="s">
        <v>56</v>
      </c>
      <c r="Q559" s="18" t="s">
        <v>57</v>
      </c>
      <c r="R559" s="18" t="s">
        <v>143</v>
      </c>
      <c r="S559" s="18" t="s">
        <v>59</v>
      </c>
      <c r="T559" s="38">
        <v>2026.0</v>
      </c>
      <c r="U559" s="38">
        <v>5.0</v>
      </c>
      <c r="V559" s="38">
        <v>1.081522704E9</v>
      </c>
      <c r="W559" s="38">
        <v>1.081540774E9</v>
      </c>
      <c r="X559" s="18" t="s">
        <v>2199</v>
      </c>
      <c r="Y559" s="18" t="s">
        <v>2200</v>
      </c>
      <c r="Z559" s="38">
        <v>219431.51</v>
      </c>
      <c r="AA559" s="38">
        <v>219431.51</v>
      </c>
      <c r="AB559" s="38">
        <v>0.0</v>
      </c>
      <c r="AC559" s="38">
        <v>955.0</v>
      </c>
      <c r="AD559" s="38">
        <v>0.0</v>
      </c>
      <c r="AE559" s="38">
        <v>0.0</v>
      </c>
      <c r="AF559" s="38">
        <v>0.0</v>
      </c>
      <c r="AG559" s="38">
        <v>0.0</v>
      </c>
      <c r="AH559" s="38">
        <v>0.0</v>
      </c>
      <c r="AI559" s="38">
        <v>219431.51</v>
      </c>
      <c r="AJ559" s="38">
        <v>596893.83</v>
      </c>
      <c r="AK559" s="38">
        <v>3.0</v>
      </c>
      <c r="AL559" s="38">
        <v>250.8</v>
      </c>
      <c r="AM559" s="38">
        <v>0.0</v>
      </c>
      <c r="AN559" s="34" t="s">
        <v>62</v>
      </c>
      <c r="AO559" s="34" t="s">
        <v>62</v>
      </c>
      <c r="AP559" s="34" t="s">
        <v>62</v>
      </c>
      <c r="AQ559" s="34" t="s">
        <v>62</v>
      </c>
      <c r="AR559" s="38">
        <v>0.0</v>
      </c>
      <c r="AS559" s="38" t="s">
        <v>2293</v>
      </c>
      <c r="AT559" s="35" t="s">
        <v>2294</v>
      </c>
      <c r="AU559" s="39" t="s">
        <v>2295</v>
      </c>
      <c r="AV559" s="40">
        <v>46164.0</v>
      </c>
    </row>
    <row r="560">
      <c r="A560" s="38">
        <v>297.0</v>
      </c>
      <c r="B560" s="38">
        <v>137.0</v>
      </c>
      <c r="C560" s="38">
        <v>137.0</v>
      </c>
      <c r="D560" s="38">
        <v>9.0213694E7</v>
      </c>
      <c r="E560" s="38">
        <v>9.0213694E7</v>
      </c>
      <c r="F560" s="18" t="s">
        <v>135</v>
      </c>
      <c r="G560" s="18" t="s">
        <v>136</v>
      </c>
      <c r="H560" s="18" t="s">
        <v>2258</v>
      </c>
      <c r="I560" s="18" t="s">
        <v>882</v>
      </c>
      <c r="J560" s="18" t="s">
        <v>2205</v>
      </c>
      <c r="K560" s="18" t="s">
        <v>2259</v>
      </c>
      <c r="L560" s="18" t="s">
        <v>52</v>
      </c>
      <c r="M560" s="18" t="s">
        <v>53</v>
      </c>
      <c r="N560" s="18" t="s">
        <v>861</v>
      </c>
      <c r="O560" s="18" t="s">
        <v>126</v>
      </c>
      <c r="P560" s="18" t="s">
        <v>131</v>
      </c>
      <c r="Q560" s="18" t="s">
        <v>151</v>
      </c>
      <c r="R560" s="18" t="s">
        <v>133</v>
      </c>
      <c r="S560" s="18" t="s">
        <v>59</v>
      </c>
      <c r="T560" s="38">
        <v>2026.0</v>
      </c>
      <c r="U560" s="38">
        <v>5.0</v>
      </c>
      <c r="V560" s="38">
        <v>1.081522708E9</v>
      </c>
      <c r="W560" s="38">
        <v>1.081540778E9</v>
      </c>
      <c r="X560" s="18" t="s">
        <v>2199</v>
      </c>
      <c r="Y560" s="18" t="s">
        <v>2200</v>
      </c>
      <c r="Z560" s="38">
        <v>75941.0</v>
      </c>
      <c r="AA560" s="38">
        <v>75941.0</v>
      </c>
      <c r="AB560" s="38">
        <v>0.0</v>
      </c>
      <c r="AC560" s="38">
        <v>0.0</v>
      </c>
      <c r="AD560" s="38">
        <v>0.0</v>
      </c>
      <c r="AE560" s="38">
        <v>0.0</v>
      </c>
      <c r="AF560" s="38">
        <v>0.0</v>
      </c>
      <c r="AG560" s="38">
        <v>0.0</v>
      </c>
      <c r="AH560" s="38">
        <v>0.0</v>
      </c>
      <c r="AI560" s="38">
        <v>75941.0</v>
      </c>
      <c r="AJ560" s="38">
        <v>75941.0</v>
      </c>
      <c r="AK560" s="38">
        <v>0.0</v>
      </c>
      <c r="AL560" s="38">
        <v>250.8</v>
      </c>
      <c r="AM560" s="38">
        <v>0.0</v>
      </c>
      <c r="AN560" s="34" t="s">
        <v>62</v>
      </c>
      <c r="AO560" s="34" t="s">
        <v>62</v>
      </c>
      <c r="AP560" s="34" t="s">
        <v>62</v>
      </c>
      <c r="AQ560" s="34" t="s">
        <v>62</v>
      </c>
      <c r="AR560" s="38">
        <v>0.0</v>
      </c>
      <c r="AS560" s="38" t="s">
        <v>2260</v>
      </c>
      <c r="AT560" s="35" t="s">
        <v>2202</v>
      </c>
      <c r="AU560" s="39" t="s">
        <v>2203</v>
      </c>
      <c r="AV560" s="40">
        <v>46164.0</v>
      </c>
    </row>
    <row r="561">
      <c r="A561" s="38">
        <v>142.0</v>
      </c>
      <c r="B561" s="38">
        <v>141.0</v>
      </c>
      <c r="C561" s="38">
        <v>141.0</v>
      </c>
      <c r="D561" s="38">
        <v>9.021642E7</v>
      </c>
      <c r="E561" s="38">
        <v>9.021642E7</v>
      </c>
      <c r="F561" s="38">
        <v>8.90501434E8</v>
      </c>
      <c r="G561" s="18" t="s">
        <v>1750</v>
      </c>
      <c r="H561" s="18" t="s">
        <v>2798</v>
      </c>
      <c r="I561" s="18" t="s">
        <v>356</v>
      </c>
      <c r="J561" s="18" t="s">
        <v>2205</v>
      </c>
      <c r="K561" s="18" t="s">
        <v>2611</v>
      </c>
      <c r="L561" s="18" t="s">
        <v>52</v>
      </c>
      <c r="M561" s="18" t="s">
        <v>89</v>
      </c>
      <c r="N561" s="18" t="s">
        <v>861</v>
      </c>
      <c r="O561" s="18" t="s">
        <v>126</v>
      </c>
      <c r="P561" s="18" t="s">
        <v>56</v>
      </c>
      <c r="Q561" s="18" t="s">
        <v>57</v>
      </c>
      <c r="R561" s="18" t="s">
        <v>143</v>
      </c>
      <c r="S561" s="18" t="s">
        <v>59</v>
      </c>
      <c r="T561" s="38">
        <v>2026.0</v>
      </c>
      <c r="U561" s="38">
        <v>5.0</v>
      </c>
      <c r="V561" s="38">
        <v>1.081522712E9</v>
      </c>
      <c r="W561" s="38">
        <v>1.081540782E9</v>
      </c>
      <c r="X561" s="18" t="s">
        <v>2199</v>
      </c>
      <c r="Y561" s="18" t="s">
        <v>2200</v>
      </c>
      <c r="Z561" s="38">
        <v>166284.43</v>
      </c>
      <c r="AA561" s="38">
        <v>166284.43</v>
      </c>
      <c r="AB561" s="38">
        <v>0.0</v>
      </c>
      <c r="AC561" s="38">
        <v>675.0</v>
      </c>
      <c r="AD561" s="38">
        <v>0.0</v>
      </c>
      <c r="AE561" s="38">
        <v>0.0</v>
      </c>
      <c r="AF561" s="38">
        <v>0.0</v>
      </c>
      <c r="AG561" s="38">
        <v>0.0</v>
      </c>
      <c r="AH561" s="38">
        <v>0.0</v>
      </c>
      <c r="AI561" s="38">
        <v>166284.43</v>
      </c>
      <c r="AJ561" s="38">
        <v>491875.91</v>
      </c>
      <c r="AK561" s="38">
        <v>3.0</v>
      </c>
      <c r="AL561" s="38">
        <v>250.8</v>
      </c>
      <c r="AM561" s="38">
        <v>0.0</v>
      </c>
      <c r="AN561" s="34" t="s">
        <v>62</v>
      </c>
      <c r="AO561" s="34" t="s">
        <v>62</v>
      </c>
      <c r="AP561" s="34" t="s">
        <v>62</v>
      </c>
      <c r="AQ561" s="34" t="s">
        <v>62</v>
      </c>
      <c r="AR561" s="38">
        <v>0.0</v>
      </c>
      <c r="AS561" s="38" t="s">
        <v>2293</v>
      </c>
      <c r="AT561" s="35" t="s">
        <v>2294</v>
      </c>
      <c r="AU561" s="39" t="s">
        <v>2295</v>
      </c>
      <c r="AV561" s="40">
        <v>46164.0</v>
      </c>
    </row>
    <row r="562">
      <c r="A562" s="38">
        <v>146.0</v>
      </c>
      <c r="B562" s="38">
        <v>145.0</v>
      </c>
      <c r="C562" s="38">
        <v>145.0</v>
      </c>
      <c r="D562" s="38">
        <v>9.0217209E7</v>
      </c>
      <c r="E562" s="38">
        <v>9.0217209E7</v>
      </c>
      <c r="F562" s="38">
        <v>8.90501434E8</v>
      </c>
      <c r="G562" s="18" t="s">
        <v>1752</v>
      </c>
      <c r="H562" s="18" t="s">
        <v>2799</v>
      </c>
      <c r="I562" s="18" t="s">
        <v>1023</v>
      </c>
      <c r="J562" s="18" t="s">
        <v>2205</v>
      </c>
      <c r="K562" s="18" t="s">
        <v>2611</v>
      </c>
      <c r="L562" s="18" t="s">
        <v>52</v>
      </c>
      <c r="M562" s="18" t="s">
        <v>89</v>
      </c>
      <c r="N562" s="18" t="s">
        <v>861</v>
      </c>
      <c r="O562" s="18" t="s">
        <v>126</v>
      </c>
      <c r="P562" s="18" t="s">
        <v>56</v>
      </c>
      <c r="Q562" s="18" t="s">
        <v>57</v>
      </c>
      <c r="R562" s="18" t="s">
        <v>143</v>
      </c>
      <c r="S562" s="18" t="s">
        <v>59</v>
      </c>
      <c r="T562" s="38">
        <v>2026.0</v>
      </c>
      <c r="U562" s="38">
        <v>5.0</v>
      </c>
      <c r="V562" s="38">
        <v>1.081522715E9</v>
      </c>
      <c r="W562" s="38">
        <v>1.081540785E9</v>
      </c>
      <c r="X562" s="18" t="s">
        <v>2199</v>
      </c>
      <c r="Y562" s="18" t="s">
        <v>2200</v>
      </c>
      <c r="Z562" s="38">
        <v>166284.43</v>
      </c>
      <c r="AA562" s="38">
        <v>166284.43</v>
      </c>
      <c r="AB562" s="38">
        <v>0.0</v>
      </c>
      <c r="AC562" s="38">
        <v>675.0</v>
      </c>
      <c r="AD562" s="38">
        <v>0.0</v>
      </c>
      <c r="AE562" s="38">
        <v>0.0</v>
      </c>
      <c r="AF562" s="38">
        <v>0.0</v>
      </c>
      <c r="AG562" s="38">
        <v>0.0</v>
      </c>
      <c r="AH562" s="38">
        <v>0.0</v>
      </c>
      <c r="AI562" s="38">
        <v>166284.43</v>
      </c>
      <c r="AJ562" s="38">
        <v>491875.91</v>
      </c>
      <c r="AK562" s="38">
        <v>3.0</v>
      </c>
      <c r="AL562" s="38">
        <v>250.8</v>
      </c>
      <c r="AM562" s="38">
        <v>0.0</v>
      </c>
      <c r="AN562" s="34" t="s">
        <v>62</v>
      </c>
      <c r="AO562" s="34" t="s">
        <v>62</v>
      </c>
      <c r="AP562" s="34" t="s">
        <v>62</v>
      </c>
      <c r="AQ562" s="34" t="s">
        <v>62</v>
      </c>
      <c r="AR562" s="38">
        <v>0.0</v>
      </c>
      <c r="AS562" s="38" t="s">
        <v>2293</v>
      </c>
      <c r="AT562" s="35" t="s">
        <v>2294</v>
      </c>
      <c r="AU562" s="39" t="s">
        <v>2295</v>
      </c>
      <c r="AV562" s="40">
        <v>46164.0</v>
      </c>
    </row>
    <row r="563">
      <c r="A563" s="38">
        <v>150.0</v>
      </c>
      <c r="B563" s="38">
        <v>149.0</v>
      </c>
      <c r="C563" s="38">
        <v>149.0</v>
      </c>
      <c r="D563" s="38">
        <v>9.02175E7</v>
      </c>
      <c r="E563" s="38">
        <v>9.02175E7</v>
      </c>
      <c r="F563" s="18" t="s">
        <v>1754</v>
      </c>
      <c r="G563" s="18" t="s">
        <v>1755</v>
      </c>
      <c r="H563" s="18" t="s">
        <v>2800</v>
      </c>
      <c r="I563" s="18" t="s">
        <v>1023</v>
      </c>
      <c r="J563" s="18" t="s">
        <v>2205</v>
      </c>
      <c r="K563" s="18" t="s">
        <v>2289</v>
      </c>
      <c r="L563" s="18" t="s">
        <v>52</v>
      </c>
      <c r="M563" s="18" t="s">
        <v>89</v>
      </c>
      <c r="N563" s="18" t="s">
        <v>861</v>
      </c>
      <c r="O563" s="18" t="s">
        <v>126</v>
      </c>
      <c r="P563" s="18" t="s">
        <v>131</v>
      </c>
      <c r="Q563" s="18" t="s">
        <v>151</v>
      </c>
      <c r="R563" s="18" t="s">
        <v>133</v>
      </c>
      <c r="S563" s="18" t="s">
        <v>59</v>
      </c>
      <c r="T563" s="38">
        <v>2026.0</v>
      </c>
      <c r="U563" s="38">
        <v>5.0</v>
      </c>
      <c r="V563" s="38">
        <v>1.081522719E9</v>
      </c>
      <c r="W563" s="38">
        <v>1.081540789E9</v>
      </c>
      <c r="X563" s="18" t="s">
        <v>2199</v>
      </c>
      <c r="Y563" s="18" t="s">
        <v>2200</v>
      </c>
      <c r="Z563" s="38">
        <v>75941.0</v>
      </c>
      <c r="AA563" s="38">
        <v>75941.0</v>
      </c>
      <c r="AB563" s="38">
        <v>0.0</v>
      </c>
      <c r="AC563" s="38">
        <v>0.0</v>
      </c>
      <c r="AD563" s="38">
        <v>0.0</v>
      </c>
      <c r="AE563" s="38">
        <v>0.0</v>
      </c>
      <c r="AF563" s="38">
        <v>0.0</v>
      </c>
      <c r="AG563" s="38">
        <v>0.0</v>
      </c>
      <c r="AH563" s="38">
        <v>0.0</v>
      </c>
      <c r="AI563" s="38">
        <v>75941.0</v>
      </c>
      <c r="AJ563" s="38">
        <v>692294.97</v>
      </c>
      <c r="AK563" s="38">
        <v>9.0</v>
      </c>
      <c r="AL563" s="38">
        <v>250.8</v>
      </c>
      <c r="AM563" s="38">
        <v>0.0</v>
      </c>
      <c r="AN563" s="34" t="s">
        <v>62</v>
      </c>
      <c r="AO563" s="34" t="s">
        <v>62</v>
      </c>
      <c r="AP563" s="34" t="s">
        <v>62</v>
      </c>
      <c r="AQ563" s="34" t="s">
        <v>62</v>
      </c>
      <c r="AR563" s="38">
        <v>0.0</v>
      </c>
      <c r="AS563" s="38" t="s">
        <v>2290</v>
      </c>
      <c r="AT563" s="35" t="s">
        <v>2202</v>
      </c>
      <c r="AU563" s="39" t="s">
        <v>2203</v>
      </c>
      <c r="AV563" s="40">
        <v>46163.0</v>
      </c>
    </row>
    <row r="564">
      <c r="A564" s="38">
        <v>154.0</v>
      </c>
      <c r="B564" s="38">
        <v>153.0</v>
      </c>
      <c r="C564" s="38">
        <v>153.0</v>
      </c>
      <c r="D564" s="38">
        <v>9.0217964E7</v>
      </c>
      <c r="E564" s="38">
        <v>9.0217964E7</v>
      </c>
      <c r="F564" s="18" t="s">
        <v>1757</v>
      </c>
      <c r="G564" s="18" t="s">
        <v>1758</v>
      </c>
      <c r="H564" s="18" t="s">
        <v>2801</v>
      </c>
      <c r="I564" s="18" t="s">
        <v>863</v>
      </c>
      <c r="J564" s="18" t="s">
        <v>2205</v>
      </c>
      <c r="K564" s="18" t="s">
        <v>2205</v>
      </c>
      <c r="L564" s="18" t="s">
        <v>52</v>
      </c>
      <c r="M564" s="18" t="s">
        <v>89</v>
      </c>
      <c r="N564" s="18" t="s">
        <v>861</v>
      </c>
      <c r="O564" s="18" t="s">
        <v>126</v>
      </c>
      <c r="P564" s="18" t="s">
        <v>56</v>
      </c>
      <c r="Q564" s="18" t="s">
        <v>90</v>
      </c>
      <c r="R564" s="18" t="s">
        <v>143</v>
      </c>
      <c r="S564" s="18" t="s">
        <v>59</v>
      </c>
      <c r="T564" s="38">
        <v>2026.0</v>
      </c>
      <c r="U564" s="38">
        <v>5.0</v>
      </c>
      <c r="V564" s="38">
        <v>1.081522722E9</v>
      </c>
      <c r="W564" s="38">
        <v>1.081540792E9</v>
      </c>
      <c r="X564" s="18" t="s">
        <v>2199</v>
      </c>
      <c r="Y564" s="18" t="s">
        <v>2200</v>
      </c>
      <c r="Z564" s="38">
        <v>1045209.26</v>
      </c>
      <c r="AA564" s="38">
        <v>1045209.26</v>
      </c>
      <c r="AB564" s="38">
        <v>348403.09</v>
      </c>
      <c r="AC564" s="38">
        <v>3470.0</v>
      </c>
      <c r="AD564" s="38">
        <v>0.0</v>
      </c>
      <c r="AE564" s="38">
        <v>0.0</v>
      </c>
      <c r="AF564" s="38">
        <v>0.0</v>
      </c>
      <c r="AG564" s="38">
        <v>0.0</v>
      </c>
      <c r="AH564" s="38">
        <v>0.0</v>
      </c>
      <c r="AI564" s="38">
        <v>1045209.26</v>
      </c>
      <c r="AJ564" s="38">
        <v>1045209.26</v>
      </c>
      <c r="AK564" s="38">
        <v>0.0</v>
      </c>
      <c r="AL564" s="38">
        <v>376.2</v>
      </c>
      <c r="AM564" s="38">
        <v>0.0</v>
      </c>
      <c r="AN564" s="34" t="s">
        <v>62</v>
      </c>
      <c r="AO564" s="34" t="s">
        <v>62</v>
      </c>
      <c r="AP564" s="34" t="s">
        <v>62</v>
      </c>
      <c r="AQ564" s="34" t="s">
        <v>62</v>
      </c>
      <c r="AR564" s="38">
        <v>0.0</v>
      </c>
      <c r="AS564" s="38" t="s">
        <v>2802</v>
      </c>
      <c r="AT564" s="35" t="s">
        <v>2202</v>
      </c>
      <c r="AU564" s="39" t="s">
        <v>2254</v>
      </c>
      <c r="AV564" s="40">
        <v>46170.0</v>
      </c>
    </row>
    <row r="565">
      <c r="A565" s="38">
        <v>455370.0</v>
      </c>
      <c r="B565" s="38">
        <v>157.0</v>
      </c>
      <c r="C565" s="38">
        <v>157.0</v>
      </c>
      <c r="D565" s="38">
        <v>9.0218839E7</v>
      </c>
      <c r="E565" s="38">
        <v>9.0218839E7</v>
      </c>
      <c r="F565" s="18" t="s">
        <v>148</v>
      </c>
      <c r="G565" s="18" t="s">
        <v>149</v>
      </c>
      <c r="H565" s="18" t="s">
        <v>2296</v>
      </c>
      <c r="I565" s="18" t="s">
        <v>1210</v>
      </c>
      <c r="J565" s="18" t="s">
        <v>2205</v>
      </c>
      <c r="K565" s="18" t="s">
        <v>2611</v>
      </c>
      <c r="L565" s="18" t="s">
        <v>52</v>
      </c>
      <c r="M565" s="18" t="s">
        <v>53</v>
      </c>
      <c r="N565" s="18" t="s">
        <v>861</v>
      </c>
      <c r="O565" s="18" t="s">
        <v>126</v>
      </c>
      <c r="P565" s="18" t="s">
        <v>56</v>
      </c>
      <c r="Q565" s="18" t="s">
        <v>57</v>
      </c>
      <c r="R565" s="18" t="s">
        <v>143</v>
      </c>
      <c r="S565" s="18" t="s">
        <v>59</v>
      </c>
      <c r="T565" s="38">
        <v>2026.0</v>
      </c>
      <c r="U565" s="38">
        <v>5.0</v>
      </c>
      <c r="V565" s="38">
        <v>1.081522727E9</v>
      </c>
      <c r="W565" s="38">
        <v>1.081540797E9</v>
      </c>
      <c r="X565" s="18" t="s">
        <v>2199</v>
      </c>
      <c r="Y565" s="18" t="s">
        <v>2200</v>
      </c>
      <c r="Z565" s="38">
        <v>475676.36</v>
      </c>
      <c r="AA565" s="38">
        <v>475676.36</v>
      </c>
      <c r="AB565" s="38">
        <v>0.0</v>
      </c>
      <c r="AC565" s="38">
        <v>2305.0</v>
      </c>
      <c r="AD565" s="38">
        <v>0.0</v>
      </c>
      <c r="AE565" s="38">
        <v>0.0</v>
      </c>
      <c r="AF565" s="38">
        <v>0.0</v>
      </c>
      <c r="AG565" s="38">
        <v>0.0</v>
      </c>
      <c r="AH565" s="38">
        <v>0.0</v>
      </c>
      <c r="AI565" s="38">
        <v>475676.36</v>
      </c>
      <c r="AJ565" s="38">
        <v>1103230.23</v>
      </c>
      <c r="AK565" s="38">
        <v>3.0</v>
      </c>
      <c r="AL565" s="38">
        <v>250.8</v>
      </c>
      <c r="AM565" s="38">
        <v>0.0</v>
      </c>
      <c r="AN565" s="34" t="s">
        <v>62</v>
      </c>
      <c r="AO565" s="34" t="s">
        <v>62</v>
      </c>
      <c r="AP565" s="34" t="s">
        <v>62</v>
      </c>
      <c r="AQ565" s="34" t="s">
        <v>62</v>
      </c>
      <c r="AR565" s="38">
        <v>0.0</v>
      </c>
      <c r="AS565" s="38" t="s">
        <v>2293</v>
      </c>
      <c r="AT565" s="35" t="s">
        <v>2294</v>
      </c>
      <c r="AU565" s="39" t="s">
        <v>2295</v>
      </c>
      <c r="AV565" s="40">
        <v>46164.0</v>
      </c>
    </row>
    <row r="566">
      <c r="A566" s="38">
        <v>350.0</v>
      </c>
      <c r="B566" s="38">
        <v>15817.0</v>
      </c>
      <c r="C566" s="38">
        <v>15817.0</v>
      </c>
      <c r="D566" s="38">
        <v>7276.0</v>
      </c>
      <c r="E566" s="38">
        <v>7276.0</v>
      </c>
      <c r="F566" s="38">
        <v>9.00603041E8</v>
      </c>
      <c r="G566" s="18" t="s">
        <v>400</v>
      </c>
      <c r="H566" s="18" t="s">
        <v>2304</v>
      </c>
      <c r="I566" s="18" t="s">
        <v>865</v>
      </c>
      <c r="J566" s="18" t="s">
        <v>2205</v>
      </c>
      <c r="K566" s="18" t="s">
        <v>2305</v>
      </c>
      <c r="L566" s="18" t="s">
        <v>52</v>
      </c>
      <c r="M566" s="18" t="s">
        <v>89</v>
      </c>
      <c r="N566" s="18" t="s">
        <v>861</v>
      </c>
      <c r="O566" s="18" t="s">
        <v>126</v>
      </c>
      <c r="P566" s="18" t="s">
        <v>131</v>
      </c>
      <c r="Q566" s="18" t="s">
        <v>132</v>
      </c>
      <c r="R566" s="18" t="s">
        <v>133</v>
      </c>
      <c r="S566" s="18" t="s">
        <v>59</v>
      </c>
      <c r="T566" s="38">
        <v>2026.0</v>
      </c>
      <c r="U566" s="38">
        <v>5.0</v>
      </c>
      <c r="V566" s="38">
        <v>1.081523039E9</v>
      </c>
      <c r="W566" s="38">
        <v>1.081541109E9</v>
      </c>
      <c r="X566" s="18" t="s">
        <v>2199</v>
      </c>
      <c r="Y566" s="18" t="s">
        <v>2200</v>
      </c>
      <c r="Z566" s="38">
        <v>115371.34</v>
      </c>
      <c r="AA566" s="38">
        <v>115371.34</v>
      </c>
      <c r="AB566" s="38">
        <v>37970.5</v>
      </c>
      <c r="AC566" s="38">
        <v>0.0</v>
      </c>
      <c r="AD566" s="38">
        <v>1459.84</v>
      </c>
      <c r="AE566" s="38">
        <v>0.0</v>
      </c>
      <c r="AF566" s="38">
        <v>0.0</v>
      </c>
      <c r="AG566" s="38">
        <v>0.0</v>
      </c>
      <c r="AH566" s="38">
        <v>0.0</v>
      </c>
      <c r="AI566" s="38">
        <v>115371.34</v>
      </c>
      <c r="AJ566" s="38">
        <v>343250.14</v>
      </c>
      <c r="AK566" s="38">
        <v>3.0</v>
      </c>
      <c r="AL566" s="38">
        <v>376.2</v>
      </c>
      <c r="AM566" s="38">
        <v>0.0</v>
      </c>
      <c r="AN566" s="34" t="s">
        <v>62</v>
      </c>
      <c r="AO566" s="34" t="s">
        <v>62</v>
      </c>
      <c r="AP566" s="34" t="s">
        <v>62</v>
      </c>
      <c r="AQ566" s="34" t="s">
        <v>62</v>
      </c>
      <c r="AR566" s="38">
        <v>0.0</v>
      </c>
      <c r="AS566" s="38" t="s">
        <v>2306</v>
      </c>
      <c r="AT566" s="35" t="s">
        <v>2202</v>
      </c>
      <c r="AU566" s="39" t="s">
        <v>2203</v>
      </c>
      <c r="AV566" s="40">
        <v>46164.0</v>
      </c>
    </row>
    <row r="567">
      <c r="A567" s="38">
        <v>162.0</v>
      </c>
      <c r="B567" s="38">
        <v>161.0</v>
      </c>
      <c r="C567" s="38">
        <v>161.0</v>
      </c>
      <c r="D567" s="38">
        <v>9.0219237E7</v>
      </c>
      <c r="E567" s="38">
        <v>9.0219237E7</v>
      </c>
      <c r="F567" s="38">
        <v>8.90500084E8</v>
      </c>
      <c r="G567" s="18" t="s">
        <v>1762</v>
      </c>
      <c r="H567" s="18" t="s">
        <v>2803</v>
      </c>
      <c r="I567" s="18" t="s">
        <v>1763</v>
      </c>
      <c r="J567" s="18" t="s">
        <v>2205</v>
      </c>
      <c r="K567" s="18" t="s">
        <v>2205</v>
      </c>
      <c r="L567" s="18" t="s">
        <v>52</v>
      </c>
      <c r="M567" s="18" t="s">
        <v>89</v>
      </c>
      <c r="N567" s="18" t="s">
        <v>861</v>
      </c>
      <c r="O567" s="18" t="s">
        <v>126</v>
      </c>
      <c r="P567" s="18" t="s">
        <v>56</v>
      </c>
      <c r="Q567" s="18" t="s">
        <v>90</v>
      </c>
      <c r="R567" s="18" t="s">
        <v>143</v>
      </c>
      <c r="S567" s="18" t="s">
        <v>59</v>
      </c>
      <c r="T567" s="38">
        <v>2026.0</v>
      </c>
      <c r="U567" s="38">
        <v>5.0</v>
      </c>
      <c r="V567" s="38">
        <v>1.081522729E9</v>
      </c>
      <c r="W567" s="38">
        <v>1.081540799E9</v>
      </c>
      <c r="X567" s="18" t="s">
        <v>2199</v>
      </c>
      <c r="Y567" s="18" t="s">
        <v>2200</v>
      </c>
      <c r="Z567" s="38">
        <v>553361.52</v>
      </c>
      <c r="AA567" s="38">
        <v>553361.52</v>
      </c>
      <c r="AB567" s="38">
        <v>184453.84</v>
      </c>
      <c r="AC567" s="38">
        <v>1742.5</v>
      </c>
      <c r="AD567" s="38">
        <v>0.0</v>
      </c>
      <c r="AE567" s="38">
        <v>0.0</v>
      </c>
      <c r="AF567" s="38">
        <v>0.0</v>
      </c>
      <c r="AG567" s="38">
        <v>0.0</v>
      </c>
      <c r="AH567" s="38">
        <v>0.0</v>
      </c>
      <c r="AI567" s="38">
        <v>553361.52</v>
      </c>
      <c r="AJ567" s="38">
        <v>553361.52</v>
      </c>
      <c r="AK567" s="38">
        <v>0.0</v>
      </c>
      <c r="AL567" s="38">
        <v>376.2</v>
      </c>
      <c r="AM567" s="38">
        <v>0.0</v>
      </c>
      <c r="AN567" s="34" t="s">
        <v>62</v>
      </c>
      <c r="AO567" s="34" t="s">
        <v>62</v>
      </c>
      <c r="AP567" s="34" t="s">
        <v>62</v>
      </c>
      <c r="AQ567" s="34" t="s">
        <v>62</v>
      </c>
      <c r="AR567" s="38">
        <v>0.0</v>
      </c>
      <c r="AS567" s="38" t="s">
        <v>2804</v>
      </c>
      <c r="AT567" s="35" t="s">
        <v>2202</v>
      </c>
      <c r="AU567" s="39" t="s">
        <v>2254</v>
      </c>
      <c r="AV567" s="40">
        <v>46170.0</v>
      </c>
    </row>
    <row r="568">
      <c r="A568" s="38">
        <v>16518.0</v>
      </c>
      <c r="B568" s="38">
        <v>16517.0</v>
      </c>
      <c r="C568" s="38">
        <v>16517.0</v>
      </c>
      <c r="D568" s="38">
        <v>203574.0</v>
      </c>
      <c r="E568" s="38">
        <v>203574.0</v>
      </c>
      <c r="F568" s="38">
        <v>9.01403541E8</v>
      </c>
      <c r="G568" s="18" t="s">
        <v>1765</v>
      </c>
      <c r="H568" s="18" t="s">
        <v>2805</v>
      </c>
      <c r="I568" s="18" t="s">
        <v>443</v>
      </c>
      <c r="J568" s="18" t="s">
        <v>2205</v>
      </c>
      <c r="K568" s="18" t="s">
        <v>2205</v>
      </c>
      <c r="L568" s="18" t="s">
        <v>52</v>
      </c>
      <c r="M568" s="18" t="s">
        <v>89</v>
      </c>
      <c r="N568" s="18" t="s">
        <v>861</v>
      </c>
      <c r="O568" s="18" t="s">
        <v>126</v>
      </c>
      <c r="P568" s="18" t="s">
        <v>131</v>
      </c>
      <c r="Q568" s="18" t="s">
        <v>132</v>
      </c>
      <c r="R568" s="18" t="s">
        <v>133</v>
      </c>
      <c r="S568" s="18" t="s">
        <v>59</v>
      </c>
      <c r="T568" s="38">
        <v>2026.0</v>
      </c>
      <c r="U568" s="38">
        <v>5.0</v>
      </c>
      <c r="V568" s="38">
        <v>1.081523043E9</v>
      </c>
      <c r="W568" s="38">
        <v>1.081541113E9</v>
      </c>
      <c r="X568" s="18" t="s">
        <v>2199</v>
      </c>
      <c r="Y568" s="18" t="s">
        <v>2200</v>
      </c>
      <c r="Z568" s="38">
        <v>177828.55</v>
      </c>
      <c r="AA568" s="38">
        <v>177828.55</v>
      </c>
      <c r="AB568" s="38">
        <v>37970.5</v>
      </c>
      <c r="AC568" s="38">
        <v>0.0</v>
      </c>
      <c r="AD568" s="38">
        <v>63917.05</v>
      </c>
      <c r="AE568" s="38">
        <v>0.0</v>
      </c>
      <c r="AF568" s="38">
        <v>0.0</v>
      </c>
      <c r="AG568" s="38">
        <v>0.0</v>
      </c>
      <c r="AH568" s="38">
        <v>0.0</v>
      </c>
      <c r="AI568" s="38">
        <v>177828.55</v>
      </c>
      <c r="AJ568" s="38">
        <v>4194224.92</v>
      </c>
      <c r="AK568" s="38">
        <v>36.0</v>
      </c>
      <c r="AL568" s="38">
        <v>376.2</v>
      </c>
      <c r="AM568" s="38">
        <v>0.0</v>
      </c>
      <c r="AN568" s="34" t="s">
        <v>62</v>
      </c>
      <c r="AO568" s="34" t="s">
        <v>62</v>
      </c>
      <c r="AP568" s="34" t="s">
        <v>62</v>
      </c>
      <c r="AQ568" s="34" t="s">
        <v>62</v>
      </c>
      <c r="AR568" s="38">
        <v>0.0</v>
      </c>
      <c r="AS568" s="38" t="s">
        <v>2806</v>
      </c>
      <c r="AT568" s="35" t="s">
        <v>2202</v>
      </c>
      <c r="AU568" s="39" t="s">
        <v>2254</v>
      </c>
      <c r="AV568" s="40">
        <v>46170.0</v>
      </c>
    </row>
    <row r="569">
      <c r="A569" s="38">
        <v>455370.0</v>
      </c>
      <c r="B569" s="38">
        <v>169.0</v>
      </c>
      <c r="C569" s="38">
        <v>169.0</v>
      </c>
      <c r="D569" s="38">
        <v>9.0221835E7</v>
      </c>
      <c r="E569" s="38">
        <v>9.0221835E7</v>
      </c>
      <c r="F569" s="18" t="s">
        <v>148</v>
      </c>
      <c r="G569" s="18" t="s">
        <v>149</v>
      </c>
      <c r="H569" s="18" t="s">
        <v>2296</v>
      </c>
      <c r="I569" s="18" t="s">
        <v>910</v>
      </c>
      <c r="J569" s="18" t="s">
        <v>2205</v>
      </c>
      <c r="K569" s="18" t="s">
        <v>2611</v>
      </c>
      <c r="L569" s="18" t="s">
        <v>52</v>
      </c>
      <c r="M569" s="18" t="s">
        <v>53</v>
      </c>
      <c r="N569" s="18" t="s">
        <v>861</v>
      </c>
      <c r="O569" s="18" t="s">
        <v>126</v>
      </c>
      <c r="P569" s="18" t="s">
        <v>56</v>
      </c>
      <c r="Q569" s="18" t="s">
        <v>57</v>
      </c>
      <c r="R569" s="18" t="s">
        <v>143</v>
      </c>
      <c r="S569" s="18" t="s">
        <v>59</v>
      </c>
      <c r="T569" s="38">
        <v>2026.0</v>
      </c>
      <c r="U569" s="38">
        <v>5.0</v>
      </c>
      <c r="V569" s="38">
        <v>1.081522733E9</v>
      </c>
      <c r="W569" s="38">
        <v>1.081540803E9</v>
      </c>
      <c r="X569" s="18" t="s">
        <v>2199</v>
      </c>
      <c r="Y569" s="18" t="s">
        <v>2200</v>
      </c>
      <c r="Z569" s="38">
        <v>752420.79</v>
      </c>
      <c r="AA569" s="38">
        <v>752420.79</v>
      </c>
      <c r="AB569" s="38">
        <v>0.0</v>
      </c>
      <c r="AC569" s="38">
        <v>3763.0</v>
      </c>
      <c r="AD569" s="38">
        <v>0.0</v>
      </c>
      <c r="AE569" s="38">
        <v>0.0</v>
      </c>
      <c r="AF569" s="38">
        <v>0.0</v>
      </c>
      <c r="AG569" s="38">
        <v>0.0</v>
      </c>
      <c r="AH569" s="38">
        <v>0.0</v>
      </c>
      <c r="AI569" s="38">
        <v>752420.79</v>
      </c>
      <c r="AJ569" s="38">
        <v>1650073.53</v>
      </c>
      <c r="AK569" s="38">
        <v>3.0</v>
      </c>
      <c r="AL569" s="38">
        <v>250.8</v>
      </c>
      <c r="AM569" s="38">
        <v>0.0</v>
      </c>
      <c r="AN569" s="34" t="s">
        <v>62</v>
      </c>
      <c r="AO569" s="34" t="s">
        <v>62</v>
      </c>
      <c r="AP569" s="34" t="s">
        <v>62</v>
      </c>
      <c r="AQ569" s="34" t="s">
        <v>62</v>
      </c>
      <c r="AR569" s="38">
        <v>0.0</v>
      </c>
      <c r="AS569" s="38" t="s">
        <v>2293</v>
      </c>
      <c r="AT569" s="35" t="s">
        <v>2294</v>
      </c>
      <c r="AU569" s="39" t="s">
        <v>2295</v>
      </c>
      <c r="AV569" s="40">
        <v>46164.0</v>
      </c>
    </row>
    <row r="570">
      <c r="A570" s="38">
        <v>174.0</v>
      </c>
      <c r="B570" s="38">
        <v>173.0</v>
      </c>
      <c r="C570" s="38">
        <v>173.0</v>
      </c>
      <c r="D570" s="38">
        <v>9.022184E7</v>
      </c>
      <c r="E570" s="38">
        <v>9.022184E7</v>
      </c>
      <c r="F570" s="18" t="s">
        <v>1768</v>
      </c>
      <c r="G570" s="18" t="s">
        <v>1769</v>
      </c>
      <c r="H570" s="18" t="s">
        <v>2807</v>
      </c>
      <c r="I570" s="18" t="s">
        <v>1219</v>
      </c>
      <c r="J570" s="18" t="s">
        <v>2205</v>
      </c>
      <c r="K570" s="18" t="s">
        <v>2398</v>
      </c>
      <c r="L570" s="18" t="s">
        <v>52</v>
      </c>
      <c r="M570" s="18" t="s">
        <v>89</v>
      </c>
      <c r="N570" s="18" t="s">
        <v>861</v>
      </c>
      <c r="O570" s="18" t="s">
        <v>126</v>
      </c>
      <c r="P570" s="18" t="s">
        <v>56</v>
      </c>
      <c r="Q570" s="18" t="s">
        <v>57</v>
      </c>
      <c r="R570" s="18" t="s">
        <v>143</v>
      </c>
      <c r="S570" s="18" t="s">
        <v>59</v>
      </c>
      <c r="T570" s="38">
        <v>2026.0</v>
      </c>
      <c r="U570" s="38">
        <v>5.0</v>
      </c>
      <c r="V570" s="38">
        <v>1.081522737E9</v>
      </c>
      <c r="W570" s="38">
        <v>1.081540807E9</v>
      </c>
      <c r="X570" s="18" t="s">
        <v>2199</v>
      </c>
      <c r="Y570" s="18" t="s">
        <v>2200</v>
      </c>
      <c r="Z570" s="38">
        <v>701076.93</v>
      </c>
      <c r="AA570" s="38">
        <v>701076.93</v>
      </c>
      <c r="AB570" s="38">
        <v>0.0</v>
      </c>
      <c r="AC570" s="38">
        <v>3492.5</v>
      </c>
      <c r="AD570" s="38">
        <v>0.0</v>
      </c>
      <c r="AE570" s="38">
        <v>0.0</v>
      </c>
      <c r="AF570" s="38">
        <v>0.0</v>
      </c>
      <c r="AG570" s="38">
        <v>0.0</v>
      </c>
      <c r="AH570" s="38">
        <v>0.0</v>
      </c>
      <c r="AI570" s="38">
        <v>701076.93</v>
      </c>
      <c r="AJ570" s="38">
        <v>701076.93</v>
      </c>
      <c r="AK570" s="38">
        <v>0.0</v>
      </c>
      <c r="AL570" s="38">
        <v>250.8</v>
      </c>
      <c r="AM570" s="38">
        <v>0.0</v>
      </c>
      <c r="AN570" s="34" t="s">
        <v>62</v>
      </c>
      <c r="AO570" s="34" t="s">
        <v>62</v>
      </c>
      <c r="AP570" s="34" t="s">
        <v>62</v>
      </c>
      <c r="AQ570" s="34" t="s">
        <v>62</v>
      </c>
      <c r="AR570" s="38">
        <v>0.0</v>
      </c>
      <c r="AS570" s="38" t="s">
        <v>2399</v>
      </c>
      <c r="AT570" s="35" t="s">
        <v>2202</v>
      </c>
      <c r="AU570" s="39" t="s">
        <v>2203</v>
      </c>
      <c r="AV570" s="40">
        <v>46163.0</v>
      </c>
    </row>
    <row r="571">
      <c r="A571" s="38">
        <v>455370.0</v>
      </c>
      <c r="B571" s="38">
        <v>177.0</v>
      </c>
      <c r="C571" s="38">
        <v>177.0</v>
      </c>
      <c r="D571" s="38">
        <v>9.0223458E7</v>
      </c>
      <c r="E571" s="38">
        <v>9.0223458E7</v>
      </c>
      <c r="F571" s="18" t="s">
        <v>148</v>
      </c>
      <c r="G571" s="18" t="s">
        <v>149</v>
      </c>
      <c r="H571" s="18" t="s">
        <v>2296</v>
      </c>
      <c r="I571" s="18" t="s">
        <v>1221</v>
      </c>
      <c r="J571" s="18" t="s">
        <v>2205</v>
      </c>
      <c r="K571" s="18" t="s">
        <v>2611</v>
      </c>
      <c r="L571" s="18" t="s">
        <v>52</v>
      </c>
      <c r="M571" s="18" t="s">
        <v>53</v>
      </c>
      <c r="N571" s="18" t="s">
        <v>861</v>
      </c>
      <c r="O571" s="18" t="s">
        <v>126</v>
      </c>
      <c r="P571" s="18" t="s">
        <v>56</v>
      </c>
      <c r="Q571" s="18" t="s">
        <v>57</v>
      </c>
      <c r="R571" s="18" t="s">
        <v>143</v>
      </c>
      <c r="S571" s="18" t="s">
        <v>59</v>
      </c>
      <c r="T571" s="38">
        <v>2026.0</v>
      </c>
      <c r="U571" s="38">
        <v>5.0</v>
      </c>
      <c r="V571" s="38">
        <v>1.08152274E9</v>
      </c>
      <c r="W571" s="38">
        <v>1.08154081E9</v>
      </c>
      <c r="X571" s="18" t="s">
        <v>2199</v>
      </c>
      <c r="Y571" s="18" t="s">
        <v>2200</v>
      </c>
      <c r="Z571" s="38">
        <v>525596.65</v>
      </c>
      <c r="AA571" s="38">
        <v>525596.65</v>
      </c>
      <c r="AB571" s="38">
        <v>0.0</v>
      </c>
      <c r="AC571" s="38">
        <v>2568.0</v>
      </c>
      <c r="AD571" s="38">
        <v>0.0</v>
      </c>
      <c r="AE571" s="38">
        <v>0.0</v>
      </c>
      <c r="AF571" s="38">
        <v>0.0</v>
      </c>
      <c r="AG571" s="38">
        <v>0.0</v>
      </c>
      <c r="AH571" s="38">
        <v>0.0</v>
      </c>
      <c r="AI571" s="38">
        <v>525596.65</v>
      </c>
      <c r="AJ571" s="38">
        <v>1201872.06</v>
      </c>
      <c r="AK571" s="38">
        <v>3.0</v>
      </c>
      <c r="AL571" s="38">
        <v>250.8</v>
      </c>
      <c r="AM571" s="38">
        <v>0.0</v>
      </c>
      <c r="AN571" s="34" t="s">
        <v>62</v>
      </c>
      <c r="AO571" s="34" t="s">
        <v>62</v>
      </c>
      <c r="AP571" s="34" t="s">
        <v>62</v>
      </c>
      <c r="AQ571" s="34" t="s">
        <v>62</v>
      </c>
      <c r="AR571" s="38">
        <v>0.0</v>
      </c>
      <c r="AS571" s="38" t="s">
        <v>2293</v>
      </c>
      <c r="AT571" s="35" t="s">
        <v>2294</v>
      </c>
      <c r="AU571" s="39" t="s">
        <v>2295</v>
      </c>
      <c r="AV571" s="40">
        <v>46164.0</v>
      </c>
    </row>
    <row r="572">
      <c r="A572" s="38">
        <v>455370.0</v>
      </c>
      <c r="B572" s="38">
        <v>185.0</v>
      </c>
      <c r="C572" s="38">
        <v>185.0</v>
      </c>
      <c r="D572" s="38">
        <v>9.0226156E7</v>
      </c>
      <c r="E572" s="38">
        <v>9.0226156E7</v>
      </c>
      <c r="F572" s="18" t="s">
        <v>148</v>
      </c>
      <c r="G572" s="18" t="s">
        <v>149</v>
      </c>
      <c r="H572" s="18" t="s">
        <v>2296</v>
      </c>
      <c r="I572" s="18" t="s">
        <v>910</v>
      </c>
      <c r="J572" s="18" t="s">
        <v>2205</v>
      </c>
      <c r="K572" s="18" t="s">
        <v>2611</v>
      </c>
      <c r="L572" s="18" t="s">
        <v>52</v>
      </c>
      <c r="M572" s="18" t="s">
        <v>53</v>
      </c>
      <c r="N572" s="18" t="s">
        <v>861</v>
      </c>
      <c r="O572" s="18" t="s">
        <v>126</v>
      </c>
      <c r="P572" s="18" t="s">
        <v>56</v>
      </c>
      <c r="Q572" s="18" t="s">
        <v>57</v>
      </c>
      <c r="R572" s="18" t="s">
        <v>143</v>
      </c>
      <c r="S572" s="18" t="s">
        <v>59</v>
      </c>
      <c r="T572" s="38">
        <v>2026.0</v>
      </c>
      <c r="U572" s="38">
        <v>5.0</v>
      </c>
      <c r="V572" s="38">
        <v>1.081522744E9</v>
      </c>
      <c r="W572" s="38">
        <v>1.081540814E9</v>
      </c>
      <c r="X572" s="18" t="s">
        <v>2199</v>
      </c>
      <c r="Y572" s="18" t="s">
        <v>2200</v>
      </c>
      <c r="Z572" s="38">
        <v>328193.21</v>
      </c>
      <c r="AA572" s="38">
        <v>328193.21</v>
      </c>
      <c r="AB572" s="38">
        <v>0.0</v>
      </c>
      <c r="AC572" s="38">
        <v>1528.0</v>
      </c>
      <c r="AD572" s="38">
        <v>0.0</v>
      </c>
      <c r="AE572" s="38">
        <v>0.0</v>
      </c>
      <c r="AF572" s="38">
        <v>0.0</v>
      </c>
      <c r="AG572" s="38">
        <v>0.0</v>
      </c>
      <c r="AH572" s="38">
        <v>0.0</v>
      </c>
      <c r="AI572" s="38">
        <v>328193.21</v>
      </c>
      <c r="AJ572" s="38">
        <v>811805.5</v>
      </c>
      <c r="AK572" s="38">
        <v>3.0</v>
      </c>
      <c r="AL572" s="38">
        <v>250.8</v>
      </c>
      <c r="AM572" s="38">
        <v>0.0</v>
      </c>
      <c r="AN572" s="34" t="s">
        <v>62</v>
      </c>
      <c r="AO572" s="34" t="s">
        <v>62</v>
      </c>
      <c r="AP572" s="34" t="s">
        <v>62</v>
      </c>
      <c r="AQ572" s="34" t="s">
        <v>62</v>
      </c>
      <c r="AR572" s="38">
        <v>0.0</v>
      </c>
      <c r="AS572" s="38" t="s">
        <v>2293</v>
      </c>
      <c r="AT572" s="35" t="s">
        <v>2294</v>
      </c>
      <c r="AU572" s="39" t="s">
        <v>2295</v>
      </c>
      <c r="AV572" s="40">
        <v>46164.0</v>
      </c>
    </row>
    <row r="573">
      <c r="A573" s="38">
        <v>190.0</v>
      </c>
      <c r="B573" s="38">
        <v>189.0</v>
      </c>
      <c r="C573" s="38">
        <v>189.0</v>
      </c>
      <c r="D573" s="38">
        <v>9.0229168E7</v>
      </c>
      <c r="E573" s="38">
        <v>9.0229168E7</v>
      </c>
      <c r="F573" s="18" t="s">
        <v>1773</v>
      </c>
      <c r="G573" s="18" t="s">
        <v>1774</v>
      </c>
      <c r="H573" s="18" t="s">
        <v>2808</v>
      </c>
      <c r="I573" s="18" t="s">
        <v>1225</v>
      </c>
      <c r="J573" s="18" t="s">
        <v>2205</v>
      </c>
      <c r="K573" s="18" t="s">
        <v>2205</v>
      </c>
      <c r="L573" s="18" t="s">
        <v>52</v>
      </c>
      <c r="M573" s="18" t="s">
        <v>89</v>
      </c>
      <c r="N573" s="18" t="s">
        <v>861</v>
      </c>
      <c r="O573" s="18" t="s">
        <v>126</v>
      </c>
      <c r="P573" s="18" t="s">
        <v>56</v>
      </c>
      <c r="Q573" s="18" t="s">
        <v>90</v>
      </c>
      <c r="R573" s="18" t="s">
        <v>143</v>
      </c>
      <c r="S573" s="18" t="s">
        <v>59</v>
      </c>
      <c r="T573" s="38">
        <v>2026.0</v>
      </c>
      <c r="U573" s="38">
        <v>5.0</v>
      </c>
      <c r="V573" s="38">
        <v>1.081522748E9</v>
      </c>
      <c r="W573" s="38">
        <v>1.081540818E9</v>
      </c>
      <c r="X573" s="18" t="s">
        <v>2199</v>
      </c>
      <c r="Y573" s="18" t="s">
        <v>2200</v>
      </c>
      <c r="Z573" s="38">
        <v>1200379.78</v>
      </c>
      <c r="AA573" s="38">
        <v>1200379.78</v>
      </c>
      <c r="AB573" s="38">
        <v>400126.6</v>
      </c>
      <c r="AC573" s="38">
        <v>4015.0</v>
      </c>
      <c r="AD573" s="38">
        <v>0.01</v>
      </c>
      <c r="AE573" s="38">
        <v>0.0</v>
      </c>
      <c r="AF573" s="38">
        <v>0.0</v>
      </c>
      <c r="AG573" s="38">
        <v>0.0</v>
      </c>
      <c r="AH573" s="38">
        <v>0.0</v>
      </c>
      <c r="AI573" s="38">
        <v>1200379.78</v>
      </c>
      <c r="AJ573" s="38">
        <v>2379676.47</v>
      </c>
      <c r="AK573" s="38">
        <v>1.0</v>
      </c>
      <c r="AL573" s="38">
        <v>376.2</v>
      </c>
      <c r="AM573" s="38">
        <v>0.0</v>
      </c>
      <c r="AN573" s="34" t="s">
        <v>62</v>
      </c>
      <c r="AO573" s="34" t="s">
        <v>62</v>
      </c>
      <c r="AP573" s="34" t="s">
        <v>62</v>
      </c>
      <c r="AQ573" s="34" t="s">
        <v>62</v>
      </c>
      <c r="AR573" s="38">
        <v>0.0</v>
      </c>
      <c r="AS573" s="38" t="s">
        <v>2809</v>
      </c>
      <c r="AT573" s="35" t="s">
        <v>2202</v>
      </c>
      <c r="AU573" s="39" t="s">
        <v>2254</v>
      </c>
      <c r="AV573" s="40">
        <v>46170.0</v>
      </c>
    </row>
    <row r="574">
      <c r="A574" s="38">
        <v>21318.0</v>
      </c>
      <c r="B574" s="38">
        <v>21317.0</v>
      </c>
      <c r="C574" s="38">
        <v>21317.0</v>
      </c>
      <c r="D574" s="38">
        <v>288029.0</v>
      </c>
      <c r="E574" s="38">
        <v>288029.0</v>
      </c>
      <c r="F574" s="38">
        <v>1.3812346E7</v>
      </c>
      <c r="G574" s="18" t="s">
        <v>1776</v>
      </c>
      <c r="H574" s="18" t="s">
        <v>2810</v>
      </c>
      <c r="I574" s="18" t="s">
        <v>1777</v>
      </c>
      <c r="J574" s="18" t="s">
        <v>2205</v>
      </c>
      <c r="K574" s="18" t="s">
        <v>2205</v>
      </c>
      <c r="L574" s="18" t="s">
        <v>52</v>
      </c>
      <c r="M574" s="18" t="s">
        <v>89</v>
      </c>
      <c r="N574" s="18" t="s">
        <v>861</v>
      </c>
      <c r="O574" s="18" t="s">
        <v>126</v>
      </c>
      <c r="P574" s="18" t="s">
        <v>131</v>
      </c>
      <c r="Q574" s="18" t="s">
        <v>538</v>
      </c>
      <c r="R574" s="18" t="s">
        <v>133</v>
      </c>
      <c r="S574" s="18" t="s">
        <v>59</v>
      </c>
      <c r="T574" s="38">
        <v>2026.0</v>
      </c>
      <c r="U574" s="38">
        <v>5.0</v>
      </c>
      <c r="V574" s="38">
        <v>1.081523051E9</v>
      </c>
      <c r="W574" s="38">
        <v>1.081541121E9</v>
      </c>
      <c r="X574" s="18" t="s">
        <v>2199</v>
      </c>
      <c r="Y574" s="18" t="s">
        <v>2200</v>
      </c>
      <c r="Z574" s="38">
        <v>95028.0</v>
      </c>
      <c r="AA574" s="38">
        <v>95028.0</v>
      </c>
      <c r="AB574" s="38">
        <v>31676.0</v>
      </c>
      <c r="AC574" s="38">
        <v>0.0</v>
      </c>
      <c r="AD574" s="38">
        <v>0.0</v>
      </c>
      <c r="AE574" s="38">
        <v>0.0</v>
      </c>
      <c r="AF574" s="38">
        <v>0.0</v>
      </c>
      <c r="AG574" s="38">
        <v>0.0</v>
      </c>
      <c r="AH574" s="38">
        <v>0.0</v>
      </c>
      <c r="AI574" s="38">
        <v>0.0</v>
      </c>
      <c r="AJ574" s="38">
        <v>0.0</v>
      </c>
      <c r="AK574" s="38">
        <v>0.0</v>
      </c>
      <c r="AL574" s="38">
        <v>376.2</v>
      </c>
      <c r="AM574" s="38">
        <v>0.0</v>
      </c>
      <c r="AN574" s="34" t="s">
        <v>62</v>
      </c>
      <c r="AO574" s="34" t="s">
        <v>62</v>
      </c>
      <c r="AP574" s="38">
        <v>95028.0</v>
      </c>
      <c r="AQ574" s="34" t="s">
        <v>62</v>
      </c>
      <c r="AR574" s="38">
        <v>498290.37</v>
      </c>
      <c r="AS574" s="38" t="s">
        <v>2811</v>
      </c>
      <c r="AT574" s="35" t="s">
        <v>2202</v>
      </c>
      <c r="AU574" s="39" t="s">
        <v>2254</v>
      </c>
      <c r="AV574" s="40">
        <v>46170.0</v>
      </c>
    </row>
    <row r="575">
      <c r="A575" s="38">
        <v>218.0</v>
      </c>
      <c r="B575" s="38">
        <v>217.0</v>
      </c>
      <c r="C575" s="38">
        <v>217.0</v>
      </c>
      <c r="D575" s="38">
        <v>9.0231146E7</v>
      </c>
      <c r="E575" s="38">
        <v>9.0231146E7</v>
      </c>
      <c r="F575" s="18" t="s">
        <v>1779</v>
      </c>
      <c r="G575" s="18" t="s">
        <v>1780</v>
      </c>
      <c r="H575" s="18" t="s">
        <v>2812</v>
      </c>
      <c r="I575" s="18" t="s">
        <v>1231</v>
      </c>
      <c r="J575" s="18" t="s">
        <v>2205</v>
      </c>
      <c r="K575" s="18" t="s">
        <v>2205</v>
      </c>
      <c r="L575" s="18" t="s">
        <v>52</v>
      </c>
      <c r="M575" s="18" t="s">
        <v>89</v>
      </c>
      <c r="N575" s="18" t="s">
        <v>861</v>
      </c>
      <c r="O575" s="18" t="s">
        <v>126</v>
      </c>
      <c r="P575" s="18" t="s">
        <v>56</v>
      </c>
      <c r="Q575" s="18" t="s">
        <v>57</v>
      </c>
      <c r="R575" s="18" t="s">
        <v>143</v>
      </c>
      <c r="S575" s="18" t="s">
        <v>59</v>
      </c>
      <c r="T575" s="38">
        <v>2026.0</v>
      </c>
      <c r="U575" s="38">
        <v>5.0</v>
      </c>
      <c r="V575" s="38">
        <v>1.081522752E9</v>
      </c>
      <c r="W575" s="38">
        <v>1.081540822E9</v>
      </c>
      <c r="X575" s="18" t="s">
        <v>2199</v>
      </c>
      <c r="Y575" s="18" t="s">
        <v>2200</v>
      </c>
      <c r="Z575" s="38">
        <v>1172852.16</v>
      </c>
      <c r="AA575" s="38">
        <v>1172852.16</v>
      </c>
      <c r="AB575" s="38">
        <v>0.0</v>
      </c>
      <c r="AC575" s="38">
        <v>5978.0</v>
      </c>
      <c r="AD575" s="38">
        <v>0.0</v>
      </c>
      <c r="AE575" s="38">
        <v>0.0</v>
      </c>
      <c r="AF575" s="38">
        <v>0.0</v>
      </c>
      <c r="AG575" s="38">
        <v>0.0</v>
      </c>
      <c r="AH575" s="38">
        <v>0.0</v>
      </c>
      <c r="AI575" s="38">
        <v>1172852.09</v>
      </c>
      <c r="AJ575" s="38">
        <v>1172852.09</v>
      </c>
      <c r="AK575" s="38">
        <v>0.0</v>
      </c>
      <c r="AL575" s="38">
        <v>250.8</v>
      </c>
      <c r="AM575" s="38">
        <v>0.0</v>
      </c>
      <c r="AN575" s="34" t="s">
        <v>62</v>
      </c>
      <c r="AO575" s="34" t="s">
        <v>62</v>
      </c>
      <c r="AP575" s="38">
        <v>0.07</v>
      </c>
      <c r="AQ575" s="34" t="s">
        <v>62</v>
      </c>
      <c r="AR575" s="38">
        <v>0.0</v>
      </c>
      <c r="AS575" s="38" t="s">
        <v>2813</v>
      </c>
      <c r="AT575" s="35" t="s">
        <v>2202</v>
      </c>
      <c r="AU575" s="39" t="s">
        <v>2254</v>
      </c>
      <c r="AV575" s="40">
        <v>46170.0</v>
      </c>
    </row>
    <row r="576">
      <c r="A576" s="38">
        <v>222.0</v>
      </c>
      <c r="B576" s="38">
        <v>221.0</v>
      </c>
      <c r="C576" s="38">
        <v>221.0</v>
      </c>
      <c r="D576" s="38">
        <v>9.0232169E7</v>
      </c>
      <c r="E576" s="38">
        <v>9.0232169E7</v>
      </c>
      <c r="F576" s="38">
        <v>9.0232169E7</v>
      </c>
      <c r="G576" s="18" t="s">
        <v>1782</v>
      </c>
      <c r="H576" s="18" t="s">
        <v>2814</v>
      </c>
      <c r="I576" s="18" t="s">
        <v>1235</v>
      </c>
      <c r="J576" s="18" t="s">
        <v>2205</v>
      </c>
      <c r="K576" s="18" t="s">
        <v>2205</v>
      </c>
      <c r="L576" s="18" t="s">
        <v>52</v>
      </c>
      <c r="M576" s="18" t="s">
        <v>89</v>
      </c>
      <c r="N576" s="18" t="s">
        <v>861</v>
      </c>
      <c r="O576" s="18" t="s">
        <v>126</v>
      </c>
      <c r="P576" s="18" t="s">
        <v>56</v>
      </c>
      <c r="Q576" s="18" t="s">
        <v>90</v>
      </c>
      <c r="R576" s="18" t="s">
        <v>143</v>
      </c>
      <c r="S576" s="18" t="s">
        <v>59</v>
      </c>
      <c r="T576" s="38">
        <v>2026.0</v>
      </c>
      <c r="U576" s="38">
        <v>5.0</v>
      </c>
      <c r="V576" s="38">
        <v>1.081522756E9</v>
      </c>
      <c r="W576" s="38">
        <v>1.081540826E9</v>
      </c>
      <c r="X576" s="18" t="s">
        <v>2199</v>
      </c>
      <c r="Y576" s="18" t="s">
        <v>2200</v>
      </c>
      <c r="Z576" s="38">
        <v>724903.21</v>
      </c>
      <c r="AA576" s="38">
        <v>724903.21</v>
      </c>
      <c r="AB576" s="38">
        <v>241634.41</v>
      </c>
      <c r="AC576" s="38">
        <v>2345.0</v>
      </c>
      <c r="AD576" s="38">
        <v>0.0</v>
      </c>
      <c r="AE576" s="38">
        <v>0.0</v>
      </c>
      <c r="AF576" s="38">
        <v>0.0</v>
      </c>
      <c r="AG576" s="38">
        <v>0.0</v>
      </c>
      <c r="AH576" s="38">
        <v>0.0</v>
      </c>
      <c r="AI576" s="38">
        <v>724903.21</v>
      </c>
      <c r="AJ576" s="38">
        <v>724903.21</v>
      </c>
      <c r="AK576" s="38">
        <v>0.0</v>
      </c>
      <c r="AL576" s="38">
        <v>376.2</v>
      </c>
      <c r="AM576" s="38">
        <v>0.0</v>
      </c>
      <c r="AN576" s="34" t="s">
        <v>62</v>
      </c>
      <c r="AO576" s="34" t="s">
        <v>62</v>
      </c>
      <c r="AP576" s="34" t="s">
        <v>62</v>
      </c>
      <c r="AQ576" s="34" t="s">
        <v>62</v>
      </c>
      <c r="AR576" s="38">
        <v>0.0</v>
      </c>
      <c r="AS576" s="38" t="s">
        <v>2815</v>
      </c>
      <c r="AT576" s="35" t="s">
        <v>2202</v>
      </c>
      <c r="AU576" s="39" t="s">
        <v>2254</v>
      </c>
      <c r="AV576" s="40">
        <v>46170.0</v>
      </c>
    </row>
    <row r="577">
      <c r="A577" s="38">
        <v>226.0</v>
      </c>
      <c r="B577" s="38">
        <v>225.0</v>
      </c>
      <c r="C577" s="38">
        <v>225.0</v>
      </c>
      <c r="D577" s="38">
        <v>9.0233511E7</v>
      </c>
      <c r="E577" s="38">
        <v>9.0233511E7</v>
      </c>
      <c r="F577" s="18" t="s">
        <v>1784</v>
      </c>
      <c r="G577" s="18" t="s">
        <v>1785</v>
      </c>
      <c r="H577" s="18" t="s">
        <v>2816</v>
      </c>
      <c r="I577" s="18" t="s">
        <v>926</v>
      </c>
      <c r="J577" s="18" t="s">
        <v>2205</v>
      </c>
      <c r="K577" s="18" t="s">
        <v>2681</v>
      </c>
      <c r="L577" s="18" t="s">
        <v>52</v>
      </c>
      <c r="M577" s="18" t="s">
        <v>89</v>
      </c>
      <c r="N577" s="18" t="s">
        <v>861</v>
      </c>
      <c r="O577" s="18" t="s">
        <v>126</v>
      </c>
      <c r="P577" s="18" t="s">
        <v>56</v>
      </c>
      <c r="Q577" s="18" t="s">
        <v>57</v>
      </c>
      <c r="R577" s="18" t="s">
        <v>143</v>
      </c>
      <c r="S577" s="18" t="s">
        <v>59</v>
      </c>
      <c r="T577" s="38">
        <v>2026.0</v>
      </c>
      <c r="U577" s="38">
        <v>5.0</v>
      </c>
      <c r="V577" s="38">
        <v>1.08152276E9</v>
      </c>
      <c r="W577" s="38">
        <v>1.08154083E9</v>
      </c>
      <c r="X577" s="18" t="s">
        <v>2199</v>
      </c>
      <c r="Y577" s="18" t="s">
        <v>2200</v>
      </c>
      <c r="Z577" s="38">
        <v>737615.54</v>
      </c>
      <c r="AA577" s="38">
        <v>737615.54</v>
      </c>
      <c r="AB577" s="38">
        <v>0.0</v>
      </c>
      <c r="AC577" s="38">
        <v>3685.0</v>
      </c>
      <c r="AD577" s="38">
        <v>0.0</v>
      </c>
      <c r="AE577" s="38">
        <v>0.0</v>
      </c>
      <c r="AF577" s="38">
        <v>0.0</v>
      </c>
      <c r="AG577" s="38">
        <v>0.0</v>
      </c>
      <c r="AH577" s="38">
        <v>0.0</v>
      </c>
      <c r="AI577" s="38">
        <v>737615.54</v>
      </c>
      <c r="AJ577" s="38">
        <v>737615.54</v>
      </c>
      <c r="AK577" s="38">
        <v>0.0</v>
      </c>
      <c r="AL577" s="38">
        <v>250.8</v>
      </c>
      <c r="AM577" s="38">
        <v>0.0</v>
      </c>
      <c r="AN577" s="34" t="s">
        <v>62</v>
      </c>
      <c r="AO577" s="34" t="s">
        <v>62</v>
      </c>
      <c r="AP577" s="34" t="s">
        <v>62</v>
      </c>
      <c r="AQ577" s="34" t="s">
        <v>62</v>
      </c>
      <c r="AR577" s="38">
        <v>0.0</v>
      </c>
      <c r="AS577" s="38" t="s">
        <v>2817</v>
      </c>
      <c r="AT577" s="35" t="s">
        <v>2202</v>
      </c>
      <c r="AU577" s="39" t="s">
        <v>2203</v>
      </c>
      <c r="AV577" s="40">
        <v>46169.0</v>
      </c>
    </row>
    <row r="578">
      <c r="A578" s="38">
        <v>230.0</v>
      </c>
      <c r="B578" s="38">
        <v>229.0</v>
      </c>
      <c r="C578" s="38">
        <v>229.0</v>
      </c>
      <c r="D578" s="38">
        <v>9.0235079E7</v>
      </c>
      <c r="E578" s="38">
        <v>9.0235079E7</v>
      </c>
      <c r="F578" s="18" t="s">
        <v>875</v>
      </c>
      <c r="G578" s="18" t="s">
        <v>1787</v>
      </c>
      <c r="H578" s="18" t="s">
        <v>2818</v>
      </c>
      <c r="I578" s="18" t="s">
        <v>982</v>
      </c>
      <c r="J578" s="18" t="s">
        <v>2205</v>
      </c>
      <c r="K578" s="18" t="s">
        <v>2684</v>
      </c>
      <c r="L578" s="18" t="s">
        <v>52</v>
      </c>
      <c r="M578" s="18" t="s">
        <v>89</v>
      </c>
      <c r="N578" s="18" t="s">
        <v>861</v>
      </c>
      <c r="O578" s="18" t="s">
        <v>126</v>
      </c>
      <c r="P578" s="18" t="s">
        <v>131</v>
      </c>
      <c r="Q578" s="18" t="s">
        <v>151</v>
      </c>
      <c r="R578" s="18" t="s">
        <v>133</v>
      </c>
      <c r="S578" s="18" t="s">
        <v>59</v>
      </c>
      <c r="T578" s="38">
        <v>2026.0</v>
      </c>
      <c r="U578" s="38">
        <v>5.0</v>
      </c>
      <c r="V578" s="38">
        <v>1.081522762E9</v>
      </c>
      <c r="W578" s="38">
        <v>1.081540832E9</v>
      </c>
      <c r="X578" s="18" t="s">
        <v>2199</v>
      </c>
      <c r="Y578" s="18" t="s">
        <v>2200</v>
      </c>
      <c r="Z578" s="38">
        <v>75941.0</v>
      </c>
      <c r="AA578" s="38">
        <v>75941.0</v>
      </c>
      <c r="AB578" s="38">
        <v>0.0</v>
      </c>
      <c r="AC578" s="38">
        <v>0.0</v>
      </c>
      <c r="AD578" s="38">
        <v>0.0</v>
      </c>
      <c r="AE578" s="38">
        <v>0.0</v>
      </c>
      <c r="AF578" s="38">
        <v>0.0</v>
      </c>
      <c r="AG578" s="38">
        <v>0.0</v>
      </c>
      <c r="AH578" s="38">
        <v>0.0</v>
      </c>
      <c r="AI578" s="38">
        <v>75941.0</v>
      </c>
      <c r="AJ578" s="38">
        <v>304922.15</v>
      </c>
      <c r="AK578" s="38">
        <v>4.0</v>
      </c>
      <c r="AL578" s="38">
        <v>250.8</v>
      </c>
      <c r="AM578" s="38">
        <v>0.0</v>
      </c>
      <c r="AN578" s="34" t="s">
        <v>62</v>
      </c>
      <c r="AO578" s="34" t="s">
        <v>62</v>
      </c>
      <c r="AP578" s="34" t="s">
        <v>62</v>
      </c>
      <c r="AQ578" s="34" t="s">
        <v>62</v>
      </c>
      <c r="AR578" s="38">
        <v>0.0</v>
      </c>
      <c r="AS578" s="38" t="s">
        <v>2685</v>
      </c>
      <c r="AT578" s="35" t="s">
        <v>2294</v>
      </c>
      <c r="AU578" s="39" t="s">
        <v>2295</v>
      </c>
      <c r="AV578" s="40">
        <v>46164.0</v>
      </c>
    </row>
    <row r="579">
      <c r="A579" s="38">
        <v>234.0</v>
      </c>
      <c r="B579" s="38">
        <v>233.0</v>
      </c>
      <c r="C579" s="38">
        <v>233.0</v>
      </c>
      <c r="D579" s="38">
        <v>9.0235102E7</v>
      </c>
      <c r="E579" s="38">
        <v>9.0235102E7</v>
      </c>
      <c r="F579" s="18" t="s">
        <v>1789</v>
      </c>
      <c r="G579" s="18" t="s">
        <v>1790</v>
      </c>
      <c r="H579" s="18" t="s">
        <v>2819</v>
      </c>
      <c r="I579" s="18" t="s">
        <v>942</v>
      </c>
      <c r="J579" s="18" t="s">
        <v>2205</v>
      </c>
      <c r="K579" s="18" t="s">
        <v>2205</v>
      </c>
      <c r="L579" s="18" t="s">
        <v>52</v>
      </c>
      <c r="M579" s="18" t="s">
        <v>89</v>
      </c>
      <c r="N579" s="18" t="s">
        <v>861</v>
      </c>
      <c r="O579" s="18" t="s">
        <v>126</v>
      </c>
      <c r="P579" s="18" t="s">
        <v>56</v>
      </c>
      <c r="Q579" s="18" t="s">
        <v>90</v>
      </c>
      <c r="R579" s="18" t="s">
        <v>58</v>
      </c>
      <c r="S579" s="18" t="s">
        <v>59</v>
      </c>
      <c r="T579" s="38">
        <v>2026.0</v>
      </c>
      <c r="U579" s="38">
        <v>5.0</v>
      </c>
      <c r="V579" s="38">
        <v>1.081522766E9</v>
      </c>
      <c r="W579" s="38">
        <v>1.081540836E9</v>
      </c>
      <c r="X579" s="18" t="s">
        <v>2199</v>
      </c>
      <c r="Y579" s="18" t="s">
        <v>2200</v>
      </c>
      <c r="Z579" s="38">
        <v>5262614.35</v>
      </c>
      <c r="AA579" s="38">
        <v>5262614.35</v>
      </c>
      <c r="AB579" s="38">
        <v>1723868.5</v>
      </c>
      <c r="AC579" s="38">
        <v>17963.0</v>
      </c>
      <c r="AD579" s="38">
        <v>91008.86</v>
      </c>
      <c r="AE579" s="38">
        <v>0.0</v>
      </c>
      <c r="AF579" s="38">
        <v>0.0</v>
      </c>
      <c r="AG579" s="38">
        <v>0.0</v>
      </c>
      <c r="AH579" s="38">
        <v>0.0</v>
      </c>
      <c r="AI579" s="38">
        <v>5262614.35</v>
      </c>
      <c r="AJ579" s="38">
        <v>5262615.33</v>
      </c>
      <c r="AK579" s="38">
        <v>1.0</v>
      </c>
      <c r="AL579" s="38">
        <v>376.2</v>
      </c>
      <c r="AM579" s="38">
        <v>0.0</v>
      </c>
      <c r="AN579" s="34" t="s">
        <v>62</v>
      </c>
      <c r="AO579" s="34" t="s">
        <v>62</v>
      </c>
      <c r="AP579" s="34" t="s">
        <v>62</v>
      </c>
      <c r="AQ579" s="34" t="s">
        <v>62</v>
      </c>
      <c r="AR579" s="38">
        <v>0.0</v>
      </c>
      <c r="AS579" s="38" t="s">
        <v>2820</v>
      </c>
      <c r="AT579" s="35" t="s">
        <v>2202</v>
      </c>
      <c r="AU579" s="39" t="s">
        <v>2254</v>
      </c>
      <c r="AV579" s="40">
        <v>46170.0</v>
      </c>
    </row>
    <row r="580">
      <c r="A580" s="38">
        <v>250.0</v>
      </c>
      <c r="B580" s="38">
        <v>249.0</v>
      </c>
      <c r="C580" s="38">
        <v>249.0</v>
      </c>
      <c r="D580" s="38">
        <v>9.0235235E7</v>
      </c>
      <c r="E580" s="38">
        <v>9.0235235E7</v>
      </c>
      <c r="F580" s="18" t="s">
        <v>1792</v>
      </c>
      <c r="G580" s="18" t="s">
        <v>1793</v>
      </c>
      <c r="H580" s="18" t="s">
        <v>2821</v>
      </c>
      <c r="I580" s="18" t="s">
        <v>931</v>
      </c>
      <c r="J580" s="18" t="s">
        <v>2205</v>
      </c>
      <c r="K580" s="18" t="s">
        <v>2205</v>
      </c>
      <c r="L580" s="18" t="s">
        <v>52</v>
      </c>
      <c r="M580" s="18" t="s">
        <v>89</v>
      </c>
      <c r="N580" s="18" t="s">
        <v>861</v>
      </c>
      <c r="O580" s="18" t="s">
        <v>126</v>
      </c>
      <c r="P580" s="18" t="s">
        <v>56</v>
      </c>
      <c r="Q580" s="18" t="s">
        <v>57</v>
      </c>
      <c r="R580" s="18" t="s">
        <v>143</v>
      </c>
      <c r="S580" s="18" t="s">
        <v>59</v>
      </c>
      <c r="T580" s="38">
        <v>2026.0</v>
      </c>
      <c r="U580" s="38">
        <v>5.0</v>
      </c>
      <c r="V580" s="38">
        <v>1.081522773E9</v>
      </c>
      <c r="W580" s="38">
        <v>1.081540843E9</v>
      </c>
      <c r="X580" s="18" t="s">
        <v>2199</v>
      </c>
      <c r="Y580" s="18" t="s">
        <v>2200</v>
      </c>
      <c r="Z580" s="38">
        <v>2893868.5</v>
      </c>
      <c r="AA580" s="38">
        <v>2893868.5</v>
      </c>
      <c r="AB580" s="38">
        <v>0.0</v>
      </c>
      <c r="AC580" s="38">
        <v>15045.0</v>
      </c>
      <c r="AD580" s="38">
        <v>0.0</v>
      </c>
      <c r="AE580" s="38">
        <v>0.0</v>
      </c>
      <c r="AF580" s="38">
        <v>0.0</v>
      </c>
      <c r="AG580" s="38">
        <v>0.0</v>
      </c>
      <c r="AH580" s="38">
        <v>0.0</v>
      </c>
      <c r="AI580" s="38">
        <v>2893868.5</v>
      </c>
      <c r="AJ580" s="38">
        <v>8538686.81</v>
      </c>
      <c r="AK580" s="38">
        <v>2.0</v>
      </c>
      <c r="AL580" s="38">
        <v>250.8</v>
      </c>
      <c r="AM580" s="38">
        <v>0.0</v>
      </c>
      <c r="AN580" s="34" t="s">
        <v>62</v>
      </c>
      <c r="AO580" s="34" t="s">
        <v>62</v>
      </c>
      <c r="AP580" s="34" t="s">
        <v>62</v>
      </c>
      <c r="AQ580" s="34" t="s">
        <v>62</v>
      </c>
      <c r="AR580" s="38">
        <v>0.0</v>
      </c>
      <c r="AS580" s="38" t="s">
        <v>2822</v>
      </c>
      <c r="AT580" s="35" t="s">
        <v>2202</v>
      </c>
      <c r="AU580" s="39" t="s">
        <v>2254</v>
      </c>
      <c r="AV580" s="40">
        <v>46170.0</v>
      </c>
    </row>
    <row r="581">
      <c r="A581" s="38">
        <v>254.0</v>
      </c>
      <c r="B581" s="38">
        <v>253.0</v>
      </c>
      <c r="C581" s="38">
        <v>253.0</v>
      </c>
      <c r="D581" s="38">
        <v>9.0235272E7</v>
      </c>
      <c r="E581" s="38">
        <v>9.0235272E7</v>
      </c>
      <c r="F581" s="38">
        <v>8.90504844E8</v>
      </c>
      <c r="G581" s="18" t="s">
        <v>934</v>
      </c>
      <c r="H581" s="18" t="s">
        <v>2823</v>
      </c>
      <c r="I581" s="18" t="s">
        <v>931</v>
      </c>
      <c r="J581" s="18" t="s">
        <v>982</v>
      </c>
      <c r="K581" s="18" t="s">
        <v>982</v>
      </c>
      <c r="L581" s="18" t="s">
        <v>52</v>
      </c>
      <c r="M581" s="18" t="s">
        <v>89</v>
      </c>
      <c r="N581" s="18" t="s">
        <v>861</v>
      </c>
      <c r="O581" s="18" t="s">
        <v>126</v>
      </c>
      <c r="P581" s="18" t="s">
        <v>131</v>
      </c>
      <c r="Q581" s="18" t="s">
        <v>363</v>
      </c>
      <c r="R581" s="18" t="s">
        <v>133</v>
      </c>
      <c r="S581" s="18" t="s">
        <v>59</v>
      </c>
      <c r="T581" s="38">
        <v>2026.0</v>
      </c>
      <c r="U581" s="38">
        <v>5.0</v>
      </c>
      <c r="V581" s="38">
        <v>1.081522777E9</v>
      </c>
      <c r="W581" s="38">
        <v>1.081540847E9</v>
      </c>
      <c r="X581" s="18" t="s">
        <v>2199</v>
      </c>
      <c r="Y581" s="18" t="s">
        <v>2200</v>
      </c>
      <c r="Z581" s="38">
        <v>89590.99</v>
      </c>
      <c r="AA581" s="38">
        <v>89590.99</v>
      </c>
      <c r="AB581" s="38">
        <v>25380.5</v>
      </c>
      <c r="AC581" s="38">
        <v>0.0</v>
      </c>
      <c r="AD581" s="38">
        <v>13449.49</v>
      </c>
      <c r="AE581" s="38">
        <v>0.0</v>
      </c>
      <c r="AF581" s="38">
        <v>0.0</v>
      </c>
      <c r="AG581" s="38">
        <v>0.0</v>
      </c>
      <c r="AH581" s="38">
        <v>0.0</v>
      </c>
      <c r="AI581" s="38">
        <v>89590.99</v>
      </c>
      <c r="AJ581" s="38">
        <v>903939.51</v>
      </c>
      <c r="AK581" s="38">
        <v>12.0</v>
      </c>
      <c r="AL581" s="38">
        <v>376.2</v>
      </c>
      <c r="AM581" s="38">
        <v>0.0</v>
      </c>
      <c r="AN581" s="34" t="s">
        <v>62</v>
      </c>
      <c r="AO581" s="34" t="s">
        <v>62</v>
      </c>
      <c r="AP581" s="34" t="s">
        <v>62</v>
      </c>
      <c r="AQ581" s="34" t="s">
        <v>62</v>
      </c>
      <c r="AR581" s="38">
        <v>0.0</v>
      </c>
      <c r="AS581" s="38" t="s">
        <v>2824</v>
      </c>
      <c r="AT581" s="35" t="s">
        <v>2275</v>
      </c>
      <c r="AU581" s="39" t="s">
        <v>2326</v>
      </c>
      <c r="AV581" s="40">
        <v>46163.0</v>
      </c>
    </row>
    <row r="582">
      <c r="A582" s="38">
        <v>258.0</v>
      </c>
      <c r="B582" s="38">
        <v>257.0</v>
      </c>
      <c r="C582" s="38">
        <v>257.0</v>
      </c>
      <c r="D582" s="38">
        <v>9.0235276E7</v>
      </c>
      <c r="E582" s="38">
        <v>9.0235276E7</v>
      </c>
      <c r="F582" s="38">
        <v>9.0235276E7</v>
      </c>
      <c r="G582" s="18" t="s">
        <v>934</v>
      </c>
      <c r="H582" s="18" t="s">
        <v>2825</v>
      </c>
      <c r="I582" s="18" t="s">
        <v>931</v>
      </c>
      <c r="J582" s="18" t="s">
        <v>982</v>
      </c>
      <c r="K582" s="18" t="s">
        <v>982</v>
      </c>
      <c r="L582" s="18" t="s">
        <v>52</v>
      </c>
      <c r="M582" s="18" t="s">
        <v>89</v>
      </c>
      <c r="N582" s="18" t="s">
        <v>861</v>
      </c>
      <c r="O582" s="18" t="s">
        <v>126</v>
      </c>
      <c r="P582" s="18" t="s">
        <v>218</v>
      </c>
      <c r="Q582" s="18" t="s">
        <v>938</v>
      </c>
      <c r="R582" s="18" t="s">
        <v>133</v>
      </c>
      <c r="S582" s="18" t="s">
        <v>59</v>
      </c>
      <c r="T582" s="38">
        <v>2026.0</v>
      </c>
      <c r="U582" s="38">
        <v>5.0</v>
      </c>
      <c r="V582" s="38">
        <v>1.081522781E9</v>
      </c>
      <c r="W582" s="38">
        <v>1.081540851E9</v>
      </c>
      <c r="X582" s="18" t="s">
        <v>2199</v>
      </c>
      <c r="Y582" s="18" t="s">
        <v>2200</v>
      </c>
      <c r="Z582" s="38">
        <v>53651.0</v>
      </c>
      <c r="AA582" s="38">
        <v>53651.0</v>
      </c>
      <c r="AB582" s="38">
        <v>0.0</v>
      </c>
      <c r="AC582" s="38">
        <v>0.0</v>
      </c>
      <c r="AD582" s="38">
        <v>0.0</v>
      </c>
      <c r="AE582" s="38">
        <v>0.0</v>
      </c>
      <c r="AF582" s="38">
        <v>0.0</v>
      </c>
      <c r="AG582" s="38">
        <v>0.0</v>
      </c>
      <c r="AH582" s="38">
        <v>0.0</v>
      </c>
      <c r="AI582" s="38">
        <v>53651.0</v>
      </c>
      <c r="AJ582" s="38">
        <v>53651.0</v>
      </c>
      <c r="AK582" s="38">
        <v>0.0</v>
      </c>
      <c r="AL582" s="38">
        <v>250.8</v>
      </c>
      <c r="AM582" s="38">
        <v>0.0</v>
      </c>
      <c r="AN582" s="34" t="s">
        <v>62</v>
      </c>
      <c r="AO582" s="34" t="s">
        <v>62</v>
      </c>
      <c r="AP582" s="34" t="s">
        <v>62</v>
      </c>
      <c r="AQ582" s="34" t="s">
        <v>62</v>
      </c>
      <c r="AR582" s="38">
        <v>0.0</v>
      </c>
      <c r="AS582" s="38" t="s">
        <v>2826</v>
      </c>
      <c r="AT582" s="35" t="s">
        <v>2275</v>
      </c>
      <c r="AU582" s="39" t="s">
        <v>2326</v>
      </c>
      <c r="AV582" s="40">
        <v>46163.0</v>
      </c>
    </row>
    <row r="583">
      <c r="A583" s="38">
        <v>262.0</v>
      </c>
      <c r="B583" s="38">
        <v>261.0</v>
      </c>
      <c r="C583" s="38">
        <v>261.0</v>
      </c>
      <c r="D583" s="38">
        <v>9.0235281E7</v>
      </c>
      <c r="E583" s="38">
        <v>9.0235281E7</v>
      </c>
      <c r="F583" s="38">
        <v>9023528.0</v>
      </c>
      <c r="G583" s="18" t="s">
        <v>934</v>
      </c>
      <c r="H583" s="18" t="s">
        <v>2827</v>
      </c>
      <c r="I583" s="18" t="s">
        <v>931</v>
      </c>
      <c r="J583" s="18" t="s">
        <v>982</v>
      </c>
      <c r="K583" s="18" t="s">
        <v>982</v>
      </c>
      <c r="L583" s="18" t="s">
        <v>52</v>
      </c>
      <c r="M583" s="18" t="s">
        <v>89</v>
      </c>
      <c r="N583" s="18" t="s">
        <v>861</v>
      </c>
      <c r="O583" s="18" t="s">
        <v>126</v>
      </c>
      <c r="P583" s="18" t="s">
        <v>218</v>
      </c>
      <c r="Q583" s="18" t="s">
        <v>938</v>
      </c>
      <c r="R583" s="18" t="s">
        <v>133</v>
      </c>
      <c r="S583" s="18" t="s">
        <v>59</v>
      </c>
      <c r="T583" s="38">
        <v>2026.0</v>
      </c>
      <c r="U583" s="38">
        <v>5.0</v>
      </c>
      <c r="V583" s="38">
        <v>1.081522786E9</v>
      </c>
      <c r="W583" s="38">
        <v>1.081540856E9</v>
      </c>
      <c r="X583" s="18" t="s">
        <v>2199</v>
      </c>
      <c r="Y583" s="18" t="s">
        <v>2200</v>
      </c>
      <c r="Z583" s="38">
        <v>53651.0</v>
      </c>
      <c r="AA583" s="38">
        <v>53651.0</v>
      </c>
      <c r="AB583" s="38">
        <v>0.0</v>
      </c>
      <c r="AC583" s="38">
        <v>0.0</v>
      </c>
      <c r="AD583" s="38">
        <v>0.0</v>
      </c>
      <c r="AE583" s="38">
        <v>0.0</v>
      </c>
      <c r="AF583" s="38">
        <v>0.0</v>
      </c>
      <c r="AG583" s="38">
        <v>0.0</v>
      </c>
      <c r="AH583" s="38">
        <v>0.0</v>
      </c>
      <c r="AI583" s="38">
        <v>53651.0</v>
      </c>
      <c r="AJ583" s="38">
        <v>53651.0</v>
      </c>
      <c r="AK583" s="38">
        <v>0.0</v>
      </c>
      <c r="AL583" s="38">
        <v>250.8</v>
      </c>
      <c r="AM583" s="38">
        <v>0.0</v>
      </c>
      <c r="AN583" s="34" t="s">
        <v>62</v>
      </c>
      <c r="AO583" s="34" t="s">
        <v>62</v>
      </c>
      <c r="AP583" s="34" t="s">
        <v>62</v>
      </c>
      <c r="AQ583" s="34" t="s">
        <v>62</v>
      </c>
      <c r="AR583" s="38">
        <v>0.0</v>
      </c>
      <c r="AS583" s="38" t="s">
        <v>2828</v>
      </c>
      <c r="AT583" s="35" t="s">
        <v>2275</v>
      </c>
      <c r="AU583" s="39" t="s">
        <v>2326</v>
      </c>
      <c r="AV583" s="40">
        <v>46163.0</v>
      </c>
    </row>
    <row r="584">
      <c r="A584" s="38">
        <v>270.0</v>
      </c>
      <c r="B584" s="38">
        <v>269.0</v>
      </c>
      <c r="C584" s="38">
        <v>269.0</v>
      </c>
      <c r="D584" s="38">
        <v>9.0236214E7</v>
      </c>
      <c r="E584" s="38">
        <v>9.0236214E7</v>
      </c>
      <c r="F584" s="38">
        <v>2.7957378E7</v>
      </c>
      <c r="G584" s="18" t="s">
        <v>941</v>
      </c>
      <c r="H584" s="18" t="s">
        <v>2829</v>
      </c>
      <c r="I584" s="18" t="s">
        <v>942</v>
      </c>
      <c r="J584" s="18" t="s">
        <v>982</v>
      </c>
      <c r="K584" s="18" t="s">
        <v>941</v>
      </c>
      <c r="L584" s="18" t="s">
        <v>52</v>
      </c>
      <c r="M584" s="18" t="s">
        <v>89</v>
      </c>
      <c r="N584" s="18" t="s">
        <v>861</v>
      </c>
      <c r="O584" s="18" t="s">
        <v>126</v>
      </c>
      <c r="P584" s="18" t="s">
        <v>218</v>
      </c>
      <c r="Q584" s="18" t="s">
        <v>943</v>
      </c>
      <c r="R584" s="18" t="s">
        <v>133</v>
      </c>
      <c r="S584" s="18" t="s">
        <v>59</v>
      </c>
      <c r="T584" s="38">
        <v>2026.0</v>
      </c>
      <c r="U584" s="38">
        <v>5.0</v>
      </c>
      <c r="V584" s="38">
        <v>1.081522789E9</v>
      </c>
      <c r="W584" s="38">
        <v>1.081540859E9</v>
      </c>
      <c r="X584" s="18" t="s">
        <v>2199</v>
      </c>
      <c r="Y584" s="18" t="s">
        <v>2200</v>
      </c>
      <c r="Z584" s="38">
        <v>89835.01</v>
      </c>
      <c r="AA584" s="38">
        <v>89835.01</v>
      </c>
      <c r="AB584" s="38">
        <v>28528.0</v>
      </c>
      <c r="AC584" s="38">
        <v>0.0</v>
      </c>
      <c r="AD584" s="38">
        <v>4251.01</v>
      </c>
      <c r="AE584" s="38">
        <v>0.0</v>
      </c>
      <c r="AF584" s="38">
        <v>0.0</v>
      </c>
      <c r="AG584" s="38">
        <v>0.0</v>
      </c>
      <c r="AH584" s="38">
        <v>0.0</v>
      </c>
      <c r="AI584" s="38">
        <v>89835.01</v>
      </c>
      <c r="AJ584" s="38">
        <v>89835.01</v>
      </c>
      <c r="AK584" s="38">
        <v>0.0</v>
      </c>
      <c r="AL584" s="38">
        <v>376.2</v>
      </c>
      <c r="AM584" s="38">
        <v>0.0</v>
      </c>
      <c r="AN584" s="34" t="s">
        <v>62</v>
      </c>
      <c r="AO584" s="34" t="s">
        <v>62</v>
      </c>
      <c r="AP584" s="34" t="s">
        <v>62</v>
      </c>
      <c r="AQ584" s="34" t="s">
        <v>62</v>
      </c>
      <c r="AR584" s="38">
        <v>0.0</v>
      </c>
      <c r="AS584" s="38" t="s">
        <v>2830</v>
      </c>
      <c r="AT584" s="35" t="s">
        <v>2275</v>
      </c>
      <c r="AU584" s="39" t="s">
        <v>2475</v>
      </c>
      <c r="AV584" s="40">
        <v>46163.0</v>
      </c>
    </row>
    <row r="585">
      <c r="A585" s="38">
        <v>271.0</v>
      </c>
      <c r="B585" s="38">
        <v>273.0</v>
      </c>
      <c r="C585" s="38">
        <v>273.0</v>
      </c>
      <c r="D585" s="38">
        <v>9.0236218E7</v>
      </c>
      <c r="E585" s="38">
        <v>9.0236218E7</v>
      </c>
      <c r="F585" s="38">
        <v>9.0236215E7</v>
      </c>
      <c r="G585" s="18" t="s">
        <v>941</v>
      </c>
      <c r="H585" s="18" t="s">
        <v>2645</v>
      </c>
      <c r="I585" s="18" t="s">
        <v>942</v>
      </c>
      <c r="J585" s="18" t="s">
        <v>2648</v>
      </c>
      <c r="K585" s="18" t="s">
        <v>941</v>
      </c>
      <c r="L585" s="18" t="s">
        <v>52</v>
      </c>
      <c r="M585" s="18" t="s">
        <v>53</v>
      </c>
      <c r="N585" s="18" t="s">
        <v>861</v>
      </c>
      <c r="O585" s="18" t="s">
        <v>126</v>
      </c>
      <c r="P585" s="18" t="s">
        <v>218</v>
      </c>
      <c r="Q585" s="18" t="s">
        <v>943</v>
      </c>
      <c r="R585" s="18" t="s">
        <v>133</v>
      </c>
      <c r="S585" s="18" t="s">
        <v>59</v>
      </c>
      <c r="T585" s="38">
        <v>2026.0</v>
      </c>
      <c r="U585" s="38">
        <v>5.0</v>
      </c>
      <c r="V585" s="38">
        <v>1.081522796E9</v>
      </c>
      <c r="W585" s="38">
        <v>1.081540866E9</v>
      </c>
      <c r="X585" s="18" t="s">
        <v>2199</v>
      </c>
      <c r="Y585" s="18" t="s">
        <v>2200</v>
      </c>
      <c r="Z585" s="38">
        <v>85584.0</v>
      </c>
      <c r="AA585" s="38">
        <v>85584.0</v>
      </c>
      <c r="AB585" s="38">
        <v>28528.0</v>
      </c>
      <c r="AC585" s="38">
        <v>0.0</v>
      </c>
      <c r="AD585" s="38">
        <v>0.0</v>
      </c>
      <c r="AE585" s="38">
        <v>0.0</v>
      </c>
      <c r="AF585" s="38">
        <v>0.0</v>
      </c>
      <c r="AG585" s="38">
        <v>0.0</v>
      </c>
      <c r="AH585" s="38">
        <v>0.0</v>
      </c>
      <c r="AI585" s="38">
        <v>85584.0</v>
      </c>
      <c r="AJ585" s="38">
        <v>85584.0</v>
      </c>
      <c r="AK585" s="38">
        <v>0.0</v>
      </c>
      <c r="AL585" s="38">
        <v>376.2</v>
      </c>
      <c r="AM585" s="38">
        <v>0.0</v>
      </c>
      <c r="AN585" s="34" t="s">
        <v>62</v>
      </c>
      <c r="AO585" s="34" t="s">
        <v>62</v>
      </c>
      <c r="AP585" s="34" t="s">
        <v>62</v>
      </c>
      <c r="AQ585" s="34" t="s">
        <v>62</v>
      </c>
      <c r="AR585" s="38">
        <v>0.0</v>
      </c>
      <c r="AS585" s="38" t="s">
        <v>2646</v>
      </c>
      <c r="AT585" s="35" t="s">
        <v>2275</v>
      </c>
      <c r="AU585" s="39" t="s">
        <v>2475</v>
      </c>
      <c r="AV585" s="40">
        <v>46163.0</v>
      </c>
    </row>
    <row r="586">
      <c r="A586" s="38">
        <v>278.0</v>
      </c>
      <c r="B586" s="38">
        <v>277.0</v>
      </c>
      <c r="C586" s="38">
        <v>277.0</v>
      </c>
      <c r="D586" s="38">
        <v>9.0236222E7</v>
      </c>
      <c r="E586" s="38">
        <v>9.0236222E7</v>
      </c>
      <c r="F586" s="38">
        <v>9.0236222E7</v>
      </c>
      <c r="G586" s="18" t="s">
        <v>941</v>
      </c>
      <c r="H586" s="18" t="s">
        <v>2831</v>
      </c>
      <c r="I586" s="18" t="s">
        <v>942</v>
      </c>
      <c r="J586" s="18" t="s">
        <v>2648</v>
      </c>
      <c r="K586" s="18" t="s">
        <v>941</v>
      </c>
      <c r="L586" s="18" t="s">
        <v>52</v>
      </c>
      <c r="M586" s="18" t="s">
        <v>89</v>
      </c>
      <c r="N586" s="18" t="s">
        <v>861</v>
      </c>
      <c r="O586" s="18" t="s">
        <v>126</v>
      </c>
      <c r="P586" s="18" t="s">
        <v>218</v>
      </c>
      <c r="Q586" s="18" t="s">
        <v>943</v>
      </c>
      <c r="R586" s="18" t="s">
        <v>133</v>
      </c>
      <c r="S586" s="18" t="s">
        <v>59</v>
      </c>
      <c r="T586" s="38">
        <v>2026.0</v>
      </c>
      <c r="U586" s="38">
        <v>5.0</v>
      </c>
      <c r="V586" s="38">
        <v>1.081522798E9</v>
      </c>
      <c r="W586" s="38">
        <v>1.081540868E9</v>
      </c>
      <c r="X586" s="18" t="s">
        <v>2199</v>
      </c>
      <c r="Y586" s="18" t="s">
        <v>2200</v>
      </c>
      <c r="Z586" s="38">
        <v>85584.0</v>
      </c>
      <c r="AA586" s="38">
        <v>85584.0</v>
      </c>
      <c r="AB586" s="38">
        <v>28528.0</v>
      </c>
      <c r="AC586" s="38">
        <v>0.0</v>
      </c>
      <c r="AD586" s="38">
        <v>0.0</v>
      </c>
      <c r="AE586" s="38">
        <v>0.0</v>
      </c>
      <c r="AF586" s="38">
        <v>0.0</v>
      </c>
      <c r="AG586" s="38">
        <v>0.0</v>
      </c>
      <c r="AH586" s="38">
        <v>0.0</v>
      </c>
      <c r="AI586" s="38">
        <v>85584.0</v>
      </c>
      <c r="AJ586" s="38">
        <v>85584.0</v>
      </c>
      <c r="AK586" s="38">
        <v>0.0</v>
      </c>
      <c r="AL586" s="38">
        <v>376.2</v>
      </c>
      <c r="AM586" s="38">
        <v>0.0</v>
      </c>
      <c r="AN586" s="34" t="s">
        <v>62</v>
      </c>
      <c r="AO586" s="34" t="s">
        <v>62</v>
      </c>
      <c r="AP586" s="34" t="s">
        <v>62</v>
      </c>
      <c r="AQ586" s="34" t="s">
        <v>62</v>
      </c>
      <c r="AR586" s="38">
        <v>0.0</v>
      </c>
      <c r="AS586" s="38" t="e">
        <v>#ERROR!</v>
      </c>
      <c r="AT586" s="35" t="s">
        <v>2275</v>
      </c>
      <c r="AU586" s="39" t="s">
        <v>2475</v>
      </c>
      <c r="AV586" s="40">
        <v>46163.0</v>
      </c>
    </row>
    <row r="587">
      <c r="A587" s="38">
        <v>282.0</v>
      </c>
      <c r="B587" s="38">
        <v>281.0</v>
      </c>
      <c r="C587" s="38">
        <v>281.0</v>
      </c>
      <c r="D587" s="38">
        <v>9.023641E7</v>
      </c>
      <c r="E587" s="38">
        <v>9.023641E7</v>
      </c>
      <c r="F587" s="18" t="s">
        <v>1801</v>
      </c>
      <c r="G587" s="18" t="s">
        <v>1802</v>
      </c>
      <c r="H587" s="18" t="s">
        <v>2832</v>
      </c>
      <c r="I587" s="18" t="s">
        <v>942</v>
      </c>
      <c r="J587" s="18" t="s">
        <v>2205</v>
      </c>
      <c r="K587" s="18" t="s">
        <v>2205</v>
      </c>
      <c r="L587" s="18" t="s">
        <v>52</v>
      </c>
      <c r="M587" s="18" t="s">
        <v>89</v>
      </c>
      <c r="N587" s="18" t="s">
        <v>861</v>
      </c>
      <c r="O587" s="18" t="s">
        <v>126</v>
      </c>
      <c r="P587" s="18" t="s">
        <v>56</v>
      </c>
      <c r="Q587" s="18" t="s">
        <v>90</v>
      </c>
      <c r="R587" s="18" t="s">
        <v>143</v>
      </c>
      <c r="S587" s="18" t="s">
        <v>59</v>
      </c>
      <c r="T587" s="38">
        <v>2026.0</v>
      </c>
      <c r="U587" s="38">
        <v>5.0</v>
      </c>
      <c r="V587" s="38">
        <v>1.081522802E9</v>
      </c>
      <c r="W587" s="38">
        <v>1.081540872E9</v>
      </c>
      <c r="X587" s="18" t="s">
        <v>2199</v>
      </c>
      <c r="Y587" s="18" t="s">
        <v>2200</v>
      </c>
      <c r="Z587" s="38">
        <v>146688.55</v>
      </c>
      <c r="AA587" s="38">
        <v>146688.55</v>
      </c>
      <c r="AB587" s="38">
        <v>48738.98</v>
      </c>
      <c r="AC587" s="38">
        <v>312.5</v>
      </c>
      <c r="AD587" s="38">
        <v>471.62</v>
      </c>
      <c r="AE587" s="38">
        <v>0.0</v>
      </c>
      <c r="AF587" s="38">
        <v>0.0</v>
      </c>
      <c r="AG587" s="38">
        <v>0.0</v>
      </c>
      <c r="AH587" s="38">
        <v>0.0</v>
      </c>
      <c r="AI587" s="38">
        <v>146688.55</v>
      </c>
      <c r="AJ587" s="38">
        <v>291063.01</v>
      </c>
      <c r="AK587" s="38">
        <v>1.0</v>
      </c>
      <c r="AL587" s="38">
        <v>376.2</v>
      </c>
      <c r="AM587" s="38">
        <v>0.0</v>
      </c>
      <c r="AN587" s="34" t="s">
        <v>62</v>
      </c>
      <c r="AO587" s="34" t="s">
        <v>62</v>
      </c>
      <c r="AP587" s="34" t="s">
        <v>62</v>
      </c>
      <c r="AQ587" s="34" t="s">
        <v>62</v>
      </c>
      <c r="AR587" s="38">
        <v>0.0</v>
      </c>
      <c r="AS587" s="38" t="s">
        <v>2833</v>
      </c>
      <c r="AT587" s="35" t="s">
        <v>2202</v>
      </c>
      <c r="AU587" s="39" t="s">
        <v>2254</v>
      </c>
      <c r="AV587" s="40">
        <v>46170.0</v>
      </c>
    </row>
    <row r="588">
      <c r="A588" s="38">
        <v>286.0</v>
      </c>
      <c r="B588" s="38">
        <v>285.0</v>
      </c>
      <c r="C588" s="38">
        <v>285.0</v>
      </c>
      <c r="D588" s="38">
        <v>9.0237026E7</v>
      </c>
      <c r="E588" s="38">
        <v>9.0237026E7</v>
      </c>
      <c r="F588" s="38">
        <v>284.0</v>
      </c>
      <c r="G588" s="18" t="s">
        <v>1804</v>
      </c>
      <c r="H588" s="18" t="s">
        <v>2834</v>
      </c>
      <c r="I588" s="18" t="s">
        <v>1506</v>
      </c>
      <c r="J588" s="18" t="s">
        <v>2205</v>
      </c>
      <c r="K588" s="18" t="s">
        <v>2205</v>
      </c>
      <c r="L588" s="18" t="s">
        <v>52</v>
      </c>
      <c r="M588" s="18" t="s">
        <v>89</v>
      </c>
      <c r="N588" s="18" t="s">
        <v>861</v>
      </c>
      <c r="O588" s="18" t="s">
        <v>126</v>
      </c>
      <c r="P588" s="18" t="s">
        <v>131</v>
      </c>
      <c r="Q588" s="18" t="s">
        <v>538</v>
      </c>
      <c r="R588" s="18" t="s">
        <v>133</v>
      </c>
      <c r="S588" s="18" t="s">
        <v>163</v>
      </c>
      <c r="T588" s="38">
        <v>2026.0</v>
      </c>
      <c r="U588" s="38">
        <v>5.0</v>
      </c>
      <c r="V588" s="38">
        <v>1.081522806E9</v>
      </c>
      <c r="W588" s="38">
        <v>1.081540876E9</v>
      </c>
      <c r="X588" s="18" t="s">
        <v>2199</v>
      </c>
      <c r="Y588" s="18" t="s">
        <v>2200</v>
      </c>
      <c r="Z588" s="38">
        <v>56619.0</v>
      </c>
      <c r="AA588" s="38">
        <v>56619.0</v>
      </c>
      <c r="AB588" s="38">
        <v>18873.0</v>
      </c>
      <c r="AC588" s="38">
        <v>0.0</v>
      </c>
      <c r="AD588" s="38">
        <v>0.0</v>
      </c>
      <c r="AE588" s="38">
        <v>0.0</v>
      </c>
      <c r="AF588" s="38">
        <v>0.0</v>
      </c>
      <c r="AG588" s="38">
        <v>0.0</v>
      </c>
      <c r="AH588" s="38">
        <v>0.0</v>
      </c>
      <c r="AI588" s="38">
        <v>56619.0</v>
      </c>
      <c r="AJ588" s="38">
        <v>56619.0</v>
      </c>
      <c r="AK588" s="38">
        <v>0.0</v>
      </c>
      <c r="AL588" s="38">
        <v>376.2</v>
      </c>
      <c r="AM588" s="38">
        <v>0.0</v>
      </c>
      <c r="AN588" s="34" t="s">
        <v>62</v>
      </c>
      <c r="AO588" s="34" t="s">
        <v>62</v>
      </c>
      <c r="AP588" s="34" t="s">
        <v>62</v>
      </c>
      <c r="AQ588" s="34" t="s">
        <v>62</v>
      </c>
      <c r="AR588" s="38">
        <v>0.0</v>
      </c>
      <c r="AS588" s="38" t="s">
        <v>2835</v>
      </c>
      <c r="AT588" s="35" t="s">
        <v>2202</v>
      </c>
      <c r="AU588" s="39" t="s">
        <v>2254</v>
      </c>
      <c r="AV588" s="40">
        <v>46170.0</v>
      </c>
    </row>
    <row r="589">
      <c r="A589" s="38">
        <v>455370.0</v>
      </c>
      <c r="B589" s="38">
        <v>289.0</v>
      </c>
      <c r="C589" s="38">
        <v>289.0</v>
      </c>
      <c r="D589" s="38">
        <v>9.0237566E7</v>
      </c>
      <c r="E589" s="38">
        <v>9.0237566E7</v>
      </c>
      <c r="F589" s="18" t="s">
        <v>148</v>
      </c>
      <c r="G589" s="18" t="s">
        <v>149</v>
      </c>
      <c r="H589" s="18" t="s">
        <v>2296</v>
      </c>
      <c r="I589" s="18" t="s">
        <v>1256</v>
      </c>
      <c r="J589" s="18" t="s">
        <v>2205</v>
      </c>
      <c r="K589" s="18" t="s">
        <v>2611</v>
      </c>
      <c r="L589" s="18" t="s">
        <v>52</v>
      </c>
      <c r="M589" s="18" t="s">
        <v>53</v>
      </c>
      <c r="N589" s="18" t="s">
        <v>861</v>
      </c>
      <c r="O589" s="18" t="s">
        <v>126</v>
      </c>
      <c r="P589" s="18" t="s">
        <v>56</v>
      </c>
      <c r="Q589" s="18" t="s">
        <v>57</v>
      </c>
      <c r="R589" s="18" t="s">
        <v>143</v>
      </c>
      <c r="S589" s="18" t="s">
        <v>59</v>
      </c>
      <c r="T589" s="38">
        <v>2026.0</v>
      </c>
      <c r="U589" s="38">
        <v>5.0</v>
      </c>
      <c r="V589" s="38">
        <v>1.08152281E9</v>
      </c>
      <c r="W589" s="38">
        <v>1.08154088E9</v>
      </c>
      <c r="X589" s="18" t="s">
        <v>2199</v>
      </c>
      <c r="Y589" s="18" t="s">
        <v>2200</v>
      </c>
      <c r="Z589" s="38">
        <v>86184.18</v>
      </c>
      <c r="AA589" s="38">
        <v>86184.18</v>
      </c>
      <c r="AB589" s="38">
        <v>0.0</v>
      </c>
      <c r="AC589" s="38">
        <v>253.0</v>
      </c>
      <c r="AD589" s="38">
        <v>0.0</v>
      </c>
      <c r="AE589" s="38">
        <v>0.0</v>
      </c>
      <c r="AF589" s="38">
        <v>0.0</v>
      </c>
      <c r="AG589" s="38">
        <v>0.0</v>
      </c>
      <c r="AH589" s="38">
        <v>0.0</v>
      </c>
      <c r="AI589" s="38">
        <v>86184.18</v>
      </c>
      <c r="AJ589" s="38">
        <v>333598.89</v>
      </c>
      <c r="AK589" s="38">
        <v>3.0</v>
      </c>
      <c r="AL589" s="38">
        <v>250.8</v>
      </c>
      <c r="AM589" s="38">
        <v>0.0</v>
      </c>
      <c r="AN589" s="34" t="s">
        <v>62</v>
      </c>
      <c r="AO589" s="34" t="s">
        <v>62</v>
      </c>
      <c r="AP589" s="34" t="s">
        <v>62</v>
      </c>
      <c r="AQ589" s="34" t="s">
        <v>62</v>
      </c>
      <c r="AR589" s="38">
        <v>0.0</v>
      </c>
      <c r="AS589" s="38" t="s">
        <v>2293</v>
      </c>
      <c r="AT589" s="35" t="s">
        <v>2294</v>
      </c>
      <c r="AU589" s="39" t="s">
        <v>2295</v>
      </c>
      <c r="AV589" s="40">
        <v>46164.0</v>
      </c>
    </row>
    <row r="590">
      <c r="A590" s="38">
        <v>699.0</v>
      </c>
      <c r="B590" s="38">
        <v>29225.0</v>
      </c>
      <c r="C590" s="38">
        <v>29225.0</v>
      </c>
      <c r="D590" s="38">
        <v>91350.0</v>
      </c>
      <c r="E590" s="38">
        <v>91350.0</v>
      </c>
      <c r="F590" s="38">
        <v>9.00480569E8</v>
      </c>
      <c r="G590" s="18" t="s">
        <v>141</v>
      </c>
      <c r="H590" s="18" t="s">
        <v>2255</v>
      </c>
      <c r="I590" s="18" t="s">
        <v>863</v>
      </c>
      <c r="J590" s="18" t="s">
        <v>2205</v>
      </c>
      <c r="K590" s="18" t="s">
        <v>2256</v>
      </c>
      <c r="L590" s="18" t="s">
        <v>52</v>
      </c>
      <c r="M590" s="18" t="s">
        <v>53</v>
      </c>
      <c r="N590" s="18" t="s">
        <v>861</v>
      </c>
      <c r="O590" s="18" t="s">
        <v>126</v>
      </c>
      <c r="P590" s="18" t="s">
        <v>56</v>
      </c>
      <c r="Q590" s="18" t="s">
        <v>90</v>
      </c>
      <c r="R590" s="18" t="s">
        <v>143</v>
      </c>
      <c r="S590" s="18" t="s">
        <v>59</v>
      </c>
      <c r="T590" s="38">
        <v>2026.0</v>
      </c>
      <c r="U590" s="38">
        <v>5.0</v>
      </c>
      <c r="V590" s="38">
        <v>1.081523055E9</v>
      </c>
      <c r="W590" s="38">
        <v>1.081541125E9</v>
      </c>
      <c r="X590" s="18" t="s">
        <v>2199</v>
      </c>
      <c r="Y590" s="18" t="s">
        <v>2200</v>
      </c>
      <c r="Z590" s="38">
        <v>448728.21</v>
      </c>
      <c r="AA590" s="38">
        <v>448728.21</v>
      </c>
      <c r="AB590" s="38">
        <v>149576.08</v>
      </c>
      <c r="AC590" s="38">
        <v>1375.0</v>
      </c>
      <c r="AD590" s="38">
        <v>0.0</v>
      </c>
      <c r="AE590" s="38">
        <v>0.0</v>
      </c>
      <c r="AF590" s="38">
        <v>0.0</v>
      </c>
      <c r="AG590" s="38">
        <v>0.0</v>
      </c>
      <c r="AH590" s="38">
        <v>0.0</v>
      </c>
      <c r="AI590" s="38">
        <v>448728.21</v>
      </c>
      <c r="AJ590" s="38">
        <v>448728.21</v>
      </c>
      <c r="AK590" s="38">
        <v>0.0</v>
      </c>
      <c r="AL590" s="38">
        <v>376.2</v>
      </c>
      <c r="AM590" s="38">
        <v>0.0</v>
      </c>
      <c r="AN590" s="34" t="s">
        <v>62</v>
      </c>
      <c r="AO590" s="34" t="s">
        <v>62</v>
      </c>
      <c r="AP590" s="34" t="s">
        <v>62</v>
      </c>
      <c r="AQ590" s="34" t="s">
        <v>62</v>
      </c>
      <c r="AR590" s="38">
        <v>0.0</v>
      </c>
      <c r="AS590" s="38" t="s">
        <v>2257</v>
      </c>
      <c r="AT590" s="35" t="s">
        <v>2202</v>
      </c>
      <c r="AU590" s="39" t="s">
        <v>2203</v>
      </c>
      <c r="AV590" s="40">
        <v>46163.0</v>
      </c>
    </row>
    <row r="591">
      <c r="A591" s="38">
        <v>455370.0</v>
      </c>
      <c r="B591" s="38">
        <v>293.0</v>
      </c>
      <c r="C591" s="38">
        <v>293.0</v>
      </c>
      <c r="D591" s="38">
        <v>9.0239225E7</v>
      </c>
      <c r="E591" s="38">
        <v>9.0239225E7</v>
      </c>
      <c r="F591" s="18" t="s">
        <v>148</v>
      </c>
      <c r="G591" s="18" t="s">
        <v>149</v>
      </c>
      <c r="H591" s="18" t="s">
        <v>2296</v>
      </c>
      <c r="I591" s="18" t="s">
        <v>1808</v>
      </c>
      <c r="J591" s="18" t="s">
        <v>2205</v>
      </c>
      <c r="K591" s="18" t="s">
        <v>2611</v>
      </c>
      <c r="L591" s="18" t="s">
        <v>52</v>
      </c>
      <c r="M591" s="18" t="s">
        <v>53</v>
      </c>
      <c r="N591" s="18" t="s">
        <v>861</v>
      </c>
      <c r="O591" s="18" t="s">
        <v>126</v>
      </c>
      <c r="P591" s="18" t="s">
        <v>56</v>
      </c>
      <c r="Q591" s="18" t="s">
        <v>57</v>
      </c>
      <c r="R591" s="18" t="s">
        <v>143</v>
      </c>
      <c r="S591" s="18" t="s">
        <v>59</v>
      </c>
      <c r="T591" s="38">
        <v>2026.0</v>
      </c>
      <c r="U591" s="38">
        <v>5.0</v>
      </c>
      <c r="V591" s="38">
        <v>1.081522813E9</v>
      </c>
      <c r="W591" s="38">
        <v>1.081540883E9</v>
      </c>
      <c r="X591" s="18" t="s">
        <v>2199</v>
      </c>
      <c r="Y591" s="18" t="s">
        <v>2200</v>
      </c>
      <c r="Z591" s="38">
        <v>125475.06</v>
      </c>
      <c r="AA591" s="38">
        <v>125475.06</v>
      </c>
      <c r="AB591" s="38">
        <v>0.0</v>
      </c>
      <c r="AC591" s="38">
        <v>460.0</v>
      </c>
      <c r="AD591" s="38">
        <v>0.0</v>
      </c>
      <c r="AE591" s="38">
        <v>0.0</v>
      </c>
      <c r="AF591" s="38">
        <v>0.0</v>
      </c>
      <c r="AG591" s="38">
        <v>0.0</v>
      </c>
      <c r="AH591" s="38">
        <v>0.0</v>
      </c>
      <c r="AI591" s="38">
        <v>125475.06</v>
      </c>
      <c r="AJ591" s="38">
        <v>411237.14</v>
      </c>
      <c r="AK591" s="38">
        <v>3.0</v>
      </c>
      <c r="AL591" s="38">
        <v>250.8</v>
      </c>
      <c r="AM591" s="38">
        <v>0.0</v>
      </c>
      <c r="AN591" s="34" t="s">
        <v>62</v>
      </c>
      <c r="AO591" s="34" t="s">
        <v>62</v>
      </c>
      <c r="AP591" s="34" t="s">
        <v>62</v>
      </c>
      <c r="AQ591" s="34" t="s">
        <v>62</v>
      </c>
      <c r="AR591" s="38">
        <v>0.0</v>
      </c>
      <c r="AS591" s="38" t="s">
        <v>2293</v>
      </c>
      <c r="AT591" s="35" t="s">
        <v>2294</v>
      </c>
      <c r="AU591" s="39" t="s">
        <v>2295</v>
      </c>
      <c r="AV591" s="40">
        <v>46164.0</v>
      </c>
    </row>
    <row r="592">
      <c r="A592" s="38">
        <v>298.0</v>
      </c>
      <c r="B592" s="38">
        <v>297.0</v>
      </c>
      <c r="C592" s="38">
        <v>297.0</v>
      </c>
      <c r="D592" s="38">
        <v>9.0239464E7</v>
      </c>
      <c r="E592" s="38">
        <v>9.0239464E7</v>
      </c>
      <c r="F592" s="18" t="s">
        <v>1810</v>
      </c>
      <c r="G592" s="18" t="s">
        <v>1811</v>
      </c>
      <c r="H592" s="18" t="s">
        <v>2836</v>
      </c>
      <c r="I592" s="18" t="s">
        <v>343</v>
      </c>
      <c r="J592" s="18" t="s">
        <v>2205</v>
      </c>
      <c r="K592" s="18" t="s">
        <v>2205</v>
      </c>
      <c r="L592" s="18" t="s">
        <v>52</v>
      </c>
      <c r="M592" s="18" t="s">
        <v>89</v>
      </c>
      <c r="N592" s="18" t="s">
        <v>861</v>
      </c>
      <c r="O592" s="18" t="s">
        <v>126</v>
      </c>
      <c r="P592" s="18" t="s">
        <v>131</v>
      </c>
      <c r="Q592" s="18" t="s">
        <v>151</v>
      </c>
      <c r="R592" s="18" t="s">
        <v>133</v>
      </c>
      <c r="S592" s="18" t="s">
        <v>59</v>
      </c>
      <c r="T592" s="38">
        <v>2026.0</v>
      </c>
      <c r="U592" s="38">
        <v>5.0</v>
      </c>
      <c r="V592" s="38">
        <v>1.081522817E9</v>
      </c>
      <c r="W592" s="38">
        <v>1.081540887E9</v>
      </c>
      <c r="X592" s="18" t="s">
        <v>2199</v>
      </c>
      <c r="Y592" s="18" t="s">
        <v>2200</v>
      </c>
      <c r="Z592" s="38">
        <v>75941.0</v>
      </c>
      <c r="AA592" s="38">
        <v>75941.0</v>
      </c>
      <c r="AB592" s="38">
        <v>0.0</v>
      </c>
      <c r="AC592" s="38">
        <v>0.0</v>
      </c>
      <c r="AD592" s="38">
        <v>0.0</v>
      </c>
      <c r="AE592" s="38">
        <v>0.0</v>
      </c>
      <c r="AF592" s="38">
        <v>0.0</v>
      </c>
      <c r="AG592" s="38">
        <v>0.0</v>
      </c>
      <c r="AH592" s="38">
        <v>0.0</v>
      </c>
      <c r="AI592" s="38">
        <v>75941.0</v>
      </c>
      <c r="AJ592" s="38">
        <v>1204601.23</v>
      </c>
      <c r="AK592" s="38">
        <v>17.0</v>
      </c>
      <c r="AL592" s="38">
        <v>250.8</v>
      </c>
      <c r="AM592" s="38">
        <v>0.0</v>
      </c>
      <c r="AN592" s="34" t="s">
        <v>62</v>
      </c>
      <c r="AO592" s="34" t="s">
        <v>62</v>
      </c>
      <c r="AP592" s="34" t="s">
        <v>62</v>
      </c>
      <c r="AQ592" s="34" t="s">
        <v>62</v>
      </c>
      <c r="AR592" s="38">
        <v>0.0</v>
      </c>
      <c r="AS592" s="38" t="s">
        <v>2837</v>
      </c>
      <c r="AT592" s="35" t="s">
        <v>2202</v>
      </c>
      <c r="AU592" s="39" t="s">
        <v>2254</v>
      </c>
      <c r="AV592" s="40">
        <v>46170.0</v>
      </c>
    </row>
    <row r="593">
      <c r="A593" s="38">
        <v>635.0</v>
      </c>
      <c r="B593" s="38">
        <v>309.0</v>
      </c>
      <c r="C593" s="38">
        <v>309.0</v>
      </c>
      <c r="D593" s="38">
        <v>9.0240109E7</v>
      </c>
      <c r="E593" s="38">
        <v>9.0240109E7</v>
      </c>
      <c r="F593" s="18" t="s">
        <v>1399</v>
      </c>
      <c r="G593" s="18" t="s">
        <v>1400</v>
      </c>
      <c r="H593" s="18" t="s">
        <v>2759</v>
      </c>
      <c r="I593" s="18" t="s">
        <v>982</v>
      </c>
      <c r="J593" s="18" t="s">
        <v>2205</v>
      </c>
      <c r="K593" s="18" t="s">
        <v>2395</v>
      </c>
      <c r="L593" s="18" t="s">
        <v>52</v>
      </c>
      <c r="M593" s="18" t="s">
        <v>53</v>
      </c>
      <c r="N593" s="18" t="s">
        <v>861</v>
      </c>
      <c r="O593" s="18" t="s">
        <v>126</v>
      </c>
      <c r="P593" s="18" t="s">
        <v>56</v>
      </c>
      <c r="Q593" s="18" t="s">
        <v>90</v>
      </c>
      <c r="R593" s="18" t="s">
        <v>143</v>
      </c>
      <c r="S593" s="18" t="s">
        <v>59</v>
      </c>
      <c r="T593" s="38">
        <v>2026.0</v>
      </c>
      <c r="U593" s="38">
        <v>5.0</v>
      </c>
      <c r="V593" s="38">
        <v>1.081522822E9</v>
      </c>
      <c r="W593" s="38">
        <v>1.081540892E9</v>
      </c>
      <c r="X593" s="18" t="s">
        <v>2199</v>
      </c>
      <c r="Y593" s="18" t="s">
        <v>2200</v>
      </c>
      <c r="Z593" s="38">
        <v>133547.03</v>
      </c>
      <c r="AA593" s="38">
        <v>133547.03</v>
      </c>
      <c r="AB593" s="38">
        <v>44515.68</v>
      </c>
      <c r="AC593" s="38">
        <v>268.0</v>
      </c>
      <c r="AD593" s="38">
        <v>0.0</v>
      </c>
      <c r="AE593" s="38">
        <v>0.0</v>
      </c>
      <c r="AF593" s="38">
        <v>0.0</v>
      </c>
      <c r="AG593" s="38">
        <v>0.0</v>
      </c>
      <c r="AH593" s="38">
        <v>0.0</v>
      </c>
      <c r="AI593" s="38">
        <v>85290.69</v>
      </c>
      <c r="AJ593" s="38">
        <v>85290.69</v>
      </c>
      <c r="AK593" s="38">
        <v>0.0</v>
      </c>
      <c r="AL593" s="38">
        <v>376.2</v>
      </c>
      <c r="AM593" s="38">
        <v>0.0</v>
      </c>
      <c r="AN593" s="34" t="s">
        <v>62</v>
      </c>
      <c r="AO593" s="34" t="s">
        <v>62</v>
      </c>
      <c r="AP593" s="38">
        <v>48256.34</v>
      </c>
      <c r="AQ593" s="34" t="s">
        <v>62</v>
      </c>
      <c r="AR593" s="38">
        <v>0.0</v>
      </c>
      <c r="AS593" s="38" t="s">
        <v>2396</v>
      </c>
      <c r="AT593" s="35" t="s">
        <v>2202</v>
      </c>
      <c r="AU593" s="39" t="s">
        <v>2203</v>
      </c>
      <c r="AV593" s="40">
        <v>46168.0</v>
      </c>
    </row>
    <row r="594">
      <c r="A594" s="38">
        <v>314.0</v>
      </c>
      <c r="B594" s="38">
        <v>313.0</v>
      </c>
      <c r="C594" s="38">
        <v>313.0</v>
      </c>
      <c r="D594" s="38">
        <v>9.0240181E7</v>
      </c>
      <c r="E594" s="38">
        <v>9.0240181E7</v>
      </c>
      <c r="F594" s="18" t="s">
        <v>1814</v>
      </c>
      <c r="G594" s="18" t="s">
        <v>1815</v>
      </c>
      <c r="H594" s="18" t="s">
        <v>2838</v>
      </c>
      <c r="I594" s="18" t="s">
        <v>343</v>
      </c>
      <c r="J594" s="18" t="s">
        <v>2205</v>
      </c>
      <c r="K594" s="18" t="s">
        <v>2205</v>
      </c>
      <c r="L594" s="18" t="s">
        <v>52</v>
      </c>
      <c r="M594" s="18" t="s">
        <v>89</v>
      </c>
      <c r="N594" s="18" t="s">
        <v>861</v>
      </c>
      <c r="O594" s="18" t="s">
        <v>126</v>
      </c>
      <c r="P594" s="18" t="s">
        <v>131</v>
      </c>
      <c r="Q594" s="18" t="s">
        <v>151</v>
      </c>
      <c r="R594" s="18" t="s">
        <v>133</v>
      </c>
      <c r="S594" s="18" t="s">
        <v>59</v>
      </c>
      <c r="T594" s="38">
        <v>2026.0</v>
      </c>
      <c r="U594" s="38">
        <v>5.0</v>
      </c>
      <c r="V594" s="38">
        <v>1.081522826E9</v>
      </c>
      <c r="W594" s="38">
        <v>1.081540896E9</v>
      </c>
      <c r="X594" s="18" t="s">
        <v>2199</v>
      </c>
      <c r="Y594" s="18" t="s">
        <v>2200</v>
      </c>
      <c r="Z594" s="38">
        <v>75941.0</v>
      </c>
      <c r="AA594" s="38">
        <v>75941.0</v>
      </c>
      <c r="AB594" s="38">
        <v>0.0</v>
      </c>
      <c r="AC594" s="38">
        <v>0.0</v>
      </c>
      <c r="AD594" s="38">
        <v>0.0</v>
      </c>
      <c r="AE594" s="38">
        <v>0.0</v>
      </c>
      <c r="AF594" s="38">
        <v>0.0</v>
      </c>
      <c r="AG594" s="38">
        <v>0.0</v>
      </c>
      <c r="AH594" s="38">
        <v>0.0</v>
      </c>
      <c r="AI594" s="38">
        <v>75941.0</v>
      </c>
      <c r="AJ594" s="38">
        <v>75941.0</v>
      </c>
      <c r="AK594" s="38">
        <v>0.0</v>
      </c>
      <c r="AL594" s="38">
        <v>250.8</v>
      </c>
      <c r="AM594" s="38">
        <v>0.0</v>
      </c>
      <c r="AN594" s="34" t="s">
        <v>62</v>
      </c>
      <c r="AO594" s="34" t="s">
        <v>62</v>
      </c>
      <c r="AP594" s="34" t="s">
        <v>62</v>
      </c>
      <c r="AQ594" s="34" t="s">
        <v>62</v>
      </c>
      <c r="AR594" s="38">
        <v>0.0</v>
      </c>
      <c r="AS594" s="38" t="s">
        <v>2839</v>
      </c>
      <c r="AT594" s="35" t="s">
        <v>2202</v>
      </c>
      <c r="AU594" s="39" t="s">
        <v>2254</v>
      </c>
      <c r="AV594" s="40">
        <v>46170.0</v>
      </c>
    </row>
    <row r="595">
      <c r="A595" s="38">
        <v>318.0</v>
      </c>
      <c r="B595" s="38">
        <v>317.0</v>
      </c>
      <c r="C595" s="38">
        <v>317.0</v>
      </c>
      <c r="D595" s="38">
        <v>9.0240346E7</v>
      </c>
      <c r="E595" s="38">
        <v>9.0240346E7</v>
      </c>
      <c r="F595" s="18" t="s">
        <v>875</v>
      </c>
      <c r="G595" s="18" t="s">
        <v>1817</v>
      </c>
      <c r="H595" s="18" t="s">
        <v>2840</v>
      </c>
      <c r="I595" s="18" t="s">
        <v>343</v>
      </c>
      <c r="J595" s="18" t="s">
        <v>2205</v>
      </c>
      <c r="K595" s="18" t="s">
        <v>2684</v>
      </c>
      <c r="L595" s="18" t="s">
        <v>52</v>
      </c>
      <c r="M595" s="18" t="s">
        <v>89</v>
      </c>
      <c r="N595" s="18" t="s">
        <v>861</v>
      </c>
      <c r="O595" s="18" t="s">
        <v>126</v>
      </c>
      <c r="P595" s="18" t="s">
        <v>131</v>
      </c>
      <c r="Q595" s="18" t="s">
        <v>151</v>
      </c>
      <c r="R595" s="18" t="s">
        <v>133</v>
      </c>
      <c r="S595" s="18" t="s">
        <v>59</v>
      </c>
      <c r="T595" s="38">
        <v>2026.0</v>
      </c>
      <c r="U595" s="38">
        <v>5.0</v>
      </c>
      <c r="V595" s="38">
        <v>1.081522829E9</v>
      </c>
      <c r="W595" s="38">
        <v>1.081540899E9</v>
      </c>
      <c r="X595" s="18" t="s">
        <v>2199</v>
      </c>
      <c r="Y595" s="18" t="s">
        <v>2200</v>
      </c>
      <c r="Z595" s="38">
        <v>75941.0</v>
      </c>
      <c r="AA595" s="38">
        <v>75941.0</v>
      </c>
      <c r="AB595" s="38">
        <v>0.0</v>
      </c>
      <c r="AC595" s="38">
        <v>0.0</v>
      </c>
      <c r="AD595" s="38">
        <v>0.0</v>
      </c>
      <c r="AE595" s="38">
        <v>0.0</v>
      </c>
      <c r="AF595" s="38">
        <v>0.0</v>
      </c>
      <c r="AG595" s="38">
        <v>0.0</v>
      </c>
      <c r="AH595" s="38">
        <v>0.0</v>
      </c>
      <c r="AI595" s="38">
        <v>75941.0</v>
      </c>
      <c r="AJ595" s="38">
        <v>176867.0</v>
      </c>
      <c r="AK595" s="38">
        <v>2.0</v>
      </c>
      <c r="AL595" s="38">
        <v>250.8</v>
      </c>
      <c r="AM595" s="38">
        <v>0.0</v>
      </c>
      <c r="AN595" s="34" t="s">
        <v>62</v>
      </c>
      <c r="AO595" s="34" t="s">
        <v>62</v>
      </c>
      <c r="AP595" s="34" t="s">
        <v>62</v>
      </c>
      <c r="AQ595" s="34" t="s">
        <v>62</v>
      </c>
      <c r="AR595" s="38">
        <v>0.0</v>
      </c>
      <c r="AS595" s="38" t="s">
        <v>2685</v>
      </c>
      <c r="AT595" s="35" t="s">
        <v>2294</v>
      </c>
      <c r="AU595" s="39" t="s">
        <v>2295</v>
      </c>
      <c r="AV595" s="40">
        <v>46164.0</v>
      </c>
    </row>
    <row r="596">
      <c r="A596" s="38">
        <v>455370.0</v>
      </c>
      <c r="B596" s="38">
        <v>321.0</v>
      </c>
      <c r="C596" s="38">
        <v>321.0</v>
      </c>
      <c r="D596" s="38">
        <v>9.0240651E7</v>
      </c>
      <c r="E596" s="38">
        <v>9.0240651E7</v>
      </c>
      <c r="F596" s="18" t="s">
        <v>148</v>
      </c>
      <c r="G596" s="18" t="s">
        <v>149</v>
      </c>
      <c r="H596" s="18" t="s">
        <v>2296</v>
      </c>
      <c r="I596" s="18" t="s">
        <v>343</v>
      </c>
      <c r="J596" s="18" t="s">
        <v>2205</v>
      </c>
      <c r="K596" s="18" t="s">
        <v>2611</v>
      </c>
      <c r="L596" s="18" t="s">
        <v>52</v>
      </c>
      <c r="M596" s="18" t="s">
        <v>53</v>
      </c>
      <c r="N596" s="18" t="s">
        <v>861</v>
      </c>
      <c r="O596" s="18" t="s">
        <v>126</v>
      </c>
      <c r="P596" s="18" t="s">
        <v>56</v>
      </c>
      <c r="Q596" s="18" t="s">
        <v>57</v>
      </c>
      <c r="R596" s="18" t="s">
        <v>143</v>
      </c>
      <c r="S596" s="18" t="s">
        <v>59</v>
      </c>
      <c r="T596" s="38">
        <v>2026.0</v>
      </c>
      <c r="U596" s="38">
        <v>5.0</v>
      </c>
      <c r="V596" s="38">
        <v>1.081522833E9</v>
      </c>
      <c r="W596" s="38">
        <v>1.081540903E9</v>
      </c>
      <c r="X596" s="18" t="s">
        <v>2199</v>
      </c>
      <c r="Y596" s="18" t="s">
        <v>2200</v>
      </c>
      <c r="Z596" s="38">
        <v>585766.74</v>
      </c>
      <c r="AA596" s="38">
        <v>585766.74</v>
      </c>
      <c r="AB596" s="38">
        <v>0.0</v>
      </c>
      <c r="AC596" s="38">
        <v>2885.0</v>
      </c>
      <c r="AD596" s="38">
        <v>0.0</v>
      </c>
      <c r="AE596" s="38">
        <v>0.0</v>
      </c>
      <c r="AF596" s="38">
        <v>0.0</v>
      </c>
      <c r="AG596" s="38">
        <v>0.0</v>
      </c>
      <c r="AH596" s="38">
        <v>0.0</v>
      </c>
      <c r="AI596" s="38">
        <v>585766.74</v>
      </c>
      <c r="AJ596" s="38">
        <v>1320767.35</v>
      </c>
      <c r="AK596" s="38">
        <v>3.0</v>
      </c>
      <c r="AL596" s="38">
        <v>250.8</v>
      </c>
      <c r="AM596" s="38">
        <v>0.0</v>
      </c>
      <c r="AN596" s="34" t="s">
        <v>62</v>
      </c>
      <c r="AO596" s="34" t="s">
        <v>62</v>
      </c>
      <c r="AP596" s="34" t="s">
        <v>62</v>
      </c>
      <c r="AQ596" s="34" t="s">
        <v>62</v>
      </c>
      <c r="AR596" s="38">
        <v>0.0</v>
      </c>
      <c r="AS596" s="38" t="s">
        <v>2293</v>
      </c>
      <c r="AT596" s="35" t="s">
        <v>2294</v>
      </c>
      <c r="AU596" s="39" t="s">
        <v>2295</v>
      </c>
      <c r="AV596" s="40">
        <v>46164.0</v>
      </c>
    </row>
    <row r="597">
      <c r="A597" s="38">
        <v>326.0</v>
      </c>
      <c r="B597" s="38">
        <v>325.0</v>
      </c>
      <c r="C597" s="38">
        <v>325.0</v>
      </c>
      <c r="D597" s="38">
        <v>9.0240854E7</v>
      </c>
      <c r="E597" s="38">
        <v>9.0240854E7</v>
      </c>
      <c r="F597" s="38">
        <v>5380605.0</v>
      </c>
      <c r="G597" s="18" t="s">
        <v>1820</v>
      </c>
      <c r="H597" s="18" t="s">
        <v>2841</v>
      </c>
      <c r="I597" s="18" t="s">
        <v>343</v>
      </c>
      <c r="J597" s="18" t="s">
        <v>2205</v>
      </c>
      <c r="K597" s="18" t="s">
        <v>2205</v>
      </c>
      <c r="L597" s="18" t="s">
        <v>52</v>
      </c>
      <c r="M597" s="18" t="s">
        <v>89</v>
      </c>
      <c r="N597" s="18" t="s">
        <v>861</v>
      </c>
      <c r="O597" s="18" t="s">
        <v>126</v>
      </c>
      <c r="P597" s="18" t="s">
        <v>131</v>
      </c>
      <c r="Q597" s="18" t="s">
        <v>132</v>
      </c>
      <c r="R597" s="18" t="s">
        <v>133</v>
      </c>
      <c r="S597" s="18" t="s">
        <v>59</v>
      </c>
      <c r="T597" s="38">
        <v>2026.0</v>
      </c>
      <c r="U597" s="38">
        <v>5.0</v>
      </c>
      <c r="V597" s="38">
        <v>1.081522837E9</v>
      </c>
      <c r="W597" s="38">
        <v>1.081540907E9</v>
      </c>
      <c r="X597" s="18" t="s">
        <v>2199</v>
      </c>
      <c r="Y597" s="18" t="s">
        <v>2200</v>
      </c>
      <c r="Z597" s="38">
        <v>114181.81</v>
      </c>
      <c r="AA597" s="38">
        <v>114181.81</v>
      </c>
      <c r="AB597" s="38">
        <v>37970.5</v>
      </c>
      <c r="AC597" s="38">
        <v>0.0</v>
      </c>
      <c r="AD597" s="38">
        <v>270.31</v>
      </c>
      <c r="AE597" s="38">
        <v>0.0</v>
      </c>
      <c r="AF597" s="38">
        <v>0.0</v>
      </c>
      <c r="AG597" s="38">
        <v>0.0</v>
      </c>
      <c r="AH597" s="38">
        <v>0.0</v>
      </c>
      <c r="AI597" s="38">
        <v>114181.81</v>
      </c>
      <c r="AJ597" s="38">
        <v>226606.81</v>
      </c>
      <c r="AK597" s="38">
        <v>1.0</v>
      </c>
      <c r="AL597" s="38">
        <v>376.2</v>
      </c>
      <c r="AM597" s="38">
        <v>0.0</v>
      </c>
      <c r="AN597" s="34" t="s">
        <v>62</v>
      </c>
      <c r="AO597" s="34" t="s">
        <v>62</v>
      </c>
      <c r="AP597" s="34" t="s">
        <v>62</v>
      </c>
      <c r="AQ597" s="34" t="s">
        <v>62</v>
      </c>
      <c r="AR597" s="38">
        <v>0.0</v>
      </c>
      <c r="AS597" s="38" t="s">
        <v>2842</v>
      </c>
      <c r="AT597" s="35" t="s">
        <v>2202</v>
      </c>
      <c r="AU597" s="39" t="s">
        <v>2254</v>
      </c>
      <c r="AV597" s="40">
        <v>46170.0</v>
      </c>
    </row>
    <row r="598">
      <c r="A598" s="38">
        <v>699.0</v>
      </c>
      <c r="B598" s="38">
        <v>32693.0</v>
      </c>
      <c r="C598" s="38">
        <v>32693.0</v>
      </c>
      <c r="D598" s="38">
        <v>96775.0</v>
      </c>
      <c r="E598" s="38">
        <v>96775.0</v>
      </c>
      <c r="F598" s="38">
        <v>9.00480569E8</v>
      </c>
      <c r="G598" s="18" t="s">
        <v>141</v>
      </c>
      <c r="H598" s="18" t="s">
        <v>2255</v>
      </c>
      <c r="I598" s="18" t="s">
        <v>873</v>
      </c>
      <c r="J598" s="18" t="s">
        <v>2205</v>
      </c>
      <c r="K598" s="18" t="s">
        <v>2256</v>
      </c>
      <c r="L598" s="18" t="s">
        <v>52</v>
      </c>
      <c r="M598" s="18" t="s">
        <v>53</v>
      </c>
      <c r="N598" s="18" t="s">
        <v>861</v>
      </c>
      <c r="O598" s="18" t="s">
        <v>126</v>
      </c>
      <c r="P598" s="18" t="s">
        <v>56</v>
      </c>
      <c r="Q598" s="18" t="s">
        <v>90</v>
      </c>
      <c r="R598" s="18" t="s">
        <v>143</v>
      </c>
      <c r="S598" s="18" t="s">
        <v>59</v>
      </c>
      <c r="T598" s="38">
        <v>2026.0</v>
      </c>
      <c r="U598" s="38">
        <v>5.0</v>
      </c>
      <c r="V598" s="38">
        <v>1.081523059E9</v>
      </c>
      <c r="W598" s="38">
        <v>1.081541129E9</v>
      </c>
      <c r="X598" s="18" t="s">
        <v>2199</v>
      </c>
      <c r="Y598" s="18" t="s">
        <v>2200</v>
      </c>
      <c r="Z598" s="38">
        <v>599771.39</v>
      </c>
      <c r="AA598" s="38">
        <v>599771.39</v>
      </c>
      <c r="AB598" s="38">
        <v>193042.79</v>
      </c>
      <c r="AC598" s="38">
        <v>1833.0</v>
      </c>
      <c r="AD598" s="38">
        <v>20643.04</v>
      </c>
      <c r="AE598" s="38">
        <v>0.0</v>
      </c>
      <c r="AF598" s="38">
        <v>0.0</v>
      </c>
      <c r="AG598" s="38">
        <v>0.0</v>
      </c>
      <c r="AH598" s="38">
        <v>0.0</v>
      </c>
      <c r="AI598" s="38">
        <v>599771.39</v>
      </c>
      <c r="AJ598" s="38">
        <v>599772.09</v>
      </c>
      <c r="AK598" s="38">
        <v>1.0</v>
      </c>
      <c r="AL598" s="38">
        <v>376.2</v>
      </c>
      <c r="AM598" s="38">
        <v>0.0</v>
      </c>
      <c r="AN598" s="34" t="s">
        <v>62</v>
      </c>
      <c r="AO598" s="34" t="s">
        <v>62</v>
      </c>
      <c r="AP598" s="34" t="s">
        <v>62</v>
      </c>
      <c r="AQ598" s="34" t="s">
        <v>62</v>
      </c>
      <c r="AR598" s="38">
        <v>0.0</v>
      </c>
      <c r="AS598" s="38" t="s">
        <v>2257</v>
      </c>
      <c r="AT598" s="35" t="s">
        <v>2202</v>
      </c>
      <c r="AU598" s="39" t="s">
        <v>2203</v>
      </c>
      <c r="AV598" s="40">
        <v>46163.0</v>
      </c>
    </row>
    <row r="599">
      <c r="A599" s="38">
        <v>330.0</v>
      </c>
      <c r="B599" s="38">
        <v>329.0</v>
      </c>
      <c r="C599" s="38">
        <v>329.0</v>
      </c>
      <c r="D599" s="38">
        <v>9.0240881E7</v>
      </c>
      <c r="E599" s="38">
        <v>9.0240881E7</v>
      </c>
      <c r="F599" s="38">
        <v>9.0240881E7</v>
      </c>
      <c r="G599" s="18" t="s">
        <v>1274</v>
      </c>
      <c r="H599" s="18" t="s">
        <v>2843</v>
      </c>
      <c r="I599" s="18" t="s">
        <v>343</v>
      </c>
      <c r="J599" s="18" t="s">
        <v>982</v>
      </c>
      <c r="K599" s="18" t="s">
        <v>982</v>
      </c>
      <c r="L599" s="18" t="s">
        <v>52</v>
      </c>
      <c r="M599" s="18" t="s">
        <v>89</v>
      </c>
      <c r="N599" s="18" t="s">
        <v>861</v>
      </c>
      <c r="O599" s="18" t="s">
        <v>126</v>
      </c>
      <c r="P599" s="18" t="s">
        <v>131</v>
      </c>
      <c r="Q599" s="18" t="s">
        <v>363</v>
      </c>
      <c r="R599" s="18" t="s">
        <v>133</v>
      </c>
      <c r="S599" s="18" t="s">
        <v>59</v>
      </c>
      <c r="T599" s="38">
        <v>2026.0</v>
      </c>
      <c r="U599" s="38">
        <v>5.0</v>
      </c>
      <c r="V599" s="38">
        <v>1.081522842E9</v>
      </c>
      <c r="W599" s="38">
        <v>1.081540912E9</v>
      </c>
      <c r="X599" s="18" t="s">
        <v>2199</v>
      </c>
      <c r="Y599" s="18" t="s">
        <v>2200</v>
      </c>
      <c r="Z599" s="38">
        <v>76141.5</v>
      </c>
      <c r="AA599" s="38">
        <v>76141.5</v>
      </c>
      <c r="AB599" s="38">
        <v>25380.5</v>
      </c>
      <c r="AC599" s="38">
        <v>0.0</v>
      </c>
      <c r="AD599" s="38">
        <v>0.0</v>
      </c>
      <c r="AE599" s="38">
        <v>0.0</v>
      </c>
      <c r="AF599" s="38">
        <v>0.0</v>
      </c>
      <c r="AG599" s="38">
        <v>0.0</v>
      </c>
      <c r="AH599" s="38">
        <v>0.0</v>
      </c>
      <c r="AI599" s="38">
        <v>76141.5</v>
      </c>
      <c r="AJ599" s="38">
        <v>76142.22</v>
      </c>
      <c r="AK599" s="38">
        <v>1.0</v>
      </c>
      <c r="AL599" s="38">
        <v>376.2</v>
      </c>
      <c r="AM599" s="38">
        <v>0.0</v>
      </c>
      <c r="AN599" s="34" t="s">
        <v>62</v>
      </c>
      <c r="AO599" s="34" t="s">
        <v>62</v>
      </c>
      <c r="AP599" s="34" t="s">
        <v>62</v>
      </c>
      <c r="AQ599" s="34" t="s">
        <v>62</v>
      </c>
      <c r="AR599" s="38">
        <v>0.0</v>
      </c>
      <c r="AS599" s="38" t="e">
        <v>#ERROR!</v>
      </c>
      <c r="AT599" s="35" t="s">
        <v>2275</v>
      </c>
      <c r="AU599" s="39" t="s">
        <v>2326</v>
      </c>
      <c r="AV599" s="40">
        <v>46163.0</v>
      </c>
    </row>
    <row r="600">
      <c r="A600" s="38">
        <v>455370.0</v>
      </c>
      <c r="B600" s="38">
        <v>337.0</v>
      </c>
      <c r="C600" s="38">
        <v>337.0</v>
      </c>
      <c r="D600" s="38">
        <v>9.0241161E7</v>
      </c>
      <c r="E600" s="38">
        <v>9.0241161E7</v>
      </c>
      <c r="F600" s="18" t="s">
        <v>148</v>
      </c>
      <c r="G600" s="18" t="s">
        <v>149</v>
      </c>
      <c r="H600" s="18" t="s">
        <v>2296</v>
      </c>
      <c r="I600" s="18" t="s">
        <v>443</v>
      </c>
      <c r="J600" s="18" t="s">
        <v>2205</v>
      </c>
      <c r="K600" s="18" t="s">
        <v>2611</v>
      </c>
      <c r="L600" s="18" t="s">
        <v>52</v>
      </c>
      <c r="M600" s="18" t="s">
        <v>53</v>
      </c>
      <c r="N600" s="18" t="s">
        <v>861</v>
      </c>
      <c r="O600" s="18" t="s">
        <v>126</v>
      </c>
      <c r="P600" s="18" t="s">
        <v>56</v>
      </c>
      <c r="Q600" s="18" t="s">
        <v>57</v>
      </c>
      <c r="R600" s="18" t="s">
        <v>143</v>
      </c>
      <c r="S600" s="18" t="s">
        <v>59</v>
      </c>
      <c r="T600" s="38">
        <v>2026.0</v>
      </c>
      <c r="U600" s="38">
        <v>5.0</v>
      </c>
      <c r="V600" s="38">
        <v>1.081522846E9</v>
      </c>
      <c r="W600" s="38">
        <v>1.081540916E9</v>
      </c>
      <c r="X600" s="18" t="s">
        <v>2199</v>
      </c>
      <c r="Y600" s="18" t="s">
        <v>2200</v>
      </c>
      <c r="Z600" s="38">
        <v>380770.86</v>
      </c>
      <c r="AA600" s="38">
        <v>380770.86</v>
      </c>
      <c r="AB600" s="38">
        <v>0.0</v>
      </c>
      <c r="AC600" s="38">
        <v>1805.0</v>
      </c>
      <c r="AD600" s="38">
        <v>0.0</v>
      </c>
      <c r="AE600" s="38">
        <v>0.0</v>
      </c>
      <c r="AF600" s="38">
        <v>0.0</v>
      </c>
      <c r="AG600" s="38">
        <v>0.0</v>
      </c>
      <c r="AH600" s="38">
        <v>0.0</v>
      </c>
      <c r="AI600" s="38">
        <v>380770.86</v>
      </c>
      <c r="AJ600" s="38">
        <v>915698.23</v>
      </c>
      <c r="AK600" s="38">
        <v>3.0</v>
      </c>
      <c r="AL600" s="38">
        <v>250.8</v>
      </c>
      <c r="AM600" s="38">
        <v>0.0</v>
      </c>
      <c r="AN600" s="34" t="s">
        <v>62</v>
      </c>
      <c r="AO600" s="34" t="s">
        <v>62</v>
      </c>
      <c r="AP600" s="34" t="s">
        <v>62</v>
      </c>
      <c r="AQ600" s="34" t="s">
        <v>62</v>
      </c>
      <c r="AR600" s="38">
        <v>0.0</v>
      </c>
      <c r="AS600" s="38" t="s">
        <v>2293</v>
      </c>
      <c r="AT600" s="35" t="s">
        <v>2294</v>
      </c>
      <c r="AU600" s="39" t="s">
        <v>2295</v>
      </c>
      <c r="AV600" s="40">
        <v>46164.0</v>
      </c>
    </row>
    <row r="601">
      <c r="A601" s="38">
        <v>455370.0</v>
      </c>
      <c r="B601" s="38">
        <v>338221.0</v>
      </c>
      <c r="C601" s="38">
        <v>338221.0</v>
      </c>
      <c r="D601" s="38">
        <v>115694.0</v>
      </c>
      <c r="E601" s="38">
        <v>115694.0</v>
      </c>
      <c r="F601" s="18" t="s">
        <v>148</v>
      </c>
      <c r="G601" s="18" t="s">
        <v>149</v>
      </c>
      <c r="H601" s="18" t="s">
        <v>2296</v>
      </c>
      <c r="I601" s="18" t="s">
        <v>1193</v>
      </c>
      <c r="J601" s="18" t="s">
        <v>2205</v>
      </c>
      <c r="K601" s="18" t="s">
        <v>2611</v>
      </c>
      <c r="L601" s="18" t="s">
        <v>52</v>
      </c>
      <c r="M601" s="18" t="s">
        <v>1060</v>
      </c>
      <c r="N601" s="18" t="s">
        <v>861</v>
      </c>
      <c r="O601" s="18" t="s">
        <v>126</v>
      </c>
      <c r="P601" s="18" t="s">
        <v>56</v>
      </c>
      <c r="Q601" s="18" t="s">
        <v>57</v>
      </c>
      <c r="R601" s="18" t="s">
        <v>143</v>
      </c>
      <c r="S601" s="18" t="s">
        <v>59</v>
      </c>
      <c r="T601" s="38">
        <v>2026.0</v>
      </c>
      <c r="U601" s="38">
        <v>5.0</v>
      </c>
      <c r="V601" s="38">
        <v>1.081523151E9</v>
      </c>
      <c r="W601" s="38">
        <v>1.081541221E9</v>
      </c>
      <c r="X601" s="18" t="s">
        <v>2199</v>
      </c>
      <c r="Y601" s="18" t="s">
        <v>2200</v>
      </c>
      <c r="Z601" s="38">
        <v>51820.18</v>
      </c>
      <c r="AA601" s="38">
        <v>51820.18</v>
      </c>
      <c r="AB601" s="38">
        <v>0.0</v>
      </c>
      <c r="AC601" s="38">
        <v>253.0</v>
      </c>
      <c r="AD601" s="38">
        <v>0.0</v>
      </c>
      <c r="AE601" s="38">
        <v>0.0</v>
      </c>
      <c r="AF601" s="38">
        <v>0.0</v>
      </c>
      <c r="AG601" s="38">
        <v>0.0</v>
      </c>
      <c r="AH601" s="38">
        <v>0.0</v>
      </c>
      <c r="AI601" s="38">
        <v>51820.18</v>
      </c>
      <c r="AJ601" s="38">
        <v>202896.89</v>
      </c>
      <c r="AK601" s="38">
        <v>3.0</v>
      </c>
      <c r="AL601" s="38">
        <v>250.8</v>
      </c>
      <c r="AM601" s="38">
        <v>0.0</v>
      </c>
      <c r="AN601" s="34" t="s">
        <v>62</v>
      </c>
      <c r="AO601" s="34" t="s">
        <v>62</v>
      </c>
      <c r="AP601" s="34" t="s">
        <v>62</v>
      </c>
      <c r="AQ601" s="34" t="s">
        <v>62</v>
      </c>
      <c r="AR601" s="38">
        <v>0.0</v>
      </c>
      <c r="AS601" s="38" t="s">
        <v>2293</v>
      </c>
      <c r="AT601" s="38" t="s">
        <v>2294</v>
      </c>
      <c r="AU601" s="39" t="s">
        <v>2295</v>
      </c>
      <c r="AV601" s="40">
        <v>46164.0</v>
      </c>
    </row>
    <row r="602">
      <c r="A602" s="38">
        <v>341730.0</v>
      </c>
      <c r="B602" s="38">
        <v>341729.0</v>
      </c>
      <c r="C602" s="38">
        <v>341729.0</v>
      </c>
      <c r="D602" s="38">
        <v>17411.0</v>
      </c>
      <c r="E602" s="38">
        <v>17411.0</v>
      </c>
      <c r="F602" s="38">
        <v>8.07005857E8</v>
      </c>
      <c r="G602" s="18" t="s">
        <v>1826</v>
      </c>
      <c r="H602" s="18" t="s">
        <v>2844</v>
      </c>
      <c r="I602" s="18" t="s">
        <v>860</v>
      </c>
      <c r="J602" s="18" t="s">
        <v>982</v>
      </c>
      <c r="K602" s="18" t="s">
        <v>982</v>
      </c>
      <c r="L602" s="18" t="s">
        <v>52</v>
      </c>
      <c r="M602" s="18" t="s">
        <v>89</v>
      </c>
      <c r="N602" s="18" t="s">
        <v>861</v>
      </c>
      <c r="O602" s="18" t="s">
        <v>126</v>
      </c>
      <c r="P602" s="18" t="s">
        <v>131</v>
      </c>
      <c r="Q602" s="18" t="s">
        <v>132</v>
      </c>
      <c r="R602" s="18" t="s">
        <v>133</v>
      </c>
      <c r="S602" s="18" t="s">
        <v>59</v>
      </c>
      <c r="T602" s="38">
        <v>2026.0</v>
      </c>
      <c r="U602" s="38">
        <v>5.0</v>
      </c>
      <c r="V602" s="38">
        <v>1.081523155E9</v>
      </c>
      <c r="W602" s="38">
        <v>1.081541225E9</v>
      </c>
      <c r="X602" s="18" t="s">
        <v>2199</v>
      </c>
      <c r="Y602" s="18" t="s">
        <v>2200</v>
      </c>
      <c r="Z602" s="38">
        <v>113911.5</v>
      </c>
      <c r="AA602" s="38">
        <v>113911.5</v>
      </c>
      <c r="AB602" s="38">
        <v>37970.5</v>
      </c>
      <c r="AC602" s="38">
        <v>0.0</v>
      </c>
      <c r="AD602" s="38">
        <v>0.0</v>
      </c>
      <c r="AE602" s="38">
        <v>0.0</v>
      </c>
      <c r="AF602" s="38">
        <v>0.0</v>
      </c>
      <c r="AG602" s="38">
        <v>0.0</v>
      </c>
      <c r="AH602" s="38">
        <v>0.0</v>
      </c>
      <c r="AI602" s="38">
        <v>113911.5</v>
      </c>
      <c r="AJ602" s="38">
        <v>113911.5</v>
      </c>
      <c r="AK602" s="38">
        <v>0.0</v>
      </c>
      <c r="AL602" s="38">
        <v>376.2</v>
      </c>
      <c r="AM602" s="38">
        <v>0.0</v>
      </c>
      <c r="AN602" s="34" t="s">
        <v>62</v>
      </c>
      <c r="AO602" s="34" t="s">
        <v>62</v>
      </c>
      <c r="AP602" s="34" t="s">
        <v>62</v>
      </c>
      <c r="AQ602" s="34" t="s">
        <v>62</v>
      </c>
      <c r="AR602" s="38">
        <v>0.0</v>
      </c>
      <c r="AS602" s="38" t="s">
        <v>2845</v>
      </c>
      <c r="AT602" s="35" t="s">
        <v>2275</v>
      </c>
      <c r="AU602" s="39" t="s">
        <v>2326</v>
      </c>
      <c r="AV602" s="40">
        <v>46163.0</v>
      </c>
    </row>
    <row r="603">
      <c r="A603" s="38">
        <v>346.0</v>
      </c>
      <c r="B603" s="38">
        <v>345.0</v>
      </c>
      <c r="C603" s="38">
        <v>345.0</v>
      </c>
      <c r="D603" s="38">
        <v>9.0241562E7</v>
      </c>
      <c r="E603" s="38">
        <v>9.0241562E7</v>
      </c>
      <c r="F603" s="38">
        <v>9.01887267E8</v>
      </c>
      <c r="G603" s="18" t="s">
        <v>1828</v>
      </c>
      <c r="H603" s="18" t="s">
        <v>2846</v>
      </c>
      <c r="I603" s="18" t="s">
        <v>443</v>
      </c>
      <c r="J603" s="18" t="s">
        <v>2205</v>
      </c>
      <c r="K603" s="18" t="s">
        <v>2205</v>
      </c>
      <c r="L603" s="18" t="s">
        <v>52</v>
      </c>
      <c r="M603" s="18" t="s">
        <v>89</v>
      </c>
      <c r="N603" s="18" t="s">
        <v>861</v>
      </c>
      <c r="O603" s="18" t="s">
        <v>126</v>
      </c>
      <c r="P603" s="18" t="s">
        <v>56</v>
      </c>
      <c r="Q603" s="18" t="s">
        <v>90</v>
      </c>
      <c r="R603" s="18" t="s">
        <v>143</v>
      </c>
      <c r="S603" s="18" t="s">
        <v>59</v>
      </c>
      <c r="T603" s="38">
        <v>2026.0</v>
      </c>
      <c r="U603" s="38">
        <v>5.0</v>
      </c>
      <c r="V603" s="38">
        <v>1.08152285E9</v>
      </c>
      <c r="W603" s="38">
        <v>1.08154092E9</v>
      </c>
      <c r="X603" s="18" t="s">
        <v>2199</v>
      </c>
      <c r="Y603" s="18" t="s">
        <v>2200</v>
      </c>
      <c r="Z603" s="38">
        <v>199601.25</v>
      </c>
      <c r="AA603" s="38">
        <v>199601.25</v>
      </c>
      <c r="AB603" s="38">
        <v>66533.75</v>
      </c>
      <c r="AC603" s="38">
        <v>500.0</v>
      </c>
      <c r="AD603" s="38">
        <v>0.0</v>
      </c>
      <c r="AE603" s="38">
        <v>0.0</v>
      </c>
      <c r="AF603" s="38">
        <v>0.0</v>
      </c>
      <c r="AG603" s="38">
        <v>0.0</v>
      </c>
      <c r="AH603" s="38">
        <v>0.0</v>
      </c>
      <c r="AI603" s="38">
        <v>199601.25</v>
      </c>
      <c r="AJ603" s="38">
        <v>199601.25</v>
      </c>
      <c r="AK603" s="38">
        <v>0.0</v>
      </c>
      <c r="AL603" s="38">
        <v>376.2</v>
      </c>
      <c r="AM603" s="38">
        <v>0.0</v>
      </c>
      <c r="AN603" s="34" t="s">
        <v>62</v>
      </c>
      <c r="AO603" s="34" t="s">
        <v>62</v>
      </c>
      <c r="AP603" s="34" t="s">
        <v>62</v>
      </c>
      <c r="AQ603" s="34" t="s">
        <v>62</v>
      </c>
      <c r="AR603" s="38">
        <v>0.0</v>
      </c>
      <c r="AS603" s="38" t="s">
        <v>2847</v>
      </c>
      <c r="AT603" s="35" t="s">
        <v>2202</v>
      </c>
      <c r="AU603" s="39" t="s">
        <v>2254</v>
      </c>
      <c r="AV603" s="40">
        <v>46170.0</v>
      </c>
    </row>
    <row r="604">
      <c r="A604" s="38">
        <v>350.0</v>
      </c>
      <c r="B604" s="38">
        <v>349.0</v>
      </c>
      <c r="C604" s="38">
        <v>349.0</v>
      </c>
      <c r="D604" s="38">
        <v>9.0242126E7</v>
      </c>
      <c r="E604" s="38">
        <v>9.0242126E7</v>
      </c>
      <c r="F604" s="38">
        <v>9.00603041E8</v>
      </c>
      <c r="G604" s="18" t="s">
        <v>400</v>
      </c>
      <c r="H604" s="18" t="s">
        <v>2304</v>
      </c>
      <c r="I604" s="18" t="s">
        <v>1093</v>
      </c>
      <c r="J604" s="18" t="s">
        <v>2205</v>
      </c>
      <c r="K604" s="18" t="s">
        <v>2305</v>
      </c>
      <c r="L604" s="18" t="s">
        <v>52</v>
      </c>
      <c r="M604" s="18" t="s">
        <v>89</v>
      </c>
      <c r="N604" s="18" t="s">
        <v>861</v>
      </c>
      <c r="O604" s="18" t="s">
        <v>126</v>
      </c>
      <c r="P604" s="18" t="s">
        <v>131</v>
      </c>
      <c r="Q604" s="18" t="s">
        <v>132</v>
      </c>
      <c r="R604" s="18" t="s">
        <v>133</v>
      </c>
      <c r="S604" s="18" t="s">
        <v>163</v>
      </c>
      <c r="T604" s="38">
        <v>2026.0</v>
      </c>
      <c r="U604" s="38">
        <v>5.0</v>
      </c>
      <c r="V604" s="38">
        <v>1.081522854E9</v>
      </c>
      <c r="W604" s="38">
        <v>1.081540924E9</v>
      </c>
      <c r="X604" s="18" t="s">
        <v>2199</v>
      </c>
      <c r="Y604" s="18" t="s">
        <v>2200</v>
      </c>
      <c r="Z604" s="38">
        <v>57505.3</v>
      </c>
      <c r="AA604" s="38">
        <v>57505.3</v>
      </c>
      <c r="AB604" s="38">
        <v>18873.0</v>
      </c>
      <c r="AC604" s="38">
        <v>0.0</v>
      </c>
      <c r="AD604" s="38">
        <v>886.3</v>
      </c>
      <c r="AE604" s="38">
        <v>0.0</v>
      </c>
      <c r="AF604" s="38">
        <v>0.0</v>
      </c>
      <c r="AG604" s="38">
        <v>0.0</v>
      </c>
      <c r="AH604" s="38">
        <v>0.0</v>
      </c>
      <c r="AI604" s="38">
        <v>57505.3</v>
      </c>
      <c r="AJ604" s="38">
        <v>170532.86</v>
      </c>
      <c r="AK604" s="38">
        <v>2.0</v>
      </c>
      <c r="AL604" s="38">
        <v>376.2</v>
      </c>
      <c r="AM604" s="38">
        <v>0.0</v>
      </c>
      <c r="AN604" s="34" t="s">
        <v>62</v>
      </c>
      <c r="AO604" s="34" t="s">
        <v>62</v>
      </c>
      <c r="AP604" s="34" t="s">
        <v>62</v>
      </c>
      <c r="AQ604" s="34" t="s">
        <v>62</v>
      </c>
      <c r="AR604" s="38">
        <v>0.0</v>
      </c>
      <c r="AS604" s="38" t="s">
        <v>2306</v>
      </c>
      <c r="AT604" s="35" t="s">
        <v>2202</v>
      </c>
      <c r="AU604" s="39" t="s">
        <v>2203</v>
      </c>
      <c r="AV604" s="40">
        <v>46164.0</v>
      </c>
    </row>
    <row r="605">
      <c r="A605" s="38">
        <v>232.0</v>
      </c>
      <c r="B605" s="38">
        <v>353.0</v>
      </c>
      <c r="C605" s="38">
        <v>353.0</v>
      </c>
      <c r="D605" s="38">
        <v>9.0242449E7</v>
      </c>
      <c r="E605" s="38">
        <v>9.0242449E7</v>
      </c>
      <c r="F605" s="38">
        <v>8.30122566E8</v>
      </c>
      <c r="G605" s="18" t="s">
        <v>193</v>
      </c>
      <c r="H605" s="18" t="s">
        <v>2282</v>
      </c>
      <c r="I605" s="18" t="s">
        <v>982</v>
      </c>
      <c r="J605" s="18" t="s">
        <v>2205</v>
      </c>
      <c r="K605" s="18" t="s">
        <v>2283</v>
      </c>
      <c r="L605" s="18" t="s">
        <v>52</v>
      </c>
      <c r="M605" s="18" t="s">
        <v>53</v>
      </c>
      <c r="N605" s="18" t="s">
        <v>861</v>
      </c>
      <c r="O605" s="18" t="s">
        <v>126</v>
      </c>
      <c r="P605" s="18" t="s">
        <v>131</v>
      </c>
      <c r="Q605" s="18" t="s">
        <v>151</v>
      </c>
      <c r="R605" s="18" t="s">
        <v>133</v>
      </c>
      <c r="S605" s="18" t="s">
        <v>59</v>
      </c>
      <c r="T605" s="38">
        <v>2026.0</v>
      </c>
      <c r="U605" s="38">
        <v>5.0</v>
      </c>
      <c r="V605" s="38">
        <v>1.081522858E9</v>
      </c>
      <c r="W605" s="38">
        <v>1.081540928E9</v>
      </c>
      <c r="X605" s="18" t="s">
        <v>2199</v>
      </c>
      <c r="Y605" s="18" t="s">
        <v>2200</v>
      </c>
      <c r="Z605" s="38">
        <v>75941.0</v>
      </c>
      <c r="AA605" s="38">
        <v>75941.0</v>
      </c>
      <c r="AB605" s="38">
        <v>0.0</v>
      </c>
      <c r="AC605" s="38">
        <v>0.0</v>
      </c>
      <c r="AD605" s="38">
        <v>0.0</v>
      </c>
      <c r="AE605" s="38">
        <v>0.0</v>
      </c>
      <c r="AF605" s="38">
        <v>0.0</v>
      </c>
      <c r="AG605" s="38">
        <v>0.0</v>
      </c>
      <c r="AH605" s="38">
        <v>0.0</v>
      </c>
      <c r="AI605" s="38">
        <v>75941.0</v>
      </c>
      <c r="AJ605" s="38">
        <v>150891.0</v>
      </c>
      <c r="AK605" s="38">
        <v>1.0</v>
      </c>
      <c r="AL605" s="38">
        <v>250.8</v>
      </c>
      <c r="AM605" s="38">
        <v>0.0</v>
      </c>
      <c r="AN605" s="34" t="s">
        <v>62</v>
      </c>
      <c r="AO605" s="34" t="s">
        <v>62</v>
      </c>
      <c r="AP605" s="34" t="s">
        <v>62</v>
      </c>
      <c r="AQ605" s="34" t="s">
        <v>62</v>
      </c>
      <c r="AR605" s="38">
        <v>0.0</v>
      </c>
      <c r="AS605" s="38" t="s">
        <v>2284</v>
      </c>
      <c r="AT605" s="35" t="s">
        <v>2202</v>
      </c>
      <c r="AU605" s="39" t="s">
        <v>2203</v>
      </c>
      <c r="AV605" s="40">
        <v>46164.0</v>
      </c>
    </row>
    <row r="606">
      <c r="A606" s="38">
        <v>358.0</v>
      </c>
      <c r="B606" s="38">
        <v>357.0</v>
      </c>
      <c r="C606" s="38">
        <v>357.0</v>
      </c>
      <c r="D606" s="38">
        <v>9.0242671E7</v>
      </c>
      <c r="E606" s="38">
        <v>9.0242671E7</v>
      </c>
      <c r="F606" s="38">
        <v>9024267.0</v>
      </c>
      <c r="G606" s="18" t="s">
        <v>1832</v>
      </c>
      <c r="H606" s="18" t="s">
        <v>2848</v>
      </c>
      <c r="I606" s="18" t="s">
        <v>982</v>
      </c>
      <c r="J606" s="18" t="s">
        <v>2205</v>
      </c>
      <c r="K606" s="18" t="s">
        <v>2205</v>
      </c>
      <c r="L606" s="18" t="s">
        <v>52</v>
      </c>
      <c r="M606" s="18" t="s">
        <v>89</v>
      </c>
      <c r="N606" s="18" t="s">
        <v>861</v>
      </c>
      <c r="O606" s="18" t="s">
        <v>126</v>
      </c>
      <c r="P606" s="18" t="s">
        <v>56</v>
      </c>
      <c r="Q606" s="18" t="s">
        <v>90</v>
      </c>
      <c r="R606" s="18" t="s">
        <v>143</v>
      </c>
      <c r="S606" s="18" t="s">
        <v>59</v>
      </c>
      <c r="T606" s="38">
        <v>2026.0</v>
      </c>
      <c r="U606" s="38">
        <v>5.0</v>
      </c>
      <c r="V606" s="38">
        <v>1.08152286E9</v>
      </c>
      <c r="W606" s="38">
        <v>1.08154093E9</v>
      </c>
      <c r="X606" s="18" t="s">
        <v>2199</v>
      </c>
      <c r="Y606" s="18" t="s">
        <v>2200</v>
      </c>
      <c r="Z606" s="38">
        <v>199601.25</v>
      </c>
      <c r="AA606" s="38">
        <v>199601.25</v>
      </c>
      <c r="AB606" s="38">
        <v>66533.75</v>
      </c>
      <c r="AC606" s="38">
        <v>500.0</v>
      </c>
      <c r="AD606" s="38">
        <v>0.0</v>
      </c>
      <c r="AE606" s="38">
        <v>0.0</v>
      </c>
      <c r="AF606" s="38">
        <v>0.0</v>
      </c>
      <c r="AG606" s="38">
        <v>0.0</v>
      </c>
      <c r="AH606" s="38">
        <v>0.0</v>
      </c>
      <c r="AI606" s="38">
        <v>199601.25</v>
      </c>
      <c r="AJ606" s="38">
        <v>199601.25</v>
      </c>
      <c r="AK606" s="38">
        <v>0.0</v>
      </c>
      <c r="AL606" s="38">
        <v>376.2</v>
      </c>
      <c r="AM606" s="38">
        <v>0.0</v>
      </c>
      <c r="AN606" s="34" t="s">
        <v>62</v>
      </c>
      <c r="AO606" s="34" t="s">
        <v>62</v>
      </c>
      <c r="AP606" s="34" t="s">
        <v>62</v>
      </c>
      <c r="AQ606" s="34" t="s">
        <v>62</v>
      </c>
      <c r="AR606" s="38">
        <v>0.0</v>
      </c>
      <c r="AS606" s="38" t="s">
        <v>2849</v>
      </c>
      <c r="AT606" s="35" t="s">
        <v>2202</v>
      </c>
      <c r="AU606" s="39" t="s">
        <v>2254</v>
      </c>
      <c r="AV606" s="40">
        <v>46170.0</v>
      </c>
    </row>
    <row r="607">
      <c r="A607" s="38">
        <v>364032.0</v>
      </c>
      <c r="B607" s="38">
        <v>360285.0</v>
      </c>
      <c r="C607" s="38">
        <v>361389.0</v>
      </c>
      <c r="D607" s="34" t="s">
        <v>62</v>
      </c>
      <c r="E607" s="34" t="s">
        <v>62</v>
      </c>
      <c r="F607" s="18" t="s">
        <v>1834</v>
      </c>
      <c r="G607" s="18" t="s">
        <v>1835</v>
      </c>
      <c r="H607" s="18" t="s">
        <v>2850</v>
      </c>
      <c r="I607" s="18" t="s">
        <v>343</v>
      </c>
      <c r="J607" s="18" t="s">
        <v>2205</v>
      </c>
      <c r="K607" s="18" t="s">
        <v>2205</v>
      </c>
      <c r="L607" s="18" t="s">
        <v>52</v>
      </c>
      <c r="M607" s="18" t="s">
        <v>89</v>
      </c>
      <c r="N607" s="18" t="s">
        <v>861</v>
      </c>
      <c r="O607" s="18" t="s">
        <v>126</v>
      </c>
      <c r="P607" s="18" t="s">
        <v>56</v>
      </c>
      <c r="Q607" s="18" t="s">
        <v>72</v>
      </c>
      <c r="R607" s="18" t="s">
        <v>143</v>
      </c>
      <c r="S607" s="18" t="s">
        <v>59</v>
      </c>
      <c r="T607" s="38">
        <v>2026.0</v>
      </c>
      <c r="U607" s="38">
        <v>5.0</v>
      </c>
      <c r="V607" s="38">
        <v>1.081523158E9</v>
      </c>
      <c r="W607" s="38">
        <v>1.081541228E9</v>
      </c>
      <c r="X607" s="18" t="s">
        <v>2199</v>
      </c>
      <c r="Y607" s="18" t="s">
        <v>2200</v>
      </c>
      <c r="Z607" s="38">
        <v>388897.78</v>
      </c>
      <c r="AA607" s="38">
        <v>388897.78</v>
      </c>
      <c r="AB607" s="38">
        <v>89745.65</v>
      </c>
      <c r="AC607" s="38">
        <v>1375.0</v>
      </c>
      <c r="AD607" s="38">
        <v>0.0</v>
      </c>
      <c r="AE607" s="38">
        <v>0.0</v>
      </c>
      <c r="AF607" s="38">
        <v>0.0</v>
      </c>
      <c r="AG607" s="38">
        <v>0.0</v>
      </c>
      <c r="AH607" s="38">
        <v>0.0</v>
      </c>
      <c r="AI607" s="38">
        <v>388897.78</v>
      </c>
      <c r="AJ607" s="38">
        <v>769540.24</v>
      </c>
      <c r="AK607" s="38">
        <v>1.0</v>
      </c>
      <c r="AL607" s="38">
        <v>326.04</v>
      </c>
      <c r="AM607" s="38">
        <v>0.0</v>
      </c>
      <c r="AN607" s="34" t="s">
        <v>62</v>
      </c>
      <c r="AO607" s="34" t="s">
        <v>62</v>
      </c>
      <c r="AP607" s="34" t="s">
        <v>62</v>
      </c>
      <c r="AQ607" s="34" t="s">
        <v>62</v>
      </c>
      <c r="AR607" s="38">
        <v>0.0</v>
      </c>
      <c r="AS607" s="38" t="s">
        <v>2851</v>
      </c>
      <c r="AT607" s="35" t="s">
        <v>2202</v>
      </c>
      <c r="AU607" s="39" t="s">
        <v>2254</v>
      </c>
      <c r="AV607" s="40">
        <v>46170.0</v>
      </c>
    </row>
    <row r="608">
      <c r="A608" s="38">
        <v>285191.0</v>
      </c>
      <c r="B608" s="38">
        <v>364437.0</v>
      </c>
      <c r="C608" s="38">
        <v>369443.0</v>
      </c>
      <c r="D608" s="38">
        <v>1040261.0</v>
      </c>
      <c r="E608" s="38">
        <v>1040261.0</v>
      </c>
      <c r="F608" s="38">
        <v>9.00276962E8</v>
      </c>
      <c r="G608" s="18" t="s">
        <v>128</v>
      </c>
      <c r="H608" s="18" t="s">
        <v>2269</v>
      </c>
      <c r="I608" s="18" t="s">
        <v>1110</v>
      </c>
      <c r="J608" s="18" t="s">
        <v>2205</v>
      </c>
      <c r="K608" s="18" t="s">
        <v>2270</v>
      </c>
      <c r="L608" s="18" t="s">
        <v>52</v>
      </c>
      <c r="M608" s="18" t="s">
        <v>89</v>
      </c>
      <c r="N608" s="18" t="s">
        <v>861</v>
      </c>
      <c r="O608" s="18" t="s">
        <v>126</v>
      </c>
      <c r="P608" s="18" t="s">
        <v>131</v>
      </c>
      <c r="Q608" s="18" t="s">
        <v>132</v>
      </c>
      <c r="R608" s="18" t="s">
        <v>133</v>
      </c>
      <c r="S608" s="18" t="s">
        <v>59</v>
      </c>
      <c r="T608" s="38">
        <v>2026.0</v>
      </c>
      <c r="U608" s="38">
        <v>5.0</v>
      </c>
      <c r="V608" s="38">
        <v>1.081523163E9</v>
      </c>
      <c r="W608" s="38">
        <v>1.081541233E9</v>
      </c>
      <c r="X608" s="18" t="s">
        <v>2199</v>
      </c>
      <c r="Y608" s="18" t="s">
        <v>2200</v>
      </c>
      <c r="Z608" s="38">
        <v>113911.5</v>
      </c>
      <c r="AA608" s="38">
        <v>113911.5</v>
      </c>
      <c r="AB608" s="38">
        <v>37970.5</v>
      </c>
      <c r="AC608" s="38">
        <v>0.0</v>
      </c>
      <c r="AD608" s="38">
        <v>0.0</v>
      </c>
      <c r="AE608" s="38">
        <v>0.0</v>
      </c>
      <c r="AF608" s="38">
        <v>0.0</v>
      </c>
      <c r="AG608" s="38">
        <v>0.0</v>
      </c>
      <c r="AH608" s="38">
        <v>0.0</v>
      </c>
      <c r="AI608" s="38">
        <v>113911.5</v>
      </c>
      <c r="AJ608" s="38">
        <v>113911.5</v>
      </c>
      <c r="AK608" s="38">
        <v>0.0</v>
      </c>
      <c r="AL608" s="38">
        <v>376.2</v>
      </c>
      <c r="AM608" s="38">
        <v>0.0</v>
      </c>
      <c r="AN608" s="34" t="s">
        <v>62</v>
      </c>
      <c r="AO608" s="34" t="s">
        <v>62</v>
      </c>
      <c r="AP608" s="34" t="s">
        <v>62</v>
      </c>
      <c r="AQ608" s="34" t="s">
        <v>62</v>
      </c>
      <c r="AR608" s="38">
        <v>0.0</v>
      </c>
      <c r="AS608" s="38" t="s">
        <v>2271</v>
      </c>
      <c r="AT608" s="35" t="s">
        <v>2202</v>
      </c>
      <c r="AU608" s="39" t="s">
        <v>2203</v>
      </c>
      <c r="AV608" s="40">
        <v>46163.0</v>
      </c>
    </row>
    <row r="609">
      <c r="A609" s="38">
        <v>379545.0</v>
      </c>
      <c r="B609" s="38">
        <v>366629.0</v>
      </c>
      <c r="C609" s="38">
        <v>373101.0</v>
      </c>
      <c r="D609" s="34" t="s">
        <v>62</v>
      </c>
      <c r="E609" s="34" t="s">
        <v>62</v>
      </c>
      <c r="F609" s="38">
        <v>9.01365998E8</v>
      </c>
      <c r="G609" s="18" t="s">
        <v>1359</v>
      </c>
      <c r="H609" s="18" t="s">
        <v>2731</v>
      </c>
      <c r="I609" s="18" t="s">
        <v>991</v>
      </c>
      <c r="J609" s="18" t="s">
        <v>2691</v>
      </c>
      <c r="K609" s="18" t="s">
        <v>2691</v>
      </c>
      <c r="L609" s="18" t="s">
        <v>52</v>
      </c>
      <c r="M609" s="18" t="s">
        <v>53</v>
      </c>
      <c r="N609" s="18" t="s">
        <v>861</v>
      </c>
      <c r="O609" s="18" t="s">
        <v>126</v>
      </c>
      <c r="P609" s="18" t="s">
        <v>56</v>
      </c>
      <c r="Q609" s="18" t="s">
        <v>90</v>
      </c>
      <c r="R609" s="18" t="s">
        <v>143</v>
      </c>
      <c r="S609" s="18" t="s">
        <v>59</v>
      </c>
      <c r="T609" s="38">
        <v>2026.0</v>
      </c>
      <c r="U609" s="38">
        <v>5.0</v>
      </c>
      <c r="V609" s="38">
        <v>1.081523166E9</v>
      </c>
      <c r="W609" s="38">
        <v>1.081541236E9</v>
      </c>
      <c r="X609" s="18" t="s">
        <v>2199</v>
      </c>
      <c r="Y609" s="18" t="s">
        <v>2200</v>
      </c>
      <c r="Z609" s="38">
        <v>129276.28</v>
      </c>
      <c r="AA609" s="38">
        <v>129276.28</v>
      </c>
      <c r="AB609" s="38">
        <v>43092.1</v>
      </c>
      <c r="AC609" s="38">
        <v>253.0</v>
      </c>
      <c r="AD609" s="38">
        <v>0.0</v>
      </c>
      <c r="AE609" s="38">
        <v>0.0</v>
      </c>
      <c r="AF609" s="38">
        <v>0.0</v>
      </c>
      <c r="AG609" s="38">
        <v>0.0</v>
      </c>
      <c r="AH609" s="38">
        <v>0.0</v>
      </c>
      <c r="AI609" s="38">
        <v>129276.28</v>
      </c>
      <c r="AJ609" s="38">
        <v>129276.28</v>
      </c>
      <c r="AK609" s="38">
        <v>0.0</v>
      </c>
      <c r="AL609" s="38">
        <v>376.2</v>
      </c>
      <c r="AM609" s="38">
        <v>0.0</v>
      </c>
      <c r="AN609" s="34" t="s">
        <v>62</v>
      </c>
      <c r="AO609" s="34" t="s">
        <v>62</v>
      </c>
      <c r="AP609" s="34" t="s">
        <v>62</v>
      </c>
      <c r="AQ609" s="34" t="s">
        <v>62</v>
      </c>
      <c r="AR609" s="38">
        <v>0.0</v>
      </c>
      <c r="AS609" s="38" t="s">
        <v>2732</v>
      </c>
      <c r="AT609" s="38" t="s">
        <v>2275</v>
      </c>
      <c r="AU609" s="39" t="s">
        <v>2276</v>
      </c>
      <c r="AV609" s="40">
        <v>46163.0</v>
      </c>
    </row>
    <row r="610">
      <c r="A610" s="38">
        <v>379559.0</v>
      </c>
      <c r="B610" s="38">
        <v>366633.0</v>
      </c>
      <c r="C610" s="38">
        <v>373111.0</v>
      </c>
      <c r="D610" s="34" t="s">
        <v>62</v>
      </c>
      <c r="E610" s="34" t="s">
        <v>62</v>
      </c>
      <c r="F610" s="18" t="s">
        <v>1839</v>
      </c>
      <c r="G610" s="18" t="s">
        <v>1840</v>
      </c>
      <c r="H610" s="18" t="s">
        <v>2852</v>
      </c>
      <c r="I610" s="18" t="s">
        <v>991</v>
      </c>
      <c r="J610" s="18" t="s">
        <v>2691</v>
      </c>
      <c r="K610" s="18" t="s">
        <v>2691</v>
      </c>
      <c r="L610" s="18" t="s">
        <v>52</v>
      </c>
      <c r="M610" s="18" t="s">
        <v>89</v>
      </c>
      <c r="N610" s="18" t="s">
        <v>861</v>
      </c>
      <c r="O610" s="18" t="s">
        <v>126</v>
      </c>
      <c r="P610" s="18" t="s">
        <v>56</v>
      </c>
      <c r="Q610" s="18" t="s">
        <v>90</v>
      </c>
      <c r="R610" s="18" t="s">
        <v>143</v>
      </c>
      <c r="S610" s="18" t="s">
        <v>59</v>
      </c>
      <c r="T610" s="38">
        <v>2026.0</v>
      </c>
      <c r="U610" s="38">
        <v>5.0</v>
      </c>
      <c r="V610" s="38">
        <v>1.08152317E9</v>
      </c>
      <c r="W610" s="38">
        <v>1.08154124E9</v>
      </c>
      <c r="X610" s="18" t="s">
        <v>2199</v>
      </c>
      <c r="Y610" s="18" t="s">
        <v>2200</v>
      </c>
      <c r="Z610" s="38">
        <v>128422.13</v>
      </c>
      <c r="AA610" s="38">
        <v>128422.13</v>
      </c>
      <c r="AB610" s="38">
        <v>42807.38</v>
      </c>
      <c r="AC610" s="38">
        <v>250.0</v>
      </c>
      <c r="AD610" s="38">
        <v>0.0</v>
      </c>
      <c r="AE610" s="38">
        <v>0.0</v>
      </c>
      <c r="AF610" s="38">
        <v>0.0</v>
      </c>
      <c r="AG610" s="38">
        <v>0.0</v>
      </c>
      <c r="AH610" s="38">
        <v>0.0</v>
      </c>
      <c r="AI610" s="38">
        <v>128422.13</v>
      </c>
      <c r="AJ610" s="38">
        <v>128422.13</v>
      </c>
      <c r="AK610" s="38">
        <v>0.0</v>
      </c>
      <c r="AL610" s="38">
        <v>376.2</v>
      </c>
      <c r="AM610" s="38">
        <v>0.0</v>
      </c>
      <c r="AN610" s="34" t="s">
        <v>62</v>
      </c>
      <c r="AO610" s="34" t="s">
        <v>62</v>
      </c>
      <c r="AP610" s="34" t="s">
        <v>62</v>
      </c>
      <c r="AQ610" s="34" t="s">
        <v>62</v>
      </c>
      <c r="AR610" s="38">
        <v>0.0</v>
      </c>
      <c r="AS610" s="38" t="s">
        <v>2853</v>
      </c>
      <c r="AT610" s="38" t="s">
        <v>2275</v>
      </c>
      <c r="AU610" s="39" t="s">
        <v>2276</v>
      </c>
      <c r="AV610" s="40">
        <v>46163.0</v>
      </c>
    </row>
    <row r="611">
      <c r="A611" s="38">
        <v>379563.0</v>
      </c>
      <c r="B611" s="38">
        <v>366637.0</v>
      </c>
      <c r="C611" s="38">
        <v>373115.0</v>
      </c>
      <c r="D611" s="34" t="s">
        <v>62</v>
      </c>
      <c r="E611" s="34" t="s">
        <v>62</v>
      </c>
      <c r="F611" s="38">
        <v>8.05003626E8</v>
      </c>
      <c r="G611" s="18" t="s">
        <v>276</v>
      </c>
      <c r="H611" s="18" t="s">
        <v>2406</v>
      </c>
      <c r="I611" s="18" t="s">
        <v>991</v>
      </c>
      <c r="J611" s="18" t="s">
        <v>2691</v>
      </c>
      <c r="K611" s="18" t="s">
        <v>2395</v>
      </c>
      <c r="L611" s="18" t="s">
        <v>52</v>
      </c>
      <c r="M611" s="18" t="s">
        <v>53</v>
      </c>
      <c r="N611" s="18" t="s">
        <v>861</v>
      </c>
      <c r="O611" s="18" t="s">
        <v>126</v>
      </c>
      <c r="P611" s="18" t="s">
        <v>56</v>
      </c>
      <c r="Q611" s="18" t="s">
        <v>90</v>
      </c>
      <c r="R611" s="18" t="s">
        <v>143</v>
      </c>
      <c r="S611" s="18" t="s">
        <v>59</v>
      </c>
      <c r="T611" s="38">
        <v>2026.0</v>
      </c>
      <c r="U611" s="38">
        <v>5.0</v>
      </c>
      <c r="V611" s="38">
        <v>1.081523173E9</v>
      </c>
      <c r="W611" s="38">
        <v>1.081541243E9</v>
      </c>
      <c r="X611" s="18" t="s">
        <v>2199</v>
      </c>
      <c r="Y611" s="18" t="s">
        <v>2200</v>
      </c>
      <c r="Z611" s="38">
        <v>128422.13</v>
      </c>
      <c r="AA611" s="38">
        <v>128422.13</v>
      </c>
      <c r="AB611" s="38">
        <v>42807.38</v>
      </c>
      <c r="AC611" s="38">
        <v>250.0</v>
      </c>
      <c r="AD611" s="38">
        <v>0.0</v>
      </c>
      <c r="AE611" s="38">
        <v>0.0</v>
      </c>
      <c r="AF611" s="38">
        <v>0.0</v>
      </c>
      <c r="AG611" s="38">
        <v>0.0</v>
      </c>
      <c r="AH611" s="38">
        <v>0.0</v>
      </c>
      <c r="AI611" s="38">
        <v>128422.13</v>
      </c>
      <c r="AJ611" s="38">
        <v>128422.13</v>
      </c>
      <c r="AK611" s="38">
        <v>0.0</v>
      </c>
      <c r="AL611" s="38">
        <v>376.2</v>
      </c>
      <c r="AM611" s="38">
        <v>0.0</v>
      </c>
      <c r="AN611" s="34" t="s">
        <v>62</v>
      </c>
      <c r="AO611" s="34" t="s">
        <v>62</v>
      </c>
      <c r="AP611" s="34" t="s">
        <v>62</v>
      </c>
      <c r="AQ611" s="34" t="s">
        <v>62</v>
      </c>
      <c r="AR611" s="38">
        <v>0.0</v>
      </c>
      <c r="AS611" s="38" t="s">
        <v>2396</v>
      </c>
      <c r="AT611" s="38" t="s">
        <v>2275</v>
      </c>
      <c r="AU611" s="39" t="s">
        <v>2276</v>
      </c>
      <c r="AV611" s="40">
        <v>46163.0</v>
      </c>
    </row>
    <row r="612">
      <c r="A612" s="38">
        <v>3283.0</v>
      </c>
      <c r="B612" s="38">
        <v>369.0</v>
      </c>
      <c r="C612" s="38">
        <v>369.0</v>
      </c>
      <c r="D612" s="38">
        <v>9.024305E7</v>
      </c>
      <c r="E612" s="38">
        <v>9.024305E7</v>
      </c>
      <c r="F612" s="38">
        <v>8.90900608E8</v>
      </c>
      <c r="G612" s="18" t="s">
        <v>606</v>
      </c>
      <c r="H612" s="18" t="s">
        <v>2472</v>
      </c>
      <c r="I612" s="18" t="s">
        <v>982</v>
      </c>
      <c r="J612" s="18" t="s">
        <v>2205</v>
      </c>
      <c r="K612" s="18" t="s">
        <v>2473</v>
      </c>
      <c r="L612" s="18" t="s">
        <v>52</v>
      </c>
      <c r="M612" s="18" t="s">
        <v>89</v>
      </c>
      <c r="N612" s="18" t="s">
        <v>861</v>
      </c>
      <c r="O612" s="18" t="s">
        <v>126</v>
      </c>
      <c r="P612" s="18" t="s">
        <v>56</v>
      </c>
      <c r="Q612" s="18" t="s">
        <v>90</v>
      </c>
      <c r="R612" s="18" t="s">
        <v>143</v>
      </c>
      <c r="S612" s="18" t="s">
        <v>59</v>
      </c>
      <c r="T612" s="38">
        <v>2026.0</v>
      </c>
      <c r="U612" s="38">
        <v>5.0</v>
      </c>
      <c r="V612" s="38">
        <v>1.081522864E9</v>
      </c>
      <c r="W612" s="38">
        <v>1.081540934E9</v>
      </c>
      <c r="X612" s="18" t="s">
        <v>2199</v>
      </c>
      <c r="Y612" s="18" t="s">
        <v>2200</v>
      </c>
      <c r="Z612" s="38">
        <v>953318.75</v>
      </c>
      <c r="AA612" s="38">
        <v>953318.75</v>
      </c>
      <c r="AB612" s="38">
        <v>313952.4</v>
      </c>
      <c r="AC612" s="38">
        <v>3107.0</v>
      </c>
      <c r="AD612" s="38">
        <v>11461.57</v>
      </c>
      <c r="AE612" s="38">
        <v>0.0</v>
      </c>
      <c r="AF612" s="38">
        <v>0.0</v>
      </c>
      <c r="AG612" s="38">
        <v>0.0</v>
      </c>
      <c r="AH612" s="38">
        <v>0.0</v>
      </c>
      <c r="AI612" s="38">
        <v>953318.75</v>
      </c>
      <c r="AJ612" s="38">
        <v>2801988.72</v>
      </c>
      <c r="AK612" s="38">
        <v>2.0</v>
      </c>
      <c r="AL612" s="38">
        <v>376.2</v>
      </c>
      <c r="AM612" s="38">
        <v>0.0</v>
      </c>
      <c r="AN612" s="34" t="s">
        <v>62</v>
      </c>
      <c r="AO612" s="34" t="s">
        <v>62</v>
      </c>
      <c r="AP612" s="34" t="s">
        <v>62</v>
      </c>
      <c r="AQ612" s="34" t="s">
        <v>62</v>
      </c>
      <c r="AR612" s="38">
        <v>0.0</v>
      </c>
      <c r="AS612" s="38" t="s">
        <v>2474</v>
      </c>
      <c r="AT612" s="35" t="s">
        <v>2202</v>
      </c>
      <c r="AU612" s="39" t="s">
        <v>2203</v>
      </c>
      <c r="AV612" s="40">
        <v>46169.0</v>
      </c>
    </row>
    <row r="613">
      <c r="A613" s="38">
        <v>147.0</v>
      </c>
      <c r="B613" s="38">
        <v>369089.0</v>
      </c>
      <c r="C613" s="38">
        <v>377103.0</v>
      </c>
      <c r="D613" s="38">
        <v>415035.0</v>
      </c>
      <c r="E613" s="38">
        <v>415035.0</v>
      </c>
      <c r="F613" s="18" t="s">
        <v>179</v>
      </c>
      <c r="G613" s="18" t="s">
        <v>180</v>
      </c>
      <c r="H613" s="18" t="s">
        <v>2320</v>
      </c>
      <c r="I613" s="18" t="s">
        <v>1548</v>
      </c>
      <c r="J613" s="18" t="s">
        <v>2205</v>
      </c>
      <c r="K613" s="18" t="s">
        <v>2289</v>
      </c>
      <c r="L613" s="18" t="s">
        <v>52</v>
      </c>
      <c r="M613" s="18" t="s">
        <v>269</v>
      </c>
      <c r="N613" s="18" t="s">
        <v>861</v>
      </c>
      <c r="O613" s="18" t="s">
        <v>126</v>
      </c>
      <c r="P613" s="18" t="s">
        <v>131</v>
      </c>
      <c r="Q613" s="18" t="s">
        <v>1111</v>
      </c>
      <c r="R613" s="18" t="s">
        <v>133</v>
      </c>
      <c r="S613" s="18" t="s">
        <v>59</v>
      </c>
      <c r="T613" s="38">
        <v>2026.0</v>
      </c>
      <c r="U613" s="38">
        <v>5.0</v>
      </c>
      <c r="V613" s="38">
        <v>1.081523177E9</v>
      </c>
      <c r="W613" s="38">
        <v>1.081541247E9</v>
      </c>
      <c r="X613" s="18" t="s">
        <v>2199</v>
      </c>
      <c r="Y613" s="18" t="s">
        <v>2200</v>
      </c>
      <c r="Z613" s="38">
        <v>16397.0</v>
      </c>
      <c r="AA613" s="38">
        <v>16397.0</v>
      </c>
      <c r="AB613" s="38">
        <v>0.0</v>
      </c>
      <c r="AC613" s="38">
        <v>0.0</v>
      </c>
      <c r="AD613" s="38">
        <v>0.0</v>
      </c>
      <c r="AE613" s="38">
        <v>0.0</v>
      </c>
      <c r="AF613" s="38">
        <v>0.0</v>
      </c>
      <c r="AG613" s="38">
        <v>0.0</v>
      </c>
      <c r="AH613" s="38">
        <v>0.0</v>
      </c>
      <c r="AI613" s="38">
        <v>16397.0</v>
      </c>
      <c r="AJ613" s="38">
        <v>32387.0</v>
      </c>
      <c r="AK613" s="38">
        <v>1.0</v>
      </c>
      <c r="AL613" s="38">
        <v>250.8</v>
      </c>
      <c r="AM613" s="38">
        <v>0.0</v>
      </c>
      <c r="AN613" s="34" t="s">
        <v>62</v>
      </c>
      <c r="AO613" s="34" t="s">
        <v>62</v>
      </c>
      <c r="AP613" s="34" t="s">
        <v>62</v>
      </c>
      <c r="AQ613" s="34" t="s">
        <v>62</v>
      </c>
      <c r="AR613" s="38">
        <v>0.0</v>
      </c>
      <c r="AS613" s="38" t="s">
        <v>2321</v>
      </c>
      <c r="AT613" s="35" t="s">
        <v>2202</v>
      </c>
      <c r="AU613" s="39" t="s">
        <v>2203</v>
      </c>
      <c r="AV613" s="40">
        <v>46163.0</v>
      </c>
    </row>
    <row r="614">
      <c r="A614" s="38">
        <v>386512.0</v>
      </c>
      <c r="B614" s="38">
        <v>370537.0</v>
      </c>
      <c r="C614" s="38">
        <v>378721.0</v>
      </c>
      <c r="D614" s="34" t="s">
        <v>62</v>
      </c>
      <c r="E614" s="34" t="s">
        <v>62</v>
      </c>
      <c r="F614" s="38">
        <v>8.00130149E8</v>
      </c>
      <c r="G614" s="18" t="s">
        <v>1845</v>
      </c>
      <c r="H614" s="18" t="s">
        <v>2854</v>
      </c>
      <c r="I614" s="18" t="s">
        <v>991</v>
      </c>
      <c r="J614" s="18" t="s">
        <v>2691</v>
      </c>
      <c r="K614" s="18" t="s">
        <v>2691</v>
      </c>
      <c r="L614" s="18" t="s">
        <v>52</v>
      </c>
      <c r="M614" s="18" t="s">
        <v>89</v>
      </c>
      <c r="N614" s="18" t="s">
        <v>861</v>
      </c>
      <c r="O614" s="18" t="s">
        <v>126</v>
      </c>
      <c r="P614" s="18" t="s">
        <v>56</v>
      </c>
      <c r="Q614" s="18" t="s">
        <v>90</v>
      </c>
      <c r="R614" s="18" t="s">
        <v>143</v>
      </c>
      <c r="S614" s="18" t="s">
        <v>59</v>
      </c>
      <c r="T614" s="38">
        <v>2026.0</v>
      </c>
      <c r="U614" s="38">
        <v>5.0</v>
      </c>
      <c r="V614" s="38">
        <v>1.081523181E9</v>
      </c>
      <c r="W614" s="38">
        <v>1.081541251E9</v>
      </c>
      <c r="X614" s="18" t="s">
        <v>2199</v>
      </c>
      <c r="Y614" s="18" t="s">
        <v>2200</v>
      </c>
      <c r="Z614" s="38">
        <v>128422.13</v>
      </c>
      <c r="AA614" s="38">
        <v>128422.13</v>
      </c>
      <c r="AB614" s="38">
        <v>42807.38</v>
      </c>
      <c r="AC614" s="38">
        <v>250.0</v>
      </c>
      <c r="AD614" s="38">
        <v>0.0</v>
      </c>
      <c r="AE614" s="38">
        <v>0.0</v>
      </c>
      <c r="AF614" s="38">
        <v>0.0</v>
      </c>
      <c r="AG614" s="38">
        <v>0.0</v>
      </c>
      <c r="AH614" s="38">
        <v>0.0</v>
      </c>
      <c r="AI614" s="38">
        <v>128422.13</v>
      </c>
      <c r="AJ614" s="38">
        <v>128422.13</v>
      </c>
      <c r="AK614" s="38">
        <v>0.0</v>
      </c>
      <c r="AL614" s="38">
        <v>376.2</v>
      </c>
      <c r="AM614" s="38">
        <v>0.0</v>
      </c>
      <c r="AN614" s="34" t="s">
        <v>62</v>
      </c>
      <c r="AO614" s="34" t="s">
        <v>62</v>
      </c>
      <c r="AP614" s="34" t="s">
        <v>62</v>
      </c>
      <c r="AQ614" s="34" t="s">
        <v>62</v>
      </c>
      <c r="AR614" s="38">
        <v>0.0</v>
      </c>
      <c r="AS614" s="38" t="s">
        <v>2855</v>
      </c>
      <c r="AT614" s="38" t="s">
        <v>2275</v>
      </c>
      <c r="AU614" s="39" t="s">
        <v>2276</v>
      </c>
      <c r="AV614" s="40">
        <v>46163.0</v>
      </c>
    </row>
    <row r="615">
      <c r="A615" s="38">
        <v>386739.0</v>
      </c>
      <c r="B615" s="38">
        <v>370573.0</v>
      </c>
      <c r="C615" s="38">
        <v>378841.0</v>
      </c>
      <c r="D615" s="34" t="s">
        <v>62</v>
      </c>
      <c r="E615" s="34" t="s">
        <v>62</v>
      </c>
      <c r="F615" s="18" t="s">
        <v>1847</v>
      </c>
      <c r="G615" s="18" t="s">
        <v>1848</v>
      </c>
      <c r="H615" s="18" t="s">
        <v>2856</v>
      </c>
      <c r="I615" s="18" t="s">
        <v>991</v>
      </c>
      <c r="J615" s="18" t="s">
        <v>2691</v>
      </c>
      <c r="K615" s="18" t="s">
        <v>2691</v>
      </c>
      <c r="L615" s="18" t="s">
        <v>52</v>
      </c>
      <c r="M615" s="18" t="s">
        <v>89</v>
      </c>
      <c r="N615" s="18" t="s">
        <v>861</v>
      </c>
      <c r="O615" s="18" t="s">
        <v>126</v>
      </c>
      <c r="P615" s="18" t="s">
        <v>56</v>
      </c>
      <c r="Q615" s="18" t="s">
        <v>90</v>
      </c>
      <c r="R615" s="18" t="s">
        <v>143</v>
      </c>
      <c r="S615" s="18" t="s">
        <v>59</v>
      </c>
      <c r="T615" s="38">
        <v>2026.0</v>
      </c>
      <c r="U615" s="38">
        <v>5.0</v>
      </c>
      <c r="V615" s="38">
        <v>1.081523185E9</v>
      </c>
      <c r="W615" s="38">
        <v>1.081541255E9</v>
      </c>
      <c r="X615" s="18" t="s">
        <v>2199</v>
      </c>
      <c r="Y615" s="18" t="s">
        <v>2200</v>
      </c>
      <c r="Z615" s="38">
        <v>128422.13</v>
      </c>
      <c r="AA615" s="38">
        <v>128422.13</v>
      </c>
      <c r="AB615" s="38">
        <v>42807.38</v>
      </c>
      <c r="AC615" s="38">
        <v>250.0</v>
      </c>
      <c r="AD615" s="38">
        <v>0.0</v>
      </c>
      <c r="AE615" s="38">
        <v>0.0</v>
      </c>
      <c r="AF615" s="38">
        <v>0.0</v>
      </c>
      <c r="AG615" s="38">
        <v>0.0</v>
      </c>
      <c r="AH615" s="38">
        <v>0.0</v>
      </c>
      <c r="AI615" s="38">
        <v>128422.13</v>
      </c>
      <c r="AJ615" s="38">
        <v>128422.13</v>
      </c>
      <c r="AK615" s="38">
        <v>0.0</v>
      </c>
      <c r="AL615" s="38">
        <v>376.2</v>
      </c>
      <c r="AM615" s="38">
        <v>0.0</v>
      </c>
      <c r="AN615" s="34" t="s">
        <v>62</v>
      </c>
      <c r="AO615" s="34" t="s">
        <v>62</v>
      </c>
      <c r="AP615" s="34" t="s">
        <v>62</v>
      </c>
      <c r="AQ615" s="34" t="s">
        <v>62</v>
      </c>
      <c r="AR615" s="38">
        <v>0.0</v>
      </c>
      <c r="AS615" s="38" t="s">
        <v>2857</v>
      </c>
      <c r="AT615" s="38" t="s">
        <v>2275</v>
      </c>
      <c r="AU615" s="39" t="s">
        <v>2276</v>
      </c>
      <c r="AV615" s="40">
        <v>46163.0</v>
      </c>
    </row>
    <row r="616">
      <c r="A616" s="38">
        <v>503.0</v>
      </c>
      <c r="B616" s="38">
        <v>370585.0</v>
      </c>
      <c r="C616" s="38">
        <v>378874.0</v>
      </c>
      <c r="D616" s="34" t="s">
        <v>62</v>
      </c>
      <c r="E616" s="34" t="s">
        <v>62</v>
      </c>
      <c r="F616" s="18" t="s">
        <v>258</v>
      </c>
      <c r="G616" s="18" t="s">
        <v>259</v>
      </c>
      <c r="H616" s="18" t="s">
        <v>2394</v>
      </c>
      <c r="I616" s="18" t="s">
        <v>991</v>
      </c>
      <c r="J616" s="18" t="s">
        <v>2691</v>
      </c>
      <c r="K616" s="18" t="s">
        <v>2395</v>
      </c>
      <c r="L616" s="18" t="s">
        <v>52</v>
      </c>
      <c r="M616" s="18" t="s">
        <v>89</v>
      </c>
      <c r="N616" s="18" t="s">
        <v>861</v>
      </c>
      <c r="O616" s="18" t="s">
        <v>126</v>
      </c>
      <c r="P616" s="18" t="s">
        <v>56</v>
      </c>
      <c r="Q616" s="18" t="s">
        <v>90</v>
      </c>
      <c r="R616" s="18" t="s">
        <v>143</v>
      </c>
      <c r="S616" s="18" t="s">
        <v>59</v>
      </c>
      <c r="T616" s="38">
        <v>2026.0</v>
      </c>
      <c r="U616" s="38">
        <v>5.0</v>
      </c>
      <c r="V616" s="38">
        <v>1.081523187E9</v>
      </c>
      <c r="W616" s="38">
        <v>1.081541257E9</v>
      </c>
      <c r="X616" s="18" t="s">
        <v>2199</v>
      </c>
      <c r="Y616" s="18" t="s">
        <v>2200</v>
      </c>
      <c r="Z616" s="38">
        <v>128422.13</v>
      </c>
      <c r="AA616" s="38">
        <v>128422.13</v>
      </c>
      <c r="AB616" s="38">
        <v>42807.38</v>
      </c>
      <c r="AC616" s="38">
        <v>250.0</v>
      </c>
      <c r="AD616" s="38">
        <v>0.0</v>
      </c>
      <c r="AE616" s="38">
        <v>0.0</v>
      </c>
      <c r="AF616" s="38">
        <v>0.0</v>
      </c>
      <c r="AG616" s="38">
        <v>0.0</v>
      </c>
      <c r="AH616" s="38">
        <v>0.0</v>
      </c>
      <c r="AI616" s="38">
        <v>128422.13</v>
      </c>
      <c r="AJ616" s="38">
        <v>128422.13</v>
      </c>
      <c r="AK616" s="38">
        <v>0.0</v>
      </c>
      <c r="AL616" s="38">
        <v>376.2</v>
      </c>
      <c r="AM616" s="38">
        <v>0.0</v>
      </c>
      <c r="AN616" s="34" t="s">
        <v>62</v>
      </c>
      <c r="AO616" s="34" t="s">
        <v>62</v>
      </c>
      <c r="AP616" s="34" t="s">
        <v>62</v>
      </c>
      <c r="AQ616" s="34" t="s">
        <v>62</v>
      </c>
      <c r="AR616" s="38">
        <v>0.0</v>
      </c>
      <c r="AS616" s="38" t="s">
        <v>2396</v>
      </c>
      <c r="AT616" s="38" t="s">
        <v>2275</v>
      </c>
      <c r="AU616" s="39" t="s">
        <v>2276</v>
      </c>
      <c r="AV616" s="40">
        <v>46163.0</v>
      </c>
    </row>
    <row r="617">
      <c r="A617" s="38">
        <v>655.0</v>
      </c>
      <c r="B617" s="38">
        <v>381.0</v>
      </c>
      <c r="C617" s="38">
        <v>381.0</v>
      </c>
      <c r="D617" s="38">
        <v>9.0243125E7</v>
      </c>
      <c r="E617" s="38">
        <v>9.0243125E7</v>
      </c>
      <c r="F617" s="18" t="s">
        <v>1411</v>
      </c>
      <c r="G617" s="18" t="s">
        <v>1412</v>
      </c>
      <c r="H617" s="18" t="s">
        <v>2768</v>
      </c>
      <c r="I617" s="18" t="s">
        <v>982</v>
      </c>
      <c r="J617" s="18" t="s">
        <v>2205</v>
      </c>
      <c r="K617" s="18" t="s">
        <v>2205</v>
      </c>
      <c r="L617" s="18" t="s">
        <v>52</v>
      </c>
      <c r="M617" s="18" t="s">
        <v>53</v>
      </c>
      <c r="N617" s="18" t="s">
        <v>861</v>
      </c>
      <c r="O617" s="18" t="s">
        <v>126</v>
      </c>
      <c r="P617" s="18" t="s">
        <v>56</v>
      </c>
      <c r="Q617" s="18" t="s">
        <v>90</v>
      </c>
      <c r="R617" s="18" t="s">
        <v>143</v>
      </c>
      <c r="S617" s="18" t="s">
        <v>59</v>
      </c>
      <c r="T617" s="38">
        <v>2026.0</v>
      </c>
      <c r="U617" s="38">
        <v>5.0</v>
      </c>
      <c r="V617" s="38">
        <v>1.081522867E9</v>
      </c>
      <c r="W617" s="38">
        <v>1.081540937E9</v>
      </c>
      <c r="X617" s="18" t="s">
        <v>2199</v>
      </c>
      <c r="Y617" s="18" t="s">
        <v>2200</v>
      </c>
      <c r="Z617" s="38">
        <v>128422.13</v>
      </c>
      <c r="AA617" s="38">
        <v>128422.13</v>
      </c>
      <c r="AB617" s="38">
        <v>42807.38</v>
      </c>
      <c r="AC617" s="38">
        <v>250.0</v>
      </c>
      <c r="AD617" s="38">
        <v>0.0</v>
      </c>
      <c r="AE617" s="38">
        <v>0.0</v>
      </c>
      <c r="AF617" s="38">
        <v>0.0</v>
      </c>
      <c r="AG617" s="38">
        <v>0.0</v>
      </c>
      <c r="AH617" s="38">
        <v>0.0</v>
      </c>
      <c r="AI617" s="38">
        <v>128422.13</v>
      </c>
      <c r="AJ617" s="38">
        <v>128422.13</v>
      </c>
      <c r="AK617" s="38">
        <v>0.0</v>
      </c>
      <c r="AL617" s="38">
        <v>376.2</v>
      </c>
      <c r="AM617" s="38">
        <v>0.0</v>
      </c>
      <c r="AN617" s="34" t="s">
        <v>62</v>
      </c>
      <c r="AO617" s="34" t="s">
        <v>62</v>
      </c>
      <c r="AP617" s="34" t="s">
        <v>62</v>
      </c>
      <c r="AQ617" s="34" t="s">
        <v>62</v>
      </c>
      <c r="AR617" s="38">
        <v>0.0</v>
      </c>
      <c r="AS617" s="38" t="s">
        <v>2858</v>
      </c>
      <c r="AT617" s="35" t="s">
        <v>2202</v>
      </c>
      <c r="AU617" s="39" t="s">
        <v>2254</v>
      </c>
      <c r="AV617" s="40">
        <v>46170.0</v>
      </c>
    </row>
    <row r="618">
      <c r="A618" s="38">
        <v>699.0</v>
      </c>
      <c r="B618" s="38">
        <v>384533.0</v>
      </c>
      <c r="C618" s="38">
        <v>398789.0</v>
      </c>
      <c r="D618" s="38">
        <v>1062265.0</v>
      </c>
      <c r="E618" s="38">
        <v>1062265.0</v>
      </c>
      <c r="F618" s="38">
        <v>9.00480569E8</v>
      </c>
      <c r="G618" s="18" t="s">
        <v>141</v>
      </c>
      <c r="H618" s="18" t="s">
        <v>2255</v>
      </c>
      <c r="I618" s="18" t="s">
        <v>865</v>
      </c>
      <c r="J618" s="18" t="s">
        <v>2205</v>
      </c>
      <c r="K618" s="18" t="s">
        <v>2256</v>
      </c>
      <c r="L618" s="18" t="s">
        <v>52</v>
      </c>
      <c r="M618" s="18" t="s">
        <v>53</v>
      </c>
      <c r="N618" s="18" t="s">
        <v>861</v>
      </c>
      <c r="O618" s="18" t="s">
        <v>126</v>
      </c>
      <c r="P618" s="18" t="s">
        <v>56</v>
      </c>
      <c r="Q618" s="18" t="s">
        <v>90</v>
      </c>
      <c r="R618" s="18" t="s">
        <v>143</v>
      </c>
      <c r="S618" s="18" t="s">
        <v>59</v>
      </c>
      <c r="T618" s="38">
        <v>2026.0</v>
      </c>
      <c r="U618" s="38">
        <v>5.0</v>
      </c>
      <c r="V618" s="38">
        <v>1.081523189E9</v>
      </c>
      <c r="W618" s="38">
        <v>1.081541259E9</v>
      </c>
      <c r="X618" s="18" t="s">
        <v>2199</v>
      </c>
      <c r="Y618" s="18" t="s">
        <v>2200</v>
      </c>
      <c r="Z618" s="38">
        <v>554073.31</v>
      </c>
      <c r="AA618" s="38">
        <v>554073.31</v>
      </c>
      <c r="AB618" s="38">
        <v>184691.11</v>
      </c>
      <c r="AC618" s="38">
        <v>1745.0</v>
      </c>
      <c r="AD618" s="38">
        <v>0.0</v>
      </c>
      <c r="AE618" s="38">
        <v>0.0</v>
      </c>
      <c r="AF618" s="38">
        <v>0.0</v>
      </c>
      <c r="AG618" s="38">
        <v>0.0</v>
      </c>
      <c r="AH618" s="38">
        <v>0.0</v>
      </c>
      <c r="AI618" s="38">
        <v>554073.31</v>
      </c>
      <c r="AJ618" s="38">
        <v>554073.31</v>
      </c>
      <c r="AK618" s="38">
        <v>0.0</v>
      </c>
      <c r="AL618" s="38">
        <v>376.2</v>
      </c>
      <c r="AM618" s="38">
        <v>0.0</v>
      </c>
      <c r="AN618" s="34" t="s">
        <v>62</v>
      </c>
      <c r="AO618" s="34" t="s">
        <v>62</v>
      </c>
      <c r="AP618" s="34" t="s">
        <v>62</v>
      </c>
      <c r="AQ618" s="34" t="s">
        <v>62</v>
      </c>
      <c r="AR618" s="38">
        <v>0.0</v>
      </c>
      <c r="AS618" s="38" t="s">
        <v>2257</v>
      </c>
      <c r="AT618" s="35" t="s">
        <v>2202</v>
      </c>
      <c r="AU618" s="39" t="s">
        <v>2203</v>
      </c>
      <c r="AV618" s="40">
        <v>46163.0</v>
      </c>
    </row>
    <row r="619">
      <c r="A619" s="38">
        <v>390.0</v>
      </c>
      <c r="B619" s="38">
        <v>389.0</v>
      </c>
      <c r="C619" s="38">
        <v>389.0</v>
      </c>
      <c r="D619" s="38">
        <v>9.0243279E7</v>
      </c>
      <c r="E619" s="38">
        <v>9.0243279E7</v>
      </c>
      <c r="F619" s="18" t="s">
        <v>875</v>
      </c>
      <c r="G619" s="18" t="s">
        <v>1853</v>
      </c>
      <c r="H619" s="18" t="s">
        <v>2859</v>
      </c>
      <c r="I619" s="18" t="s">
        <v>982</v>
      </c>
      <c r="J619" s="18" t="s">
        <v>2205</v>
      </c>
      <c r="K619" s="18" t="s">
        <v>2205</v>
      </c>
      <c r="L619" s="18" t="s">
        <v>52</v>
      </c>
      <c r="M619" s="18" t="s">
        <v>89</v>
      </c>
      <c r="N619" s="18" t="s">
        <v>861</v>
      </c>
      <c r="O619" s="18" t="s">
        <v>126</v>
      </c>
      <c r="P619" s="18" t="s">
        <v>131</v>
      </c>
      <c r="Q619" s="18" t="s">
        <v>151</v>
      </c>
      <c r="R619" s="18" t="s">
        <v>133</v>
      </c>
      <c r="S619" s="18" t="s">
        <v>59</v>
      </c>
      <c r="T619" s="38">
        <v>2026.0</v>
      </c>
      <c r="U619" s="38">
        <v>5.0</v>
      </c>
      <c r="V619" s="38">
        <v>1.081522871E9</v>
      </c>
      <c r="W619" s="38">
        <v>1.081540941E9</v>
      </c>
      <c r="X619" s="18" t="s">
        <v>2199</v>
      </c>
      <c r="Y619" s="18" t="s">
        <v>2200</v>
      </c>
      <c r="Z619" s="38">
        <v>75941.0</v>
      </c>
      <c r="AA619" s="38">
        <v>75941.0</v>
      </c>
      <c r="AB619" s="38">
        <v>0.0</v>
      </c>
      <c r="AC619" s="38">
        <v>0.0</v>
      </c>
      <c r="AD619" s="38">
        <v>0.0</v>
      </c>
      <c r="AE619" s="38">
        <v>0.0</v>
      </c>
      <c r="AF619" s="38">
        <v>0.0</v>
      </c>
      <c r="AG619" s="38">
        <v>0.0</v>
      </c>
      <c r="AH619" s="38">
        <v>0.0</v>
      </c>
      <c r="AI619" s="38">
        <v>75941.0</v>
      </c>
      <c r="AJ619" s="38">
        <v>150891.81</v>
      </c>
      <c r="AK619" s="38">
        <v>2.0</v>
      </c>
      <c r="AL619" s="38">
        <v>250.8</v>
      </c>
      <c r="AM619" s="38">
        <v>0.0</v>
      </c>
      <c r="AN619" s="34" t="s">
        <v>62</v>
      </c>
      <c r="AO619" s="34" t="s">
        <v>62</v>
      </c>
      <c r="AP619" s="34" t="s">
        <v>62</v>
      </c>
      <c r="AQ619" s="34" t="s">
        <v>62</v>
      </c>
      <c r="AR619" s="38">
        <v>0.0</v>
      </c>
      <c r="AS619" s="38" t="s">
        <v>2860</v>
      </c>
      <c r="AT619" s="35" t="s">
        <v>2202</v>
      </c>
      <c r="AU619" s="39" t="s">
        <v>2254</v>
      </c>
      <c r="AV619" s="40">
        <v>46170.0</v>
      </c>
    </row>
    <row r="620">
      <c r="A620" s="38">
        <v>394.0</v>
      </c>
      <c r="B620" s="38">
        <v>393.0</v>
      </c>
      <c r="C620" s="38">
        <v>393.0</v>
      </c>
      <c r="D620" s="38">
        <v>9.0243455E7</v>
      </c>
      <c r="E620" s="38">
        <v>9.0243455E7</v>
      </c>
      <c r="F620" s="38">
        <v>8.07000528E8</v>
      </c>
      <c r="G620" s="18" t="s">
        <v>1855</v>
      </c>
      <c r="H620" s="18" t="s">
        <v>2861</v>
      </c>
      <c r="I620" s="18" t="s">
        <v>982</v>
      </c>
      <c r="J620" s="18" t="s">
        <v>2205</v>
      </c>
      <c r="K620" s="18" t="s">
        <v>2205</v>
      </c>
      <c r="L620" s="18" t="s">
        <v>52</v>
      </c>
      <c r="M620" s="18" t="s">
        <v>89</v>
      </c>
      <c r="N620" s="18" t="s">
        <v>861</v>
      </c>
      <c r="O620" s="18" t="s">
        <v>126</v>
      </c>
      <c r="P620" s="18" t="s">
        <v>56</v>
      </c>
      <c r="Q620" s="18" t="s">
        <v>90</v>
      </c>
      <c r="R620" s="18" t="s">
        <v>143</v>
      </c>
      <c r="S620" s="18" t="s">
        <v>59</v>
      </c>
      <c r="T620" s="38">
        <v>2026.0</v>
      </c>
      <c r="U620" s="38">
        <v>5.0</v>
      </c>
      <c r="V620" s="38">
        <v>1.081522875E9</v>
      </c>
      <c r="W620" s="38">
        <v>1.081540945E9</v>
      </c>
      <c r="X620" s="18" t="s">
        <v>2199</v>
      </c>
      <c r="Y620" s="18" t="s">
        <v>2200</v>
      </c>
      <c r="Z620" s="38">
        <v>1452353.87</v>
      </c>
      <c r="AA620" s="38">
        <v>1452353.87</v>
      </c>
      <c r="AB620" s="38">
        <v>484117.95</v>
      </c>
      <c r="AC620" s="38">
        <v>4900.0</v>
      </c>
      <c r="AD620" s="38">
        <v>0.02</v>
      </c>
      <c r="AE620" s="38">
        <v>0.0</v>
      </c>
      <c r="AF620" s="38">
        <v>0.0</v>
      </c>
      <c r="AG620" s="38">
        <v>0.0</v>
      </c>
      <c r="AH620" s="38">
        <v>0.0</v>
      </c>
      <c r="AI620" s="38">
        <v>1452353.87</v>
      </c>
      <c r="AJ620" s="38">
        <v>1452354.82</v>
      </c>
      <c r="AK620" s="38">
        <v>1.0</v>
      </c>
      <c r="AL620" s="38">
        <v>376.2</v>
      </c>
      <c r="AM620" s="38">
        <v>0.0</v>
      </c>
      <c r="AN620" s="34" t="s">
        <v>62</v>
      </c>
      <c r="AO620" s="34" t="s">
        <v>62</v>
      </c>
      <c r="AP620" s="34" t="s">
        <v>62</v>
      </c>
      <c r="AQ620" s="34" t="s">
        <v>62</v>
      </c>
      <c r="AR620" s="38">
        <v>0.0</v>
      </c>
      <c r="AS620" s="38" t="s">
        <v>2862</v>
      </c>
      <c r="AT620" s="35" t="s">
        <v>2202</v>
      </c>
      <c r="AU620" s="39" t="s">
        <v>2254</v>
      </c>
      <c r="AV620" s="40">
        <v>46170.0</v>
      </c>
    </row>
    <row r="621">
      <c r="A621" s="38">
        <v>398.0</v>
      </c>
      <c r="B621" s="38">
        <v>397.0</v>
      </c>
      <c r="C621" s="38">
        <v>397.0</v>
      </c>
      <c r="D621" s="38">
        <v>9.0244133E7</v>
      </c>
      <c r="E621" s="38">
        <v>9.0244133E7</v>
      </c>
      <c r="F621" s="18" t="s">
        <v>1532</v>
      </c>
      <c r="G621" s="18" t="s">
        <v>1533</v>
      </c>
      <c r="H621" s="18" t="s">
        <v>2863</v>
      </c>
      <c r="I621" s="18" t="s">
        <v>1015</v>
      </c>
      <c r="J621" s="18" t="s">
        <v>2205</v>
      </c>
      <c r="K621" s="18" t="s">
        <v>2205</v>
      </c>
      <c r="L621" s="18" t="s">
        <v>52</v>
      </c>
      <c r="M621" s="18" t="s">
        <v>53</v>
      </c>
      <c r="N621" s="18" t="s">
        <v>861</v>
      </c>
      <c r="O621" s="18" t="s">
        <v>126</v>
      </c>
      <c r="P621" s="18" t="s">
        <v>131</v>
      </c>
      <c r="Q621" s="18" t="s">
        <v>151</v>
      </c>
      <c r="R621" s="18" t="s">
        <v>133</v>
      </c>
      <c r="S621" s="18" t="s">
        <v>59</v>
      </c>
      <c r="T621" s="38">
        <v>2026.0</v>
      </c>
      <c r="U621" s="38">
        <v>5.0</v>
      </c>
      <c r="V621" s="38">
        <v>1.081522879E9</v>
      </c>
      <c r="W621" s="38">
        <v>1.081540949E9</v>
      </c>
      <c r="X621" s="18" t="s">
        <v>2199</v>
      </c>
      <c r="Y621" s="18" t="s">
        <v>2200</v>
      </c>
      <c r="Z621" s="38">
        <v>75941.0</v>
      </c>
      <c r="AA621" s="38">
        <v>75941.0</v>
      </c>
      <c r="AB621" s="38">
        <v>0.0</v>
      </c>
      <c r="AC621" s="38">
        <v>0.0</v>
      </c>
      <c r="AD621" s="38">
        <v>0.0</v>
      </c>
      <c r="AE621" s="38">
        <v>0.0</v>
      </c>
      <c r="AF621" s="38">
        <v>0.0</v>
      </c>
      <c r="AG621" s="38">
        <v>0.0</v>
      </c>
      <c r="AH621" s="38">
        <v>0.0</v>
      </c>
      <c r="AI621" s="38">
        <v>75941.0</v>
      </c>
      <c r="AJ621" s="38">
        <v>974612.85</v>
      </c>
      <c r="AK621" s="38">
        <v>12.0</v>
      </c>
      <c r="AL621" s="38">
        <v>250.8</v>
      </c>
      <c r="AM621" s="38">
        <v>0.0</v>
      </c>
      <c r="AN621" s="34" t="s">
        <v>62</v>
      </c>
      <c r="AO621" s="34" t="s">
        <v>62</v>
      </c>
      <c r="AP621" s="34" t="s">
        <v>62</v>
      </c>
      <c r="AQ621" s="34" t="s">
        <v>62</v>
      </c>
      <c r="AR621" s="38">
        <v>0.0</v>
      </c>
      <c r="AS621" s="38" t="s">
        <v>2864</v>
      </c>
      <c r="AT621" s="35" t="s">
        <v>2202</v>
      </c>
      <c r="AU621" s="39" t="s">
        <v>2254</v>
      </c>
      <c r="AV621" s="40">
        <v>46170.0</v>
      </c>
    </row>
    <row r="622">
      <c r="A622" s="38">
        <v>455370.0</v>
      </c>
      <c r="B622" s="38">
        <v>401.0</v>
      </c>
      <c r="C622" s="38">
        <v>401.0</v>
      </c>
      <c r="D622" s="38">
        <v>9.0244914E7</v>
      </c>
      <c r="E622" s="38">
        <v>9.0244914E7</v>
      </c>
      <c r="F622" s="18" t="s">
        <v>148</v>
      </c>
      <c r="G622" s="18" t="s">
        <v>149</v>
      </c>
      <c r="H622" s="18" t="s">
        <v>2296</v>
      </c>
      <c r="I622" s="18" t="s">
        <v>1322</v>
      </c>
      <c r="J622" s="18" t="s">
        <v>2205</v>
      </c>
      <c r="K622" s="18" t="s">
        <v>2611</v>
      </c>
      <c r="L622" s="18" t="s">
        <v>52</v>
      </c>
      <c r="M622" s="18" t="s">
        <v>53</v>
      </c>
      <c r="N622" s="18" t="s">
        <v>861</v>
      </c>
      <c r="O622" s="18" t="s">
        <v>126</v>
      </c>
      <c r="P622" s="18" t="s">
        <v>56</v>
      </c>
      <c r="Q622" s="18" t="s">
        <v>57</v>
      </c>
      <c r="R622" s="18" t="s">
        <v>143</v>
      </c>
      <c r="S622" s="18" t="s">
        <v>59</v>
      </c>
      <c r="T622" s="38">
        <v>2026.0</v>
      </c>
      <c r="U622" s="38">
        <v>5.0</v>
      </c>
      <c r="V622" s="38">
        <v>1.081522884E9</v>
      </c>
      <c r="W622" s="38">
        <v>1.081540954E9</v>
      </c>
      <c r="X622" s="18" t="s">
        <v>2199</v>
      </c>
      <c r="Y622" s="18" t="s">
        <v>2200</v>
      </c>
      <c r="Z622" s="38">
        <v>151099.55</v>
      </c>
      <c r="AA622" s="38">
        <v>151099.55</v>
      </c>
      <c r="AB622" s="38">
        <v>0.0</v>
      </c>
      <c r="AC622" s="38">
        <v>595.0</v>
      </c>
      <c r="AD622" s="38">
        <v>0.0</v>
      </c>
      <c r="AE622" s="38">
        <v>0.0</v>
      </c>
      <c r="AF622" s="38">
        <v>0.0</v>
      </c>
      <c r="AG622" s="38">
        <v>0.0</v>
      </c>
      <c r="AH622" s="38">
        <v>0.0</v>
      </c>
      <c r="AI622" s="38">
        <v>151099.55</v>
      </c>
      <c r="AJ622" s="38">
        <v>461870.79</v>
      </c>
      <c r="AK622" s="38">
        <v>3.0</v>
      </c>
      <c r="AL622" s="38">
        <v>250.8</v>
      </c>
      <c r="AM622" s="38">
        <v>0.0</v>
      </c>
      <c r="AN622" s="34" t="s">
        <v>62</v>
      </c>
      <c r="AO622" s="34" t="s">
        <v>62</v>
      </c>
      <c r="AP622" s="34" t="s">
        <v>62</v>
      </c>
      <c r="AQ622" s="34" t="s">
        <v>62</v>
      </c>
      <c r="AR622" s="38">
        <v>0.0</v>
      </c>
      <c r="AS622" s="38" t="s">
        <v>2293</v>
      </c>
      <c r="AT622" s="35" t="s">
        <v>2294</v>
      </c>
      <c r="AU622" s="39" t="s">
        <v>2295</v>
      </c>
      <c r="AV622" s="40">
        <v>46164.0</v>
      </c>
    </row>
    <row r="623">
      <c r="A623" s="38">
        <v>410.0</v>
      </c>
      <c r="B623" s="38">
        <v>409.0</v>
      </c>
      <c r="C623" s="38">
        <v>409.0</v>
      </c>
      <c r="D623" s="38">
        <v>9.0248601E7</v>
      </c>
      <c r="E623" s="38">
        <v>9.0248601E7</v>
      </c>
      <c r="F623" s="38">
        <v>8.00187384E8</v>
      </c>
      <c r="G623" s="18" t="s">
        <v>1859</v>
      </c>
      <c r="H623" s="18" t="s">
        <v>2865</v>
      </c>
      <c r="I623" s="18" t="s">
        <v>860</v>
      </c>
      <c r="J623" s="18" t="s">
        <v>2205</v>
      </c>
      <c r="K623" s="18" t="s">
        <v>2205</v>
      </c>
      <c r="L623" s="18" t="s">
        <v>52</v>
      </c>
      <c r="M623" s="18" t="s">
        <v>89</v>
      </c>
      <c r="N623" s="18" t="s">
        <v>861</v>
      </c>
      <c r="O623" s="18" t="s">
        <v>126</v>
      </c>
      <c r="P623" s="18" t="s">
        <v>56</v>
      </c>
      <c r="Q623" s="18" t="s">
        <v>90</v>
      </c>
      <c r="R623" s="18" t="s">
        <v>143</v>
      </c>
      <c r="S623" s="18" t="s">
        <v>59</v>
      </c>
      <c r="T623" s="38">
        <v>2026.0</v>
      </c>
      <c r="U623" s="38">
        <v>5.0</v>
      </c>
      <c r="V623" s="38">
        <v>1.081522887E9</v>
      </c>
      <c r="W623" s="38">
        <v>1.081540957E9</v>
      </c>
      <c r="X623" s="18" t="s">
        <v>2199</v>
      </c>
      <c r="Y623" s="18" t="s">
        <v>2200</v>
      </c>
      <c r="Z623" s="38">
        <v>164011.71</v>
      </c>
      <c r="AA623" s="38">
        <v>164011.71</v>
      </c>
      <c r="AB623" s="38">
        <v>54670.58</v>
      </c>
      <c r="AC623" s="38">
        <v>375.0</v>
      </c>
      <c r="AD623" s="38">
        <v>0.0</v>
      </c>
      <c r="AE623" s="38">
        <v>0.0</v>
      </c>
      <c r="AF623" s="38">
        <v>0.0</v>
      </c>
      <c r="AG623" s="38">
        <v>0.0</v>
      </c>
      <c r="AH623" s="38">
        <v>0.0</v>
      </c>
      <c r="AI623" s="38">
        <v>164011.71</v>
      </c>
      <c r="AJ623" s="38">
        <v>164011.71</v>
      </c>
      <c r="AK623" s="38">
        <v>0.0</v>
      </c>
      <c r="AL623" s="38">
        <v>376.2</v>
      </c>
      <c r="AM623" s="38">
        <v>0.0</v>
      </c>
      <c r="AN623" s="34" t="s">
        <v>62</v>
      </c>
      <c r="AO623" s="34" t="s">
        <v>62</v>
      </c>
      <c r="AP623" s="34" t="s">
        <v>62</v>
      </c>
      <c r="AQ623" s="34" t="s">
        <v>62</v>
      </c>
      <c r="AR623" s="38">
        <v>0.0</v>
      </c>
      <c r="AS623" s="38" t="s">
        <v>2866</v>
      </c>
      <c r="AT623" s="35" t="s">
        <v>2202</v>
      </c>
      <c r="AU623" s="39" t="s">
        <v>2254</v>
      </c>
      <c r="AV623" s="40">
        <v>46170.0</v>
      </c>
    </row>
    <row r="624">
      <c r="A624" s="38">
        <v>455370.0</v>
      </c>
      <c r="B624" s="38">
        <v>413.0</v>
      </c>
      <c r="C624" s="38">
        <v>413.0</v>
      </c>
      <c r="D624" s="38">
        <v>9.0250411E7</v>
      </c>
      <c r="E624" s="38">
        <v>9.0250411E7</v>
      </c>
      <c r="F624" s="18" t="s">
        <v>148</v>
      </c>
      <c r="G624" s="18" t="s">
        <v>149</v>
      </c>
      <c r="H624" s="18" t="s">
        <v>2296</v>
      </c>
      <c r="I624" s="18" t="s">
        <v>1021</v>
      </c>
      <c r="J624" s="18" t="s">
        <v>2205</v>
      </c>
      <c r="K624" s="18" t="s">
        <v>2611</v>
      </c>
      <c r="L624" s="18" t="s">
        <v>52</v>
      </c>
      <c r="M624" s="18" t="s">
        <v>53</v>
      </c>
      <c r="N624" s="18" t="s">
        <v>861</v>
      </c>
      <c r="O624" s="18" t="s">
        <v>126</v>
      </c>
      <c r="P624" s="18" t="s">
        <v>56</v>
      </c>
      <c r="Q624" s="18" t="s">
        <v>57</v>
      </c>
      <c r="R624" s="18" t="s">
        <v>143</v>
      </c>
      <c r="S624" s="18" t="s">
        <v>59</v>
      </c>
      <c r="T624" s="38">
        <v>2026.0</v>
      </c>
      <c r="U624" s="38">
        <v>5.0</v>
      </c>
      <c r="V624" s="38">
        <v>1.081522891E9</v>
      </c>
      <c r="W624" s="38">
        <v>1.081540961E9</v>
      </c>
      <c r="X624" s="18" t="s">
        <v>2199</v>
      </c>
      <c r="Y624" s="18" t="s">
        <v>2200</v>
      </c>
      <c r="Z624" s="38">
        <v>161539.15</v>
      </c>
      <c r="AA624" s="38">
        <v>161539.15</v>
      </c>
      <c r="AB624" s="38">
        <v>0.0</v>
      </c>
      <c r="AC624" s="38">
        <v>650.0</v>
      </c>
      <c r="AD624" s="38">
        <v>0.0</v>
      </c>
      <c r="AE624" s="38">
        <v>0.0</v>
      </c>
      <c r="AF624" s="38">
        <v>0.0</v>
      </c>
      <c r="AG624" s="38">
        <v>0.0</v>
      </c>
      <c r="AH624" s="38">
        <v>0.0</v>
      </c>
      <c r="AI624" s="38">
        <v>161539.15</v>
      </c>
      <c r="AJ624" s="38">
        <v>482499.3</v>
      </c>
      <c r="AK624" s="38">
        <v>3.0</v>
      </c>
      <c r="AL624" s="38">
        <v>250.8</v>
      </c>
      <c r="AM624" s="38">
        <v>0.0</v>
      </c>
      <c r="AN624" s="34" t="s">
        <v>62</v>
      </c>
      <c r="AO624" s="34" t="s">
        <v>62</v>
      </c>
      <c r="AP624" s="34" t="s">
        <v>62</v>
      </c>
      <c r="AQ624" s="34" t="s">
        <v>62</v>
      </c>
      <c r="AR624" s="38">
        <v>0.0</v>
      </c>
      <c r="AS624" s="38" t="s">
        <v>2293</v>
      </c>
      <c r="AT624" s="35" t="s">
        <v>2294</v>
      </c>
      <c r="AU624" s="39" t="s">
        <v>2295</v>
      </c>
      <c r="AV624" s="40">
        <v>46164.0</v>
      </c>
    </row>
    <row r="625">
      <c r="A625" s="38">
        <v>455370.0</v>
      </c>
      <c r="B625" s="38">
        <v>417.0</v>
      </c>
      <c r="C625" s="38">
        <v>417.0</v>
      </c>
      <c r="D625" s="38">
        <v>9.0251543E7</v>
      </c>
      <c r="E625" s="38">
        <v>9.0251543E7</v>
      </c>
      <c r="F625" s="18" t="s">
        <v>148</v>
      </c>
      <c r="G625" s="18" t="s">
        <v>149</v>
      </c>
      <c r="H625" s="18" t="s">
        <v>2296</v>
      </c>
      <c r="I625" s="18" t="s">
        <v>1862</v>
      </c>
      <c r="J625" s="18" t="s">
        <v>2205</v>
      </c>
      <c r="K625" s="18" t="s">
        <v>2611</v>
      </c>
      <c r="L625" s="18" t="s">
        <v>52</v>
      </c>
      <c r="M625" s="18" t="s">
        <v>53</v>
      </c>
      <c r="N625" s="18" t="s">
        <v>861</v>
      </c>
      <c r="O625" s="18" t="s">
        <v>126</v>
      </c>
      <c r="P625" s="18" t="s">
        <v>56</v>
      </c>
      <c r="Q625" s="18" t="s">
        <v>57</v>
      </c>
      <c r="R625" s="18" t="s">
        <v>143</v>
      </c>
      <c r="S625" s="18" t="s">
        <v>59</v>
      </c>
      <c r="T625" s="38">
        <v>2026.0</v>
      </c>
      <c r="U625" s="38">
        <v>5.0</v>
      </c>
      <c r="V625" s="38">
        <v>1.081522895E9</v>
      </c>
      <c r="W625" s="38">
        <v>1.081540965E9</v>
      </c>
      <c r="X625" s="18" t="s">
        <v>2199</v>
      </c>
      <c r="Y625" s="18" t="s">
        <v>2200</v>
      </c>
      <c r="Z625" s="38">
        <v>166853.86</v>
      </c>
      <c r="AA625" s="38">
        <v>166853.86</v>
      </c>
      <c r="AB625" s="38">
        <v>0.0</v>
      </c>
      <c r="AC625" s="38">
        <v>678.0</v>
      </c>
      <c r="AD625" s="38">
        <v>0.0</v>
      </c>
      <c r="AE625" s="38">
        <v>0.0</v>
      </c>
      <c r="AF625" s="38">
        <v>0.0</v>
      </c>
      <c r="AG625" s="38">
        <v>0.0</v>
      </c>
      <c r="AH625" s="38">
        <v>0.0</v>
      </c>
      <c r="AI625" s="38">
        <v>166853.86</v>
      </c>
      <c r="AJ625" s="38">
        <v>493001.1</v>
      </c>
      <c r="AK625" s="38">
        <v>3.0</v>
      </c>
      <c r="AL625" s="38">
        <v>250.8</v>
      </c>
      <c r="AM625" s="38">
        <v>0.0</v>
      </c>
      <c r="AN625" s="34" t="s">
        <v>62</v>
      </c>
      <c r="AO625" s="34" t="s">
        <v>62</v>
      </c>
      <c r="AP625" s="34" t="s">
        <v>62</v>
      </c>
      <c r="AQ625" s="34" t="s">
        <v>62</v>
      </c>
      <c r="AR625" s="38">
        <v>0.0</v>
      </c>
      <c r="AS625" s="38" t="s">
        <v>2293</v>
      </c>
      <c r="AT625" s="35" t="s">
        <v>2294</v>
      </c>
      <c r="AU625" s="39" t="s">
        <v>2295</v>
      </c>
      <c r="AV625" s="40">
        <v>46164.0</v>
      </c>
    </row>
    <row r="626">
      <c r="A626" s="38">
        <v>3283.0</v>
      </c>
      <c r="B626" s="38">
        <v>421.0</v>
      </c>
      <c r="C626" s="38">
        <v>421.0</v>
      </c>
      <c r="D626" s="38">
        <v>9.0253205E7</v>
      </c>
      <c r="E626" s="38">
        <v>9.0253205E7</v>
      </c>
      <c r="F626" s="38">
        <v>8.90900608E8</v>
      </c>
      <c r="G626" s="18" t="s">
        <v>606</v>
      </c>
      <c r="H626" s="18" t="s">
        <v>2472</v>
      </c>
      <c r="I626" s="18" t="s">
        <v>895</v>
      </c>
      <c r="J626" s="18" t="s">
        <v>2205</v>
      </c>
      <c r="K626" s="18" t="s">
        <v>2473</v>
      </c>
      <c r="L626" s="18" t="s">
        <v>52</v>
      </c>
      <c r="M626" s="18" t="s">
        <v>89</v>
      </c>
      <c r="N626" s="18" t="s">
        <v>861</v>
      </c>
      <c r="O626" s="18" t="s">
        <v>126</v>
      </c>
      <c r="P626" s="18" t="s">
        <v>56</v>
      </c>
      <c r="Q626" s="18" t="s">
        <v>90</v>
      </c>
      <c r="R626" s="18" t="s">
        <v>58</v>
      </c>
      <c r="S626" s="18" t="s">
        <v>59</v>
      </c>
      <c r="T626" s="38">
        <v>2026.0</v>
      </c>
      <c r="U626" s="38">
        <v>5.0</v>
      </c>
      <c r="V626" s="38">
        <v>1.081522898E9</v>
      </c>
      <c r="W626" s="38">
        <v>1.081540968E9</v>
      </c>
      <c r="X626" s="18" t="s">
        <v>2199</v>
      </c>
      <c r="Y626" s="18" t="s">
        <v>2200</v>
      </c>
      <c r="Z626" s="38">
        <v>5455894.93</v>
      </c>
      <c r="AA626" s="38">
        <v>5455894.93</v>
      </c>
      <c r="AB626" s="38">
        <v>1818631.65</v>
      </c>
      <c r="AC626" s="38">
        <v>18961.5</v>
      </c>
      <c r="AD626" s="38">
        <v>0.0</v>
      </c>
      <c r="AE626" s="38">
        <v>0.0</v>
      </c>
      <c r="AF626" s="38">
        <v>0.0</v>
      </c>
      <c r="AG626" s="38">
        <v>0.0</v>
      </c>
      <c r="AH626" s="38">
        <v>0.0</v>
      </c>
      <c r="AI626" s="38">
        <v>5455894.93</v>
      </c>
      <c r="AJ626" s="38">
        <v>5455894.93</v>
      </c>
      <c r="AK626" s="38">
        <v>0.0</v>
      </c>
      <c r="AL626" s="38">
        <v>376.2</v>
      </c>
      <c r="AM626" s="38">
        <v>0.0</v>
      </c>
      <c r="AN626" s="34" t="s">
        <v>62</v>
      </c>
      <c r="AO626" s="34" t="s">
        <v>62</v>
      </c>
      <c r="AP626" s="34" t="s">
        <v>62</v>
      </c>
      <c r="AQ626" s="34" t="s">
        <v>62</v>
      </c>
      <c r="AR626" s="38">
        <v>0.0</v>
      </c>
      <c r="AS626" s="38" t="s">
        <v>2474</v>
      </c>
      <c r="AT626" s="35" t="s">
        <v>2202</v>
      </c>
      <c r="AU626" s="39" t="s">
        <v>2203</v>
      </c>
      <c r="AV626" s="40">
        <v>46169.0</v>
      </c>
    </row>
    <row r="627">
      <c r="A627" s="38">
        <v>463383.0</v>
      </c>
      <c r="B627" s="38">
        <v>428825.0</v>
      </c>
      <c r="C627" s="38">
        <v>447327.0</v>
      </c>
      <c r="D627" s="38">
        <v>1080113.0</v>
      </c>
      <c r="E627" s="38">
        <v>1080113.0</v>
      </c>
      <c r="F627" s="38">
        <v>8.11028538E8</v>
      </c>
      <c r="G627" s="18" t="s">
        <v>1865</v>
      </c>
      <c r="H627" s="18" t="s">
        <v>2867</v>
      </c>
      <c r="I627" s="18" t="s">
        <v>942</v>
      </c>
      <c r="J627" s="18" t="s">
        <v>2205</v>
      </c>
      <c r="K627" s="18" t="s">
        <v>2205</v>
      </c>
      <c r="L627" s="18" t="s">
        <v>52</v>
      </c>
      <c r="M627" s="18" t="s">
        <v>53</v>
      </c>
      <c r="N627" s="18" t="s">
        <v>861</v>
      </c>
      <c r="O627" s="18" t="s">
        <v>126</v>
      </c>
      <c r="P627" s="18" t="s">
        <v>131</v>
      </c>
      <c r="Q627" s="18" t="s">
        <v>132</v>
      </c>
      <c r="R627" s="18" t="s">
        <v>133</v>
      </c>
      <c r="S627" s="18" t="s">
        <v>59</v>
      </c>
      <c r="T627" s="38">
        <v>2026.0</v>
      </c>
      <c r="U627" s="38">
        <v>5.0</v>
      </c>
      <c r="V627" s="38">
        <v>1.081523193E9</v>
      </c>
      <c r="W627" s="38">
        <v>1.081541263E9</v>
      </c>
      <c r="X627" s="18" t="s">
        <v>2199</v>
      </c>
      <c r="Y627" s="18" t="s">
        <v>2200</v>
      </c>
      <c r="Z627" s="38">
        <v>116040.0</v>
      </c>
      <c r="AA627" s="38">
        <v>116040.0</v>
      </c>
      <c r="AB627" s="38">
        <v>38680.0</v>
      </c>
      <c r="AC627" s="38">
        <v>0.0</v>
      </c>
      <c r="AD627" s="38">
        <v>0.0</v>
      </c>
      <c r="AE627" s="38">
        <v>0.0</v>
      </c>
      <c r="AF627" s="38">
        <v>0.0</v>
      </c>
      <c r="AG627" s="38">
        <v>0.0</v>
      </c>
      <c r="AH627" s="38">
        <v>0.0</v>
      </c>
      <c r="AI627" s="38">
        <v>116040.0</v>
      </c>
      <c r="AJ627" s="38">
        <v>335740.5</v>
      </c>
      <c r="AK627" s="38">
        <v>3.0</v>
      </c>
      <c r="AL627" s="38">
        <v>6420.0</v>
      </c>
      <c r="AM627" s="38">
        <v>0.0</v>
      </c>
      <c r="AN627" s="34" t="s">
        <v>62</v>
      </c>
      <c r="AO627" s="34" t="s">
        <v>62</v>
      </c>
      <c r="AP627" s="34" t="s">
        <v>62</v>
      </c>
      <c r="AQ627" s="34" t="s">
        <v>62</v>
      </c>
      <c r="AR627" s="38">
        <v>0.0</v>
      </c>
      <c r="AS627" s="38" t="s">
        <v>2868</v>
      </c>
      <c r="AT627" s="35" t="s">
        <v>2202</v>
      </c>
      <c r="AU627" s="39" t="s">
        <v>2254</v>
      </c>
      <c r="AV627" s="40">
        <v>46170.0</v>
      </c>
    </row>
    <row r="628">
      <c r="A628" s="38">
        <v>464125.0</v>
      </c>
      <c r="B628" s="38">
        <v>429549.0</v>
      </c>
      <c r="C628" s="38">
        <v>448066.0</v>
      </c>
      <c r="D628" s="34" t="s">
        <v>62</v>
      </c>
      <c r="E628" s="34" t="s">
        <v>62</v>
      </c>
      <c r="F628" s="38">
        <v>1.090488999E9</v>
      </c>
      <c r="G628" s="18" t="s">
        <v>1867</v>
      </c>
      <c r="H628" s="18" t="s">
        <v>2869</v>
      </c>
      <c r="I628" s="18" t="s">
        <v>991</v>
      </c>
      <c r="J628" s="18" t="s">
        <v>2691</v>
      </c>
      <c r="K628" s="18" t="s">
        <v>2691</v>
      </c>
      <c r="L628" s="18" t="s">
        <v>52</v>
      </c>
      <c r="M628" s="18" t="s">
        <v>89</v>
      </c>
      <c r="N628" s="18" t="s">
        <v>861</v>
      </c>
      <c r="O628" s="18" t="s">
        <v>126</v>
      </c>
      <c r="P628" s="18" t="s">
        <v>56</v>
      </c>
      <c r="Q628" s="18" t="s">
        <v>90</v>
      </c>
      <c r="R628" s="18" t="s">
        <v>143</v>
      </c>
      <c r="S628" s="18" t="s">
        <v>59</v>
      </c>
      <c r="T628" s="38">
        <v>2026.0</v>
      </c>
      <c r="U628" s="38">
        <v>5.0</v>
      </c>
      <c r="V628" s="38">
        <v>1.081523197E9</v>
      </c>
      <c r="W628" s="38">
        <v>1.081541267E9</v>
      </c>
      <c r="X628" s="18" t="s">
        <v>2199</v>
      </c>
      <c r="Y628" s="18" t="s">
        <v>2200</v>
      </c>
      <c r="Z628" s="38">
        <v>139098.52</v>
      </c>
      <c r="AA628" s="38">
        <v>139098.52</v>
      </c>
      <c r="AB628" s="38">
        <v>43092.1</v>
      </c>
      <c r="AC628" s="38">
        <v>253.0</v>
      </c>
      <c r="AD628" s="38">
        <v>9822.24</v>
      </c>
      <c r="AE628" s="38">
        <v>0.0</v>
      </c>
      <c r="AF628" s="38">
        <v>0.0</v>
      </c>
      <c r="AG628" s="38">
        <v>0.0</v>
      </c>
      <c r="AH628" s="38">
        <v>0.0</v>
      </c>
      <c r="AI628" s="38">
        <v>139098.52</v>
      </c>
      <c r="AJ628" s="38">
        <v>2525021.11</v>
      </c>
      <c r="AK628" s="38">
        <v>17.0</v>
      </c>
      <c r="AL628" s="38">
        <v>376.2</v>
      </c>
      <c r="AM628" s="38">
        <v>0.0</v>
      </c>
      <c r="AN628" s="34" t="s">
        <v>62</v>
      </c>
      <c r="AO628" s="34" t="s">
        <v>62</v>
      </c>
      <c r="AP628" s="34" t="s">
        <v>62</v>
      </c>
      <c r="AQ628" s="34" t="s">
        <v>62</v>
      </c>
      <c r="AR628" s="38">
        <v>0.0</v>
      </c>
      <c r="AS628" s="38" t="s">
        <v>2870</v>
      </c>
      <c r="AT628" s="38" t="s">
        <v>2275</v>
      </c>
      <c r="AU628" s="39" t="s">
        <v>2276</v>
      </c>
      <c r="AV628" s="40">
        <v>46163.0</v>
      </c>
    </row>
    <row r="629">
      <c r="A629" s="38">
        <v>464132.0</v>
      </c>
      <c r="B629" s="38">
        <v>429553.0</v>
      </c>
      <c r="C629" s="38">
        <v>448071.0</v>
      </c>
      <c r="D629" s="34" t="s">
        <v>62</v>
      </c>
      <c r="E629" s="34" t="s">
        <v>62</v>
      </c>
      <c r="F629" s="18" t="s">
        <v>1869</v>
      </c>
      <c r="G629" s="18" t="s">
        <v>1870</v>
      </c>
      <c r="H629" s="18" t="s">
        <v>2871</v>
      </c>
      <c r="I629" s="18" t="s">
        <v>991</v>
      </c>
      <c r="J629" s="18" t="s">
        <v>2691</v>
      </c>
      <c r="K629" s="18" t="s">
        <v>2691</v>
      </c>
      <c r="L629" s="18" t="s">
        <v>52</v>
      </c>
      <c r="M629" s="18" t="s">
        <v>89</v>
      </c>
      <c r="N629" s="18" t="s">
        <v>861</v>
      </c>
      <c r="O629" s="18" t="s">
        <v>126</v>
      </c>
      <c r="P629" s="18" t="s">
        <v>56</v>
      </c>
      <c r="Q629" s="18" t="s">
        <v>90</v>
      </c>
      <c r="R629" s="18" t="s">
        <v>143</v>
      </c>
      <c r="S629" s="18" t="s">
        <v>59</v>
      </c>
      <c r="T629" s="38">
        <v>2026.0</v>
      </c>
      <c r="U629" s="38">
        <v>5.0</v>
      </c>
      <c r="V629" s="38">
        <v>1.081523201E9</v>
      </c>
      <c r="W629" s="38">
        <v>1.081541271E9</v>
      </c>
      <c r="X629" s="18" t="s">
        <v>2199</v>
      </c>
      <c r="Y629" s="18" t="s">
        <v>2200</v>
      </c>
      <c r="Z629" s="38">
        <v>129276.28</v>
      </c>
      <c r="AA629" s="38">
        <v>129276.28</v>
      </c>
      <c r="AB629" s="38">
        <v>43092.1</v>
      </c>
      <c r="AC629" s="38">
        <v>253.0</v>
      </c>
      <c r="AD629" s="38">
        <v>0.0</v>
      </c>
      <c r="AE629" s="38">
        <v>0.0</v>
      </c>
      <c r="AF629" s="38">
        <v>0.0</v>
      </c>
      <c r="AG629" s="38">
        <v>0.0</v>
      </c>
      <c r="AH629" s="38">
        <v>0.0</v>
      </c>
      <c r="AI629" s="38">
        <v>129276.28</v>
      </c>
      <c r="AJ629" s="38">
        <v>129276.28</v>
      </c>
      <c r="AK629" s="38">
        <v>0.0</v>
      </c>
      <c r="AL629" s="38">
        <v>376.2</v>
      </c>
      <c r="AM629" s="38">
        <v>0.0</v>
      </c>
      <c r="AN629" s="34" t="s">
        <v>62</v>
      </c>
      <c r="AO629" s="34" t="s">
        <v>62</v>
      </c>
      <c r="AP629" s="34" t="s">
        <v>62</v>
      </c>
      <c r="AQ629" s="34" t="s">
        <v>62</v>
      </c>
      <c r="AR629" s="38">
        <v>0.0</v>
      </c>
      <c r="AS629" s="38" t="s">
        <v>2872</v>
      </c>
      <c r="AT629" s="38" t="s">
        <v>2275</v>
      </c>
      <c r="AU629" s="39" t="s">
        <v>2276</v>
      </c>
      <c r="AV629" s="40">
        <v>46163.0</v>
      </c>
    </row>
    <row r="630">
      <c r="A630" s="38">
        <v>464839.0</v>
      </c>
      <c r="B630" s="38">
        <v>429721.0</v>
      </c>
      <c r="C630" s="38">
        <v>448582.0</v>
      </c>
      <c r="D630" s="34" t="s">
        <v>62</v>
      </c>
      <c r="E630" s="34" t="s">
        <v>62</v>
      </c>
      <c r="F630" s="18" t="s">
        <v>1552</v>
      </c>
      <c r="G630" s="18" t="s">
        <v>1553</v>
      </c>
      <c r="H630" s="18" t="s">
        <v>2873</v>
      </c>
      <c r="I630" s="18" t="s">
        <v>991</v>
      </c>
      <c r="J630" s="18" t="s">
        <v>2691</v>
      </c>
      <c r="K630" s="18" t="s">
        <v>2280</v>
      </c>
      <c r="L630" s="18" t="s">
        <v>52</v>
      </c>
      <c r="M630" s="18" t="s">
        <v>53</v>
      </c>
      <c r="N630" s="18" t="s">
        <v>861</v>
      </c>
      <c r="O630" s="18" t="s">
        <v>126</v>
      </c>
      <c r="P630" s="18" t="s">
        <v>56</v>
      </c>
      <c r="Q630" s="18" t="s">
        <v>90</v>
      </c>
      <c r="R630" s="18" t="s">
        <v>143</v>
      </c>
      <c r="S630" s="18" t="s">
        <v>59</v>
      </c>
      <c r="T630" s="38">
        <v>2026.0</v>
      </c>
      <c r="U630" s="38">
        <v>5.0</v>
      </c>
      <c r="V630" s="38">
        <v>1.081523204E9</v>
      </c>
      <c r="W630" s="38">
        <v>1.081541274E9</v>
      </c>
      <c r="X630" s="18" t="s">
        <v>2199</v>
      </c>
      <c r="Y630" s="18" t="s">
        <v>2200</v>
      </c>
      <c r="Z630" s="38">
        <v>129276.28</v>
      </c>
      <c r="AA630" s="38">
        <v>129276.28</v>
      </c>
      <c r="AB630" s="38">
        <v>43092.1</v>
      </c>
      <c r="AC630" s="38">
        <v>253.0</v>
      </c>
      <c r="AD630" s="38">
        <v>0.0</v>
      </c>
      <c r="AE630" s="38">
        <v>0.0</v>
      </c>
      <c r="AF630" s="38">
        <v>0.0</v>
      </c>
      <c r="AG630" s="38">
        <v>0.0</v>
      </c>
      <c r="AH630" s="38">
        <v>0.0</v>
      </c>
      <c r="AI630" s="38">
        <v>129276.28</v>
      </c>
      <c r="AJ630" s="38">
        <v>129276.28</v>
      </c>
      <c r="AK630" s="38">
        <v>0.0</v>
      </c>
      <c r="AL630" s="38">
        <v>376.2</v>
      </c>
      <c r="AM630" s="38">
        <v>0.0</v>
      </c>
      <c r="AN630" s="34" t="s">
        <v>62</v>
      </c>
      <c r="AO630" s="34" t="s">
        <v>62</v>
      </c>
      <c r="AP630" s="34" t="s">
        <v>62</v>
      </c>
      <c r="AQ630" s="34" t="s">
        <v>62</v>
      </c>
      <c r="AR630" s="38">
        <v>0.0</v>
      </c>
      <c r="AS630" s="38" t="s">
        <v>2281</v>
      </c>
      <c r="AT630" s="38" t="s">
        <v>2275</v>
      </c>
      <c r="AU630" s="39" t="s">
        <v>2276</v>
      </c>
      <c r="AV630" s="40">
        <v>46163.0</v>
      </c>
    </row>
    <row r="631">
      <c r="A631" s="38">
        <v>379545.0</v>
      </c>
      <c r="B631" s="38">
        <v>432457.0</v>
      </c>
      <c r="C631" s="38">
        <v>452796.0</v>
      </c>
      <c r="D631" s="34" t="s">
        <v>62</v>
      </c>
      <c r="E631" s="34" t="s">
        <v>62</v>
      </c>
      <c r="F631" s="38">
        <v>9.01365998E8</v>
      </c>
      <c r="G631" s="18" t="s">
        <v>1359</v>
      </c>
      <c r="H631" s="18" t="s">
        <v>2731</v>
      </c>
      <c r="I631" s="18" t="s">
        <v>991</v>
      </c>
      <c r="J631" s="18" t="s">
        <v>2691</v>
      </c>
      <c r="K631" s="18" t="s">
        <v>2691</v>
      </c>
      <c r="L631" s="18" t="s">
        <v>52</v>
      </c>
      <c r="M631" s="18" t="s">
        <v>53</v>
      </c>
      <c r="N631" s="18" t="s">
        <v>861</v>
      </c>
      <c r="O631" s="18" t="s">
        <v>126</v>
      </c>
      <c r="P631" s="18" t="s">
        <v>56</v>
      </c>
      <c r="Q631" s="18" t="s">
        <v>90</v>
      </c>
      <c r="R631" s="18" t="s">
        <v>143</v>
      </c>
      <c r="S631" s="18" t="s">
        <v>59</v>
      </c>
      <c r="T631" s="38">
        <v>2026.0</v>
      </c>
      <c r="U631" s="38">
        <v>5.0</v>
      </c>
      <c r="V631" s="38">
        <v>1.081523208E9</v>
      </c>
      <c r="W631" s="38">
        <v>1.081541278E9</v>
      </c>
      <c r="X631" s="18" t="s">
        <v>2199</v>
      </c>
      <c r="Y631" s="18" t="s">
        <v>2200</v>
      </c>
      <c r="Z631" s="38">
        <v>129276.28</v>
      </c>
      <c r="AA631" s="38">
        <v>129276.28</v>
      </c>
      <c r="AB631" s="38">
        <v>43092.1</v>
      </c>
      <c r="AC631" s="38">
        <v>253.0</v>
      </c>
      <c r="AD631" s="38">
        <v>0.0</v>
      </c>
      <c r="AE631" s="38">
        <v>0.0</v>
      </c>
      <c r="AF631" s="38">
        <v>0.0</v>
      </c>
      <c r="AG631" s="38">
        <v>0.0</v>
      </c>
      <c r="AH631" s="38">
        <v>0.0</v>
      </c>
      <c r="AI631" s="38">
        <v>129276.28</v>
      </c>
      <c r="AJ631" s="38">
        <v>129276.28</v>
      </c>
      <c r="AK631" s="38">
        <v>0.0</v>
      </c>
      <c r="AL631" s="38">
        <v>376.2</v>
      </c>
      <c r="AM631" s="38">
        <v>0.0</v>
      </c>
      <c r="AN631" s="34" t="s">
        <v>62</v>
      </c>
      <c r="AO631" s="34" t="s">
        <v>62</v>
      </c>
      <c r="AP631" s="34" t="s">
        <v>62</v>
      </c>
      <c r="AQ631" s="34" t="s">
        <v>62</v>
      </c>
      <c r="AR631" s="38">
        <v>0.0</v>
      </c>
      <c r="AS631" s="38" t="s">
        <v>2732</v>
      </c>
      <c r="AT631" s="38" t="s">
        <v>2275</v>
      </c>
      <c r="AU631" s="39" t="s">
        <v>2276</v>
      </c>
      <c r="AV631" s="40">
        <v>46163.0</v>
      </c>
    </row>
    <row r="632">
      <c r="A632" s="38">
        <v>475673.0</v>
      </c>
      <c r="B632" s="38">
        <v>435497.0</v>
      </c>
      <c r="C632" s="38">
        <v>457772.0</v>
      </c>
      <c r="D632" s="38">
        <v>1062849.0</v>
      </c>
      <c r="E632" s="38">
        <v>1062849.0</v>
      </c>
      <c r="F632" s="38">
        <v>9.0104503E8</v>
      </c>
      <c r="G632" s="18" t="s">
        <v>1874</v>
      </c>
      <c r="H632" s="18" t="s">
        <v>2874</v>
      </c>
      <c r="I632" s="18" t="s">
        <v>1050</v>
      </c>
      <c r="J632" s="18" t="s">
        <v>2205</v>
      </c>
      <c r="K632" s="18" t="s">
        <v>2486</v>
      </c>
      <c r="L632" s="18" t="s">
        <v>52</v>
      </c>
      <c r="M632" s="18" t="s">
        <v>89</v>
      </c>
      <c r="N632" s="18" t="s">
        <v>861</v>
      </c>
      <c r="O632" s="18" t="s">
        <v>126</v>
      </c>
      <c r="P632" s="18" t="s">
        <v>56</v>
      </c>
      <c r="Q632" s="18" t="s">
        <v>90</v>
      </c>
      <c r="R632" s="18" t="s">
        <v>143</v>
      </c>
      <c r="S632" s="18" t="s">
        <v>59</v>
      </c>
      <c r="T632" s="38">
        <v>2026.0</v>
      </c>
      <c r="U632" s="38">
        <v>5.0</v>
      </c>
      <c r="V632" s="38">
        <v>1.08152321E9</v>
      </c>
      <c r="W632" s="38">
        <v>1.08154128E9</v>
      </c>
      <c r="X632" s="18" t="s">
        <v>2199</v>
      </c>
      <c r="Y632" s="18" t="s">
        <v>2200</v>
      </c>
      <c r="Z632" s="38">
        <v>706351.34</v>
      </c>
      <c r="AA632" s="38">
        <v>706351.34</v>
      </c>
      <c r="AB632" s="38">
        <v>232618.38</v>
      </c>
      <c r="AC632" s="38">
        <v>2250.0</v>
      </c>
      <c r="AD632" s="38">
        <v>8496.21</v>
      </c>
      <c r="AE632" s="38">
        <v>0.0</v>
      </c>
      <c r="AF632" s="38">
        <v>0.0</v>
      </c>
      <c r="AG632" s="38">
        <v>0.0</v>
      </c>
      <c r="AH632" s="38">
        <v>0.0</v>
      </c>
      <c r="AI632" s="38">
        <v>706351.34</v>
      </c>
      <c r="AJ632" s="38">
        <v>2069666.85</v>
      </c>
      <c r="AK632" s="38">
        <v>2.0</v>
      </c>
      <c r="AL632" s="38">
        <v>376.2</v>
      </c>
      <c r="AM632" s="38">
        <v>0.0</v>
      </c>
      <c r="AN632" s="34" t="s">
        <v>62</v>
      </c>
      <c r="AO632" s="34" t="s">
        <v>62</v>
      </c>
      <c r="AP632" s="34" t="s">
        <v>62</v>
      </c>
      <c r="AQ632" s="34" t="s">
        <v>62</v>
      </c>
      <c r="AR632" s="38">
        <v>0.0</v>
      </c>
      <c r="AS632" s="38" t="s">
        <v>2487</v>
      </c>
      <c r="AT632" s="38" t="s">
        <v>2202</v>
      </c>
      <c r="AU632" s="39" t="s">
        <v>2203</v>
      </c>
      <c r="AV632" s="40">
        <v>46169.0</v>
      </c>
    </row>
    <row r="633">
      <c r="A633" s="38">
        <v>280920.0</v>
      </c>
      <c r="B633" s="38">
        <v>44125.0</v>
      </c>
      <c r="C633" s="38">
        <v>44125.0</v>
      </c>
      <c r="D633" s="38">
        <v>190610.0</v>
      </c>
      <c r="E633" s="38">
        <v>190610.0</v>
      </c>
      <c r="F633" s="38">
        <v>9.00576569E8</v>
      </c>
      <c r="G633" s="18" t="s">
        <v>161</v>
      </c>
      <c r="H633" s="18" t="s">
        <v>2261</v>
      </c>
      <c r="I633" s="18" t="s">
        <v>1000</v>
      </c>
      <c r="J633" s="18" t="s">
        <v>2205</v>
      </c>
      <c r="K633" s="18" t="s">
        <v>2262</v>
      </c>
      <c r="L633" s="18" t="s">
        <v>52</v>
      </c>
      <c r="M633" s="18" t="s">
        <v>89</v>
      </c>
      <c r="N633" s="18" t="s">
        <v>861</v>
      </c>
      <c r="O633" s="18" t="s">
        <v>126</v>
      </c>
      <c r="P633" s="18" t="s">
        <v>56</v>
      </c>
      <c r="Q633" s="18" t="s">
        <v>90</v>
      </c>
      <c r="R633" s="18" t="s">
        <v>143</v>
      </c>
      <c r="S633" s="18" t="s">
        <v>59</v>
      </c>
      <c r="T633" s="38">
        <v>2026.0</v>
      </c>
      <c r="U633" s="38">
        <v>5.0</v>
      </c>
      <c r="V633" s="38">
        <v>1.081523065E9</v>
      </c>
      <c r="W633" s="38">
        <v>1.081541135E9</v>
      </c>
      <c r="X633" s="18" t="s">
        <v>2199</v>
      </c>
      <c r="Y633" s="18" t="s">
        <v>2200</v>
      </c>
      <c r="Z633" s="38">
        <v>296377.76</v>
      </c>
      <c r="AA633" s="38">
        <v>296377.76</v>
      </c>
      <c r="AB633" s="38">
        <v>89311.07</v>
      </c>
      <c r="AC633" s="38">
        <v>740.0</v>
      </c>
      <c r="AD633" s="38">
        <v>28444.55</v>
      </c>
      <c r="AE633" s="38">
        <v>0.0</v>
      </c>
      <c r="AF633" s="38">
        <v>0.0</v>
      </c>
      <c r="AG633" s="38">
        <v>0.0</v>
      </c>
      <c r="AH633" s="38">
        <v>0.0</v>
      </c>
      <c r="AI633" s="38">
        <v>296377.76</v>
      </c>
      <c r="AJ633" s="38">
        <v>1936935.1</v>
      </c>
      <c r="AK633" s="38">
        <v>7.0</v>
      </c>
      <c r="AL633" s="38">
        <v>376.2</v>
      </c>
      <c r="AM633" s="38">
        <v>0.0</v>
      </c>
      <c r="AN633" s="34" t="s">
        <v>62</v>
      </c>
      <c r="AO633" s="34" t="s">
        <v>62</v>
      </c>
      <c r="AP633" s="34" t="s">
        <v>62</v>
      </c>
      <c r="AQ633" s="34" t="s">
        <v>62</v>
      </c>
      <c r="AR633" s="38">
        <v>0.0</v>
      </c>
      <c r="AS633" s="38" t="s">
        <v>2263</v>
      </c>
      <c r="AT633" s="35" t="s">
        <v>2202</v>
      </c>
      <c r="AU633" s="39" t="s">
        <v>2203</v>
      </c>
      <c r="AV633" s="40">
        <v>46163.0</v>
      </c>
    </row>
    <row r="634">
      <c r="A634" s="38">
        <v>450.0</v>
      </c>
      <c r="B634" s="38">
        <v>449.0</v>
      </c>
      <c r="C634" s="38">
        <v>449.0</v>
      </c>
      <c r="D634" s="38">
        <v>9.0256565E7</v>
      </c>
      <c r="E634" s="38">
        <v>9.0256565E7</v>
      </c>
      <c r="F634" s="18" t="s">
        <v>1877</v>
      </c>
      <c r="G634" s="18" t="s">
        <v>1878</v>
      </c>
      <c r="H634" s="18" t="s">
        <v>2875</v>
      </c>
      <c r="I634" s="18" t="s">
        <v>906</v>
      </c>
      <c r="J634" s="18" t="s">
        <v>2205</v>
      </c>
      <c r="K634" s="18" t="s">
        <v>2205</v>
      </c>
      <c r="L634" s="18" t="s">
        <v>52</v>
      </c>
      <c r="M634" s="18" t="s">
        <v>89</v>
      </c>
      <c r="N634" s="18" t="s">
        <v>861</v>
      </c>
      <c r="O634" s="18" t="s">
        <v>126</v>
      </c>
      <c r="P634" s="18" t="s">
        <v>131</v>
      </c>
      <c r="Q634" s="18" t="s">
        <v>151</v>
      </c>
      <c r="R634" s="18" t="s">
        <v>133</v>
      </c>
      <c r="S634" s="18" t="s">
        <v>59</v>
      </c>
      <c r="T634" s="38">
        <v>2026.0</v>
      </c>
      <c r="U634" s="38">
        <v>5.0</v>
      </c>
      <c r="V634" s="38">
        <v>1.081522902E9</v>
      </c>
      <c r="W634" s="38">
        <v>1.081540972E9</v>
      </c>
      <c r="X634" s="18" t="s">
        <v>2199</v>
      </c>
      <c r="Y634" s="18" t="s">
        <v>2200</v>
      </c>
      <c r="Z634" s="38">
        <v>75941.0</v>
      </c>
      <c r="AA634" s="38">
        <v>75941.0</v>
      </c>
      <c r="AB634" s="38">
        <v>0.0</v>
      </c>
      <c r="AC634" s="38">
        <v>0.0</v>
      </c>
      <c r="AD634" s="38">
        <v>0.0</v>
      </c>
      <c r="AE634" s="38">
        <v>0.0</v>
      </c>
      <c r="AF634" s="38">
        <v>0.0</v>
      </c>
      <c r="AG634" s="38">
        <v>0.0</v>
      </c>
      <c r="AH634" s="38">
        <v>0.0</v>
      </c>
      <c r="AI634" s="38">
        <v>75941.0</v>
      </c>
      <c r="AJ634" s="38">
        <v>150891.0</v>
      </c>
      <c r="AK634" s="38">
        <v>1.0</v>
      </c>
      <c r="AL634" s="38">
        <v>250.8</v>
      </c>
      <c r="AM634" s="38">
        <v>0.0</v>
      </c>
      <c r="AN634" s="34" t="s">
        <v>62</v>
      </c>
      <c r="AO634" s="34" t="s">
        <v>62</v>
      </c>
      <c r="AP634" s="34" t="s">
        <v>62</v>
      </c>
      <c r="AQ634" s="34" t="s">
        <v>62</v>
      </c>
      <c r="AR634" s="38">
        <v>0.0</v>
      </c>
      <c r="AS634" s="38" t="s">
        <v>2876</v>
      </c>
      <c r="AT634" s="35" t="s">
        <v>2202</v>
      </c>
      <c r="AU634" s="39" t="s">
        <v>2254</v>
      </c>
      <c r="AV634" s="40">
        <v>46170.0</v>
      </c>
    </row>
    <row r="635">
      <c r="A635" s="38">
        <v>684.0</v>
      </c>
      <c r="B635" s="38">
        <v>457457.0</v>
      </c>
      <c r="C635" s="38">
        <v>483715.0</v>
      </c>
      <c r="D635" s="34" t="s">
        <v>62</v>
      </c>
      <c r="E635" s="34" t="s">
        <v>62</v>
      </c>
      <c r="F635" s="18" t="s">
        <v>1052</v>
      </c>
      <c r="G635" s="18" t="s">
        <v>1053</v>
      </c>
      <c r="H635" s="18" t="s">
        <v>2699</v>
      </c>
      <c r="I635" s="18" t="s">
        <v>991</v>
      </c>
      <c r="J635" s="18" t="s">
        <v>2700</v>
      </c>
      <c r="K635" s="18" t="s">
        <v>2700</v>
      </c>
      <c r="L635" s="18" t="s">
        <v>52</v>
      </c>
      <c r="M635" s="18" t="s">
        <v>89</v>
      </c>
      <c r="N635" s="18" t="s">
        <v>861</v>
      </c>
      <c r="O635" s="18" t="s">
        <v>126</v>
      </c>
      <c r="P635" s="18" t="s">
        <v>131</v>
      </c>
      <c r="Q635" s="18" t="s">
        <v>132</v>
      </c>
      <c r="R635" s="18" t="s">
        <v>133</v>
      </c>
      <c r="S635" s="18" t="s">
        <v>59</v>
      </c>
      <c r="T635" s="38">
        <v>2026.0</v>
      </c>
      <c r="U635" s="38">
        <v>5.0</v>
      </c>
      <c r="V635" s="38">
        <v>1.081523213E9</v>
      </c>
      <c r="W635" s="38">
        <v>1.081541283E9</v>
      </c>
      <c r="X635" s="18" t="s">
        <v>2199</v>
      </c>
      <c r="Y635" s="18" t="s">
        <v>2200</v>
      </c>
      <c r="Z635" s="38">
        <v>121378.45</v>
      </c>
      <c r="AA635" s="38">
        <v>121378.45</v>
      </c>
      <c r="AB635" s="38">
        <v>37970.5</v>
      </c>
      <c r="AC635" s="38">
        <v>0.0</v>
      </c>
      <c r="AD635" s="38">
        <v>7466.95</v>
      </c>
      <c r="AE635" s="38">
        <v>0.0</v>
      </c>
      <c r="AF635" s="38">
        <v>0.0</v>
      </c>
      <c r="AG635" s="38">
        <v>0.0</v>
      </c>
      <c r="AH635" s="38">
        <v>0.0</v>
      </c>
      <c r="AI635" s="38">
        <v>121378.45</v>
      </c>
      <c r="AJ635" s="38">
        <v>308277.02</v>
      </c>
      <c r="AK635" s="38">
        <v>2.0</v>
      </c>
      <c r="AL635" s="38">
        <v>376.2</v>
      </c>
      <c r="AM635" s="38">
        <v>0.0</v>
      </c>
      <c r="AN635" s="34" t="s">
        <v>62</v>
      </c>
      <c r="AO635" s="34" t="s">
        <v>62</v>
      </c>
      <c r="AP635" s="34" t="s">
        <v>62</v>
      </c>
      <c r="AQ635" s="34" t="s">
        <v>62</v>
      </c>
      <c r="AR635" s="38">
        <v>0.0</v>
      </c>
      <c r="AS635" s="38" t="s">
        <v>2701</v>
      </c>
      <c r="AT635" s="35" t="s">
        <v>2202</v>
      </c>
      <c r="AU635" s="39" t="s">
        <v>2203</v>
      </c>
      <c r="AV635" s="40">
        <v>46164.0</v>
      </c>
    </row>
    <row r="636">
      <c r="A636" s="38">
        <v>505440.0</v>
      </c>
      <c r="B636" s="38">
        <v>458093.0</v>
      </c>
      <c r="C636" s="38">
        <v>485030.0</v>
      </c>
      <c r="D636" s="34" t="s">
        <v>62</v>
      </c>
      <c r="E636" s="34" t="s">
        <v>62</v>
      </c>
      <c r="F636" s="38">
        <v>3.7397231E7</v>
      </c>
      <c r="G636" s="18" t="s">
        <v>1881</v>
      </c>
      <c r="H636" s="18" t="s">
        <v>2877</v>
      </c>
      <c r="I636" s="18" t="s">
        <v>991</v>
      </c>
      <c r="J636" s="18" t="s">
        <v>2691</v>
      </c>
      <c r="K636" s="18" t="s">
        <v>2691</v>
      </c>
      <c r="L636" s="18" t="s">
        <v>52</v>
      </c>
      <c r="M636" s="18" t="s">
        <v>89</v>
      </c>
      <c r="N636" s="18" t="s">
        <v>861</v>
      </c>
      <c r="O636" s="18" t="s">
        <v>126</v>
      </c>
      <c r="P636" s="18" t="s">
        <v>131</v>
      </c>
      <c r="Q636" s="18" t="s">
        <v>132</v>
      </c>
      <c r="R636" s="18" t="s">
        <v>133</v>
      </c>
      <c r="S636" s="18" t="s">
        <v>59</v>
      </c>
      <c r="T636" s="38">
        <v>2026.0</v>
      </c>
      <c r="U636" s="38">
        <v>5.0</v>
      </c>
      <c r="V636" s="38">
        <v>1.081523216E9</v>
      </c>
      <c r="W636" s="38">
        <v>1.081541286E9</v>
      </c>
      <c r="X636" s="18" t="s">
        <v>2199</v>
      </c>
      <c r="Y636" s="18" t="s">
        <v>2200</v>
      </c>
      <c r="Z636" s="38">
        <v>119431.61</v>
      </c>
      <c r="AA636" s="38">
        <v>119431.61</v>
      </c>
      <c r="AB636" s="38">
        <v>37970.5</v>
      </c>
      <c r="AC636" s="38">
        <v>0.0</v>
      </c>
      <c r="AD636" s="38">
        <v>5520.11</v>
      </c>
      <c r="AE636" s="38">
        <v>0.0</v>
      </c>
      <c r="AF636" s="38">
        <v>0.0</v>
      </c>
      <c r="AG636" s="38">
        <v>0.0</v>
      </c>
      <c r="AH636" s="38">
        <v>0.0</v>
      </c>
      <c r="AI636" s="38">
        <v>119431.61</v>
      </c>
      <c r="AJ636" s="38">
        <v>550275.94</v>
      </c>
      <c r="AK636" s="38">
        <v>5.0</v>
      </c>
      <c r="AL636" s="38">
        <v>376.2</v>
      </c>
      <c r="AM636" s="38">
        <v>0.0</v>
      </c>
      <c r="AN636" s="34" t="s">
        <v>62</v>
      </c>
      <c r="AO636" s="34" t="s">
        <v>62</v>
      </c>
      <c r="AP636" s="34" t="s">
        <v>62</v>
      </c>
      <c r="AQ636" s="34" t="s">
        <v>62</v>
      </c>
      <c r="AR636" s="38">
        <v>0.0</v>
      </c>
      <c r="AS636" s="38" t="s">
        <v>2878</v>
      </c>
      <c r="AT636" s="38" t="s">
        <v>2275</v>
      </c>
      <c r="AU636" s="39" t="s">
        <v>2276</v>
      </c>
      <c r="AV636" s="40">
        <v>46163.0</v>
      </c>
    </row>
    <row r="637">
      <c r="A637" s="38">
        <v>505457.0</v>
      </c>
      <c r="B637" s="38">
        <v>458101.0</v>
      </c>
      <c r="C637" s="38">
        <v>485044.0</v>
      </c>
      <c r="D637" s="34" t="s">
        <v>62</v>
      </c>
      <c r="E637" s="34" t="s">
        <v>62</v>
      </c>
      <c r="F637" s="18" t="s">
        <v>1883</v>
      </c>
      <c r="G637" s="18" t="s">
        <v>1884</v>
      </c>
      <c r="H637" s="18" t="s">
        <v>2879</v>
      </c>
      <c r="I637" s="18" t="s">
        <v>991</v>
      </c>
      <c r="J637" s="18" t="s">
        <v>2700</v>
      </c>
      <c r="K637" s="18" t="s">
        <v>2700</v>
      </c>
      <c r="L637" s="18" t="s">
        <v>52</v>
      </c>
      <c r="M637" s="18" t="s">
        <v>89</v>
      </c>
      <c r="N637" s="18" t="s">
        <v>861</v>
      </c>
      <c r="O637" s="18" t="s">
        <v>126</v>
      </c>
      <c r="P637" s="18" t="s">
        <v>131</v>
      </c>
      <c r="Q637" s="18" t="s">
        <v>132</v>
      </c>
      <c r="R637" s="18" t="s">
        <v>133</v>
      </c>
      <c r="S637" s="18" t="s">
        <v>59</v>
      </c>
      <c r="T637" s="38">
        <v>2026.0</v>
      </c>
      <c r="U637" s="38">
        <v>5.0</v>
      </c>
      <c r="V637" s="38">
        <v>1.08152322E9</v>
      </c>
      <c r="W637" s="38">
        <v>1.08154129E9</v>
      </c>
      <c r="X637" s="18" t="s">
        <v>2199</v>
      </c>
      <c r="Y637" s="18" t="s">
        <v>2200</v>
      </c>
      <c r="Z637" s="38">
        <v>120169.85</v>
      </c>
      <c r="AA637" s="38">
        <v>120169.85</v>
      </c>
      <c r="AB637" s="38">
        <v>37970.5</v>
      </c>
      <c r="AC637" s="38">
        <v>0.0</v>
      </c>
      <c r="AD637" s="38">
        <v>6258.35</v>
      </c>
      <c r="AE637" s="38">
        <v>0.0</v>
      </c>
      <c r="AF637" s="38">
        <v>0.0</v>
      </c>
      <c r="AG637" s="38">
        <v>0.0</v>
      </c>
      <c r="AH637" s="38">
        <v>0.0</v>
      </c>
      <c r="AI637" s="38">
        <v>120169.85</v>
      </c>
      <c r="AJ637" s="38">
        <v>513592.37</v>
      </c>
      <c r="AK637" s="38">
        <v>5.0</v>
      </c>
      <c r="AL637" s="38">
        <v>376.2</v>
      </c>
      <c r="AM637" s="38">
        <v>0.0</v>
      </c>
      <c r="AN637" s="34" t="s">
        <v>62</v>
      </c>
      <c r="AO637" s="34" t="s">
        <v>62</v>
      </c>
      <c r="AP637" s="34" t="s">
        <v>62</v>
      </c>
      <c r="AQ637" s="34" t="s">
        <v>62</v>
      </c>
      <c r="AR637" s="38">
        <v>0.0</v>
      </c>
      <c r="AS637" s="38" t="s">
        <v>2701</v>
      </c>
      <c r="AT637" s="35" t="s">
        <v>2202</v>
      </c>
      <c r="AU637" s="39" t="s">
        <v>2203</v>
      </c>
      <c r="AV637" s="40">
        <v>46164.0</v>
      </c>
    </row>
    <row r="638">
      <c r="A638" s="38">
        <v>505843.0</v>
      </c>
      <c r="B638" s="38">
        <v>458157.0</v>
      </c>
      <c r="C638" s="38">
        <v>485254.0</v>
      </c>
      <c r="D638" s="34" t="s">
        <v>62</v>
      </c>
      <c r="E638" s="34" t="s">
        <v>62</v>
      </c>
      <c r="F638" s="18" t="s">
        <v>1886</v>
      </c>
      <c r="G638" s="18" t="s">
        <v>1887</v>
      </c>
      <c r="H638" s="18" t="s">
        <v>2880</v>
      </c>
      <c r="I638" s="18" t="s">
        <v>991</v>
      </c>
      <c r="J638" s="18" t="s">
        <v>2691</v>
      </c>
      <c r="K638" s="18" t="s">
        <v>2691</v>
      </c>
      <c r="L638" s="18" t="s">
        <v>52</v>
      </c>
      <c r="M638" s="18" t="s">
        <v>89</v>
      </c>
      <c r="N638" s="18" t="s">
        <v>861</v>
      </c>
      <c r="O638" s="18" t="s">
        <v>126</v>
      </c>
      <c r="P638" s="18" t="s">
        <v>56</v>
      </c>
      <c r="Q638" s="18" t="s">
        <v>90</v>
      </c>
      <c r="R638" s="18" t="s">
        <v>143</v>
      </c>
      <c r="S638" s="18" t="s">
        <v>59</v>
      </c>
      <c r="T638" s="38">
        <v>2026.0</v>
      </c>
      <c r="U638" s="38">
        <v>5.0</v>
      </c>
      <c r="V638" s="38">
        <v>1.081523223E9</v>
      </c>
      <c r="W638" s="38">
        <v>1.081541293E9</v>
      </c>
      <c r="X638" s="18" t="s">
        <v>2199</v>
      </c>
      <c r="Y638" s="18" t="s">
        <v>2200</v>
      </c>
      <c r="Z638" s="38">
        <v>226079.89</v>
      </c>
      <c r="AA638" s="38">
        <v>226079.89</v>
      </c>
      <c r="AB638" s="38">
        <v>75359.97</v>
      </c>
      <c r="AC638" s="38">
        <v>593.0</v>
      </c>
      <c r="AD638" s="38">
        <v>0.0</v>
      </c>
      <c r="AE638" s="38">
        <v>0.0</v>
      </c>
      <c r="AF638" s="38">
        <v>0.0</v>
      </c>
      <c r="AG638" s="38">
        <v>0.0</v>
      </c>
      <c r="AH638" s="38">
        <v>0.0</v>
      </c>
      <c r="AI638" s="38">
        <v>226079.89</v>
      </c>
      <c r="AJ638" s="38">
        <v>226079.89</v>
      </c>
      <c r="AK638" s="38">
        <v>0.0</v>
      </c>
      <c r="AL638" s="38">
        <v>376.2</v>
      </c>
      <c r="AM638" s="38">
        <v>0.0</v>
      </c>
      <c r="AN638" s="34" t="s">
        <v>62</v>
      </c>
      <c r="AO638" s="34" t="s">
        <v>62</v>
      </c>
      <c r="AP638" s="34" t="s">
        <v>62</v>
      </c>
      <c r="AQ638" s="34" t="s">
        <v>62</v>
      </c>
      <c r="AR638" s="38">
        <v>0.0</v>
      </c>
      <c r="AS638" s="38" t="s">
        <v>2881</v>
      </c>
      <c r="AT638" s="38" t="s">
        <v>2275</v>
      </c>
      <c r="AU638" s="39" t="s">
        <v>2276</v>
      </c>
      <c r="AV638" s="40">
        <v>46163.0</v>
      </c>
    </row>
    <row r="639">
      <c r="A639" s="38">
        <v>505877.0</v>
      </c>
      <c r="B639" s="38">
        <v>458165.0</v>
      </c>
      <c r="C639" s="38">
        <v>485274.0</v>
      </c>
      <c r="D639" s="34" t="s">
        <v>62</v>
      </c>
      <c r="E639" s="34" t="s">
        <v>62</v>
      </c>
      <c r="F639" s="38">
        <v>9.01174287E8</v>
      </c>
      <c r="G639" s="18" t="s">
        <v>1889</v>
      </c>
      <c r="H639" s="18" t="s">
        <v>2882</v>
      </c>
      <c r="I639" s="38">
        <v>0.0</v>
      </c>
      <c r="J639" s="18" t="s">
        <v>2205</v>
      </c>
      <c r="K639" s="18" t="s">
        <v>2205</v>
      </c>
      <c r="L639" s="18" t="s">
        <v>52</v>
      </c>
      <c r="M639" s="18" t="s">
        <v>89</v>
      </c>
      <c r="N639" s="18" t="s">
        <v>861</v>
      </c>
      <c r="O639" s="18" t="s">
        <v>126</v>
      </c>
      <c r="P639" s="18" t="s">
        <v>56</v>
      </c>
      <c r="Q639" s="18" t="s">
        <v>90</v>
      </c>
      <c r="R639" s="18" t="s">
        <v>143</v>
      </c>
      <c r="S639" s="18" t="s">
        <v>59</v>
      </c>
      <c r="T639" s="38">
        <v>2026.0</v>
      </c>
      <c r="U639" s="38">
        <v>5.0</v>
      </c>
      <c r="V639" s="38">
        <v>1.081523225E9</v>
      </c>
      <c r="W639" s="38">
        <v>1.081541295E9</v>
      </c>
      <c r="X639" s="18" t="s">
        <v>2199</v>
      </c>
      <c r="Y639" s="18" t="s">
        <v>2200</v>
      </c>
      <c r="Z639" s="38">
        <v>129276.28</v>
      </c>
      <c r="AA639" s="38">
        <v>129276.28</v>
      </c>
      <c r="AB639" s="38">
        <v>43092.1</v>
      </c>
      <c r="AC639" s="38">
        <v>253.0</v>
      </c>
      <c r="AD639" s="38">
        <v>0.0</v>
      </c>
      <c r="AE639" s="38">
        <v>0.0</v>
      </c>
      <c r="AF639" s="38">
        <v>0.0</v>
      </c>
      <c r="AG639" s="38">
        <v>0.0</v>
      </c>
      <c r="AH639" s="38">
        <v>0.0</v>
      </c>
      <c r="AI639" s="38">
        <v>129276.28</v>
      </c>
      <c r="AJ639" s="38">
        <v>129276.28</v>
      </c>
      <c r="AK639" s="38">
        <v>0.0</v>
      </c>
      <c r="AL639" s="38">
        <v>376.2</v>
      </c>
      <c r="AM639" s="38">
        <v>0.0</v>
      </c>
      <c r="AN639" s="34" t="s">
        <v>62</v>
      </c>
      <c r="AO639" s="34" t="s">
        <v>62</v>
      </c>
      <c r="AP639" s="34" t="s">
        <v>62</v>
      </c>
      <c r="AQ639" s="34" t="s">
        <v>62</v>
      </c>
      <c r="AR639" s="38">
        <v>0.0</v>
      </c>
      <c r="AS639" s="38" t="s">
        <v>2883</v>
      </c>
      <c r="AT639" s="35" t="s">
        <v>2202</v>
      </c>
      <c r="AU639" s="39" t="s">
        <v>2254</v>
      </c>
      <c r="AV639" s="40">
        <v>46170.0</v>
      </c>
    </row>
    <row r="640">
      <c r="A640" s="38">
        <v>506943.0</v>
      </c>
      <c r="B640" s="38">
        <v>458441.0</v>
      </c>
      <c r="C640" s="38">
        <v>485953.0</v>
      </c>
      <c r="D640" s="34" t="s">
        <v>62</v>
      </c>
      <c r="E640" s="34" t="s">
        <v>62</v>
      </c>
      <c r="F640" s="18" t="s">
        <v>1891</v>
      </c>
      <c r="G640" s="18" t="s">
        <v>1892</v>
      </c>
      <c r="H640" s="18" t="s">
        <v>2884</v>
      </c>
      <c r="I640" s="18" t="s">
        <v>991</v>
      </c>
      <c r="J640" s="18" t="s">
        <v>2691</v>
      </c>
      <c r="K640" s="18" t="s">
        <v>2691</v>
      </c>
      <c r="L640" s="18" t="s">
        <v>52</v>
      </c>
      <c r="M640" s="18" t="s">
        <v>89</v>
      </c>
      <c r="N640" s="18" t="s">
        <v>861</v>
      </c>
      <c r="O640" s="18" t="s">
        <v>126</v>
      </c>
      <c r="P640" s="18" t="s">
        <v>56</v>
      </c>
      <c r="Q640" s="18" t="s">
        <v>90</v>
      </c>
      <c r="R640" s="18" t="s">
        <v>143</v>
      </c>
      <c r="S640" s="18" t="s">
        <v>59</v>
      </c>
      <c r="T640" s="38">
        <v>2026.0</v>
      </c>
      <c r="U640" s="38">
        <v>5.0</v>
      </c>
      <c r="V640" s="38">
        <v>1.081523227E9</v>
      </c>
      <c r="W640" s="38">
        <v>1.081541297E9</v>
      </c>
      <c r="X640" s="18" t="s">
        <v>2199</v>
      </c>
      <c r="Y640" s="18" t="s">
        <v>2200</v>
      </c>
      <c r="Z640" s="38">
        <v>129276.28</v>
      </c>
      <c r="AA640" s="38">
        <v>129276.28</v>
      </c>
      <c r="AB640" s="38">
        <v>43092.1</v>
      </c>
      <c r="AC640" s="38">
        <v>253.0</v>
      </c>
      <c r="AD640" s="38">
        <v>0.0</v>
      </c>
      <c r="AE640" s="38">
        <v>0.0</v>
      </c>
      <c r="AF640" s="38">
        <v>0.0</v>
      </c>
      <c r="AG640" s="38">
        <v>0.0</v>
      </c>
      <c r="AH640" s="38">
        <v>0.0</v>
      </c>
      <c r="AI640" s="38">
        <v>129276.28</v>
      </c>
      <c r="AJ640" s="38">
        <v>256698.31</v>
      </c>
      <c r="AK640" s="38">
        <v>1.0</v>
      </c>
      <c r="AL640" s="38">
        <v>376.2</v>
      </c>
      <c r="AM640" s="38">
        <v>0.0</v>
      </c>
      <c r="AN640" s="34" t="s">
        <v>62</v>
      </c>
      <c r="AO640" s="34" t="s">
        <v>62</v>
      </c>
      <c r="AP640" s="34" t="s">
        <v>62</v>
      </c>
      <c r="AQ640" s="34" t="s">
        <v>62</v>
      </c>
      <c r="AR640" s="38">
        <v>0.0</v>
      </c>
      <c r="AS640" s="38" t="s">
        <v>2885</v>
      </c>
      <c r="AT640" s="38" t="s">
        <v>2275</v>
      </c>
      <c r="AU640" s="39" t="s">
        <v>2276</v>
      </c>
      <c r="AV640" s="40">
        <v>46163.0</v>
      </c>
    </row>
    <row r="641">
      <c r="A641" s="38">
        <v>509786.0</v>
      </c>
      <c r="B641" s="38">
        <v>459753.0</v>
      </c>
      <c r="C641" s="38">
        <v>488030.0</v>
      </c>
      <c r="D641" s="34" t="s">
        <v>62</v>
      </c>
      <c r="E641" s="34" t="s">
        <v>62</v>
      </c>
      <c r="F641" s="38">
        <v>9.00296271E8</v>
      </c>
      <c r="G641" s="18" t="s">
        <v>1894</v>
      </c>
      <c r="H641" s="18" t="s">
        <v>2886</v>
      </c>
      <c r="I641" s="18" t="s">
        <v>991</v>
      </c>
      <c r="J641" s="18" t="s">
        <v>2691</v>
      </c>
      <c r="K641" s="18" t="s">
        <v>2691</v>
      </c>
      <c r="L641" s="18" t="s">
        <v>52</v>
      </c>
      <c r="M641" s="18" t="s">
        <v>89</v>
      </c>
      <c r="N641" s="18" t="s">
        <v>861</v>
      </c>
      <c r="O641" s="18" t="s">
        <v>126</v>
      </c>
      <c r="P641" s="18" t="s">
        <v>56</v>
      </c>
      <c r="Q641" s="18" t="s">
        <v>90</v>
      </c>
      <c r="R641" s="18" t="s">
        <v>143</v>
      </c>
      <c r="S641" s="18" t="s">
        <v>59</v>
      </c>
      <c r="T641" s="38">
        <v>2026.0</v>
      </c>
      <c r="U641" s="38">
        <v>5.0</v>
      </c>
      <c r="V641" s="38">
        <v>1.081523229E9</v>
      </c>
      <c r="W641" s="38">
        <v>1.081541299E9</v>
      </c>
      <c r="X641" s="18" t="s">
        <v>2199</v>
      </c>
      <c r="Y641" s="18" t="s">
        <v>2200</v>
      </c>
      <c r="Z641" s="38">
        <v>129276.28</v>
      </c>
      <c r="AA641" s="38">
        <v>129276.28</v>
      </c>
      <c r="AB641" s="38">
        <v>43092.1</v>
      </c>
      <c r="AC641" s="38">
        <v>253.0</v>
      </c>
      <c r="AD641" s="38">
        <v>0.0</v>
      </c>
      <c r="AE641" s="38">
        <v>0.0</v>
      </c>
      <c r="AF641" s="38">
        <v>0.0</v>
      </c>
      <c r="AG641" s="38">
        <v>0.0</v>
      </c>
      <c r="AH641" s="38">
        <v>0.0</v>
      </c>
      <c r="AI641" s="38">
        <v>129276.28</v>
      </c>
      <c r="AJ641" s="38">
        <v>129276.28</v>
      </c>
      <c r="AK641" s="38">
        <v>0.0</v>
      </c>
      <c r="AL641" s="38">
        <v>376.2</v>
      </c>
      <c r="AM641" s="38">
        <v>0.0</v>
      </c>
      <c r="AN641" s="34" t="s">
        <v>62</v>
      </c>
      <c r="AO641" s="34" t="s">
        <v>62</v>
      </c>
      <c r="AP641" s="34" t="s">
        <v>62</v>
      </c>
      <c r="AQ641" s="34" t="s">
        <v>62</v>
      </c>
      <c r="AR641" s="38">
        <v>0.0</v>
      </c>
      <c r="AS641" s="38" t="s">
        <v>2887</v>
      </c>
      <c r="AT641" s="38" t="s">
        <v>2275</v>
      </c>
      <c r="AU641" s="39" t="s">
        <v>2276</v>
      </c>
      <c r="AV641" s="40">
        <v>46163.0</v>
      </c>
    </row>
    <row r="642">
      <c r="A642" s="38">
        <v>462.0</v>
      </c>
      <c r="B642" s="38">
        <v>461.0</v>
      </c>
      <c r="C642" s="38">
        <v>461.0</v>
      </c>
      <c r="D642" s="38">
        <v>9.0257527E7</v>
      </c>
      <c r="E642" s="38">
        <v>9.0257527E7</v>
      </c>
      <c r="F642" s="18" t="s">
        <v>1896</v>
      </c>
      <c r="G642" s="18" t="s">
        <v>1897</v>
      </c>
      <c r="H642" s="18" t="s">
        <v>2888</v>
      </c>
      <c r="I642" s="18" t="s">
        <v>982</v>
      </c>
      <c r="J642" s="18" t="s">
        <v>2205</v>
      </c>
      <c r="K642" s="18" t="s">
        <v>2205</v>
      </c>
      <c r="L642" s="18" t="s">
        <v>52</v>
      </c>
      <c r="M642" s="18" t="s">
        <v>89</v>
      </c>
      <c r="N642" s="18" t="s">
        <v>861</v>
      </c>
      <c r="O642" s="18" t="s">
        <v>126</v>
      </c>
      <c r="P642" s="18" t="s">
        <v>56</v>
      </c>
      <c r="Q642" s="18" t="s">
        <v>90</v>
      </c>
      <c r="R642" s="18" t="s">
        <v>143</v>
      </c>
      <c r="S642" s="18" t="s">
        <v>59</v>
      </c>
      <c r="T642" s="38">
        <v>2026.0</v>
      </c>
      <c r="U642" s="38">
        <v>5.0</v>
      </c>
      <c r="V642" s="38">
        <v>1.081522906E9</v>
      </c>
      <c r="W642" s="38">
        <v>1.081540976E9</v>
      </c>
      <c r="X642" s="18" t="s">
        <v>2199</v>
      </c>
      <c r="Y642" s="18" t="s">
        <v>2200</v>
      </c>
      <c r="Z642" s="38">
        <v>633082.14</v>
      </c>
      <c r="AA642" s="38">
        <v>633082.14</v>
      </c>
      <c r="AB642" s="38">
        <v>211027.38</v>
      </c>
      <c r="AC642" s="38">
        <v>2022.5</v>
      </c>
      <c r="AD642" s="38">
        <v>0.0</v>
      </c>
      <c r="AE642" s="38">
        <v>0.0</v>
      </c>
      <c r="AF642" s="38">
        <v>0.0</v>
      </c>
      <c r="AG642" s="38">
        <v>0.0</v>
      </c>
      <c r="AH642" s="38">
        <v>0.0</v>
      </c>
      <c r="AI642" s="38">
        <v>633082.14</v>
      </c>
      <c r="AJ642" s="38">
        <v>633082.14</v>
      </c>
      <c r="AK642" s="38">
        <v>0.0</v>
      </c>
      <c r="AL642" s="38">
        <v>376.2</v>
      </c>
      <c r="AM642" s="38">
        <v>0.0</v>
      </c>
      <c r="AN642" s="34" t="s">
        <v>62</v>
      </c>
      <c r="AO642" s="34" t="s">
        <v>62</v>
      </c>
      <c r="AP642" s="34" t="s">
        <v>62</v>
      </c>
      <c r="AQ642" s="34" t="s">
        <v>62</v>
      </c>
      <c r="AR642" s="38">
        <v>0.0</v>
      </c>
      <c r="AS642" s="38" t="s">
        <v>2889</v>
      </c>
      <c r="AT642" s="35" t="s">
        <v>2202</v>
      </c>
      <c r="AU642" s="39" t="s">
        <v>2254</v>
      </c>
      <c r="AV642" s="40">
        <v>46170.0</v>
      </c>
    </row>
    <row r="643">
      <c r="A643" s="38">
        <v>511777.0</v>
      </c>
      <c r="B643" s="38">
        <v>461069.0</v>
      </c>
      <c r="C643" s="38">
        <v>489736.0</v>
      </c>
      <c r="D643" s="34" t="s">
        <v>62</v>
      </c>
      <c r="E643" s="34" t="s">
        <v>62</v>
      </c>
      <c r="F643" s="18" t="s">
        <v>1899</v>
      </c>
      <c r="G643" s="18" t="s">
        <v>1900</v>
      </c>
      <c r="H643" s="18" t="s">
        <v>2890</v>
      </c>
      <c r="I643" s="18" t="s">
        <v>991</v>
      </c>
      <c r="J643" s="18" t="s">
        <v>2700</v>
      </c>
      <c r="K643" s="18" t="s">
        <v>2700</v>
      </c>
      <c r="L643" s="18" t="s">
        <v>52</v>
      </c>
      <c r="M643" s="18" t="s">
        <v>89</v>
      </c>
      <c r="N643" s="18" t="s">
        <v>861</v>
      </c>
      <c r="O643" s="18" t="s">
        <v>126</v>
      </c>
      <c r="P643" s="18" t="s">
        <v>131</v>
      </c>
      <c r="Q643" s="18" t="s">
        <v>132</v>
      </c>
      <c r="R643" s="18" t="s">
        <v>133</v>
      </c>
      <c r="S643" s="18" t="s">
        <v>163</v>
      </c>
      <c r="T643" s="38">
        <v>2026.0</v>
      </c>
      <c r="U643" s="38">
        <v>5.0</v>
      </c>
      <c r="V643" s="38">
        <v>1.081523231E9</v>
      </c>
      <c r="W643" s="38">
        <v>1.081541301E9</v>
      </c>
      <c r="X643" s="18" t="s">
        <v>2199</v>
      </c>
      <c r="Y643" s="18" t="s">
        <v>2200</v>
      </c>
      <c r="Z643" s="38">
        <v>60578.06</v>
      </c>
      <c r="AA643" s="38">
        <v>60578.06</v>
      </c>
      <c r="AB643" s="38">
        <v>18873.0</v>
      </c>
      <c r="AC643" s="38">
        <v>0.0</v>
      </c>
      <c r="AD643" s="38">
        <v>3959.06</v>
      </c>
      <c r="AE643" s="38">
        <v>0.0</v>
      </c>
      <c r="AF643" s="38">
        <v>0.0</v>
      </c>
      <c r="AG643" s="38">
        <v>0.0</v>
      </c>
      <c r="AH643" s="38">
        <v>0.0</v>
      </c>
      <c r="AI643" s="38">
        <v>60578.06</v>
      </c>
      <c r="AJ643" s="38">
        <v>362094.43</v>
      </c>
      <c r="AK643" s="38">
        <v>3.0</v>
      </c>
      <c r="AL643" s="38">
        <v>376.2</v>
      </c>
      <c r="AM643" s="38">
        <v>0.0</v>
      </c>
      <c r="AN643" s="34" t="s">
        <v>62</v>
      </c>
      <c r="AO643" s="34" t="s">
        <v>62</v>
      </c>
      <c r="AP643" s="34" t="s">
        <v>62</v>
      </c>
      <c r="AQ643" s="34" t="s">
        <v>62</v>
      </c>
      <c r="AR643" s="38">
        <v>0.0</v>
      </c>
      <c r="AS643" s="38" t="s">
        <v>2701</v>
      </c>
      <c r="AT643" s="35" t="s">
        <v>2202</v>
      </c>
      <c r="AU643" s="39" t="s">
        <v>2203</v>
      </c>
      <c r="AV643" s="40">
        <v>46164.0</v>
      </c>
    </row>
    <row r="644">
      <c r="A644" s="38">
        <v>514400.0</v>
      </c>
      <c r="B644" s="38">
        <v>462257.0</v>
      </c>
      <c r="C644" s="38">
        <v>491679.0</v>
      </c>
      <c r="D644" s="34" t="s">
        <v>62</v>
      </c>
      <c r="E644" s="34" t="s">
        <v>62</v>
      </c>
      <c r="F644" s="18" t="s">
        <v>1902</v>
      </c>
      <c r="G644" s="18" t="s">
        <v>1903</v>
      </c>
      <c r="H644" s="18" t="s">
        <v>2891</v>
      </c>
      <c r="I644" s="18" t="s">
        <v>991</v>
      </c>
      <c r="J644" s="18" t="s">
        <v>2691</v>
      </c>
      <c r="K644" s="18" t="s">
        <v>2691</v>
      </c>
      <c r="L644" s="18" t="s">
        <v>52</v>
      </c>
      <c r="M644" s="18" t="s">
        <v>89</v>
      </c>
      <c r="N644" s="18" t="s">
        <v>861</v>
      </c>
      <c r="O644" s="18" t="s">
        <v>126</v>
      </c>
      <c r="P644" s="18" t="s">
        <v>56</v>
      </c>
      <c r="Q644" s="18" t="s">
        <v>90</v>
      </c>
      <c r="R644" s="18" t="s">
        <v>143</v>
      </c>
      <c r="S644" s="18" t="s">
        <v>59</v>
      </c>
      <c r="T644" s="38">
        <v>2026.0</v>
      </c>
      <c r="U644" s="38">
        <v>5.0</v>
      </c>
      <c r="V644" s="38">
        <v>1.081523232E9</v>
      </c>
      <c r="W644" s="38">
        <v>1.081541302E9</v>
      </c>
      <c r="X644" s="18" t="s">
        <v>2199</v>
      </c>
      <c r="Y644" s="18" t="s">
        <v>2200</v>
      </c>
      <c r="Z644" s="38">
        <v>129276.28</v>
      </c>
      <c r="AA644" s="38">
        <v>129276.28</v>
      </c>
      <c r="AB644" s="38">
        <v>43092.1</v>
      </c>
      <c r="AC644" s="38">
        <v>253.0</v>
      </c>
      <c r="AD644" s="38">
        <v>0.0</v>
      </c>
      <c r="AE644" s="38">
        <v>0.0</v>
      </c>
      <c r="AF644" s="38">
        <v>0.0</v>
      </c>
      <c r="AG644" s="38">
        <v>0.0</v>
      </c>
      <c r="AH644" s="38">
        <v>0.0</v>
      </c>
      <c r="AI644" s="38">
        <v>129276.28</v>
      </c>
      <c r="AJ644" s="38">
        <v>129276.28</v>
      </c>
      <c r="AK644" s="38">
        <v>0.0</v>
      </c>
      <c r="AL644" s="38">
        <v>376.2</v>
      </c>
      <c r="AM644" s="38">
        <v>0.0</v>
      </c>
      <c r="AN644" s="34" t="s">
        <v>62</v>
      </c>
      <c r="AO644" s="34" t="s">
        <v>62</v>
      </c>
      <c r="AP644" s="34" t="s">
        <v>62</v>
      </c>
      <c r="AQ644" s="34" t="s">
        <v>62</v>
      </c>
      <c r="AR644" s="38">
        <v>0.0</v>
      </c>
      <c r="AS644" s="38" t="s">
        <v>2892</v>
      </c>
      <c r="AT644" s="38" t="s">
        <v>2275</v>
      </c>
      <c r="AU644" s="39" t="s">
        <v>2276</v>
      </c>
      <c r="AV644" s="40">
        <v>46163.0</v>
      </c>
    </row>
    <row r="645">
      <c r="A645" s="38">
        <v>297.0</v>
      </c>
      <c r="B645" s="38">
        <v>462277.0</v>
      </c>
      <c r="C645" s="38">
        <v>491745.0</v>
      </c>
      <c r="D645" s="34" t="s">
        <v>62</v>
      </c>
      <c r="E645" s="34" t="s">
        <v>62</v>
      </c>
      <c r="F645" s="18" t="s">
        <v>135</v>
      </c>
      <c r="G645" s="18" t="s">
        <v>136</v>
      </c>
      <c r="H645" s="18" t="s">
        <v>2258</v>
      </c>
      <c r="I645" s="38">
        <v>0.0</v>
      </c>
      <c r="J645" s="18" t="s">
        <v>2205</v>
      </c>
      <c r="K645" s="18" t="s">
        <v>2259</v>
      </c>
      <c r="L645" s="18" t="s">
        <v>52</v>
      </c>
      <c r="M645" s="18" t="s">
        <v>1060</v>
      </c>
      <c r="N645" s="18" t="s">
        <v>861</v>
      </c>
      <c r="O645" s="18" t="s">
        <v>126</v>
      </c>
      <c r="P645" s="18" t="s">
        <v>131</v>
      </c>
      <c r="Q645" s="18" t="s">
        <v>151</v>
      </c>
      <c r="R645" s="18" t="s">
        <v>133</v>
      </c>
      <c r="S645" s="18" t="s">
        <v>59</v>
      </c>
      <c r="T645" s="38">
        <v>2026.0</v>
      </c>
      <c r="U645" s="38">
        <v>5.0</v>
      </c>
      <c r="V645" s="38">
        <v>1.081523233E9</v>
      </c>
      <c r="W645" s="38">
        <v>1.081541303E9</v>
      </c>
      <c r="X645" s="18" t="s">
        <v>2199</v>
      </c>
      <c r="Y645" s="18" t="s">
        <v>2200</v>
      </c>
      <c r="Z645" s="38">
        <v>41577.0</v>
      </c>
      <c r="AA645" s="38">
        <v>41577.0</v>
      </c>
      <c r="AB645" s="38">
        <v>0.0</v>
      </c>
      <c r="AC645" s="38">
        <v>0.0</v>
      </c>
      <c r="AD645" s="38">
        <v>0.0</v>
      </c>
      <c r="AE645" s="38">
        <v>0.0</v>
      </c>
      <c r="AF645" s="38">
        <v>0.0</v>
      </c>
      <c r="AG645" s="38">
        <v>0.0</v>
      </c>
      <c r="AH645" s="38">
        <v>0.0</v>
      </c>
      <c r="AI645" s="38">
        <v>41577.0</v>
      </c>
      <c r="AJ645" s="38">
        <v>41577.0</v>
      </c>
      <c r="AK645" s="38">
        <v>0.0</v>
      </c>
      <c r="AL645" s="38">
        <v>250.8</v>
      </c>
      <c r="AM645" s="38">
        <v>0.0</v>
      </c>
      <c r="AN645" s="34" t="s">
        <v>62</v>
      </c>
      <c r="AO645" s="34" t="s">
        <v>62</v>
      </c>
      <c r="AP645" s="34" t="s">
        <v>62</v>
      </c>
      <c r="AQ645" s="34" t="s">
        <v>62</v>
      </c>
      <c r="AR645" s="38">
        <v>0.0</v>
      </c>
      <c r="AS645" s="38" t="s">
        <v>2260</v>
      </c>
      <c r="AT645" s="35" t="s">
        <v>2202</v>
      </c>
      <c r="AU645" s="39" t="s">
        <v>2203</v>
      </c>
      <c r="AV645" s="40">
        <v>46164.0</v>
      </c>
    </row>
    <row r="646">
      <c r="A646" s="38">
        <v>341408.0</v>
      </c>
      <c r="B646" s="38">
        <v>462625.0</v>
      </c>
      <c r="C646" s="38">
        <v>492635.0</v>
      </c>
      <c r="D646" s="38">
        <v>1109766.0</v>
      </c>
      <c r="E646" s="38">
        <v>1109766.0</v>
      </c>
      <c r="F646" s="38">
        <v>8.30129327E8</v>
      </c>
      <c r="G646" s="18" t="s">
        <v>978</v>
      </c>
      <c r="H646" s="18" t="s">
        <v>2893</v>
      </c>
      <c r="I646" s="18" t="s">
        <v>931</v>
      </c>
      <c r="J646" s="18" t="s">
        <v>2205</v>
      </c>
      <c r="K646" s="18" t="s">
        <v>2395</v>
      </c>
      <c r="L646" s="18" t="s">
        <v>52</v>
      </c>
      <c r="M646" s="18" t="s">
        <v>89</v>
      </c>
      <c r="N646" s="18" t="s">
        <v>861</v>
      </c>
      <c r="O646" s="18" t="s">
        <v>126</v>
      </c>
      <c r="P646" s="18" t="s">
        <v>131</v>
      </c>
      <c r="Q646" s="18" t="s">
        <v>132</v>
      </c>
      <c r="R646" s="18" t="s">
        <v>133</v>
      </c>
      <c r="S646" s="18" t="s">
        <v>59</v>
      </c>
      <c r="T646" s="38">
        <v>2026.0</v>
      </c>
      <c r="U646" s="38">
        <v>5.0</v>
      </c>
      <c r="V646" s="38">
        <v>1.081523234E9</v>
      </c>
      <c r="W646" s="38">
        <v>1.081541304E9</v>
      </c>
      <c r="X646" s="18" t="s">
        <v>2199</v>
      </c>
      <c r="Y646" s="18" t="s">
        <v>2200</v>
      </c>
      <c r="Z646" s="38">
        <v>114721.76</v>
      </c>
      <c r="AA646" s="38">
        <v>114721.76</v>
      </c>
      <c r="AB646" s="38">
        <v>37970.5</v>
      </c>
      <c r="AC646" s="38">
        <v>0.0</v>
      </c>
      <c r="AD646" s="38">
        <v>810.26</v>
      </c>
      <c r="AE646" s="38">
        <v>0.0</v>
      </c>
      <c r="AF646" s="38">
        <v>0.0</v>
      </c>
      <c r="AG646" s="38">
        <v>0.0</v>
      </c>
      <c r="AH646" s="38">
        <v>0.0</v>
      </c>
      <c r="AI646" s="38">
        <v>114721.76</v>
      </c>
      <c r="AJ646" s="38">
        <v>227211.59</v>
      </c>
      <c r="AK646" s="38">
        <v>1.0</v>
      </c>
      <c r="AL646" s="38">
        <v>376.2</v>
      </c>
      <c r="AM646" s="38">
        <v>0.0</v>
      </c>
      <c r="AN646" s="34" t="s">
        <v>62</v>
      </c>
      <c r="AO646" s="34" t="s">
        <v>62</v>
      </c>
      <c r="AP646" s="34" t="s">
        <v>62</v>
      </c>
      <c r="AQ646" s="34" t="s">
        <v>62</v>
      </c>
      <c r="AR646" s="38">
        <v>0.0</v>
      </c>
      <c r="AS646" s="38" t="s">
        <v>2396</v>
      </c>
      <c r="AT646" s="35" t="s">
        <v>2202</v>
      </c>
      <c r="AU646" s="39" t="s">
        <v>2203</v>
      </c>
      <c r="AV646" s="40">
        <v>46168.0</v>
      </c>
    </row>
    <row r="647">
      <c r="A647" s="38">
        <v>455370.0</v>
      </c>
      <c r="B647" s="38">
        <v>465.0</v>
      </c>
      <c r="C647" s="38">
        <v>465.0</v>
      </c>
      <c r="D647" s="38">
        <v>9.0257809E7</v>
      </c>
      <c r="E647" s="38">
        <v>9.0257809E7</v>
      </c>
      <c r="F647" s="18" t="s">
        <v>148</v>
      </c>
      <c r="G647" s="18" t="s">
        <v>149</v>
      </c>
      <c r="H647" s="18" t="s">
        <v>2296</v>
      </c>
      <c r="I647" s="18" t="s">
        <v>1362</v>
      </c>
      <c r="J647" s="18" t="s">
        <v>2205</v>
      </c>
      <c r="K647" s="18" t="s">
        <v>2611</v>
      </c>
      <c r="L647" s="18" t="s">
        <v>52</v>
      </c>
      <c r="M647" s="18" t="s">
        <v>1060</v>
      </c>
      <c r="N647" s="18" t="s">
        <v>861</v>
      </c>
      <c r="O647" s="18" t="s">
        <v>126</v>
      </c>
      <c r="P647" s="18" t="s">
        <v>56</v>
      </c>
      <c r="Q647" s="18" t="s">
        <v>57</v>
      </c>
      <c r="R647" s="18" t="s">
        <v>143</v>
      </c>
      <c r="S647" s="18" t="s">
        <v>59</v>
      </c>
      <c r="T647" s="38">
        <v>2026.0</v>
      </c>
      <c r="U647" s="38">
        <v>5.0</v>
      </c>
      <c r="V647" s="38">
        <v>1.081522911E9</v>
      </c>
      <c r="W647" s="38">
        <v>1.081540981E9</v>
      </c>
      <c r="X647" s="18" t="s">
        <v>2199</v>
      </c>
      <c r="Y647" s="18" t="s">
        <v>2200</v>
      </c>
      <c r="Z647" s="38">
        <v>51820.18</v>
      </c>
      <c r="AA647" s="38">
        <v>51820.18</v>
      </c>
      <c r="AB647" s="38">
        <v>0.0</v>
      </c>
      <c r="AC647" s="38">
        <v>253.0</v>
      </c>
      <c r="AD647" s="38">
        <v>0.0</v>
      </c>
      <c r="AE647" s="38">
        <v>0.0</v>
      </c>
      <c r="AF647" s="38">
        <v>0.0</v>
      </c>
      <c r="AG647" s="38">
        <v>0.0</v>
      </c>
      <c r="AH647" s="38">
        <v>0.0</v>
      </c>
      <c r="AI647" s="38">
        <v>51820.18</v>
      </c>
      <c r="AJ647" s="38">
        <v>202896.89</v>
      </c>
      <c r="AK647" s="38">
        <v>3.0</v>
      </c>
      <c r="AL647" s="38">
        <v>250.8</v>
      </c>
      <c r="AM647" s="38">
        <v>0.0</v>
      </c>
      <c r="AN647" s="34" t="s">
        <v>62</v>
      </c>
      <c r="AO647" s="34" t="s">
        <v>62</v>
      </c>
      <c r="AP647" s="34" t="s">
        <v>62</v>
      </c>
      <c r="AQ647" s="34" t="s">
        <v>62</v>
      </c>
      <c r="AR647" s="38">
        <v>0.0</v>
      </c>
      <c r="AS647" s="38" t="s">
        <v>2293</v>
      </c>
      <c r="AT647" s="35" t="s">
        <v>2294</v>
      </c>
      <c r="AU647" s="39" t="s">
        <v>2295</v>
      </c>
      <c r="AV647" s="40">
        <v>46164.0</v>
      </c>
    </row>
    <row r="648">
      <c r="A648" s="38">
        <v>528599.0</v>
      </c>
      <c r="B648" s="38">
        <v>467845.0</v>
      </c>
      <c r="C648" s="38">
        <v>501577.0</v>
      </c>
      <c r="D648" s="34" t="s">
        <v>62</v>
      </c>
      <c r="E648" s="34" t="s">
        <v>62</v>
      </c>
      <c r="F648" s="18" t="s">
        <v>1908</v>
      </c>
      <c r="G648" s="18" t="s">
        <v>1909</v>
      </c>
      <c r="H648" s="18" t="s">
        <v>2894</v>
      </c>
      <c r="I648" s="18" t="s">
        <v>991</v>
      </c>
      <c r="J648" s="18" t="s">
        <v>2691</v>
      </c>
      <c r="K648" s="18" t="s">
        <v>2691</v>
      </c>
      <c r="L648" s="18" t="s">
        <v>52</v>
      </c>
      <c r="M648" s="18" t="s">
        <v>89</v>
      </c>
      <c r="N648" s="18" t="s">
        <v>861</v>
      </c>
      <c r="O648" s="18" t="s">
        <v>126</v>
      </c>
      <c r="P648" s="18" t="s">
        <v>56</v>
      </c>
      <c r="Q648" s="18" t="s">
        <v>90</v>
      </c>
      <c r="R648" s="18" t="s">
        <v>143</v>
      </c>
      <c r="S648" s="18" t="s">
        <v>59</v>
      </c>
      <c r="T648" s="38">
        <v>2026.0</v>
      </c>
      <c r="U648" s="38">
        <v>5.0</v>
      </c>
      <c r="V648" s="38">
        <v>1.081523235E9</v>
      </c>
      <c r="W648" s="38">
        <v>1.081541305E9</v>
      </c>
      <c r="X648" s="18" t="s">
        <v>2199</v>
      </c>
      <c r="Y648" s="18" t="s">
        <v>2200</v>
      </c>
      <c r="Z648" s="38">
        <v>130041.7</v>
      </c>
      <c r="AA648" s="38">
        <v>130041.7</v>
      </c>
      <c r="AB648" s="38">
        <v>43092.1</v>
      </c>
      <c r="AC648" s="38">
        <v>253.0</v>
      </c>
      <c r="AD648" s="38">
        <v>765.42</v>
      </c>
      <c r="AE648" s="38">
        <v>0.0</v>
      </c>
      <c r="AF648" s="38">
        <v>0.0</v>
      </c>
      <c r="AG648" s="38">
        <v>0.0</v>
      </c>
      <c r="AH648" s="38">
        <v>0.0</v>
      </c>
      <c r="AI648" s="38">
        <v>130041.7</v>
      </c>
      <c r="AJ648" s="38">
        <v>257463.73</v>
      </c>
      <c r="AK648" s="38">
        <v>1.0</v>
      </c>
      <c r="AL648" s="38">
        <v>376.2</v>
      </c>
      <c r="AM648" s="38">
        <v>0.0</v>
      </c>
      <c r="AN648" s="34" t="s">
        <v>62</v>
      </c>
      <c r="AO648" s="34" t="s">
        <v>62</v>
      </c>
      <c r="AP648" s="34" t="s">
        <v>62</v>
      </c>
      <c r="AQ648" s="34" t="s">
        <v>62</v>
      </c>
      <c r="AR648" s="38">
        <v>0.0</v>
      </c>
      <c r="AS648" s="38" t="s">
        <v>2895</v>
      </c>
      <c r="AT648" s="38" t="s">
        <v>2275</v>
      </c>
      <c r="AU648" s="39" t="s">
        <v>2276</v>
      </c>
      <c r="AV648" s="40">
        <v>46163.0</v>
      </c>
    </row>
    <row r="649">
      <c r="A649" s="38">
        <v>147.0</v>
      </c>
      <c r="B649" s="38">
        <v>469.0</v>
      </c>
      <c r="C649" s="38">
        <v>469.0</v>
      </c>
      <c r="D649" s="38">
        <v>9.0257935E7</v>
      </c>
      <c r="E649" s="38">
        <v>9.0257935E7</v>
      </c>
      <c r="F649" s="18" t="s">
        <v>179</v>
      </c>
      <c r="G649" s="18" t="s">
        <v>180</v>
      </c>
      <c r="H649" s="18" t="s">
        <v>2320</v>
      </c>
      <c r="I649" s="18" t="s">
        <v>1023</v>
      </c>
      <c r="J649" s="18" t="s">
        <v>2205</v>
      </c>
      <c r="K649" s="18" t="s">
        <v>2289</v>
      </c>
      <c r="L649" s="18" t="s">
        <v>52</v>
      </c>
      <c r="M649" s="18" t="s">
        <v>89</v>
      </c>
      <c r="N649" s="18" t="s">
        <v>861</v>
      </c>
      <c r="O649" s="18" t="s">
        <v>126</v>
      </c>
      <c r="P649" s="18" t="s">
        <v>131</v>
      </c>
      <c r="Q649" s="18" t="s">
        <v>151</v>
      </c>
      <c r="R649" s="18" t="s">
        <v>133</v>
      </c>
      <c r="S649" s="18" t="s">
        <v>59</v>
      </c>
      <c r="T649" s="38">
        <v>2026.0</v>
      </c>
      <c r="U649" s="38">
        <v>5.0</v>
      </c>
      <c r="V649" s="38">
        <v>1.081522916E9</v>
      </c>
      <c r="W649" s="38">
        <v>1.081540986E9</v>
      </c>
      <c r="X649" s="18" t="s">
        <v>2199</v>
      </c>
      <c r="Y649" s="18" t="s">
        <v>2200</v>
      </c>
      <c r="Z649" s="38">
        <v>75941.0</v>
      </c>
      <c r="AA649" s="38">
        <v>75941.0</v>
      </c>
      <c r="AB649" s="38">
        <v>0.0</v>
      </c>
      <c r="AC649" s="38">
        <v>0.0</v>
      </c>
      <c r="AD649" s="38">
        <v>0.0</v>
      </c>
      <c r="AE649" s="38">
        <v>0.0</v>
      </c>
      <c r="AF649" s="38">
        <v>0.0</v>
      </c>
      <c r="AG649" s="38">
        <v>0.0</v>
      </c>
      <c r="AH649" s="38">
        <v>0.0</v>
      </c>
      <c r="AI649" s="38">
        <v>75941.0</v>
      </c>
      <c r="AJ649" s="38">
        <v>473212.05</v>
      </c>
      <c r="AK649" s="38">
        <v>5.0</v>
      </c>
      <c r="AL649" s="38">
        <v>250.8</v>
      </c>
      <c r="AM649" s="38">
        <v>0.0</v>
      </c>
      <c r="AN649" s="34" t="s">
        <v>62</v>
      </c>
      <c r="AO649" s="34" t="s">
        <v>62</v>
      </c>
      <c r="AP649" s="34" t="s">
        <v>62</v>
      </c>
      <c r="AQ649" s="34" t="s">
        <v>62</v>
      </c>
      <c r="AR649" s="38">
        <v>0.0</v>
      </c>
      <c r="AS649" s="38" t="s">
        <v>2321</v>
      </c>
      <c r="AT649" s="35" t="s">
        <v>2202</v>
      </c>
      <c r="AU649" s="39" t="s">
        <v>2203</v>
      </c>
      <c r="AV649" s="40">
        <v>46163.0</v>
      </c>
    </row>
    <row r="650">
      <c r="A650" s="38">
        <v>474.0</v>
      </c>
      <c r="B650" s="38">
        <v>473.0</v>
      </c>
      <c r="C650" s="38">
        <v>473.0</v>
      </c>
      <c r="D650" s="38">
        <v>9.0258552E7</v>
      </c>
      <c r="E650" s="38">
        <v>9.0258552E7</v>
      </c>
      <c r="F650" s="18" t="s">
        <v>1414</v>
      </c>
      <c r="G650" s="18" t="s">
        <v>1912</v>
      </c>
      <c r="H650" s="18" t="s">
        <v>2896</v>
      </c>
      <c r="I650" s="18" t="s">
        <v>942</v>
      </c>
      <c r="J650" s="18" t="s">
        <v>2205</v>
      </c>
      <c r="K650" s="18" t="s">
        <v>2770</v>
      </c>
      <c r="L650" s="18" t="s">
        <v>52</v>
      </c>
      <c r="M650" s="18" t="s">
        <v>89</v>
      </c>
      <c r="N650" s="18" t="s">
        <v>861</v>
      </c>
      <c r="O650" s="18" t="s">
        <v>126</v>
      </c>
      <c r="P650" s="18" t="s">
        <v>56</v>
      </c>
      <c r="Q650" s="18" t="s">
        <v>90</v>
      </c>
      <c r="R650" s="18" t="s">
        <v>58</v>
      </c>
      <c r="S650" s="18" t="s">
        <v>59</v>
      </c>
      <c r="T650" s="38">
        <v>2026.0</v>
      </c>
      <c r="U650" s="38">
        <v>5.0</v>
      </c>
      <c r="V650" s="38">
        <v>1.08152292E9</v>
      </c>
      <c r="W650" s="38">
        <v>1.08154099E9</v>
      </c>
      <c r="X650" s="18" t="s">
        <v>2199</v>
      </c>
      <c r="Y650" s="18" t="s">
        <v>2200</v>
      </c>
      <c r="Z650" s="38">
        <v>3456850.37</v>
      </c>
      <c r="AA650" s="38">
        <v>3456850.37</v>
      </c>
      <c r="AB650" s="38">
        <v>1136640.73</v>
      </c>
      <c r="AC650" s="38">
        <v>11775.5</v>
      </c>
      <c r="AD650" s="38">
        <v>46928.21</v>
      </c>
      <c r="AE650" s="38">
        <v>0.0</v>
      </c>
      <c r="AF650" s="38">
        <v>0.0</v>
      </c>
      <c r="AG650" s="38">
        <v>0.0</v>
      </c>
      <c r="AH650" s="38">
        <v>0.0</v>
      </c>
      <c r="AI650" s="38">
        <v>3456850.37</v>
      </c>
      <c r="AJ650" s="38">
        <v>7383314.77</v>
      </c>
      <c r="AK650" s="38">
        <v>2.0</v>
      </c>
      <c r="AL650" s="38">
        <v>376.2</v>
      </c>
      <c r="AM650" s="38">
        <v>0.0</v>
      </c>
      <c r="AN650" s="34" t="s">
        <v>62</v>
      </c>
      <c r="AO650" s="34" t="s">
        <v>62</v>
      </c>
      <c r="AP650" s="34" t="s">
        <v>62</v>
      </c>
      <c r="AQ650" s="34" t="s">
        <v>62</v>
      </c>
      <c r="AR650" s="38">
        <v>0.0</v>
      </c>
      <c r="AS650" s="38" t="s">
        <v>2897</v>
      </c>
      <c r="AT650" s="35" t="s">
        <v>2202</v>
      </c>
      <c r="AU650" s="39" t="s">
        <v>2203</v>
      </c>
      <c r="AV650" s="40">
        <v>46169.0</v>
      </c>
    </row>
    <row r="651">
      <c r="A651" s="38">
        <v>545061.0</v>
      </c>
      <c r="B651" s="38">
        <v>473901.0</v>
      </c>
      <c r="C651" s="38">
        <v>513086.0</v>
      </c>
      <c r="D651" s="34" t="s">
        <v>62</v>
      </c>
      <c r="E651" s="34" t="s">
        <v>62</v>
      </c>
      <c r="F651" s="18" t="s">
        <v>1914</v>
      </c>
      <c r="G651" s="18" t="s">
        <v>1915</v>
      </c>
      <c r="H651" s="18" t="s">
        <v>2898</v>
      </c>
      <c r="I651" s="38">
        <v>0.0</v>
      </c>
      <c r="J651" s="18" t="s">
        <v>2691</v>
      </c>
      <c r="K651" s="18" t="s">
        <v>2691</v>
      </c>
      <c r="L651" s="18" t="s">
        <v>52</v>
      </c>
      <c r="M651" s="18" t="s">
        <v>89</v>
      </c>
      <c r="N651" s="18" t="s">
        <v>861</v>
      </c>
      <c r="O651" s="18" t="s">
        <v>126</v>
      </c>
      <c r="P651" s="18" t="s">
        <v>56</v>
      </c>
      <c r="Q651" s="18" t="s">
        <v>90</v>
      </c>
      <c r="R651" s="18" t="s">
        <v>143</v>
      </c>
      <c r="S651" s="18" t="s">
        <v>59</v>
      </c>
      <c r="T651" s="38">
        <v>2026.0</v>
      </c>
      <c r="U651" s="38">
        <v>5.0</v>
      </c>
      <c r="V651" s="38">
        <v>1.081523236E9</v>
      </c>
      <c r="W651" s="38">
        <v>1.081541306E9</v>
      </c>
      <c r="X651" s="18" t="s">
        <v>2199</v>
      </c>
      <c r="Y651" s="18" t="s">
        <v>2200</v>
      </c>
      <c r="Z651" s="38">
        <v>129276.28</v>
      </c>
      <c r="AA651" s="38">
        <v>129276.28</v>
      </c>
      <c r="AB651" s="38">
        <v>43092.1</v>
      </c>
      <c r="AC651" s="38">
        <v>253.0</v>
      </c>
      <c r="AD651" s="38">
        <v>0.0</v>
      </c>
      <c r="AE651" s="38">
        <v>0.0</v>
      </c>
      <c r="AF651" s="38">
        <v>0.0</v>
      </c>
      <c r="AG651" s="38">
        <v>0.0</v>
      </c>
      <c r="AH651" s="38">
        <v>0.0</v>
      </c>
      <c r="AI651" s="38">
        <v>129276.28</v>
      </c>
      <c r="AJ651" s="38">
        <v>129276.28</v>
      </c>
      <c r="AK651" s="38">
        <v>0.0</v>
      </c>
      <c r="AL651" s="38">
        <v>376.2</v>
      </c>
      <c r="AM651" s="38">
        <v>0.0</v>
      </c>
      <c r="AN651" s="34" t="s">
        <v>62</v>
      </c>
      <c r="AO651" s="34" t="s">
        <v>62</v>
      </c>
      <c r="AP651" s="34" t="s">
        <v>62</v>
      </c>
      <c r="AQ651" s="34" t="s">
        <v>62</v>
      </c>
      <c r="AR651" s="38">
        <v>0.0</v>
      </c>
      <c r="AS651" s="38" t="s">
        <v>2899</v>
      </c>
      <c r="AT651" s="38" t="s">
        <v>2275</v>
      </c>
      <c r="AU651" s="39" t="s">
        <v>2276</v>
      </c>
      <c r="AV651" s="40">
        <v>46163.0</v>
      </c>
    </row>
    <row r="652">
      <c r="A652" s="38">
        <v>551580.0</v>
      </c>
      <c r="B652" s="38">
        <v>476109.0</v>
      </c>
      <c r="C652" s="38">
        <v>517427.0</v>
      </c>
      <c r="D652" s="34" t="s">
        <v>62</v>
      </c>
      <c r="E652" s="34" t="s">
        <v>62</v>
      </c>
      <c r="F652" s="38">
        <v>8.91408584E8</v>
      </c>
      <c r="G652" s="18" t="s">
        <v>1917</v>
      </c>
      <c r="H652" s="18" t="s">
        <v>2900</v>
      </c>
      <c r="I652" s="18" t="s">
        <v>76</v>
      </c>
      <c r="J652" s="18" t="s">
        <v>2691</v>
      </c>
      <c r="K652" s="18" t="s">
        <v>1986</v>
      </c>
      <c r="L652" s="18" t="s">
        <v>52</v>
      </c>
      <c r="M652" s="18" t="s">
        <v>89</v>
      </c>
      <c r="N652" s="18" t="s">
        <v>861</v>
      </c>
      <c r="O652" s="18" t="s">
        <v>126</v>
      </c>
      <c r="P652" s="18" t="s">
        <v>56</v>
      </c>
      <c r="Q652" s="18" t="s">
        <v>90</v>
      </c>
      <c r="R652" s="18" t="s">
        <v>143</v>
      </c>
      <c r="S652" s="18" t="s">
        <v>59</v>
      </c>
      <c r="T652" s="38">
        <v>2026.0</v>
      </c>
      <c r="U652" s="38">
        <v>5.0</v>
      </c>
      <c r="V652" s="38">
        <v>1.081523237E9</v>
      </c>
      <c r="W652" s="38">
        <v>1.081541307E9</v>
      </c>
      <c r="X652" s="18" t="s">
        <v>2199</v>
      </c>
      <c r="Y652" s="18" t="s">
        <v>2200</v>
      </c>
      <c r="Z652" s="38">
        <v>199601.25</v>
      </c>
      <c r="AA652" s="38">
        <v>199601.25</v>
      </c>
      <c r="AB652" s="38">
        <v>66533.75</v>
      </c>
      <c r="AC652" s="38">
        <v>500.0</v>
      </c>
      <c r="AD652" s="38">
        <v>0.0</v>
      </c>
      <c r="AE652" s="38">
        <v>0.0</v>
      </c>
      <c r="AF652" s="38">
        <v>0.0</v>
      </c>
      <c r="AG652" s="38">
        <v>0.0</v>
      </c>
      <c r="AH652" s="38">
        <v>0.0</v>
      </c>
      <c r="AI652" s="38">
        <v>199601.25</v>
      </c>
      <c r="AJ652" s="38">
        <v>396003.48</v>
      </c>
      <c r="AK652" s="38">
        <v>1.0</v>
      </c>
      <c r="AL652" s="38">
        <v>376.2</v>
      </c>
      <c r="AM652" s="38">
        <v>0.0</v>
      </c>
      <c r="AN652" s="34" t="s">
        <v>62</v>
      </c>
      <c r="AO652" s="34" t="s">
        <v>62</v>
      </c>
      <c r="AP652" s="34" t="s">
        <v>62</v>
      </c>
      <c r="AQ652" s="34" t="s">
        <v>62</v>
      </c>
      <c r="AR652" s="38">
        <v>0.0</v>
      </c>
      <c r="AS652" s="38" t="s">
        <v>2901</v>
      </c>
      <c r="AT652" s="38" t="s">
        <v>2275</v>
      </c>
      <c r="AU652" s="39" t="s">
        <v>2276</v>
      </c>
      <c r="AV652" s="40">
        <v>46163.0</v>
      </c>
    </row>
    <row r="653">
      <c r="A653" s="38">
        <v>490.0</v>
      </c>
      <c r="B653" s="38">
        <v>489.0</v>
      </c>
      <c r="C653" s="38">
        <v>489.0</v>
      </c>
      <c r="D653" s="38">
        <v>9.0265222E7</v>
      </c>
      <c r="E653" s="38">
        <v>9.0265222E7</v>
      </c>
      <c r="F653" s="38">
        <v>9.0265222E7</v>
      </c>
      <c r="G653" s="18" t="s">
        <v>973</v>
      </c>
      <c r="H653" s="18" t="s">
        <v>2902</v>
      </c>
      <c r="I653" s="18" t="s">
        <v>343</v>
      </c>
      <c r="J653" s="18" t="s">
        <v>982</v>
      </c>
      <c r="K653" s="18" t="s">
        <v>982</v>
      </c>
      <c r="L653" s="18" t="s">
        <v>52</v>
      </c>
      <c r="M653" s="18" t="s">
        <v>89</v>
      </c>
      <c r="N653" s="18" t="s">
        <v>861</v>
      </c>
      <c r="O653" s="18" t="s">
        <v>126</v>
      </c>
      <c r="P653" s="18" t="s">
        <v>131</v>
      </c>
      <c r="Q653" s="18" t="s">
        <v>363</v>
      </c>
      <c r="R653" s="18" t="s">
        <v>133</v>
      </c>
      <c r="S653" s="18" t="s">
        <v>59</v>
      </c>
      <c r="T653" s="38">
        <v>2026.0</v>
      </c>
      <c r="U653" s="38">
        <v>5.0</v>
      </c>
      <c r="V653" s="38">
        <v>1.081522924E9</v>
      </c>
      <c r="W653" s="38">
        <v>1.081540994E9</v>
      </c>
      <c r="X653" s="18" t="s">
        <v>2199</v>
      </c>
      <c r="Y653" s="18" t="s">
        <v>2200</v>
      </c>
      <c r="Z653" s="38">
        <v>76141.5</v>
      </c>
      <c r="AA653" s="38">
        <v>76141.5</v>
      </c>
      <c r="AB653" s="38">
        <v>25380.5</v>
      </c>
      <c r="AC653" s="38">
        <v>0.0</v>
      </c>
      <c r="AD653" s="38">
        <v>0.0</v>
      </c>
      <c r="AE653" s="38">
        <v>0.0</v>
      </c>
      <c r="AF653" s="38">
        <v>0.0</v>
      </c>
      <c r="AG653" s="38">
        <v>0.0</v>
      </c>
      <c r="AH653" s="38">
        <v>0.0</v>
      </c>
      <c r="AI653" s="38">
        <v>76141.5</v>
      </c>
      <c r="AJ653" s="38">
        <v>76141.5</v>
      </c>
      <c r="AK653" s="38">
        <v>0.0</v>
      </c>
      <c r="AL653" s="38">
        <v>376.2</v>
      </c>
      <c r="AM653" s="38">
        <v>0.0</v>
      </c>
      <c r="AN653" s="34" t="s">
        <v>62</v>
      </c>
      <c r="AO653" s="34" t="s">
        <v>62</v>
      </c>
      <c r="AP653" s="34" t="s">
        <v>62</v>
      </c>
      <c r="AQ653" s="34" t="s">
        <v>62</v>
      </c>
      <c r="AR653" s="38">
        <v>0.0</v>
      </c>
      <c r="AS653" s="38" t="s">
        <v>2903</v>
      </c>
      <c r="AT653" s="35" t="s">
        <v>2275</v>
      </c>
      <c r="AU653" s="39" t="s">
        <v>2326</v>
      </c>
      <c r="AV653" s="40">
        <v>46163.0</v>
      </c>
    </row>
    <row r="654">
      <c r="A654" s="38">
        <v>48982.0</v>
      </c>
      <c r="B654" s="38">
        <v>48981.0</v>
      </c>
      <c r="C654" s="38">
        <v>48981.0</v>
      </c>
      <c r="D654" s="38">
        <v>16653.0</v>
      </c>
      <c r="E654" s="38">
        <v>16653.0</v>
      </c>
      <c r="F654" s="18" t="s">
        <v>858</v>
      </c>
      <c r="G654" s="18" t="s">
        <v>859</v>
      </c>
      <c r="H654" s="18" t="s">
        <v>2904</v>
      </c>
      <c r="I654" s="18" t="s">
        <v>640</v>
      </c>
      <c r="J654" s="18" t="s">
        <v>2205</v>
      </c>
      <c r="K654" s="18" t="s">
        <v>2205</v>
      </c>
      <c r="L654" s="18" t="s">
        <v>52</v>
      </c>
      <c r="M654" s="18" t="s">
        <v>89</v>
      </c>
      <c r="N654" s="18" t="s">
        <v>861</v>
      </c>
      <c r="O654" s="18" t="s">
        <v>126</v>
      </c>
      <c r="P654" s="18" t="s">
        <v>131</v>
      </c>
      <c r="Q654" s="18" t="s">
        <v>132</v>
      </c>
      <c r="R654" s="18" t="s">
        <v>133</v>
      </c>
      <c r="S654" s="18" t="s">
        <v>59</v>
      </c>
      <c r="T654" s="38">
        <v>2026.0</v>
      </c>
      <c r="U654" s="38">
        <v>5.0</v>
      </c>
      <c r="V654" s="38">
        <v>1.08152307E9</v>
      </c>
      <c r="W654" s="38">
        <v>1.08154114E9</v>
      </c>
      <c r="X654" s="18" t="s">
        <v>2199</v>
      </c>
      <c r="Y654" s="18" t="s">
        <v>2200</v>
      </c>
      <c r="Z654" s="38">
        <v>113911.5</v>
      </c>
      <c r="AA654" s="38">
        <v>113911.5</v>
      </c>
      <c r="AB654" s="38">
        <v>37970.5</v>
      </c>
      <c r="AC654" s="38">
        <v>0.0</v>
      </c>
      <c r="AD654" s="38">
        <v>0.0</v>
      </c>
      <c r="AE654" s="38">
        <v>0.0</v>
      </c>
      <c r="AF654" s="38">
        <v>0.0</v>
      </c>
      <c r="AG654" s="38">
        <v>0.0</v>
      </c>
      <c r="AH654" s="38">
        <v>0.0</v>
      </c>
      <c r="AI654" s="38">
        <v>113911.5</v>
      </c>
      <c r="AJ654" s="38">
        <v>113911.5</v>
      </c>
      <c r="AK654" s="38">
        <v>0.0</v>
      </c>
      <c r="AL654" s="38">
        <v>376.2</v>
      </c>
      <c r="AM654" s="38">
        <v>0.0</v>
      </c>
      <c r="AN654" s="34" t="s">
        <v>62</v>
      </c>
      <c r="AO654" s="34" t="s">
        <v>62</v>
      </c>
      <c r="AP654" s="34" t="s">
        <v>62</v>
      </c>
      <c r="AQ654" s="34" t="s">
        <v>62</v>
      </c>
      <c r="AR654" s="38">
        <v>0.0</v>
      </c>
      <c r="AS654" s="38" t="s">
        <v>2905</v>
      </c>
      <c r="AT654" s="35" t="s">
        <v>2202</v>
      </c>
      <c r="AU654" s="39" t="s">
        <v>2254</v>
      </c>
      <c r="AV654" s="40">
        <v>46170.0</v>
      </c>
    </row>
    <row r="655">
      <c r="A655" s="38">
        <v>643.0</v>
      </c>
      <c r="B655" s="38">
        <v>49121.0</v>
      </c>
      <c r="C655" s="38">
        <v>49121.0</v>
      </c>
      <c r="D655" s="38">
        <v>16917.0</v>
      </c>
      <c r="E655" s="38">
        <v>16917.0</v>
      </c>
      <c r="F655" s="18" t="s">
        <v>1189</v>
      </c>
      <c r="G655" s="18" t="s">
        <v>1190</v>
      </c>
      <c r="H655" s="18" t="s">
        <v>2615</v>
      </c>
      <c r="I655" s="18" t="s">
        <v>343</v>
      </c>
      <c r="J655" s="18" t="s">
        <v>982</v>
      </c>
      <c r="K655" s="18" t="s">
        <v>982</v>
      </c>
      <c r="L655" s="18" t="s">
        <v>52</v>
      </c>
      <c r="M655" s="18" t="s">
        <v>89</v>
      </c>
      <c r="N655" s="18" t="s">
        <v>861</v>
      </c>
      <c r="O655" s="18" t="s">
        <v>126</v>
      </c>
      <c r="P655" s="18" t="s">
        <v>131</v>
      </c>
      <c r="Q655" s="18" t="s">
        <v>132</v>
      </c>
      <c r="R655" s="18" t="s">
        <v>133</v>
      </c>
      <c r="S655" s="18" t="s">
        <v>59</v>
      </c>
      <c r="T655" s="38">
        <v>2026.0</v>
      </c>
      <c r="U655" s="38">
        <v>5.0</v>
      </c>
      <c r="V655" s="38">
        <v>1.081523075E9</v>
      </c>
      <c r="W655" s="38">
        <v>1.081541145E9</v>
      </c>
      <c r="X655" s="18" t="s">
        <v>2199</v>
      </c>
      <c r="Y655" s="18" t="s">
        <v>2200</v>
      </c>
      <c r="Z655" s="38">
        <v>113911.5</v>
      </c>
      <c r="AA655" s="38">
        <v>113911.5</v>
      </c>
      <c r="AB655" s="38">
        <v>37970.5</v>
      </c>
      <c r="AC655" s="38">
        <v>0.0</v>
      </c>
      <c r="AD655" s="38">
        <v>0.0</v>
      </c>
      <c r="AE655" s="38">
        <v>0.0</v>
      </c>
      <c r="AF655" s="38">
        <v>0.0</v>
      </c>
      <c r="AG655" s="38">
        <v>0.0</v>
      </c>
      <c r="AH655" s="38">
        <v>0.0</v>
      </c>
      <c r="AI655" s="38">
        <v>113911.5</v>
      </c>
      <c r="AJ655" s="38">
        <v>113911.5</v>
      </c>
      <c r="AK655" s="38">
        <v>0.0</v>
      </c>
      <c r="AL655" s="38">
        <v>376.2</v>
      </c>
      <c r="AM655" s="38">
        <v>0.0</v>
      </c>
      <c r="AN655" s="34" t="s">
        <v>62</v>
      </c>
      <c r="AO655" s="34" t="s">
        <v>62</v>
      </c>
      <c r="AP655" s="34" t="s">
        <v>62</v>
      </c>
      <c r="AQ655" s="34" t="s">
        <v>62</v>
      </c>
      <c r="AR655" s="38">
        <v>0.0</v>
      </c>
      <c r="AS655" s="38" t="s">
        <v>2616</v>
      </c>
      <c r="AT655" s="35" t="s">
        <v>2275</v>
      </c>
      <c r="AU655" s="39" t="s">
        <v>2326</v>
      </c>
      <c r="AV655" s="40">
        <v>46163.0</v>
      </c>
    </row>
    <row r="656">
      <c r="A656" s="38">
        <v>494.0</v>
      </c>
      <c r="B656" s="38">
        <v>493.0</v>
      </c>
      <c r="C656" s="38">
        <v>493.0</v>
      </c>
      <c r="D656" s="38">
        <v>9.0266578E7</v>
      </c>
      <c r="E656" s="38">
        <v>9.0266578E7</v>
      </c>
      <c r="F656" s="18" t="s">
        <v>1922</v>
      </c>
      <c r="G656" s="18" t="s">
        <v>1923</v>
      </c>
      <c r="H656" s="18" t="s">
        <v>2906</v>
      </c>
      <c r="I656" s="18" t="s">
        <v>343</v>
      </c>
      <c r="J656" s="18" t="s">
        <v>2205</v>
      </c>
      <c r="K656" s="18" t="s">
        <v>2205</v>
      </c>
      <c r="L656" s="18" t="s">
        <v>52</v>
      </c>
      <c r="M656" s="18" t="s">
        <v>89</v>
      </c>
      <c r="N656" s="18" t="s">
        <v>861</v>
      </c>
      <c r="O656" s="18" t="s">
        <v>126</v>
      </c>
      <c r="P656" s="18" t="s">
        <v>131</v>
      </c>
      <c r="Q656" s="18" t="s">
        <v>132</v>
      </c>
      <c r="R656" s="18" t="s">
        <v>133</v>
      </c>
      <c r="S656" s="18" t="s">
        <v>59</v>
      </c>
      <c r="T656" s="38">
        <v>2026.0</v>
      </c>
      <c r="U656" s="38">
        <v>5.0</v>
      </c>
      <c r="V656" s="38">
        <v>1.081522928E9</v>
      </c>
      <c r="W656" s="38">
        <v>1.081540998E9</v>
      </c>
      <c r="X656" s="18" t="s">
        <v>2199</v>
      </c>
      <c r="Y656" s="18" t="s">
        <v>2200</v>
      </c>
      <c r="Z656" s="38">
        <v>114181.81</v>
      </c>
      <c r="AA656" s="38">
        <v>114181.81</v>
      </c>
      <c r="AB656" s="38">
        <v>37970.5</v>
      </c>
      <c r="AC656" s="38">
        <v>0.0</v>
      </c>
      <c r="AD656" s="38">
        <v>270.31</v>
      </c>
      <c r="AE656" s="38">
        <v>0.0</v>
      </c>
      <c r="AF656" s="38">
        <v>0.0</v>
      </c>
      <c r="AG656" s="38">
        <v>0.0</v>
      </c>
      <c r="AH656" s="38">
        <v>0.0</v>
      </c>
      <c r="AI656" s="38">
        <v>114181.81</v>
      </c>
      <c r="AJ656" s="38">
        <v>217091.26</v>
      </c>
      <c r="AK656" s="38">
        <v>1.0</v>
      </c>
      <c r="AL656" s="38">
        <v>376.2</v>
      </c>
      <c r="AM656" s="38">
        <v>0.0</v>
      </c>
      <c r="AN656" s="34" t="s">
        <v>62</v>
      </c>
      <c r="AO656" s="34" t="s">
        <v>62</v>
      </c>
      <c r="AP656" s="34" t="s">
        <v>62</v>
      </c>
      <c r="AQ656" s="34" t="s">
        <v>62</v>
      </c>
      <c r="AR656" s="38">
        <v>0.0</v>
      </c>
      <c r="AS656" s="38" t="s">
        <v>2907</v>
      </c>
      <c r="AT656" s="35" t="s">
        <v>2202</v>
      </c>
      <c r="AU656" s="39" t="s">
        <v>2254</v>
      </c>
      <c r="AV656" s="40">
        <v>46170.0</v>
      </c>
    </row>
    <row r="657">
      <c r="A657" s="38">
        <v>49338.0</v>
      </c>
      <c r="B657" s="38">
        <v>49337.0</v>
      </c>
      <c r="C657" s="38">
        <v>49337.0</v>
      </c>
      <c r="D657" s="38">
        <v>17209.0</v>
      </c>
      <c r="E657" s="38">
        <v>17209.0</v>
      </c>
      <c r="F657" s="18" t="s">
        <v>1529</v>
      </c>
      <c r="G657" s="18" t="s">
        <v>1669</v>
      </c>
      <c r="H657" s="18" t="s">
        <v>2908</v>
      </c>
      <c r="I657" s="18" t="s">
        <v>640</v>
      </c>
      <c r="J657" s="18" t="s">
        <v>2205</v>
      </c>
      <c r="K657" s="18" t="s">
        <v>1669</v>
      </c>
      <c r="L657" s="18" t="s">
        <v>52</v>
      </c>
      <c r="M657" s="18" t="s">
        <v>89</v>
      </c>
      <c r="N657" s="18" t="s">
        <v>861</v>
      </c>
      <c r="O657" s="18" t="s">
        <v>126</v>
      </c>
      <c r="P657" s="18" t="s">
        <v>131</v>
      </c>
      <c r="Q657" s="18" t="s">
        <v>132</v>
      </c>
      <c r="R657" s="18" t="s">
        <v>133</v>
      </c>
      <c r="S657" s="18" t="s">
        <v>59</v>
      </c>
      <c r="T657" s="38">
        <v>2026.0</v>
      </c>
      <c r="U657" s="38">
        <v>5.0</v>
      </c>
      <c r="V657" s="38">
        <v>1.081523079E9</v>
      </c>
      <c r="W657" s="38">
        <v>1.081541149E9</v>
      </c>
      <c r="X657" s="18" t="s">
        <v>2199</v>
      </c>
      <c r="Y657" s="18" t="s">
        <v>2200</v>
      </c>
      <c r="Z657" s="38">
        <v>113911.5</v>
      </c>
      <c r="AA657" s="38">
        <v>113911.5</v>
      </c>
      <c r="AB657" s="38">
        <v>37970.5</v>
      </c>
      <c r="AC657" s="38">
        <v>0.0</v>
      </c>
      <c r="AD657" s="38">
        <v>0.0</v>
      </c>
      <c r="AE657" s="38">
        <v>0.0</v>
      </c>
      <c r="AF657" s="38">
        <v>0.0</v>
      </c>
      <c r="AG657" s="38">
        <v>0.0</v>
      </c>
      <c r="AH657" s="38">
        <v>0.0</v>
      </c>
      <c r="AI657" s="38">
        <v>113911.5</v>
      </c>
      <c r="AJ657" s="38">
        <v>113911.5</v>
      </c>
      <c r="AK657" s="38">
        <v>0.0</v>
      </c>
      <c r="AL657" s="38">
        <v>376.2</v>
      </c>
      <c r="AM657" s="38">
        <v>0.0</v>
      </c>
      <c r="AN657" s="34" t="s">
        <v>62</v>
      </c>
      <c r="AO657" s="34" t="s">
        <v>62</v>
      </c>
      <c r="AP657" s="34" t="s">
        <v>62</v>
      </c>
      <c r="AQ657" s="34" t="s">
        <v>62</v>
      </c>
      <c r="AR657" s="38">
        <v>0.0</v>
      </c>
      <c r="AS657" s="38" t="s">
        <v>2909</v>
      </c>
      <c r="AT657" s="35" t="s">
        <v>2202</v>
      </c>
      <c r="AU657" s="39" t="s">
        <v>2203</v>
      </c>
      <c r="AV657" s="40">
        <v>46168.0</v>
      </c>
    </row>
    <row r="658">
      <c r="A658" s="38">
        <v>498.0</v>
      </c>
      <c r="B658" s="38">
        <v>497.0</v>
      </c>
      <c r="C658" s="38">
        <v>497.0</v>
      </c>
      <c r="D658" s="38">
        <v>9.0267307E7</v>
      </c>
      <c r="E658" s="38">
        <v>9.0267307E7</v>
      </c>
      <c r="F658" s="18" t="s">
        <v>1926</v>
      </c>
      <c r="G658" s="18" t="s">
        <v>1927</v>
      </c>
      <c r="H658" s="18" t="s">
        <v>2910</v>
      </c>
      <c r="I658" s="18" t="s">
        <v>902</v>
      </c>
      <c r="J658" s="18" t="s">
        <v>2205</v>
      </c>
      <c r="K658" s="18" t="s">
        <v>2205</v>
      </c>
      <c r="L658" s="18" t="s">
        <v>52</v>
      </c>
      <c r="M658" s="18" t="s">
        <v>89</v>
      </c>
      <c r="N658" s="18" t="s">
        <v>861</v>
      </c>
      <c r="O658" s="18" t="s">
        <v>126</v>
      </c>
      <c r="P658" s="18" t="s">
        <v>131</v>
      </c>
      <c r="Q658" s="18" t="s">
        <v>132</v>
      </c>
      <c r="R658" s="18" t="s">
        <v>133</v>
      </c>
      <c r="S658" s="18" t="s">
        <v>59</v>
      </c>
      <c r="T658" s="38">
        <v>2026.0</v>
      </c>
      <c r="U658" s="38">
        <v>5.0</v>
      </c>
      <c r="V658" s="38">
        <v>1.081522931E9</v>
      </c>
      <c r="W658" s="38">
        <v>1.081541001E9</v>
      </c>
      <c r="X658" s="18" t="s">
        <v>2199</v>
      </c>
      <c r="Y658" s="18" t="s">
        <v>2200</v>
      </c>
      <c r="Z658" s="38">
        <v>113911.5</v>
      </c>
      <c r="AA658" s="38">
        <v>113911.5</v>
      </c>
      <c r="AB658" s="38">
        <v>37970.5</v>
      </c>
      <c r="AC658" s="38">
        <v>0.0</v>
      </c>
      <c r="AD658" s="38">
        <v>0.0</v>
      </c>
      <c r="AE658" s="38">
        <v>0.0</v>
      </c>
      <c r="AF658" s="38">
        <v>0.0</v>
      </c>
      <c r="AG658" s="38">
        <v>0.0</v>
      </c>
      <c r="AH658" s="38">
        <v>0.0</v>
      </c>
      <c r="AI658" s="38">
        <v>113911.5</v>
      </c>
      <c r="AJ658" s="38">
        <v>113911.5</v>
      </c>
      <c r="AK658" s="38">
        <v>0.0</v>
      </c>
      <c r="AL658" s="38">
        <v>376.2</v>
      </c>
      <c r="AM658" s="38">
        <v>0.0</v>
      </c>
      <c r="AN658" s="34" t="s">
        <v>62</v>
      </c>
      <c r="AO658" s="34" t="s">
        <v>62</v>
      </c>
      <c r="AP658" s="34" t="s">
        <v>62</v>
      </c>
      <c r="AQ658" s="34" t="s">
        <v>62</v>
      </c>
      <c r="AR658" s="38">
        <v>0.0</v>
      </c>
      <c r="AS658" s="38" t="s">
        <v>2911</v>
      </c>
      <c r="AT658" s="35" t="s">
        <v>2202</v>
      </c>
      <c r="AU658" s="39" t="s">
        <v>2254</v>
      </c>
      <c r="AV658" s="40">
        <v>46170.0</v>
      </c>
    </row>
    <row r="659">
      <c r="A659" s="38">
        <v>49734.0</v>
      </c>
      <c r="B659" s="38">
        <v>49733.0</v>
      </c>
      <c r="C659" s="38">
        <v>49733.0</v>
      </c>
      <c r="D659" s="38">
        <v>19018.0</v>
      </c>
      <c r="E659" s="38">
        <v>19018.0</v>
      </c>
      <c r="F659" s="18" t="s">
        <v>1078</v>
      </c>
      <c r="G659" s="18" t="s">
        <v>1079</v>
      </c>
      <c r="H659" s="18" t="s">
        <v>2912</v>
      </c>
      <c r="I659" s="18" t="s">
        <v>443</v>
      </c>
      <c r="J659" s="18" t="s">
        <v>2205</v>
      </c>
      <c r="K659" s="18" t="s">
        <v>1079</v>
      </c>
      <c r="L659" s="18" t="s">
        <v>52</v>
      </c>
      <c r="M659" s="18" t="s">
        <v>89</v>
      </c>
      <c r="N659" s="18" t="s">
        <v>861</v>
      </c>
      <c r="O659" s="18" t="s">
        <v>126</v>
      </c>
      <c r="P659" s="18" t="s">
        <v>131</v>
      </c>
      <c r="Q659" s="18" t="s">
        <v>538</v>
      </c>
      <c r="R659" s="18" t="s">
        <v>133</v>
      </c>
      <c r="S659" s="18" t="s">
        <v>59</v>
      </c>
      <c r="T659" s="38">
        <v>2026.0</v>
      </c>
      <c r="U659" s="38">
        <v>5.0</v>
      </c>
      <c r="V659" s="38">
        <v>1.081523084E9</v>
      </c>
      <c r="W659" s="38">
        <v>1.081541154E9</v>
      </c>
      <c r="X659" s="18" t="s">
        <v>2199</v>
      </c>
      <c r="Y659" s="18" t="s">
        <v>2200</v>
      </c>
      <c r="Z659" s="38">
        <v>101211.4</v>
      </c>
      <c r="AA659" s="38">
        <v>101211.4</v>
      </c>
      <c r="AB659" s="38">
        <v>31676.0</v>
      </c>
      <c r="AC659" s="38">
        <v>0.0</v>
      </c>
      <c r="AD659" s="38">
        <v>6183.4</v>
      </c>
      <c r="AE659" s="38">
        <v>0.0</v>
      </c>
      <c r="AF659" s="38">
        <v>0.0</v>
      </c>
      <c r="AG659" s="38">
        <v>0.0</v>
      </c>
      <c r="AH659" s="38">
        <v>0.0</v>
      </c>
      <c r="AI659" s="38">
        <v>101211.4</v>
      </c>
      <c r="AJ659" s="38">
        <v>541333.33</v>
      </c>
      <c r="AK659" s="38">
        <v>5.0</v>
      </c>
      <c r="AL659" s="38">
        <v>376.2</v>
      </c>
      <c r="AM659" s="38">
        <v>0.0</v>
      </c>
      <c r="AN659" s="34" t="s">
        <v>62</v>
      </c>
      <c r="AO659" s="34" t="s">
        <v>62</v>
      </c>
      <c r="AP659" s="34" t="s">
        <v>62</v>
      </c>
      <c r="AQ659" s="34" t="s">
        <v>62</v>
      </c>
      <c r="AR659" s="38">
        <v>0.0</v>
      </c>
      <c r="AS659" s="38" t="s">
        <v>2913</v>
      </c>
      <c r="AT659" s="35" t="s">
        <v>2202</v>
      </c>
      <c r="AU659" s="39" t="s">
        <v>2203</v>
      </c>
      <c r="AV659" s="40">
        <v>46164.0</v>
      </c>
    </row>
    <row r="660">
      <c r="A660" s="38">
        <v>314877.0</v>
      </c>
      <c r="B660" s="38">
        <v>49781.0</v>
      </c>
      <c r="C660" s="38">
        <v>49781.0</v>
      </c>
      <c r="D660" s="38">
        <v>19060.0</v>
      </c>
      <c r="E660" s="38">
        <v>19060.0</v>
      </c>
      <c r="F660" s="38">
        <v>8.60503159E8</v>
      </c>
      <c r="G660" s="18" t="s">
        <v>371</v>
      </c>
      <c r="H660" s="18" t="s">
        <v>2279</v>
      </c>
      <c r="I660" s="18" t="s">
        <v>640</v>
      </c>
      <c r="J660" s="18" t="s">
        <v>982</v>
      </c>
      <c r="K660" s="18" t="s">
        <v>2280</v>
      </c>
      <c r="L660" s="18" t="s">
        <v>52</v>
      </c>
      <c r="M660" s="18" t="s">
        <v>89</v>
      </c>
      <c r="N660" s="18" t="s">
        <v>861</v>
      </c>
      <c r="O660" s="18" t="s">
        <v>126</v>
      </c>
      <c r="P660" s="18" t="s">
        <v>131</v>
      </c>
      <c r="Q660" s="18" t="s">
        <v>132</v>
      </c>
      <c r="R660" s="18" t="s">
        <v>133</v>
      </c>
      <c r="S660" s="18" t="s">
        <v>59</v>
      </c>
      <c r="T660" s="38">
        <v>2026.0</v>
      </c>
      <c r="U660" s="38">
        <v>5.0</v>
      </c>
      <c r="V660" s="38">
        <v>1.081523088E9</v>
      </c>
      <c r="W660" s="38">
        <v>1.081541158E9</v>
      </c>
      <c r="X660" s="18" t="s">
        <v>2199</v>
      </c>
      <c r="Y660" s="18" t="s">
        <v>2200</v>
      </c>
      <c r="Z660" s="38">
        <v>113911.5</v>
      </c>
      <c r="AA660" s="38">
        <v>113911.5</v>
      </c>
      <c r="AB660" s="38">
        <v>37970.5</v>
      </c>
      <c r="AC660" s="38">
        <v>0.0</v>
      </c>
      <c r="AD660" s="38">
        <v>0.0</v>
      </c>
      <c r="AE660" s="38">
        <v>0.0</v>
      </c>
      <c r="AF660" s="38">
        <v>0.0</v>
      </c>
      <c r="AG660" s="38">
        <v>0.0</v>
      </c>
      <c r="AH660" s="38">
        <v>0.0</v>
      </c>
      <c r="AI660" s="38">
        <v>113911.5</v>
      </c>
      <c r="AJ660" s="38">
        <v>113911.5</v>
      </c>
      <c r="AK660" s="38">
        <v>0.0</v>
      </c>
      <c r="AL660" s="38">
        <v>376.2</v>
      </c>
      <c r="AM660" s="38">
        <v>0.0</v>
      </c>
      <c r="AN660" s="34" t="s">
        <v>62</v>
      </c>
      <c r="AO660" s="34" t="s">
        <v>62</v>
      </c>
      <c r="AP660" s="34" t="s">
        <v>62</v>
      </c>
      <c r="AQ660" s="34" t="s">
        <v>62</v>
      </c>
      <c r="AR660" s="38">
        <v>0.0</v>
      </c>
      <c r="AS660" s="38" t="s">
        <v>2281</v>
      </c>
      <c r="AT660" s="35" t="s">
        <v>2275</v>
      </c>
      <c r="AU660" s="39" t="s">
        <v>2475</v>
      </c>
      <c r="AV660" s="40">
        <v>46163.0</v>
      </c>
    </row>
    <row r="661">
      <c r="A661" s="38">
        <v>596813.0</v>
      </c>
      <c r="B661" s="38">
        <v>499137.0</v>
      </c>
      <c r="C661" s="38">
        <v>553189.0</v>
      </c>
      <c r="D661" s="34" t="s">
        <v>62</v>
      </c>
      <c r="E661" s="34" t="s">
        <v>62</v>
      </c>
      <c r="F661" s="38">
        <v>8.00120681E8</v>
      </c>
      <c r="G661" s="18" t="s">
        <v>1931</v>
      </c>
      <c r="H661" s="18" t="s">
        <v>2914</v>
      </c>
      <c r="I661" s="18" t="s">
        <v>991</v>
      </c>
      <c r="J661" s="18" t="s">
        <v>2691</v>
      </c>
      <c r="K661" s="18" t="s">
        <v>2691</v>
      </c>
      <c r="L661" s="18" t="s">
        <v>52</v>
      </c>
      <c r="M661" s="18" t="s">
        <v>138</v>
      </c>
      <c r="N661" s="18" t="s">
        <v>861</v>
      </c>
      <c r="O661" s="18" t="s">
        <v>126</v>
      </c>
      <c r="P661" s="18" t="s">
        <v>131</v>
      </c>
      <c r="Q661" s="18" t="s">
        <v>363</v>
      </c>
      <c r="R661" s="18" t="s">
        <v>133</v>
      </c>
      <c r="S661" s="18" t="s">
        <v>59</v>
      </c>
      <c r="T661" s="38">
        <v>2026.0</v>
      </c>
      <c r="U661" s="38">
        <v>5.0</v>
      </c>
      <c r="V661" s="38">
        <v>1.081523238E9</v>
      </c>
      <c r="W661" s="38">
        <v>1.081541308E9</v>
      </c>
      <c r="X661" s="18" t="s">
        <v>2199</v>
      </c>
      <c r="Y661" s="18" t="s">
        <v>2200</v>
      </c>
      <c r="Z661" s="38">
        <v>78270.0</v>
      </c>
      <c r="AA661" s="38">
        <v>78270.0</v>
      </c>
      <c r="AB661" s="38">
        <v>26090.0</v>
      </c>
      <c r="AC661" s="38">
        <v>0.0</v>
      </c>
      <c r="AD661" s="38">
        <v>0.0</v>
      </c>
      <c r="AE661" s="38">
        <v>0.0</v>
      </c>
      <c r="AF661" s="38">
        <v>0.0</v>
      </c>
      <c r="AG661" s="38">
        <v>0.0</v>
      </c>
      <c r="AH661" s="38">
        <v>0.0</v>
      </c>
      <c r="AI661" s="38">
        <v>78270.0</v>
      </c>
      <c r="AJ661" s="38">
        <v>78270.5</v>
      </c>
      <c r="AK661" s="38">
        <v>1.0</v>
      </c>
      <c r="AL661" s="38">
        <v>6420.0</v>
      </c>
      <c r="AM661" s="38">
        <v>0.0</v>
      </c>
      <c r="AN661" s="34" t="s">
        <v>62</v>
      </c>
      <c r="AO661" s="34" t="s">
        <v>62</v>
      </c>
      <c r="AP661" s="34" t="s">
        <v>62</v>
      </c>
      <c r="AQ661" s="34" t="s">
        <v>62</v>
      </c>
      <c r="AR661" s="38">
        <v>0.0</v>
      </c>
      <c r="AS661" s="34"/>
      <c r="AT661" s="38" t="s">
        <v>2275</v>
      </c>
      <c r="AU661" s="39" t="s">
        <v>2276</v>
      </c>
      <c r="AV661" s="40">
        <v>46163.0</v>
      </c>
    </row>
    <row r="662">
      <c r="A662" s="38">
        <v>502.0</v>
      </c>
      <c r="B662" s="38">
        <v>501.0</v>
      </c>
      <c r="C662" s="38">
        <v>501.0</v>
      </c>
      <c r="D662" s="38">
        <v>9.0267731E7</v>
      </c>
      <c r="E662" s="38">
        <v>9.0267731E7</v>
      </c>
      <c r="F662" s="18" t="s">
        <v>1933</v>
      </c>
      <c r="G662" s="18" t="s">
        <v>1934</v>
      </c>
      <c r="H662" s="18" t="s">
        <v>2915</v>
      </c>
      <c r="I662" s="18" t="s">
        <v>982</v>
      </c>
      <c r="J662" s="18" t="s">
        <v>2205</v>
      </c>
      <c r="K662" s="18" t="s">
        <v>2205</v>
      </c>
      <c r="L662" s="18" t="s">
        <v>52</v>
      </c>
      <c r="M662" s="18" t="s">
        <v>89</v>
      </c>
      <c r="N662" s="18" t="s">
        <v>861</v>
      </c>
      <c r="O662" s="18" t="s">
        <v>126</v>
      </c>
      <c r="P662" s="18" t="s">
        <v>131</v>
      </c>
      <c r="Q662" s="18" t="s">
        <v>132</v>
      </c>
      <c r="R662" s="18" t="s">
        <v>133</v>
      </c>
      <c r="S662" s="18" t="s">
        <v>59</v>
      </c>
      <c r="T662" s="38">
        <v>2026.0</v>
      </c>
      <c r="U662" s="38">
        <v>5.0</v>
      </c>
      <c r="V662" s="38">
        <v>1.081522935E9</v>
      </c>
      <c r="W662" s="38">
        <v>1.081541005E9</v>
      </c>
      <c r="X662" s="18" t="s">
        <v>2199</v>
      </c>
      <c r="Y662" s="18" t="s">
        <v>2200</v>
      </c>
      <c r="Z662" s="38">
        <v>113911.5</v>
      </c>
      <c r="AA662" s="38">
        <v>113911.5</v>
      </c>
      <c r="AB662" s="38">
        <v>37970.5</v>
      </c>
      <c r="AC662" s="38">
        <v>0.0</v>
      </c>
      <c r="AD662" s="38">
        <v>0.0</v>
      </c>
      <c r="AE662" s="38">
        <v>0.0</v>
      </c>
      <c r="AF662" s="38">
        <v>0.0</v>
      </c>
      <c r="AG662" s="38">
        <v>0.0</v>
      </c>
      <c r="AH662" s="38">
        <v>0.0</v>
      </c>
      <c r="AI662" s="38">
        <v>113911.5</v>
      </c>
      <c r="AJ662" s="38">
        <v>113911.5</v>
      </c>
      <c r="AK662" s="38">
        <v>0.0</v>
      </c>
      <c r="AL662" s="38">
        <v>376.2</v>
      </c>
      <c r="AM662" s="38">
        <v>0.0</v>
      </c>
      <c r="AN662" s="34" t="s">
        <v>62</v>
      </c>
      <c r="AO662" s="34" t="s">
        <v>62</v>
      </c>
      <c r="AP662" s="34" t="s">
        <v>62</v>
      </c>
      <c r="AQ662" s="34" t="s">
        <v>62</v>
      </c>
      <c r="AR662" s="38">
        <v>0.0</v>
      </c>
      <c r="AS662" s="38" t="s">
        <v>2916</v>
      </c>
      <c r="AT662" s="35" t="s">
        <v>2202</v>
      </c>
      <c r="AU662" s="39" t="s">
        <v>2254</v>
      </c>
      <c r="AV662" s="40">
        <v>46170.0</v>
      </c>
    </row>
    <row r="663">
      <c r="A663" s="38">
        <v>50854.0</v>
      </c>
      <c r="B663" s="38">
        <v>50853.0</v>
      </c>
      <c r="C663" s="38">
        <v>50853.0</v>
      </c>
      <c r="D663" s="38">
        <v>100620.0</v>
      </c>
      <c r="E663" s="38">
        <v>100620.0</v>
      </c>
      <c r="F663" s="18" t="s">
        <v>1078</v>
      </c>
      <c r="G663" s="18" t="s">
        <v>1079</v>
      </c>
      <c r="H663" s="18" t="s">
        <v>2917</v>
      </c>
      <c r="I663" s="18" t="s">
        <v>640</v>
      </c>
      <c r="J663" s="18" t="s">
        <v>2205</v>
      </c>
      <c r="K663" s="18" t="s">
        <v>1079</v>
      </c>
      <c r="L663" s="18" t="s">
        <v>52</v>
      </c>
      <c r="M663" s="18" t="s">
        <v>89</v>
      </c>
      <c r="N663" s="18" t="s">
        <v>861</v>
      </c>
      <c r="O663" s="18" t="s">
        <v>126</v>
      </c>
      <c r="P663" s="18" t="s">
        <v>131</v>
      </c>
      <c r="Q663" s="18" t="s">
        <v>132</v>
      </c>
      <c r="R663" s="18" t="s">
        <v>133</v>
      </c>
      <c r="S663" s="18" t="s">
        <v>59</v>
      </c>
      <c r="T663" s="38">
        <v>2026.0</v>
      </c>
      <c r="U663" s="38">
        <v>5.0</v>
      </c>
      <c r="V663" s="38">
        <v>1.081523092E9</v>
      </c>
      <c r="W663" s="38">
        <v>1.081541162E9</v>
      </c>
      <c r="X663" s="18" t="s">
        <v>2199</v>
      </c>
      <c r="Y663" s="18" t="s">
        <v>2200</v>
      </c>
      <c r="Z663" s="38">
        <v>121458.66</v>
      </c>
      <c r="AA663" s="38">
        <v>121458.66</v>
      </c>
      <c r="AB663" s="38">
        <v>37970.5</v>
      </c>
      <c r="AC663" s="38">
        <v>0.0</v>
      </c>
      <c r="AD663" s="38">
        <v>7547.16</v>
      </c>
      <c r="AE663" s="38">
        <v>0.0</v>
      </c>
      <c r="AF663" s="38">
        <v>0.0</v>
      </c>
      <c r="AG663" s="38">
        <v>0.0</v>
      </c>
      <c r="AH663" s="38">
        <v>0.0</v>
      </c>
      <c r="AI663" s="38">
        <v>121458.66</v>
      </c>
      <c r="AJ663" s="38">
        <v>655508.78</v>
      </c>
      <c r="AK663" s="38">
        <v>5.0</v>
      </c>
      <c r="AL663" s="38">
        <v>376.2</v>
      </c>
      <c r="AM663" s="38">
        <v>0.0</v>
      </c>
      <c r="AN663" s="34" t="s">
        <v>62</v>
      </c>
      <c r="AO663" s="34" t="s">
        <v>62</v>
      </c>
      <c r="AP663" s="34" t="s">
        <v>62</v>
      </c>
      <c r="AQ663" s="34" t="s">
        <v>62</v>
      </c>
      <c r="AR663" s="38">
        <v>0.0</v>
      </c>
      <c r="AS663" s="38" t="s">
        <v>2913</v>
      </c>
      <c r="AT663" s="35" t="s">
        <v>2202</v>
      </c>
      <c r="AU663" s="39" t="s">
        <v>2203</v>
      </c>
      <c r="AV663" s="40">
        <v>46164.0</v>
      </c>
    </row>
    <row r="664">
      <c r="A664" s="38">
        <v>314877.0</v>
      </c>
      <c r="B664" s="38">
        <v>52261.0</v>
      </c>
      <c r="C664" s="38">
        <v>52261.0</v>
      </c>
      <c r="D664" s="38">
        <v>102929.0</v>
      </c>
      <c r="E664" s="38">
        <v>102929.0</v>
      </c>
      <c r="F664" s="38">
        <v>8.60503159E8</v>
      </c>
      <c r="G664" s="18" t="s">
        <v>371</v>
      </c>
      <c r="H664" s="18" t="s">
        <v>2279</v>
      </c>
      <c r="I664" s="18" t="s">
        <v>640</v>
      </c>
      <c r="J664" s="18" t="s">
        <v>982</v>
      </c>
      <c r="K664" s="18" t="s">
        <v>2280</v>
      </c>
      <c r="L664" s="18" t="s">
        <v>52</v>
      </c>
      <c r="M664" s="18" t="s">
        <v>89</v>
      </c>
      <c r="N664" s="18" t="s">
        <v>861</v>
      </c>
      <c r="O664" s="18" t="s">
        <v>126</v>
      </c>
      <c r="P664" s="18" t="s">
        <v>131</v>
      </c>
      <c r="Q664" s="18" t="s">
        <v>132</v>
      </c>
      <c r="R664" s="18" t="s">
        <v>133</v>
      </c>
      <c r="S664" s="18" t="s">
        <v>59</v>
      </c>
      <c r="T664" s="38">
        <v>2026.0</v>
      </c>
      <c r="U664" s="38">
        <v>5.0</v>
      </c>
      <c r="V664" s="38">
        <v>1.081523095E9</v>
      </c>
      <c r="W664" s="38">
        <v>1.081541165E9</v>
      </c>
      <c r="X664" s="18" t="s">
        <v>2199</v>
      </c>
      <c r="Y664" s="18" t="s">
        <v>2200</v>
      </c>
      <c r="Z664" s="38">
        <v>113911.5</v>
      </c>
      <c r="AA664" s="38">
        <v>113911.5</v>
      </c>
      <c r="AB664" s="38">
        <v>37970.5</v>
      </c>
      <c r="AC664" s="38">
        <v>0.0</v>
      </c>
      <c r="AD664" s="38">
        <v>0.0</v>
      </c>
      <c r="AE664" s="38">
        <v>0.0</v>
      </c>
      <c r="AF664" s="38">
        <v>0.0</v>
      </c>
      <c r="AG664" s="38">
        <v>0.0</v>
      </c>
      <c r="AH664" s="38">
        <v>0.0</v>
      </c>
      <c r="AI664" s="38">
        <v>113911.5</v>
      </c>
      <c r="AJ664" s="38">
        <v>113911.5</v>
      </c>
      <c r="AK664" s="38">
        <v>0.0</v>
      </c>
      <c r="AL664" s="38">
        <v>376.2</v>
      </c>
      <c r="AM664" s="38">
        <v>0.0</v>
      </c>
      <c r="AN664" s="34" t="s">
        <v>62</v>
      </c>
      <c r="AO664" s="34" t="s">
        <v>62</v>
      </c>
      <c r="AP664" s="34" t="s">
        <v>62</v>
      </c>
      <c r="AQ664" s="34" t="s">
        <v>62</v>
      </c>
      <c r="AR664" s="38">
        <v>0.0</v>
      </c>
      <c r="AS664" s="38" t="s">
        <v>2281</v>
      </c>
      <c r="AT664" s="35" t="s">
        <v>2275</v>
      </c>
      <c r="AU664" s="39" t="s">
        <v>2475</v>
      </c>
      <c r="AV664" s="40">
        <v>46163.0</v>
      </c>
    </row>
    <row r="665">
      <c r="A665" s="38">
        <v>686.0</v>
      </c>
      <c r="B665" s="38">
        <v>52921.0</v>
      </c>
      <c r="C665" s="38">
        <v>52921.0</v>
      </c>
      <c r="D665" s="38">
        <v>103993.0</v>
      </c>
      <c r="E665" s="38">
        <v>103993.0</v>
      </c>
      <c r="F665" s="18" t="s">
        <v>1938</v>
      </c>
      <c r="G665" s="18" t="s">
        <v>1939</v>
      </c>
      <c r="H665" s="18" t="s">
        <v>2918</v>
      </c>
      <c r="I665" s="18" t="s">
        <v>860</v>
      </c>
      <c r="J665" s="18" t="s">
        <v>2205</v>
      </c>
      <c r="K665" s="18" t="s">
        <v>2919</v>
      </c>
      <c r="L665" s="18" t="s">
        <v>52</v>
      </c>
      <c r="M665" s="18" t="s">
        <v>53</v>
      </c>
      <c r="N665" s="18" t="s">
        <v>861</v>
      </c>
      <c r="O665" s="18" t="s">
        <v>126</v>
      </c>
      <c r="P665" s="18" t="s">
        <v>131</v>
      </c>
      <c r="Q665" s="18" t="s">
        <v>132</v>
      </c>
      <c r="R665" s="18" t="s">
        <v>133</v>
      </c>
      <c r="S665" s="18" t="s">
        <v>59</v>
      </c>
      <c r="T665" s="38">
        <v>2026.0</v>
      </c>
      <c r="U665" s="38">
        <v>5.0</v>
      </c>
      <c r="V665" s="38">
        <v>1.081523098E9</v>
      </c>
      <c r="W665" s="38">
        <v>1.081541168E9</v>
      </c>
      <c r="X665" s="18" t="s">
        <v>2199</v>
      </c>
      <c r="Y665" s="18" t="s">
        <v>2200</v>
      </c>
      <c r="Z665" s="38">
        <v>113911.5</v>
      </c>
      <c r="AA665" s="38">
        <v>113911.5</v>
      </c>
      <c r="AB665" s="38">
        <v>37970.5</v>
      </c>
      <c r="AC665" s="38">
        <v>0.0</v>
      </c>
      <c r="AD665" s="38">
        <v>0.0</v>
      </c>
      <c r="AE665" s="38">
        <v>0.0</v>
      </c>
      <c r="AF665" s="38">
        <v>0.0</v>
      </c>
      <c r="AG665" s="38">
        <v>0.0</v>
      </c>
      <c r="AH665" s="38">
        <v>0.0</v>
      </c>
      <c r="AI665" s="38">
        <v>113911.5</v>
      </c>
      <c r="AJ665" s="38">
        <v>113911.5</v>
      </c>
      <c r="AK665" s="38">
        <v>0.0</v>
      </c>
      <c r="AL665" s="38">
        <v>376.2</v>
      </c>
      <c r="AM665" s="38">
        <v>0.0</v>
      </c>
      <c r="AN665" s="34" t="s">
        <v>62</v>
      </c>
      <c r="AO665" s="34" t="s">
        <v>62</v>
      </c>
      <c r="AP665" s="34" t="s">
        <v>62</v>
      </c>
      <c r="AQ665" s="34" t="s">
        <v>62</v>
      </c>
      <c r="AR665" s="38">
        <v>0.0</v>
      </c>
      <c r="AS665" s="38" t="s">
        <v>2920</v>
      </c>
      <c r="AT665" s="35" t="s">
        <v>2202</v>
      </c>
      <c r="AU665" s="39" t="s">
        <v>2203</v>
      </c>
      <c r="AV665" s="40">
        <v>46169.0</v>
      </c>
    </row>
    <row r="666">
      <c r="A666" s="38">
        <v>305.0</v>
      </c>
      <c r="B666" s="38">
        <v>573.0</v>
      </c>
      <c r="C666" s="38">
        <v>573.0</v>
      </c>
      <c r="D666" s="38">
        <v>9.0271742E7</v>
      </c>
      <c r="E666" s="38">
        <v>9.0271742E7</v>
      </c>
      <c r="F666" s="38">
        <v>8.99999067E8</v>
      </c>
      <c r="G666" s="18" t="s">
        <v>1514</v>
      </c>
      <c r="H666" s="18" t="s">
        <v>2921</v>
      </c>
      <c r="I666" s="18" t="s">
        <v>902</v>
      </c>
      <c r="J666" s="18" t="s">
        <v>2205</v>
      </c>
      <c r="K666" s="18" t="s">
        <v>2922</v>
      </c>
      <c r="L666" s="18" t="s">
        <v>52</v>
      </c>
      <c r="M666" s="18" t="s">
        <v>53</v>
      </c>
      <c r="N666" s="18" t="s">
        <v>861</v>
      </c>
      <c r="O666" s="18" t="s">
        <v>126</v>
      </c>
      <c r="P666" s="18" t="s">
        <v>131</v>
      </c>
      <c r="Q666" s="18" t="s">
        <v>151</v>
      </c>
      <c r="R666" s="18" t="s">
        <v>133</v>
      </c>
      <c r="S666" s="18" t="s">
        <v>163</v>
      </c>
      <c r="T666" s="38">
        <v>2026.0</v>
      </c>
      <c r="U666" s="38">
        <v>5.0</v>
      </c>
      <c r="V666" s="38">
        <v>1.081522938E9</v>
      </c>
      <c r="W666" s="38">
        <v>1.081541008E9</v>
      </c>
      <c r="X666" s="18" t="s">
        <v>2199</v>
      </c>
      <c r="Y666" s="18" t="s">
        <v>2200</v>
      </c>
      <c r="Z666" s="38">
        <v>37746.0</v>
      </c>
      <c r="AA666" s="38">
        <v>37746.0</v>
      </c>
      <c r="AB666" s="38">
        <v>0.0</v>
      </c>
      <c r="AC666" s="38">
        <v>0.0</v>
      </c>
      <c r="AD666" s="38">
        <v>0.0</v>
      </c>
      <c r="AE666" s="38">
        <v>0.0</v>
      </c>
      <c r="AF666" s="38">
        <v>0.0</v>
      </c>
      <c r="AG666" s="38">
        <v>0.0</v>
      </c>
      <c r="AH666" s="38">
        <v>0.0</v>
      </c>
      <c r="AI666" s="38">
        <v>37746.0</v>
      </c>
      <c r="AJ666" s="38">
        <v>37746.0</v>
      </c>
      <c r="AK666" s="38">
        <v>0.0</v>
      </c>
      <c r="AL666" s="38">
        <v>250.8</v>
      </c>
      <c r="AM666" s="38">
        <v>0.0</v>
      </c>
      <c r="AN666" s="34" t="s">
        <v>62</v>
      </c>
      <c r="AO666" s="34" t="s">
        <v>62</v>
      </c>
      <c r="AP666" s="34" t="s">
        <v>62</v>
      </c>
      <c r="AQ666" s="34" t="s">
        <v>62</v>
      </c>
      <c r="AR666" s="38">
        <v>0.0</v>
      </c>
      <c r="AS666" s="38" t="s">
        <v>2923</v>
      </c>
      <c r="AT666" s="35" t="s">
        <v>2202</v>
      </c>
      <c r="AU666" s="39" t="s">
        <v>2203</v>
      </c>
      <c r="AV666" s="40">
        <v>46168.0</v>
      </c>
    </row>
    <row r="667">
      <c r="A667" s="38">
        <v>147.0</v>
      </c>
      <c r="B667" s="38">
        <v>577.0</v>
      </c>
      <c r="C667" s="38">
        <v>577.0</v>
      </c>
      <c r="D667" s="38">
        <v>9.0274085E7</v>
      </c>
      <c r="E667" s="38">
        <v>9.0274085E7</v>
      </c>
      <c r="F667" s="18" t="s">
        <v>179</v>
      </c>
      <c r="G667" s="18" t="s">
        <v>180</v>
      </c>
      <c r="H667" s="18" t="s">
        <v>2320</v>
      </c>
      <c r="I667" s="18" t="s">
        <v>982</v>
      </c>
      <c r="J667" s="18" t="s">
        <v>2205</v>
      </c>
      <c r="K667" s="18" t="s">
        <v>2289</v>
      </c>
      <c r="L667" s="18" t="s">
        <v>52</v>
      </c>
      <c r="M667" s="18" t="s">
        <v>89</v>
      </c>
      <c r="N667" s="18" t="s">
        <v>861</v>
      </c>
      <c r="O667" s="18" t="s">
        <v>126</v>
      </c>
      <c r="P667" s="18" t="s">
        <v>131</v>
      </c>
      <c r="Q667" s="18" t="s">
        <v>151</v>
      </c>
      <c r="R667" s="18" t="s">
        <v>133</v>
      </c>
      <c r="S667" s="18" t="s">
        <v>59</v>
      </c>
      <c r="T667" s="38">
        <v>2026.0</v>
      </c>
      <c r="U667" s="38">
        <v>5.0</v>
      </c>
      <c r="V667" s="38">
        <v>1.081522942E9</v>
      </c>
      <c r="W667" s="38">
        <v>1.081541012E9</v>
      </c>
      <c r="X667" s="18" t="s">
        <v>2199</v>
      </c>
      <c r="Y667" s="18" t="s">
        <v>2200</v>
      </c>
      <c r="Z667" s="38">
        <v>75941.0</v>
      </c>
      <c r="AA667" s="38">
        <v>75941.0</v>
      </c>
      <c r="AB667" s="38">
        <v>0.0</v>
      </c>
      <c r="AC667" s="38">
        <v>0.0</v>
      </c>
      <c r="AD667" s="38">
        <v>0.0</v>
      </c>
      <c r="AE667" s="38">
        <v>0.0</v>
      </c>
      <c r="AF667" s="38">
        <v>0.0</v>
      </c>
      <c r="AG667" s="38">
        <v>0.0</v>
      </c>
      <c r="AH667" s="38">
        <v>0.0</v>
      </c>
      <c r="AI667" s="38">
        <v>75941.0</v>
      </c>
      <c r="AJ667" s="38">
        <v>150891.0</v>
      </c>
      <c r="AK667" s="38">
        <v>1.0</v>
      </c>
      <c r="AL667" s="38">
        <v>250.8</v>
      </c>
      <c r="AM667" s="38">
        <v>0.0</v>
      </c>
      <c r="AN667" s="34" t="s">
        <v>62</v>
      </c>
      <c r="AO667" s="34" t="s">
        <v>62</v>
      </c>
      <c r="AP667" s="34" t="s">
        <v>62</v>
      </c>
      <c r="AQ667" s="34" t="s">
        <v>62</v>
      </c>
      <c r="AR667" s="38">
        <v>0.0</v>
      </c>
      <c r="AS667" s="38" t="s">
        <v>2321</v>
      </c>
      <c r="AT667" s="35" t="s">
        <v>2202</v>
      </c>
      <c r="AU667" s="39" t="s">
        <v>2203</v>
      </c>
      <c r="AV667" s="40">
        <v>46163.0</v>
      </c>
    </row>
    <row r="668">
      <c r="A668" s="38">
        <v>582.0</v>
      </c>
      <c r="B668" s="38">
        <v>581.0</v>
      </c>
      <c r="C668" s="38">
        <v>581.0</v>
      </c>
      <c r="D668" s="38">
        <v>9.0275315E7</v>
      </c>
      <c r="E668" s="38">
        <v>9.0275315E7</v>
      </c>
      <c r="F668" s="18" t="s">
        <v>1943</v>
      </c>
      <c r="G668" s="18" t="s">
        <v>1944</v>
      </c>
      <c r="H668" s="18" t="s">
        <v>2924</v>
      </c>
      <c r="I668" s="18" t="s">
        <v>1114</v>
      </c>
      <c r="J668" s="18" t="s">
        <v>2205</v>
      </c>
      <c r="K668" s="18" t="s">
        <v>2205</v>
      </c>
      <c r="L668" s="18" t="s">
        <v>52</v>
      </c>
      <c r="M668" s="18" t="s">
        <v>89</v>
      </c>
      <c r="N668" s="18" t="s">
        <v>861</v>
      </c>
      <c r="O668" s="18" t="s">
        <v>126</v>
      </c>
      <c r="P668" s="18" t="s">
        <v>56</v>
      </c>
      <c r="Q668" s="18" t="s">
        <v>57</v>
      </c>
      <c r="R668" s="18" t="s">
        <v>58</v>
      </c>
      <c r="S668" s="18" t="s">
        <v>59</v>
      </c>
      <c r="T668" s="38">
        <v>2026.0</v>
      </c>
      <c r="U668" s="38">
        <v>5.0</v>
      </c>
      <c r="V668" s="38">
        <v>1.081522946E9</v>
      </c>
      <c r="W668" s="38">
        <v>1.081541016E9</v>
      </c>
      <c r="X668" s="18" t="s">
        <v>2199</v>
      </c>
      <c r="Y668" s="18" t="s">
        <v>2200</v>
      </c>
      <c r="Z668" s="38">
        <v>8598638.1</v>
      </c>
      <c r="AA668" s="38">
        <v>8598638.1</v>
      </c>
      <c r="AB668" s="38">
        <v>0.0</v>
      </c>
      <c r="AC668" s="38">
        <v>45100.0</v>
      </c>
      <c r="AD668" s="38">
        <v>0.0</v>
      </c>
      <c r="AE668" s="38">
        <v>0.0</v>
      </c>
      <c r="AF668" s="38">
        <v>0.0</v>
      </c>
      <c r="AG668" s="38">
        <v>0.0</v>
      </c>
      <c r="AH668" s="38">
        <v>0.0</v>
      </c>
      <c r="AI668" s="38">
        <v>8598638.1</v>
      </c>
      <c r="AJ668" s="38">
        <v>8598638.1</v>
      </c>
      <c r="AK668" s="38">
        <v>0.0</v>
      </c>
      <c r="AL668" s="38">
        <v>250.8</v>
      </c>
      <c r="AM668" s="38">
        <v>0.0</v>
      </c>
      <c r="AN668" s="34" t="s">
        <v>62</v>
      </c>
      <c r="AO668" s="34" t="s">
        <v>62</v>
      </c>
      <c r="AP668" s="34" t="s">
        <v>62</v>
      </c>
      <c r="AQ668" s="34" t="s">
        <v>62</v>
      </c>
      <c r="AR668" s="38">
        <v>0.0</v>
      </c>
      <c r="AS668" s="38" t="s">
        <v>2925</v>
      </c>
      <c r="AT668" s="35" t="s">
        <v>2202</v>
      </c>
      <c r="AU668" s="39" t="s">
        <v>2254</v>
      </c>
      <c r="AV668" s="40">
        <v>46170.0</v>
      </c>
    </row>
    <row r="669">
      <c r="A669" s="38">
        <v>586.0</v>
      </c>
      <c r="B669" s="38">
        <v>585.0</v>
      </c>
      <c r="C669" s="38">
        <v>585.0</v>
      </c>
      <c r="D669" s="38">
        <v>9.0276493E7</v>
      </c>
      <c r="E669" s="38">
        <v>9.0276493E7</v>
      </c>
      <c r="F669" s="38">
        <v>9.00603041E8</v>
      </c>
      <c r="G669" s="18" t="s">
        <v>400</v>
      </c>
      <c r="H669" s="18" t="s">
        <v>2926</v>
      </c>
      <c r="I669" s="18" t="s">
        <v>343</v>
      </c>
      <c r="J669" s="18" t="s">
        <v>2205</v>
      </c>
      <c r="K669" s="18" t="s">
        <v>2305</v>
      </c>
      <c r="L669" s="18" t="s">
        <v>52</v>
      </c>
      <c r="M669" s="18" t="s">
        <v>89</v>
      </c>
      <c r="N669" s="18" t="s">
        <v>861</v>
      </c>
      <c r="O669" s="18" t="s">
        <v>126</v>
      </c>
      <c r="P669" s="18" t="s">
        <v>56</v>
      </c>
      <c r="Q669" s="18" t="s">
        <v>90</v>
      </c>
      <c r="R669" s="18" t="s">
        <v>143</v>
      </c>
      <c r="S669" s="18" t="s">
        <v>59</v>
      </c>
      <c r="T669" s="38">
        <v>2026.0</v>
      </c>
      <c r="U669" s="38">
        <v>5.0</v>
      </c>
      <c r="V669" s="38">
        <v>1.08152295E9</v>
      </c>
      <c r="W669" s="38">
        <v>1.08154102E9</v>
      </c>
      <c r="X669" s="18" t="s">
        <v>2199</v>
      </c>
      <c r="Y669" s="18" t="s">
        <v>2200</v>
      </c>
      <c r="Z669" s="38">
        <v>714753.74</v>
      </c>
      <c r="AA669" s="38">
        <v>714753.74</v>
      </c>
      <c r="AB669" s="38">
        <v>234516.49</v>
      </c>
      <c r="AC669" s="38">
        <v>2270.0</v>
      </c>
      <c r="AD669" s="38">
        <v>11204.28</v>
      </c>
      <c r="AE669" s="38">
        <v>0.0</v>
      </c>
      <c r="AF669" s="38">
        <v>0.0</v>
      </c>
      <c r="AG669" s="38">
        <v>0.0</v>
      </c>
      <c r="AH669" s="38">
        <v>0.0</v>
      </c>
      <c r="AI669" s="38">
        <v>714753.74</v>
      </c>
      <c r="AJ669" s="38">
        <v>2092002.82</v>
      </c>
      <c r="AK669" s="38">
        <v>2.0</v>
      </c>
      <c r="AL669" s="38">
        <v>376.2</v>
      </c>
      <c r="AM669" s="38">
        <v>0.0</v>
      </c>
      <c r="AN669" s="34" t="s">
        <v>62</v>
      </c>
      <c r="AO669" s="34" t="s">
        <v>62</v>
      </c>
      <c r="AP669" s="34" t="s">
        <v>62</v>
      </c>
      <c r="AQ669" s="34" t="s">
        <v>62</v>
      </c>
      <c r="AR669" s="38">
        <v>0.0</v>
      </c>
      <c r="AS669" s="38" t="s">
        <v>2927</v>
      </c>
      <c r="AT669" s="35" t="s">
        <v>2202</v>
      </c>
      <c r="AU669" s="39" t="s">
        <v>2203</v>
      </c>
      <c r="AV669" s="40">
        <v>46164.0</v>
      </c>
    </row>
    <row r="670">
      <c r="A670" s="38">
        <v>59146.0</v>
      </c>
      <c r="B670" s="38">
        <v>59145.0</v>
      </c>
      <c r="C670" s="38">
        <v>59145.0</v>
      </c>
      <c r="D670" s="38">
        <v>56972.0</v>
      </c>
      <c r="E670" s="38">
        <v>56972.0</v>
      </c>
      <c r="F670" s="38">
        <v>56972.0</v>
      </c>
      <c r="G670" s="18" t="s">
        <v>1947</v>
      </c>
      <c r="H670" s="18" t="s">
        <v>2928</v>
      </c>
      <c r="I670" s="18" t="s">
        <v>1256</v>
      </c>
      <c r="J670" s="18" t="s">
        <v>2205</v>
      </c>
      <c r="K670" s="18" t="s">
        <v>2256</v>
      </c>
      <c r="L670" s="18" t="s">
        <v>52</v>
      </c>
      <c r="M670" s="18" t="s">
        <v>53</v>
      </c>
      <c r="N670" s="18" t="s">
        <v>861</v>
      </c>
      <c r="O670" s="18" t="s">
        <v>126</v>
      </c>
      <c r="P670" s="18" t="s">
        <v>56</v>
      </c>
      <c r="Q670" s="18" t="s">
        <v>90</v>
      </c>
      <c r="R670" s="18" t="s">
        <v>143</v>
      </c>
      <c r="S670" s="18" t="s">
        <v>59</v>
      </c>
      <c r="T670" s="38">
        <v>2026.0</v>
      </c>
      <c r="U670" s="38">
        <v>5.0</v>
      </c>
      <c r="V670" s="38">
        <v>1.081523101E9</v>
      </c>
      <c r="W670" s="38">
        <v>1.081541171E9</v>
      </c>
      <c r="X670" s="18" t="s">
        <v>2199</v>
      </c>
      <c r="Y670" s="18" t="s">
        <v>2200</v>
      </c>
      <c r="Z670" s="38">
        <v>529781.84</v>
      </c>
      <c r="AA670" s="38">
        <v>529781.84</v>
      </c>
      <c r="AB670" s="38">
        <v>173302.45</v>
      </c>
      <c r="AC670" s="38">
        <v>1625.0</v>
      </c>
      <c r="AD670" s="38">
        <v>9874.51</v>
      </c>
      <c r="AE670" s="38">
        <v>0.0</v>
      </c>
      <c r="AF670" s="38">
        <v>0.0</v>
      </c>
      <c r="AG670" s="38">
        <v>0.0</v>
      </c>
      <c r="AH670" s="38">
        <v>0.0</v>
      </c>
      <c r="AI670" s="38">
        <v>529781.84</v>
      </c>
      <c r="AJ670" s="38">
        <v>1038454.13</v>
      </c>
      <c r="AK670" s="38">
        <v>1.0</v>
      </c>
      <c r="AL670" s="38">
        <v>376.2</v>
      </c>
      <c r="AM670" s="38">
        <v>0.0</v>
      </c>
      <c r="AN670" s="34" t="s">
        <v>62</v>
      </c>
      <c r="AO670" s="34" t="s">
        <v>62</v>
      </c>
      <c r="AP670" s="34" t="s">
        <v>62</v>
      </c>
      <c r="AQ670" s="34" t="s">
        <v>62</v>
      </c>
      <c r="AR670" s="38">
        <v>0.0</v>
      </c>
      <c r="AS670" s="38" t="s">
        <v>2257</v>
      </c>
      <c r="AT670" s="35" t="s">
        <v>2202</v>
      </c>
      <c r="AU670" s="39" t="s">
        <v>2203</v>
      </c>
      <c r="AV670" s="40">
        <v>46163.0</v>
      </c>
    </row>
    <row r="671">
      <c r="A671" s="38">
        <v>60146.0</v>
      </c>
      <c r="B671" s="38">
        <v>60145.0</v>
      </c>
      <c r="C671" s="38">
        <v>60145.0</v>
      </c>
      <c r="D671" s="38">
        <v>15679.0</v>
      </c>
      <c r="E671" s="38">
        <v>15679.0</v>
      </c>
      <c r="F671" s="18" t="s">
        <v>1078</v>
      </c>
      <c r="G671" s="18" t="s">
        <v>1079</v>
      </c>
      <c r="H671" s="18" t="s">
        <v>2929</v>
      </c>
      <c r="I671" s="18" t="s">
        <v>942</v>
      </c>
      <c r="J671" s="18" t="s">
        <v>2205</v>
      </c>
      <c r="K671" s="18" t="s">
        <v>1079</v>
      </c>
      <c r="L671" s="18" t="s">
        <v>52</v>
      </c>
      <c r="M671" s="18" t="s">
        <v>89</v>
      </c>
      <c r="N671" s="18" t="s">
        <v>861</v>
      </c>
      <c r="O671" s="18" t="s">
        <v>126</v>
      </c>
      <c r="P671" s="18" t="s">
        <v>131</v>
      </c>
      <c r="Q671" s="18" t="s">
        <v>538</v>
      </c>
      <c r="R671" s="18" t="s">
        <v>133</v>
      </c>
      <c r="S671" s="18" t="s">
        <v>59</v>
      </c>
      <c r="T671" s="38">
        <v>2026.0</v>
      </c>
      <c r="U671" s="38">
        <v>5.0</v>
      </c>
      <c r="V671" s="38">
        <v>1.081523112E9</v>
      </c>
      <c r="W671" s="38">
        <v>1.081541182E9</v>
      </c>
      <c r="X671" s="18" t="s">
        <v>2199</v>
      </c>
      <c r="Y671" s="18" t="s">
        <v>2200</v>
      </c>
      <c r="Z671" s="38">
        <v>101211.4</v>
      </c>
      <c r="AA671" s="38">
        <v>101211.4</v>
      </c>
      <c r="AB671" s="38">
        <v>31676.0</v>
      </c>
      <c r="AC671" s="38">
        <v>0.0</v>
      </c>
      <c r="AD671" s="38">
        <v>6183.4</v>
      </c>
      <c r="AE671" s="38">
        <v>0.0</v>
      </c>
      <c r="AF671" s="38">
        <v>0.0</v>
      </c>
      <c r="AG671" s="38">
        <v>0.0</v>
      </c>
      <c r="AH671" s="38">
        <v>0.0</v>
      </c>
      <c r="AI671" s="38">
        <v>101211.4</v>
      </c>
      <c r="AJ671" s="38">
        <v>541333.33</v>
      </c>
      <c r="AK671" s="38">
        <v>5.0</v>
      </c>
      <c r="AL671" s="38">
        <v>376.2</v>
      </c>
      <c r="AM671" s="38">
        <v>0.0</v>
      </c>
      <c r="AN671" s="34" t="s">
        <v>62</v>
      </c>
      <c r="AO671" s="34" t="s">
        <v>62</v>
      </c>
      <c r="AP671" s="34" t="s">
        <v>62</v>
      </c>
      <c r="AQ671" s="34" t="s">
        <v>62</v>
      </c>
      <c r="AR671" s="38">
        <v>0.0</v>
      </c>
      <c r="AS671" s="39" t="s">
        <v>2913</v>
      </c>
      <c r="AT671" s="35" t="s">
        <v>2202</v>
      </c>
      <c r="AU671" s="39" t="s">
        <v>2203</v>
      </c>
      <c r="AV671" s="40">
        <v>46164.0</v>
      </c>
    </row>
    <row r="672">
      <c r="A672" s="38">
        <v>635.0</v>
      </c>
      <c r="B672" s="38">
        <v>621.0</v>
      </c>
      <c r="C672" s="38">
        <v>621.0</v>
      </c>
      <c r="D672" s="38">
        <v>9.0288049E7</v>
      </c>
      <c r="E672" s="38">
        <v>9.0288049E7</v>
      </c>
      <c r="F672" s="18" t="s">
        <v>1399</v>
      </c>
      <c r="G672" s="18" t="s">
        <v>1400</v>
      </c>
      <c r="H672" s="18" t="s">
        <v>2759</v>
      </c>
      <c r="I672" s="18" t="s">
        <v>942</v>
      </c>
      <c r="J672" s="18" t="s">
        <v>2205</v>
      </c>
      <c r="K672" s="18" t="s">
        <v>2395</v>
      </c>
      <c r="L672" s="18" t="s">
        <v>52</v>
      </c>
      <c r="M672" s="18" t="s">
        <v>53</v>
      </c>
      <c r="N672" s="18" t="s">
        <v>861</v>
      </c>
      <c r="O672" s="18" t="s">
        <v>126</v>
      </c>
      <c r="P672" s="18" t="s">
        <v>131</v>
      </c>
      <c r="Q672" s="18" t="s">
        <v>132</v>
      </c>
      <c r="R672" s="18" t="s">
        <v>133</v>
      </c>
      <c r="S672" s="18" t="s">
        <v>59</v>
      </c>
      <c r="T672" s="38">
        <v>2026.0</v>
      </c>
      <c r="U672" s="38">
        <v>5.0</v>
      </c>
      <c r="V672" s="38">
        <v>1.081522956E9</v>
      </c>
      <c r="W672" s="38">
        <v>1.081541026E9</v>
      </c>
      <c r="X672" s="18" t="s">
        <v>2199</v>
      </c>
      <c r="Y672" s="18" t="s">
        <v>2200</v>
      </c>
      <c r="Z672" s="38">
        <v>113911.5</v>
      </c>
      <c r="AA672" s="38">
        <v>113911.5</v>
      </c>
      <c r="AB672" s="38">
        <v>37970.5</v>
      </c>
      <c r="AC672" s="38">
        <v>0.0</v>
      </c>
      <c r="AD672" s="38">
        <v>0.0</v>
      </c>
      <c r="AE672" s="38">
        <v>0.0</v>
      </c>
      <c r="AF672" s="38">
        <v>0.0</v>
      </c>
      <c r="AG672" s="38">
        <v>0.0</v>
      </c>
      <c r="AH672" s="38">
        <v>0.0</v>
      </c>
      <c r="AI672" s="38">
        <v>113911.5</v>
      </c>
      <c r="AJ672" s="38">
        <v>113911.5</v>
      </c>
      <c r="AK672" s="38">
        <v>0.0</v>
      </c>
      <c r="AL672" s="38">
        <v>376.2</v>
      </c>
      <c r="AM672" s="38">
        <v>0.0</v>
      </c>
      <c r="AN672" s="34" t="s">
        <v>62</v>
      </c>
      <c r="AO672" s="34" t="s">
        <v>62</v>
      </c>
      <c r="AP672" s="34" t="s">
        <v>62</v>
      </c>
      <c r="AQ672" s="34" t="s">
        <v>62</v>
      </c>
      <c r="AR672" s="38">
        <v>0.0</v>
      </c>
      <c r="AS672" s="38" t="s">
        <v>2760</v>
      </c>
      <c r="AT672" s="35" t="s">
        <v>2202</v>
      </c>
      <c r="AU672" s="39" t="s">
        <v>2203</v>
      </c>
      <c r="AV672" s="40">
        <v>46168.0</v>
      </c>
    </row>
    <row r="673">
      <c r="A673" s="38">
        <v>629.0</v>
      </c>
      <c r="B673" s="38">
        <v>629.0</v>
      </c>
      <c r="C673" s="38">
        <v>629.0</v>
      </c>
      <c r="D673" s="38">
        <v>9.029029E7</v>
      </c>
      <c r="E673" s="38">
        <v>9.029029E7</v>
      </c>
      <c r="F673" s="18" t="s">
        <v>1696</v>
      </c>
      <c r="G673" s="18" t="s">
        <v>2930</v>
      </c>
      <c r="H673" s="18" t="s">
        <v>2931</v>
      </c>
      <c r="I673" s="18" t="s">
        <v>1050</v>
      </c>
      <c r="J673" s="18" t="s">
        <v>2205</v>
      </c>
      <c r="K673" s="18" t="s">
        <v>2205</v>
      </c>
      <c r="L673" s="18" t="s">
        <v>52</v>
      </c>
      <c r="M673" s="18" t="s">
        <v>89</v>
      </c>
      <c r="N673" s="18" t="s">
        <v>861</v>
      </c>
      <c r="O673" s="18" t="s">
        <v>126</v>
      </c>
      <c r="P673" s="18" t="s">
        <v>218</v>
      </c>
      <c r="Q673" s="18" t="s">
        <v>219</v>
      </c>
      <c r="R673" s="18" t="s">
        <v>133</v>
      </c>
      <c r="S673" s="18" t="s">
        <v>59</v>
      </c>
      <c r="T673" s="38">
        <v>2026.0</v>
      </c>
      <c r="U673" s="38">
        <v>5.0</v>
      </c>
      <c r="V673" s="38">
        <v>1.08152296E9</v>
      </c>
      <c r="W673" s="38">
        <v>1.08154103E9</v>
      </c>
      <c r="X673" s="18" t="s">
        <v>2199</v>
      </c>
      <c r="Y673" s="18" t="s">
        <v>2200</v>
      </c>
      <c r="Z673" s="38">
        <v>50434.76</v>
      </c>
      <c r="AA673" s="38">
        <v>50434.76</v>
      </c>
      <c r="AB673" s="38">
        <v>-1667.24</v>
      </c>
      <c r="AC673" s="38">
        <v>0.0</v>
      </c>
      <c r="AD673" s="38">
        <v>0.0</v>
      </c>
      <c r="AE673" s="38">
        <v>0.0</v>
      </c>
      <c r="AF673" s="38">
        <v>0.0</v>
      </c>
      <c r="AG673" s="38">
        <v>0.0</v>
      </c>
      <c r="AH673" s="38">
        <v>0.0</v>
      </c>
      <c r="AI673" s="38">
        <v>50434.76</v>
      </c>
      <c r="AJ673" s="38">
        <v>50434.76</v>
      </c>
      <c r="AK673" s="38">
        <v>0.0</v>
      </c>
      <c r="AL673" s="38">
        <v>242.77</v>
      </c>
      <c r="AM673" s="38">
        <v>0.0</v>
      </c>
      <c r="AN673" s="34" t="s">
        <v>62</v>
      </c>
      <c r="AO673" s="34" t="s">
        <v>62</v>
      </c>
      <c r="AP673" s="34" t="s">
        <v>62</v>
      </c>
      <c r="AQ673" s="34" t="s">
        <v>62</v>
      </c>
      <c r="AR673" s="38">
        <v>0.0</v>
      </c>
      <c r="AS673" s="38" t="s">
        <v>2932</v>
      </c>
      <c r="AT673" s="35" t="s">
        <v>2202</v>
      </c>
      <c r="AU673" s="39" t="s">
        <v>2254</v>
      </c>
      <c r="AV673" s="40">
        <v>46170.0</v>
      </c>
    </row>
    <row r="674">
      <c r="A674" s="38">
        <v>632.0</v>
      </c>
      <c r="B674" s="38">
        <v>633.0</v>
      </c>
      <c r="C674" s="38">
        <v>633.0</v>
      </c>
      <c r="D674" s="38">
        <v>9.0290673E7</v>
      </c>
      <c r="E674" s="38">
        <v>9.0290673E7</v>
      </c>
      <c r="F674" s="38">
        <v>8.90107487E8</v>
      </c>
      <c r="G674" s="18" t="s">
        <v>1121</v>
      </c>
      <c r="H674" s="18" t="s">
        <v>2741</v>
      </c>
      <c r="I674" s="38">
        <v>0.0</v>
      </c>
      <c r="J674" s="18" t="s">
        <v>2691</v>
      </c>
      <c r="K674" s="18" t="s">
        <v>2933</v>
      </c>
      <c r="L674" s="18" t="s">
        <v>52</v>
      </c>
      <c r="M674" s="18" t="s">
        <v>53</v>
      </c>
      <c r="N674" s="18" t="s">
        <v>861</v>
      </c>
      <c r="O674" s="18" t="s">
        <v>126</v>
      </c>
      <c r="P674" s="18" t="s">
        <v>56</v>
      </c>
      <c r="Q674" s="18" t="s">
        <v>90</v>
      </c>
      <c r="R674" s="18" t="s">
        <v>58</v>
      </c>
      <c r="S674" s="18" t="s">
        <v>59</v>
      </c>
      <c r="T674" s="38">
        <v>2026.0</v>
      </c>
      <c r="U674" s="38">
        <v>5.0</v>
      </c>
      <c r="V674" s="38">
        <v>1.081522964E9</v>
      </c>
      <c r="W674" s="38">
        <v>1.081541034E9</v>
      </c>
      <c r="X674" s="18" t="s">
        <v>2199</v>
      </c>
      <c r="Y674" s="18" t="s">
        <v>2200</v>
      </c>
      <c r="Z674" s="38">
        <v>1424024.55</v>
      </c>
      <c r="AA674" s="38">
        <v>1424024.55</v>
      </c>
      <c r="AB674" s="38">
        <v>474674.85</v>
      </c>
      <c r="AC674" s="38">
        <v>4800.5</v>
      </c>
      <c r="AD674" s="38">
        <v>0.0</v>
      </c>
      <c r="AE674" s="38">
        <v>0.0</v>
      </c>
      <c r="AF674" s="38">
        <v>0.0</v>
      </c>
      <c r="AG674" s="38">
        <v>0.0</v>
      </c>
      <c r="AH674" s="38">
        <v>0.0</v>
      </c>
      <c r="AI674" s="38">
        <v>1424024.55</v>
      </c>
      <c r="AJ674" s="38">
        <v>1424024.55</v>
      </c>
      <c r="AK674" s="38">
        <v>0.0</v>
      </c>
      <c r="AL674" s="38">
        <v>376.2</v>
      </c>
      <c r="AM674" s="38">
        <v>0.0</v>
      </c>
      <c r="AN674" s="34" t="s">
        <v>62</v>
      </c>
      <c r="AO674" s="34" t="s">
        <v>62</v>
      </c>
      <c r="AP674" s="34" t="s">
        <v>62</v>
      </c>
      <c r="AQ674" s="34" t="s">
        <v>62</v>
      </c>
      <c r="AR674" s="38">
        <v>0.0</v>
      </c>
      <c r="AS674" s="38" t="s">
        <v>2743</v>
      </c>
      <c r="AT674" s="38" t="s">
        <v>2275</v>
      </c>
      <c r="AU674" s="39" t="s">
        <v>2203</v>
      </c>
      <c r="AV674" s="40">
        <v>46163.0</v>
      </c>
    </row>
    <row r="675">
      <c r="A675" s="38">
        <v>638.0</v>
      </c>
      <c r="B675" s="38">
        <v>637.0</v>
      </c>
      <c r="C675" s="38">
        <v>637.0</v>
      </c>
      <c r="D675" s="38">
        <v>9.0290681E7</v>
      </c>
      <c r="E675" s="38">
        <v>9.0290681E7</v>
      </c>
      <c r="F675" s="38">
        <v>1.018476778E9</v>
      </c>
      <c r="G675" s="18" t="s">
        <v>1953</v>
      </c>
      <c r="H675" s="18" t="s">
        <v>2934</v>
      </c>
      <c r="I675" s="18" t="s">
        <v>991</v>
      </c>
      <c r="J675" s="18" t="s">
        <v>2691</v>
      </c>
      <c r="K675" s="18" t="s">
        <v>2691</v>
      </c>
      <c r="L675" s="18" t="s">
        <v>52</v>
      </c>
      <c r="M675" s="18" t="s">
        <v>89</v>
      </c>
      <c r="N675" s="18" t="s">
        <v>861</v>
      </c>
      <c r="O675" s="18" t="s">
        <v>126</v>
      </c>
      <c r="P675" s="18" t="s">
        <v>56</v>
      </c>
      <c r="Q675" s="18" t="s">
        <v>90</v>
      </c>
      <c r="R675" s="18" t="s">
        <v>143</v>
      </c>
      <c r="S675" s="18" t="s">
        <v>59</v>
      </c>
      <c r="T675" s="38">
        <v>2026.0</v>
      </c>
      <c r="U675" s="38">
        <v>5.0</v>
      </c>
      <c r="V675" s="38">
        <v>1.081522968E9</v>
      </c>
      <c r="W675" s="38">
        <v>1.081541038E9</v>
      </c>
      <c r="X675" s="18" t="s">
        <v>2199</v>
      </c>
      <c r="Y675" s="18" t="s">
        <v>2200</v>
      </c>
      <c r="Z675" s="38">
        <v>133011.91</v>
      </c>
      <c r="AA675" s="38">
        <v>133011.91</v>
      </c>
      <c r="AB675" s="38">
        <v>42807.38</v>
      </c>
      <c r="AC675" s="38">
        <v>250.0</v>
      </c>
      <c r="AD675" s="38">
        <v>4589.78</v>
      </c>
      <c r="AE675" s="38">
        <v>0.0</v>
      </c>
      <c r="AF675" s="38">
        <v>0.0</v>
      </c>
      <c r="AG675" s="38">
        <v>0.0</v>
      </c>
      <c r="AH675" s="38">
        <v>0.0</v>
      </c>
      <c r="AI675" s="38">
        <v>133011.91</v>
      </c>
      <c r="AJ675" s="38">
        <v>133012.21</v>
      </c>
      <c r="AK675" s="38">
        <v>1.0</v>
      </c>
      <c r="AL675" s="38">
        <v>376.2</v>
      </c>
      <c r="AM675" s="38">
        <v>0.0</v>
      </c>
      <c r="AN675" s="34" t="s">
        <v>62</v>
      </c>
      <c r="AO675" s="34" t="s">
        <v>62</v>
      </c>
      <c r="AP675" s="34" t="s">
        <v>62</v>
      </c>
      <c r="AQ675" s="34" t="s">
        <v>62</v>
      </c>
      <c r="AR675" s="38">
        <v>0.0</v>
      </c>
      <c r="AS675" s="38" t="s">
        <v>2935</v>
      </c>
      <c r="AT675" s="38" t="s">
        <v>2275</v>
      </c>
      <c r="AU675" s="39" t="s">
        <v>2276</v>
      </c>
      <c r="AV675" s="40">
        <v>46163.0</v>
      </c>
    </row>
    <row r="676">
      <c r="A676" s="38">
        <v>642.0</v>
      </c>
      <c r="B676" s="38">
        <v>641.0</v>
      </c>
      <c r="C676" s="38">
        <v>641.0</v>
      </c>
      <c r="D676" s="38">
        <v>9.0290685E7</v>
      </c>
      <c r="E676" s="38">
        <v>9.0290685E7</v>
      </c>
      <c r="F676" s="18" t="s">
        <v>1955</v>
      </c>
      <c r="G676" s="18" t="s">
        <v>1956</v>
      </c>
      <c r="H676" s="18" t="s">
        <v>2936</v>
      </c>
      <c r="I676" s="18" t="s">
        <v>991</v>
      </c>
      <c r="J676" s="18" t="s">
        <v>2691</v>
      </c>
      <c r="K676" s="18" t="s">
        <v>2691</v>
      </c>
      <c r="L676" s="18" t="s">
        <v>52</v>
      </c>
      <c r="M676" s="18" t="s">
        <v>89</v>
      </c>
      <c r="N676" s="18" t="s">
        <v>861</v>
      </c>
      <c r="O676" s="18" t="s">
        <v>126</v>
      </c>
      <c r="P676" s="18" t="s">
        <v>56</v>
      </c>
      <c r="Q676" s="18" t="s">
        <v>90</v>
      </c>
      <c r="R676" s="18" t="s">
        <v>143</v>
      </c>
      <c r="S676" s="18" t="s">
        <v>59</v>
      </c>
      <c r="T676" s="38">
        <v>2026.0</v>
      </c>
      <c r="U676" s="38">
        <v>5.0</v>
      </c>
      <c r="V676" s="38">
        <v>1.081522973E9</v>
      </c>
      <c r="W676" s="38">
        <v>1.081541043E9</v>
      </c>
      <c r="X676" s="18" t="s">
        <v>2199</v>
      </c>
      <c r="Y676" s="18" t="s">
        <v>2200</v>
      </c>
      <c r="Z676" s="38">
        <v>300877.2</v>
      </c>
      <c r="AA676" s="38">
        <v>300877.2</v>
      </c>
      <c r="AB676" s="38">
        <v>100035.4</v>
      </c>
      <c r="AC676" s="38">
        <v>853.0</v>
      </c>
      <c r="AD676" s="38">
        <v>771.02</v>
      </c>
      <c r="AE676" s="38">
        <v>0.0</v>
      </c>
      <c r="AF676" s="38">
        <v>0.0</v>
      </c>
      <c r="AG676" s="38">
        <v>0.0</v>
      </c>
      <c r="AH676" s="38">
        <v>0.0</v>
      </c>
      <c r="AI676" s="38">
        <v>300877.2</v>
      </c>
      <c r="AJ676" s="38">
        <v>300877.2</v>
      </c>
      <c r="AK676" s="38">
        <v>0.0</v>
      </c>
      <c r="AL676" s="38">
        <v>376.2</v>
      </c>
      <c r="AM676" s="38">
        <v>0.0</v>
      </c>
      <c r="AN676" s="34" t="s">
        <v>62</v>
      </c>
      <c r="AO676" s="34" t="s">
        <v>62</v>
      </c>
      <c r="AP676" s="34" t="s">
        <v>62</v>
      </c>
      <c r="AQ676" s="34" t="s">
        <v>62</v>
      </c>
      <c r="AR676" s="38">
        <v>0.0</v>
      </c>
      <c r="AS676" s="38" t="s">
        <v>2937</v>
      </c>
      <c r="AT676" s="38" t="s">
        <v>2275</v>
      </c>
      <c r="AU676" s="39" t="s">
        <v>2276</v>
      </c>
      <c r="AV676" s="40">
        <v>46163.0</v>
      </c>
    </row>
    <row r="677">
      <c r="A677" s="38">
        <v>646.0</v>
      </c>
      <c r="B677" s="38">
        <v>645.0</v>
      </c>
      <c r="C677" s="38">
        <v>645.0</v>
      </c>
      <c r="D677" s="38">
        <v>9.0290689E7</v>
      </c>
      <c r="E677" s="38">
        <v>9.0290689E7</v>
      </c>
      <c r="F677" s="18" t="s">
        <v>1958</v>
      </c>
      <c r="G677" s="18" t="s">
        <v>1959</v>
      </c>
      <c r="H677" s="18" t="s">
        <v>2938</v>
      </c>
      <c r="I677" s="18" t="s">
        <v>991</v>
      </c>
      <c r="J677" s="18" t="s">
        <v>2691</v>
      </c>
      <c r="K677" s="18" t="s">
        <v>2691</v>
      </c>
      <c r="L677" s="18" t="s">
        <v>52</v>
      </c>
      <c r="M677" s="18" t="s">
        <v>89</v>
      </c>
      <c r="N677" s="18" t="s">
        <v>861</v>
      </c>
      <c r="O677" s="18" t="s">
        <v>126</v>
      </c>
      <c r="P677" s="18" t="s">
        <v>56</v>
      </c>
      <c r="Q677" s="18" t="s">
        <v>90</v>
      </c>
      <c r="R677" s="18" t="s">
        <v>143</v>
      </c>
      <c r="S677" s="18" t="s">
        <v>59</v>
      </c>
      <c r="T677" s="38">
        <v>2026.0</v>
      </c>
      <c r="U677" s="38">
        <v>5.0</v>
      </c>
      <c r="V677" s="38">
        <v>1.081522977E9</v>
      </c>
      <c r="W677" s="38">
        <v>1.081541047E9</v>
      </c>
      <c r="X677" s="18" t="s">
        <v>2199</v>
      </c>
      <c r="Y677" s="18" t="s">
        <v>2200</v>
      </c>
      <c r="Z677" s="38">
        <v>150333.51</v>
      </c>
      <c r="AA677" s="38">
        <v>150333.51</v>
      </c>
      <c r="AB677" s="38">
        <v>42807.38</v>
      </c>
      <c r="AC677" s="38">
        <v>250.0</v>
      </c>
      <c r="AD677" s="38">
        <v>21911.38</v>
      </c>
      <c r="AE677" s="38">
        <v>0.0</v>
      </c>
      <c r="AF677" s="38">
        <v>0.0</v>
      </c>
      <c r="AG677" s="38">
        <v>0.0</v>
      </c>
      <c r="AH677" s="38">
        <v>0.0</v>
      </c>
      <c r="AI677" s="38">
        <v>150333.51</v>
      </c>
      <c r="AJ677" s="38">
        <v>1468744.99</v>
      </c>
      <c r="AK677" s="38">
        <v>11.0</v>
      </c>
      <c r="AL677" s="38">
        <v>376.2</v>
      </c>
      <c r="AM677" s="38">
        <v>0.0</v>
      </c>
      <c r="AN677" s="34" t="s">
        <v>62</v>
      </c>
      <c r="AO677" s="34" t="s">
        <v>62</v>
      </c>
      <c r="AP677" s="34" t="s">
        <v>62</v>
      </c>
      <c r="AQ677" s="34" t="s">
        <v>62</v>
      </c>
      <c r="AR677" s="38">
        <v>0.0</v>
      </c>
      <c r="AS677" s="38" t="s">
        <v>2939</v>
      </c>
      <c r="AT677" s="38" t="s">
        <v>2275</v>
      </c>
      <c r="AU677" s="39" t="s">
        <v>2276</v>
      </c>
      <c r="AV677" s="40">
        <v>46163.0</v>
      </c>
    </row>
    <row r="678">
      <c r="A678" s="38">
        <v>650.0</v>
      </c>
      <c r="B678" s="38">
        <v>649.0</v>
      </c>
      <c r="C678" s="38">
        <v>649.0</v>
      </c>
      <c r="D678" s="38">
        <v>9.0290693E7</v>
      </c>
      <c r="E678" s="38">
        <v>9.0290693E7</v>
      </c>
      <c r="F678" s="18" t="s">
        <v>1961</v>
      </c>
      <c r="G678" s="18" t="s">
        <v>1962</v>
      </c>
      <c r="H678" s="18" t="s">
        <v>2940</v>
      </c>
      <c r="I678" s="18" t="s">
        <v>991</v>
      </c>
      <c r="J678" s="18" t="s">
        <v>2691</v>
      </c>
      <c r="K678" s="18" t="s">
        <v>2691</v>
      </c>
      <c r="L678" s="18" t="s">
        <v>52</v>
      </c>
      <c r="M678" s="18" t="s">
        <v>89</v>
      </c>
      <c r="N678" s="18" t="s">
        <v>861</v>
      </c>
      <c r="O678" s="18" t="s">
        <v>126</v>
      </c>
      <c r="P678" s="18" t="s">
        <v>56</v>
      </c>
      <c r="Q678" s="18" t="s">
        <v>90</v>
      </c>
      <c r="R678" s="18" t="s">
        <v>143</v>
      </c>
      <c r="S678" s="18" t="s">
        <v>59</v>
      </c>
      <c r="T678" s="38">
        <v>2026.0</v>
      </c>
      <c r="U678" s="38">
        <v>5.0</v>
      </c>
      <c r="V678" s="38">
        <v>1.081522982E9</v>
      </c>
      <c r="W678" s="38">
        <v>1.081541052E9</v>
      </c>
      <c r="X678" s="18" t="s">
        <v>2199</v>
      </c>
      <c r="Y678" s="18" t="s">
        <v>2200</v>
      </c>
      <c r="Z678" s="38">
        <v>128422.13</v>
      </c>
      <c r="AA678" s="38">
        <v>128422.13</v>
      </c>
      <c r="AB678" s="38">
        <v>42807.38</v>
      </c>
      <c r="AC678" s="38">
        <v>250.0</v>
      </c>
      <c r="AD678" s="38">
        <v>0.0</v>
      </c>
      <c r="AE678" s="38">
        <v>0.0</v>
      </c>
      <c r="AF678" s="38">
        <v>0.0</v>
      </c>
      <c r="AG678" s="38">
        <v>0.0</v>
      </c>
      <c r="AH678" s="38">
        <v>0.0</v>
      </c>
      <c r="AI678" s="38">
        <v>128422.13</v>
      </c>
      <c r="AJ678" s="38">
        <v>128422.13</v>
      </c>
      <c r="AK678" s="38">
        <v>0.0</v>
      </c>
      <c r="AL678" s="38">
        <v>376.2</v>
      </c>
      <c r="AM678" s="38">
        <v>0.0</v>
      </c>
      <c r="AN678" s="34" t="s">
        <v>62</v>
      </c>
      <c r="AO678" s="34" t="s">
        <v>62</v>
      </c>
      <c r="AP678" s="34" t="s">
        <v>62</v>
      </c>
      <c r="AQ678" s="34" t="s">
        <v>62</v>
      </c>
      <c r="AR678" s="38">
        <v>0.0</v>
      </c>
      <c r="AS678" s="38" t="s">
        <v>2941</v>
      </c>
      <c r="AT678" s="38" t="s">
        <v>2275</v>
      </c>
      <c r="AU678" s="39" t="s">
        <v>2276</v>
      </c>
      <c r="AV678" s="40">
        <v>46163.0</v>
      </c>
    </row>
    <row r="679">
      <c r="A679" s="38">
        <v>654.0</v>
      </c>
      <c r="B679" s="38">
        <v>653.0</v>
      </c>
      <c r="C679" s="38">
        <v>653.0</v>
      </c>
      <c r="D679" s="38">
        <v>9.0290697E7</v>
      </c>
      <c r="E679" s="38">
        <v>9.0290697E7</v>
      </c>
      <c r="F679" s="38">
        <v>9.01259029E8</v>
      </c>
      <c r="G679" s="18" t="s">
        <v>1964</v>
      </c>
      <c r="H679" s="18" t="s">
        <v>2942</v>
      </c>
      <c r="I679" s="18" t="s">
        <v>991</v>
      </c>
      <c r="J679" s="18" t="s">
        <v>2691</v>
      </c>
      <c r="K679" s="18" t="s">
        <v>2691</v>
      </c>
      <c r="L679" s="18" t="s">
        <v>52</v>
      </c>
      <c r="M679" s="18" t="s">
        <v>89</v>
      </c>
      <c r="N679" s="18" t="s">
        <v>861</v>
      </c>
      <c r="O679" s="18" t="s">
        <v>126</v>
      </c>
      <c r="P679" s="18" t="s">
        <v>56</v>
      </c>
      <c r="Q679" s="18" t="s">
        <v>90</v>
      </c>
      <c r="R679" s="18" t="s">
        <v>143</v>
      </c>
      <c r="S679" s="18" t="s">
        <v>59</v>
      </c>
      <c r="T679" s="38">
        <v>2026.0</v>
      </c>
      <c r="U679" s="38">
        <v>5.0</v>
      </c>
      <c r="V679" s="38">
        <v>1.081522986E9</v>
      </c>
      <c r="W679" s="38">
        <v>1.081541056E9</v>
      </c>
      <c r="X679" s="18" t="s">
        <v>2199</v>
      </c>
      <c r="Y679" s="18" t="s">
        <v>2200</v>
      </c>
      <c r="Z679" s="38">
        <v>128422.13</v>
      </c>
      <c r="AA679" s="38">
        <v>128422.13</v>
      </c>
      <c r="AB679" s="38">
        <v>42807.38</v>
      </c>
      <c r="AC679" s="38">
        <v>250.0</v>
      </c>
      <c r="AD679" s="38">
        <v>0.0</v>
      </c>
      <c r="AE679" s="38">
        <v>0.0</v>
      </c>
      <c r="AF679" s="38">
        <v>0.0</v>
      </c>
      <c r="AG679" s="38">
        <v>0.0</v>
      </c>
      <c r="AH679" s="38">
        <v>0.0</v>
      </c>
      <c r="AI679" s="38">
        <v>128422.13</v>
      </c>
      <c r="AJ679" s="38">
        <v>128422.13</v>
      </c>
      <c r="AK679" s="38">
        <v>0.0</v>
      </c>
      <c r="AL679" s="38">
        <v>376.2</v>
      </c>
      <c r="AM679" s="38">
        <v>0.0</v>
      </c>
      <c r="AN679" s="34" t="s">
        <v>62</v>
      </c>
      <c r="AO679" s="34" t="s">
        <v>62</v>
      </c>
      <c r="AP679" s="34" t="s">
        <v>62</v>
      </c>
      <c r="AQ679" s="34" t="s">
        <v>62</v>
      </c>
      <c r="AR679" s="38">
        <v>0.0</v>
      </c>
      <c r="AS679" s="38" t="s">
        <v>2943</v>
      </c>
      <c r="AT679" s="38" t="s">
        <v>2275</v>
      </c>
      <c r="AU679" s="39" t="s">
        <v>2276</v>
      </c>
      <c r="AV679" s="40">
        <v>46163.0</v>
      </c>
    </row>
    <row r="680">
      <c r="A680" s="38">
        <v>658.0</v>
      </c>
      <c r="B680" s="38">
        <v>657.0</v>
      </c>
      <c r="C680" s="38">
        <v>657.0</v>
      </c>
      <c r="D680" s="38">
        <v>9.0290701E7</v>
      </c>
      <c r="E680" s="38">
        <v>9.0290701E7</v>
      </c>
      <c r="F680" s="18" t="s">
        <v>1966</v>
      </c>
      <c r="G680" s="18" t="s">
        <v>1967</v>
      </c>
      <c r="H680" s="18" t="s">
        <v>2944</v>
      </c>
      <c r="I680" s="18" t="s">
        <v>991</v>
      </c>
      <c r="J680" s="18" t="s">
        <v>2691</v>
      </c>
      <c r="K680" s="18" t="s">
        <v>2691</v>
      </c>
      <c r="L680" s="18" t="s">
        <v>52</v>
      </c>
      <c r="M680" s="18" t="s">
        <v>89</v>
      </c>
      <c r="N680" s="18" t="s">
        <v>861</v>
      </c>
      <c r="O680" s="18" t="s">
        <v>126</v>
      </c>
      <c r="P680" s="18" t="s">
        <v>56</v>
      </c>
      <c r="Q680" s="18" t="s">
        <v>90</v>
      </c>
      <c r="R680" s="18" t="s">
        <v>143</v>
      </c>
      <c r="S680" s="18" t="s">
        <v>59</v>
      </c>
      <c r="T680" s="38">
        <v>2026.0</v>
      </c>
      <c r="U680" s="38">
        <v>5.0</v>
      </c>
      <c r="V680" s="38">
        <v>1.081522989E9</v>
      </c>
      <c r="W680" s="38">
        <v>1.081541059E9</v>
      </c>
      <c r="X680" s="18" t="s">
        <v>2199</v>
      </c>
      <c r="Y680" s="18" t="s">
        <v>2200</v>
      </c>
      <c r="Z680" s="38">
        <v>128422.13</v>
      </c>
      <c r="AA680" s="38">
        <v>128422.13</v>
      </c>
      <c r="AB680" s="38">
        <v>42807.38</v>
      </c>
      <c r="AC680" s="38">
        <v>250.0</v>
      </c>
      <c r="AD680" s="38">
        <v>0.0</v>
      </c>
      <c r="AE680" s="38">
        <v>0.0</v>
      </c>
      <c r="AF680" s="38">
        <v>0.0</v>
      </c>
      <c r="AG680" s="38">
        <v>0.0</v>
      </c>
      <c r="AH680" s="38">
        <v>0.0</v>
      </c>
      <c r="AI680" s="38">
        <v>128422.13</v>
      </c>
      <c r="AJ680" s="38">
        <v>128422.13</v>
      </c>
      <c r="AK680" s="38">
        <v>0.0</v>
      </c>
      <c r="AL680" s="38">
        <v>376.2</v>
      </c>
      <c r="AM680" s="38">
        <v>0.0</v>
      </c>
      <c r="AN680" s="34" t="s">
        <v>62</v>
      </c>
      <c r="AO680" s="34" t="s">
        <v>62</v>
      </c>
      <c r="AP680" s="34" t="s">
        <v>62</v>
      </c>
      <c r="AQ680" s="34" t="s">
        <v>62</v>
      </c>
      <c r="AR680" s="38">
        <v>0.0</v>
      </c>
      <c r="AS680" s="38" t="s">
        <v>2945</v>
      </c>
      <c r="AT680" s="38" t="s">
        <v>2275</v>
      </c>
      <c r="AU680" s="39" t="s">
        <v>2276</v>
      </c>
      <c r="AV680" s="40">
        <v>46163.0</v>
      </c>
    </row>
    <row r="681">
      <c r="A681" s="38">
        <v>662.0</v>
      </c>
      <c r="B681" s="38">
        <v>661.0</v>
      </c>
      <c r="C681" s="38">
        <v>661.0</v>
      </c>
      <c r="D681" s="38">
        <v>9.0290705E7</v>
      </c>
      <c r="E681" s="38">
        <v>9.0290705E7</v>
      </c>
      <c r="F681" s="18" t="s">
        <v>1704</v>
      </c>
      <c r="G681" s="18" t="s">
        <v>1969</v>
      </c>
      <c r="H681" s="18" t="s">
        <v>2946</v>
      </c>
      <c r="I681" s="18" t="s">
        <v>1450</v>
      </c>
      <c r="J681" s="18" t="s">
        <v>2691</v>
      </c>
      <c r="K681" s="18" t="s">
        <v>2947</v>
      </c>
      <c r="L681" s="18" t="s">
        <v>52</v>
      </c>
      <c r="M681" s="18" t="s">
        <v>89</v>
      </c>
      <c r="N681" s="18" t="s">
        <v>861</v>
      </c>
      <c r="O681" s="18" t="s">
        <v>126</v>
      </c>
      <c r="P681" s="18" t="s">
        <v>56</v>
      </c>
      <c r="Q681" s="18" t="s">
        <v>90</v>
      </c>
      <c r="R681" s="18" t="s">
        <v>143</v>
      </c>
      <c r="S681" s="18" t="s">
        <v>59</v>
      </c>
      <c r="T681" s="38">
        <v>2026.0</v>
      </c>
      <c r="U681" s="38">
        <v>5.0</v>
      </c>
      <c r="V681" s="38">
        <v>1.081522994E9</v>
      </c>
      <c r="W681" s="38">
        <v>1.081541064E9</v>
      </c>
      <c r="X681" s="18" t="s">
        <v>2199</v>
      </c>
      <c r="Y681" s="18" t="s">
        <v>2200</v>
      </c>
      <c r="Z681" s="38">
        <v>128422.13</v>
      </c>
      <c r="AA681" s="38">
        <v>128422.13</v>
      </c>
      <c r="AB681" s="38">
        <v>42807.38</v>
      </c>
      <c r="AC681" s="38">
        <v>250.0</v>
      </c>
      <c r="AD681" s="38">
        <v>0.0</v>
      </c>
      <c r="AE681" s="38">
        <v>0.0</v>
      </c>
      <c r="AF681" s="38">
        <v>0.0</v>
      </c>
      <c r="AG681" s="38">
        <v>0.0</v>
      </c>
      <c r="AH681" s="38">
        <v>0.0</v>
      </c>
      <c r="AI681" s="38">
        <v>128422.13</v>
      </c>
      <c r="AJ681" s="38">
        <v>128422.13</v>
      </c>
      <c r="AK681" s="38">
        <v>0.0</v>
      </c>
      <c r="AL681" s="38">
        <v>376.2</v>
      </c>
      <c r="AM681" s="38">
        <v>0.0</v>
      </c>
      <c r="AN681" s="34" t="s">
        <v>62</v>
      </c>
      <c r="AO681" s="34" t="s">
        <v>62</v>
      </c>
      <c r="AP681" s="34" t="s">
        <v>62</v>
      </c>
      <c r="AQ681" s="34" t="s">
        <v>62</v>
      </c>
      <c r="AR681" s="38">
        <v>0.0</v>
      </c>
      <c r="AS681" s="38" t="s">
        <v>2948</v>
      </c>
      <c r="AT681" s="38" t="s">
        <v>2275</v>
      </c>
      <c r="AU681" s="39" t="s">
        <v>2276</v>
      </c>
      <c r="AV681" s="40">
        <v>46163.0</v>
      </c>
    </row>
    <row r="682">
      <c r="A682" s="38">
        <v>666.0</v>
      </c>
      <c r="B682" s="38">
        <v>665.0</v>
      </c>
      <c r="C682" s="38">
        <v>665.0</v>
      </c>
      <c r="D682" s="38">
        <v>9.0290709E7</v>
      </c>
      <c r="E682" s="38">
        <v>9.0290709E7</v>
      </c>
      <c r="F682" s="18" t="s">
        <v>1971</v>
      </c>
      <c r="G682" s="18" t="s">
        <v>1972</v>
      </c>
      <c r="H682" s="18" t="s">
        <v>2949</v>
      </c>
      <c r="I682" s="18" t="s">
        <v>991</v>
      </c>
      <c r="J682" s="18" t="s">
        <v>2691</v>
      </c>
      <c r="K682" s="18" t="s">
        <v>2691</v>
      </c>
      <c r="L682" s="18" t="s">
        <v>52</v>
      </c>
      <c r="M682" s="18" t="s">
        <v>89</v>
      </c>
      <c r="N682" s="18" t="s">
        <v>861</v>
      </c>
      <c r="O682" s="18" t="s">
        <v>126</v>
      </c>
      <c r="P682" s="18" t="s">
        <v>56</v>
      </c>
      <c r="Q682" s="18" t="s">
        <v>90</v>
      </c>
      <c r="R682" s="18" t="s">
        <v>143</v>
      </c>
      <c r="S682" s="18" t="s">
        <v>59</v>
      </c>
      <c r="T682" s="38">
        <v>2026.0</v>
      </c>
      <c r="U682" s="38">
        <v>5.0</v>
      </c>
      <c r="V682" s="38">
        <v>1.081522997E9</v>
      </c>
      <c r="W682" s="38">
        <v>1.081541067E9</v>
      </c>
      <c r="X682" s="18" t="s">
        <v>2199</v>
      </c>
      <c r="Y682" s="18" t="s">
        <v>2200</v>
      </c>
      <c r="Z682" s="38">
        <v>199601.25</v>
      </c>
      <c r="AA682" s="38">
        <v>199601.25</v>
      </c>
      <c r="AB682" s="38">
        <v>66533.75</v>
      </c>
      <c r="AC682" s="38">
        <v>500.0</v>
      </c>
      <c r="AD682" s="38">
        <v>0.0</v>
      </c>
      <c r="AE682" s="38">
        <v>0.0</v>
      </c>
      <c r="AF682" s="38">
        <v>0.0</v>
      </c>
      <c r="AG682" s="38">
        <v>0.0</v>
      </c>
      <c r="AH682" s="38">
        <v>0.0</v>
      </c>
      <c r="AI682" s="38">
        <v>199601.25</v>
      </c>
      <c r="AJ682" s="38">
        <v>199601.25</v>
      </c>
      <c r="AK682" s="38">
        <v>0.0</v>
      </c>
      <c r="AL682" s="38">
        <v>376.2</v>
      </c>
      <c r="AM682" s="38">
        <v>0.0</v>
      </c>
      <c r="AN682" s="34" t="s">
        <v>62</v>
      </c>
      <c r="AO682" s="34" t="s">
        <v>62</v>
      </c>
      <c r="AP682" s="34" t="s">
        <v>62</v>
      </c>
      <c r="AQ682" s="34" t="s">
        <v>62</v>
      </c>
      <c r="AR682" s="38">
        <v>0.0</v>
      </c>
      <c r="AS682" s="38" t="s">
        <v>2950</v>
      </c>
      <c r="AT682" s="38" t="s">
        <v>2275</v>
      </c>
      <c r="AU682" s="39" t="s">
        <v>2276</v>
      </c>
      <c r="AV682" s="40">
        <v>46163.0</v>
      </c>
    </row>
    <row r="683">
      <c r="A683" s="38">
        <v>670.0</v>
      </c>
      <c r="B683" s="38">
        <v>669.0</v>
      </c>
      <c r="C683" s="38">
        <v>669.0</v>
      </c>
      <c r="D683" s="38">
        <v>9.0290713E7</v>
      </c>
      <c r="E683" s="38">
        <v>9.0290713E7</v>
      </c>
      <c r="F683" s="18" t="s">
        <v>212</v>
      </c>
      <c r="G683" s="18" t="s">
        <v>213</v>
      </c>
      <c r="H683" s="18" t="s">
        <v>2379</v>
      </c>
      <c r="I683" s="18" t="s">
        <v>991</v>
      </c>
      <c r="J683" s="18" t="s">
        <v>2691</v>
      </c>
      <c r="K683" s="18" t="s">
        <v>2691</v>
      </c>
      <c r="L683" s="18" t="s">
        <v>52</v>
      </c>
      <c r="M683" s="18" t="s">
        <v>53</v>
      </c>
      <c r="N683" s="18" t="s">
        <v>861</v>
      </c>
      <c r="O683" s="18" t="s">
        <v>126</v>
      </c>
      <c r="P683" s="18" t="s">
        <v>56</v>
      </c>
      <c r="Q683" s="18" t="s">
        <v>90</v>
      </c>
      <c r="R683" s="18" t="s">
        <v>143</v>
      </c>
      <c r="S683" s="18" t="s">
        <v>59</v>
      </c>
      <c r="T683" s="38">
        <v>2026.0</v>
      </c>
      <c r="U683" s="38">
        <v>5.0</v>
      </c>
      <c r="V683" s="38">
        <v>1.081523001E9</v>
      </c>
      <c r="W683" s="38">
        <v>1.081541071E9</v>
      </c>
      <c r="X683" s="18" t="s">
        <v>2199</v>
      </c>
      <c r="Y683" s="18" t="s">
        <v>2200</v>
      </c>
      <c r="Z683" s="38">
        <v>3758557.5</v>
      </c>
      <c r="AA683" s="38">
        <v>3758557.5</v>
      </c>
      <c r="AB683" s="38">
        <v>1252852.5</v>
      </c>
      <c r="AC683" s="38">
        <v>13000.0</v>
      </c>
      <c r="AD683" s="38">
        <v>0.0</v>
      </c>
      <c r="AE683" s="38">
        <v>0.0</v>
      </c>
      <c r="AF683" s="38">
        <v>0.0</v>
      </c>
      <c r="AG683" s="38">
        <v>0.0</v>
      </c>
      <c r="AH683" s="38">
        <v>0.0</v>
      </c>
      <c r="AI683" s="38">
        <v>3758557.5</v>
      </c>
      <c r="AJ683" s="38">
        <v>3758557.5</v>
      </c>
      <c r="AK683" s="38">
        <v>0.0</v>
      </c>
      <c r="AL683" s="38">
        <v>376.2</v>
      </c>
      <c r="AM683" s="38">
        <v>0.0</v>
      </c>
      <c r="AN683" s="34" t="s">
        <v>62</v>
      </c>
      <c r="AO683" s="34" t="s">
        <v>62</v>
      </c>
      <c r="AP683" s="34" t="s">
        <v>62</v>
      </c>
      <c r="AQ683" s="34" t="s">
        <v>62</v>
      </c>
      <c r="AR683" s="38">
        <v>0.0</v>
      </c>
      <c r="AS683" s="38" t="s">
        <v>2951</v>
      </c>
      <c r="AT683" s="38" t="s">
        <v>2275</v>
      </c>
      <c r="AU683" s="39" t="s">
        <v>2276</v>
      </c>
      <c r="AV683" s="40">
        <v>46163.0</v>
      </c>
    </row>
    <row r="684">
      <c r="A684" s="38">
        <v>674.0</v>
      </c>
      <c r="B684" s="38">
        <v>673.0</v>
      </c>
      <c r="C684" s="38">
        <v>673.0</v>
      </c>
      <c r="D684" s="38">
        <v>9.0290718E7</v>
      </c>
      <c r="E684" s="38">
        <v>9.0290718E7</v>
      </c>
      <c r="F684" s="38">
        <v>7.0692489E7</v>
      </c>
      <c r="G684" s="18" t="s">
        <v>1975</v>
      </c>
      <c r="H684" s="18" t="s">
        <v>2952</v>
      </c>
      <c r="I684" s="18" t="s">
        <v>860</v>
      </c>
      <c r="J684" s="18" t="s">
        <v>2205</v>
      </c>
      <c r="K684" s="18" t="s">
        <v>2205</v>
      </c>
      <c r="L684" s="18" t="s">
        <v>52</v>
      </c>
      <c r="M684" s="18" t="s">
        <v>89</v>
      </c>
      <c r="N684" s="18" t="s">
        <v>861</v>
      </c>
      <c r="O684" s="18" t="s">
        <v>126</v>
      </c>
      <c r="P684" s="18" t="s">
        <v>131</v>
      </c>
      <c r="Q684" s="18" t="s">
        <v>132</v>
      </c>
      <c r="R684" s="18" t="s">
        <v>133</v>
      </c>
      <c r="S684" s="18" t="s">
        <v>59</v>
      </c>
      <c r="T684" s="38">
        <v>2026.0</v>
      </c>
      <c r="U684" s="38">
        <v>5.0</v>
      </c>
      <c r="V684" s="38">
        <v>1.081523006E9</v>
      </c>
      <c r="W684" s="38">
        <v>1.081541076E9</v>
      </c>
      <c r="X684" s="18" t="s">
        <v>2199</v>
      </c>
      <c r="Y684" s="18" t="s">
        <v>2200</v>
      </c>
      <c r="Z684" s="38">
        <v>113911.5</v>
      </c>
      <c r="AA684" s="38">
        <v>113911.5</v>
      </c>
      <c r="AB684" s="38">
        <v>37970.5</v>
      </c>
      <c r="AC684" s="38">
        <v>0.0</v>
      </c>
      <c r="AD684" s="38">
        <v>0.0</v>
      </c>
      <c r="AE684" s="38">
        <v>0.0</v>
      </c>
      <c r="AF684" s="38">
        <v>0.0</v>
      </c>
      <c r="AG684" s="38">
        <v>0.0</v>
      </c>
      <c r="AH684" s="38">
        <v>0.0</v>
      </c>
      <c r="AI684" s="38">
        <v>113911.5</v>
      </c>
      <c r="AJ684" s="38">
        <v>113911.5</v>
      </c>
      <c r="AK684" s="38">
        <v>0.0</v>
      </c>
      <c r="AL684" s="38">
        <v>376.2</v>
      </c>
      <c r="AM684" s="38">
        <v>0.0</v>
      </c>
      <c r="AN684" s="34" t="s">
        <v>62</v>
      </c>
      <c r="AO684" s="34" t="s">
        <v>62</v>
      </c>
      <c r="AP684" s="34" t="s">
        <v>62</v>
      </c>
      <c r="AQ684" s="34" t="s">
        <v>62</v>
      </c>
      <c r="AR684" s="38">
        <v>0.0</v>
      </c>
      <c r="AS684" s="38" t="s">
        <v>2953</v>
      </c>
      <c r="AT684" s="35" t="s">
        <v>2202</v>
      </c>
      <c r="AU684" s="39" t="s">
        <v>2254</v>
      </c>
      <c r="AV684" s="40">
        <v>46170.0</v>
      </c>
    </row>
    <row r="685">
      <c r="A685" s="38">
        <v>678.0</v>
      </c>
      <c r="B685" s="38">
        <v>677.0</v>
      </c>
      <c r="C685" s="38">
        <v>677.0</v>
      </c>
      <c r="D685" s="38">
        <v>9.0290743E7</v>
      </c>
      <c r="E685" s="38">
        <v>9.0290743E7</v>
      </c>
      <c r="F685" s="38">
        <v>6.0367249E7</v>
      </c>
      <c r="G685" s="18" t="s">
        <v>1977</v>
      </c>
      <c r="H685" s="18" t="s">
        <v>2954</v>
      </c>
      <c r="I685" s="18" t="s">
        <v>76</v>
      </c>
      <c r="J685" s="18" t="s">
        <v>2691</v>
      </c>
      <c r="K685" s="18" t="s">
        <v>2691</v>
      </c>
      <c r="L685" s="18" t="s">
        <v>52</v>
      </c>
      <c r="M685" s="18" t="s">
        <v>89</v>
      </c>
      <c r="N685" s="18" t="s">
        <v>861</v>
      </c>
      <c r="O685" s="18" t="s">
        <v>126</v>
      </c>
      <c r="P685" s="18" t="s">
        <v>56</v>
      </c>
      <c r="Q685" s="18" t="s">
        <v>90</v>
      </c>
      <c r="R685" s="18" t="s">
        <v>143</v>
      </c>
      <c r="S685" s="18" t="s">
        <v>59</v>
      </c>
      <c r="T685" s="38">
        <v>2026.0</v>
      </c>
      <c r="U685" s="38">
        <v>5.0</v>
      </c>
      <c r="V685" s="38">
        <v>1.081523009E9</v>
      </c>
      <c r="W685" s="38">
        <v>1.081541079E9</v>
      </c>
      <c r="X685" s="18" t="s">
        <v>2199</v>
      </c>
      <c r="Y685" s="18" t="s">
        <v>2200</v>
      </c>
      <c r="Z685" s="38">
        <v>386090.58</v>
      </c>
      <c r="AA685" s="38">
        <v>386090.58</v>
      </c>
      <c r="AB685" s="38">
        <v>128696.87</v>
      </c>
      <c r="AC685" s="38">
        <v>1155.0</v>
      </c>
      <c r="AD685" s="38">
        <v>0.0</v>
      </c>
      <c r="AE685" s="38">
        <v>0.0</v>
      </c>
      <c r="AF685" s="38">
        <v>0.0</v>
      </c>
      <c r="AG685" s="38">
        <v>0.0</v>
      </c>
      <c r="AH685" s="38">
        <v>0.0</v>
      </c>
      <c r="AI685" s="38">
        <v>386090.58</v>
      </c>
      <c r="AJ685" s="38">
        <v>386090.58</v>
      </c>
      <c r="AK685" s="38">
        <v>0.0</v>
      </c>
      <c r="AL685" s="38">
        <v>376.2</v>
      </c>
      <c r="AM685" s="38">
        <v>0.0</v>
      </c>
      <c r="AN685" s="34" t="s">
        <v>62</v>
      </c>
      <c r="AO685" s="34" t="s">
        <v>62</v>
      </c>
      <c r="AP685" s="34" t="s">
        <v>62</v>
      </c>
      <c r="AQ685" s="34" t="s">
        <v>62</v>
      </c>
      <c r="AR685" s="38">
        <v>0.0</v>
      </c>
      <c r="AS685" s="38" t="s">
        <v>2955</v>
      </c>
      <c r="AT685" s="38" t="s">
        <v>2275</v>
      </c>
      <c r="AU685" s="39" t="s">
        <v>2276</v>
      </c>
      <c r="AV685" s="40">
        <v>46163.0</v>
      </c>
    </row>
    <row r="686">
      <c r="A686" s="38">
        <v>682.0</v>
      </c>
      <c r="B686" s="38">
        <v>681.0</v>
      </c>
      <c r="C686" s="38">
        <v>681.0</v>
      </c>
      <c r="D686" s="38">
        <v>9.0290761E7</v>
      </c>
      <c r="E686" s="38">
        <v>9.0290761E7</v>
      </c>
      <c r="F686" s="38">
        <v>1.090461973E9</v>
      </c>
      <c r="G686" s="18" t="s">
        <v>1979</v>
      </c>
      <c r="H686" s="18" t="s">
        <v>2956</v>
      </c>
      <c r="I686" s="38">
        <v>0.0</v>
      </c>
      <c r="J686" s="18" t="s">
        <v>2691</v>
      </c>
      <c r="K686" s="18" t="s">
        <v>2691</v>
      </c>
      <c r="L686" s="18" t="s">
        <v>52</v>
      </c>
      <c r="M686" s="18" t="s">
        <v>89</v>
      </c>
      <c r="N686" s="18" t="s">
        <v>861</v>
      </c>
      <c r="O686" s="18" t="s">
        <v>126</v>
      </c>
      <c r="P686" s="18" t="s">
        <v>56</v>
      </c>
      <c r="Q686" s="18" t="s">
        <v>90</v>
      </c>
      <c r="R686" s="18" t="s">
        <v>143</v>
      </c>
      <c r="S686" s="18" t="s">
        <v>59</v>
      </c>
      <c r="T686" s="38">
        <v>2026.0</v>
      </c>
      <c r="U686" s="38">
        <v>5.0</v>
      </c>
      <c r="V686" s="38">
        <v>1.081523013E9</v>
      </c>
      <c r="W686" s="38">
        <v>1.081541083E9</v>
      </c>
      <c r="X686" s="18" t="s">
        <v>2199</v>
      </c>
      <c r="Y686" s="18" t="s">
        <v>2200</v>
      </c>
      <c r="Z686" s="38">
        <v>205865.02</v>
      </c>
      <c r="AA686" s="38">
        <v>205865.02</v>
      </c>
      <c r="AB686" s="38">
        <v>68621.68</v>
      </c>
      <c r="AC686" s="38">
        <v>522.0</v>
      </c>
      <c r="AD686" s="38">
        <v>0.0</v>
      </c>
      <c r="AE686" s="38">
        <v>0.0</v>
      </c>
      <c r="AF686" s="38">
        <v>0.0</v>
      </c>
      <c r="AG686" s="38">
        <v>0.0</v>
      </c>
      <c r="AH686" s="38">
        <v>0.0</v>
      </c>
      <c r="AI686" s="38">
        <v>205865.02</v>
      </c>
      <c r="AJ686" s="38">
        <v>205865.02</v>
      </c>
      <c r="AK686" s="38">
        <v>0.0</v>
      </c>
      <c r="AL686" s="38">
        <v>376.2</v>
      </c>
      <c r="AM686" s="38">
        <v>0.0</v>
      </c>
      <c r="AN686" s="34" t="s">
        <v>62</v>
      </c>
      <c r="AO686" s="34" t="s">
        <v>62</v>
      </c>
      <c r="AP686" s="34" t="s">
        <v>62</v>
      </c>
      <c r="AQ686" s="34" t="s">
        <v>62</v>
      </c>
      <c r="AR686" s="38">
        <v>0.0</v>
      </c>
      <c r="AS686" s="38" t="s">
        <v>2957</v>
      </c>
      <c r="AT686" s="38" t="s">
        <v>2275</v>
      </c>
      <c r="AU686" s="39" t="s">
        <v>2276</v>
      </c>
      <c r="AV686" s="40">
        <v>46163.0</v>
      </c>
    </row>
    <row r="687">
      <c r="A687" s="38">
        <v>686.0</v>
      </c>
      <c r="B687" s="38">
        <v>685.0</v>
      </c>
      <c r="C687" s="38">
        <v>685.0</v>
      </c>
      <c r="D687" s="38">
        <v>9.0290773E7</v>
      </c>
      <c r="E687" s="38">
        <v>9.0290773E7</v>
      </c>
      <c r="F687" s="18" t="s">
        <v>1938</v>
      </c>
      <c r="G687" s="18" t="s">
        <v>1939</v>
      </c>
      <c r="H687" s="18" t="s">
        <v>2918</v>
      </c>
      <c r="I687" s="18" t="s">
        <v>860</v>
      </c>
      <c r="J687" s="18" t="s">
        <v>2205</v>
      </c>
      <c r="K687" s="18" t="s">
        <v>2919</v>
      </c>
      <c r="L687" s="18" t="s">
        <v>52</v>
      </c>
      <c r="M687" s="18" t="s">
        <v>53</v>
      </c>
      <c r="N687" s="18" t="s">
        <v>861</v>
      </c>
      <c r="O687" s="18" t="s">
        <v>126</v>
      </c>
      <c r="P687" s="18" t="s">
        <v>131</v>
      </c>
      <c r="Q687" s="18" t="s">
        <v>538</v>
      </c>
      <c r="R687" s="18" t="s">
        <v>133</v>
      </c>
      <c r="S687" s="18" t="s">
        <v>59</v>
      </c>
      <c r="T687" s="38">
        <v>2026.0</v>
      </c>
      <c r="U687" s="38">
        <v>5.0</v>
      </c>
      <c r="V687" s="38">
        <v>1.081523017E9</v>
      </c>
      <c r="W687" s="38">
        <v>1.081541087E9</v>
      </c>
      <c r="X687" s="18" t="s">
        <v>2199</v>
      </c>
      <c r="Y687" s="18" t="s">
        <v>2200</v>
      </c>
      <c r="Z687" s="38">
        <v>95028.0</v>
      </c>
      <c r="AA687" s="38">
        <v>95028.0</v>
      </c>
      <c r="AB687" s="38">
        <v>31676.0</v>
      </c>
      <c r="AC687" s="38">
        <v>0.0</v>
      </c>
      <c r="AD687" s="38">
        <v>0.0</v>
      </c>
      <c r="AE687" s="38">
        <v>0.0</v>
      </c>
      <c r="AF687" s="38">
        <v>0.0</v>
      </c>
      <c r="AG687" s="38">
        <v>0.0</v>
      </c>
      <c r="AH687" s="38">
        <v>0.0</v>
      </c>
      <c r="AI687" s="38">
        <v>95028.0</v>
      </c>
      <c r="AJ687" s="38">
        <v>95028.0</v>
      </c>
      <c r="AK687" s="38">
        <v>0.0</v>
      </c>
      <c r="AL687" s="38">
        <v>376.2</v>
      </c>
      <c r="AM687" s="38">
        <v>0.0</v>
      </c>
      <c r="AN687" s="34" t="s">
        <v>62</v>
      </c>
      <c r="AO687" s="34" t="s">
        <v>62</v>
      </c>
      <c r="AP687" s="34" t="s">
        <v>62</v>
      </c>
      <c r="AQ687" s="34" t="s">
        <v>62</v>
      </c>
      <c r="AR687" s="38">
        <v>0.0</v>
      </c>
      <c r="AS687" s="38" t="s">
        <v>2920</v>
      </c>
      <c r="AT687" s="35" t="s">
        <v>2202</v>
      </c>
      <c r="AU687" s="39" t="s">
        <v>2203</v>
      </c>
      <c r="AV687" s="40">
        <v>46169.0</v>
      </c>
    </row>
    <row r="688">
      <c r="A688" s="38">
        <v>690.0</v>
      </c>
      <c r="B688" s="38">
        <v>689.0</v>
      </c>
      <c r="C688" s="38">
        <v>689.0</v>
      </c>
      <c r="D688" s="38">
        <v>9.0290849E7</v>
      </c>
      <c r="E688" s="38">
        <v>9.0290849E7</v>
      </c>
      <c r="F688" s="38">
        <v>8.90901672E8</v>
      </c>
      <c r="G688" s="18" t="s">
        <v>1982</v>
      </c>
      <c r="H688" s="18" t="s">
        <v>2958</v>
      </c>
      <c r="I688" s="18" t="s">
        <v>991</v>
      </c>
      <c r="J688" s="18" t="s">
        <v>2691</v>
      </c>
      <c r="K688" s="18" t="s">
        <v>2395</v>
      </c>
      <c r="L688" s="18" t="s">
        <v>52</v>
      </c>
      <c r="M688" s="18" t="s">
        <v>89</v>
      </c>
      <c r="N688" s="18" t="s">
        <v>861</v>
      </c>
      <c r="O688" s="18" t="s">
        <v>126</v>
      </c>
      <c r="P688" s="18" t="s">
        <v>56</v>
      </c>
      <c r="Q688" s="18" t="s">
        <v>90</v>
      </c>
      <c r="R688" s="18" t="s">
        <v>143</v>
      </c>
      <c r="S688" s="18" t="s">
        <v>59</v>
      </c>
      <c r="T688" s="38">
        <v>2026.0</v>
      </c>
      <c r="U688" s="38">
        <v>5.0</v>
      </c>
      <c r="V688" s="38">
        <v>1.081523021E9</v>
      </c>
      <c r="W688" s="38">
        <v>1.081541091E9</v>
      </c>
      <c r="X688" s="18" t="s">
        <v>2199</v>
      </c>
      <c r="Y688" s="18" t="s">
        <v>2200</v>
      </c>
      <c r="Z688" s="38">
        <v>128422.13</v>
      </c>
      <c r="AA688" s="38">
        <v>128422.13</v>
      </c>
      <c r="AB688" s="38">
        <v>42807.38</v>
      </c>
      <c r="AC688" s="38">
        <v>250.0</v>
      </c>
      <c r="AD688" s="38">
        <v>0.0</v>
      </c>
      <c r="AE688" s="38">
        <v>0.0</v>
      </c>
      <c r="AF688" s="38">
        <v>0.0</v>
      </c>
      <c r="AG688" s="38">
        <v>0.0</v>
      </c>
      <c r="AH688" s="38">
        <v>0.0</v>
      </c>
      <c r="AI688" s="38">
        <v>128422.13</v>
      </c>
      <c r="AJ688" s="38">
        <v>128422.13</v>
      </c>
      <c r="AK688" s="38">
        <v>0.0</v>
      </c>
      <c r="AL688" s="38">
        <v>376.2</v>
      </c>
      <c r="AM688" s="38">
        <v>0.0</v>
      </c>
      <c r="AN688" s="34" t="s">
        <v>62</v>
      </c>
      <c r="AO688" s="34" t="s">
        <v>62</v>
      </c>
      <c r="AP688" s="34" t="s">
        <v>62</v>
      </c>
      <c r="AQ688" s="34" t="s">
        <v>62</v>
      </c>
      <c r="AR688" s="38">
        <v>0.0</v>
      </c>
      <c r="AS688" s="38" t="s">
        <v>2396</v>
      </c>
      <c r="AT688" s="38" t="s">
        <v>2275</v>
      </c>
      <c r="AU688" s="39" t="s">
        <v>2276</v>
      </c>
      <c r="AV688" s="40">
        <v>46163.0</v>
      </c>
    </row>
    <row r="689">
      <c r="A689" s="38">
        <v>694.0</v>
      </c>
      <c r="B689" s="38">
        <v>693.0</v>
      </c>
      <c r="C689" s="38">
        <v>693.0</v>
      </c>
      <c r="D689" s="38">
        <v>9.0290853E7</v>
      </c>
      <c r="E689" s="38">
        <v>9.0290853E7</v>
      </c>
      <c r="F689" s="38">
        <v>9.00415529E8</v>
      </c>
      <c r="G689" s="18" t="s">
        <v>1984</v>
      </c>
      <c r="H689" s="18" t="s">
        <v>2959</v>
      </c>
      <c r="I689" s="18" t="s">
        <v>991</v>
      </c>
      <c r="J689" s="18" t="s">
        <v>2691</v>
      </c>
      <c r="K689" s="18" t="s">
        <v>2691</v>
      </c>
      <c r="L689" s="18" t="s">
        <v>52</v>
      </c>
      <c r="M689" s="18" t="s">
        <v>89</v>
      </c>
      <c r="N689" s="18" t="s">
        <v>861</v>
      </c>
      <c r="O689" s="18" t="s">
        <v>126</v>
      </c>
      <c r="P689" s="18" t="s">
        <v>56</v>
      </c>
      <c r="Q689" s="18" t="s">
        <v>90</v>
      </c>
      <c r="R689" s="18" t="s">
        <v>143</v>
      </c>
      <c r="S689" s="18" t="s">
        <v>59</v>
      </c>
      <c r="T689" s="38">
        <v>2026.0</v>
      </c>
      <c r="U689" s="38">
        <v>5.0</v>
      </c>
      <c r="V689" s="38">
        <v>1.081523026E9</v>
      </c>
      <c r="W689" s="38">
        <v>1.081541096E9</v>
      </c>
      <c r="X689" s="18" t="s">
        <v>2199</v>
      </c>
      <c r="Y689" s="18" t="s">
        <v>2200</v>
      </c>
      <c r="Z689" s="38">
        <v>378066.69</v>
      </c>
      <c r="AA689" s="38">
        <v>378066.69</v>
      </c>
      <c r="AB689" s="38">
        <v>84850.52</v>
      </c>
      <c r="AC689" s="38">
        <v>693.0</v>
      </c>
      <c r="AD689" s="38">
        <v>123515.15</v>
      </c>
      <c r="AE689" s="38">
        <v>0.0</v>
      </c>
      <c r="AF689" s="38">
        <v>0.0</v>
      </c>
      <c r="AG689" s="38">
        <v>0.0</v>
      </c>
      <c r="AH689" s="38">
        <v>0.0</v>
      </c>
      <c r="AI689" s="38">
        <v>378066.69</v>
      </c>
      <c r="AJ689" s="38">
        <v>8711069.23</v>
      </c>
      <c r="AK689" s="38">
        <v>29.0</v>
      </c>
      <c r="AL689" s="38">
        <v>376.2</v>
      </c>
      <c r="AM689" s="38">
        <v>0.0</v>
      </c>
      <c r="AN689" s="34" t="s">
        <v>62</v>
      </c>
      <c r="AO689" s="34" t="s">
        <v>62</v>
      </c>
      <c r="AP689" s="34" t="s">
        <v>62</v>
      </c>
      <c r="AQ689" s="34" t="s">
        <v>62</v>
      </c>
      <c r="AR689" s="38">
        <v>0.0</v>
      </c>
      <c r="AS689" s="38" t="s">
        <v>2960</v>
      </c>
      <c r="AT689" s="38" t="s">
        <v>2275</v>
      </c>
      <c r="AU689" s="39" t="s">
        <v>2276</v>
      </c>
      <c r="AV689" s="40">
        <v>46163.0</v>
      </c>
    </row>
    <row r="690">
      <c r="A690" s="38">
        <v>698.0</v>
      </c>
      <c r="B690" s="38">
        <v>697.0</v>
      </c>
      <c r="C690" s="38">
        <v>697.0</v>
      </c>
      <c r="D690" s="38">
        <v>9.0291512E7</v>
      </c>
      <c r="E690" s="38">
        <v>9.0291512E7</v>
      </c>
      <c r="F690" s="38">
        <v>3.7244099E7</v>
      </c>
      <c r="G690" s="18" t="s">
        <v>1986</v>
      </c>
      <c r="H690" s="18" t="s">
        <v>2961</v>
      </c>
      <c r="I690" s="18" t="s">
        <v>982</v>
      </c>
      <c r="J690" s="18" t="s">
        <v>2205</v>
      </c>
      <c r="K690" s="18" t="s">
        <v>1986</v>
      </c>
      <c r="L690" s="18" t="s">
        <v>52</v>
      </c>
      <c r="M690" s="18" t="s">
        <v>89</v>
      </c>
      <c r="N690" s="18" t="s">
        <v>861</v>
      </c>
      <c r="O690" s="18" t="s">
        <v>126</v>
      </c>
      <c r="P690" s="18" t="s">
        <v>131</v>
      </c>
      <c r="Q690" s="18" t="s">
        <v>132</v>
      </c>
      <c r="R690" s="18" t="s">
        <v>133</v>
      </c>
      <c r="S690" s="18" t="s">
        <v>59</v>
      </c>
      <c r="T690" s="38">
        <v>2026.0</v>
      </c>
      <c r="U690" s="38">
        <v>5.0</v>
      </c>
      <c r="V690" s="38">
        <v>1.081523033E9</v>
      </c>
      <c r="W690" s="38">
        <v>1.081541103E9</v>
      </c>
      <c r="X690" s="18" t="s">
        <v>2199</v>
      </c>
      <c r="Y690" s="18" t="s">
        <v>2200</v>
      </c>
      <c r="Z690" s="38">
        <v>113911.5</v>
      </c>
      <c r="AA690" s="38">
        <v>113911.5</v>
      </c>
      <c r="AB690" s="38">
        <v>37970.5</v>
      </c>
      <c r="AC690" s="38">
        <v>0.0</v>
      </c>
      <c r="AD690" s="38">
        <v>0.0</v>
      </c>
      <c r="AE690" s="38">
        <v>0.0</v>
      </c>
      <c r="AF690" s="38">
        <v>0.0</v>
      </c>
      <c r="AG690" s="38">
        <v>0.0</v>
      </c>
      <c r="AH690" s="38">
        <v>0.0</v>
      </c>
      <c r="AI690" s="38">
        <v>113911.5</v>
      </c>
      <c r="AJ690" s="38">
        <v>113911.5</v>
      </c>
      <c r="AK690" s="38">
        <v>0.0</v>
      </c>
      <c r="AL690" s="38">
        <v>376.2</v>
      </c>
      <c r="AM690" s="38">
        <v>0.0</v>
      </c>
      <c r="AN690" s="34" t="s">
        <v>62</v>
      </c>
      <c r="AO690" s="34" t="s">
        <v>62</v>
      </c>
      <c r="AP690" s="34" t="s">
        <v>62</v>
      </c>
      <c r="AQ690" s="34" t="s">
        <v>62</v>
      </c>
      <c r="AR690" s="38">
        <v>0.0</v>
      </c>
      <c r="AS690" s="38" t="s">
        <v>2962</v>
      </c>
      <c r="AT690" s="35" t="s">
        <v>2202</v>
      </c>
      <c r="AU690" s="39" t="s">
        <v>2203</v>
      </c>
      <c r="AV690" s="40">
        <v>46169.0</v>
      </c>
    </row>
    <row r="691">
      <c r="A691" s="38">
        <v>702.0</v>
      </c>
      <c r="B691" s="38">
        <v>701.0</v>
      </c>
      <c r="C691" s="38">
        <v>701.0</v>
      </c>
      <c r="D691" s="38">
        <v>9.0291874E7</v>
      </c>
      <c r="E691" s="38">
        <v>9.0291874E7</v>
      </c>
      <c r="F691" s="18" t="s">
        <v>1988</v>
      </c>
      <c r="G691" s="18" t="s">
        <v>1989</v>
      </c>
      <c r="H691" s="18" t="s">
        <v>2963</v>
      </c>
      <c r="I691" s="18" t="s">
        <v>991</v>
      </c>
      <c r="J691" s="18" t="s">
        <v>2691</v>
      </c>
      <c r="K691" s="18" t="s">
        <v>2691</v>
      </c>
      <c r="L691" s="18" t="s">
        <v>52</v>
      </c>
      <c r="M691" s="18" t="s">
        <v>89</v>
      </c>
      <c r="N691" s="18" t="s">
        <v>861</v>
      </c>
      <c r="O691" s="18" t="s">
        <v>126</v>
      </c>
      <c r="P691" s="18" t="s">
        <v>131</v>
      </c>
      <c r="Q691" s="18" t="s">
        <v>132</v>
      </c>
      <c r="R691" s="18" t="s">
        <v>133</v>
      </c>
      <c r="S691" s="18" t="s">
        <v>163</v>
      </c>
      <c r="T691" s="38">
        <v>2026.0</v>
      </c>
      <c r="U691" s="38">
        <v>5.0</v>
      </c>
      <c r="V691" s="38">
        <v>1.081523036E9</v>
      </c>
      <c r="W691" s="38">
        <v>1.081541106E9</v>
      </c>
      <c r="X691" s="18" t="s">
        <v>2199</v>
      </c>
      <c r="Y691" s="18" t="s">
        <v>2200</v>
      </c>
      <c r="Z691" s="38">
        <v>56619.0</v>
      </c>
      <c r="AA691" s="38">
        <v>56619.0</v>
      </c>
      <c r="AB691" s="38">
        <v>18873.0</v>
      </c>
      <c r="AC691" s="38">
        <v>0.0</v>
      </c>
      <c r="AD691" s="38">
        <v>0.0</v>
      </c>
      <c r="AE691" s="38">
        <v>0.0</v>
      </c>
      <c r="AF691" s="38">
        <v>0.0</v>
      </c>
      <c r="AG691" s="38">
        <v>0.0</v>
      </c>
      <c r="AH691" s="38">
        <v>0.0</v>
      </c>
      <c r="AI691" s="38">
        <v>56619.0</v>
      </c>
      <c r="AJ691" s="38">
        <v>113113.5</v>
      </c>
      <c r="AK691" s="38">
        <v>1.0</v>
      </c>
      <c r="AL691" s="38">
        <v>376.2</v>
      </c>
      <c r="AM691" s="38">
        <v>0.0</v>
      </c>
      <c r="AN691" s="34" t="s">
        <v>62</v>
      </c>
      <c r="AO691" s="34" t="s">
        <v>62</v>
      </c>
      <c r="AP691" s="34" t="s">
        <v>62</v>
      </c>
      <c r="AQ691" s="34" t="s">
        <v>62</v>
      </c>
      <c r="AR691" s="38">
        <v>0.0</v>
      </c>
      <c r="AS691" s="38" t="s">
        <v>2964</v>
      </c>
      <c r="AT691" s="38" t="s">
        <v>2275</v>
      </c>
      <c r="AU691" s="39" t="s">
        <v>2276</v>
      </c>
      <c r="AV691" s="40">
        <v>46163.0</v>
      </c>
    </row>
    <row r="692">
      <c r="A692" s="38">
        <v>95890.0</v>
      </c>
      <c r="B692" s="38">
        <v>95889.0</v>
      </c>
      <c r="C692" s="38">
        <v>95889.0</v>
      </c>
      <c r="D692" s="38">
        <v>457614.0</v>
      </c>
      <c r="E692" s="38">
        <v>457614.0</v>
      </c>
      <c r="F692" s="18" t="s">
        <v>1707</v>
      </c>
      <c r="G692" s="18" t="s">
        <v>1991</v>
      </c>
      <c r="H692" s="18" t="s">
        <v>2965</v>
      </c>
      <c r="I692" s="18" t="s">
        <v>942</v>
      </c>
      <c r="J692" s="18" t="s">
        <v>2205</v>
      </c>
      <c r="K692" s="18" t="s">
        <v>2205</v>
      </c>
      <c r="L692" s="18" t="s">
        <v>52</v>
      </c>
      <c r="M692" s="18" t="s">
        <v>89</v>
      </c>
      <c r="N692" s="18" t="s">
        <v>861</v>
      </c>
      <c r="O692" s="18" t="s">
        <v>126</v>
      </c>
      <c r="P692" s="18" t="s">
        <v>131</v>
      </c>
      <c r="Q692" s="18" t="s">
        <v>132</v>
      </c>
      <c r="R692" s="18" t="s">
        <v>133</v>
      </c>
      <c r="S692" s="18" t="s">
        <v>59</v>
      </c>
      <c r="T692" s="38">
        <v>2026.0</v>
      </c>
      <c r="U692" s="38">
        <v>5.0</v>
      </c>
      <c r="V692" s="38">
        <v>1.081523117E9</v>
      </c>
      <c r="W692" s="38">
        <v>1.081541187E9</v>
      </c>
      <c r="X692" s="18" t="s">
        <v>2199</v>
      </c>
      <c r="Y692" s="18" t="s">
        <v>2200</v>
      </c>
      <c r="Z692" s="38">
        <v>113911.5</v>
      </c>
      <c r="AA692" s="38">
        <v>113911.5</v>
      </c>
      <c r="AB692" s="38">
        <v>37970.5</v>
      </c>
      <c r="AC692" s="38">
        <v>0.0</v>
      </c>
      <c r="AD692" s="38">
        <v>0.0</v>
      </c>
      <c r="AE692" s="38">
        <v>0.0</v>
      </c>
      <c r="AF692" s="38">
        <v>0.0</v>
      </c>
      <c r="AG692" s="38">
        <v>0.0</v>
      </c>
      <c r="AH692" s="38">
        <v>0.0</v>
      </c>
      <c r="AI692" s="38">
        <v>113911.5</v>
      </c>
      <c r="AJ692" s="38">
        <v>113911.5</v>
      </c>
      <c r="AK692" s="38">
        <v>0.0</v>
      </c>
      <c r="AL692" s="38">
        <v>376.2</v>
      </c>
      <c r="AM692" s="38">
        <v>0.0</v>
      </c>
      <c r="AN692" s="34" t="s">
        <v>62</v>
      </c>
      <c r="AO692" s="34" t="s">
        <v>62</v>
      </c>
      <c r="AP692" s="34" t="s">
        <v>62</v>
      </c>
      <c r="AQ692" s="34" t="s">
        <v>62</v>
      </c>
      <c r="AR692" s="38">
        <v>0.0</v>
      </c>
      <c r="AS692" s="38" t="s">
        <v>2966</v>
      </c>
      <c r="AT692" s="35" t="s">
        <v>2202</v>
      </c>
      <c r="AU692" s="39" t="s">
        <v>2254</v>
      </c>
      <c r="AV692" s="40">
        <v>46170.0</v>
      </c>
    </row>
    <row r="693">
      <c r="A693" s="38">
        <v>95946.0</v>
      </c>
      <c r="B693" s="38">
        <v>95945.0</v>
      </c>
      <c r="C693" s="38">
        <v>95945.0</v>
      </c>
      <c r="D693" s="38">
        <v>457284.0</v>
      </c>
      <c r="E693" s="38">
        <v>457284.0</v>
      </c>
      <c r="F693" s="38">
        <v>457284.0</v>
      </c>
      <c r="G693" s="18" t="s">
        <v>1993</v>
      </c>
      <c r="H693" s="18" t="s">
        <v>2967</v>
      </c>
      <c r="I693" s="18" t="s">
        <v>942</v>
      </c>
      <c r="J693" s="18" t="s">
        <v>2205</v>
      </c>
      <c r="K693" s="18" t="s">
        <v>2205</v>
      </c>
      <c r="L693" s="18" t="s">
        <v>52</v>
      </c>
      <c r="M693" s="18" t="s">
        <v>89</v>
      </c>
      <c r="N693" s="18" t="s">
        <v>861</v>
      </c>
      <c r="O693" s="18" t="s">
        <v>126</v>
      </c>
      <c r="P693" s="18" t="s">
        <v>131</v>
      </c>
      <c r="Q693" s="18" t="s">
        <v>132</v>
      </c>
      <c r="R693" s="18" t="s">
        <v>133</v>
      </c>
      <c r="S693" s="18" t="s">
        <v>59</v>
      </c>
      <c r="T693" s="38">
        <v>2026.0</v>
      </c>
      <c r="U693" s="38">
        <v>5.0</v>
      </c>
      <c r="V693" s="38">
        <v>1.08152312E9</v>
      </c>
      <c r="W693" s="38">
        <v>1.08154119E9</v>
      </c>
      <c r="X693" s="18" t="s">
        <v>2199</v>
      </c>
      <c r="Y693" s="18" t="s">
        <v>2200</v>
      </c>
      <c r="Z693" s="38">
        <v>113911.5</v>
      </c>
      <c r="AA693" s="38">
        <v>113911.5</v>
      </c>
      <c r="AB693" s="38">
        <v>37970.5</v>
      </c>
      <c r="AC693" s="38">
        <v>0.0</v>
      </c>
      <c r="AD693" s="38">
        <v>0.0</v>
      </c>
      <c r="AE693" s="38">
        <v>0.0</v>
      </c>
      <c r="AF693" s="38">
        <v>0.0</v>
      </c>
      <c r="AG693" s="38">
        <v>0.0</v>
      </c>
      <c r="AH693" s="38">
        <v>0.0</v>
      </c>
      <c r="AI693" s="38">
        <v>113911.5</v>
      </c>
      <c r="AJ693" s="38">
        <v>113911.5</v>
      </c>
      <c r="AK693" s="38">
        <v>0.0</v>
      </c>
      <c r="AL693" s="38">
        <v>376.2</v>
      </c>
      <c r="AM693" s="38">
        <v>0.0</v>
      </c>
      <c r="AN693" s="34" t="s">
        <v>62</v>
      </c>
      <c r="AO693" s="34" t="s">
        <v>62</v>
      </c>
      <c r="AP693" s="34" t="s">
        <v>62</v>
      </c>
      <c r="AQ693" s="34" t="s">
        <v>62</v>
      </c>
      <c r="AR693" s="38">
        <v>0.0</v>
      </c>
      <c r="AS693" s="38" t="s">
        <v>2968</v>
      </c>
      <c r="AT693" s="35" t="s">
        <v>2202</v>
      </c>
      <c r="AU693" s="39" t="s">
        <v>2254</v>
      </c>
      <c r="AV693" s="40">
        <v>46170.0</v>
      </c>
    </row>
    <row r="694">
      <c r="A694" s="38">
        <v>404633.0</v>
      </c>
      <c r="B694" s="38">
        <v>95997.0</v>
      </c>
      <c r="C694" s="38">
        <v>95997.0</v>
      </c>
      <c r="D694" s="38">
        <v>457266.0</v>
      </c>
      <c r="E694" s="38">
        <v>457266.0</v>
      </c>
      <c r="F694" s="38">
        <v>8.60002964E8</v>
      </c>
      <c r="G694" s="18" t="s">
        <v>705</v>
      </c>
      <c r="H694" s="18" t="s">
        <v>2526</v>
      </c>
      <c r="I694" s="18" t="s">
        <v>942</v>
      </c>
      <c r="J694" s="18" t="s">
        <v>2205</v>
      </c>
      <c r="K694" s="18" t="s">
        <v>2527</v>
      </c>
      <c r="L694" s="18" t="s">
        <v>52</v>
      </c>
      <c r="M694" s="18" t="s">
        <v>53</v>
      </c>
      <c r="N694" s="18" t="s">
        <v>861</v>
      </c>
      <c r="O694" s="18" t="s">
        <v>126</v>
      </c>
      <c r="P694" s="18" t="s">
        <v>131</v>
      </c>
      <c r="Q694" s="18" t="s">
        <v>538</v>
      </c>
      <c r="R694" s="18" t="s">
        <v>133</v>
      </c>
      <c r="S694" s="18" t="s">
        <v>59</v>
      </c>
      <c r="T694" s="38">
        <v>2026.0</v>
      </c>
      <c r="U694" s="38">
        <v>5.0</v>
      </c>
      <c r="V694" s="38">
        <v>1.081523123E9</v>
      </c>
      <c r="W694" s="38">
        <v>1.081541193E9</v>
      </c>
      <c r="X694" s="18" t="s">
        <v>2199</v>
      </c>
      <c r="Y694" s="18" t="s">
        <v>2200</v>
      </c>
      <c r="Z694" s="38">
        <v>95028.0</v>
      </c>
      <c r="AA694" s="38">
        <v>95028.0</v>
      </c>
      <c r="AB694" s="38">
        <v>31676.0</v>
      </c>
      <c r="AC694" s="38">
        <v>0.0</v>
      </c>
      <c r="AD694" s="38">
        <v>0.0</v>
      </c>
      <c r="AE694" s="38">
        <v>0.0</v>
      </c>
      <c r="AF694" s="38">
        <v>0.0</v>
      </c>
      <c r="AG694" s="38">
        <v>0.0</v>
      </c>
      <c r="AH694" s="38">
        <v>0.0</v>
      </c>
      <c r="AI694" s="38">
        <v>95028.0</v>
      </c>
      <c r="AJ694" s="38">
        <v>95028.5</v>
      </c>
      <c r="AK694" s="38">
        <v>1.0</v>
      </c>
      <c r="AL694" s="38">
        <v>376.2</v>
      </c>
      <c r="AM694" s="38">
        <v>0.0</v>
      </c>
      <c r="AN694" s="34" t="s">
        <v>62</v>
      </c>
      <c r="AO694" s="34" t="s">
        <v>62</v>
      </c>
      <c r="AP694" s="34" t="s">
        <v>62</v>
      </c>
      <c r="AQ694" s="34" t="s">
        <v>62</v>
      </c>
      <c r="AR694" s="38">
        <v>0.0</v>
      </c>
      <c r="AS694" s="38" t="s">
        <v>2528</v>
      </c>
      <c r="AT694" s="35" t="s">
        <v>2202</v>
      </c>
      <c r="AU694" s="39" t="s">
        <v>2203</v>
      </c>
      <c r="AV694" s="40">
        <v>46163.0</v>
      </c>
    </row>
    <row r="695">
      <c r="A695" s="38">
        <v>350.0</v>
      </c>
      <c r="B695" s="38">
        <v>96397.0</v>
      </c>
      <c r="C695" s="38">
        <v>96397.0</v>
      </c>
      <c r="D695" s="38">
        <v>419861.0</v>
      </c>
      <c r="E695" s="38">
        <v>419861.0</v>
      </c>
      <c r="F695" s="38">
        <v>9.00603041E8</v>
      </c>
      <c r="G695" s="18" t="s">
        <v>400</v>
      </c>
      <c r="H695" s="18" t="s">
        <v>2304</v>
      </c>
      <c r="I695" s="18" t="s">
        <v>863</v>
      </c>
      <c r="J695" s="18" t="s">
        <v>2205</v>
      </c>
      <c r="K695" s="18" t="s">
        <v>2305</v>
      </c>
      <c r="L695" s="18" t="s">
        <v>52</v>
      </c>
      <c r="M695" s="18" t="s">
        <v>89</v>
      </c>
      <c r="N695" s="18" t="s">
        <v>861</v>
      </c>
      <c r="O695" s="18" t="s">
        <v>126</v>
      </c>
      <c r="P695" s="18" t="s">
        <v>56</v>
      </c>
      <c r="Q695" s="18" t="s">
        <v>90</v>
      </c>
      <c r="R695" s="18" t="s">
        <v>143</v>
      </c>
      <c r="S695" s="18" t="s">
        <v>59</v>
      </c>
      <c r="T695" s="38">
        <v>2026.0</v>
      </c>
      <c r="U695" s="38">
        <v>5.0</v>
      </c>
      <c r="V695" s="38">
        <v>1.081523127E9</v>
      </c>
      <c r="W695" s="38">
        <v>1.081541197E9</v>
      </c>
      <c r="X695" s="18" t="s">
        <v>2199</v>
      </c>
      <c r="Y695" s="18" t="s">
        <v>2200</v>
      </c>
      <c r="Z695" s="38">
        <v>694509.84</v>
      </c>
      <c r="AA695" s="38">
        <v>694509.84</v>
      </c>
      <c r="AB695" s="38">
        <v>227873.1</v>
      </c>
      <c r="AC695" s="38">
        <v>2200.0</v>
      </c>
      <c r="AD695" s="38">
        <v>10890.54</v>
      </c>
      <c r="AE695" s="38">
        <v>0.0</v>
      </c>
      <c r="AF695" s="38">
        <v>0.0</v>
      </c>
      <c r="AG695" s="38">
        <v>0.0</v>
      </c>
      <c r="AH695" s="38">
        <v>0.0</v>
      </c>
      <c r="AI695" s="38">
        <v>694509.84</v>
      </c>
      <c r="AJ695" s="38">
        <v>2034893.74</v>
      </c>
      <c r="AK695" s="38">
        <v>3.0</v>
      </c>
      <c r="AL695" s="38">
        <v>376.2</v>
      </c>
      <c r="AM695" s="38">
        <v>0.0</v>
      </c>
      <c r="AN695" s="34" t="s">
        <v>62</v>
      </c>
      <c r="AO695" s="34" t="s">
        <v>62</v>
      </c>
      <c r="AP695" s="34" t="s">
        <v>62</v>
      </c>
      <c r="AQ695" s="34" t="s">
        <v>62</v>
      </c>
      <c r="AR695" s="38">
        <v>0.0</v>
      </c>
      <c r="AS695" s="38" t="s">
        <v>2306</v>
      </c>
      <c r="AT695" s="35" t="s">
        <v>2202</v>
      </c>
      <c r="AU695" s="39" t="s">
        <v>2203</v>
      </c>
      <c r="AV695" s="40">
        <v>46164.0</v>
      </c>
    </row>
    <row r="696">
      <c r="A696" s="38">
        <v>455370.0</v>
      </c>
      <c r="B696" s="38">
        <v>108.0</v>
      </c>
      <c r="C696" s="38">
        <v>108.0</v>
      </c>
      <c r="D696" s="38">
        <v>9.0200134E7</v>
      </c>
      <c r="E696" s="38">
        <v>9.0200134E7</v>
      </c>
      <c r="F696" s="18" t="s">
        <v>148</v>
      </c>
      <c r="G696" s="18" t="s">
        <v>149</v>
      </c>
      <c r="H696" s="18" t="s">
        <v>2296</v>
      </c>
      <c r="I696" s="18" t="s">
        <v>863</v>
      </c>
      <c r="J696" s="18" t="s">
        <v>2205</v>
      </c>
      <c r="K696" s="18" t="s">
        <v>2611</v>
      </c>
      <c r="L696" s="18" t="s">
        <v>52</v>
      </c>
      <c r="M696" s="18" t="s">
        <v>53</v>
      </c>
      <c r="N696" s="18" t="s">
        <v>861</v>
      </c>
      <c r="O696" s="18" t="s">
        <v>126</v>
      </c>
      <c r="P696" s="18" t="s">
        <v>56</v>
      </c>
      <c r="Q696" s="18" t="s">
        <v>57</v>
      </c>
      <c r="R696" s="18" t="s">
        <v>143</v>
      </c>
      <c r="S696" s="18" t="s">
        <v>59</v>
      </c>
      <c r="T696" s="38">
        <v>2026.0</v>
      </c>
      <c r="U696" s="38">
        <v>5.0</v>
      </c>
      <c r="V696" s="38">
        <v>1.081522684E9</v>
      </c>
      <c r="W696" s="38">
        <v>1.081540754E9</v>
      </c>
      <c r="X696" s="18" t="s">
        <v>2199</v>
      </c>
      <c r="Y696" s="18" t="s">
        <v>2200</v>
      </c>
      <c r="Z696" s="38">
        <v>86184.18</v>
      </c>
      <c r="AA696" s="38">
        <v>86184.18</v>
      </c>
      <c r="AB696" s="38">
        <v>0.0</v>
      </c>
      <c r="AC696" s="38">
        <v>253.0</v>
      </c>
      <c r="AD696" s="38">
        <v>0.0</v>
      </c>
      <c r="AE696" s="38">
        <v>0.0</v>
      </c>
      <c r="AF696" s="38">
        <v>0.0</v>
      </c>
      <c r="AG696" s="38">
        <v>0.0</v>
      </c>
      <c r="AH696" s="38">
        <v>0.0</v>
      </c>
      <c r="AI696" s="38">
        <v>86184.18</v>
      </c>
      <c r="AJ696" s="38">
        <v>333598.89</v>
      </c>
      <c r="AK696" s="38">
        <v>3.0</v>
      </c>
      <c r="AL696" s="38">
        <v>250.8</v>
      </c>
      <c r="AM696" s="38">
        <v>0.0</v>
      </c>
      <c r="AN696" s="34" t="s">
        <v>62</v>
      </c>
      <c r="AO696" s="34" t="s">
        <v>62</v>
      </c>
      <c r="AP696" s="34" t="s">
        <v>62</v>
      </c>
      <c r="AQ696" s="34" t="s">
        <v>62</v>
      </c>
      <c r="AR696" s="38">
        <v>0.0</v>
      </c>
      <c r="AS696" s="38" t="s">
        <v>2293</v>
      </c>
      <c r="AT696" s="35" t="s">
        <v>2294</v>
      </c>
      <c r="AU696" s="39" t="s">
        <v>2295</v>
      </c>
      <c r="AV696" s="40">
        <v>46164.0</v>
      </c>
    </row>
    <row r="697">
      <c r="A697" s="38">
        <v>109977.0</v>
      </c>
      <c r="B697" s="38">
        <v>109976.0</v>
      </c>
      <c r="C697" s="38">
        <v>109976.0</v>
      </c>
      <c r="D697" s="38">
        <v>517946.0</v>
      </c>
      <c r="E697" s="38">
        <v>517946.0</v>
      </c>
      <c r="F697" s="38">
        <v>517946.0</v>
      </c>
      <c r="G697" s="18" t="s">
        <v>1638</v>
      </c>
      <c r="H697" s="18" t="s">
        <v>2969</v>
      </c>
      <c r="I697" s="18" t="s">
        <v>877</v>
      </c>
      <c r="J697" s="18" t="s">
        <v>2205</v>
      </c>
      <c r="K697" s="18" t="s">
        <v>2205</v>
      </c>
      <c r="L697" s="18" t="s">
        <v>52</v>
      </c>
      <c r="M697" s="18" t="s">
        <v>89</v>
      </c>
      <c r="N697" s="18" t="s">
        <v>861</v>
      </c>
      <c r="O697" s="18" t="s">
        <v>126</v>
      </c>
      <c r="P697" s="18" t="s">
        <v>131</v>
      </c>
      <c r="Q697" s="18" t="s">
        <v>132</v>
      </c>
      <c r="R697" s="18" t="s">
        <v>133</v>
      </c>
      <c r="S697" s="18" t="s">
        <v>59</v>
      </c>
      <c r="T697" s="38">
        <v>2026.0</v>
      </c>
      <c r="U697" s="38">
        <v>5.0</v>
      </c>
      <c r="V697" s="38">
        <v>1.08152311E9</v>
      </c>
      <c r="W697" s="38">
        <v>1.08154118E9</v>
      </c>
      <c r="X697" s="18" t="s">
        <v>2199</v>
      </c>
      <c r="Y697" s="18" t="s">
        <v>2200</v>
      </c>
      <c r="Z697" s="38">
        <v>125498.97</v>
      </c>
      <c r="AA697" s="38">
        <v>125498.97</v>
      </c>
      <c r="AB697" s="38">
        <v>37970.5</v>
      </c>
      <c r="AC697" s="38">
        <v>0.0</v>
      </c>
      <c r="AD697" s="38">
        <v>11587.47</v>
      </c>
      <c r="AE697" s="38">
        <v>0.0</v>
      </c>
      <c r="AF697" s="38">
        <v>0.0</v>
      </c>
      <c r="AG697" s="38">
        <v>0.0</v>
      </c>
      <c r="AH697" s="38">
        <v>0.0</v>
      </c>
      <c r="AI697" s="38">
        <v>125498.97</v>
      </c>
      <c r="AJ697" s="38">
        <v>868519.27</v>
      </c>
      <c r="AK697" s="38">
        <v>7.0</v>
      </c>
      <c r="AL697" s="38">
        <v>376.2</v>
      </c>
      <c r="AM697" s="38">
        <v>0.0</v>
      </c>
      <c r="AN697" s="34" t="s">
        <v>62</v>
      </c>
      <c r="AO697" s="34" t="s">
        <v>62</v>
      </c>
      <c r="AP697" s="34" t="s">
        <v>62</v>
      </c>
      <c r="AQ697" s="34" t="s">
        <v>62</v>
      </c>
      <c r="AR697" s="38">
        <v>0.0</v>
      </c>
      <c r="AS697" s="39" t="s">
        <v>2970</v>
      </c>
      <c r="AT697" s="38" t="s">
        <v>2202</v>
      </c>
      <c r="AU697" s="39" t="s">
        <v>2254</v>
      </c>
      <c r="AV697" s="40">
        <v>46170.0</v>
      </c>
    </row>
    <row r="698">
      <c r="A698" s="38">
        <v>113.0</v>
      </c>
      <c r="B698" s="38">
        <v>112.0</v>
      </c>
      <c r="C698" s="38">
        <v>112.0</v>
      </c>
      <c r="D698" s="38">
        <v>9.0201505E7</v>
      </c>
      <c r="E698" s="38">
        <v>9.0201505E7</v>
      </c>
      <c r="F698" s="38">
        <v>9.00771262E8</v>
      </c>
      <c r="G698" s="18" t="s">
        <v>1640</v>
      </c>
      <c r="H698" s="18" t="s">
        <v>2971</v>
      </c>
      <c r="I698" s="18" t="s">
        <v>863</v>
      </c>
      <c r="J698" s="18" t="s">
        <v>2205</v>
      </c>
      <c r="K698" s="18" t="s">
        <v>2205</v>
      </c>
      <c r="L698" s="18" t="s">
        <v>52</v>
      </c>
      <c r="M698" s="18" t="s">
        <v>89</v>
      </c>
      <c r="N698" s="18" t="s">
        <v>861</v>
      </c>
      <c r="O698" s="18" t="s">
        <v>126</v>
      </c>
      <c r="P698" s="18" t="s">
        <v>131</v>
      </c>
      <c r="Q698" s="18" t="s">
        <v>538</v>
      </c>
      <c r="R698" s="18" t="s">
        <v>133</v>
      </c>
      <c r="S698" s="18" t="s">
        <v>59</v>
      </c>
      <c r="T698" s="38">
        <v>2026.0</v>
      </c>
      <c r="U698" s="38">
        <v>5.0</v>
      </c>
      <c r="V698" s="38">
        <v>1.081522686E9</v>
      </c>
      <c r="W698" s="38">
        <v>1.081540756E9</v>
      </c>
      <c r="X698" s="18" t="s">
        <v>2199</v>
      </c>
      <c r="Y698" s="18" t="s">
        <v>2200</v>
      </c>
      <c r="Z698" s="38">
        <v>133089.58</v>
      </c>
      <c r="AA698" s="38">
        <v>133089.58</v>
      </c>
      <c r="AB698" s="38">
        <v>31676.0</v>
      </c>
      <c r="AC698" s="38">
        <v>0.0</v>
      </c>
      <c r="AD698" s="38">
        <v>38061.58</v>
      </c>
      <c r="AE698" s="38">
        <v>0.0</v>
      </c>
      <c r="AF698" s="38">
        <v>0.0</v>
      </c>
      <c r="AG698" s="38">
        <v>0.0</v>
      </c>
      <c r="AH698" s="38">
        <v>0.0</v>
      </c>
      <c r="AI698" s="38">
        <v>133089.58</v>
      </c>
      <c r="AJ698" s="38">
        <v>2528565.38</v>
      </c>
      <c r="AK698" s="38">
        <v>26.0</v>
      </c>
      <c r="AL698" s="38">
        <v>376.2</v>
      </c>
      <c r="AM698" s="38">
        <v>0.0</v>
      </c>
      <c r="AN698" s="34" t="s">
        <v>62</v>
      </c>
      <c r="AO698" s="34" t="s">
        <v>62</v>
      </c>
      <c r="AP698" s="34" t="s">
        <v>62</v>
      </c>
      <c r="AQ698" s="34" t="s">
        <v>62</v>
      </c>
      <c r="AR698" s="38">
        <v>0.0</v>
      </c>
      <c r="AS698" s="38" t="s">
        <v>2972</v>
      </c>
      <c r="AT698" s="35" t="s">
        <v>2202</v>
      </c>
      <c r="AU698" s="39" t="s">
        <v>2254</v>
      </c>
      <c r="AV698" s="40">
        <v>46170.0</v>
      </c>
    </row>
    <row r="699">
      <c r="A699" s="38">
        <v>113813.0</v>
      </c>
      <c r="B699" s="38">
        <v>113812.0</v>
      </c>
      <c r="C699" s="38">
        <v>113812.0</v>
      </c>
      <c r="D699" s="38">
        <v>601690.0</v>
      </c>
      <c r="E699" s="38">
        <v>601690.0</v>
      </c>
      <c r="F699" s="38">
        <v>8.8236233E7</v>
      </c>
      <c r="G699" s="18" t="s">
        <v>1642</v>
      </c>
      <c r="H699" s="18" t="s">
        <v>2973</v>
      </c>
      <c r="I699" s="18" t="s">
        <v>1050</v>
      </c>
      <c r="J699" s="18" t="s">
        <v>2205</v>
      </c>
      <c r="K699" s="18" t="s">
        <v>2205</v>
      </c>
      <c r="L699" s="18" t="s">
        <v>52</v>
      </c>
      <c r="M699" s="18" t="s">
        <v>89</v>
      </c>
      <c r="N699" s="18" t="s">
        <v>861</v>
      </c>
      <c r="O699" s="18" t="s">
        <v>126</v>
      </c>
      <c r="P699" s="18" t="s">
        <v>131</v>
      </c>
      <c r="Q699" s="18" t="s">
        <v>132</v>
      </c>
      <c r="R699" s="18" t="s">
        <v>133</v>
      </c>
      <c r="S699" s="18" t="s">
        <v>59</v>
      </c>
      <c r="T699" s="38">
        <v>2026.0</v>
      </c>
      <c r="U699" s="38">
        <v>5.0</v>
      </c>
      <c r="V699" s="38">
        <v>1.081523114E9</v>
      </c>
      <c r="W699" s="38">
        <v>1.081541184E9</v>
      </c>
      <c r="X699" s="18" t="s">
        <v>2199</v>
      </c>
      <c r="Y699" s="18" t="s">
        <v>2200</v>
      </c>
      <c r="Z699" s="38">
        <v>129410.58</v>
      </c>
      <c r="AA699" s="38">
        <v>129410.58</v>
      </c>
      <c r="AB699" s="38">
        <v>37970.5</v>
      </c>
      <c r="AC699" s="38">
        <v>0.0</v>
      </c>
      <c r="AD699" s="38">
        <v>15499.08</v>
      </c>
      <c r="AE699" s="38">
        <v>0.0</v>
      </c>
      <c r="AF699" s="38">
        <v>0.0</v>
      </c>
      <c r="AG699" s="38">
        <v>0.0</v>
      </c>
      <c r="AH699" s="38">
        <v>0.0</v>
      </c>
      <c r="AI699" s="38">
        <v>129410.58</v>
      </c>
      <c r="AJ699" s="38">
        <v>1083127.91</v>
      </c>
      <c r="AK699" s="38">
        <v>9.0</v>
      </c>
      <c r="AL699" s="38">
        <v>376.2</v>
      </c>
      <c r="AM699" s="38">
        <v>0.0</v>
      </c>
      <c r="AN699" s="34" t="s">
        <v>62</v>
      </c>
      <c r="AO699" s="34" t="s">
        <v>62</v>
      </c>
      <c r="AP699" s="34" t="s">
        <v>62</v>
      </c>
      <c r="AQ699" s="34" t="s">
        <v>62</v>
      </c>
      <c r="AR699" s="38">
        <v>0.0</v>
      </c>
      <c r="AS699" s="38" t="s">
        <v>2974</v>
      </c>
      <c r="AT699" s="35" t="s">
        <v>2202</v>
      </c>
      <c r="AU699" s="39" t="s">
        <v>2254</v>
      </c>
      <c r="AV699" s="40">
        <v>46170.0</v>
      </c>
    </row>
    <row r="700">
      <c r="A700" s="38">
        <v>455370.0</v>
      </c>
      <c r="B700" s="38">
        <v>116.0</v>
      </c>
      <c r="C700" s="38">
        <v>116.0</v>
      </c>
      <c r="D700" s="38">
        <v>9.0202723E7</v>
      </c>
      <c r="E700" s="38">
        <v>9.0202723E7</v>
      </c>
      <c r="F700" s="18" t="s">
        <v>148</v>
      </c>
      <c r="G700" s="18" t="s">
        <v>149</v>
      </c>
      <c r="H700" s="18" t="s">
        <v>2296</v>
      </c>
      <c r="I700" s="18" t="s">
        <v>1644</v>
      </c>
      <c r="J700" s="18" t="s">
        <v>2205</v>
      </c>
      <c r="K700" s="18" t="s">
        <v>2611</v>
      </c>
      <c r="L700" s="18" t="s">
        <v>52</v>
      </c>
      <c r="M700" s="18" t="s">
        <v>53</v>
      </c>
      <c r="N700" s="18" t="s">
        <v>861</v>
      </c>
      <c r="O700" s="18" t="s">
        <v>126</v>
      </c>
      <c r="P700" s="18" t="s">
        <v>56</v>
      </c>
      <c r="Q700" s="18" t="s">
        <v>57</v>
      </c>
      <c r="R700" s="18" t="s">
        <v>143</v>
      </c>
      <c r="S700" s="18" t="s">
        <v>59</v>
      </c>
      <c r="T700" s="38">
        <v>2026.0</v>
      </c>
      <c r="U700" s="38">
        <v>5.0</v>
      </c>
      <c r="V700" s="38">
        <v>1.081522693E9</v>
      </c>
      <c r="W700" s="38">
        <v>1.081540763E9</v>
      </c>
      <c r="X700" s="18" t="s">
        <v>2199</v>
      </c>
      <c r="Y700" s="18" t="s">
        <v>2200</v>
      </c>
      <c r="Z700" s="38">
        <v>93776.62</v>
      </c>
      <c r="AA700" s="38">
        <v>93776.62</v>
      </c>
      <c r="AB700" s="38">
        <v>0.0</v>
      </c>
      <c r="AC700" s="38">
        <v>293.0</v>
      </c>
      <c r="AD700" s="38">
        <v>0.0</v>
      </c>
      <c r="AE700" s="38">
        <v>0.0</v>
      </c>
      <c r="AF700" s="38">
        <v>0.0</v>
      </c>
      <c r="AG700" s="38">
        <v>0.0</v>
      </c>
      <c r="AH700" s="38">
        <v>0.0</v>
      </c>
      <c r="AI700" s="38">
        <v>93776.62</v>
      </c>
      <c r="AJ700" s="38">
        <v>348601.45</v>
      </c>
      <c r="AK700" s="38">
        <v>3.0</v>
      </c>
      <c r="AL700" s="38">
        <v>250.8</v>
      </c>
      <c r="AM700" s="38">
        <v>0.0</v>
      </c>
      <c r="AN700" s="34" t="s">
        <v>62</v>
      </c>
      <c r="AO700" s="34" t="s">
        <v>62</v>
      </c>
      <c r="AP700" s="34" t="s">
        <v>62</v>
      </c>
      <c r="AQ700" s="34" t="s">
        <v>62</v>
      </c>
      <c r="AR700" s="38">
        <v>0.0</v>
      </c>
      <c r="AS700" s="38" t="s">
        <v>2293</v>
      </c>
      <c r="AT700" s="35" t="s">
        <v>2294</v>
      </c>
      <c r="AU700" s="39" t="s">
        <v>2295</v>
      </c>
      <c r="AV700" s="40">
        <v>46164.0</v>
      </c>
    </row>
    <row r="701">
      <c r="A701" s="38">
        <v>280920.0</v>
      </c>
      <c r="B701" s="38">
        <v>117800.0</v>
      </c>
      <c r="C701" s="38">
        <v>117800.0</v>
      </c>
      <c r="D701" s="38">
        <v>624592.0</v>
      </c>
      <c r="E701" s="38">
        <v>624592.0</v>
      </c>
      <c r="F701" s="38">
        <v>9.00576569E8</v>
      </c>
      <c r="G701" s="18" t="s">
        <v>161</v>
      </c>
      <c r="H701" s="18" t="s">
        <v>2261</v>
      </c>
      <c r="I701" s="18" t="s">
        <v>1646</v>
      </c>
      <c r="J701" s="18" t="s">
        <v>2205</v>
      </c>
      <c r="K701" s="18" t="s">
        <v>2262</v>
      </c>
      <c r="L701" s="18" t="s">
        <v>52</v>
      </c>
      <c r="M701" s="18" t="s">
        <v>89</v>
      </c>
      <c r="N701" s="18" t="s">
        <v>861</v>
      </c>
      <c r="O701" s="18" t="s">
        <v>126</v>
      </c>
      <c r="P701" s="18" t="s">
        <v>56</v>
      </c>
      <c r="Q701" s="18" t="s">
        <v>90</v>
      </c>
      <c r="R701" s="18" t="s">
        <v>143</v>
      </c>
      <c r="S701" s="18" t="s">
        <v>59</v>
      </c>
      <c r="T701" s="38">
        <v>2026.0</v>
      </c>
      <c r="U701" s="38">
        <v>5.0</v>
      </c>
      <c r="V701" s="38">
        <v>1.081523118E9</v>
      </c>
      <c r="W701" s="38">
        <v>1.081541188E9</v>
      </c>
      <c r="X701" s="18" t="s">
        <v>2199</v>
      </c>
      <c r="Y701" s="18" t="s">
        <v>2200</v>
      </c>
      <c r="Z701" s="38">
        <v>462971.62</v>
      </c>
      <c r="AA701" s="38">
        <v>462971.62</v>
      </c>
      <c r="AB701" s="38">
        <v>143169.96</v>
      </c>
      <c r="AC701" s="38">
        <v>1307.5</v>
      </c>
      <c r="AD701" s="38">
        <v>33461.77</v>
      </c>
      <c r="AE701" s="38">
        <v>0.0</v>
      </c>
      <c r="AF701" s="38">
        <v>0.0</v>
      </c>
      <c r="AG701" s="38">
        <v>0.0</v>
      </c>
      <c r="AH701" s="38">
        <v>0.0</v>
      </c>
      <c r="AI701" s="38">
        <v>462971.62</v>
      </c>
      <c r="AJ701" s="38">
        <v>916403.17</v>
      </c>
      <c r="AK701" s="38">
        <v>1.0</v>
      </c>
      <c r="AL701" s="38">
        <v>376.2</v>
      </c>
      <c r="AM701" s="38">
        <v>0.0</v>
      </c>
      <c r="AN701" s="34" t="s">
        <v>62</v>
      </c>
      <c r="AO701" s="34" t="s">
        <v>62</v>
      </c>
      <c r="AP701" s="34" t="s">
        <v>62</v>
      </c>
      <c r="AQ701" s="34" t="s">
        <v>62</v>
      </c>
      <c r="AR701" s="38">
        <v>0.0</v>
      </c>
      <c r="AS701" s="38" t="s">
        <v>2263</v>
      </c>
      <c r="AT701" s="35" t="s">
        <v>2202</v>
      </c>
      <c r="AU701" s="39" t="s">
        <v>2203</v>
      </c>
      <c r="AV701" s="40">
        <v>46163.0</v>
      </c>
    </row>
    <row r="702">
      <c r="A702" s="38">
        <v>118733.0</v>
      </c>
      <c r="B702" s="38">
        <v>118732.0</v>
      </c>
      <c r="C702" s="38">
        <v>118732.0</v>
      </c>
      <c r="D702" s="38">
        <v>649426.0</v>
      </c>
      <c r="E702" s="38">
        <v>649426.0</v>
      </c>
      <c r="F702" s="38">
        <v>649426.0</v>
      </c>
      <c r="G702" s="18" t="s">
        <v>1648</v>
      </c>
      <c r="H702" s="18" t="s">
        <v>2975</v>
      </c>
      <c r="I702" s="18" t="s">
        <v>640</v>
      </c>
      <c r="J702" s="18" t="s">
        <v>2205</v>
      </c>
      <c r="K702" s="18" t="s">
        <v>2270</v>
      </c>
      <c r="L702" s="18" t="s">
        <v>52</v>
      </c>
      <c r="M702" s="18" t="s">
        <v>53</v>
      </c>
      <c r="N702" s="18" t="s">
        <v>861</v>
      </c>
      <c r="O702" s="18" t="s">
        <v>126</v>
      </c>
      <c r="P702" s="18" t="s">
        <v>131</v>
      </c>
      <c r="Q702" s="18" t="s">
        <v>538</v>
      </c>
      <c r="R702" s="18" t="s">
        <v>133</v>
      </c>
      <c r="S702" s="18" t="s">
        <v>59</v>
      </c>
      <c r="T702" s="38">
        <v>2026.0</v>
      </c>
      <c r="U702" s="38">
        <v>5.0</v>
      </c>
      <c r="V702" s="38">
        <v>1.081523125E9</v>
      </c>
      <c r="W702" s="38">
        <v>1.081541195E9</v>
      </c>
      <c r="X702" s="18" t="s">
        <v>2199</v>
      </c>
      <c r="Y702" s="18" t="s">
        <v>2200</v>
      </c>
      <c r="Z702" s="38">
        <v>279389.5</v>
      </c>
      <c r="AA702" s="38">
        <v>279389.5</v>
      </c>
      <c r="AB702" s="38">
        <v>32385.5</v>
      </c>
      <c r="AC702" s="38">
        <v>0.0</v>
      </c>
      <c r="AD702" s="38">
        <v>0.0</v>
      </c>
      <c r="AE702" s="38">
        <v>0.0</v>
      </c>
      <c r="AF702" s="38">
        <v>0.0</v>
      </c>
      <c r="AG702" s="38">
        <v>0.0</v>
      </c>
      <c r="AH702" s="38">
        <v>0.0</v>
      </c>
      <c r="AI702" s="38">
        <v>279389.5</v>
      </c>
      <c r="AJ702" s="38">
        <v>375689.5</v>
      </c>
      <c r="AK702" s="38">
        <v>1.0</v>
      </c>
      <c r="AL702" s="38">
        <v>188653.0</v>
      </c>
      <c r="AM702" s="38">
        <v>0.0</v>
      </c>
      <c r="AN702" s="34" t="s">
        <v>62</v>
      </c>
      <c r="AO702" s="34" t="s">
        <v>62</v>
      </c>
      <c r="AP702" s="34" t="s">
        <v>62</v>
      </c>
      <c r="AQ702" s="34" t="s">
        <v>62</v>
      </c>
      <c r="AR702" s="38">
        <v>0.0</v>
      </c>
      <c r="AS702" s="38" t="s">
        <v>2271</v>
      </c>
      <c r="AT702" s="38" t="s">
        <v>2202</v>
      </c>
      <c r="AU702" s="39" t="s">
        <v>2203</v>
      </c>
      <c r="AV702" s="40">
        <v>46163.0</v>
      </c>
    </row>
    <row r="703">
      <c r="A703" s="38">
        <v>121.0</v>
      </c>
      <c r="B703" s="38">
        <v>120.0</v>
      </c>
      <c r="C703" s="38">
        <v>120.0</v>
      </c>
      <c r="D703" s="38">
        <v>9.0205952E7</v>
      </c>
      <c r="E703" s="38">
        <v>9.0205952E7</v>
      </c>
      <c r="F703" s="38">
        <v>8.90501434E8</v>
      </c>
      <c r="G703" s="18" t="s">
        <v>1650</v>
      </c>
      <c r="H703" s="18" t="s">
        <v>2976</v>
      </c>
      <c r="I703" s="18" t="s">
        <v>869</v>
      </c>
      <c r="J703" s="18" t="s">
        <v>2205</v>
      </c>
      <c r="K703" s="18" t="s">
        <v>2611</v>
      </c>
      <c r="L703" s="18" t="s">
        <v>52</v>
      </c>
      <c r="M703" s="18" t="s">
        <v>89</v>
      </c>
      <c r="N703" s="18" t="s">
        <v>861</v>
      </c>
      <c r="O703" s="18" t="s">
        <v>126</v>
      </c>
      <c r="P703" s="18" t="s">
        <v>56</v>
      </c>
      <c r="Q703" s="18" t="s">
        <v>57</v>
      </c>
      <c r="R703" s="18" t="s">
        <v>143</v>
      </c>
      <c r="S703" s="18" t="s">
        <v>59</v>
      </c>
      <c r="T703" s="38">
        <v>2026.0</v>
      </c>
      <c r="U703" s="38">
        <v>5.0</v>
      </c>
      <c r="V703" s="38">
        <v>1.081522696E9</v>
      </c>
      <c r="W703" s="38">
        <v>1.081540766E9</v>
      </c>
      <c r="X703" s="18" t="s">
        <v>2199</v>
      </c>
      <c r="Y703" s="18" t="s">
        <v>2200</v>
      </c>
      <c r="Z703" s="38">
        <v>325346.04</v>
      </c>
      <c r="AA703" s="38">
        <v>325346.04</v>
      </c>
      <c r="AB703" s="38">
        <v>0.0</v>
      </c>
      <c r="AC703" s="38">
        <v>1513.0</v>
      </c>
      <c r="AD703" s="38">
        <v>0.0</v>
      </c>
      <c r="AE703" s="38">
        <v>0.0</v>
      </c>
      <c r="AF703" s="38">
        <v>0.0</v>
      </c>
      <c r="AG703" s="38">
        <v>0.0</v>
      </c>
      <c r="AH703" s="38">
        <v>0.0</v>
      </c>
      <c r="AI703" s="38">
        <v>325346.04</v>
      </c>
      <c r="AJ703" s="38">
        <v>806179.53</v>
      </c>
      <c r="AK703" s="38">
        <v>3.0</v>
      </c>
      <c r="AL703" s="38">
        <v>250.8</v>
      </c>
      <c r="AM703" s="38">
        <v>0.0</v>
      </c>
      <c r="AN703" s="34" t="s">
        <v>62</v>
      </c>
      <c r="AO703" s="34" t="s">
        <v>62</v>
      </c>
      <c r="AP703" s="34" t="s">
        <v>62</v>
      </c>
      <c r="AQ703" s="34" t="s">
        <v>62</v>
      </c>
      <c r="AR703" s="38">
        <v>0.0</v>
      </c>
      <c r="AS703" s="38" t="s">
        <v>2293</v>
      </c>
      <c r="AT703" s="35" t="s">
        <v>2294</v>
      </c>
      <c r="AU703" s="39" t="s">
        <v>2295</v>
      </c>
      <c r="AV703" s="40">
        <v>46164.0</v>
      </c>
    </row>
    <row r="704">
      <c r="A704" s="38">
        <v>285191.0</v>
      </c>
      <c r="B704" s="38">
        <v>122236.0</v>
      </c>
      <c r="C704" s="38">
        <v>122236.0</v>
      </c>
      <c r="D704" s="38">
        <v>1005855.0</v>
      </c>
      <c r="E704" s="38">
        <v>1005855.0</v>
      </c>
      <c r="F704" s="38">
        <v>9.00276962E8</v>
      </c>
      <c r="G704" s="18" t="s">
        <v>128</v>
      </c>
      <c r="H704" s="18" t="s">
        <v>2269</v>
      </c>
      <c r="I704" s="18" t="s">
        <v>902</v>
      </c>
      <c r="J704" s="18" t="s">
        <v>2205</v>
      </c>
      <c r="K704" s="18" t="s">
        <v>2270</v>
      </c>
      <c r="L704" s="18" t="s">
        <v>52</v>
      </c>
      <c r="M704" s="18" t="s">
        <v>89</v>
      </c>
      <c r="N704" s="18" t="s">
        <v>861</v>
      </c>
      <c r="O704" s="18" t="s">
        <v>126</v>
      </c>
      <c r="P704" s="18" t="s">
        <v>131</v>
      </c>
      <c r="Q704" s="18" t="s">
        <v>132</v>
      </c>
      <c r="R704" s="18" t="s">
        <v>133</v>
      </c>
      <c r="S704" s="18" t="s">
        <v>59</v>
      </c>
      <c r="T704" s="38">
        <v>2026.0</v>
      </c>
      <c r="U704" s="38">
        <v>5.0</v>
      </c>
      <c r="V704" s="38">
        <v>1.081523129E9</v>
      </c>
      <c r="W704" s="38">
        <v>1.081541199E9</v>
      </c>
      <c r="X704" s="18" t="s">
        <v>2199</v>
      </c>
      <c r="Y704" s="18" t="s">
        <v>2200</v>
      </c>
      <c r="Z704" s="38">
        <v>113911.5</v>
      </c>
      <c r="AA704" s="38">
        <v>113911.5</v>
      </c>
      <c r="AB704" s="38">
        <v>37970.5</v>
      </c>
      <c r="AC704" s="38">
        <v>0.0</v>
      </c>
      <c r="AD704" s="38">
        <v>0.0</v>
      </c>
      <c r="AE704" s="38">
        <v>0.0</v>
      </c>
      <c r="AF704" s="38">
        <v>0.0</v>
      </c>
      <c r="AG704" s="38">
        <v>0.0</v>
      </c>
      <c r="AH704" s="38">
        <v>0.0</v>
      </c>
      <c r="AI704" s="38">
        <v>113911.5</v>
      </c>
      <c r="AJ704" s="38">
        <v>113911.5</v>
      </c>
      <c r="AK704" s="38">
        <v>0.0</v>
      </c>
      <c r="AL704" s="38">
        <v>376.2</v>
      </c>
      <c r="AM704" s="38">
        <v>0.0</v>
      </c>
      <c r="AN704" s="34" t="s">
        <v>62</v>
      </c>
      <c r="AO704" s="34" t="s">
        <v>62</v>
      </c>
      <c r="AP704" s="34" t="s">
        <v>62</v>
      </c>
      <c r="AQ704" s="34" t="s">
        <v>62</v>
      </c>
      <c r="AR704" s="38">
        <v>0.0</v>
      </c>
      <c r="AS704" s="38" t="s">
        <v>2271</v>
      </c>
      <c r="AT704" s="35" t="s">
        <v>2202</v>
      </c>
      <c r="AU704" s="39" t="s">
        <v>2203</v>
      </c>
      <c r="AV704" s="40">
        <v>46163.0</v>
      </c>
    </row>
    <row r="705">
      <c r="A705" s="38">
        <v>285191.0</v>
      </c>
      <c r="B705" s="38">
        <v>122892.0</v>
      </c>
      <c r="C705" s="38">
        <v>122892.0</v>
      </c>
      <c r="D705" s="38">
        <v>91902.0</v>
      </c>
      <c r="E705" s="38">
        <v>91902.0</v>
      </c>
      <c r="F705" s="38">
        <v>9.00276962E8</v>
      </c>
      <c r="G705" s="18" t="s">
        <v>128</v>
      </c>
      <c r="H705" s="18" t="s">
        <v>2269</v>
      </c>
      <c r="I705" s="18" t="s">
        <v>1210</v>
      </c>
      <c r="J705" s="18" t="s">
        <v>2205</v>
      </c>
      <c r="K705" s="18" t="s">
        <v>2270</v>
      </c>
      <c r="L705" s="18" t="s">
        <v>52</v>
      </c>
      <c r="M705" s="18" t="s">
        <v>89</v>
      </c>
      <c r="N705" s="18" t="s">
        <v>861</v>
      </c>
      <c r="O705" s="18" t="s">
        <v>126</v>
      </c>
      <c r="P705" s="18" t="s">
        <v>131</v>
      </c>
      <c r="Q705" s="18" t="s">
        <v>132</v>
      </c>
      <c r="R705" s="18" t="s">
        <v>133</v>
      </c>
      <c r="S705" s="18" t="s">
        <v>59</v>
      </c>
      <c r="T705" s="38">
        <v>2026.0</v>
      </c>
      <c r="U705" s="38">
        <v>5.0</v>
      </c>
      <c r="V705" s="38">
        <v>1.081523131E9</v>
      </c>
      <c r="W705" s="38">
        <v>1.081541201E9</v>
      </c>
      <c r="X705" s="18" t="s">
        <v>2199</v>
      </c>
      <c r="Y705" s="18" t="s">
        <v>2200</v>
      </c>
      <c r="Z705" s="38">
        <v>113911.5</v>
      </c>
      <c r="AA705" s="38">
        <v>113911.5</v>
      </c>
      <c r="AB705" s="38">
        <v>37970.5</v>
      </c>
      <c r="AC705" s="38">
        <v>0.0</v>
      </c>
      <c r="AD705" s="38">
        <v>0.0</v>
      </c>
      <c r="AE705" s="38">
        <v>0.0</v>
      </c>
      <c r="AF705" s="38">
        <v>0.0</v>
      </c>
      <c r="AG705" s="38">
        <v>0.0</v>
      </c>
      <c r="AH705" s="38">
        <v>0.0</v>
      </c>
      <c r="AI705" s="38">
        <v>113911.5</v>
      </c>
      <c r="AJ705" s="38">
        <v>113912.5</v>
      </c>
      <c r="AK705" s="38">
        <v>1.0</v>
      </c>
      <c r="AL705" s="38">
        <v>376.2</v>
      </c>
      <c r="AM705" s="38">
        <v>0.0</v>
      </c>
      <c r="AN705" s="34" t="s">
        <v>62</v>
      </c>
      <c r="AO705" s="34" t="s">
        <v>62</v>
      </c>
      <c r="AP705" s="34" t="s">
        <v>62</v>
      </c>
      <c r="AQ705" s="34" t="s">
        <v>62</v>
      </c>
      <c r="AR705" s="38">
        <v>0.0</v>
      </c>
      <c r="AS705" s="38" t="s">
        <v>2271</v>
      </c>
      <c r="AT705" s="35" t="s">
        <v>2202</v>
      </c>
      <c r="AU705" s="39" t="s">
        <v>2203</v>
      </c>
      <c r="AV705" s="40">
        <v>46163.0</v>
      </c>
    </row>
    <row r="706">
      <c r="A706" s="38">
        <v>404633.0</v>
      </c>
      <c r="B706" s="38">
        <v>123132.0</v>
      </c>
      <c r="C706" s="38">
        <v>123132.0</v>
      </c>
      <c r="D706" s="38">
        <v>103228.0</v>
      </c>
      <c r="E706" s="38">
        <v>103228.0</v>
      </c>
      <c r="F706" s="38">
        <v>8.60002964E8</v>
      </c>
      <c r="G706" s="18" t="s">
        <v>705</v>
      </c>
      <c r="H706" s="18" t="s">
        <v>2526</v>
      </c>
      <c r="I706" s="18" t="s">
        <v>640</v>
      </c>
      <c r="J706" s="18" t="s">
        <v>2205</v>
      </c>
      <c r="K706" s="18" t="s">
        <v>2527</v>
      </c>
      <c r="L706" s="18" t="s">
        <v>52</v>
      </c>
      <c r="M706" s="18" t="s">
        <v>53</v>
      </c>
      <c r="N706" s="18" t="s">
        <v>861</v>
      </c>
      <c r="O706" s="18" t="s">
        <v>126</v>
      </c>
      <c r="P706" s="18" t="s">
        <v>131</v>
      </c>
      <c r="Q706" s="18" t="s">
        <v>363</v>
      </c>
      <c r="R706" s="18" t="s">
        <v>133</v>
      </c>
      <c r="S706" s="18" t="s">
        <v>59</v>
      </c>
      <c r="T706" s="38">
        <v>2026.0</v>
      </c>
      <c r="U706" s="38">
        <v>5.0</v>
      </c>
      <c r="V706" s="38">
        <v>1.081523135E9</v>
      </c>
      <c r="W706" s="38">
        <v>1.081541205E9</v>
      </c>
      <c r="X706" s="18" t="s">
        <v>2199</v>
      </c>
      <c r="Y706" s="18" t="s">
        <v>2200</v>
      </c>
      <c r="Z706" s="38">
        <v>76141.5</v>
      </c>
      <c r="AA706" s="38">
        <v>76141.5</v>
      </c>
      <c r="AB706" s="38">
        <v>25380.5</v>
      </c>
      <c r="AC706" s="38">
        <v>0.0</v>
      </c>
      <c r="AD706" s="38">
        <v>0.0</v>
      </c>
      <c r="AE706" s="38">
        <v>0.0</v>
      </c>
      <c r="AF706" s="38">
        <v>0.0</v>
      </c>
      <c r="AG706" s="38">
        <v>0.0</v>
      </c>
      <c r="AH706" s="38">
        <v>0.0</v>
      </c>
      <c r="AI706" s="38">
        <v>76141.5</v>
      </c>
      <c r="AJ706" s="38">
        <v>76141.5</v>
      </c>
      <c r="AK706" s="38">
        <v>0.0</v>
      </c>
      <c r="AL706" s="38">
        <v>376.2</v>
      </c>
      <c r="AM706" s="38">
        <v>0.0</v>
      </c>
      <c r="AN706" s="34" t="s">
        <v>62</v>
      </c>
      <c r="AO706" s="34" t="s">
        <v>62</v>
      </c>
      <c r="AP706" s="34" t="s">
        <v>62</v>
      </c>
      <c r="AQ706" s="34" t="s">
        <v>62</v>
      </c>
      <c r="AR706" s="38">
        <v>0.0</v>
      </c>
      <c r="AS706" s="38" t="s">
        <v>2528</v>
      </c>
      <c r="AT706" s="35" t="s">
        <v>2202</v>
      </c>
      <c r="AU706" s="39" t="s">
        <v>2203</v>
      </c>
      <c r="AV706" s="40">
        <v>46163.0</v>
      </c>
    </row>
    <row r="707">
      <c r="A707" s="38">
        <v>343.0</v>
      </c>
      <c r="B707" s="38">
        <v>124.0</v>
      </c>
      <c r="C707" s="38">
        <v>124.0</v>
      </c>
      <c r="D707" s="38">
        <v>9.0207279E7</v>
      </c>
      <c r="E707" s="38">
        <v>9.0207279E7</v>
      </c>
      <c r="F707" s="38">
        <v>8.00197268E8</v>
      </c>
      <c r="G707" s="18" t="s">
        <v>1282</v>
      </c>
      <c r="H707" s="18" t="s">
        <v>2672</v>
      </c>
      <c r="I707" s="18" t="s">
        <v>1519</v>
      </c>
      <c r="J707" s="18" t="s">
        <v>2205</v>
      </c>
      <c r="K707" s="18" t="s">
        <v>2673</v>
      </c>
      <c r="L707" s="18" t="s">
        <v>52</v>
      </c>
      <c r="M707" s="18" t="s">
        <v>89</v>
      </c>
      <c r="N707" s="18" t="s">
        <v>861</v>
      </c>
      <c r="O707" s="18" t="s">
        <v>126</v>
      </c>
      <c r="P707" s="18" t="s">
        <v>131</v>
      </c>
      <c r="Q707" s="18" t="s">
        <v>151</v>
      </c>
      <c r="R707" s="18" t="s">
        <v>133</v>
      </c>
      <c r="S707" s="18" t="s">
        <v>59</v>
      </c>
      <c r="T707" s="38">
        <v>2026.0</v>
      </c>
      <c r="U707" s="38">
        <v>5.0</v>
      </c>
      <c r="V707" s="38">
        <v>1.0815227E9</v>
      </c>
      <c r="W707" s="38">
        <v>1.08154077E9</v>
      </c>
      <c r="X707" s="18" t="s">
        <v>2199</v>
      </c>
      <c r="Y707" s="18" t="s">
        <v>2200</v>
      </c>
      <c r="Z707" s="38">
        <v>75941.0</v>
      </c>
      <c r="AA707" s="38">
        <v>75941.0</v>
      </c>
      <c r="AB707" s="38">
        <v>0.0</v>
      </c>
      <c r="AC707" s="38">
        <v>0.0</v>
      </c>
      <c r="AD707" s="38">
        <v>0.0</v>
      </c>
      <c r="AE707" s="38">
        <v>0.0</v>
      </c>
      <c r="AF707" s="38">
        <v>0.0</v>
      </c>
      <c r="AG707" s="38">
        <v>0.0</v>
      </c>
      <c r="AH707" s="38">
        <v>0.0</v>
      </c>
      <c r="AI707" s="38">
        <v>75941.0</v>
      </c>
      <c r="AJ707" s="38">
        <v>75941.0</v>
      </c>
      <c r="AK707" s="38">
        <v>0.0</v>
      </c>
      <c r="AL707" s="38">
        <v>250.8</v>
      </c>
      <c r="AM707" s="38">
        <v>0.0</v>
      </c>
      <c r="AN707" s="34" t="s">
        <v>62</v>
      </c>
      <c r="AO707" s="34" t="s">
        <v>62</v>
      </c>
      <c r="AP707" s="34" t="s">
        <v>62</v>
      </c>
      <c r="AQ707" s="34" t="s">
        <v>62</v>
      </c>
      <c r="AR707" s="38">
        <v>0.0</v>
      </c>
      <c r="AS707" s="38" t="s">
        <v>2674</v>
      </c>
      <c r="AT707" s="35" t="s">
        <v>2202</v>
      </c>
      <c r="AU707" s="39" t="s">
        <v>2203</v>
      </c>
      <c r="AV707" s="40">
        <v>46166.0</v>
      </c>
    </row>
    <row r="708">
      <c r="A708" s="38">
        <v>129.0</v>
      </c>
      <c r="B708" s="38">
        <v>128.0</v>
      </c>
      <c r="C708" s="38">
        <v>128.0</v>
      </c>
      <c r="D708" s="38">
        <v>9.020891E7</v>
      </c>
      <c r="E708" s="38">
        <v>9.020891E7</v>
      </c>
      <c r="F708" s="38">
        <v>8.90050477E8</v>
      </c>
      <c r="G708" s="18" t="s">
        <v>1449</v>
      </c>
      <c r="H708" s="18" t="s">
        <v>2977</v>
      </c>
      <c r="I708" s="18" t="s">
        <v>1450</v>
      </c>
      <c r="J708" s="18" t="s">
        <v>2205</v>
      </c>
      <c r="K708" s="18" t="s">
        <v>2611</v>
      </c>
      <c r="L708" s="18" t="s">
        <v>52</v>
      </c>
      <c r="M708" s="18" t="s">
        <v>89</v>
      </c>
      <c r="N708" s="18" t="s">
        <v>861</v>
      </c>
      <c r="O708" s="18" t="s">
        <v>126</v>
      </c>
      <c r="P708" s="18" t="s">
        <v>56</v>
      </c>
      <c r="Q708" s="18" t="s">
        <v>57</v>
      </c>
      <c r="R708" s="18" t="s">
        <v>143</v>
      </c>
      <c r="S708" s="18" t="s">
        <v>59</v>
      </c>
      <c r="T708" s="38">
        <v>2026.0</v>
      </c>
      <c r="U708" s="38">
        <v>5.0</v>
      </c>
      <c r="V708" s="38">
        <v>1.081522706E9</v>
      </c>
      <c r="W708" s="38">
        <v>1.081540776E9</v>
      </c>
      <c r="X708" s="18" t="s">
        <v>2199</v>
      </c>
      <c r="Y708" s="18" t="s">
        <v>2200</v>
      </c>
      <c r="Z708" s="38">
        <v>158312.36</v>
      </c>
      <c r="AA708" s="38">
        <v>158312.36</v>
      </c>
      <c r="AB708" s="38">
        <v>0.0</v>
      </c>
      <c r="AC708" s="38">
        <v>633.0</v>
      </c>
      <c r="AD708" s="38">
        <v>0.0</v>
      </c>
      <c r="AE708" s="38">
        <v>0.0</v>
      </c>
      <c r="AF708" s="38">
        <v>0.0</v>
      </c>
      <c r="AG708" s="38">
        <v>0.0</v>
      </c>
      <c r="AH708" s="38">
        <v>0.0</v>
      </c>
      <c r="AI708" s="38">
        <v>158312.36</v>
      </c>
      <c r="AJ708" s="38">
        <v>476123.21</v>
      </c>
      <c r="AK708" s="38">
        <v>3.0</v>
      </c>
      <c r="AL708" s="38">
        <v>250.8</v>
      </c>
      <c r="AM708" s="38">
        <v>0.0</v>
      </c>
      <c r="AN708" s="34" t="s">
        <v>62</v>
      </c>
      <c r="AO708" s="34" t="s">
        <v>62</v>
      </c>
      <c r="AP708" s="34" t="s">
        <v>62</v>
      </c>
      <c r="AQ708" s="34" t="s">
        <v>62</v>
      </c>
      <c r="AR708" s="38">
        <v>0.0</v>
      </c>
      <c r="AS708" s="38" t="s">
        <v>2293</v>
      </c>
      <c r="AT708" s="35" t="s">
        <v>2294</v>
      </c>
      <c r="AU708" s="39" t="s">
        <v>2295</v>
      </c>
      <c r="AV708" s="40">
        <v>46164.0</v>
      </c>
    </row>
    <row r="709">
      <c r="A709" s="38">
        <v>133.0</v>
      </c>
      <c r="B709" s="38">
        <v>132.0</v>
      </c>
      <c r="C709" s="38">
        <v>132.0</v>
      </c>
      <c r="D709" s="38">
        <v>9.0211962E7</v>
      </c>
      <c r="E709" s="38">
        <v>9.0211962E7</v>
      </c>
      <c r="F709" s="18" t="s">
        <v>1452</v>
      </c>
      <c r="G709" s="18" t="s">
        <v>1453</v>
      </c>
      <c r="H709" s="18" t="s">
        <v>2978</v>
      </c>
      <c r="I709" s="18" t="s">
        <v>1454</v>
      </c>
      <c r="J709" s="18" t="s">
        <v>2205</v>
      </c>
      <c r="K709" s="18" t="s">
        <v>2611</v>
      </c>
      <c r="L709" s="18" t="s">
        <v>52</v>
      </c>
      <c r="M709" s="18" t="s">
        <v>89</v>
      </c>
      <c r="N709" s="18" t="s">
        <v>861</v>
      </c>
      <c r="O709" s="18" t="s">
        <v>126</v>
      </c>
      <c r="P709" s="18" t="s">
        <v>56</v>
      </c>
      <c r="Q709" s="18" t="s">
        <v>57</v>
      </c>
      <c r="R709" s="18" t="s">
        <v>143</v>
      </c>
      <c r="S709" s="18" t="s">
        <v>59</v>
      </c>
      <c r="T709" s="38">
        <v>2026.0</v>
      </c>
      <c r="U709" s="38">
        <v>5.0</v>
      </c>
      <c r="V709" s="38">
        <v>1.08152271E9</v>
      </c>
      <c r="W709" s="38">
        <v>1.08154078E9</v>
      </c>
      <c r="X709" s="18" t="s">
        <v>2199</v>
      </c>
      <c r="Y709" s="18" t="s">
        <v>2200</v>
      </c>
      <c r="Z709" s="38">
        <v>153946.71</v>
      </c>
      <c r="AA709" s="38">
        <v>153946.71</v>
      </c>
      <c r="AB709" s="38">
        <v>0.0</v>
      </c>
      <c r="AC709" s="38">
        <v>610.0</v>
      </c>
      <c r="AD709" s="38">
        <v>0.0</v>
      </c>
      <c r="AE709" s="38">
        <v>0.0</v>
      </c>
      <c r="AF709" s="38">
        <v>0.0</v>
      </c>
      <c r="AG709" s="38">
        <v>0.0</v>
      </c>
      <c r="AH709" s="38">
        <v>0.0</v>
      </c>
      <c r="AI709" s="38">
        <v>153946.71</v>
      </c>
      <c r="AJ709" s="38">
        <v>598777.78</v>
      </c>
      <c r="AK709" s="38">
        <v>3.0</v>
      </c>
      <c r="AL709" s="38">
        <v>250.8</v>
      </c>
      <c r="AM709" s="38">
        <v>0.0</v>
      </c>
      <c r="AN709" s="34" t="s">
        <v>62</v>
      </c>
      <c r="AO709" s="34" t="s">
        <v>62</v>
      </c>
      <c r="AP709" s="34" t="s">
        <v>62</v>
      </c>
      <c r="AQ709" s="34" t="s">
        <v>62</v>
      </c>
      <c r="AR709" s="38">
        <v>0.0</v>
      </c>
      <c r="AS709" s="38" t="s">
        <v>2293</v>
      </c>
      <c r="AT709" s="35" t="s">
        <v>2294</v>
      </c>
      <c r="AU709" s="39" t="s">
        <v>2295</v>
      </c>
      <c r="AV709" s="40">
        <v>46164.0</v>
      </c>
    </row>
    <row r="710">
      <c r="A710" s="38">
        <v>137.0</v>
      </c>
      <c r="B710" s="38">
        <v>136.0</v>
      </c>
      <c r="C710" s="38">
        <v>136.0</v>
      </c>
      <c r="D710" s="38">
        <v>9.0213611E7</v>
      </c>
      <c r="E710" s="38">
        <v>9.0213611E7</v>
      </c>
      <c r="F710" s="18" t="s">
        <v>884</v>
      </c>
      <c r="G710" s="18" t="s">
        <v>1456</v>
      </c>
      <c r="H710" s="18" t="s">
        <v>2979</v>
      </c>
      <c r="I710" s="18" t="s">
        <v>882</v>
      </c>
      <c r="J710" s="18" t="s">
        <v>2205</v>
      </c>
      <c r="K710" s="18" t="s">
        <v>2611</v>
      </c>
      <c r="L710" s="18" t="s">
        <v>52</v>
      </c>
      <c r="M710" s="18" t="s">
        <v>89</v>
      </c>
      <c r="N710" s="18" t="s">
        <v>861</v>
      </c>
      <c r="O710" s="18" t="s">
        <v>126</v>
      </c>
      <c r="P710" s="18" t="s">
        <v>56</v>
      </c>
      <c r="Q710" s="18" t="s">
        <v>57</v>
      </c>
      <c r="R710" s="18" t="s">
        <v>143</v>
      </c>
      <c r="S710" s="18" t="s">
        <v>59</v>
      </c>
      <c r="T710" s="38">
        <v>2026.0</v>
      </c>
      <c r="U710" s="38">
        <v>5.0</v>
      </c>
      <c r="V710" s="38">
        <v>1.081522713E9</v>
      </c>
      <c r="W710" s="38">
        <v>1.081540783E9</v>
      </c>
      <c r="X710" s="18" t="s">
        <v>2199</v>
      </c>
      <c r="Y710" s="18" t="s">
        <v>2200</v>
      </c>
      <c r="Z710" s="38">
        <v>618604.04</v>
      </c>
      <c r="AA710" s="38">
        <v>618604.04</v>
      </c>
      <c r="AB710" s="38">
        <v>0.0</v>
      </c>
      <c r="AC710" s="38">
        <v>3058.0</v>
      </c>
      <c r="AD710" s="38">
        <v>0.0</v>
      </c>
      <c r="AE710" s="38">
        <v>0.0</v>
      </c>
      <c r="AF710" s="38">
        <v>0.0</v>
      </c>
      <c r="AG710" s="38">
        <v>0.0</v>
      </c>
      <c r="AH710" s="38">
        <v>0.0</v>
      </c>
      <c r="AI710" s="38">
        <v>618604.04</v>
      </c>
      <c r="AJ710" s="38">
        <v>1385653.42</v>
      </c>
      <c r="AK710" s="38">
        <v>3.0</v>
      </c>
      <c r="AL710" s="38">
        <v>250.8</v>
      </c>
      <c r="AM710" s="38">
        <v>0.0</v>
      </c>
      <c r="AN710" s="34" t="s">
        <v>62</v>
      </c>
      <c r="AO710" s="34" t="s">
        <v>62</v>
      </c>
      <c r="AP710" s="34" t="s">
        <v>62</v>
      </c>
      <c r="AQ710" s="34" t="s">
        <v>62</v>
      </c>
      <c r="AR710" s="38">
        <v>0.0</v>
      </c>
      <c r="AS710" s="38" t="s">
        <v>2293</v>
      </c>
      <c r="AT710" s="35" t="s">
        <v>2294</v>
      </c>
      <c r="AU710" s="39" t="s">
        <v>2295</v>
      </c>
      <c r="AV710" s="40">
        <v>46164.0</v>
      </c>
    </row>
    <row r="711">
      <c r="A711" s="38">
        <v>699.0</v>
      </c>
      <c r="B711" s="38">
        <v>13648.0</v>
      </c>
      <c r="C711" s="38">
        <v>13648.0</v>
      </c>
      <c r="D711" s="38">
        <v>14018.0</v>
      </c>
      <c r="E711" s="38">
        <v>14018.0</v>
      </c>
      <c r="F711" s="38">
        <v>9.00480569E8</v>
      </c>
      <c r="G711" s="18" t="s">
        <v>141</v>
      </c>
      <c r="H711" s="18" t="s">
        <v>2255</v>
      </c>
      <c r="I711" s="18" t="s">
        <v>915</v>
      </c>
      <c r="J711" s="18" t="s">
        <v>2205</v>
      </c>
      <c r="K711" s="18" t="s">
        <v>2256</v>
      </c>
      <c r="L711" s="18" t="s">
        <v>52</v>
      </c>
      <c r="M711" s="18" t="s">
        <v>53</v>
      </c>
      <c r="N711" s="18" t="s">
        <v>861</v>
      </c>
      <c r="O711" s="18" t="s">
        <v>126</v>
      </c>
      <c r="P711" s="18" t="s">
        <v>131</v>
      </c>
      <c r="Q711" s="18" t="s">
        <v>132</v>
      </c>
      <c r="R711" s="18" t="s">
        <v>133</v>
      </c>
      <c r="S711" s="18" t="s">
        <v>59</v>
      </c>
      <c r="T711" s="38">
        <v>2026.0</v>
      </c>
      <c r="U711" s="38">
        <v>5.0</v>
      </c>
      <c r="V711" s="38">
        <v>1.081523046E9</v>
      </c>
      <c r="W711" s="38">
        <v>1.081541116E9</v>
      </c>
      <c r="X711" s="18" t="s">
        <v>2199</v>
      </c>
      <c r="Y711" s="18" t="s">
        <v>2200</v>
      </c>
      <c r="Z711" s="38">
        <v>114313.87</v>
      </c>
      <c r="AA711" s="38">
        <v>114313.87</v>
      </c>
      <c r="AB711" s="38">
        <v>37970.5</v>
      </c>
      <c r="AC711" s="38">
        <v>0.0</v>
      </c>
      <c r="AD711" s="38">
        <v>402.37</v>
      </c>
      <c r="AE711" s="38">
        <v>0.0</v>
      </c>
      <c r="AF711" s="38">
        <v>0.0</v>
      </c>
      <c r="AG711" s="38">
        <v>0.0</v>
      </c>
      <c r="AH711" s="38">
        <v>0.0</v>
      </c>
      <c r="AI711" s="38">
        <v>114313.87</v>
      </c>
      <c r="AJ711" s="38">
        <v>226738.87</v>
      </c>
      <c r="AK711" s="38">
        <v>1.0</v>
      </c>
      <c r="AL711" s="38">
        <v>376.2</v>
      </c>
      <c r="AM711" s="38">
        <v>0.0</v>
      </c>
      <c r="AN711" s="34" t="s">
        <v>62</v>
      </c>
      <c r="AO711" s="34" t="s">
        <v>62</v>
      </c>
      <c r="AP711" s="34" t="s">
        <v>62</v>
      </c>
      <c r="AQ711" s="34" t="s">
        <v>62</v>
      </c>
      <c r="AR711" s="38">
        <v>0.0</v>
      </c>
      <c r="AS711" s="38" t="s">
        <v>2257</v>
      </c>
      <c r="AT711" s="35" t="s">
        <v>2202</v>
      </c>
      <c r="AU711" s="39" t="s">
        <v>2203</v>
      </c>
      <c r="AV711" s="40">
        <v>46163.0</v>
      </c>
    </row>
    <row r="712">
      <c r="A712" s="38">
        <v>141.0</v>
      </c>
      <c r="B712" s="38">
        <v>140.0</v>
      </c>
      <c r="C712" s="38">
        <v>140.0</v>
      </c>
      <c r="D712" s="38">
        <v>9.021488E7</v>
      </c>
      <c r="E712" s="38">
        <v>9.021488E7</v>
      </c>
      <c r="F712" s="38">
        <v>8.90500514E8</v>
      </c>
      <c r="G712" s="18" t="s">
        <v>145</v>
      </c>
      <c r="H712" s="18" t="s">
        <v>2266</v>
      </c>
      <c r="I712" s="18" t="s">
        <v>882</v>
      </c>
      <c r="J712" s="18" t="s">
        <v>2205</v>
      </c>
      <c r="K712" s="18" t="s">
        <v>2267</v>
      </c>
      <c r="L712" s="18" t="s">
        <v>52</v>
      </c>
      <c r="M712" s="18" t="s">
        <v>53</v>
      </c>
      <c r="N712" s="18" t="s">
        <v>861</v>
      </c>
      <c r="O712" s="18" t="s">
        <v>126</v>
      </c>
      <c r="P712" s="18" t="s">
        <v>131</v>
      </c>
      <c r="Q712" s="18" t="s">
        <v>363</v>
      </c>
      <c r="R712" s="18" t="s">
        <v>133</v>
      </c>
      <c r="S712" s="18" t="s">
        <v>59</v>
      </c>
      <c r="T712" s="38">
        <v>2026.0</v>
      </c>
      <c r="U712" s="38">
        <v>5.0</v>
      </c>
      <c r="V712" s="38">
        <v>1.081522717E9</v>
      </c>
      <c r="W712" s="38">
        <v>1.081540787E9</v>
      </c>
      <c r="X712" s="18" t="s">
        <v>2199</v>
      </c>
      <c r="Y712" s="18" t="s">
        <v>2200</v>
      </c>
      <c r="Z712" s="38">
        <v>76141.5</v>
      </c>
      <c r="AA712" s="38">
        <v>76141.5</v>
      </c>
      <c r="AB712" s="38">
        <v>25380.5</v>
      </c>
      <c r="AC712" s="38">
        <v>0.0</v>
      </c>
      <c r="AD712" s="38">
        <v>0.0</v>
      </c>
      <c r="AE712" s="38">
        <v>0.0</v>
      </c>
      <c r="AF712" s="38">
        <v>0.0</v>
      </c>
      <c r="AG712" s="38">
        <v>0.0</v>
      </c>
      <c r="AH712" s="38">
        <v>0.0</v>
      </c>
      <c r="AI712" s="38">
        <v>76141.5</v>
      </c>
      <c r="AJ712" s="38">
        <v>76141.5</v>
      </c>
      <c r="AK712" s="38">
        <v>0.0</v>
      </c>
      <c r="AL712" s="38">
        <v>376.2</v>
      </c>
      <c r="AM712" s="38">
        <v>0.0</v>
      </c>
      <c r="AN712" s="34" t="s">
        <v>62</v>
      </c>
      <c r="AO712" s="34" t="s">
        <v>62</v>
      </c>
      <c r="AP712" s="34" t="s">
        <v>62</v>
      </c>
      <c r="AQ712" s="34" t="s">
        <v>62</v>
      </c>
      <c r="AR712" s="38">
        <v>0.0</v>
      </c>
      <c r="AS712" s="38" t="s">
        <v>2268</v>
      </c>
      <c r="AT712" s="35" t="s">
        <v>2202</v>
      </c>
      <c r="AU712" s="39" t="s">
        <v>2203</v>
      </c>
      <c r="AV712" s="40">
        <v>46163.0</v>
      </c>
    </row>
    <row r="713">
      <c r="A713" s="38">
        <v>297.0</v>
      </c>
      <c r="B713" s="38">
        <v>144.0</v>
      </c>
      <c r="C713" s="38">
        <v>144.0</v>
      </c>
      <c r="D713" s="38">
        <v>9.0217208E7</v>
      </c>
      <c r="E713" s="38">
        <v>9.0217208E7</v>
      </c>
      <c r="F713" s="18" t="s">
        <v>135</v>
      </c>
      <c r="G713" s="18" t="s">
        <v>136</v>
      </c>
      <c r="H713" s="18" t="s">
        <v>2258</v>
      </c>
      <c r="I713" s="18" t="s">
        <v>1023</v>
      </c>
      <c r="J713" s="18" t="s">
        <v>2205</v>
      </c>
      <c r="K713" s="18" t="s">
        <v>2259</v>
      </c>
      <c r="L713" s="18" t="s">
        <v>52</v>
      </c>
      <c r="M713" s="18" t="s">
        <v>53</v>
      </c>
      <c r="N713" s="18" t="s">
        <v>861</v>
      </c>
      <c r="O713" s="18" t="s">
        <v>126</v>
      </c>
      <c r="P713" s="18" t="s">
        <v>131</v>
      </c>
      <c r="Q713" s="18" t="s">
        <v>151</v>
      </c>
      <c r="R713" s="18" t="s">
        <v>133</v>
      </c>
      <c r="S713" s="18" t="s">
        <v>59</v>
      </c>
      <c r="T713" s="38">
        <v>2026.0</v>
      </c>
      <c r="U713" s="38">
        <v>5.0</v>
      </c>
      <c r="V713" s="38">
        <v>1.081522723E9</v>
      </c>
      <c r="W713" s="38">
        <v>1.081540793E9</v>
      </c>
      <c r="X713" s="18" t="s">
        <v>2199</v>
      </c>
      <c r="Y713" s="18" t="s">
        <v>2200</v>
      </c>
      <c r="Z713" s="38">
        <v>75941.0</v>
      </c>
      <c r="AA713" s="38">
        <v>75941.0</v>
      </c>
      <c r="AB713" s="38">
        <v>0.0</v>
      </c>
      <c r="AC713" s="38">
        <v>0.0</v>
      </c>
      <c r="AD713" s="38">
        <v>0.0</v>
      </c>
      <c r="AE713" s="38">
        <v>0.0</v>
      </c>
      <c r="AF713" s="38">
        <v>0.0</v>
      </c>
      <c r="AG713" s="38">
        <v>0.0</v>
      </c>
      <c r="AH713" s="38">
        <v>0.0</v>
      </c>
      <c r="AI713" s="38">
        <v>75941.0</v>
      </c>
      <c r="AJ713" s="38">
        <v>75941.0</v>
      </c>
      <c r="AK713" s="38">
        <v>0.0</v>
      </c>
      <c r="AL713" s="38">
        <v>250.8</v>
      </c>
      <c r="AM713" s="38">
        <v>0.0</v>
      </c>
      <c r="AN713" s="34" t="s">
        <v>62</v>
      </c>
      <c r="AO713" s="34" t="s">
        <v>62</v>
      </c>
      <c r="AP713" s="34" t="s">
        <v>62</v>
      </c>
      <c r="AQ713" s="34" t="s">
        <v>62</v>
      </c>
      <c r="AR713" s="38">
        <v>0.0</v>
      </c>
      <c r="AS713" s="38" t="s">
        <v>2260</v>
      </c>
      <c r="AT713" s="35" t="s">
        <v>2202</v>
      </c>
      <c r="AU713" s="39" t="s">
        <v>2203</v>
      </c>
      <c r="AV713" s="40">
        <v>46164.0</v>
      </c>
    </row>
    <row r="714">
      <c r="A714" s="43">
        <v>149.0</v>
      </c>
      <c r="B714" s="43">
        <v>148.0</v>
      </c>
      <c r="C714" s="43">
        <v>148.0</v>
      </c>
      <c r="D714" s="43">
        <v>9.0217499E7</v>
      </c>
      <c r="E714" s="43">
        <v>9.0217499E7</v>
      </c>
      <c r="F714" s="44" t="s">
        <v>1461</v>
      </c>
      <c r="G714" s="44" t="s">
        <v>1462</v>
      </c>
      <c r="H714" s="44" t="s">
        <v>2980</v>
      </c>
      <c r="I714" s="44" t="s">
        <v>1023</v>
      </c>
      <c r="J714" s="44" t="s">
        <v>2205</v>
      </c>
      <c r="K714" s="44" t="s">
        <v>2205</v>
      </c>
      <c r="L714" s="44" t="s">
        <v>52</v>
      </c>
      <c r="M714" s="44" t="s">
        <v>89</v>
      </c>
      <c r="N714" s="44" t="s">
        <v>861</v>
      </c>
      <c r="O714" s="44" t="s">
        <v>126</v>
      </c>
      <c r="P714" s="44" t="s">
        <v>131</v>
      </c>
      <c r="Q714" s="44" t="s">
        <v>1111</v>
      </c>
      <c r="R714" s="44" t="s">
        <v>133</v>
      </c>
      <c r="S714" s="44" t="s">
        <v>59</v>
      </c>
      <c r="T714" s="43">
        <v>2026.0</v>
      </c>
      <c r="U714" s="43">
        <v>5.0</v>
      </c>
      <c r="V714" s="43">
        <v>1.081522725E9</v>
      </c>
      <c r="W714" s="43">
        <v>1.081540795E9</v>
      </c>
      <c r="X714" s="44" t="s">
        <v>2199</v>
      </c>
      <c r="Y714" s="44" t="s">
        <v>2200</v>
      </c>
      <c r="Z714" s="43">
        <v>50761.0</v>
      </c>
      <c r="AA714" s="43">
        <v>50761.0</v>
      </c>
      <c r="AB714" s="43">
        <v>0.0</v>
      </c>
      <c r="AC714" s="43">
        <v>0.0</v>
      </c>
      <c r="AD714" s="43">
        <v>0.0</v>
      </c>
      <c r="AE714" s="43">
        <v>0.0</v>
      </c>
      <c r="AF714" s="43">
        <v>0.0</v>
      </c>
      <c r="AG714" s="43">
        <v>0.0</v>
      </c>
      <c r="AH714" s="43">
        <v>0.0</v>
      </c>
      <c r="AI714" s="43">
        <v>50761.0</v>
      </c>
      <c r="AJ714" s="43">
        <v>278423.0</v>
      </c>
      <c r="AK714" s="43">
        <v>5.0</v>
      </c>
      <c r="AL714" s="43">
        <v>250.8</v>
      </c>
      <c r="AM714" s="43">
        <v>0.0</v>
      </c>
      <c r="AN714" s="45" t="s">
        <v>62</v>
      </c>
      <c r="AO714" s="45" t="s">
        <v>62</v>
      </c>
      <c r="AP714" s="45" t="s">
        <v>62</v>
      </c>
      <c r="AQ714" s="45" t="s">
        <v>62</v>
      </c>
      <c r="AR714" s="43">
        <v>0.0</v>
      </c>
      <c r="AS714" s="43" t="s">
        <v>2981</v>
      </c>
      <c r="AT714" s="48" t="s">
        <v>2202</v>
      </c>
      <c r="AU714" s="39" t="s">
        <v>2254</v>
      </c>
      <c r="AV714" s="40">
        <v>46171.0</v>
      </c>
    </row>
    <row r="715">
      <c r="A715" s="38">
        <v>455370.0</v>
      </c>
      <c r="B715" s="38">
        <v>156.0</v>
      </c>
      <c r="C715" s="38">
        <v>156.0</v>
      </c>
      <c r="D715" s="38">
        <v>9.021859E7</v>
      </c>
      <c r="E715" s="38">
        <v>9.021859E7</v>
      </c>
      <c r="F715" s="18" t="s">
        <v>148</v>
      </c>
      <c r="G715" s="18" t="s">
        <v>149</v>
      </c>
      <c r="H715" s="18" t="s">
        <v>2296</v>
      </c>
      <c r="I715" s="18" t="s">
        <v>1464</v>
      </c>
      <c r="J715" s="18" t="s">
        <v>2205</v>
      </c>
      <c r="K715" s="18" t="s">
        <v>2611</v>
      </c>
      <c r="L715" s="18" t="s">
        <v>52</v>
      </c>
      <c r="M715" s="18" t="s">
        <v>53</v>
      </c>
      <c r="N715" s="18" t="s">
        <v>861</v>
      </c>
      <c r="O715" s="18" t="s">
        <v>126</v>
      </c>
      <c r="P715" s="18" t="s">
        <v>56</v>
      </c>
      <c r="Q715" s="18" t="s">
        <v>57</v>
      </c>
      <c r="R715" s="18" t="s">
        <v>143</v>
      </c>
      <c r="S715" s="18" t="s">
        <v>59</v>
      </c>
      <c r="T715" s="38">
        <v>2026.0</v>
      </c>
      <c r="U715" s="38">
        <v>5.0</v>
      </c>
      <c r="V715" s="38">
        <v>1.08152273E9</v>
      </c>
      <c r="W715" s="38">
        <v>1.0815408E9</v>
      </c>
      <c r="X715" s="18" t="s">
        <v>2199</v>
      </c>
      <c r="Y715" s="18" t="s">
        <v>2200</v>
      </c>
      <c r="Z715" s="38">
        <v>379821.8</v>
      </c>
      <c r="AA715" s="38">
        <v>379821.8</v>
      </c>
      <c r="AB715" s="38">
        <v>0.0</v>
      </c>
      <c r="AC715" s="38">
        <v>1800.0</v>
      </c>
      <c r="AD715" s="38">
        <v>0.0</v>
      </c>
      <c r="AE715" s="38">
        <v>0.0</v>
      </c>
      <c r="AF715" s="38">
        <v>0.0</v>
      </c>
      <c r="AG715" s="38">
        <v>0.0</v>
      </c>
      <c r="AH715" s="38">
        <v>0.0</v>
      </c>
      <c r="AI715" s="38">
        <v>379821.8</v>
      </c>
      <c r="AJ715" s="38">
        <v>913822.9</v>
      </c>
      <c r="AK715" s="38">
        <v>3.0</v>
      </c>
      <c r="AL715" s="38">
        <v>250.8</v>
      </c>
      <c r="AM715" s="38">
        <v>0.0</v>
      </c>
      <c r="AN715" s="34" t="s">
        <v>62</v>
      </c>
      <c r="AO715" s="34" t="s">
        <v>62</v>
      </c>
      <c r="AP715" s="34" t="s">
        <v>62</v>
      </c>
      <c r="AQ715" s="34" t="s">
        <v>62</v>
      </c>
      <c r="AR715" s="38">
        <v>0.0</v>
      </c>
      <c r="AS715" s="38" t="s">
        <v>2293</v>
      </c>
      <c r="AT715" s="35" t="s">
        <v>2294</v>
      </c>
      <c r="AU715" s="39" t="s">
        <v>2295</v>
      </c>
      <c r="AV715" s="40">
        <v>46164.0</v>
      </c>
    </row>
    <row r="716">
      <c r="A716" s="38">
        <v>455370.0</v>
      </c>
      <c r="B716" s="38">
        <v>164.0</v>
      </c>
      <c r="C716" s="38">
        <v>164.0</v>
      </c>
      <c r="D716" s="38">
        <v>9.0219919E7</v>
      </c>
      <c r="E716" s="38">
        <v>9.0219919E7</v>
      </c>
      <c r="F716" s="18" t="s">
        <v>148</v>
      </c>
      <c r="G716" s="18" t="s">
        <v>149</v>
      </c>
      <c r="H716" s="18" t="s">
        <v>2296</v>
      </c>
      <c r="I716" s="18" t="s">
        <v>902</v>
      </c>
      <c r="J716" s="18" t="s">
        <v>2205</v>
      </c>
      <c r="K716" s="18" t="s">
        <v>2611</v>
      </c>
      <c r="L716" s="18" t="s">
        <v>52</v>
      </c>
      <c r="M716" s="18" t="s">
        <v>53</v>
      </c>
      <c r="N716" s="18" t="s">
        <v>861</v>
      </c>
      <c r="O716" s="18" t="s">
        <v>126</v>
      </c>
      <c r="P716" s="18" t="s">
        <v>56</v>
      </c>
      <c r="Q716" s="18" t="s">
        <v>57</v>
      </c>
      <c r="R716" s="18" t="s">
        <v>143</v>
      </c>
      <c r="S716" s="18" t="s">
        <v>59</v>
      </c>
      <c r="T716" s="38">
        <v>2026.0</v>
      </c>
      <c r="U716" s="38">
        <v>5.0</v>
      </c>
      <c r="V716" s="38">
        <v>1.081522734E9</v>
      </c>
      <c r="W716" s="38">
        <v>1.081540804E9</v>
      </c>
      <c r="X716" s="18" t="s">
        <v>2199</v>
      </c>
      <c r="Y716" s="18" t="s">
        <v>2200</v>
      </c>
      <c r="Z716" s="38">
        <v>294406.85</v>
      </c>
      <c r="AA716" s="38">
        <v>294406.85</v>
      </c>
      <c r="AB716" s="38">
        <v>0.0</v>
      </c>
      <c r="AC716" s="38">
        <v>1350.0</v>
      </c>
      <c r="AD716" s="38">
        <v>0.0</v>
      </c>
      <c r="AE716" s="38">
        <v>0.0</v>
      </c>
      <c r="AF716" s="38">
        <v>0.0</v>
      </c>
      <c r="AG716" s="38">
        <v>0.0</v>
      </c>
      <c r="AH716" s="38">
        <v>0.0</v>
      </c>
      <c r="AI716" s="38">
        <v>294406.85</v>
      </c>
      <c r="AJ716" s="38">
        <v>745044.1</v>
      </c>
      <c r="AK716" s="38">
        <v>3.0</v>
      </c>
      <c r="AL716" s="38">
        <v>250.8</v>
      </c>
      <c r="AM716" s="38">
        <v>0.0</v>
      </c>
      <c r="AN716" s="34" t="s">
        <v>62</v>
      </c>
      <c r="AO716" s="34" t="s">
        <v>62</v>
      </c>
      <c r="AP716" s="34" t="s">
        <v>62</v>
      </c>
      <c r="AQ716" s="34" t="s">
        <v>62</v>
      </c>
      <c r="AR716" s="38">
        <v>0.0</v>
      </c>
      <c r="AS716" s="38" t="s">
        <v>2293</v>
      </c>
      <c r="AT716" s="35" t="s">
        <v>2294</v>
      </c>
      <c r="AU716" s="39" t="s">
        <v>2295</v>
      </c>
      <c r="AV716" s="40">
        <v>46164.0</v>
      </c>
    </row>
    <row r="717">
      <c r="A717" s="38">
        <v>169.0</v>
      </c>
      <c r="B717" s="38">
        <v>168.0</v>
      </c>
      <c r="C717" s="38">
        <v>168.0</v>
      </c>
      <c r="D717" s="38">
        <v>9.0221386E7</v>
      </c>
      <c r="E717" s="38">
        <v>9.0221386E7</v>
      </c>
      <c r="F717" s="18" t="s">
        <v>1467</v>
      </c>
      <c r="G717" s="18" t="s">
        <v>1468</v>
      </c>
      <c r="H717" s="18" t="s">
        <v>2982</v>
      </c>
      <c r="I717" s="18" t="s">
        <v>915</v>
      </c>
      <c r="J717" s="18" t="s">
        <v>2205</v>
      </c>
      <c r="K717" s="18" t="s">
        <v>2205</v>
      </c>
      <c r="L717" s="18" t="s">
        <v>52</v>
      </c>
      <c r="M717" s="18" t="s">
        <v>89</v>
      </c>
      <c r="N717" s="18" t="s">
        <v>861</v>
      </c>
      <c r="O717" s="18" t="s">
        <v>126</v>
      </c>
      <c r="P717" s="18" t="s">
        <v>56</v>
      </c>
      <c r="Q717" s="18" t="s">
        <v>57</v>
      </c>
      <c r="R717" s="18" t="s">
        <v>143</v>
      </c>
      <c r="S717" s="18" t="s">
        <v>59</v>
      </c>
      <c r="T717" s="38">
        <v>2026.0</v>
      </c>
      <c r="U717" s="38">
        <v>5.0</v>
      </c>
      <c r="V717" s="38">
        <v>1.081522738E9</v>
      </c>
      <c r="W717" s="38">
        <v>1.081540808E9</v>
      </c>
      <c r="X717" s="18" t="s">
        <v>2199</v>
      </c>
      <c r="Y717" s="18" t="s">
        <v>2200</v>
      </c>
      <c r="Z717" s="38">
        <v>146828.81</v>
      </c>
      <c r="AA717" s="38">
        <v>146828.81</v>
      </c>
      <c r="AB717" s="38">
        <v>0.0</v>
      </c>
      <c r="AC717" s="38">
        <v>572.5</v>
      </c>
      <c r="AD717" s="38">
        <v>0.0</v>
      </c>
      <c r="AE717" s="38">
        <v>0.0</v>
      </c>
      <c r="AF717" s="38">
        <v>0.0</v>
      </c>
      <c r="AG717" s="38">
        <v>0.0</v>
      </c>
      <c r="AH717" s="38">
        <v>0.0</v>
      </c>
      <c r="AI717" s="38">
        <v>146828.81</v>
      </c>
      <c r="AJ717" s="38">
        <v>146828.81</v>
      </c>
      <c r="AK717" s="38">
        <v>0.0</v>
      </c>
      <c r="AL717" s="38">
        <v>250.8</v>
      </c>
      <c r="AM717" s="38">
        <v>0.0</v>
      </c>
      <c r="AN717" s="34" t="s">
        <v>62</v>
      </c>
      <c r="AO717" s="34" t="s">
        <v>62</v>
      </c>
      <c r="AP717" s="34" t="s">
        <v>62</v>
      </c>
      <c r="AQ717" s="34" t="s">
        <v>62</v>
      </c>
      <c r="AR717" s="38">
        <v>0.0</v>
      </c>
      <c r="AS717" s="38" t="s">
        <v>2983</v>
      </c>
      <c r="AT717" s="35" t="s">
        <v>2202</v>
      </c>
      <c r="AU717" s="39" t="s">
        <v>2203</v>
      </c>
      <c r="AV717" s="40">
        <v>46171.0</v>
      </c>
    </row>
    <row r="718">
      <c r="A718" s="38">
        <v>173.0</v>
      </c>
      <c r="B718" s="38">
        <v>172.0</v>
      </c>
      <c r="C718" s="38">
        <v>172.0</v>
      </c>
      <c r="D718" s="38">
        <v>9.0221839E7</v>
      </c>
      <c r="E718" s="38">
        <v>9.0221839E7</v>
      </c>
      <c r="F718" s="18" t="s">
        <v>1470</v>
      </c>
      <c r="G718" s="18" t="s">
        <v>1471</v>
      </c>
      <c r="H718" s="18" t="s">
        <v>2984</v>
      </c>
      <c r="I718" s="38">
        <v>0.0</v>
      </c>
      <c r="J718" s="18" t="s">
        <v>2205</v>
      </c>
      <c r="K718" s="18" t="s">
        <v>2205</v>
      </c>
      <c r="L718" s="18" t="s">
        <v>52</v>
      </c>
      <c r="M718" s="18" t="s">
        <v>89</v>
      </c>
      <c r="N718" s="18" t="s">
        <v>861</v>
      </c>
      <c r="O718" s="18" t="s">
        <v>126</v>
      </c>
      <c r="P718" s="18" t="s">
        <v>56</v>
      </c>
      <c r="Q718" s="18" t="s">
        <v>57</v>
      </c>
      <c r="R718" s="18" t="s">
        <v>58</v>
      </c>
      <c r="S718" s="18" t="s">
        <v>59</v>
      </c>
      <c r="T718" s="38">
        <v>2026.0</v>
      </c>
      <c r="U718" s="38">
        <v>5.0</v>
      </c>
      <c r="V718" s="38">
        <v>1.081522741E9</v>
      </c>
      <c r="W718" s="38">
        <v>1.081540811E9</v>
      </c>
      <c r="X718" s="18" t="s">
        <v>2199</v>
      </c>
      <c r="Y718" s="18" t="s">
        <v>2200</v>
      </c>
      <c r="Z718" s="38">
        <v>1.223733145E7</v>
      </c>
      <c r="AA718" s="38">
        <v>1.223733145E7</v>
      </c>
      <c r="AB718" s="38">
        <v>0.0</v>
      </c>
      <c r="AC718" s="38">
        <v>59950.0</v>
      </c>
      <c r="AD718" s="38">
        <v>0.0</v>
      </c>
      <c r="AE718" s="38">
        <v>0.0</v>
      </c>
      <c r="AF718" s="38">
        <v>0.0</v>
      </c>
      <c r="AG718" s="38">
        <v>0.0</v>
      </c>
      <c r="AH718" s="38">
        <v>0.0</v>
      </c>
      <c r="AI718" s="38">
        <v>1.223733145E7</v>
      </c>
      <c r="AJ718" s="38">
        <v>1.223733145E7</v>
      </c>
      <c r="AK718" s="38">
        <v>0.0</v>
      </c>
      <c r="AL718" s="38">
        <v>820250.8</v>
      </c>
      <c r="AM718" s="38">
        <v>0.0</v>
      </c>
      <c r="AN718" s="34" t="s">
        <v>62</v>
      </c>
      <c r="AO718" s="34" t="s">
        <v>62</v>
      </c>
      <c r="AP718" s="34" t="s">
        <v>62</v>
      </c>
      <c r="AQ718" s="34" t="s">
        <v>62</v>
      </c>
      <c r="AR718" s="38">
        <v>0.0</v>
      </c>
      <c r="AS718" s="38" t="s">
        <v>2985</v>
      </c>
      <c r="AT718" s="35" t="s">
        <v>2202</v>
      </c>
      <c r="AU718" s="39" t="s">
        <v>2203</v>
      </c>
      <c r="AV718" s="40">
        <v>46171.0</v>
      </c>
    </row>
    <row r="719">
      <c r="A719" s="38">
        <v>147.0</v>
      </c>
      <c r="B719" s="38">
        <v>184.0</v>
      </c>
      <c r="C719" s="38">
        <v>184.0</v>
      </c>
      <c r="D719" s="38">
        <v>9.0226155E7</v>
      </c>
      <c r="E719" s="38">
        <v>9.0226155E7</v>
      </c>
      <c r="F719" s="18" t="s">
        <v>179</v>
      </c>
      <c r="G719" s="18" t="s">
        <v>180</v>
      </c>
      <c r="H719" s="18" t="s">
        <v>2320</v>
      </c>
      <c r="I719" s="18" t="s">
        <v>910</v>
      </c>
      <c r="J719" s="18" t="s">
        <v>2205</v>
      </c>
      <c r="K719" s="18" t="s">
        <v>2289</v>
      </c>
      <c r="L719" s="18" t="s">
        <v>52</v>
      </c>
      <c r="M719" s="18" t="s">
        <v>89</v>
      </c>
      <c r="N719" s="18" t="s">
        <v>861</v>
      </c>
      <c r="O719" s="18" t="s">
        <v>126</v>
      </c>
      <c r="P719" s="18" t="s">
        <v>131</v>
      </c>
      <c r="Q719" s="18" t="s">
        <v>151</v>
      </c>
      <c r="R719" s="18" t="s">
        <v>133</v>
      </c>
      <c r="S719" s="18" t="s">
        <v>59</v>
      </c>
      <c r="T719" s="38">
        <v>2026.0</v>
      </c>
      <c r="U719" s="38">
        <v>5.0</v>
      </c>
      <c r="V719" s="38">
        <v>1.081522746E9</v>
      </c>
      <c r="W719" s="38">
        <v>1.081540816E9</v>
      </c>
      <c r="X719" s="18" t="s">
        <v>2199</v>
      </c>
      <c r="Y719" s="18" t="s">
        <v>2200</v>
      </c>
      <c r="Z719" s="38">
        <v>75941.0</v>
      </c>
      <c r="AA719" s="38">
        <v>75941.0</v>
      </c>
      <c r="AB719" s="38">
        <v>0.0</v>
      </c>
      <c r="AC719" s="38">
        <v>0.0</v>
      </c>
      <c r="AD719" s="38">
        <v>0.0</v>
      </c>
      <c r="AE719" s="38">
        <v>0.0</v>
      </c>
      <c r="AF719" s="38">
        <v>0.0</v>
      </c>
      <c r="AG719" s="38">
        <v>0.0</v>
      </c>
      <c r="AH719" s="38">
        <v>0.0</v>
      </c>
      <c r="AI719" s="38">
        <v>75941.0</v>
      </c>
      <c r="AJ719" s="38">
        <v>150891.0</v>
      </c>
      <c r="AK719" s="38">
        <v>1.0</v>
      </c>
      <c r="AL719" s="38">
        <v>250.8</v>
      </c>
      <c r="AM719" s="38">
        <v>0.0</v>
      </c>
      <c r="AN719" s="34" t="s">
        <v>62</v>
      </c>
      <c r="AO719" s="34" t="s">
        <v>62</v>
      </c>
      <c r="AP719" s="34" t="s">
        <v>62</v>
      </c>
      <c r="AQ719" s="34" t="s">
        <v>62</v>
      </c>
      <c r="AR719" s="38">
        <v>0.0</v>
      </c>
      <c r="AS719" s="38" t="s">
        <v>2321</v>
      </c>
      <c r="AT719" s="35" t="s">
        <v>2202</v>
      </c>
      <c r="AU719" s="39" t="s">
        <v>2203</v>
      </c>
      <c r="AV719" s="40">
        <v>46163.0</v>
      </c>
    </row>
    <row r="720">
      <c r="A720" s="38">
        <v>455370.0</v>
      </c>
      <c r="B720" s="38">
        <v>188.0</v>
      </c>
      <c r="C720" s="38">
        <v>188.0</v>
      </c>
      <c r="D720" s="38">
        <v>9.0226607E7</v>
      </c>
      <c r="E720" s="38">
        <v>9.0226607E7</v>
      </c>
      <c r="F720" s="18" t="s">
        <v>148</v>
      </c>
      <c r="G720" s="18" t="s">
        <v>149</v>
      </c>
      <c r="H720" s="18" t="s">
        <v>2296</v>
      </c>
      <c r="I720" s="18" t="s">
        <v>910</v>
      </c>
      <c r="J720" s="18" t="s">
        <v>2205</v>
      </c>
      <c r="K720" s="18" t="s">
        <v>2611</v>
      </c>
      <c r="L720" s="18" t="s">
        <v>52</v>
      </c>
      <c r="M720" s="18" t="s">
        <v>53</v>
      </c>
      <c r="N720" s="18" t="s">
        <v>861</v>
      </c>
      <c r="O720" s="18" t="s">
        <v>126</v>
      </c>
      <c r="P720" s="18" t="s">
        <v>56</v>
      </c>
      <c r="Q720" s="18" t="s">
        <v>57</v>
      </c>
      <c r="R720" s="18" t="s">
        <v>143</v>
      </c>
      <c r="S720" s="18" t="s">
        <v>59</v>
      </c>
      <c r="T720" s="38">
        <v>2026.0</v>
      </c>
      <c r="U720" s="38">
        <v>5.0</v>
      </c>
      <c r="V720" s="38">
        <v>1.08152275E9</v>
      </c>
      <c r="W720" s="38">
        <v>1.08154082E9</v>
      </c>
      <c r="X720" s="18" t="s">
        <v>2199</v>
      </c>
      <c r="Y720" s="18" t="s">
        <v>2200</v>
      </c>
      <c r="Z720" s="38">
        <v>341859.6</v>
      </c>
      <c r="AA720" s="38">
        <v>341859.6</v>
      </c>
      <c r="AB720" s="38">
        <v>0.0</v>
      </c>
      <c r="AC720" s="38">
        <v>1600.0</v>
      </c>
      <c r="AD720" s="38">
        <v>0.0</v>
      </c>
      <c r="AE720" s="38">
        <v>0.0</v>
      </c>
      <c r="AF720" s="38">
        <v>0.0</v>
      </c>
      <c r="AG720" s="38">
        <v>0.0</v>
      </c>
      <c r="AH720" s="38">
        <v>0.0</v>
      </c>
      <c r="AI720" s="38">
        <v>341859.6</v>
      </c>
      <c r="AJ720" s="38">
        <v>838810.1</v>
      </c>
      <c r="AK720" s="38">
        <v>3.0</v>
      </c>
      <c r="AL720" s="38">
        <v>250.8</v>
      </c>
      <c r="AM720" s="38">
        <v>0.0</v>
      </c>
      <c r="AN720" s="34" t="s">
        <v>62</v>
      </c>
      <c r="AO720" s="34" t="s">
        <v>62</v>
      </c>
      <c r="AP720" s="34" t="s">
        <v>62</v>
      </c>
      <c r="AQ720" s="34" t="s">
        <v>62</v>
      </c>
      <c r="AR720" s="38">
        <v>0.0</v>
      </c>
      <c r="AS720" s="38" t="s">
        <v>2293</v>
      </c>
      <c r="AT720" s="35" t="s">
        <v>2294</v>
      </c>
      <c r="AU720" s="39" t="s">
        <v>2295</v>
      </c>
      <c r="AV720" s="40">
        <v>46164.0</v>
      </c>
    </row>
    <row r="721">
      <c r="A721" s="38">
        <v>193.0</v>
      </c>
      <c r="B721" s="38">
        <v>192.0</v>
      </c>
      <c r="C721" s="38">
        <v>192.0</v>
      </c>
      <c r="D721" s="38">
        <v>9.0229833E7</v>
      </c>
      <c r="E721" s="38">
        <v>9.0229833E7</v>
      </c>
      <c r="F721" s="38">
        <v>8.0017689E8</v>
      </c>
      <c r="G721" s="18" t="s">
        <v>1475</v>
      </c>
      <c r="H721" s="18" t="s">
        <v>2986</v>
      </c>
      <c r="I721" s="18" t="s">
        <v>915</v>
      </c>
      <c r="J721" s="18" t="s">
        <v>2205</v>
      </c>
      <c r="K721" s="18" t="s">
        <v>2987</v>
      </c>
      <c r="L721" s="18" t="s">
        <v>52</v>
      </c>
      <c r="M721" s="18" t="s">
        <v>89</v>
      </c>
      <c r="N721" s="18" t="s">
        <v>861</v>
      </c>
      <c r="O721" s="18" t="s">
        <v>126</v>
      </c>
      <c r="P721" s="18" t="s">
        <v>131</v>
      </c>
      <c r="Q721" s="18" t="s">
        <v>151</v>
      </c>
      <c r="R721" s="18" t="s">
        <v>133</v>
      </c>
      <c r="S721" s="18" t="s">
        <v>59</v>
      </c>
      <c r="T721" s="38">
        <v>2026.0</v>
      </c>
      <c r="U721" s="38">
        <v>5.0</v>
      </c>
      <c r="V721" s="38">
        <v>1.081522754E9</v>
      </c>
      <c r="W721" s="38">
        <v>1.081540824E9</v>
      </c>
      <c r="X721" s="18" t="s">
        <v>2199</v>
      </c>
      <c r="Y721" s="18" t="s">
        <v>2200</v>
      </c>
      <c r="Z721" s="38">
        <v>75941.0</v>
      </c>
      <c r="AA721" s="38">
        <v>75941.0</v>
      </c>
      <c r="AB721" s="38">
        <v>0.0</v>
      </c>
      <c r="AC721" s="38">
        <v>0.0</v>
      </c>
      <c r="AD721" s="38">
        <v>0.0</v>
      </c>
      <c r="AE721" s="38">
        <v>0.0</v>
      </c>
      <c r="AF721" s="38">
        <v>0.0</v>
      </c>
      <c r="AG721" s="38">
        <v>0.0</v>
      </c>
      <c r="AH721" s="38">
        <v>0.0</v>
      </c>
      <c r="AI721" s="38">
        <v>75941.0</v>
      </c>
      <c r="AJ721" s="38">
        <v>639552.62</v>
      </c>
      <c r="AK721" s="38">
        <v>7.0</v>
      </c>
      <c r="AL721" s="38">
        <v>250.8</v>
      </c>
      <c r="AM721" s="38">
        <v>0.0</v>
      </c>
      <c r="AN721" s="34" t="s">
        <v>62</v>
      </c>
      <c r="AO721" s="34" t="s">
        <v>62</v>
      </c>
      <c r="AP721" s="34" t="s">
        <v>62</v>
      </c>
      <c r="AQ721" s="34" t="s">
        <v>62</v>
      </c>
      <c r="AR721" s="38">
        <v>0.0</v>
      </c>
      <c r="AS721" s="38" t="s">
        <v>2988</v>
      </c>
      <c r="AT721" s="35" t="s">
        <v>2202</v>
      </c>
      <c r="AU721" s="39" t="s">
        <v>2203</v>
      </c>
      <c r="AV721" s="40">
        <v>46169.0</v>
      </c>
    </row>
    <row r="722">
      <c r="A722" s="38">
        <v>197.0</v>
      </c>
      <c r="B722" s="38">
        <v>196.0</v>
      </c>
      <c r="C722" s="38">
        <v>196.0</v>
      </c>
      <c r="D722" s="38">
        <v>9.0230808E7</v>
      </c>
      <c r="E722" s="38">
        <v>9.0230808E7</v>
      </c>
      <c r="F722" s="18" t="s">
        <v>1477</v>
      </c>
      <c r="G722" s="18" t="s">
        <v>1478</v>
      </c>
      <c r="H722" s="18" t="s">
        <v>2989</v>
      </c>
      <c r="I722" s="18" t="s">
        <v>1231</v>
      </c>
      <c r="J722" s="18" t="s">
        <v>2205</v>
      </c>
      <c r="K722" s="18" t="s">
        <v>2205</v>
      </c>
      <c r="L722" s="18" t="s">
        <v>52</v>
      </c>
      <c r="M722" s="18" t="s">
        <v>89</v>
      </c>
      <c r="N722" s="18" t="s">
        <v>861</v>
      </c>
      <c r="O722" s="18" t="s">
        <v>126</v>
      </c>
      <c r="P722" s="18" t="s">
        <v>56</v>
      </c>
      <c r="Q722" s="18" t="s">
        <v>90</v>
      </c>
      <c r="R722" s="18" t="s">
        <v>58</v>
      </c>
      <c r="S722" s="18" t="s">
        <v>59</v>
      </c>
      <c r="T722" s="38">
        <v>2026.0</v>
      </c>
      <c r="U722" s="38">
        <v>5.0</v>
      </c>
      <c r="V722" s="38">
        <v>1.081522758E9</v>
      </c>
      <c r="W722" s="38">
        <v>1.081540828E9</v>
      </c>
      <c r="X722" s="18" t="s">
        <v>2199</v>
      </c>
      <c r="Y722" s="18" t="s">
        <v>2200</v>
      </c>
      <c r="Z722" s="38">
        <v>761916.36</v>
      </c>
      <c r="AA722" s="38">
        <v>761916.36</v>
      </c>
      <c r="AB722" s="38">
        <v>253972.13</v>
      </c>
      <c r="AC722" s="38">
        <v>2475.0</v>
      </c>
      <c r="AD722" s="38">
        <v>0.0</v>
      </c>
      <c r="AE722" s="38">
        <v>0.0</v>
      </c>
      <c r="AF722" s="38">
        <v>0.0</v>
      </c>
      <c r="AG722" s="38">
        <v>0.0</v>
      </c>
      <c r="AH722" s="38">
        <v>0.0</v>
      </c>
      <c r="AI722" s="38">
        <v>761916.36</v>
      </c>
      <c r="AJ722" s="38">
        <v>761916.36</v>
      </c>
      <c r="AK722" s="38">
        <v>0.0</v>
      </c>
      <c r="AL722" s="38">
        <v>376.2</v>
      </c>
      <c r="AM722" s="38">
        <v>0.0</v>
      </c>
      <c r="AN722" s="34" t="s">
        <v>62</v>
      </c>
      <c r="AO722" s="34" t="s">
        <v>62</v>
      </c>
      <c r="AP722" s="34" t="s">
        <v>62</v>
      </c>
      <c r="AQ722" s="34" t="s">
        <v>62</v>
      </c>
      <c r="AR722" s="38">
        <v>0.0</v>
      </c>
      <c r="AS722" s="38" t="s">
        <v>2990</v>
      </c>
      <c r="AT722" s="35" t="s">
        <v>2202</v>
      </c>
      <c r="AU722" s="39" t="s">
        <v>2203</v>
      </c>
      <c r="AV722" s="40">
        <v>46171.0</v>
      </c>
    </row>
    <row r="723">
      <c r="A723" s="38">
        <v>213.0</v>
      </c>
      <c r="B723" s="38">
        <v>212.0</v>
      </c>
      <c r="C723" s="38">
        <v>212.0</v>
      </c>
      <c r="D723" s="38">
        <v>9.0230877E7</v>
      </c>
      <c r="E723" s="38">
        <v>9.0230877E7</v>
      </c>
      <c r="F723" s="18" t="s">
        <v>1480</v>
      </c>
      <c r="G723" s="18" t="s">
        <v>1481</v>
      </c>
      <c r="H723" s="18" t="s">
        <v>2991</v>
      </c>
      <c r="I723" s="18" t="s">
        <v>1231</v>
      </c>
      <c r="J723" s="18" t="s">
        <v>2205</v>
      </c>
      <c r="K723" s="18" t="s">
        <v>2205</v>
      </c>
      <c r="L723" s="18" t="s">
        <v>52</v>
      </c>
      <c r="M723" s="18" t="s">
        <v>89</v>
      </c>
      <c r="N723" s="18" t="s">
        <v>861</v>
      </c>
      <c r="O723" s="18" t="s">
        <v>126</v>
      </c>
      <c r="P723" s="18" t="s">
        <v>56</v>
      </c>
      <c r="Q723" s="18" t="s">
        <v>57</v>
      </c>
      <c r="R723" s="18" t="s">
        <v>143</v>
      </c>
      <c r="S723" s="18" t="s">
        <v>59</v>
      </c>
      <c r="T723" s="38">
        <v>2026.0</v>
      </c>
      <c r="U723" s="38">
        <v>5.0</v>
      </c>
      <c r="V723" s="38">
        <v>1.081522765E9</v>
      </c>
      <c r="W723" s="38">
        <v>1.081540835E9</v>
      </c>
      <c r="X723" s="18" t="s">
        <v>2199</v>
      </c>
      <c r="Y723" s="18" t="s">
        <v>2200</v>
      </c>
      <c r="Z723" s="38">
        <v>2031177.5</v>
      </c>
      <c r="AA723" s="38">
        <v>2031177.5</v>
      </c>
      <c r="AB723" s="38">
        <v>0.0</v>
      </c>
      <c r="AC723" s="38">
        <v>10500.0</v>
      </c>
      <c r="AD723" s="38">
        <v>0.0</v>
      </c>
      <c r="AE723" s="38">
        <v>0.0</v>
      </c>
      <c r="AF723" s="38">
        <v>0.0</v>
      </c>
      <c r="AG723" s="38">
        <v>0.0</v>
      </c>
      <c r="AH723" s="38">
        <v>0.0</v>
      </c>
      <c r="AI723" s="38">
        <v>2031177.5</v>
      </c>
      <c r="AJ723" s="38">
        <v>2031177.5</v>
      </c>
      <c r="AK723" s="38">
        <v>0.0</v>
      </c>
      <c r="AL723" s="38">
        <v>250.8</v>
      </c>
      <c r="AM723" s="38">
        <v>0.0</v>
      </c>
      <c r="AN723" s="34" t="s">
        <v>62</v>
      </c>
      <c r="AO723" s="34" t="s">
        <v>62</v>
      </c>
      <c r="AP723" s="34" t="s">
        <v>62</v>
      </c>
      <c r="AQ723" s="34" t="s">
        <v>62</v>
      </c>
      <c r="AR723" s="38">
        <v>0.0</v>
      </c>
      <c r="AS723" s="39" t="s">
        <v>2992</v>
      </c>
      <c r="AT723" s="35" t="s">
        <v>2202</v>
      </c>
      <c r="AU723" s="39" t="s">
        <v>2203</v>
      </c>
      <c r="AV723" s="40">
        <v>46171.0</v>
      </c>
    </row>
    <row r="724">
      <c r="A724" s="38">
        <v>233.0</v>
      </c>
      <c r="B724" s="38">
        <v>232.0</v>
      </c>
      <c r="C724" s="38">
        <v>232.0</v>
      </c>
      <c r="D724" s="38">
        <v>9.0235101E7</v>
      </c>
      <c r="E724" s="38">
        <v>9.0235101E7</v>
      </c>
      <c r="F724" s="38">
        <v>8.90502101E8</v>
      </c>
      <c r="G724" s="18" t="s">
        <v>1483</v>
      </c>
      <c r="H724" s="18" t="s">
        <v>2993</v>
      </c>
      <c r="I724" s="18" t="s">
        <v>942</v>
      </c>
      <c r="J724" s="18" t="s">
        <v>2205</v>
      </c>
      <c r="K724" s="18" t="s">
        <v>2205</v>
      </c>
      <c r="L724" s="18" t="s">
        <v>52</v>
      </c>
      <c r="M724" s="18" t="s">
        <v>89</v>
      </c>
      <c r="N724" s="18" t="s">
        <v>861</v>
      </c>
      <c r="O724" s="18" t="s">
        <v>126</v>
      </c>
      <c r="P724" s="18" t="s">
        <v>56</v>
      </c>
      <c r="Q724" s="18" t="s">
        <v>90</v>
      </c>
      <c r="R724" s="18" t="s">
        <v>58</v>
      </c>
      <c r="S724" s="18" t="s">
        <v>59</v>
      </c>
      <c r="T724" s="38">
        <v>2026.0</v>
      </c>
      <c r="U724" s="38">
        <v>5.0</v>
      </c>
      <c r="V724" s="38">
        <v>1.081522769E9</v>
      </c>
      <c r="W724" s="38">
        <v>1.081540839E9</v>
      </c>
      <c r="X724" s="18" t="s">
        <v>2199</v>
      </c>
      <c r="Y724" s="18" t="s">
        <v>2200</v>
      </c>
      <c r="Z724" s="38">
        <v>5146550.46</v>
      </c>
      <c r="AA724" s="38">
        <v>5146550.46</v>
      </c>
      <c r="AB724" s="38">
        <v>1715516.83</v>
      </c>
      <c r="AC724" s="38">
        <v>17875.0</v>
      </c>
      <c r="AD724" s="38">
        <v>0.0</v>
      </c>
      <c r="AE724" s="38">
        <v>0.0</v>
      </c>
      <c r="AF724" s="38">
        <v>0.0</v>
      </c>
      <c r="AG724" s="38">
        <v>0.0</v>
      </c>
      <c r="AH724" s="38">
        <v>0.0</v>
      </c>
      <c r="AI724" s="38">
        <v>5146550.46</v>
      </c>
      <c r="AJ724" s="38">
        <v>5146550.46</v>
      </c>
      <c r="AK724" s="38">
        <v>0.0</v>
      </c>
      <c r="AL724" s="38">
        <v>376.2</v>
      </c>
      <c r="AM724" s="38">
        <v>0.0</v>
      </c>
      <c r="AN724" s="34" t="s">
        <v>62</v>
      </c>
      <c r="AO724" s="34" t="s">
        <v>62</v>
      </c>
      <c r="AP724" s="34" t="s">
        <v>62</v>
      </c>
      <c r="AQ724" s="34" t="s">
        <v>62</v>
      </c>
      <c r="AR724" s="38">
        <v>0.0</v>
      </c>
      <c r="AS724" s="39" t="s">
        <v>2994</v>
      </c>
      <c r="AT724" s="35" t="s">
        <v>2202</v>
      </c>
      <c r="AU724" s="39" t="s">
        <v>2203</v>
      </c>
      <c r="AV724" s="40">
        <v>46171.0</v>
      </c>
    </row>
    <row r="725">
      <c r="A725" s="38">
        <v>699.0</v>
      </c>
      <c r="B725" s="38">
        <v>24692.0</v>
      </c>
      <c r="C725" s="38">
        <v>24692.0</v>
      </c>
      <c r="D725" s="38">
        <v>87821.0</v>
      </c>
      <c r="E725" s="38">
        <v>87821.0</v>
      </c>
      <c r="F725" s="38">
        <v>9.00480569E8</v>
      </c>
      <c r="G725" s="18" t="s">
        <v>141</v>
      </c>
      <c r="H725" s="18" t="s">
        <v>2255</v>
      </c>
      <c r="I725" s="18" t="s">
        <v>882</v>
      </c>
      <c r="J725" s="18" t="s">
        <v>2205</v>
      </c>
      <c r="K725" s="18" t="s">
        <v>2256</v>
      </c>
      <c r="L725" s="18" t="s">
        <v>52</v>
      </c>
      <c r="M725" s="18" t="s">
        <v>53</v>
      </c>
      <c r="N725" s="18" t="s">
        <v>861</v>
      </c>
      <c r="O725" s="18" t="s">
        <v>126</v>
      </c>
      <c r="P725" s="18" t="s">
        <v>56</v>
      </c>
      <c r="Q725" s="18" t="s">
        <v>90</v>
      </c>
      <c r="R725" s="18" t="s">
        <v>143</v>
      </c>
      <c r="S725" s="18" t="s">
        <v>59</v>
      </c>
      <c r="T725" s="38">
        <v>2026.0</v>
      </c>
      <c r="U725" s="38">
        <v>5.0</v>
      </c>
      <c r="V725" s="38">
        <v>1.081523052E9</v>
      </c>
      <c r="W725" s="38">
        <v>1.081541122E9</v>
      </c>
      <c r="X725" s="18" t="s">
        <v>2199</v>
      </c>
      <c r="Y725" s="18" t="s">
        <v>2200</v>
      </c>
      <c r="Z725" s="38">
        <v>201753.22</v>
      </c>
      <c r="AA725" s="38">
        <v>201753.22</v>
      </c>
      <c r="AB725" s="38">
        <v>66533.75</v>
      </c>
      <c r="AC725" s="38">
        <v>500.0</v>
      </c>
      <c r="AD725" s="38">
        <v>2151.97</v>
      </c>
      <c r="AE725" s="38">
        <v>0.0</v>
      </c>
      <c r="AF725" s="38">
        <v>0.0</v>
      </c>
      <c r="AG725" s="38">
        <v>0.0</v>
      </c>
      <c r="AH725" s="38">
        <v>0.0</v>
      </c>
      <c r="AI725" s="38">
        <v>201753.22</v>
      </c>
      <c r="AJ725" s="38">
        <v>397811.47</v>
      </c>
      <c r="AK725" s="38">
        <v>1.0</v>
      </c>
      <c r="AL725" s="38">
        <v>376.2</v>
      </c>
      <c r="AM725" s="38">
        <v>0.0</v>
      </c>
      <c r="AN725" s="34" t="s">
        <v>62</v>
      </c>
      <c r="AO725" s="34" t="s">
        <v>62</v>
      </c>
      <c r="AP725" s="34" t="s">
        <v>62</v>
      </c>
      <c r="AQ725" s="34" t="s">
        <v>62</v>
      </c>
      <c r="AR725" s="38">
        <v>0.0</v>
      </c>
      <c r="AS725" s="38" t="s">
        <v>2257</v>
      </c>
      <c r="AT725" s="35" t="s">
        <v>2202</v>
      </c>
      <c r="AU725" s="39" t="s">
        <v>2203</v>
      </c>
      <c r="AV725" s="40">
        <v>46163.0</v>
      </c>
    </row>
    <row r="726">
      <c r="A726" s="38">
        <v>249.0</v>
      </c>
      <c r="B726" s="38">
        <v>248.0</v>
      </c>
      <c r="C726" s="38">
        <v>248.0</v>
      </c>
      <c r="D726" s="38">
        <v>9.0235222E7</v>
      </c>
      <c r="E726" s="38">
        <v>9.0235222E7</v>
      </c>
      <c r="F726" s="18" t="s">
        <v>1486</v>
      </c>
      <c r="G726" s="18" t="s">
        <v>1487</v>
      </c>
      <c r="H726" s="18" t="s">
        <v>2995</v>
      </c>
      <c r="I726" s="18" t="s">
        <v>942</v>
      </c>
      <c r="J726" s="18" t="s">
        <v>2205</v>
      </c>
      <c r="K726" s="18" t="s">
        <v>2205</v>
      </c>
      <c r="L726" s="18" t="s">
        <v>52</v>
      </c>
      <c r="M726" s="18" t="s">
        <v>89</v>
      </c>
      <c r="N726" s="18" t="s">
        <v>861</v>
      </c>
      <c r="O726" s="18" t="s">
        <v>126</v>
      </c>
      <c r="P726" s="18" t="s">
        <v>56</v>
      </c>
      <c r="Q726" s="18" t="s">
        <v>57</v>
      </c>
      <c r="R726" s="18" t="s">
        <v>143</v>
      </c>
      <c r="S726" s="18" t="s">
        <v>59</v>
      </c>
      <c r="T726" s="38">
        <v>2026.0</v>
      </c>
      <c r="U726" s="38">
        <v>5.0</v>
      </c>
      <c r="V726" s="38">
        <v>1.081522772E9</v>
      </c>
      <c r="W726" s="38">
        <v>1.081540842E9</v>
      </c>
      <c r="X726" s="18" t="s">
        <v>2199</v>
      </c>
      <c r="Y726" s="18" t="s">
        <v>2200</v>
      </c>
      <c r="Z726" s="38">
        <v>133067.5</v>
      </c>
      <c r="AA726" s="38">
        <v>133067.5</v>
      </c>
      <c r="AB726" s="38">
        <v>0.0</v>
      </c>
      <c r="AC726" s="38">
        <v>500.0</v>
      </c>
      <c r="AD726" s="38">
        <v>0.0</v>
      </c>
      <c r="AE726" s="38">
        <v>0.0</v>
      </c>
      <c r="AF726" s="38">
        <v>0.0</v>
      </c>
      <c r="AG726" s="38">
        <v>0.0</v>
      </c>
      <c r="AH726" s="38">
        <v>0.0</v>
      </c>
      <c r="AI726" s="38">
        <v>133067.5</v>
      </c>
      <c r="AJ726" s="38">
        <v>263773.5</v>
      </c>
      <c r="AK726" s="38">
        <v>2.0</v>
      </c>
      <c r="AL726" s="38">
        <v>250.8</v>
      </c>
      <c r="AM726" s="38">
        <v>0.0</v>
      </c>
      <c r="AN726" s="34" t="s">
        <v>62</v>
      </c>
      <c r="AO726" s="34" t="s">
        <v>62</v>
      </c>
      <c r="AP726" s="34" t="s">
        <v>62</v>
      </c>
      <c r="AQ726" s="34" t="s">
        <v>62</v>
      </c>
      <c r="AR726" s="38">
        <v>0.0</v>
      </c>
      <c r="AS726" s="38" t="s">
        <v>2996</v>
      </c>
      <c r="AT726" s="35" t="s">
        <v>2202</v>
      </c>
      <c r="AU726" s="39" t="s">
        <v>2203</v>
      </c>
      <c r="AV726" s="40">
        <v>46171.0</v>
      </c>
    </row>
    <row r="727">
      <c r="A727" s="38">
        <v>253.0</v>
      </c>
      <c r="B727" s="38">
        <v>252.0</v>
      </c>
      <c r="C727" s="38">
        <v>252.0</v>
      </c>
      <c r="D727" s="38">
        <v>9.0235271E7</v>
      </c>
      <c r="E727" s="38">
        <v>9.0235271E7</v>
      </c>
      <c r="F727" s="38">
        <v>9.01411943E8</v>
      </c>
      <c r="G727" s="18" t="s">
        <v>934</v>
      </c>
      <c r="H727" s="18" t="s">
        <v>2997</v>
      </c>
      <c r="I727" s="18" t="s">
        <v>931</v>
      </c>
      <c r="J727" s="18" t="s">
        <v>982</v>
      </c>
      <c r="K727" s="18" t="s">
        <v>982</v>
      </c>
      <c r="L727" s="18" t="s">
        <v>52</v>
      </c>
      <c r="M727" s="18" t="s">
        <v>89</v>
      </c>
      <c r="N727" s="18" t="s">
        <v>861</v>
      </c>
      <c r="O727" s="18" t="s">
        <v>126</v>
      </c>
      <c r="P727" s="18" t="s">
        <v>131</v>
      </c>
      <c r="Q727" s="18" t="s">
        <v>363</v>
      </c>
      <c r="R727" s="18" t="s">
        <v>133</v>
      </c>
      <c r="S727" s="18" t="s">
        <v>59</v>
      </c>
      <c r="T727" s="38">
        <v>2026.0</v>
      </c>
      <c r="U727" s="38">
        <v>5.0</v>
      </c>
      <c r="V727" s="38">
        <v>1.081522776E9</v>
      </c>
      <c r="W727" s="38">
        <v>1.081540846E9</v>
      </c>
      <c r="X727" s="18" t="s">
        <v>2199</v>
      </c>
      <c r="Y727" s="18" t="s">
        <v>2200</v>
      </c>
      <c r="Z727" s="38">
        <v>97598.61</v>
      </c>
      <c r="AA727" s="38">
        <v>97598.61</v>
      </c>
      <c r="AB727" s="38">
        <v>25380.5</v>
      </c>
      <c r="AC727" s="38">
        <v>0.0</v>
      </c>
      <c r="AD727" s="38">
        <v>21457.11</v>
      </c>
      <c r="AE727" s="38">
        <v>0.0</v>
      </c>
      <c r="AF727" s="38">
        <v>0.0</v>
      </c>
      <c r="AG727" s="38">
        <v>0.0</v>
      </c>
      <c r="AH727" s="38">
        <v>0.0</v>
      </c>
      <c r="AI727" s="38">
        <v>97598.61</v>
      </c>
      <c r="AJ727" s="38">
        <v>1378205.11</v>
      </c>
      <c r="AK727" s="38">
        <v>20.0</v>
      </c>
      <c r="AL727" s="38">
        <v>376.2</v>
      </c>
      <c r="AM727" s="38">
        <v>0.0</v>
      </c>
      <c r="AN727" s="34" t="s">
        <v>62</v>
      </c>
      <c r="AO727" s="34" t="s">
        <v>62</v>
      </c>
      <c r="AP727" s="34" t="s">
        <v>62</v>
      </c>
      <c r="AQ727" s="34" t="s">
        <v>62</v>
      </c>
      <c r="AR727" s="38">
        <v>0.0</v>
      </c>
      <c r="AS727" s="38" t="s">
        <v>2998</v>
      </c>
      <c r="AT727" s="35" t="s">
        <v>2275</v>
      </c>
      <c r="AU727" s="39" t="s">
        <v>2326</v>
      </c>
      <c r="AV727" s="40">
        <v>46163.0</v>
      </c>
    </row>
    <row r="728">
      <c r="A728" s="38">
        <v>257.0</v>
      </c>
      <c r="B728" s="38">
        <v>256.0</v>
      </c>
      <c r="C728" s="38">
        <v>256.0</v>
      </c>
      <c r="D728" s="38">
        <v>9.0235275E7</v>
      </c>
      <c r="E728" s="38">
        <v>9.0235275E7</v>
      </c>
      <c r="F728" s="38">
        <v>1.090462022E9</v>
      </c>
      <c r="G728" s="18" t="s">
        <v>934</v>
      </c>
      <c r="H728" s="18" t="s">
        <v>2999</v>
      </c>
      <c r="I728" s="18" t="s">
        <v>931</v>
      </c>
      <c r="J728" s="18" t="s">
        <v>982</v>
      </c>
      <c r="K728" s="18" t="s">
        <v>982</v>
      </c>
      <c r="L728" s="18" t="s">
        <v>52</v>
      </c>
      <c r="M728" s="18" t="s">
        <v>89</v>
      </c>
      <c r="N728" s="18" t="s">
        <v>861</v>
      </c>
      <c r="O728" s="18" t="s">
        <v>126</v>
      </c>
      <c r="P728" s="18" t="s">
        <v>131</v>
      </c>
      <c r="Q728" s="18" t="s">
        <v>363</v>
      </c>
      <c r="R728" s="18" t="s">
        <v>133</v>
      </c>
      <c r="S728" s="18" t="s">
        <v>59</v>
      </c>
      <c r="T728" s="38">
        <v>2026.0</v>
      </c>
      <c r="U728" s="38">
        <v>5.0</v>
      </c>
      <c r="V728" s="38">
        <v>1.08152278E9</v>
      </c>
      <c r="W728" s="38">
        <v>1.08154085E9</v>
      </c>
      <c r="X728" s="18" t="s">
        <v>2199</v>
      </c>
      <c r="Y728" s="18" t="s">
        <v>2200</v>
      </c>
      <c r="Z728" s="38">
        <v>76141.5</v>
      </c>
      <c r="AA728" s="38">
        <v>76141.5</v>
      </c>
      <c r="AB728" s="38">
        <v>25380.5</v>
      </c>
      <c r="AC728" s="38">
        <v>0.0</v>
      </c>
      <c r="AD728" s="38">
        <v>0.0</v>
      </c>
      <c r="AE728" s="38">
        <v>0.0</v>
      </c>
      <c r="AF728" s="38">
        <v>0.0</v>
      </c>
      <c r="AG728" s="38">
        <v>0.0</v>
      </c>
      <c r="AH728" s="38">
        <v>0.0</v>
      </c>
      <c r="AI728" s="38">
        <v>76141.5</v>
      </c>
      <c r="AJ728" s="38">
        <v>76141.5</v>
      </c>
      <c r="AK728" s="38">
        <v>0.0</v>
      </c>
      <c r="AL728" s="38">
        <v>376.2</v>
      </c>
      <c r="AM728" s="38">
        <v>0.0</v>
      </c>
      <c r="AN728" s="34" t="s">
        <v>62</v>
      </c>
      <c r="AO728" s="34" t="s">
        <v>62</v>
      </c>
      <c r="AP728" s="34" t="s">
        <v>62</v>
      </c>
      <c r="AQ728" s="34" t="s">
        <v>62</v>
      </c>
      <c r="AR728" s="38">
        <v>0.0</v>
      </c>
      <c r="AS728" s="38" t="s">
        <v>3000</v>
      </c>
      <c r="AT728" s="35" t="s">
        <v>2275</v>
      </c>
      <c r="AU728" s="39" t="s">
        <v>2326</v>
      </c>
      <c r="AV728" s="40">
        <v>46163.0</v>
      </c>
    </row>
    <row r="729">
      <c r="A729" s="38">
        <v>261.0</v>
      </c>
      <c r="B729" s="38">
        <v>260.0</v>
      </c>
      <c r="C729" s="38">
        <v>260.0</v>
      </c>
      <c r="D729" s="38">
        <v>9.023528E7</v>
      </c>
      <c r="E729" s="38">
        <v>9.023528E7</v>
      </c>
      <c r="F729" s="38">
        <v>9.023528E7</v>
      </c>
      <c r="G729" s="18" t="s">
        <v>934</v>
      </c>
      <c r="H729" s="18" t="s">
        <v>3001</v>
      </c>
      <c r="I729" s="18" t="s">
        <v>931</v>
      </c>
      <c r="J729" s="18" t="s">
        <v>982</v>
      </c>
      <c r="K729" s="18" t="s">
        <v>982</v>
      </c>
      <c r="L729" s="18" t="s">
        <v>52</v>
      </c>
      <c r="M729" s="18" t="s">
        <v>89</v>
      </c>
      <c r="N729" s="18" t="s">
        <v>861</v>
      </c>
      <c r="O729" s="18" t="s">
        <v>126</v>
      </c>
      <c r="P729" s="18" t="s">
        <v>218</v>
      </c>
      <c r="Q729" s="18" t="s">
        <v>938</v>
      </c>
      <c r="R729" s="18" t="s">
        <v>133</v>
      </c>
      <c r="S729" s="18" t="s">
        <v>59</v>
      </c>
      <c r="T729" s="38">
        <v>2026.0</v>
      </c>
      <c r="U729" s="38">
        <v>5.0</v>
      </c>
      <c r="V729" s="38">
        <v>1.081522782E9</v>
      </c>
      <c r="W729" s="38">
        <v>1.081540852E9</v>
      </c>
      <c r="X729" s="18" t="s">
        <v>2199</v>
      </c>
      <c r="Y729" s="18" t="s">
        <v>2200</v>
      </c>
      <c r="Z729" s="38">
        <v>53651.0</v>
      </c>
      <c r="AA729" s="38">
        <v>53651.0</v>
      </c>
      <c r="AB729" s="38">
        <v>0.0</v>
      </c>
      <c r="AC729" s="38">
        <v>0.0</v>
      </c>
      <c r="AD729" s="38">
        <v>0.0</v>
      </c>
      <c r="AE729" s="38">
        <v>0.0</v>
      </c>
      <c r="AF729" s="38">
        <v>0.0</v>
      </c>
      <c r="AG729" s="38">
        <v>0.0</v>
      </c>
      <c r="AH729" s="38">
        <v>0.0</v>
      </c>
      <c r="AI729" s="38">
        <v>53651.0</v>
      </c>
      <c r="AJ729" s="38">
        <v>53651.0</v>
      </c>
      <c r="AK729" s="38">
        <v>0.0</v>
      </c>
      <c r="AL729" s="38">
        <v>250.8</v>
      </c>
      <c r="AM729" s="38">
        <v>0.0</v>
      </c>
      <c r="AN729" s="34" t="s">
        <v>62</v>
      </c>
      <c r="AO729" s="34" t="s">
        <v>62</v>
      </c>
      <c r="AP729" s="34" t="s">
        <v>62</v>
      </c>
      <c r="AQ729" s="34" t="s">
        <v>62</v>
      </c>
      <c r="AR729" s="38">
        <v>0.0</v>
      </c>
      <c r="AS729" s="38" t="s">
        <v>3002</v>
      </c>
      <c r="AT729" s="35" t="s">
        <v>2275</v>
      </c>
      <c r="AU729" s="39" t="s">
        <v>2326</v>
      </c>
      <c r="AV729" s="40">
        <v>46163.0</v>
      </c>
    </row>
    <row r="730">
      <c r="A730" s="38">
        <v>265.0</v>
      </c>
      <c r="B730" s="38">
        <v>264.0</v>
      </c>
      <c r="C730" s="38">
        <v>264.0</v>
      </c>
      <c r="D730" s="38">
        <v>9.0235352E7</v>
      </c>
      <c r="E730" s="38">
        <v>9.0235352E7</v>
      </c>
      <c r="F730" s="18" t="s">
        <v>1492</v>
      </c>
      <c r="G730" s="18" t="s">
        <v>1493</v>
      </c>
      <c r="H730" s="18" t="s">
        <v>3003</v>
      </c>
      <c r="I730" s="18" t="s">
        <v>123</v>
      </c>
      <c r="J730" s="18" t="s">
        <v>2205</v>
      </c>
      <c r="K730" s="18" t="s">
        <v>2205</v>
      </c>
      <c r="L730" s="18" t="s">
        <v>52</v>
      </c>
      <c r="M730" s="18" t="s">
        <v>89</v>
      </c>
      <c r="N730" s="18" t="s">
        <v>861</v>
      </c>
      <c r="O730" s="18" t="s">
        <v>126</v>
      </c>
      <c r="P730" s="18" t="s">
        <v>131</v>
      </c>
      <c r="Q730" s="18" t="s">
        <v>132</v>
      </c>
      <c r="R730" s="18" t="s">
        <v>133</v>
      </c>
      <c r="S730" s="18" t="s">
        <v>59</v>
      </c>
      <c r="T730" s="38">
        <v>2026.0</v>
      </c>
      <c r="U730" s="38">
        <v>5.0</v>
      </c>
      <c r="V730" s="38">
        <v>1.081522787E9</v>
      </c>
      <c r="W730" s="38">
        <v>1.081540857E9</v>
      </c>
      <c r="X730" s="18" t="s">
        <v>2199</v>
      </c>
      <c r="Y730" s="18" t="s">
        <v>2200</v>
      </c>
      <c r="Z730" s="38">
        <v>115311.05</v>
      </c>
      <c r="AA730" s="38">
        <v>115311.05</v>
      </c>
      <c r="AB730" s="38">
        <v>37970.5</v>
      </c>
      <c r="AC730" s="38">
        <v>0.0</v>
      </c>
      <c r="AD730" s="38">
        <v>1399.55</v>
      </c>
      <c r="AE730" s="38">
        <v>0.0</v>
      </c>
      <c r="AF730" s="38">
        <v>0.0</v>
      </c>
      <c r="AG730" s="38">
        <v>0.0</v>
      </c>
      <c r="AH730" s="38">
        <v>0.0</v>
      </c>
      <c r="AI730" s="38">
        <v>115311.05</v>
      </c>
      <c r="AJ730" s="38">
        <v>340684.46</v>
      </c>
      <c r="AK730" s="38">
        <v>2.0</v>
      </c>
      <c r="AL730" s="38">
        <v>376.2</v>
      </c>
      <c r="AM730" s="38">
        <v>0.0</v>
      </c>
      <c r="AN730" s="34" t="s">
        <v>62</v>
      </c>
      <c r="AO730" s="34" t="s">
        <v>62</v>
      </c>
      <c r="AP730" s="34" t="s">
        <v>62</v>
      </c>
      <c r="AQ730" s="34" t="s">
        <v>62</v>
      </c>
      <c r="AR730" s="38">
        <v>0.0</v>
      </c>
      <c r="AS730" s="38" t="s">
        <v>3004</v>
      </c>
      <c r="AT730" s="35" t="s">
        <v>2202</v>
      </c>
      <c r="AU730" s="39" t="s">
        <v>2203</v>
      </c>
      <c r="AV730" s="40">
        <v>46171.0</v>
      </c>
    </row>
    <row r="731">
      <c r="A731" s="38">
        <v>269.0</v>
      </c>
      <c r="B731" s="38">
        <v>268.0</v>
      </c>
      <c r="C731" s="38">
        <v>268.0</v>
      </c>
      <c r="D731" s="38">
        <v>9.0236069E7</v>
      </c>
      <c r="E731" s="38">
        <v>9.0236069E7</v>
      </c>
      <c r="F731" s="18" t="s">
        <v>1495</v>
      </c>
      <c r="G731" s="18" t="s">
        <v>1496</v>
      </c>
      <c r="H731" s="18" t="s">
        <v>3005</v>
      </c>
      <c r="I731" s="18" t="s">
        <v>942</v>
      </c>
      <c r="J731" s="18" t="s">
        <v>2205</v>
      </c>
      <c r="K731" s="18" t="s">
        <v>2205</v>
      </c>
      <c r="L731" s="18" t="s">
        <v>52</v>
      </c>
      <c r="M731" s="18" t="s">
        <v>89</v>
      </c>
      <c r="N731" s="18" t="s">
        <v>861</v>
      </c>
      <c r="O731" s="18" t="s">
        <v>126</v>
      </c>
      <c r="P731" s="18" t="s">
        <v>56</v>
      </c>
      <c r="Q731" s="18" t="s">
        <v>57</v>
      </c>
      <c r="R731" s="18" t="s">
        <v>143</v>
      </c>
      <c r="S731" s="18" t="s">
        <v>59</v>
      </c>
      <c r="T731" s="38">
        <v>2026.0</v>
      </c>
      <c r="U731" s="38">
        <v>5.0</v>
      </c>
      <c r="V731" s="38">
        <v>1.081522792E9</v>
      </c>
      <c r="W731" s="38">
        <v>1.081540862E9</v>
      </c>
      <c r="X731" s="18" t="s">
        <v>2199</v>
      </c>
      <c r="Y731" s="18" t="s">
        <v>2200</v>
      </c>
      <c r="Z731" s="38">
        <v>484692.39</v>
      </c>
      <c r="AA731" s="38">
        <v>484692.39</v>
      </c>
      <c r="AB731" s="38">
        <v>0.0</v>
      </c>
      <c r="AC731" s="38">
        <v>2352.5</v>
      </c>
      <c r="AD731" s="38">
        <v>0.0</v>
      </c>
      <c r="AE731" s="38">
        <v>0.0</v>
      </c>
      <c r="AF731" s="38">
        <v>0.0</v>
      </c>
      <c r="AG731" s="38">
        <v>0.0</v>
      </c>
      <c r="AH731" s="38">
        <v>0.0</v>
      </c>
      <c r="AI731" s="38">
        <v>484692.39</v>
      </c>
      <c r="AJ731" s="38">
        <v>484692.39</v>
      </c>
      <c r="AK731" s="38">
        <v>0.0</v>
      </c>
      <c r="AL731" s="38">
        <v>250.8</v>
      </c>
      <c r="AM731" s="38">
        <v>0.0</v>
      </c>
      <c r="AN731" s="34" t="s">
        <v>62</v>
      </c>
      <c r="AO731" s="34" t="s">
        <v>62</v>
      </c>
      <c r="AP731" s="34" t="s">
        <v>62</v>
      </c>
      <c r="AQ731" s="34" t="s">
        <v>62</v>
      </c>
      <c r="AR731" s="38">
        <v>0.0</v>
      </c>
      <c r="AS731" s="38" t="s">
        <v>2830</v>
      </c>
      <c r="AT731" s="35" t="s">
        <v>2202</v>
      </c>
      <c r="AU731" s="39" t="s">
        <v>2203</v>
      </c>
      <c r="AV731" s="40">
        <v>46171.0</v>
      </c>
    </row>
    <row r="732">
      <c r="A732" s="38">
        <v>26909.0</v>
      </c>
      <c r="B732" s="38">
        <v>26908.0</v>
      </c>
      <c r="C732" s="38">
        <v>26908.0</v>
      </c>
      <c r="D732" s="38">
        <v>313263.0</v>
      </c>
      <c r="E732" s="38">
        <v>313263.0</v>
      </c>
      <c r="F732" s="38">
        <v>3.727427E7</v>
      </c>
      <c r="G732" s="18" t="s">
        <v>1498</v>
      </c>
      <c r="H732" s="18" t="s">
        <v>3006</v>
      </c>
      <c r="I732" s="18" t="s">
        <v>863</v>
      </c>
      <c r="J732" s="18" t="s">
        <v>2205</v>
      </c>
      <c r="K732" s="18" t="s">
        <v>2205</v>
      </c>
      <c r="L732" s="18" t="s">
        <v>52</v>
      </c>
      <c r="M732" s="18" t="s">
        <v>89</v>
      </c>
      <c r="N732" s="18" t="s">
        <v>861</v>
      </c>
      <c r="O732" s="18" t="s">
        <v>126</v>
      </c>
      <c r="P732" s="18" t="s">
        <v>56</v>
      </c>
      <c r="Q732" s="18" t="s">
        <v>90</v>
      </c>
      <c r="R732" s="18" t="s">
        <v>143</v>
      </c>
      <c r="S732" s="18" t="s">
        <v>59</v>
      </c>
      <c r="T732" s="38">
        <v>2026.0</v>
      </c>
      <c r="U732" s="38">
        <v>5.0</v>
      </c>
      <c r="V732" s="38">
        <v>1.081523057E9</v>
      </c>
      <c r="W732" s="38">
        <v>1.081541127E9</v>
      </c>
      <c r="X732" s="18" t="s">
        <v>2199</v>
      </c>
      <c r="Y732" s="18" t="s">
        <v>2200</v>
      </c>
      <c r="Z732" s="38">
        <v>1765542.0</v>
      </c>
      <c r="AA732" s="38">
        <v>1765542.0</v>
      </c>
      <c r="AB732" s="38">
        <v>588514.0</v>
      </c>
      <c r="AC732" s="38">
        <v>6000.0</v>
      </c>
      <c r="AD732" s="38">
        <v>0.0</v>
      </c>
      <c r="AE732" s="38">
        <v>0.0</v>
      </c>
      <c r="AF732" s="38">
        <v>0.0</v>
      </c>
      <c r="AG732" s="38">
        <v>0.0</v>
      </c>
      <c r="AH732" s="38">
        <v>0.0</v>
      </c>
      <c r="AI732" s="38">
        <v>1765542.0</v>
      </c>
      <c r="AJ732" s="38">
        <v>1765542.5</v>
      </c>
      <c r="AK732" s="38">
        <v>1.0</v>
      </c>
      <c r="AL732" s="38">
        <v>376.2</v>
      </c>
      <c r="AM732" s="38">
        <v>0.0</v>
      </c>
      <c r="AN732" s="34" t="s">
        <v>62</v>
      </c>
      <c r="AO732" s="34" t="s">
        <v>62</v>
      </c>
      <c r="AP732" s="34" t="s">
        <v>62</v>
      </c>
      <c r="AQ732" s="34" t="s">
        <v>62</v>
      </c>
      <c r="AR732" s="38">
        <v>0.0</v>
      </c>
      <c r="AS732" s="38" t="s">
        <v>3007</v>
      </c>
      <c r="AT732" s="35" t="s">
        <v>2202</v>
      </c>
      <c r="AU732" s="39" t="s">
        <v>2254</v>
      </c>
      <c r="AV732" s="40">
        <v>46171.0</v>
      </c>
    </row>
    <row r="733">
      <c r="A733" s="38">
        <v>271.0</v>
      </c>
      <c r="B733" s="38">
        <v>272.0</v>
      </c>
      <c r="C733" s="38">
        <v>272.0</v>
      </c>
      <c r="D733" s="38">
        <v>9.0236217E7</v>
      </c>
      <c r="E733" s="38">
        <v>9.0236217E7</v>
      </c>
      <c r="F733" s="38">
        <v>9.0236215E7</v>
      </c>
      <c r="G733" s="18" t="s">
        <v>941</v>
      </c>
      <c r="H733" s="18" t="s">
        <v>2645</v>
      </c>
      <c r="I733" s="18" t="s">
        <v>942</v>
      </c>
      <c r="J733" s="18" t="s">
        <v>2648</v>
      </c>
      <c r="K733" s="18" t="s">
        <v>941</v>
      </c>
      <c r="L733" s="18" t="s">
        <v>52</v>
      </c>
      <c r="M733" s="18" t="s">
        <v>53</v>
      </c>
      <c r="N733" s="18" t="s">
        <v>861</v>
      </c>
      <c r="O733" s="18" t="s">
        <v>126</v>
      </c>
      <c r="P733" s="18" t="s">
        <v>218</v>
      </c>
      <c r="Q733" s="18" t="s">
        <v>943</v>
      </c>
      <c r="R733" s="18" t="s">
        <v>133</v>
      </c>
      <c r="S733" s="18" t="s">
        <v>59</v>
      </c>
      <c r="T733" s="38">
        <v>2026.0</v>
      </c>
      <c r="U733" s="38">
        <v>5.0</v>
      </c>
      <c r="V733" s="38">
        <v>1.081522795E9</v>
      </c>
      <c r="W733" s="38">
        <v>1.081540865E9</v>
      </c>
      <c r="X733" s="18" t="s">
        <v>2199</v>
      </c>
      <c r="Y733" s="18" t="s">
        <v>2200</v>
      </c>
      <c r="Z733" s="38">
        <v>85781.13</v>
      </c>
      <c r="AA733" s="38">
        <v>85781.13</v>
      </c>
      <c r="AB733" s="38">
        <v>28528.0</v>
      </c>
      <c r="AC733" s="38">
        <v>0.0</v>
      </c>
      <c r="AD733" s="38">
        <v>197.13</v>
      </c>
      <c r="AE733" s="38">
        <v>0.0</v>
      </c>
      <c r="AF733" s="38">
        <v>0.0</v>
      </c>
      <c r="AG733" s="38">
        <v>0.0</v>
      </c>
      <c r="AH733" s="38">
        <v>0.0</v>
      </c>
      <c r="AI733" s="38">
        <v>85781.13</v>
      </c>
      <c r="AJ733" s="38">
        <v>170559.63</v>
      </c>
      <c r="AK733" s="38">
        <v>1.0</v>
      </c>
      <c r="AL733" s="38">
        <v>376.2</v>
      </c>
      <c r="AM733" s="38">
        <v>0.0</v>
      </c>
      <c r="AN733" s="34" t="s">
        <v>62</v>
      </c>
      <c r="AO733" s="34" t="s">
        <v>62</v>
      </c>
      <c r="AP733" s="34" t="s">
        <v>62</v>
      </c>
      <c r="AQ733" s="34" t="s">
        <v>62</v>
      </c>
      <c r="AR733" s="38">
        <v>0.0</v>
      </c>
      <c r="AS733" s="38" t="s">
        <v>2646</v>
      </c>
      <c r="AT733" s="35" t="s">
        <v>2275</v>
      </c>
      <c r="AU733" s="39" t="s">
        <v>2475</v>
      </c>
      <c r="AV733" s="40">
        <v>46163.0</v>
      </c>
    </row>
    <row r="734">
      <c r="A734" s="38">
        <v>277.0</v>
      </c>
      <c r="B734" s="38">
        <v>276.0</v>
      </c>
      <c r="C734" s="38">
        <v>276.0</v>
      </c>
      <c r="D734" s="38">
        <v>9.0236221E7</v>
      </c>
      <c r="E734" s="38">
        <v>9.0236221E7</v>
      </c>
      <c r="F734" s="38">
        <v>2.0255163E7</v>
      </c>
      <c r="G734" s="18" t="s">
        <v>1501</v>
      </c>
      <c r="H734" s="18" t="s">
        <v>3008</v>
      </c>
      <c r="I734" s="18" t="s">
        <v>942</v>
      </c>
      <c r="J734" s="18" t="s">
        <v>2648</v>
      </c>
      <c r="K734" s="18" t="s">
        <v>941</v>
      </c>
      <c r="L734" s="18" t="s">
        <v>52</v>
      </c>
      <c r="M734" s="18" t="s">
        <v>89</v>
      </c>
      <c r="N734" s="18" t="s">
        <v>861</v>
      </c>
      <c r="O734" s="18" t="s">
        <v>126</v>
      </c>
      <c r="P734" s="18" t="s">
        <v>218</v>
      </c>
      <c r="Q734" s="18" t="s">
        <v>943</v>
      </c>
      <c r="R734" s="18" t="s">
        <v>133</v>
      </c>
      <c r="S734" s="18" t="s">
        <v>59</v>
      </c>
      <c r="T734" s="38">
        <v>2026.0</v>
      </c>
      <c r="U734" s="38">
        <v>5.0</v>
      </c>
      <c r="V734" s="38">
        <v>1.0815228E9</v>
      </c>
      <c r="W734" s="38">
        <v>1.08154087E9</v>
      </c>
      <c r="X734" s="18" t="s">
        <v>2199</v>
      </c>
      <c r="Y734" s="18" t="s">
        <v>2200</v>
      </c>
      <c r="Z734" s="38">
        <v>85584.0</v>
      </c>
      <c r="AA734" s="38">
        <v>85584.0</v>
      </c>
      <c r="AB734" s="38">
        <v>28528.0</v>
      </c>
      <c r="AC734" s="38">
        <v>0.0</v>
      </c>
      <c r="AD734" s="38">
        <v>0.0</v>
      </c>
      <c r="AE734" s="38">
        <v>0.0</v>
      </c>
      <c r="AF734" s="38">
        <v>0.0</v>
      </c>
      <c r="AG734" s="38">
        <v>0.0</v>
      </c>
      <c r="AH734" s="38">
        <v>0.0</v>
      </c>
      <c r="AI734" s="38">
        <v>85584.0</v>
      </c>
      <c r="AJ734" s="38">
        <v>85584.0</v>
      </c>
      <c r="AK734" s="38">
        <v>0.0</v>
      </c>
      <c r="AL734" s="38">
        <v>376.2</v>
      </c>
      <c r="AM734" s="38">
        <v>0.0</v>
      </c>
      <c r="AN734" s="34" t="s">
        <v>62</v>
      </c>
      <c r="AO734" s="34" t="s">
        <v>62</v>
      </c>
      <c r="AP734" s="34" t="s">
        <v>62</v>
      </c>
      <c r="AQ734" s="34" t="s">
        <v>62</v>
      </c>
      <c r="AR734" s="38">
        <v>0.0</v>
      </c>
      <c r="AS734" s="38" t="s">
        <v>3009</v>
      </c>
      <c r="AT734" s="35" t="s">
        <v>2275</v>
      </c>
      <c r="AU734" s="39" t="s">
        <v>2475</v>
      </c>
      <c r="AV734" s="40">
        <v>46163.0</v>
      </c>
    </row>
    <row r="735">
      <c r="A735" s="38">
        <v>281.0</v>
      </c>
      <c r="B735" s="38">
        <v>280.0</v>
      </c>
      <c r="C735" s="38">
        <v>280.0</v>
      </c>
      <c r="D735" s="38">
        <v>9.0236225E7</v>
      </c>
      <c r="E735" s="38">
        <v>9.0236225E7</v>
      </c>
      <c r="F735" s="18" t="s">
        <v>1503</v>
      </c>
      <c r="G735" s="18" t="s">
        <v>941</v>
      </c>
      <c r="H735" s="18" t="s">
        <v>3010</v>
      </c>
      <c r="I735" s="18" t="s">
        <v>942</v>
      </c>
      <c r="J735" s="18" t="s">
        <v>2648</v>
      </c>
      <c r="K735" s="18" t="s">
        <v>941</v>
      </c>
      <c r="L735" s="18" t="s">
        <v>52</v>
      </c>
      <c r="M735" s="18" t="s">
        <v>89</v>
      </c>
      <c r="N735" s="18" t="s">
        <v>861</v>
      </c>
      <c r="O735" s="18" t="s">
        <v>126</v>
      </c>
      <c r="P735" s="18" t="s">
        <v>218</v>
      </c>
      <c r="Q735" s="18" t="s">
        <v>943</v>
      </c>
      <c r="R735" s="18" t="s">
        <v>133</v>
      </c>
      <c r="S735" s="18" t="s">
        <v>59</v>
      </c>
      <c r="T735" s="38">
        <v>2026.0</v>
      </c>
      <c r="U735" s="38">
        <v>5.0</v>
      </c>
      <c r="V735" s="38">
        <v>1.081522803E9</v>
      </c>
      <c r="W735" s="38">
        <v>1.081540873E9</v>
      </c>
      <c r="X735" s="18" t="s">
        <v>2199</v>
      </c>
      <c r="Y735" s="18" t="s">
        <v>2200</v>
      </c>
      <c r="Z735" s="38">
        <v>85584.0</v>
      </c>
      <c r="AA735" s="38">
        <v>85584.0</v>
      </c>
      <c r="AB735" s="38">
        <v>28528.0</v>
      </c>
      <c r="AC735" s="38">
        <v>0.0</v>
      </c>
      <c r="AD735" s="38">
        <v>0.0</v>
      </c>
      <c r="AE735" s="38">
        <v>0.0</v>
      </c>
      <c r="AF735" s="38">
        <v>0.0</v>
      </c>
      <c r="AG735" s="38">
        <v>0.0</v>
      </c>
      <c r="AH735" s="38">
        <v>0.0</v>
      </c>
      <c r="AI735" s="38">
        <v>85584.0</v>
      </c>
      <c r="AJ735" s="38">
        <v>85584.0</v>
      </c>
      <c r="AK735" s="38">
        <v>0.0</v>
      </c>
      <c r="AL735" s="38">
        <v>376.2</v>
      </c>
      <c r="AM735" s="38">
        <v>0.0</v>
      </c>
      <c r="AN735" s="34" t="s">
        <v>62</v>
      </c>
      <c r="AO735" s="34" t="s">
        <v>62</v>
      </c>
      <c r="AP735" s="34" t="s">
        <v>62</v>
      </c>
      <c r="AQ735" s="34" t="s">
        <v>62</v>
      </c>
      <c r="AR735" s="38">
        <v>0.0</v>
      </c>
      <c r="AS735" s="38" t="s">
        <v>3011</v>
      </c>
      <c r="AT735" s="35" t="s">
        <v>2275</v>
      </c>
      <c r="AU735" s="39" t="s">
        <v>2475</v>
      </c>
      <c r="AV735" s="40">
        <v>46163.0</v>
      </c>
    </row>
    <row r="736">
      <c r="A736" s="38">
        <v>285.0</v>
      </c>
      <c r="B736" s="38">
        <v>284.0</v>
      </c>
      <c r="C736" s="38">
        <v>284.0</v>
      </c>
      <c r="D736" s="38">
        <v>9.0237025E7</v>
      </c>
      <c r="E736" s="38">
        <v>9.0237025E7</v>
      </c>
      <c r="F736" s="38">
        <v>1.3466549E7</v>
      </c>
      <c r="G736" s="18" t="s">
        <v>1505</v>
      </c>
      <c r="H736" s="18" t="s">
        <v>3012</v>
      </c>
      <c r="I736" s="18" t="s">
        <v>1506</v>
      </c>
      <c r="J736" s="18" t="s">
        <v>2205</v>
      </c>
      <c r="K736" s="18" t="s">
        <v>2205</v>
      </c>
      <c r="L736" s="18" t="s">
        <v>52</v>
      </c>
      <c r="M736" s="18" t="s">
        <v>89</v>
      </c>
      <c r="N736" s="18" t="s">
        <v>861</v>
      </c>
      <c r="O736" s="18" t="s">
        <v>126</v>
      </c>
      <c r="P736" s="18" t="s">
        <v>131</v>
      </c>
      <c r="Q736" s="18" t="s">
        <v>538</v>
      </c>
      <c r="R736" s="18" t="s">
        <v>133</v>
      </c>
      <c r="S736" s="18" t="s">
        <v>59</v>
      </c>
      <c r="T736" s="38">
        <v>2026.0</v>
      </c>
      <c r="U736" s="38">
        <v>5.0</v>
      </c>
      <c r="V736" s="38">
        <v>1.081522807E9</v>
      </c>
      <c r="W736" s="38">
        <v>1.081540877E9</v>
      </c>
      <c r="X736" s="18" t="s">
        <v>2199</v>
      </c>
      <c r="Y736" s="18" t="s">
        <v>2200</v>
      </c>
      <c r="Z736" s="38">
        <v>180866.12</v>
      </c>
      <c r="AA736" s="38">
        <v>180866.12</v>
      </c>
      <c r="AB736" s="38">
        <v>31676.0</v>
      </c>
      <c r="AC736" s="38">
        <v>0.0</v>
      </c>
      <c r="AD736" s="38">
        <v>85838.12</v>
      </c>
      <c r="AE736" s="38">
        <v>0.0</v>
      </c>
      <c r="AF736" s="38">
        <v>0.0</v>
      </c>
      <c r="AG736" s="38">
        <v>0.0</v>
      </c>
      <c r="AH736" s="38">
        <v>0.0</v>
      </c>
      <c r="AI736" s="38">
        <v>180866.12</v>
      </c>
      <c r="AJ736" s="38">
        <v>6543870.36</v>
      </c>
      <c r="AK736" s="38">
        <v>68.0</v>
      </c>
      <c r="AL736" s="38">
        <v>376.2</v>
      </c>
      <c r="AM736" s="38">
        <v>0.0</v>
      </c>
      <c r="AN736" s="34" t="s">
        <v>62</v>
      </c>
      <c r="AO736" s="34" t="s">
        <v>62</v>
      </c>
      <c r="AP736" s="34" t="s">
        <v>62</v>
      </c>
      <c r="AQ736" s="34" t="s">
        <v>62</v>
      </c>
      <c r="AR736" s="38">
        <v>0.0</v>
      </c>
      <c r="AS736" s="38" t="s">
        <v>3013</v>
      </c>
      <c r="AT736" s="35" t="s">
        <v>2202</v>
      </c>
      <c r="AU736" s="39" t="s">
        <v>2254</v>
      </c>
      <c r="AV736" s="40">
        <v>46171.0</v>
      </c>
    </row>
    <row r="737">
      <c r="A737" s="38">
        <v>455370.0</v>
      </c>
      <c r="B737" s="38">
        <v>288.0</v>
      </c>
      <c r="C737" s="38">
        <v>288.0</v>
      </c>
      <c r="D737" s="38">
        <v>9.0237565E7</v>
      </c>
      <c r="E737" s="38">
        <v>9.0237565E7</v>
      </c>
      <c r="F737" s="18" t="s">
        <v>148</v>
      </c>
      <c r="G737" s="18" t="s">
        <v>149</v>
      </c>
      <c r="H737" s="18" t="s">
        <v>2296</v>
      </c>
      <c r="I737" s="18" t="s">
        <v>1256</v>
      </c>
      <c r="J737" s="18" t="s">
        <v>2205</v>
      </c>
      <c r="K737" s="18" t="s">
        <v>2611</v>
      </c>
      <c r="L737" s="18" t="s">
        <v>52</v>
      </c>
      <c r="M737" s="18" t="s">
        <v>53</v>
      </c>
      <c r="N737" s="18" t="s">
        <v>861</v>
      </c>
      <c r="O737" s="18" t="s">
        <v>126</v>
      </c>
      <c r="P737" s="18" t="s">
        <v>56</v>
      </c>
      <c r="Q737" s="18" t="s">
        <v>57</v>
      </c>
      <c r="R737" s="18" t="s">
        <v>143</v>
      </c>
      <c r="S737" s="18" t="s">
        <v>59</v>
      </c>
      <c r="T737" s="38">
        <v>2026.0</v>
      </c>
      <c r="U737" s="38">
        <v>5.0</v>
      </c>
      <c r="V737" s="38">
        <v>1.081522816E9</v>
      </c>
      <c r="W737" s="38">
        <v>1.081540886E9</v>
      </c>
      <c r="X737" s="18" t="s">
        <v>2199</v>
      </c>
      <c r="Y737" s="18" t="s">
        <v>2200</v>
      </c>
      <c r="Z737" s="38">
        <v>221899.05</v>
      </c>
      <c r="AA737" s="38">
        <v>221899.05</v>
      </c>
      <c r="AB737" s="38">
        <v>0.0</v>
      </c>
      <c r="AC737" s="38">
        <v>968.0</v>
      </c>
      <c r="AD737" s="38">
        <v>0.0</v>
      </c>
      <c r="AE737" s="38">
        <v>0.0</v>
      </c>
      <c r="AF737" s="38">
        <v>0.0</v>
      </c>
      <c r="AG737" s="38">
        <v>0.0</v>
      </c>
      <c r="AH737" s="38">
        <v>0.0</v>
      </c>
      <c r="AI737" s="38">
        <v>221899.05</v>
      </c>
      <c r="AJ737" s="38">
        <v>601769.66</v>
      </c>
      <c r="AK737" s="38">
        <v>3.0</v>
      </c>
      <c r="AL737" s="38">
        <v>250.8</v>
      </c>
      <c r="AM737" s="38">
        <v>0.0</v>
      </c>
      <c r="AN737" s="34" t="s">
        <v>62</v>
      </c>
      <c r="AO737" s="34" t="s">
        <v>62</v>
      </c>
      <c r="AP737" s="34" t="s">
        <v>62</v>
      </c>
      <c r="AQ737" s="34" t="s">
        <v>62</v>
      </c>
      <c r="AR737" s="38">
        <v>0.0</v>
      </c>
      <c r="AS737" s="38" t="s">
        <v>2293</v>
      </c>
      <c r="AT737" s="35" t="s">
        <v>2294</v>
      </c>
      <c r="AU737" s="39" t="s">
        <v>2295</v>
      </c>
      <c r="AV737" s="40">
        <v>46164.0</v>
      </c>
    </row>
    <row r="738">
      <c r="A738" s="38">
        <v>293.0</v>
      </c>
      <c r="B738" s="38">
        <v>292.0</v>
      </c>
      <c r="C738" s="38">
        <v>292.0</v>
      </c>
      <c r="D738" s="38">
        <v>9.0238483E7</v>
      </c>
      <c r="E738" s="38">
        <v>9.0238483E7</v>
      </c>
      <c r="F738" s="38">
        <v>8.90501434E8</v>
      </c>
      <c r="G738" s="18" t="s">
        <v>1509</v>
      </c>
      <c r="H738" s="18" t="s">
        <v>3014</v>
      </c>
      <c r="I738" s="18" t="s">
        <v>1015</v>
      </c>
      <c r="J738" s="18" t="s">
        <v>2205</v>
      </c>
      <c r="K738" s="18" t="s">
        <v>2611</v>
      </c>
      <c r="L738" s="18" t="s">
        <v>52</v>
      </c>
      <c r="M738" s="18" t="s">
        <v>89</v>
      </c>
      <c r="N738" s="18" t="s">
        <v>861</v>
      </c>
      <c r="O738" s="18" t="s">
        <v>126</v>
      </c>
      <c r="P738" s="18" t="s">
        <v>56</v>
      </c>
      <c r="Q738" s="18" t="s">
        <v>57</v>
      </c>
      <c r="R738" s="18" t="s">
        <v>143</v>
      </c>
      <c r="S738" s="18" t="s">
        <v>59</v>
      </c>
      <c r="T738" s="38">
        <v>2026.0</v>
      </c>
      <c r="U738" s="38">
        <v>5.0</v>
      </c>
      <c r="V738" s="38">
        <v>1.08152282E9</v>
      </c>
      <c r="W738" s="38">
        <v>1.08154089E9</v>
      </c>
      <c r="X738" s="18" t="s">
        <v>2199</v>
      </c>
      <c r="Y738" s="18" t="s">
        <v>2200</v>
      </c>
      <c r="Z738" s="38">
        <v>144456.16</v>
      </c>
      <c r="AA738" s="38">
        <v>144456.16</v>
      </c>
      <c r="AB738" s="38">
        <v>0.0</v>
      </c>
      <c r="AC738" s="38">
        <v>560.0</v>
      </c>
      <c r="AD738" s="38">
        <v>0.0</v>
      </c>
      <c r="AE738" s="38">
        <v>0.0</v>
      </c>
      <c r="AF738" s="38">
        <v>0.0</v>
      </c>
      <c r="AG738" s="38">
        <v>0.0</v>
      </c>
      <c r="AH738" s="38">
        <v>0.0</v>
      </c>
      <c r="AI738" s="38">
        <v>144456.16</v>
      </c>
      <c r="AJ738" s="38">
        <v>448743.54</v>
      </c>
      <c r="AK738" s="38">
        <v>3.0</v>
      </c>
      <c r="AL738" s="38">
        <v>250.8</v>
      </c>
      <c r="AM738" s="38">
        <v>0.0</v>
      </c>
      <c r="AN738" s="34" t="s">
        <v>62</v>
      </c>
      <c r="AO738" s="34" t="s">
        <v>62</v>
      </c>
      <c r="AP738" s="34" t="s">
        <v>62</v>
      </c>
      <c r="AQ738" s="34" t="s">
        <v>62</v>
      </c>
      <c r="AR738" s="38">
        <v>0.0</v>
      </c>
      <c r="AS738" s="38" t="e">
        <v>#ERROR!</v>
      </c>
      <c r="AT738" s="35" t="s">
        <v>2294</v>
      </c>
      <c r="AU738" s="39" t="s">
        <v>2295</v>
      </c>
      <c r="AV738" s="40">
        <v>46164.0</v>
      </c>
    </row>
    <row r="739">
      <c r="A739" s="38">
        <v>297.0</v>
      </c>
      <c r="B739" s="38">
        <v>296.0</v>
      </c>
      <c r="C739" s="38">
        <v>296.0</v>
      </c>
      <c r="D739" s="38">
        <v>9.0239431E7</v>
      </c>
      <c r="E739" s="38">
        <v>9.0239431E7</v>
      </c>
      <c r="F739" s="18" t="s">
        <v>135</v>
      </c>
      <c r="G739" s="18" t="s">
        <v>136</v>
      </c>
      <c r="H739" s="18" t="s">
        <v>2258</v>
      </c>
      <c r="I739" s="18" t="s">
        <v>343</v>
      </c>
      <c r="J739" s="18" t="s">
        <v>2205</v>
      </c>
      <c r="K739" s="18" t="s">
        <v>2259</v>
      </c>
      <c r="L739" s="18" t="s">
        <v>52</v>
      </c>
      <c r="M739" s="18" t="s">
        <v>89</v>
      </c>
      <c r="N739" s="18" t="s">
        <v>861</v>
      </c>
      <c r="O739" s="18" t="s">
        <v>126</v>
      </c>
      <c r="P739" s="18" t="s">
        <v>56</v>
      </c>
      <c r="Q739" s="18" t="s">
        <v>57</v>
      </c>
      <c r="R739" s="18" t="s">
        <v>143</v>
      </c>
      <c r="S739" s="18" t="s">
        <v>59</v>
      </c>
      <c r="T739" s="38">
        <v>2026.0</v>
      </c>
      <c r="U739" s="38">
        <v>5.0</v>
      </c>
      <c r="V739" s="38">
        <v>1.081522824E9</v>
      </c>
      <c r="W739" s="38">
        <v>1.081540894E9</v>
      </c>
      <c r="X739" s="18" t="s">
        <v>2199</v>
      </c>
      <c r="Y739" s="18" t="s">
        <v>2200</v>
      </c>
      <c r="Z739" s="38">
        <v>201399.46</v>
      </c>
      <c r="AA739" s="38">
        <v>201399.46</v>
      </c>
      <c r="AB739" s="38">
        <v>0.0</v>
      </c>
      <c r="AC739" s="38">
        <v>860.0</v>
      </c>
      <c r="AD739" s="38">
        <v>0.0</v>
      </c>
      <c r="AE739" s="38">
        <v>0.0</v>
      </c>
      <c r="AF739" s="38">
        <v>0.0</v>
      </c>
      <c r="AG739" s="38">
        <v>0.0</v>
      </c>
      <c r="AH739" s="38">
        <v>0.0</v>
      </c>
      <c r="AI739" s="38">
        <v>201399.46</v>
      </c>
      <c r="AJ739" s="38">
        <v>201399.46</v>
      </c>
      <c r="AK739" s="38">
        <v>0.0</v>
      </c>
      <c r="AL739" s="38">
        <v>250.8</v>
      </c>
      <c r="AM739" s="38">
        <v>0.0</v>
      </c>
      <c r="AN739" s="34" t="s">
        <v>62</v>
      </c>
      <c r="AO739" s="34" t="s">
        <v>62</v>
      </c>
      <c r="AP739" s="34" t="s">
        <v>62</v>
      </c>
      <c r="AQ739" s="34" t="s">
        <v>62</v>
      </c>
      <c r="AR739" s="38">
        <v>0.0</v>
      </c>
      <c r="AS739" s="38" t="s">
        <v>2260</v>
      </c>
      <c r="AT739" s="35" t="s">
        <v>2202</v>
      </c>
      <c r="AU739" s="39" t="s">
        <v>2203</v>
      </c>
      <c r="AV739" s="40">
        <v>46164.0</v>
      </c>
    </row>
    <row r="740">
      <c r="A740" s="38">
        <v>301.0</v>
      </c>
      <c r="B740" s="38">
        <v>300.0</v>
      </c>
      <c r="C740" s="38">
        <v>300.0</v>
      </c>
      <c r="D740" s="38">
        <v>9.0239516E7</v>
      </c>
      <c r="E740" s="38">
        <v>9.0239516E7</v>
      </c>
      <c r="F740" s="38">
        <v>8.0017689E7</v>
      </c>
      <c r="G740" s="18" t="s">
        <v>1512</v>
      </c>
      <c r="H740" s="18" t="s">
        <v>3015</v>
      </c>
      <c r="I740" s="18" t="s">
        <v>343</v>
      </c>
      <c r="J740" s="18" t="s">
        <v>2205</v>
      </c>
      <c r="K740" s="18" t="s">
        <v>2987</v>
      </c>
      <c r="L740" s="18" t="s">
        <v>52</v>
      </c>
      <c r="M740" s="18" t="s">
        <v>89</v>
      </c>
      <c r="N740" s="18" t="s">
        <v>861</v>
      </c>
      <c r="O740" s="18" t="s">
        <v>126</v>
      </c>
      <c r="P740" s="18" t="s">
        <v>131</v>
      </c>
      <c r="Q740" s="18" t="s">
        <v>151</v>
      </c>
      <c r="R740" s="18" t="s">
        <v>133</v>
      </c>
      <c r="S740" s="18" t="s">
        <v>59</v>
      </c>
      <c r="T740" s="38">
        <v>2026.0</v>
      </c>
      <c r="U740" s="38">
        <v>5.0</v>
      </c>
      <c r="V740" s="38">
        <v>1.081522828E9</v>
      </c>
      <c r="W740" s="38">
        <v>1.081540898E9</v>
      </c>
      <c r="X740" s="18" t="s">
        <v>2199</v>
      </c>
      <c r="Y740" s="18" t="s">
        <v>2200</v>
      </c>
      <c r="Z740" s="38">
        <v>75941.0</v>
      </c>
      <c r="AA740" s="38">
        <v>75941.0</v>
      </c>
      <c r="AB740" s="38">
        <v>0.0</v>
      </c>
      <c r="AC740" s="38">
        <v>0.0</v>
      </c>
      <c r="AD740" s="38">
        <v>0.0</v>
      </c>
      <c r="AE740" s="38">
        <v>0.0</v>
      </c>
      <c r="AF740" s="38">
        <v>0.0</v>
      </c>
      <c r="AG740" s="38">
        <v>0.0</v>
      </c>
      <c r="AH740" s="38">
        <v>0.0</v>
      </c>
      <c r="AI740" s="38">
        <v>75941.0</v>
      </c>
      <c r="AJ740" s="38">
        <v>359711.98</v>
      </c>
      <c r="AK740" s="38">
        <v>4.0</v>
      </c>
      <c r="AL740" s="38">
        <v>250.8</v>
      </c>
      <c r="AM740" s="38">
        <v>0.0</v>
      </c>
      <c r="AN740" s="34" t="s">
        <v>62</v>
      </c>
      <c r="AO740" s="34" t="s">
        <v>62</v>
      </c>
      <c r="AP740" s="34" t="s">
        <v>62</v>
      </c>
      <c r="AQ740" s="34" t="s">
        <v>62</v>
      </c>
      <c r="AR740" s="38">
        <v>0.0</v>
      </c>
      <c r="AS740" s="39" t="s">
        <v>3016</v>
      </c>
      <c r="AT740" s="35" t="s">
        <v>2202</v>
      </c>
      <c r="AU740" s="39" t="s">
        <v>2203</v>
      </c>
      <c r="AV740" s="40">
        <v>46169.0</v>
      </c>
    </row>
    <row r="741">
      <c r="A741" s="38">
        <v>305.0</v>
      </c>
      <c r="B741" s="38">
        <v>304.0</v>
      </c>
      <c r="C741" s="38">
        <v>304.0</v>
      </c>
      <c r="D741" s="38">
        <v>9.0239797E7</v>
      </c>
      <c r="E741" s="38">
        <v>9.0239797E7</v>
      </c>
      <c r="F741" s="38">
        <v>8.99999067E8</v>
      </c>
      <c r="G741" s="18" t="s">
        <v>1514</v>
      </c>
      <c r="H741" s="18" t="s">
        <v>2921</v>
      </c>
      <c r="I741" s="18" t="s">
        <v>343</v>
      </c>
      <c r="J741" s="18" t="s">
        <v>2205</v>
      </c>
      <c r="K741" s="18" t="s">
        <v>2922</v>
      </c>
      <c r="L741" s="18" t="s">
        <v>52</v>
      </c>
      <c r="M741" s="18" t="s">
        <v>53</v>
      </c>
      <c r="N741" s="18" t="s">
        <v>861</v>
      </c>
      <c r="O741" s="18" t="s">
        <v>126</v>
      </c>
      <c r="P741" s="18" t="s">
        <v>131</v>
      </c>
      <c r="Q741" s="18" t="s">
        <v>151</v>
      </c>
      <c r="R741" s="18" t="s">
        <v>133</v>
      </c>
      <c r="S741" s="18" t="s">
        <v>59</v>
      </c>
      <c r="T741" s="38">
        <v>2026.0</v>
      </c>
      <c r="U741" s="38">
        <v>5.0</v>
      </c>
      <c r="V741" s="38">
        <v>1.081522832E9</v>
      </c>
      <c r="W741" s="38">
        <v>1.081540902E9</v>
      </c>
      <c r="X741" s="18" t="s">
        <v>2199</v>
      </c>
      <c r="Y741" s="18" t="s">
        <v>2200</v>
      </c>
      <c r="Z741" s="38">
        <v>75941.0</v>
      </c>
      <c r="AA741" s="38">
        <v>75941.0</v>
      </c>
      <c r="AB741" s="38">
        <v>0.0</v>
      </c>
      <c r="AC741" s="38">
        <v>0.0</v>
      </c>
      <c r="AD741" s="38">
        <v>0.0</v>
      </c>
      <c r="AE741" s="38">
        <v>0.0</v>
      </c>
      <c r="AF741" s="38">
        <v>0.0</v>
      </c>
      <c r="AG741" s="38">
        <v>0.0</v>
      </c>
      <c r="AH741" s="38">
        <v>0.0</v>
      </c>
      <c r="AI741" s="38">
        <v>75941.0</v>
      </c>
      <c r="AJ741" s="38">
        <v>75941.0</v>
      </c>
      <c r="AK741" s="38">
        <v>0.0</v>
      </c>
      <c r="AL741" s="38">
        <v>250.8</v>
      </c>
      <c r="AM741" s="38">
        <v>0.0</v>
      </c>
      <c r="AN741" s="34" t="s">
        <v>62</v>
      </c>
      <c r="AO741" s="34" t="s">
        <v>62</v>
      </c>
      <c r="AP741" s="34" t="s">
        <v>62</v>
      </c>
      <c r="AQ741" s="34" t="s">
        <v>62</v>
      </c>
      <c r="AR741" s="38">
        <v>0.0</v>
      </c>
      <c r="AS741" s="38" t="s">
        <v>2923</v>
      </c>
      <c r="AT741" s="35" t="s">
        <v>2202</v>
      </c>
      <c r="AU741" s="39" t="s">
        <v>2203</v>
      </c>
      <c r="AV741" s="40">
        <v>46168.0</v>
      </c>
    </row>
    <row r="742">
      <c r="A742" s="38">
        <v>309.0</v>
      </c>
      <c r="B742" s="38">
        <v>308.0</v>
      </c>
      <c r="C742" s="38">
        <v>308.0</v>
      </c>
      <c r="D742" s="38">
        <v>9.0240107E7</v>
      </c>
      <c r="E742" s="38">
        <v>9.0240107E7</v>
      </c>
      <c r="F742" s="38">
        <v>8.90505271E8</v>
      </c>
      <c r="G742" s="18" t="s">
        <v>1516</v>
      </c>
      <c r="H742" s="18" t="s">
        <v>3017</v>
      </c>
      <c r="I742" s="18" t="s">
        <v>343</v>
      </c>
      <c r="J742" s="18" t="s">
        <v>2205</v>
      </c>
      <c r="K742" s="18" t="s">
        <v>2205</v>
      </c>
      <c r="L742" s="18" t="s">
        <v>52</v>
      </c>
      <c r="M742" s="18" t="s">
        <v>89</v>
      </c>
      <c r="N742" s="18" t="s">
        <v>861</v>
      </c>
      <c r="O742" s="18" t="s">
        <v>126</v>
      </c>
      <c r="P742" s="18" t="s">
        <v>131</v>
      </c>
      <c r="Q742" s="18" t="s">
        <v>132</v>
      </c>
      <c r="R742" s="18" t="s">
        <v>133</v>
      </c>
      <c r="S742" s="18" t="s">
        <v>59</v>
      </c>
      <c r="T742" s="38">
        <v>2026.0</v>
      </c>
      <c r="U742" s="38">
        <v>5.0</v>
      </c>
      <c r="V742" s="38">
        <v>1.081522836E9</v>
      </c>
      <c r="W742" s="38">
        <v>1.081540906E9</v>
      </c>
      <c r="X742" s="18" t="s">
        <v>2199</v>
      </c>
      <c r="Y742" s="18" t="s">
        <v>2200</v>
      </c>
      <c r="Z742" s="38">
        <v>113911.5</v>
      </c>
      <c r="AA742" s="38">
        <v>113911.5</v>
      </c>
      <c r="AB742" s="38">
        <v>37970.5</v>
      </c>
      <c r="AC742" s="38">
        <v>0.0</v>
      </c>
      <c r="AD742" s="38">
        <v>0.0</v>
      </c>
      <c r="AE742" s="38">
        <v>0.0</v>
      </c>
      <c r="AF742" s="38">
        <v>0.0</v>
      </c>
      <c r="AG742" s="38">
        <v>0.0</v>
      </c>
      <c r="AH742" s="38">
        <v>0.0</v>
      </c>
      <c r="AI742" s="38">
        <v>113911.5</v>
      </c>
      <c r="AJ742" s="38">
        <v>113911.5</v>
      </c>
      <c r="AK742" s="38">
        <v>0.0</v>
      </c>
      <c r="AL742" s="38">
        <v>376.2</v>
      </c>
      <c r="AM742" s="38">
        <v>0.0</v>
      </c>
      <c r="AN742" s="34" t="s">
        <v>62</v>
      </c>
      <c r="AO742" s="34" t="s">
        <v>62</v>
      </c>
      <c r="AP742" s="34" t="s">
        <v>62</v>
      </c>
      <c r="AQ742" s="34" t="s">
        <v>62</v>
      </c>
      <c r="AR742" s="38">
        <v>0.0</v>
      </c>
      <c r="AS742" s="38" t="s">
        <v>3018</v>
      </c>
      <c r="AT742" s="35" t="s">
        <v>2202</v>
      </c>
      <c r="AU742" s="39" t="s">
        <v>2254</v>
      </c>
      <c r="AV742" s="40">
        <v>46171.0</v>
      </c>
    </row>
    <row r="743">
      <c r="A743" s="38">
        <v>31169.0</v>
      </c>
      <c r="B743" s="38">
        <v>31168.0</v>
      </c>
      <c r="C743" s="38">
        <v>31168.0</v>
      </c>
      <c r="D743" s="38">
        <v>92929.0</v>
      </c>
      <c r="E743" s="38">
        <v>92929.0</v>
      </c>
      <c r="F743" s="38">
        <v>92929.0</v>
      </c>
      <c r="G743" s="18" t="s">
        <v>1518</v>
      </c>
      <c r="H743" s="18" t="s">
        <v>3019</v>
      </c>
      <c r="I743" s="18" t="s">
        <v>1519</v>
      </c>
      <c r="J743" s="18" t="s">
        <v>2205</v>
      </c>
      <c r="K743" s="18" t="s">
        <v>2270</v>
      </c>
      <c r="L743" s="18" t="s">
        <v>52</v>
      </c>
      <c r="M743" s="18" t="s">
        <v>53</v>
      </c>
      <c r="N743" s="18" t="s">
        <v>861</v>
      </c>
      <c r="O743" s="18" t="s">
        <v>126</v>
      </c>
      <c r="P743" s="18" t="s">
        <v>131</v>
      </c>
      <c r="Q743" s="18" t="s">
        <v>538</v>
      </c>
      <c r="R743" s="18" t="s">
        <v>133</v>
      </c>
      <c r="S743" s="18" t="s">
        <v>59</v>
      </c>
      <c r="T743" s="38">
        <v>2026.0</v>
      </c>
      <c r="U743" s="38">
        <v>5.0</v>
      </c>
      <c r="V743" s="38">
        <v>1.081523062E9</v>
      </c>
      <c r="W743" s="38">
        <v>1.081541132E9</v>
      </c>
      <c r="X743" s="18" t="s">
        <v>2199</v>
      </c>
      <c r="Y743" s="18" t="s">
        <v>2200</v>
      </c>
      <c r="Z743" s="38">
        <v>279389.5</v>
      </c>
      <c r="AA743" s="38">
        <v>279389.5</v>
      </c>
      <c r="AB743" s="38">
        <v>32385.5</v>
      </c>
      <c r="AC743" s="38">
        <v>0.0</v>
      </c>
      <c r="AD743" s="38">
        <v>0.0</v>
      </c>
      <c r="AE743" s="38">
        <v>0.0</v>
      </c>
      <c r="AF743" s="38">
        <v>0.0</v>
      </c>
      <c r="AG743" s="38">
        <v>0.0</v>
      </c>
      <c r="AH743" s="38">
        <v>0.0</v>
      </c>
      <c r="AI743" s="38">
        <v>279389.5</v>
      </c>
      <c r="AJ743" s="38">
        <v>375443.5</v>
      </c>
      <c r="AK743" s="38">
        <v>1.0</v>
      </c>
      <c r="AL743" s="38">
        <v>188653.0</v>
      </c>
      <c r="AM743" s="38">
        <v>0.0</v>
      </c>
      <c r="AN743" s="34" t="s">
        <v>62</v>
      </c>
      <c r="AO743" s="34" t="s">
        <v>62</v>
      </c>
      <c r="AP743" s="34" t="s">
        <v>62</v>
      </c>
      <c r="AQ743" s="34" t="s">
        <v>62</v>
      </c>
      <c r="AR743" s="38">
        <v>0.0</v>
      </c>
      <c r="AS743" s="38" t="s">
        <v>2271</v>
      </c>
      <c r="AT743" s="38" t="s">
        <v>2202</v>
      </c>
      <c r="AU743" s="39" t="s">
        <v>2203</v>
      </c>
      <c r="AV743" s="40">
        <v>46163.0</v>
      </c>
    </row>
    <row r="744">
      <c r="A744" s="38">
        <v>701.0</v>
      </c>
      <c r="B744" s="38">
        <v>316.0</v>
      </c>
      <c r="C744" s="38">
        <v>316.0</v>
      </c>
      <c r="D744" s="38">
        <v>9.024034E7</v>
      </c>
      <c r="E744" s="38">
        <v>9.024034E7</v>
      </c>
      <c r="F744" s="18" t="s">
        <v>1008</v>
      </c>
      <c r="G744" s="18" t="s">
        <v>1009</v>
      </c>
      <c r="H744" s="18" t="s">
        <v>3020</v>
      </c>
      <c r="I744" s="18" t="s">
        <v>343</v>
      </c>
      <c r="J744" s="18" t="s">
        <v>2205</v>
      </c>
      <c r="K744" s="18" t="s">
        <v>1009</v>
      </c>
      <c r="L744" s="18" t="s">
        <v>52</v>
      </c>
      <c r="M744" s="18" t="s">
        <v>89</v>
      </c>
      <c r="N744" s="18" t="s">
        <v>861</v>
      </c>
      <c r="O744" s="18" t="s">
        <v>126</v>
      </c>
      <c r="P744" s="18" t="s">
        <v>56</v>
      </c>
      <c r="Q744" s="18" t="s">
        <v>90</v>
      </c>
      <c r="R744" s="18" t="s">
        <v>143</v>
      </c>
      <c r="S744" s="18" t="s">
        <v>59</v>
      </c>
      <c r="T744" s="38">
        <v>2026.0</v>
      </c>
      <c r="U744" s="38">
        <v>5.0</v>
      </c>
      <c r="V744" s="38">
        <v>1.081522839E9</v>
      </c>
      <c r="W744" s="38">
        <v>1.081540909E9</v>
      </c>
      <c r="X744" s="18" t="s">
        <v>2199</v>
      </c>
      <c r="Y744" s="18" t="s">
        <v>2200</v>
      </c>
      <c r="Z744" s="38">
        <v>128422.13</v>
      </c>
      <c r="AA744" s="38">
        <v>128422.13</v>
      </c>
      <c r="AB744" s="38">
        <v>42807.38</v>
      </c>
      <c r="AC744" s="38">
        <v>250.0</v>
      </c>
      <c r="AD744" s="38">
        <v>0.0</v>
      </c>
      <c r="AE744" s="38">
        <v>0.0</v>
      </c>
      <c r="AF744" s="38">
        <v>0.0</v>
      </c>
      <c r="AG744" s="38">
        <v>0.0</v>
      </c>
      <c r="AH744" s="38">
        <v>0.0</v>
      </c>
      <c r="AI744" s="38">
        <v>128422.13</v>
      </c>
      <c r="AJ744" s="38">
        <v>128422.13</v>
      </c>
      <c r="AK744" s="38">
        <v>0.0</v>
      </c>
      <c r="AL744" s="38">
        <v>376.2</v>
      </c>
      <c r="AM744" s="38">
        <v>0.0</v>
      </c>
      <c r="AN744" s="34" t="s">
        <v>62</v>
      </c>
      <c r="AO744" s="34" t="s">
        <v>62</v>
      </c>
      <c r="AP744" s="34" t="s">
        <v>62</v>
      </c>
      <c r="AQ744" s="34" t="s">
        <v>62</v>
      </c>
      <c r="AR744" s="38">
        <v>0.0</v>
      </c>
      <c r="AS744" s="38" t="s">
        <v>3021</v>
      </c>
      <c r="AT744" s="35" t="s">
        <v>2202</v>
      </c>
      <c r="AU744" s="39" t="s">
        <v>2203</v>
      </c>
      <c r="AV744" s="40">
        <v>46163.0</v>
      </c>
    </row>
    <row r="745">
      <c r="A745" s="38">
        <v>455370.0</v>
      </c>
      <c r="B745" s="38">
        <v>320.0</v>
      </c>
      <c r="C745" s="38">
        <v>320.0</v>
      </c>
      <c r="D745" s="38">
        <v>9.0240556E7</v>
      </c>
      <c r="E745" s="38">
        <v>9.0240556E7</v>
      </c>
      <c r="F745" s="18" t="s">
        <v>148</v>
      </c>
      <c r="G745" s="18" t="s">
        <v>149</v>
      </c>
      <c r="H745" s="18" t="s">
        <v>2296</v>
      </c>
      <c r="I745" s="18" t="s">
        <v>343</v>
      </c>
      <c r="J745" s="18" t="s">
        <v>2205</v>
      </c>
      <c r="K745" s="18" t="s">
        <v>2611</v>
      </c>
      <c r="L745" s="18" t="s">
        <v>52</v>
      </c>
      <c r="M745" s="18" t="s">
        <v>53</v>
      </c>
      <c r="N745" s="18" t="s">
        <v>861</v>
      </c>
      <c r="O745" s="18" t="s">
        <v>126</v>
      </c>
      <c r="P745" s="18" t="s">
        <v>56</v>
      </c>
      <c r="Q745" s="18" t="s">
        <v>57</v>
      </c>
      <c r="R745" s="18" t="s">
        <v>143</v>
      </c>
      <c r="S745" s="18" t="s">
        <v>59</v>
      </c>
      <c r="T745" s="38">
        <v>2026.0</v>
      </c>
      <c r="U745" s="38">
        <v>5.0</v>
      </c>
      <c r="V745" s="38">
        <v>1.081522844E9</v>
      </c>
      <c r="W745" s="38">
        <v>1.081540914E9</v>
      </c>
      <c r="X745" s="18" t="s">
        <v>2199</v>
      </c>
      <c r="Y745" s="18" t="s">
        <v>2200</v>
      </c>
      <c r="Z745" s="38">
        <v>412089.67</v>
      </c>
      <c r="AA745" s="38">
        <v>412089.67</v>
      </c>
      <c r="AB745" s="38">
        <v>0.0</v>
      </c>
      <c r="AC745" s="38">
        <v>1970.0</v>
      </c>
      <c r="AD745" s="38">
        <v>0.0</v>
      </c>
      <c r="AE745" s="38">
        <v>0.0</v>
      </c>
      <c r="AF745" s="38">
        <v>0.0</v>
      </c>
      <c r="AG745" s="38">
        <v>0.0</v>
      </c>
      <c r="AH745" s="38">
        <v>0.0</v>
      </c>
      <c r="AI745" s="38">
        <v>412089.67</v>
      </c>
      <c r="AJ745" s="38">
        <v>977583.78</v>
      </c>
      <c r="AK745" s="38">
        <v>3.0</v>
      </c>
      <c r="AL745" s="38">
        <v>250.8</v>
      </c>
      <c r="AM745" s="38">
        <v>0.0</v>
      </c>
      <c r="AN745" s="34" t="s">
        <v>62</v>
      </c>
      <c r="AO745" s="34" t="s">
        <v>62</v>
      </c>
      <c r="AP745" s="34" t="s">
        <v>62</v>
      </c>
      <c r="AQ745" s="34" t="s">
        <v>62</v>
      </c>
      <c r="AR745" s="38">
        <v>0.0</v>
      </c>
      <c r="AS745" s="38" t="s">
        <v>2293</v>
      </c>
      <c r="AT745" s="35" t="s">
        <v>2294</v>
      </c>
      <c r="AU745" s="39" t="s">
        <v>2295</v>
      </c>
      <c r="AV745" s="40">
        <v>46164.0</v>
      </c>
    </row>
    <row r="746">
      <c r="A746" s="38">
        <v>701.0</v>
      </c>
      <c r="B746" s="38">
        <v>324.0</v>
      </c>
      <c r="C746" s="38">
        <v>324.0</v>
      </c>
      <c r="D746" s="38">
        <v>9.0240853E7</v>
      </c>
      <c r="E746" s="38">
        <v>9.0240853E7</v>
      </c>
      <c r="F746" s="18" t="s">
        <v>1008</v>
      </c>
      <c r="G746" s="18" t="s">
        <v>1009</v>
      </c>
      <c r="H746" s="18" t="s">
        <v>3020</v>
      </c>
      <c r="I746" s="18" t="s">
        <v>343</v>
      </c>
      <c r="J746" s="18" t="s">
        <v>2205</v>
      </c>
      <c r="K746" s="18" t="s">
        <v>1009</v>
      </c>
      <c r="L746" s="18" t="s">
        <v>52</v>
      </c>
      <c r="M746" s="18" t="s">
        <v>89</v>
      </c>
      <c r="N746" s="18" t="s">
        <v>861</v>
      </c>
      <c r="O746" s="18" t="s">
        <v>126</v>
      </c>
      <c r="P746" s="18" t="s">
        <v>56</v>
      </c>
      <c r="Q746" s="18" t="s">
        <v>90</v>
      </c>
      <c r="R746" s="18" t="s">
        <v>143</v>
      </c>
      <c r="S746" s="18" t="s">
        <v>59</v>
      </c>
      <c r="T746" s="38">
        <v>2026.0</v>
      </c>
      <c r="U746" s="38">
        <v>5.0</v>
      </c>
      <c r="V746" s="38">
        <v>1.081522847E9</v>
      </c>
      <c r="W746" s="38">
        <v>1.081540917E9</v>
      </c>
      <c r="X746" s="18" t="s">
        <v>2199</v>
      </c>
      <c r="Y746" s="18" t="s">
        <v>2200</v>
      </c>
      <c r="Z746" s="38">
        <v>220955.01</v>
      </c>
      <c r="AA746" s="38">
        <v>220955.01</v>
      </c>
      <c r="AB746" s="38">
        <v>73651.68</v>
      </c>
      <c r="AC746" s="38">
        <v>575.0</v>
      </c>
      <c r="AD746" s="38">
        <v>0.0</v>
      </c>
      <c r="AE746" s="38">
        <v>0.0</v>
      </c>
      <c r="AF746" s="38">
        <v>0.0</v>
      </c>
      <c r="AG746" s="38">
        <v>0.0</v>
      </c>
      <c r="AH746" s="38">
        <v>0.0</v>
      </c>
      <c r="AI746" s="38">
        <v>220955.01</v>
      </c>
      <c r="AJ746" s="38">
        <v>220955.01</v>
      </c>
      <c r="AK746" s="38">
        <v>0.0</v>
      </c>
      <c r="AL746" s="38">
        <v>376.2</v>
      </c>
      <c r="AM746" s="38">
        <v>0.0</v>
      </c>
      <c r="AN746" s="34" t="s">
        <v>62</v>
      </c>
      <c r="AO746" s="34" t="s">
        <v>62</v>
      </c>
      <c r="AP746" s="34" t="s">
        <v>62</v>
      </c>
      <c r="AQ746" s="34" t="s">
        <v>62</v>
      </c>
      <c r="AR746" s="38">
        <v>0.0</v>
      </c>
      <c r="AS746" s="38" t="s">
        <v>3021</v>
      </c>
      <c r="AT746" s="35" t="s">
        <v>2202</v>
      </c>
      <c r="AU746" s="39" t="s">
        <v>2203</v>
      </c>
      <c r="AV746" s="40">
        <v>46163.0</v>
      </c>
    </row>
    <row r="747">
      <c r="A747" s="38">
        <v>329.0</v>
      </c>
      <c r="B747" s="38">
        <v>328.0</v>
      </c>
      <c r="C747" s="38">
        <v>328.0</v>
      </c>
      <c r="D747" s="38">
        <v>9.024088E7</v>
      </c>
      <c r="E747" s="38">
        <v>9.024088E7</v>
      </c>
      <c r="F747" s="38">
        <v>9.024088E7</v>
      </c>
      <c r="G747" s="18" t="s">
        <v>1524</v>
      </c>
      <c r="H747" s="18" t="s">
        <v>3022</v>
      </c>
      <c r="I747" s="18" t="s">
        <v>343</v>
      </c>
      <c r="J747" s="18" t="s">
        <v>982</v>
      </c>
      <c r="K747" s="18" t="s">
        <v>2205</v>
      </c>
      <c r="L747" s="18" t="s">
        <v>52</v>
      </c>
      <c r="M747" s="18" t="s">
        <v>89</v>
      </c>
      <c r="N747" s="18" t="s">
        <v>861</v>
      </c>
      <c r="O747" s="18" t="s">
        <v>126</v>
      </c>
      <c r="P747" s="18" t="s">
        <v>131</v>
      </c>
      <c r="Q747" s="18" t="s">
        <v>363</v>
      </c>
      <c r="R747" s="18" t="s">
        <v>133</v>
      </c>
      <c r="S747" s="18" t="s">
        <v>59</v>
      </c>
      <c r="T747" s="38">
        <v>2026.0</v>
      </c>
      <c r="U747" s="38">
        <v>5.0</v>
      </c>
      <c r="V747" s="38">
        <v>1.081522851E9</v>
      </c>
      <c r="W747" s="38">
        <v>1.081540921E9</v>
      </c>
      <c r="X747" s="18" t="s">
        <v>2199</v>
      </c>
      <c r="Y747" s="18" t="s">
        <v>2200</v>
      </c>
      <c r="Z747" s="38">
        <v>77303.06</v>
      </c>
      <c r="AA747" s="38">
        <v>77303.06</v>
      </c>
      <c r="AB747" s="38">
        <v>25380.5</v>
      </c>
      <c r="AC747" s="38">
        <v>0.0</v>
      </c>
      <c r="AD747" s="38">
        <v>1161.56</v>
      </c>
      <c r="AE747" s="38">
        <v>0.0</v>
      </c>
      <c r="AF747" s="38">
        <v>0.0</v>
      </c>
      <c r="AG747" s="38">
        <v>0.0</v>
      </c>
      <c r="AH747" s="38">
        <v>0.0</v>
      </c>
      <c r="AI747" s="38">
        <v>77303.06</v>
      </c>
      <c r="AJ747" s="38">
        <v>154375.61</v>
      </c>
      <c r="AK747" s="38">
        <v>1.0</v>
      </c>
      <c r="AL747" s="38">
        <v>376.2</v>
      </c>
      <c r="AM747" s="38">
        <v>0.0</v>
      </c>
      <c r="AN747" s="34" t="s">
        <v>62</v>
      </c>
      <c r="AO747" s="34" t="s">
        <v>62</v>
      </c>
      <c r="AP747" s="34" t="s">
        <v>62</v>
      </c>
      <c r="AQ747" s="34" t="s">
        <v>62</v>
      </c>
      <c r="AR747" s="38">
        <v>0.0</v>
      </c>
      <c r="AS747" s="38" t="s">
        <v>3023</v>
      </c>
      <c r="AT747" s="35" t="s">
        <v>2275</v>
      </c>
      <c r="AU747" s="39" t="s">
        <v>2475</v>
      </c>
      <c r="AV747" s="40">
        <v>46163.0</v>
      </c>
    </row>
    <row r="748">
      <c r="A748" s="38">
        <v>333.0</v>
      </c>
      <c r="B748" s="38">
        <v>332.0</v>
      </c>
      <c r="C748" s="38">
        <v>332.0</v>
      </c>
      <c r="D748" s="38">
        <v>9.0240991E7</v>
      </c>
      <c r="E748" s="38">
        <v>9.0240991E7</v>
      </c>
      <c r="F748" s="18" t="s">
        <v>1526</v>
      </c>
      <c r="G748" s="18" t="s">
        <v>1527</v>
      </c>
      <c r="H748" s="18" t="s">
        <v>3024</v>
      </c>
      <c r="I748" s="18" t="s">
        <v>982</v>
      </c>
      <c r="J748" s="18" t="s">
        <v>2205</v>
      </c>
      <c r="K748" s="18" t="s">
        <v>2205</v>
      </c>
      <c r="L748" s="18" t="s">
        <v>52</v>
      </c>
      <c r="M748" s="18" t="s">
        <v>89</v>
      </c>
      <c r="N748" s="18" t="s">
        <v>861</v>
      </c>
      <c r="O748" s="18" t="s">
        <v>126</v>
      </c>
      <c r="P748" s="18" t="s">
        <v>131</v>
      </c>
      <c r="Q748" s="18" t="s">
        <v>132</v>
      </c>
      <c r="R748" s="18" t="s">
        <v>133</v>
      </c>
      <c r="S748" s="18" t="s">
        <v>59</v>
      </c>
      <c r="T748" s="38">
        <v>2026.0</v>
      </c>
      <c r="U748" s="38">
        <v>5.0</v>
      </c>
      <c r="V748" s="38">
        <v>1.081522856E9</v>
      </c>
      <c r="W748" s="38">
        <v>1.081540926E9</v>
      </c>
      <c r="X748" s="18" t="s">
        <v>2199</v>
      </c>
      <c r="Y748" s="18" t="s">
        <v>2200</v>
      </c>
      <c r="Z748" s="38">
        <v>177828.55</v>
      </c>
      <c r="AA748" s="38">
        <v>177828.55</v>
      </c>
      <c r="AB748" s="38">
        <v>37970.5</v>
      </c>
      <c r="AC748" s="38">
        <v>0.0</v>
      </c>
      <c r="AD748" s="38">
        <v>63917.05</v>
      </c>
      <c r="AE748" s="38">
        <v>0.0</v>
      </c>
      <c r="AF748" s="38">
        <v>0.0</v>
      </c>
      <c r="AG748" s="38">
        <v>0.0</v>
      </c>
      <c r="AH748" s="38">
        <v>0.0</v>
      </c>
      <c r="AI748" s="38">
        <v>177828.55</v>
      </c>
      <c r="AJ748" s="38">
        <v>4195649.92</v>
      </c>
      <c r="AK748" s="38">
        <v>36.0</v>
      </c>
      <c r="AL748" s="38">
        <v>376.2</v>
      </c>
      <c r="AM748" s="38">
        <v>0.0</v>
      </c>
      <c r="AN748" s="34" t="s">
        <v>62</v>
      </c>
      <c r="AO748" s="34" t="s">
        <v>62</v>
      </c>
      <c r="AP748" s="34" t="s">
        <v>62</v>
      </c>
      <c r="AQ748" s="34" t="s">
        <v>62</v>
      </c>
      <c r="AR748" s="38">
        <v>0.0</v>
      </c>
      <c r="AS748" s="38" t="s">
        <v>3025</v>
      </c>
      <c r="AT748" s="35" t="s">
        <v>2202</v>
      </c>
      <c r="AU748" s="39" t="s">
        <v>2254</v>
      </c>
      <c r="AV748" s="40">
        <v>46171.0</v>
      </c>
    </row>
    <row r="749">
      <c r="A749" s="38">
        <v>337.0</v>
      </c>
      <c r="B749" s="38">
        <v>336.0</v>
      </c>
      <c r="C749" s="38">
        <v>336.0</v>
      </c>
      <c r="D749" s="38">
        <v>9.0241158E7</v>
      </c>
      <c r="E749" s="38">
        <v>9.0241158E7</v>
      </c>
      <c r="F749" s="18" t="s">
        <v>1529</v>
      </c>
      <c r="G749" s="18" t="s">
        <v>1530</v>
      </c>
      <c r="H749" s="18" t="s">
        <v>3026</v>
      </c>
      <c r="I749" s="18" t="s">
        <v>982</v>
      </c>
      <c r="J749" s="18" t="s">
        <v>2205</v>
      </c>
      <c r="K749" s="18" t="s">
        <v>2205</v>
      </c>
      <c r="L749" s="18" t="s">
        <v>52</v>
      </c>
      <c r="M749" s="18" t="s">
        <v>89</v>
      </c>
      <c r="N749" s="18" t="s">
        <v>861</v>
      </c>
      <c r="O749" s="18" t="s">
        <v>126</v>
      </c>
      <c r="P749" s="18" t="s">
        <v>131</v>
      </c>
      <c r="Q749" s="18" t="s">
        <v>132</v>
      </c>
      <c r="R749" s="18" t="s">
        <v>133</v>
      </c>
      <c r="S749" s="18" t="s">
        <v>59</v>
      </c>
      <c r="T749" s="38">
        <v>2026.0</v>
      </c>
      <c r="U749" s="38">
        <v>5.0</v>
      </c>
      <c r="V749" s="38">
        <v>1.081522863E9</v>
      </c>
      <c r="W749" s="38">
        <v>1.081540933E9</v>
      </c>
      <c r="X749" s="18" t="s">
        <v>2199</v>
      </c>
      <c r="Y749" s="18" t="s">
        <v>2200</v>
      </c>
      <c r="Z749" s="38">
        <v>135183.87</v>
      </c>
      <c r="AA749" s="38">
        <v>135183.87</v>
      </c>
      <c r="AB749" s="38">
        <v>37970.5</v>
      </c>
      <c r="AC749" s="38">
        <v>0.0</v>
      </c>
      <c r="AD749" s="38">
        <v>21272.37</v>
      </c>
      <c r="AE749" s="38">
        <v>0.0</v>
      </c>
      <c r="AF749" s="38">
        <v>0.0</v>
      </c>
      <c r="AG749" s="38">
        <v>0.0</v>
      </c>
      <c r="AH749" s="38">
        <v>0.0</v>
      </c>
      <c r="AI749" s="38">
        <v>135183.87</v>
      </c>
      <c r="AJ749" s="38">
        <v>1411278.74</v>
      </c>
      <c r="AK749" s="38">
        <v>12.0</v>
      </c>
      <c r="AL749" s="38">
        <v>376.2</v>
      </c>
      <c r="AM749" s="38">
        <v>0.0</v>
      </c>
      <c r="AN749" s="34" t="s">
        <v>62</v>
      </c>
      <c r="AO749" s="34" t="s">
        <v>62</v>
      </c>
      <c r="AP749" s="34" t="s">
        <v>62</v>
      </c>
      <c r="AQ749" s="34" t="s">
        <v>62</v>
      </c>
      <c r="AR749" s="38">
        <v>0.0</v>
      </c>
      <c r="AS749" s="38" t="s">
        <v>3027</v>
      </c>
      <c r="AT749" s="35" t="s">
        <v>2202</v>
      </c>
      <c r="AU749" s="39" t="s">
        <v>2254</v>
      </c>
      <c r="AV749" s="40">
        <v>46171.0</v>
      </c>
    </row>
    <row r="750">
      <c r="A750" s="38">
        <v>398.0</v>
      </c>
      <c r="B750" s="38">
        <v>341024.0</v>
      </c>
      <c r="C750" s="38">
        <v>341024.0</v>
      </c>
      <c r="D750" s="38">
        <v>16.0</v>
      </c>
      <c r="E750" s="38">
        <v>16.0</v>
      </c>
      <c r="F750" s="18" t="s">
        <v>1532</v>
      </c>
      <c r="G750" s="18" t="s">
        <v>1533</v>
      </c>
      <c r="H750" s="18" t="s">
        <v>2863</v>
      </c>
      <c r="I750" s="18" t="s">
        <v>1534</v>
      </c>
      <c r="J750" s="18" t="s">
        <v>2205</v>
      </c>
      <c r="K750" s="18" t="s">
        <v>2205</v>
      </c>
      <c r="L750" s="18" t="s">
        <v>52</v>
      </c>
      <c r="M750" s="18" t="s">
        <v>53</v>
      </c>
      <c r="N750" s="18" t="s">
        <v>861</v>
      </c>
      <c r="O750" s="18" t="s">
        <v>126</v>
      </c>
      <c r="P750" s="18" t="s">
        <v>131</v>
      </c>
      <c r="Q750" s="18" t="s">
        <v>151</v>
      </c>
      <c r="R750" s="18" t="s">
        <v>133</v>
      </c>
      <c r="S750" s="18" t="s">
        <v>59</v>
      </c>
      <c r="T750" s="38">
        <v>2026.0</v>
      </c>
      <c r="U750" s="38">
        <v>5.0</v>
      </c>
      <c r="V750" s="38">
        <v>1.081523139E9</v>
      </c>
      <c r="W750" s="38">
        <v>1.081541209E9</v>
      </c>
      <c r="X750" s="18" t="s">
        <v>2199</v>
      </c>
      <c r="Y750" s="18" t="s">
        <v>2200</v>
      </c>
      <c r="Z750" s="38">
        <v>75941.0</v>
      </c>
      <c r="AA750" s="38">
        <v>75941.0</v>
      </c>
      <c r="AB750" s="38">
        <v>0.0</v>
      </c>
      <c r="AC750" s="38">
        <v>0.0</v>
      </c>
      <c r="AD750" s="38">
        <v>0.0</v>
      </c>
      <c r="AE750" s="38">
        <v>0.0</v>
      </c>
      <c r="AF750" s="38">
        <v>0.0</v>
      </c>
      <c r="AG750" s="38">
        <v>0.0</v>
      </c>
      <c r="AH750" s="38">
        <v>0.0</v>
      </c>
      <c r="AI750" s="38">
        <v>75941.0</v>
      </c>
      <c r="AJ750" s="38">
        <v>75941.0</v>
      </c>
      <c r="AK750" s="38">
        <v>0.0</v>
      </c>
      <c r="AL750" s="38">
        <v>250.8</v>
      </c>
      <c r="AM750" s="38">
        <v>0.0</v>
      </c>
      <c r="AN750" s="34" t="s">
        <v>62</v>
      </c>
      <c r="AO750" s="34" t="s">
        <v>62</v>
      </c>
      <c r="AP750" s="34" t="s">
        <v>62</v>
      </c>
      <c r="AQ750" s="34" t="s">
        <v>62</v>
      </c>
      <c r="AR750" s="38">
        <v>0.0</v>
      </c>
      <c r="AS750" s="38" t="s">
        <v>2864</v>
      </c>
      <c r="AT750" s="35" t="s">
        <v>2202</v>
      </c>
      <c r="AU750" s="39" t="s">
        <v>2254</v>
      </c>
      <c r="AV750" s="40">
        <v>46171.0</v>
      </c>
    </row>
    <row r="751">
      <c r="A751" s="38">
        <v>345.0</v>
      </c>
      <c r="B751" s="38">
        <v>344.0</v>
      </c>
      <c r="C751" s="38">
        <v>344.0</v>
      </c>
      <c r="D751" s="38">
        <v>9.0241526E7</v>
      </c>
      <c r="E751" s="38">
        <v>9.0241526E7</v>
      </c>
      <c r="F751" s="38">
        <v>8.90505594E8</v>
      </c>
      <c r="G751" s="18" t="s">
        <v>1536</v>
      </c>
      <c r="H751" s="18" t="s">
        <v>3028</v>
      </c>
      <c r="I751" s="18" t="s">
        <v>982</v>
      </c>
      <c r="J751" s="18" t="s">
        <v>2205</v>
      </c>
      <c r="K751" s="18" t="s">
        <v>2205</v>
      </c>
      <c r="L751" s="18" t="s">
        <v>52</v>
      </c>
      <c r="M751" s="18" t="s">
        <v>89</v>
      </c>
      <c r="N751" s="18" t="s">
        <v>861</v>
      </c>
      <c r="O751" s="18" t="s">
        <v>126</v>
      </c>
      <c r="P751" s="18" t="s">
        <v>56</v>
      </c>
      <c r="Q751" s="18" t="s">
        <v>90</v>
      </c>
      <c r="R751" s="18" t="s">
        <v>143</v>
      </c>
      <c r="S751" s="18" t="s">
        <v>59</v>
      </c>
      <c r="T751" s="38">
        <v>2026.0</v>
      </c>
      <c r="U751" s="38">
        <v>5.0</v>
      </c>
      <c r="V751" s="38">
        <v>1.081522868E9</v>
      </c>
      <c r="W751" s="38">
        <v>1.081540938E9</v>
      </c>
      <c r="X751" s="18" t="s">
        <v>2199</v>
      </c>
      <c r="Y751" s="18" t="s">
        <v>2200</v>
      </c>
      <c r="Z751" s="38">
        <v>484317.75</v>
      </c>
      <c r="AA751" s="38">
        <v>484317.75</v>
      </c>
      <c r="AB751" s="38">
        <v>161439.25</v>
      </c>
      <c r="AC751" s="38">
        <v>1500.0</v>
      </c>
      <c r="AD751" s="38">
        <v>0.0</v>
      </c>
      <c r="AE751" s="38">
        <v>0.0</v>
      </c>
      <c r="AF751" s="38">
        <v>0.0</v>
      </c>
      <c r="AG751" s="38">
        <v>0.0</v>
      </c>
      <c r="AH751" s="38">
        <v>0.0</v>
      </c>
      <c r="AI751" s="38">
        <v>484317.75</v>
      </c>
      <c r="AJ751" s="38">
        <v>484317.75</v>
      </c>
      <c r="AK751" s="38">
        <v>0.0</v>
      </c>
      <c r="AL751" s="38">
        <v>376.2</v>
      </c>
      <c r="AM751" s="38">
        <v>0.0</v>
      </c>
      <c r="AN751" s="34" t="s">
        <v>62</v>
      </c>
      <c r="AO751" s="34" t="s">
        <v>62</v>
      </c>
      <c r="AP751" s="34" t="s">
        <v>62</v>
      </c>
      <c r="AQ751" s="34" t="s">
        <v>62</v>
      </c>
      <c r="AR751" s="38">
        <v>0.0</v>
      </c>
      <c r="AS751" s="38" t="s">
        <v>3029</v>
      </c>
      <c r="AT751" s="35" t="s">
        <v>2202</v>
      </c>
      <c r="AU751" s="39" t="s">
        <v>2254</v>
      </c>
      <c r="AV751" s="40">
        <v>46171.0</v>
      </c>
    </row>
    <row r="752">
      <c r="A752" s="38">
        <v>455370.0</v>
      </c>
      <c r="B752" s="38">
        <v>352.0</v>
      </c>
      <c r="C752" s="38">
        <v>352.0</v>
      </c>
      <c r="D752" s="38">
        <v>9.0242442E7</v>
      </c>
      <c r="E752" s="38">
        <v>9.0242442E7</v>
      </c>
      <c r="F752" s="18" t="s">
        <v>148</v>
      </c>
      <c r="G752" s="18" t="s">
        <v>149</v>
      </c>
      <c r="H752" s="18" t="s">
        <v>2296</v>
      </c>
      <c r="I752" s="18" t="s">
        <v>982</v>
      </c>
      <c r="J752" s="18" t="s">
        <v>2205</v>
      </c>
      <c r="K752" s="18" t="s">
        <v>2611</v>
      </c>
      <c r="L752" s="18" t="s">
        <v>52</v>
      </c>
      <c r="M752" s="18" t="s">
        <v>53</v>
      </c>
      <c r="N752" s="18" t="s">
        <v>861</v>
      </c>
      <c r="O752" s="18" t="s">
        <v>126</v>
      </c>
      <c r="P752" s="18" t="s">
        <v>56</v>
      </c>
      <c r="Q752" s="18" t="s">
        <v>57</v>
      </c>
      <c r="R752" s="18" t="s">
        <v>143</v>
      </c>
      <c r="S752" s="18" t="s">
        <v>59</v>
      </c>
      <c r="T752" s="38">
        <v>2026.0</v>
      </c>
      <c r="U752" s="38">
        <v>5.0</v>
      </c>
      <c r="V752" s="38">
        <v>1.081522873E9</v>
      </c>
      <c r="W752" s="38">
        <v>1.081540943E9</v>
      </c>
      <c r="X752" s="18" t="s">
        <v>2199</v>
      </c>
      <c r="Y752" s="18" t="s">
        <v>2200</v>
      </c>
      <c r="Z752" s="38">
        <v>514207.99</v>
      </c>
      <c r="AA752" s="38">
        <v>514207.99</v>
      </c>
      <c r="AB752" s="38">
        <v>0.0</v>
      </c>
      <c r="AC752" s="38">
        <v>2508.0</v>
      </c>
      <c r="AD752" s="38">
        <v>0.0</v>
      </c>
      <c r="AE752" s="38">
        <v>0.0</v>
      </c>
      <c r="AF752" s="38">
        <v>0.0</v>
      </c>
      <c r="AG752" s="38">
        <v>0.0</v>
      </c>
      <c r="AH752" s="38">
        <v>0.0</v>
      </c>
      <c r="AI752" s="38">
        <v>514207.99</v>
      </c>
      <c r="AJ752" s="38">
        <v>1179368.22</v>
      </c>
      <c r="AK752" s="38">
        <v>3.0</v>
      </c>
      <c r="AL752" s="38">
        <v>250.8</v>
      </c>
      <c r="AM752" s="38">
        <v>0.0</v>
      </c>
      <c r="AN752" s="34" t="s">
        <v>62</v>
      </c>
      <c r="AO752" s="34" t="s">
        <v>62</v>
      </c>
      <c r="AP752" s="34" t="s">
        <v>62</v>
      </c>
      <c r="AQ752" s="34" t="s">
        <v>62</v>
      </c>
      <c r="AR752" s="38">
        <v>0.0</v>
      </c>
      <c r="AS752" s="38" t="s">
        <v>2293</v>
      </c>
      <c r="AT752" s="35" t="s">
        <v>2294</v>
      </c>
      <c r="AU752" s="39" t="s">
        <v>2295</v>
      </c>
      <c r="AV752" s="40">
        <v>46164.0</v>
      </c>
    </row>
    <row r="753">
      <c r="A753" s="38">
        <v>355.0</v>
      </c>
      <c r="B753" s="38">
        <v>356.0</v>
      </c>
      <c r="C753" s="38">
        <v>356.0</v>
      </c>
      <c r="D753" s="38">
        <v>9.0242459E7</v>
      </c>
      <c r="E753" s="38">
        <v>9.0242459E7</v>
      </c>
      <c r="F753" s="18" t="s">
        <v>964</v>
      </c>
      <c r="G753" s="18" t="s">
        <v>965</v>
      </c>
      <c r="H753" s="18" t="s">
        <v>2680</v>
      </c>
      <c r="I753" s="18" t="s">
        <v>982</v>
      </c>
      <c r="J753" s="18" t="s">
        <v>2205</v>
      </c>
      <c r="K753" s="18" t="s">
        <v>2681</v>
      </c>
      <c r="L753" s="18" t="s">
        <v>52</v>
      </c>
      <c r="M753" s="18" t="s">
        <v>53</v>
      </c>
      <c r="N753" s="18" t="s">
        <v>861</v>
      </c>
      <c r="O753" s="18" t="s">
        <v>126</v>
      </c>
      <c r="P753" s="18" t="s">
        <v>56</v>
      </c>
      <c r="Q753" s="18" t="s">
        <v>57</v>
      </c>
      <c r="R753" s="18" t="s">
        <v>143</v>
      </c>
      <c r="S753" s="18" t="s">
        <v>59</v>
      </c>
      <c r="T753" s="38">
        <v>2026.0</v>
      </c>
      <c r="U753" s="38">
        <v>5.0</v>
      </c>
      <c r="V753" s="38">
        <v>1.081522877E9</v>
      </c>
      <c r="W753" s="38">
        <v>1.081540947E9</v>
      </c>
      <c r="X753" s="18" t="s">
        <v>2199</v>
      </c>
      <c r="Y753" s="18" t="s">
        <v>2200</v>
      </c>
      <c r="Z753" s="38">
        <v>85614.75</v>
      </c>
      <c r="AA753" s="38">
        <v>85614.75</v>
      </c>
      <c r="AB753" s="38">
        <v>0.0</v>
      </c>
      <c r="AC753" s="38">
        <v>250.0</v>
      </c>
      <c r="AD753" s="38">
        <v>0.0</v>
      </c>
      <c r="AE753" s="38">
        <v>0.0</v>
      </c>
      <c r="AF753" s="38">
        <v>0.0</v>
      </c>
      <c r="AG753" s="38">
        <v>0.0</v>
      </c>
      <c r="AH753" s="38">
        <v>0.0</v>
      </c>
      <c r="AI753" s="38">
        <v>85614.75</v>
      </c>
      <c r="AJ753" s="38">
        <v>85614.75</v>
      </c>
      <c r="AK753" s="38">
        <v>0.0</v>
      </c>
      <c r="AL753" s="38">
        <v>250.8</v>
      </c>
      <c r="AM753" s="38">
        <v>0.0</v>
      </c>
      <c r="AN753" s="34" t="s">
        <v>62</v>
      </c>
      <c r="AO753" s="34" t="s">
        <v>62</v>
      </c>
      <c r="AP753" s="34" t="s">
        <v>62</v>
      </c>
      <c r="AQ753" s="34" t="s">
        <v>62</v>
      </c>
      <c r="AR753" s="38">
        <v>0.0</v>
      </c>
      <c r="AS753" s="38" t="s">
        <v>2682</v>
      </c>
      <c r="AT753" s="35" t="s">
        <v>2202</v>
      </c>
      <c r="AU753" s="39" t="s">
        <v>2203</v>
      </c>
      <c r="AV753" s="40">
        <v>46169.0</v>
      </c>
    </row>
    <row r="754">
      <c r="A754" s="38">
        <v>361.0</v>
      </c>
      <c r="B754" s="38">
        <v>360.0</v>
      </c>
      <c r="C754" s="38">
        <v>360.0</v>
      </c>
      <c r="D754" s="38">
        <v>9.0242835E7</v>
      </c>
      <c r="E754" s="38">
        <v>9.0242835E7</v>
      </c>
      <c r="F754" s="18" t="s">
        <v>964</v>
      </c>
      <c r="G754" s="18" t="s">
        <v>1540</v>
      </c>
      <c r="H754" s="18" t="s">
        <v>3030</v>
      </c>
      <c r="I754" s="18" t="s">
        <v>982</v>
      </c>
      <c r="J754" s="18" t="s">
        <v>2205</v>
      </c>
      <c r="K754" s="18" t="s">
        <v>2681</v>
      </c>
      <c r="L754" s="18" t="s">
        <v>52</v>
      </c>
      <c r="M754" s="18" t="s">
        <v>53</v>
      </c>
      <c r="N754" s="18" t="s">
        <v>861</v>
      </c>
      <c r="O754" s="18" t="s">
        <v>126</v>
      </c>
      <c r="P754" s="18" t="s">
        <v>56</v>
      </c>
      <c r="Q754" s="18" t="s">
        <v>57</v>
      </c>
      <c r="R754" s="18" t="s">
        <v>143</v>
      </c>
      <c r="S754" s="18" t="s">
        <v>59</v>
      </c>
      <c r="T754" s="38">
        <v>2026.0</v>
      </c>
      <c r="U754" s="38">
        <v>5.0</v>
      </c>
      <c r="V754" s="38">
        <v>1.081522882E9</v>
      </c>
      <c r="W754" s="38">
        <v>1.081540952E9</v>
      </c>
      <c r="X754" s="18" t="s">
        <v>2199</v>
      </c>
      <c r="Y754" s="18" t="s">
        <v>2200</v>
      </c>
      <c r="Z754" s="38">
        <v>953051.02</v>
      </c>
      <c r="AA754" s="38">
        <v>953051.02</v>
      </c>
      <c r="AB754" s="38">
        <v>0.0</v>
      </c>
      <c r="AC754" s="38">
        <v>4820.0</v>
      </c>
      <c r="AD754" s="38">
        <v>0.0</v>
      </c>
      <c r="AE754" s="38">
        <v>0.0</v>
      </c>
      <c r="AF754" s="38">
        <v>0.0</v>
      </c>
      <c r="AG754" s="38">
        <v>0.0</v>
      </c>
      <c r="AH754" s="38">
        <v>0.0</v>
      </c>
      <c r="AI754" s="38">
        <v>953051.02</v>
      </c>
      <c r="AJ754" s="38">
        <v>953051.02</v>
      </c>
      <c r="AK754" s="38">
        <v>0.0</v>
      </c>
      <c r="AL754" s="38">
        <v>250.8</v>
      </c>
      <c r="AM754" s="38">
        <v>0.0</v>
      </c>
      <c r="AN754" s="34" t="s">
        <v>62</v>
      </c>
      <c r="AO754" s="34" t="s">
        <v>62</v>
      </c>
      <c r="AP754" s="34" t="s">
        <v>62</v>
      </c>
      <c r="AQ754" s="34" t="s">
        <v>62</v>
      </c>
      <c r="AR754" s="38">
        <v>0.0</v>
      </c>
      <c r="AS754" s="38" t="s">
        <v>2817</v>
      </c>
      <c r="AT754" s="35" t="s">
        <v>2202</v>
      </c>
      <c r="AU754" s="39" t="s">
        <v>2203</v>
      </c>
      <c r="AV754" s="40">
        <v>46169.0</v>
      </c>
    </row>
    <row r="755">
      <c r="A755" s="38">
        <v>365.0</v>
      </c>
      <c r="B755" s="38">
        <v>364.0</v>
      </c>
      <c r="C755" s="38">
        <v>364.0</v>
      </c>
      <c r="D755" s="38">
        <v>9.024284E7</v>
      </c>
      <c r="E755" s="38">
        <v>9.024284E7</v>
      </c>
      <c r="F755" s="38">
        <v>8.60034594E8</v>
      </c>
      <c r="G755" s="18" t="s">
        <v>1168</v>
      </c>
      <c r="H755" s="18" t="s">
        <v>2609</v>
      </c>
      <c r="I755" s="18" t="s">
        <v>982</v>
      </c>
      <c r="J755" s="18" t="s">
        <v>2205</v>
      </c>
      <c r="K755" s="18" t="s">
        <v>1168</v>
      </c>
      <c r="L755" s="18" t="s">
        <v>52</v>
      </c>
      <c r="M755" s="18" t="s">
        <v>53</v>
      </c>
      <c r="N755" s="18" t="s">
        <v>861</v>
      </c>
      <c r="O755" s="18" t="s">
        <v>126</v>
      </c>
      <c r="P755" s="18" t="s">
        <v>56</v>
      </c>
      <c r="Q755" s="18" t="s">
        <v>90</v>
      </c>
      <c r="R755" s="18" t="s">
        <v>143</v>
      </c>
      <c r="S755" s="18" t="s">
        <v>59</v>
      </c>
      <c r="T755" s="38">
        <v>2026.0</v>
      </c>
      <c r="U755" s="38">
        <v>5.0</v>
      </c>
      <c r="V755" s="38">
        <v>1.081522886E9</v>
      </c>
      <c r="W755" s="38">
        <v>1.081540956E9</v>
      </c>
      <c r="X755" s="18" t="s">
        <v>2199</v>
      </c>
      <c r="Y755" s="18" t="s">
        <v>2200</v>
      </c>
      <c r="Z755" s="38">
        <v>164011.71</v>
      </c>
      <c r="AA755" s="38">
        <v>164011.71</v>
      </c>
      <c r="AB755" s="38">
        <v>54670.58</v>
      </c>
      <c r="AC755" s="38">
        <v>375.0</v>
      </c>
      <c r="AD755" s="38">
        <v>0.0</v>
      </c>
      <c r="AE755" s="38">
        <v>0.0</v>
      </c>
      <c r="AF755" s="38">
        <v>0.0</v>
      </c>
      <c r="AG755" s="38">
        <v>0.0</v>
      </c>
      <c r="AH755" s="38">
        <v>0.0</v>
      </c>
      <c r="AI755" s="38">
        <v>164011.71</v>
      </c>
      <c r="AJ755" s="38">
        <v>164011.71</v>
      </c>
      <c r="AK755" s="38">
        <v>0.0</v>
      </c>
      <c r="AL755" s="38">
        <v>376.2</v>
      </c>
      <c r="AM755" s="38">
        <v>0.0</v>
      </c>
      <c r="AN755" s="34" t="s">
        <v>62</v>
      </c>
      <c r="AO755" s="34" t="s">
        <v>62</v>
      </c>
      <c r="AP755" s="34" t="s">
        <v>62</v>
      </c>
      <c r="AQ755" s="34" t="s">
        <v>62</v>
      </c>
      <c r="AR755" s="38">
        <v>0.0</v>
      </c>
      <c r="AS755" s="38" t="s">
        <v>2610</v>
      </c>
      <c r="AT755" s="35" t="s">
        <v>2202</v>
      </c>
      <c r="AU755" s="39" t="s">
        <v>2203</v>
      </c>
      <c r="AV755" s="40">
        <v>46168.0</v>
      </c>
    </row>
    <row r="756">
      <c r="A756" s="38">
        <v>379533.0</v>
      </c>
      <c r="B756" s="38">
        <v>366628.0</v>
      </c>
      <c r="C756" s="38">
        <v>373098.0</v>
      </c>
      <c r="D756" s="34" t="s">
        <v>62</v>
      </c>
      <c r="E756" s="34" t="s">
        <v>62</v>
      </c>
      <c r="F756" s="18" t="s">
        <v>1543</v>
      </c>
      <c r="G756" s="18" t="s">
        <v>1544</v>
      </c>
      <c r="H756" s="18" t="s">
        <v>3031</v>
      </c>
      <c r="I756" s="18" t="s">
        <v>991</v>
      </c>
      <c r="J756" s="18" t="s">
        <v>2691</v>
      </c>
      <c r="K756" s="18" t="s">
        <v>2691</v>
      </c>
      <c r="L756" s="18" t="s">
        <v>52</v>
      </c>
      <c r="M756" s="18" t="s">
        <v>89</v>
      </c>
      <c r="N756" s="18" t="s">
        <v>861</v>
      </c>
      <c r="O756" s="18" t="s">
        <v>126</v>
      </c>
      <c r="P756" s="18" t="s">
        <v>56</v>
      </c>
      <c r="Q756" s="18" t="s">
        <v>90</v>
      </c>
      <c r="R756" s="18" t="s">
        <v>143</v>
      </c>
      <c r="S756" s="18" t="s">
        <v>59</v>
      </c>
      <c r="T756" s="38">
        <v>2026.0</v>
      </c>
      <c r="U756" s="38">
        <v>5.0</v>
      </c>
      <c r="V756" s="38">
        <v>1.081523142E9</v>
      </c>
      <c r="W756" s="38">
        <v>1.081541212E9</v>
      </c>
      <c r="X756" s="18" t="s">
        <v>2199</v>
      </c>
      <c r="Y756" s="18" t="s">
        <v>2200</v>
      </c>
      <c r="Z756" s="38">
        <v>128422.13</v>
      </c>
      <c r="AA756" s="38">
        <v>128422.13</v>
      </c>
      <c r="AB756" s="38">
        <v>42807.38</v>
      </c>
      <c r="AC756" s="38">
        <v>250.0</v>
      </c>
      <c r="AD756" s="38">
        <v>0.0</v>
      </c>
      <c r="AE756" s="38">
        <v>0.0</v>
      </c>
      <c r="AF756" s="38">
        <v>0.0</v>
      </c>
      <c r="AG756" s="38">
        <v>0.0</v>
      </c>
      <c r="AH756" s="38">
        <v>0.0</v>
      </c>
      <c r="AI756" s="38">
        <v>128422.13</v>
      </c>
      <c r="AJ756" s="38">
        <v>128422.13</v>
      </c>
      <c r="AK756" s="38">
        <v>0.0</v>
      </c>
      <c r="AL756" s="38">
        <v>376.2</v>
      </c>
      <c r="AM756" s="38">
        <v>0.0</v>
      </c>
      <c r="AN756" s="34" t="s">
        <v>62</v>
      </c>
      <c r="AO756" s="34" t="s">
        <v>62</v>
      </c>
      <c r="AP756" s="34" t="s">
        <v>62</v>
      </c>
      <c r="AQ756" s="34" t="s">
        <v>62</v>
      </c>
      <c r="AR756" s="38">
        <v>0.0</v>
      </c>
      <c r="AS756" s="38" t="s">
        <v>3032</v>
      </c>
      <c r="AT756" s="38" t="s">
        <v>2275</v>
      </c>
      <c r="AU756" s="39" t="s">
        <v>2276</v>
      </c>
      <c r="AV756" s="40">
        <v>46163.0</v>
      </c>
    </row>
    <row r="757">
      <c r="A757" s="38">
        <v>684.0</v>
      </c>
      <c r="B757" s="38">
        <v>366632.0</v>
      </c>
      <c r="C757" s="38">
        <v>373110.0</v>
      </c>
      <c r="D757" s="34" t="s">
        <v>62</v>
      </c>
      <c r="E757" s="34" t="s">
        <v>62</v>
      </c>
      <c r="F757" s="18" t="s">
        <v>1052</v>
      </c>
      <c r="G757" s="18" t="s">
        <v>1053</v>
      </c>
      <c r="H757" s="18" t="s">
        <v>2699</v>
      </c>
      <c r="I757" s="18" t="s">
        <v>991</v>
      </c>
      <c r="J757" s="18" t="s">
        <v>2691</v>
      </c>
      <c r="K757" s="18" t="s">
        <v>2691</v>
      </c>
      <c r="L757" s="18" t="s">
        <v>52</v>
      </c>
      <c r="M757" s="18" t="s">
        <v>89</v>
      </c>
      <c r="N757" s="18" t="s">
        <v>861</v>
      </c>
      <c r="O757" s="18" t="s">
        <v>126</v>
      </c>
      <c r="P757" s="18" t="s">
        <v>131</v>
      </c>
      <c r="Q757" s="18" t="s">
        <v>132</v>
      </c>
      <c r="R757" s="18" t="s">
        <v>133</v>
      </c>
      <c r="S757" s="18" t="s">
        <v>59</v>
      </c>
      <c r="T757" s="38">
        <v>2026.0</v>
      </c>
      <c r="U757" s="38">
        <v>5.0</v>
      </c>
      <c r="V757" s="38">
        <v>1.081523145E9</v>
      </c>
      <c r="W757" s="38">
        <v>1.081541215E9</v>
      </c>
      <c r="X757" s="18" t="s">
        <v>2199</v>
      </c>
      <c r="Y757" s="18" t="s">
        <v>2200</v>
      </c>
      <c r="Z757" s="38">
        <v>113911.5</v>
      </c>
      <c r="AA757" s="38">
        <v>113911.5</v>
      </c>
      <c r="AB757" s="38">
        <v>37970.5</v>
      </c>
      <c r="AC757" s="38">
        <v>0.0</v>
      </c>
      <c r="AD757" s="38">
        <v>0.0</v>
      </c>
      <c r="AE757" s="38">
        <v>0.0</v>
      </c>
      <c r="AF757" s="38">
        <v>0.0</v>
      </c>
      <c r="AG757" s="38">
        <v>0.0</v>
      </c>
      <c r="AH757" s="38">
        <v>0.0</v>
      </c>
      <c r="AI757" s="38">
        <v>113911.5</v>
      </c>
      <c r="AJ757" s="38">
        <v>113911.5</v>
      </c>
      <c r="AK757" s="38">
        <v>0.0</v>
      </c>
      <c r="AL757" s="38">
        <v>376.2</v>
      </c>
      <c r="AM757" s="38">
        <v>0.0</v>
      </c>
      <c r="AN757" s="34" t="s">
        <v>62</v>
      </c>
      <c r="AO757" s="34" t="s">
        <v>62</v>
      </c>
      <c r="AP757" s="34" t="s">
        <v>62</v>
      </c>
      <c r="AQ757" s="34" t="s">
        <v>62</v>
      </c>
      <c r="AR757" s="38">
        <v>0.0</v>
      </c>
      <c r="AS757" s="38" t="s">
        <v>3033</v>
      </c>
      <c r="AT757" s="35" t="s">
        <v>2202</v>
      </c>
      <c r="AU757" s="39" t="s">
        <v>2276</v>
      </c>
      <c r="AV757" s="40">
        <v>46163.0</v>
      </c>
    </row>
    <row r="758">
      <c r="A758" s="38">
        <v>381749.0</v>
      </c>
      <c r="B758" s="38">
        <v>367412.0</v>
      </c>
      <c r="C758" s="38">
        <v>374696.0</v>
      </c>
      <c r="D758" s="38">
        <v>1050206.0</v>
      </c>
      <c r="E758" s="38">
        <v>1050206.0</v>
      </c>
      <c r="F758" s="38">
        <v>8.30082714E8</v>
      </c>
      <c r="G758" s="42" t="s">
        <v>1546</v>
      </c>
      <c r="H758" s="18" t="s">
        <v>3034</v>
      </c>
      <c r="I758" s="18" t="s">
        <v>443</v>
      </c>
      <c r="J758" s="18" t="s">
        <v>2205</v>
      </c>
      <c r="K758" s="18" t="s">
        <v>2205</v>
      </c>
      <c r="L758" s="18" t="s">
        <v>52</v>
      </c>
      <c r="M758" s="18" t="s">
        <v>89</v>
      </c>
      <c r="N758" s="18" t="s">
        <v>861</v>
      </c>
      <c r="O758" s="18" t="s">
        <v>126</v>
      </c>
      <c r="P758" s="18" t="s">
        <v>131</v>
      </c>
      <c r="Q758" s="18" t="s">
        <v>132</v>
      </c>
      <c r="R758" s="18" t="s">
        <v>133</v>
      </c>
      <c r="S758" s="18" t="s">
        <v>59</v>
      </c>
      <c r="T758" s="38">
        <v>2026.0</v>
      </c>
      <c r="U758" s="38">
        <v>5.0</v>
      </c>
      <c r="V758" s="38">
        <v>1.081523149E9</v>
      </c>
      <c r="W758" s="38">
        <v>1.081541219E9</v>
      </c>
      <c r="X758" s="18" t="s">
        <v>2199</v>
      </c>
      <c r="Y758" s="18" t="s">
        <v>2200</v>
      </c>
      <c r="Z758" s="38">
        <v>113911.5</v>
      </c>
      <c r="AA758" s="38">
        <v>113911.5</v>
      </c>
      <c r="AB758" s="38">
        <v>37970.5</v>
      </c>
      <c r="AC758" s="38">
        <v>0.0</v>
      </c>
      <c r="AD758" s="38">
        <v>0.0</v>
      </c>
      <c r="AE758" s="38">
        <v>0.0</v>
      </c>
      <c r="AF758" s="38">
        <v>0.0</v>
      </c>
      <c r="AG758" s="38">
        <v>0.0</v>
      </c>
      <c r="AH758" s="38">
        <v>0.0</v>
      </c>
      <c r="AI758" s="38">
        <v>113911.5</v>
      </c>
      <c r="AJ758" s="38">
        <v>113911.5</v>
      </c>
      <c r="AK758" s="38">
        <v>0.0</v>
      </c>
      <c r="AL758" s="38">
        <v>376.2</v>
      </c>
      <c r="AM758" s="38">
        <v>0.0</v>
      </c>
      <c r="AN758" s="34" t="s">
        <v>62</v>
      </c>
      <c r="AO758" s="34" t="s">
        <v>62</v>
      </c>
      <c r="AP758" s="34" t="s">
        <v>62</v>
      </c>
      <c r="AQ758" s="34" t="s">
        <v>62</v>
      </c>
      <c r="AR758" s="38">
        <v>0.0</v>
      </c>
      <c r="AS758" s="38" t="s">
        <v>3035</v>
      </c>
      <c r="AT758" s="35" t="s">
        <v>2202</v>
      </c>
      <c r="AU758" s="39" t="s">
        <v>2254</v>
      </c>
      <c r="AV758" s="40">
        <v>46163.0</v>
      </c>
    </row>
    <row r="759">
      <c r="A759" s="38">
        <v>297.0</v>
      </c>
      <c r="B759" s="38">
        <v>369168.0</v>
      </c>
      <c r="C759" s="38">
        <v>377182.0</v>
      </c>
      <c r="D759" s="38">
        <v>121135.0</v>
      </c>
      <c r="E759" s="38">
        <v>121135.0</v>
      </c>
      <c r="F759" s="18" t="s">
        <v>135</v>
      </c>
      <c r="G759" s="18" t="s">
        <v>136</v>
      </c>
      <c r="H759" s="18" t="s">
        <v>2258</v>
      </c>
      <c r="I759" s="18" t="s">
        <v>1548</v>
      </c>
      <c r="J759" s="18" t="s">
        <v>2205</v>
      </c>
      <c r="K759" s="18" t="s">
        <v>2259</v>
      </c>
      <c r="L759" s="18" t="s">
        <v>52</v>
      </c>
      <c r="M759" s="18" t="s">
        <v>1060</v>
      </c>
      <c r="N759" s="18" t="s">
        <v>861</v>
      </c>
      <c r="O759" s="18" t="s">
        <v>126</v>
      </c>
      <c r="P759" s="18" t="s">
        <v>131</v>
      </c>
      <c r="Q759" s="18" t="s">
        <v>1111</v>
      </c>
      <c r="R759" s="18" t="s">
        <v>133</v>
      </c>
      <c r="S759" s="18" t="s">
        <v>59</v>
      </c>
      <c r="T759" s="38">
        <v>2026.0</v>
      </c>
      <c r="U759" s="38">
        <v>5.0</v>
      </c>
      <c r="V759" s="38">
        <v>1.081523153E9</v>
      </c>
      <c r="W759" s="38">
        <v>1.081541223E9</v>
      </c>
      <c r="X759" s="18" t="s">
        <v>2199</v>
      </c>
      <c r="Y759" s="18" t="s">
        <v>2200</v>
      </c>
      <c r="Z759" s="38">
        <v>16397.0</v>
      </c>
      <c r="AA759" s="38">
        <v>16397.0</v>
      </c>
      <c r="AB759" s="38">
        <v>0.0</v>
      </c>
      <c r="AC759" s="38">
        <v>0.0</v>
      </c>
      <c r="AD759" s="38">
        <v>0.0</v>
      </c>
      <c r="AE759" s="38">
        <v>0.0</v>
      </c>
      <c r="AF759" s="38">
        <v>0.0</v>
      </c>
      <c r="AG759" s="38">
        <v>0.0</v>
      </c>
      <c r="AH759" s="38">
        <v>0.0</v>
      </c>
      <c r="AI759" s="38">
        <v>16397.0</v>
      </c>
      <c r="AJ759" s="38">
        <v>16397.0</v>
      </c>
      <c r="AK759" s="38">
        <v>0.0</v>
      </c>
      <c r="AL759" s="38">
        <v>250.8</v>
      </c>
      <c r="AM759" s="38">
        <v>0.0</v>
      </c>
      <c r="AN759" s="34" t="s">
        <v>62</v>
      </c>
      <c r="AO759" s="34" t="s">
        <v>62</v>
      </c>
      <c r="AP759" s="34" t="s">
        <v>62</v>
      </c>
      <c r="AQ759" s="34" t="s">
        <v>62</v>
      </c>
      <c r="AR759" s="38">
        <v>0.0</v>
      </c>
      <c r="AS759" s="38" t="s">
        <v>2260</v>
      </c>
      <c r="AT759" s="35" t="s">
        <v>2202</v>
      </c>
      <c r="AU759" s="39" t="s">
        <v>2203</v>
      </c>
      <c r="AV759" s="40">
        <v>46164.0</v>
      </c>
    </row>
    <row r="760">
      <c r="A760" s="38">
        <v>386737.0</v>
      </c>
      <c r="B760" s="38">
        <v>370572.0</v>
      </c>
      <c r="C760" s="38">
        <v>378840.0</v>
      </c>
      <c r="D760" s="34" t="s">
        <v>62</v>
      </c>
      <c r="E760" s="34" t="s">
        <v>62</v>
      </c>
      <c r="F760" s="38">
        <v>1.19337844E9</v>
      </c>
      <c r="G760" s="18" t="s">
        <v>1550</v>
      </c>
      <c r="H760" s="18" t="s">
        <v>3036</v>
      </c>
      <c r="I760" s="18" t="s">
        <v>991</v>
      </c>
      <c r="J760" s="18" t="s">
        <v>2691</v>
      </c>
      <c r="K760" s="18" t="s">
        <v>2691</v>
      </c>
      <c r="L760" s="18" t="s">
        <v>52</v>
      </c>
      <c r="M760" s="18" t="s">
        <v>89</v>
      </c>
      <c r="N760" s="18" t="s">
        <v>861</v>
      </c>
      <c r="O760" s="18" t="s">
        <v>126</v>
      </c>
      <c r="P760" s="18" t="s">
        <v>56</v>
      </c>
      <c r="Q760" s="18" t="s">
        <v>90</v>
      </c>
      <c r="R760" s="18" t="s">
        <v>143</v>
      </c>
      <c r="S760" s="18" t="s">
        <v>59</v>
      </c>
      <c r="T760" s="38">
        <v>2026.0</v>
      </c>
      <c r="U760" s="38">
        <v>5.0</v>
      </c>
      <c r="V760" s="38">
        <v>1.081523157E9</v>
      </c>
      <c r="W760" s="38">
        <v>1.081541227E9</v>
      </c>
      <c r="X760" s="18" t="s">
        <v>2199</v>
      </c>
      <c r="Y760" s="18" t="s">
        <v>2200</v>
      </c>
      <c r="Z760" s="38">
        <v>128422.13</v>
      </c>
      <c r="AA760" s="38">
        <v>128422.13</v>
      </c>
      <c r="AB760" s="38">
        <v>42807.38</v>
      </c>
      <c r="AC760" s="38">
        <v>250.0</v>
      </c>
      <c r="AD760" s="38">
        <v>0.0</v>
      </c>
      <c r="AE760" s="38">
        <v>0.0</v>
      </c>
      <c r="AF760" s="38">
        <v>0.0</v>
      </c>
      <c r="AG760" s="38">
        <v>0.0</v>
      </c>
      <c r="AH760" s="38">
        <v>0.0</v>
      </c>
      <c r="AI760" s="38">
        <v>128127.48</v>
      </c>
      <c r="AJ760" s="38">
        <v>128127.48</v>
      </c>
      <c r="AK760" s="38">
        <v>0.0</v>
      </c>
      <c r="AL760" s="38">
        <v>376.2</v>
      </c>
      <c r="AM760" s="38">
        <v>0.0</v>
      </c>
      <c r="AN760" s="34" t="s">
        <v>62</v>
      </c>
      <c r="AO760" s="34" t="s">
        <v>62</v>
      </c>
      <c r="AP760" s="38">
        <v>294.65</v>
      </c>
      <c r="AQ760" s="34" t="s">
        <v>62</v>
      </c>
      <c r="AR760" s="38">
        <v>0.0</v>
      </c>
      <c r="AS760" s="38" t="s">
        <v>3037</v>
      </c>
      <c r="AT760" s="38" t="s">
        <v>2275</v>
      </c>
      <c r="AU760" s="39" t="s">
        <v>2276</v>
      </c>
      <c r="AV760" s="40">
        <v>46163.0</v>
      </c>
    </row>
    <row r="761">
      <c r="A761" s="38">
        <v>464839.0</v>
      </c>
      <c r="B761" s="38">
        <v>371628.0</v>
      </c>
      <c r="C761" s="38">
        <v>380784.0</v>
      </c>
      <c r="D761" s="34" t="s">
        <v>62</v>
      </c>
      <c r="E761" s="34" t="s">
        <v>62</v>
      </c>
      <c r="F761" s="18" t="s">
        <v>1552</v>
      </c>
      <c r="G761" s="18" t="s">
        <v>1553</v>
      </c>
      <c r="H761" s="18" t="s">
        <v>2873</v>
      </c>
      <c r="I761" s="18" t="s">
        <v>991</v>
      </c>
      <c r="J761" s="18" t="s">
        <v>2691</v>
      </c>
      <c r="K761" s="18" t="s">
        <v>2280</v>
      </c>
      <c r="L761" s="18" t="s">
        <v>52</v>
      </c>
      <c r="M761" s="18" t="s">
        <v>53</v>
      </c>
      <c r="N761" s="18" t="s">
        <v>861</v>
      </c>
      <c r="O761" s="18" t="s">
        <v>126</v>
      </c>
      <c r="P761" s="18" t="s">
        <v>56</v>
      </c>
      <c r="Q761" s="18" t="s">
        <v>90</v>
      </c>
      <c r="R761" s="18" t="s">
        <v>143</v>
      </c>
      <c r="S761" s="18" t="s">
        <v>59</v>
      </c>
      <c r="T761" s="38">
        <v>2026.0</v>
      </c>
      <c r="U761" s="38">
        <v>5.0</v>
      </c>
      <c r="V761" s="38">
        <v>1.081523161E9</v>
      </c>
      <c r="W761" s="38">
        <v>1.081541231E9</v>
      </c>
      <c r="X761" s="18" t="s">
        <v>2199</v>
      </c>
      <c r="Y761" s="18" t="s">
        <v>2200</v>
      </c>
      <c r="Z761" s="38">
        <v>128422.13</v>
      </c>
      <c r="AA761" s="38">
        <v>128422.13</v>
      </c>
      <c r="AB761" s="38">
        <v>42807.38</v>
      </c>
      <c r="AC761" s="38">
        <v>250.0</v>
      </c>
      <c r="AD761" s="38">
        <v>0.0</v>
      </c>
      <c r="AE761" s="38">
        <v>0.0</v>
      </c>
      <c r="AF761" s="38">
        <v>0.0</v>
      </c>
      <c r="AG761" s="38">
        <v>0.0</v>
      </c>
      <c r="AH761" s="38">
        <v>0.0</v>
      </c>
      <c r="AI761" s="38">
        <v>128422.13</v>
      </c>
      <c r="AJ761" s="38">
        <v>255010.51</v>
      </c>
      <c r="AK761" s="38">
        <v>1.0</v>
      </c>
      <c r="AL761" s="38">
        <v>376.2</v>
      </c>
      <c r="AM761" s="38">
        <v>0.0</v>
      </c>
      <c r="AN761" s="34" t="s">
        <v>62</v>
      </c>
      <c r="AO761" s="34" t="s">
        <v>62</v>
      </c>
      <c r="AP761" s="34" t="s">
        <v>62</v>
      </c>
      <c r="AQ761" s="34" t="s">
        <v>62</v>
      </c>
      <c r="AR761" s="38">
        <v>0.0</v>
      </c>
      <c r="AS761" s="38" t="s">
        <v>2281</v>
      </c>
      <c r="AT761" s="38" t="s">
        <v>2275</v>
      </c>
      <c r="AU761" s="39" t="s">
        <v>2276</v>
      </c>
      <c r="AV761" s="40">
        <v>46163.0</v>
      </c>
    </row>
    <row r="762">
      <c r="A762" s="38">
        <v>373.0</v>
      </c>
      <c r="B762" s="38">
        <v>372.0</v>
      </c>
      <c r="C762" s="38">
        <v>372.0</v>
      </c>
      <c r="D762" s="38">
        <v>9.0243079E7</v>
      </c>
      <c r="E762" s="38">
        <v>9.0243079E7</v>
      </c>
      <c r="F762" s="18" t="s">
        <v>1555</v>
      </c>
      <c r="G762" s="18" t="s">
        <v>1556</v>
      </c>
      <c r="H762" s="18" t="s">
        <v>3038</v>
      </c>
      <c r="I762" s="18" t="s">
        <v>982</v>
      </c>
      <c r="J762" s="18" t="s">
        <v>2205</v>
      </c>
      <c r="K762" s="18" t="s">
        <v>2205</v>
      </c>
      <c r="L762" s="18" t="s">
        <v>52</v>
      </c>
      <c r="M762" s="18" t="s">
        <v>89</v>
      </c>
      <c r="N762" s="18" t="s">
        <v>861</v>
      </c>
      <c r="O762" s="18" t="s">
        <v>126</v>
      </c>
      <c r="P762" s="18" t="s">
        <v>56</v>
      </c>
      <c r="Q762" s="18" t="s">
        <v>90</v>
      </c>
      <c r="R762" s="18" t="s">
        <v>143</v>
      </c>
      <c r="S762" s="18" t="s">
        <v>59</v>
      </c>
      <c r="T762" s="38">
        <v>2026.0</v>
      </c>
      <c r="U762" s="38">
        <v>5.0</v>
      </c>
      <c r="V762" s="38">
        <v>1.081522889E9</v>
      </c>
      <c r="W762" s="38">
        <v>1.081540959E9</v>
      </c>
      <c r="X762" s="18" t="s">
        <v>2199</v>
      </c>
      <c r="Y762" s="18" t="s">
        <v>2200</v>
      </c>
      <c r="Z762" s="38">
        <v>896444.91</v>
      </c>
      <c r="AA762" s="38">
        <v>896444.91</v>
      </c>
      <c r="AB762" s="38">
        <v>298814.98</v>
      </c>
      <c r="AC762" s="38">
        <v>2947.5</v>
      </c>
      <c r="AD762" s="38">
        <v>0.0</v>
      </c>
      <c r="AE762" s="38">
        <v>0.0</v>
      </c>
      <c r="AF762" s="38">
        <v>0.0</v>
      </c>
      <c r="AG762" s="38">
        <v>0.0</v>
      </c>
      <c r="AH762" s="38">
        <v>0.0</v>
      </c>
      <c r="AI762" s="38">
        <v>896444.91</v>
      </c>
      <c r="AJ762" s="38">
        <v>896444.91</v>
      </c>
      <c r="AK762" s="38">
        <v>0.0</v>
      </c>
      <c r="AL762" s="38">
        <v>376.2</v>
      </c>
      <c r="AM762" s="38">
        <v>0.0</v>
      </c>
      <c r="AN762" s="34" t="s">
        <v>62</v>
      </c>
      <c r="AO762" s="34" t="s">
        <v>62</v>
      </c>
      <c r="AP762" s="34" t="s">
        <v>62</v>
      </c>
      <c r="AQ762" s="34" t="s">
        <v>62</v>
      </c>
      <c r="AR762" s="38">
        <v>0.0</v>
      </c>
      <c r="AS762" s="38" t="s">
        <v>3039</v>
      </c>
      <c r="AT762" s="35" t="s">
        <v>2202</v>
      </c>
      <c r="AU762" s="39" t="s">
        <v>2254</v>
      </c>
      <c r="AV762" s="40">
        <v>46171.0</v>
      </c>
    </row>
    <row r="763">
      <c r="A763" s="38">
        <v>389.0</v>
      </c>
      <c r="B763" s="38">
        <v>388.0</v>
      </c>
      <c r="C763" s="38">
        <v>388.0</v>
      </c>
      <c r="D763" s="38">
        <v>9.0243273E7</v>
      </c>
      <c r="E763" s="38">
        <v>9.0243273E7</v>
      </c>
      <c r="F763" s="38">
        <v>9024327.0</v>
      </c>
      <c r="G763" s="18" t="s">
        <v>1558</v>
      </c>
      <c r="H763" s="18" t="s">
        <v>3040</v>
      </c>
      <c r="I763" s="18" t="s">
        <v>982</v>
      </c>
      <c r="J763" s="18" t="s">
        <v>2205</v>
      </c>
      <c r="K763" s="18" t="s">
        <v>2205</v>
      </c>
      <c r="L763" s="18" t="s">
        <v>52</v>
      </c>
      <c r="M763" s="18" t="s">
        <v>89</v>
      </c>
      <c r="N763" s="18" t="s">
        <v>861</v>
      </c>
      <c r="O763" s="18" t="s">
        <v>126</v>
      </c>
      <c r="P763" s="18" t="s">
        <v>56</v>
      </c>
      <c r="Q763" s="18" t="s">
        <v>90</v>
      </c>
      <c r="R763" s="18" t="s">
        <v>143</v>
      </c>
      <c r="S763" s="18" t="s">
        <v>59</v>
      </c>
      <c r="T763" s="38">
        <v>2026.0</v>
      </c>
      <c r="U763" s="38">
        <v>5.0</v>
      </c>
      <c r="V763" s="38">
        <v>1.081522892E9</v>
      </c>
      <c r="W763" s="38">
        <v>1.081540962E9</v>
      </c>
      <c r="X763" s="18" t="s">
        <v>2199</v>
      </c>
      <c r="Y763" s="18" t="s">
        <v>2200</v>
      </c>
      <c r="Z763" s="38">
        <v>158792.45</v>
      </c>
      <c r="AA763" s="38">
        <v>158792.45</v>
      </c>
      <c r="AB763" s="38">
        <v>51348.87</v>
      </c>
      <c r="AC763" s="38">
        <v>340.0</v>
      </c>
      <c r="AD763" s="38">
        <v>4745.84</v>
      </c>
      <c r="AE763" s="38">
        <v>0.0</v>
      </c>
      <c r="AF763" s="38">
        <v>0.0</v>
      </c>
      <c r="AG763" s="38">
        <v>0.0</v>
      </c>
      <c r="AH763" s="38">
        <v>0.0</v>
      </c>
      <c r="AI763" s="38">
        <v>158792.45</v>
      </c>
      <c r="AJ763" s="38">
        <v>606665.36</v>
      </c>
      <c r="AK763" s="38">
        <v>3.0</v>
      </c>
      <c r="AL763" s="38">
        <v>376.2</v>
      </c>
      <c r="AM763" s="38">
        <v>0.0</v>
      </c>
      <c r="AN763" s="34" t="s">
        <v>62</v>
      </c>
      <c r="AO763" s="34" t="s">
        <v>62</v>
      </c>
      <c r="AP763" s="34" t="s">
        <v>62</v>
      </c>
      <c r="AQ763" s="34" t="s">
        <v>62</v>
      </c>
      <c r="AR763" s="38">
        <v>0.0</v>
      </c>
      <c r="AS763" s="38" t="s">
        <v>3041</v>
      </c>
      <c r="AT763" s="35" t="s">
        <v>2202</v>
      </c>
      <c r="AU763" s="39" t="s">
        <v>2254</v>
      </c>
      <c r="AV763" s="40">
        <v>46171.0</v>
      </c>
    </row>
    <row r="764">
      <c r="A764" s="38">
        <v>393.0</v>
      </c>
      <c r="B764" s="38">
        <v>392.0</v>
      </c>
      <c r="C764" s="38">
        <v>392.0</v>
      </c>
      <c r="D764" s="38">
        <v>9.0243388E7</v>
      </c>
      <c r="E764" s="38">
        <v>9.0243388E7</v>
      </c>
      <c r="F764" s="38">
        <v>8.0700816E8</v>
      </c>
      <c r="G764" s="18" t="s">
        <v>1560</v>
      </c>
      <c r="H764" s="18" t="s">
        <v>3042</v>
      </c>
      <c r="I764" s="18" t="s">
        <v>982</v>
      </c>
      <c r="J764" s="18" t="s">
        <v>2205</v>
      </c>
      <c r="K764" s="18" t="s">
        <v>2205</v>
      </c>
      <c r="L764" s="18" t="s">
        <v>52</v>
      </c>
      <c r="M764" s="18" t="s">
        <v>89</v>
      </c>
      <c r="N764" s="18" t="s">
        <v>861</v>
      </c>
      <c r="O764" s="18" t="s">
        <v>126</v>
      </c>
      <c r="P764" s="18" t="s">
        <v>56</v>
      </c>
      <c r="Q764" s="18" t="s">
        <v>90</v>
      </c>
      <c r="R764" s="18" t="s">
        <v>143</v>
      </c>
      <c r="S764" s="18" t="s">
        <v>59</v>
      </c>
      <c r="T764" s="38">
        <v>2026.0</v>
      </c>
      <c r="U764" s="38">
        <v>5.0</v>
      </c>
      <c r="V764" s="38">
        <v>1.081522896E9</v>
      </c>
      <c r="W764" s="38">
        <v>1.081540966E9</v>
      </c>
      <c r="X764" s="18" t="s">
        <v>2199</v>
      </c>
      <c r="Y764" s="18" t="s">
        <v>2200</v>
      </c>
      <c r="Z764" s="38">
        <v>918510.43</v>
      </c>
      <c r="AA764" s="38">
        <v>918510.43</v>
      </c>
      <c r="AB764" s="38">
        <v>306170.15</v>
      </c>
      <c r="AC764" s="38">
        <v>3025.0</v>
      </c>
      <c r="AD764" s="38">
        <v>0.0</v>
      </c>
      <c r="AE764" s="38">
        <v>0.0</v>
      </c>
      <c r="AF764" s="38">
        <v>0.0</v>
      </c>
      <c r="AG764" s="38">
        <v>0.0</v>
      </c>
      <c r="AH764" s="38">
        <v>0.0</v>
      </c>
      <c r="AI764" s="38">
        <v>918510.43</v>
      </c>
      <c r="AJ764" s="38">
        <v>918510.43</v>
      </c>
      <c r="AK764" s="38">
        <v>0.0</v>
      </c>
      <c r="AL764" s="38">
        <v>376.2</v>
      </c>
      <c r="AM764" s="38">
        <v>0.0</v>
      </c>
      <c r="AN764" s="34" t="s">
        <v>62</v>
      </c>
      <c r="AO764" s="34" t="s">
        <v>62</v>
      </c>
      <c r="AP764" s="34" t="s">
        <v>62</v>
      </c>
      <c r="AQ764" s="34" t="s">
        <v>62</v>
      </c>
      <c r="AR764" s="38">
        <v>0.0</v>
      </c>
      <c r="AS764" s="38" t="s">
        <v>3043</v>
      </c>
      <c r="AT764" s="35" t="s">
        <v>2202</v>
      </c>
      <c r="AU764" s="39" t="s">
        <v>2254</v>
      </c>
      <c r="AV764" s="40">
        <v>46171.0</v>
      </c>
    </row>
    <row r="765">
      <c r="A765" s="38">
        <v>397.0</v>
      </c>
      <c r="B765" s="38">
        <v>396.0</v>
      </c>
      <c r="C765" s="38">
        <v>396.0</v>
      </c>
      <c r="D765" s="38">
        <v>9.0244078E7</v>
      </c>
      <c r="E765" s="38">
        <v>9.0244078E7</v>
      </c>
      <c r="F765" s="38">
        <v>8.90505327E8</v>
      </c>
      <c r="G765" s="18" t="s">
        <v>1562</v>
      </c>
      <c r="H765" s="18" t="s">
        <v>3044</v>
      </c>
      <c r="I765" s="18" t="s">
        <v>1325</v>
      </c>
      <c r="J765" s="18" t="s">
        <v>2205</v>
      </c>
      <c r="K765" s="18" t="s">
        <v>2205</v>
      </c>
      <c r="L765" s="18" t="s">
        <v>52</v>
      </c>
      <c r="M765" s="18" t="s">
        <v>89</v>
      </c>
      <c r="N765" s="18" t="s">
        <v>861</v>
      </c>
      <c r="O765" s="18" t="s">
        <v>126</v>
      </c>
      <c r="P765" s="18" t="s">
        <v>56</v>
      </c>
      <c r="Q765" s="18" t="s">
        <v>90</v>
      </c>
      <c r="R765" s="18" t="s">
        <v>143</v>
      </c>
      <c r="S765" s="18" t="s">
        <v>59</v>
      </c>
      <c r="T765" s="38">
        <v>2026.0</v>
      </c>
      <c r="U765" s="38">
        <v>5.0</v>
      </c>
      <c r="V765" s="38">
        <v>1.0815229E9</v>
      </c>
      <c r="W765" s="38">
        <v>1.08154097E9</v>
      </c>
      <c r="X765" s="18" t="s">
        <v>2199</v>
      </c>
      <c r="Y765" s="18" t="s">
        <v>2200</v>
      </c>
      <c r="Z765" s="38">
        <v>1851502.17</v>
      </c>
      <c r="AA765" s="38">
        <v>1851502.17</v>
      </c>
      <c r="AB765" s="38">
        <v>612240.38</v>
      </c>
      <c r="AC765" s="38">
        <v>6250.0</v>
      </c>
      <c r="AD765" s="38">
        <v>14781.04</v>
      </c>
      <c r="AE765" s="38">
        <v>0.0</v>
      </c>
      <c r="AF765" s="38">
        <v>0.0</v>
      </c>
      <c r="AG765" s="38">
        <v>0.0</v>
      </c>
      <c r="AH765" s="38">
        <v>0.0</v>
      </c>
      <c r="AI765" s="38">
        <v>1851501.55</v>
      </c>
      <c r="AJ765" s="38">
        <v>1851501.55</v>
      </c>
      <c r="AK765" s="38">
        <v>0.0</v>
      </c>
      <c r="AL765" s="38">
        <v>376.2</v>
      </c>
      <c r="AM765" s="38">
        <v>0.0</v>
      </c>
      <c r="AN765" s="34" t="s">
        <v>62</v>
      </c>
      <c r="AO765" s="34" t="s">
        <v>62</v>
      </c>
      <c r="AP765" s="38">
        <v>0.62</v>
      </c>
      <c r="AQ765" s="34" t="s">
        <v>62</v>
      </c>
      <c r="AR765" s="38">
        <v>0.0</v>
      </c>
      <c r="AS765" s="38" t="s">
        <v>3045</v>
      </c>
      <c r="AT765" s="35" t="s">
        <v>2202</v>
      </c>
      <c r="AU765" s="39" t="s">
        <v>2254</v>
      </c>
      <c r="AV765" s="40">
        <v>46171.0</v>
      </c>
    </row>
    <row r="766">
      <c r="A766" s="38">
        <v>455370.0</v>
      </c>
      <c r="B766" s="38">
        <v>400.0</v>
      </c>
      <c r="C766" s="38">
        <v>400.0</v>
      </c>
      <c r="D766" s="38">
        <v>9.0244353E7</v>
      </c>
      <c r="E766" s="38">
        <v>9.0244353E7</v>
      </c>
      <c r="F766" s="18" t="s">
        <v>148</v>
      </c>
      <c r="G766" s="18" t="s">
        <v>149</v>
      </c>
      <c r="H766" s="18" t="s">
        <v>2296</v>
      </c>
      <c r="I766" s="18" t="s">
        <v>1320</v>
      </c>
      <c r="J766" s="18" t="s">
        <v>2205</v>
      </c>
      <c r="K766" s="18" t="s">
        <v>2611</v>
      </c>
      <c r="L766" s="18" t="s">
        <v>52</v>
      </c>
      <c r="M766" s="18" t="s">
        <v>53</v>
      </c>
      <c r="N766" s="18" t="s">
        <v>861</v>
      </c>
      <c r="O766" s="18" t="s">
        <v>126</v>
      </c>
      <c r="P766" s="18" t="s">
        <v>56</v>
      </c>
      <c r="Q766" s="18" t="s">
        <v>57</v>
      </c>
      <c r="R766" s="18" t="s">
        <v>143</v>
      </c>
      <c r="S766" s="18" t="s">
        <v>59</v>
      </c>
      <c r="T766" s="38">
        <v>2026.0</v>
      </c>
      <c r="U766" s="38">
        <v>5.0</v>
      </c>
      <c r="V766" s="38">
        <v>1.081522904E9</v>
      </c>
      <c r="W766" s="38">
        <v>1.081540974E9</v>
      </c>
      <c r="X766" s="18" t="s">
        <v>2199</v>
      </c>
      <c r="Y766" s="18" t="s">
        <v>2200</v>
      </c>
      <c r="Z766" s="38">
        <v>86184.18</v>
      </c>
      <c r="AA766" s="38">
        <v>86184.18</v>
      </c>
      <c r="AB766" s="38">
        <v>0.0</v>
      </c>
      <c r="AC766" s="38">
        <v>253.0</v>
      </c>
      <c r="AD766" s="38">
        <v>0.0</v>
      </c>
      <c r="AE766" s="38">
        <v>0.0</v>
      </c>
      <c r="AF766" s="38">
        <v>0.0</v>
      </c>
      <c r="AG766" s="38">
        <v>0.0</v>
      </c>
      <c r="AH766" s="38">
        <v>0.0</v>
      </c>
      <c r="AI766" s="38">
        <v>86184.18</v>
      </c>
      <c r="AJ766" s="38">
        <v>333598.89</v>
      </c>
      <c r="AK766" s="38">
        <v>3.0</v>
      </c>
      <c r="AL766" s="38">
        <v>250.8</v>
      </c>
      <c r="AM766" s="38">
        <v>0.0</v>
      </c>
      <c r="AN766" s="34" t="s">
        <v>62</v>
      </c>
      <c r="AO766" s="34" t="s">
        <v>62</v>
      </c>
      <c r="AP766" s="34" t="s">
        <v>62</v>
      </c>
      <c r="AQ766" s="34" t="s">
        <v>62</v>
      </c>
      <c r="AR766" s="38">
        <v>0.0</v>
      </c>
      <c r="AS766" s="38" t="s">
        <v>2293</v>
      </c>
      <c r="AT766" s="35" t="s">
        <v>2294</v>
      </c>
      <c r="AU766" s="39" t="s">
        <v>2295</v>
      </c>
      <c r="AV766" s="40">
        <v>46164.0</v>
      </c>
    </row>
    <row r="767">
      <c r="A767" s="38">
        <v>409.0</v>
      </c>
      <c r="B767" s="38">
        <v>408.0</v>
      </c>
      <c r="C767" s="38">
        <v>408.0</v>
      </c>
      <c r="D767" s="38">
        <v>9.0248549E7</v>
      </c>
      <c r="E767" s="38">
        <v>9.0248549E7</v>
      </c>
      <c r="F767" s="18" t="s">
        <v>1565</v>
      </c>
      <c r="G767" s="18" t="s">
        <v>1566</v>
      </c>
      <c r="H767" s="18" t="s">
        <v>3046</v>
      </c>
      <c r="I767" s="18" t="s">
        <v>982</v>
      </c>
      <c r="J767" s="18" t="s">
        <v>2205</v>
      </c>
      <c r="K767" s="18" t="s">
        <v>2205</v>
      </c>
      <c r="L767" s="18" t="s">
        <v>52</v>
      </c>
      <c r="M767" s="18" t="s">
        <v>89</v>
      </c>
      <c r="N767" s="18" t="s">
        <v>861</v>
      </c>
      <c r="O767" s="18" t="s">
        <v>126</v>
      </c>
      <c r="P767" s="18" t="s">
        <v>56</v>
      </c>
      <c r="Q767" s="18" t="s">
        <v>90</v>
      </c>
      <c r="R767" s="18" t="s">
        <v>143</v>
      </c>
      <c r="S767" s="18" t="s">
        <v>59</v>
      </c>
      <c r="T767" s="38">
        <v>2026.0</v>
      </c>
      <c r="U767" s="38">
        <v>5.0</v>
      </c>
      <c r="V767" s="38">
        <v>1.081522909E9</v>
      </c>
      <c r="W767" s="38">
        <v>1.081540979E9</v>
      </c>
      <c r="X767" s="18" t="s">
        <v>2199</v>
      </c>
      <c r="Y767" s="18" t="s">
        <v>2200</v>
      </c>
      <c r="Z767" s="38">
        <v>438051.34</v>
      </c>
      <c r="AA767" s="38">
        <v>438051.34</v>
      </c>
      <c r="AB767" s="38">
        <v>146017.12</v>
      </c>
      <c r="AC767" s="38">
        <v>1337.5</v>
      </c>
      <c r="AD767" s="38">
        <v>0.0</v>
      </c>
      <c r="AE767" s="38">
        <v>0.0</v>
      </c>
      <c r="AF767" s="38">
        <v>0.0</v>
      </c>
      <c r="AG767" s="38">
        <v>0.0</v>
      </c>
      <c r="AH767" s="38">
        <v>0.0</v>
      </c>
      <c r="AI767" s="38">
        <v>438051.34</v>
      </c>
      <c r="AJ767" s="38">
        <v>438051.34</v>
      </c>
      <c r="AK767" s="38">
        <v>0.0</v>
      </c>
      <c r="AL767" s="38">
        <v>376.2</v>
      </c>
      <c r="AM767" s="38">
        <v>0.0</v>
      </c>
      <c r="AN767" s="34" t="s">
        <v>62</v>
      </c>
      <c r="AO767" s="34" t="s">
        <v>62</v>
      </c>
      <c r="AP767" s="34" t="s">
        <v>62</v>
      </c>
      <c r="AQ767" s="34" t="s">
        <v>62</v>
      </c>
      <c r="AR767" s="38">
        <v>0.0</v>
      </c>
      <c r="AS767" s="38" t="s">
        <v>3047</v>
      </c>
      <c r="AT767" s="35" t="s">
        <v>2202</v>
      </c>
      <c r="AU767" s="39" t="s">
        <v>2254</v>
      </c>
      <c r="AV767" s="40">
        <v>46171.0</v>
      </c>
    </row>
    <row r="768">
      <c r="A768" s="38">
        <v>455370.0</v>
      </c>
      <c r="B768" s="38">
        <v>412.0</v>
      </c>
      <c r="C768" s="38">
        <v>412.0</v>
      </c>
      <c r="D768" s="38">
        <v>9.0250405E7</v>
      </c>
      <c r="E768" s="38">
        <v>9.0250405E7</v>
      </c>
      <c r="F768" s="18" t="s">
        <v>148</v>
      </c>
      <c r="G768" s="18" t="s">
        <v>149</v>
      </c>
      <c r="H768" s="18" t="s">
        <v>2296</v>
      </c>
      <c r="I768" s="18" t="s">
        <v>1021</v>
      </c>
      <c r="J768" s="18" t="s">
        <v>2205</v>
      </c>
      <c r="K768" s="18" t="s">
        <v>2611</v>
      </c>
      <c r="L768" s="18" t="s">
        <v>52</v>
      </c>
      <c r="M768" s="18" t="s">
        <v>53</v>
      </c>
      <c r="N768" s="18" t="s">
        <v>861</v>
      </c>
      <c r="O768" s="18" t="s">
        <v>126</v>
      </c>
      <c r="P768" s="18" t="s">
        <v>56</v>
      </c>
      <c r="Q768" s="18" t="s">
        <v>57</v>
      </c>
      <c r="R768" s="18" t="s">
        <v>143</v>
      </c>
      <c r="S768" s="18" t="s">
        <v>59</v>
      </c>
      <c r="T768" s="38">
        <v>2026.0</v>
      </c>
      <c r="U768" s="38">
        <v>5.0</v>
      </c>
      <c r="V768" s="38">
        <v>1.081522912E9</v>
      </c>
      <c r="W768" s="38">
        <v>1.081540982E9</v>
      </c>
      <c r="X768" s="18" t="s">
        <v>2199</v>
      </c>
      <c r="Y768" s="18" t="s">
        <v>2200</v>
      </c>
      <c r="Z768" s="38">
        <v>167233.48</v>
      </c>
      <c r="AA768" s="38">
        <v>167233.48</v>
      </c>
      <c r="AB768" s="38">
        <v>0.0</v>
      </c>
      <c r="AC768" s="38">
        <v>680.0</v>
      </c>
      <c r="AD768" s="38">
        <v>0.0</v>
      </c>
      <c r="AE768" s="38">
        <v>0.0</v>
      </c>
      <c r="AF768" s="38">
        <v>0.0</v>
      </c>
      <c r="AG768" s="38">
        <v>0.0</v>
      </c>
      <c r="AH768" s="38">
        <v>0.0</v>
      </c>
      <c r="AI768" s="38">
        <v>167233.48</v>
      </c>
      <c r="AJ768" s="38">
        <v>493751.22</v>
      </c>
      <c r="AK768" s="38">
        <v>3.0</v>
      </c>
      <c r="AL768" s="38">
        <v>250.8</v>
      </c>
      <c r="AM768" s="38">
        <v>0.0</v>
      </c>
      <c r="AN768" s="34" t="s">
        <v>62</v>
      </c>
      <c r="AO768" s="34" t="s">
        <v>62</v>
      </c>
      <c r="AP768" s="34" t="s">
        <v>62</v>
      </c>
      <c r="AQ768" s="34" t="s">
        <v>62</v>
      </c>
      <c r="AR768" s="38">
        <v>0.0</v>
      </c>
      <c r="AS768" s="38" t="s">
        <v>2293</v>
      </c>
      <c r="AT768" s="35" t="s">
        <v>2294</v>
      </c>
      <c r="AU768" s="39" t="s">
        <v>2295</v>
      </c>
      <c r="AV768" s="40">
        <v>46164.0</v>
      </c>
    </row>
    <row r="769">
      <c r="A769" s="38">
        <v>417.0</v>
      </c>
      <c r="B769" s="38">
        <v>416.0</v>
      </c>
      <c r="C769" s="38">
        <v>416.0</v>
      </c>
      <c r="D769" s="38">
        <v>9.0251207E7</v>
      </c>
      <c r="E769" s="38">
        <v>9.0251207E7</v>
      </c>
      <c r="F769" s="38">
        <v>8.9050081E8</v>
      </c>
      <c r="G769" s="18" t="s">
        <v>1569</v>
      </c>
      <c r="H769" s="18" t="s">
        <v>3048</v>
      </c>
      <c r="I769" s="18" t="s">
        <v>1205</v>
      </c>
      <c r="J769" s="18" t="s">
        <v>2205</v>
      </c>
      <c r="K769" s="18" t="s">
        <v>2205</v>
      </c>
      <c r="L769" s="18" t="s">
        <v>52</v>
      </c>
      <c r="M769" s="18" t="s">
        <v>89</v>
      </c>
      <c r="N769" s="18" t="s">
        <v>861</v>
      </c>
      <c r="O769" s="18" t="s">
        <v>126</v>
      </c>
      <c r="P769" s="18" t="s">
        <v>131</v>
      </c>
      <c r="Q769" s="18" t="s">
        <v>151</v>
      </c>
      <c r="R769" s="18" t="s">
        <v>133</v>
      </c>
      <c r="S769" s="18" t="s">
        <v>163</v>
      </c>
      <c r="T769" s="38">
        <v>2026.0</v>
      </c>
      <c r="U769" s="38">
        <v>5.0</v>
      </c>
      <c r="V769" s="38">
        <v>1.081522915E9</v>
      </c>
      <c r="W769" s="38">
        <v>1.081540985E9</v>
      </c>
      <c r="X769" s="18" t="s">
        <v>2199</v>
      </c>
      <c r="Y769" s="18" t="s">
        <v>2200</v>
      </c>
      <c r="Z769" s="38">
        <v>37746.0</v>
      </c>
      <c r="AA769" s="38">
        <v>37746.0</v>
      </c>
      <c r="AB769" s="38">
        <v>0.0</v>
      </c>
      <c r="AC769" s="38">
        <v>0.0</v>
      </c>
      <c r="AD769" s="38">
        <v>0.0</v>
      </c>
      <c r="AE769" s="38">
        <v>0.0</v>
      </c>
      <c r="AF769" s="38">
        <v>0.0</v>
      </c>
      <c r="AG769" s="38">
        <v>0.0</v>
      </c>
      <c r="AH769" s="38">
        <v>0.0</v>
      </c>
      <c r="AI769" s="38">
        <v>37746.0</v>
      </c>
      <c r="AJ769" s="38">
        <v>2074725.2</v>
      </c>
      <c r="AK769" s="38">
        <v>5.0</v>
      </c>
      <c r="AL769" s="38">
        <v>250.8</v>
      </c>
      <c r="AM769" s="38">
        <v>0.0</v>
      </c>
      <c r="AN769" s="34" t="s">
        <v>62</v>
      </c>
      <c r="AO769" s="34" t="s">
        <v>62</v>
      </c>
      <c r="AP769" s="34" t="s">
        <v>62</v>
      </c>
      <c r="AQ769" s="34" t="s">
        <v>62</v>
      </c>
      <c r="AR769" s="38">
        <v>0.0</v>
      </c>
      <c r="AS769" s="38" t="s">
        <v>3049</v>
      </c>
      <c r="AT769" s="35" t="s">
        <v>2202</v>
      </c>
      <c r="AU769" s="39" t="s">
        <v>2254</v>
      </c>
      <c r="AV769" s="40">
        <v>46171.0</v>
      </c>
    </row>
    <row r="770">
      <c r="A770" s="38">
        <v>455370.0</v>
      </c>
      <c r="B770" s="38">
        <v>420.0</v>
      </c>
      <c r="C770" s="38">
        <v>420.0</v>
      </c>
      <c r="D770" s="38">
        <v>9.0253008E7</v>
      </c>
      <c r="E770" s="38">
        <v>9.0253008E7</v>
      </c>
      <c r="F770" s="18" t="s">
        <v>148</v>
      </c>
      <c r="G770" s="18" t="s">
        <v>149</v>
      </c>
      <c r="H770" s="18" t="s">
        <v>2296</v>
      </c>
      <c r="I770" s="18" t="s">
        <v>1205</v>
      </c>
      <c r="J770" s="18" t="s">
        <v>2205</v>
      </c>
      <c r="K770" s="18" t="s">
        <v>2611</v>
      </c>
      <c r="L770" s="18" t="s">
        <v>52</v>
      </c>
      <c r="M770" s="18" t="s">
        <v>53</v>
      </c>
      <c r="N770" s="18" t="s">
        <v>861</v>
      </c>
      <c r="O770" s="18" t="s">
        <v>126</v>
      </c>
      <c r="P770" s="18" t="s">
        <v>56</v>
      </c>
      <c r="Q770" s="18" t="s">
        <v>57</v>
      </c>
      <c r="R770" s="18" t="s">
        <v>143</v>
      </c>
      <c r="S770" s="18" t="s">
        <v>59</v>
      </c>
      <c r="T770" s="38">
        <v>2026.0</v>
      </c>
      <c r="U770" s="38">
        <v>5.0</v>
      </c>
      <c r="V770" s="38">
        <v>1.081522919E9</v>
      </c>
      <c r="W770" s="38">
        <v>1.081540989E9</v>
      </c>
      <c r="X770" s="18" t="s">
        <v>2199</v>
      </c>
      <c r="Y770" s="18" t="s">
        <v>2200</v>
      </c>
      <c r="Z770" s="38">
        <v>198172.67</v>
      </c>
      <c r="AA770" s="38">
        <v>198172.67</v>
      </c>
      <c r="AB770" s="38">
        <v>0.0</v>
      </c>
      <c r="AC770" s="38">
        <v>843.0</v>
      </c>
      <c r="AD770" s="38">
        <v>0.0</v>
      </c>
      <c r="AE770" s="38">
        <v>0.0</v>
      </c>
      <c r="AF770" s="38">
        <v>0.0</v>
      </c>
      <c r="AG770" s="38">
        <v>0.0</v>
      </c>
      <c r="AH770" s="38">
        <v>0.0</v>
      </c>
      <c r="AI770" s="38">
        <v>198172.67</v>
      </c>
      <c r="AJ770" s="38">
        <v>554886.65</v>
      </c>
      <c r="AK770" s="38">
        <v>3.0</v>
      </c>
      <c r="AL770" s="38">
        <v>250.8</v>
      </c>
      <c r="AM770" s="38">
        <v>0.0</v>
      </c>
      <c r="AN770" s="34" t="s">
        <v>62</v>
      </c>
      <c r="AO770" s="34" t="s">
        <v>62</v>
      </c>
      <c r="AP770" s="34" t="s">
        <v>62</v>
      </c>
      <c r="AQ770" s="34" t="s">
        <v>62</v>
      </c>
      <c r="AR770" s="38">
        <v>0.0</v>
      </c>
      <c r="AS770" s="38" t="s">
        <v>2293</v>
      </c>
      <c r="AT770" s="35" t="s">
        <v>2294</v>
      </c>
      <c r="AU770" s="39" t="s">
        <v>2295</v>
      </c>
      <c r="AV770" s="40">
        <v>46164.0</v>
      </c>
    </row>
    <row r="771">
      <c r="A771" s="38">
        <v>699.0</v>
      </c>
      <c r="B771" s="38">
        <v>423664.0</v>
      </c>
      <c r="C771" s="38">
        <v>438646.0</v>
      </c>
      <c r="D771" s="38">
        <v>1070459.0</v>
      </c>
      <c r="E771" s="38">
        <v>1070459.0</v>
      </c>
      <c r="F771" s="38">
        <v>9.00480569E8</v>
      </c>
      <c r="G771" s="18" t="s">
        <v>141</v>
      </c>
      <c r="H771" s="18" t="s">
        <v>2255</v>
      </c>
      <c r="I771" s="18" t="s">
        <v>640</v>
      </c>
      <c r="J771" s="18" t="s">
        <v>2205</v>
      </c>
      <c r="K771" s="18" t="s">
        <v>2256</v>
      </c>
      <c r="L771" s="18" t="s">
        <v>52</v>
      </c>
      <c r="M771" s="18" t="s">
        <v>53</v>
      </c>
      <c r="N771" s="18" t="s">
        <v>861</v>
      </c>
      <c r="O771" s="18" t="s">
        <v>126</v>
      </c>
      <c r="P771" s="18" t="s">
        <v>56</v>
      </c>
      <c r="Q771" s="18" t="s">
        <v>90</v>
      </c>
      <c r="R771" s="18" t="s">
        <v>143</v>
      </c>
      <c r="S771" s="18" t="s">
        <v>59</v>
      </c>
      <c r="T771" s="38">
        <v>2026.0</v>
      </c>
      <c r="U771" s="38">
        <v>5.0</v>
      </c>
      <c r="V771" s="38">
        <v>1.081523165E9</v>
      </c>
      <c r="W771" s="38">
        <v>1.081541235E9</v>
      </c>
      <c r="X771" s="18" t="s">
        <v>2199</v>
      </c>
      <c r="Y771" s="18" t="s">
        <v>2200</v>
      </c>
      <c r="Z771" s="38">
        <v>341959.5</v>
      </c>
      <c r="AA771" s="38">
        <v>341959.5</v>
      </c>
      <c r="AB771" s="38">
        <v>113986.5</v>
      </c>
      <c r="AC771" s="38">
        <v>1000.0</v>
      </c>
      <c r="AD771" s="38">
        <v>0.0</v>
      </c>
      <c r="AE771" s="38">
        <v>0.0</v>
      </c>
      <c r="AF771" s="38">
        <v>0.0</v>
      </c>
      <c r="AG771" s="38">
        <v>0.0</v>
      </c>
      <c r="AH771" s="38">
        <v>0.0</v>
      </c>
      <c r="AI771" s="38">
        <v>341959.5</v>
      </c>
      <c r="AJ771" s="38">
        <v>341959.5</v>
      </c>
      <c r="AK771" s="38">
        <v>0.0</v>
      </c>
      <c r="AL771" s="38">
        <v>376.2</v>
      </c>
      <c r="AM771" s="38">
        <v>0.0</v>
      </c>
      <c r="AN771" s="34" t="s">
        <v>62</v>
      </c>
      <c r="AO771" s="34" t="s">
        <v>62</v>
      </c>
      <c r="AP771" s="34" t="s">
        <v>62</v>
      </c>
      <c r="AQ771" s="34" t="s">
        <v>62</v>
      </c>
      <c r="AR771" s="38">
        <v>0.0</v>
      </c>
      <c r="AS771" s="38" t="s">
        <v>2257</v>
      </c>
      <c r="AT771" s="35" t="s">
        <v>2202</v>
      </c>
      <c r="AU771" s="39" t="s">
        <v>2203</v>
      </c>
      <c r="AV771" s="40">
        <v>46163.0</v>
      </c>
    </row>
    <row r="772">
      <c r="A772" s="38">
        <v>455370.0</v>
      </c>
      <c r="B772" s="38">
        <v>425280.0</v>
      </c>
      <c r="C772" s="38">
        <v>441120.0</v>
      </c>
      <c r="D772" s="34" t="s">
        <v>62</v>
      </c>
      <c r="E772" s="34" t="s">
        <v>62</v>
      </c>
      <c r="F772" s="18" t="s">
        <v>148</v>
      </c>
      <c r="G772" s="18" t="s">
        <v>149</v>
      </c>
      <c r="H772" s="18" t="s">
        <v>2296</v>
      </c>
      <c r="I772" s="18" t="s">
        <v>982</v>
      </c>
      <c r="J772" s="18" t="s">
        <v>2205</v>
      </c>
      <c r="K772" s="18" t="s">
        <v>2205</v>
      </c>
      <c r="L772" s="18" t="s">
        <v>52</v>
      </c>
      <c r="M772" s="18" t="s">
        <v>89</v>
      </c>
      <c r="N772" s="18" t="s">
        <v>861</v>
      </c>
      <c r="O772" s="18" t="s">
        <v>126</v>
      </c>
      <c r="P772" s="18" t="s">
        <v>131</v>
      </c>
      <c r="Q772" s="18" t="s">
        <v>151</v>
      </c>
      <c r="R772" s="18" t="s">
        <v>133</v>
      </c>
      <c r="S772" s="18" t="s">
        <v>59</v>
      </c>
      <c r="T772" s="38">
        <v>2026.0</v>
      </c>
      <c r="U772" s="38">
        <v>5.0</v>
      </c>
      <c r="V772" s="38">
        <v>1.081523168E9</v>
      </c>
      <c r="W772" s="38">
        <v>1.081541238E9</v>
      </c>
      <c r="X772" s="18" t="s">
        <v>2199</v>
      </c>
      <c r="Y772" s="18" t="s">
        <v>2200</v>
      </c>
      <c r="Z772" s="38">
        <v>75941.0</v>
      </c>
      <c r="AA772" s="38">
        <v>75941.0</v>
      </c>
      <c r="AB772" s="38">
        <v>0.0</v>
      </c>
      <c r="AC772" s="38">
        <v>0.0</v>
      </c>
      <c r="AD772" s="38">
        <v>0.0</v>
      </c>
      <c r="AE772" s="38">
        <v>0.0</v>
      </c>
      <c r="AF772" s="38">
        <v>0.0</v>
      </c>
      <c r="AG772" s="38">
        <v>0.0</v>
      </c>
      <c r="AH772" s="38">
        <v>0.0</v>
      </c>
      <c r="AI772" s="38">
        <v>75941.0</v>
      </c>
      <c r="AJ772" s="38">
        <v>225673.0</v>
      </c>
      <c r="AK772" s="38">
        <v>2.0</v>
      </c>
      <c r="AL772" s="38">
        <v>250.8</v>
      </c>
      <c r="AM772" s="38">
        <v>0.0</v>
      </c>
      <c r="AN772" s="34" t="s">
        <v>62</v>
      </c>
      <c r="AO772" s="34" t="s">
        <v>62</v>
      </c>
      <c r="AP772" s="34" t="s">
        <v>62</v>
      </c>
      <c r="AQ772" s="34" t="s">
        <v>62</v>
      </c>
      <c r="AR772" s="38">
        <v>0.0</v>
      </c>
      <c r="AS772" s="38" t="s">
        <v>2293</v>
      </c>
      <c r="AT772" s="35" t="s">
        <v>2202</v>
      </c>
      <c r="AU772" s="39" t="s">
        <v>2254</v>
      </c>
      <c r="AV772" s="40">
        <v>46171.0</v>
      </c>
    </row>
    <row r="773">
      <c r="A773" s="38">
        <v>429.0</v>
      </c>
      <c r="B773" s="38">
        <v>428.0</v>
      </c>
      <c r="C773" s="38">
        <v>428.0</v>
      </c>
      <c r="D773" s="38">
        <v>9.0253723E7</v>
      </c>
      <c r="E773" s="38">
        <v>9.0253723E7</v>
      </c>
      <c r="F773" s="18" t="s">
        <v>1574</v>
      </c>
      <c r="G773" s="18" t="s">
        <v>1575</v>
      </c>
      <c r="H773" s="18" t="s">
        <v>3050</v>
      </c>
      <c r="I773" s="18" t="s">
        <v>982</v>
      </c>
      <c r="J773" s="18" t="s">
        <v>2205</v>
      </c>
      <c r="K773" s="18" t="s">
        <v>2684</v>
      </c>
      <c r="L773" s="18" t="s">
        <v>52</v>
      </c>
      <c r="M773" s="18" t="s">
        <v>89</v>
      </c>
      <c r="N773" s="18" t="s">
        <v>861</v>
      </c>
      <c r="O773" s="18" t="s">
        <v>126</v>
      </c>
      <c r="P773" s="18" t="s">
        <v>56</v>
      </c>
      <c r="Q773" s="18" t="s">
        <v>57</v>
      </c>
      <c r="R773" s="18" t="s">
        <v>143</v>
      </c>
      <c r="S773" s="18" t="s">
        <v>59</v>
      </c>
      <c r="T773" s="38">
        <v>2026.0</v>
      </c>
      <c r="U773" s="38">
        <v>5.0</v>
      </c>
      <c r="V773" s="38">
        <v>1.081522922E9</v>
      </c>
      <c r="W773" s="38">
        <v>1.081540992E9</v>
      </c>
      <c r="X773" s="18" t="s">
        <v>2199</v>
      </c>
      <c r="Y773" s="18" t="s">
        <v>2200</v>
      </c>
      <c r="Z773" s="38">
        <v>4654840.06</v>
      </c>
      <c r="AA773" s="38">
        <v>4654840.06</v>
      </c>
      <c r="AB773" s="38">
        <v>0.0</v>
      </c>
      <c r="AC773" s="38">
        <v>24322.5</v>
      </c>
      <c r="AD773" s="38">
        <v>0.0</v>
      </c>
      <c r="AE773" s="38">
        <v>0.0</v>
      </c>
      <c r="AF773" s="38">
        <v>0.0</v>
      </c>
      <c r="AG773" s="38">
        <v>0.0</v>
      </c>
      <c r="AH773" s="38">
        <v>0.0</v>
      </c>
      <c r="AI773" s="38">
        <v>4654840.06</v>
      </c>
      <c r="AJ773" s="38">
        <v>1.850531075E7</v>
      </c>
      <c r="AK773" s="38">
        <v>4.0</v>
      </c>
      <c r="AL773" s="38">
        <v>250.8</v>
      </c>
      <c r="AM773" s="38">
        <v>0.0</v>
      </c>
      <c r="AN773" s="34" t="s">
        <v>62</v>
      </c>
      <c r="AO773" s="34" t="s">
        <v>62</v>
      </c>
      <c r="AP773" s="34" t="s">
        <v>62</v>
      </c>
      <c r="AQ773" s="34" t="s">
        <v>62</v>
      </c>
      <c r="AR773" s="38">
        <v>0.0</v>
      </c>
      <c r="AS773" s="38" t="s">
        <v>2685</v>
      </c>
      <c r="AT773" s="35" t="s">
        <v>2294</v>
      </c>
      <c r="AU773" s="39" t="s">
        <v>2295</v>
      </c>
      <c r="AV773" s="40">
        <v>46164.0</v>
      </c>
    </row>
    <row r="774">
      <c r="A774" s="38">
        <v>464106.0</v>
      </c>
      <c r="B774" s="38">
        <v>429544.0</v>
      </c>
      <c r="C774" s="38">
        <v>448047.0</v>
      </c>
      <c r="D774" s="34" t="s">
        <v>62</v>
      </c>
      <c r="E774" s="34" t="s">
        <v>62</v>
      </c>
      <c r="F774" s="18" t="s">
        <v>1577</v>
      </c>
      <c r="G774" s="18" t="s">
        <v>1578</v>
      </c>
      <c r="H774" s="18" t="s">
        <v>3051</v>
      </c>
      <c r="I774" s="18" t="s">
        <v>991</v>
      </c>
      <c r="J774" s="18" t="s">
        <v>2691</v>
      </c>
      <c r="K774" s="18" t="s">
        <v>2691</v>
      </c>
      <c r="L774" s="18" t="s">
        <v>52</v>
      </c>
      <c r="M774" s="18" t="s">
        <v>89</v>
      </c>
      <c r="N774" s="18" t="s">
        <v>861</v>
      </c>
      <c r="O774" s="18" t="s">
        <v>126</v>
      </c>
      <c r="P774" s="18" t="s">
        <v>56</v>
      </c>
      <c r="Q774" s="18" t="s">
        <v>90</v>
      </c>
      <c r="R774" s="18" t="s">
        <v>143</v>
      </c>
      <c r="S774" s="18" t="s">
        <v>59</v>
      </c>
      <c r="T774" s="38">
        <v>2026.0</v>
      </c>
      <c r="U774" s="38">
        <v>5.0</v>
      </c>
      <c r="V774" s="38">
        <v>1.081523172E9</v>
      </c>
      <c r="W774" s="38">
        <v>1.081541242E9</v>
      </c>
      <c r="X774" s="18" t="s">
        <v>2199</v>
      </c>
      <c r="Y774" s="18" t="s">
        <v>2200</v>
      </c>
      <c r="Z774" s="38">
        <v>129276.28</v>
      </c>
      <c r="AA774" s="38">
        <v>129276.28</v>
      </c>
      <c r="AB774" s="38">
        <v>43092.1</v>
      </c>
      <c r="AC774" s="38">
        <v>253.0</v>
      </c>
      <c r="AD774" s="38">
        <v>0.0</v>
      </c>
      <c r="AE774" s="38">
        <v>0.0</v>
      </c>
      <c r="AF774" s="38">
        <v>0.0</v>
      </c>
      <c r="AG774" s="38">
        <v>0.0</v>
      </c>
      <c r="AH774" s="38">
        <v>0.0</v>
      </c>
      <c r="AI774" s="38">
        <v>129276.28</v>
      </c>
      <c r="AJ774" s="38">
        <v>129276.28</v>
      </c>
      <c r="AK774" s="38">
        <v>0.0</v>
      </c>
      <c r="AL774" s="38">
        <v>376.2</v>
      </c>
      <c r="AM774" s="38">
        <v>0.0</v>
      </c>
      <c r="AN774" s="34" t="s">
        <v>62</v>
      </c>
      <c r="AO774" s="34" t="s">
        <v>62</v>
      </c>
      <c r="AP774" s="34" t="s">
        <v>62</v>
      </c>
      <c r="AQ774" s="34" t="s">
        <v>62</v>
      </c>
      <c r="AR774" s="38">
        <v>0.0</v>
      </c>
      <c r="AS774" s="38" t="s">
        <v>3052</v>
      </c>
      <c r="AT774" s="38" t="s">
        <v>2275</v>
      </c>
      <c r="AU774" s="39" t="s">
        <v>2276</v>
      </c>
      <c r="AV774" s="40">
        <v>46163.0</v>
      </c>
    </row>
    <row r="775">
      <c r="A775" s="38">
        <v>464121.0</v>
      </c>
      <c r="B775" s="38">
        <v>429548.0</v>
      </c>
      <c r="C775" s="38">
        <v>448059.0</v>
      </c>
      <c r="D775" s="34" t="s">
        <v>62</v>
      </c>
      <c r="E775" s="34" t="s">
        <v>62</v>
      </c>
      <c r="F775" s="18" t="s">
        <v>1580</v>
      </c>
      <c r="G775" s="18" t="s">
        <v>1581</v>
      </c>
      <c r="H775" s="18" t="s">
        <v>3053</v>
      </c>
      <c r="I775" s="18" t="s">
        <v>991</v>
      </c>
      <c r="J775" s="18" t="s">
        <v>2691</v>
      </c>
      <c r="K775" s="18" t="s">
        <v>2691</v>
      </c>
      <c r="L775" s="18" t="s">
        <v>52</v>
      </c>
      <c r="M775" s="18" t="s">
        <v>89</v>
      </c>
      <c r="N775" s="18" t="s">
        <v>861</v>
      </c>
      <c r="O775" s="18" t="s">
        <v>126</v>
      </c>
      <c r="P775" s="18" t="s">
        <v>56</v>
      </c>
      <c r="Q775" s="18" t="s">
        <v>90</v>
      </c>
      <c r="R775" s="18" t="s">
        <v>143</v>
      </c>
      <c r="S775" s="18" t="s">
        <v>59</v>
      </c>
      <c r="T775" s="38">
        <v>2026.0</v>
      </c>
      <c r="U775" s="38">
        <v>5.0</v>
      </c>
      <c r="V775" s="38">
        <v>1.081523176E9</v>
      </c>
      <c r="W775" s="38">
        <v>1.081541246E9</v>
      </c>
      <c r="X775" s="18" t="s">
        <v>2199</v>
      </c>
      <c r="Y775" s="18" t="s">
        <v>2200</v>
      </c>
      <c r="Z775" s="38">
        <v>129276.28</v>
      </c>
      <c r="AA775" s="38">
        <v>129276.28</v>
      </c>
      <c r="AB775" s="38">
        <v>43092.1</v>
      </c>
      <c r="AC775" s="38">
        <v>253.0</v>
      </c>
      <c r="AD775" s="38">
        <v>0.0</v>
      </c>
      <c r="AE775" s="38">
        <v>0.0</v>
      </c>
      <c r="AF775" s="38">
        <v>0.0</v>
      </c>
      <c r="AG775" s="38">
        <v>0.0</v>
      </c>
      <c r="AH775" s="38">
        <v>0.0</v>
      </c>
      <c r="AI775" s="38">
        <v>129276.28</v>
      </c>
      <c r="AJ775" s="38">
        <v>129276.28</v>
      </c>
      <c r="AK775" s="38">
        <v>0.0</v>
      </c>
      <c r="AL775" s="38">
        <v>376.2</v>
      </c>
      <c r="AM775" s="38">
        <v>0.0</v>
      </c>
      <c r="AN775" s="34" t="s">
        <v>62</v>
      </c>
      <c r="AO775" s="34" t="s">
        <v>62</v>
      </c>
      <c r="AP775" s="34" t="s">
        <v>62</v>
      </c>
      <c r="AQ775" s="34" t="s">
        <v>62</v>
      </c>
      <c r="AR775" s="38">
        <v>0.0</v>
      </c>
      <c r="AS775" s="38" t="s">
        <v>3054</v>
      </c>
      <c r="AT775" s="38" t="s">
        <v>2275</v>
      </c>
      <c r="AU775" s="39" t="s">
        <v>2276</v>
      </c>
      <c r="AV775" s="40">
        <v>46163.0</v>
      </c>
    </row>
    <row r="776">
      <c r="A776" s="38">
        <v>464130.0</v>
      </c>
      <c r="B776" s="38">
        <v>429552.0</v>
      </c>
      <c r="C776" s="38">
        <v>448070.0</v>
      </c>
      <c r="D776" s="34" t="s">
        <v>62</v>
      </c>
      <c r="E776" s="34" t="s">
        <v>62</v>
      </c>
      <c r="F776" s="18" t="s">
        <v>1583</v>
      </c>
      <c r="G776" s="18" t="s">
        <v>1584</v>
      </c>
      <c r="H776" s="18" t="s">
        <v>3055</v>
      </c>
      <c r="I776" s="18" t="s">
        <v>991</v>
      </c>
      <c r="J776" s="18" t="s">
        <v>2691</v>
      </c>
      <c r="K776" s="18" t="s">
        <v>2691</v>
      </c>
      <c r="L776" s="18" t="s">
        <v>52</v>
      </c>
      <c r="M776" s="18" t="s">
        <v>89</v>
      </c>
      <c r="N776" s="18" t="s">
        <v>861</v>
      </c>
      <c r="O776" s="18" t="s">
        <v>126</v>
      </c>
      <c r="P776" s="18" t="s">
        <v>56</v>
      </c>
      <c r="Q776" s="18" t="s">
        <v>90</v>
      </c>
      <c r="R776" s="18" t="s">
        <v>143</v>
      </c>
      <c r="S776" s="18" t="s">
        <v>59</v>
      </c>
      <c r="T776" s="38">
        <v>2026.0</v>
      </c>
      <c r="U776" s="38">
        <v>5.0</v>
      </c>
      <c r="V776" s="38">
        <v>1.081523178E9</v>
      </c>
      <c r="W776" s="38">
        <v>1.081541248E9</v>
      </c>
      <c r="X776" s="18" t="s">
        <v>2199</v>
      </c>
      <c r="Y776" s="18" t="s">
        <v>2200</v>
      </c>
      <c r="Z776" s="38">
        <v>129276.28</v>
      </c>
      <c r="AA776" s="38">
        <v>129276.28</v>
      </c>
      <c r="AB776" s="38">
        <v>43092.1</v>
      </c>
      <c r="AC776" s="38">
        <v>253.0</v>
      </c>
      <c r="AD776" s="38">
        <v>0.0</v>
      </c>
      <c r="AE776" s="38">
        <v>0.0</v>
      </c>
      <c r="AF776" s="38">
        <v>0.0</v>
      </c>
      <c r="AG776" s="38">
        <v>0.0</v>
      </c>
      <c r="AH776" s="38">
        <v>0.0</v>
      </c>
      <c r="AI776" s="38">
        <v>129276.28</v>
      </c>
      <c r="AJ776" s="38">
        <v>129276.95</v>
      </c>
      <c r="AK776" s="38">
        <v>1.0</v>
      </c>
      <c r="AL776" s="38">
        <v>376.2</v>
      </c>
      <c r="AM776" s="38">
        <v>0.0</v>
      </c>
      <c r="AN776" s="34" t="s">
        <v>62</v>
      </c>
      <c r="AO776" s="34" t="s">
        <v>62</v>
      </c>
      <c r="AP776" s="34" t="s">
        <v>62</v>
      </c>
      <c r="AQ776" s="34" t="s">
        <v>62</v>
      </c>
      <c r="AR776" s="38">
        <v>0.0</v>
      </c>
      <c r="AS776" s="38" t="s">
        <v>3056</v>
      </c>
      <c r="AT776" s="38" t="s">
        <v>2275</v>
      </c>
      <c r="AU776" s="39" t="s">
        <v>2276</v>
      </c>
      <c r="AV776" s="40">
        <v>46163.0</v>
      </c>
    </row>
    <row r="777">
      <c r="A777" s="38">
        <v>464136.0</v>
      </c>
      <c r="B777" s="38">
        <v>429556.0</v>
      </c>
      <c r="C777" s="38">
        <v>448075.0</v>
      </c>
      <c r="D777" s="34" t="s">
        <v>62</v>
      </c>
      <c r="E777" s="34" t="s">
        <v>62</v>
      </c>
      <c r="F777" s="38">
        <v>2.7579558E7</v>
      </c>
      <c r="G777" s="18" t="s">
        <v>1586</v>
      </c>
      <c r="H777" s="18" t="s">
        <v>3057</v>
      </c>
      <c r="I777" s="18" t="s">
        <v>991</v>
      </c>
      <c r="J777" s="18" t="s">
        <v>2691</v>
      </c>
      <c r="K777" s="18" t="s">
        <v>2691</v>
      </c>
      <c r="L777" s="18" t="s">
        <v>52</v>
      </c>
      <c r="M777" s="18" t="s">
        <v>89</v>
      </c>
      <c r="N777" s="18" t="s">
        <v>861</v>
      </c>
      <c r="O777" s="18" t="s">
        <v>126</v>
      </c>
      <c r="P777" s="18" t="s">
        <v>56</v>
      </c>
      <c r="Q777" s="18" t="s">
        <v>90</v>
      </c>
      <c r="R777" s="18" t="s">
        <v>143</v>
      </c>
      <c r="S777" s="18" t="s">
        <v>59</v>
      </c>
      <c r="T777" s="38">
        <v>2026.0</v>
      </c>
      <c r="U777" s="38">
        <v>5.0</v>
      </c>
      <c r="V777" s="38">
        <v>1.08152318E9</v>
      </c>
      <c r="W777" s="38">
        <v>1.08154125E9</v>
      </c>
      <c r="X777" s="18" t="s">
        <v>2199</v>
      </c>
      <c r="Y777" s="18" t="s">
        <v>2200</v>
      </c>
      <c r="Z777" s="38">
        <v>129276.29</v>
      </c>
      <c r="AA777" s="38">
        <v>129276.29</v>
      </c>
      <c r="AB777" s="38">
        <v>43092.1</v>
      </c>
      <c r="AC777" s="38">
        <v>253.0</v>
      </c>
      <c r="AD777" s="38">
        <v>0.01</v>
      </c>
      <c r="AE777" s="38">
        <v>0.0</v>
      </c>
      <c r="AF777" s="38">
        <v>0.0</v>
      </c>
      <c r="AG777" s="38">
        <v>0.0</v>
      </c>
      <c r="AH777" s="38">
        <v>0.0</v>
      </c>
      <c r="AI777" s="38">
        <v>129276.29</v>
      </c>
      <c r="AJ777" s="38">
        <v>256699.09</v>
      </c>
      <c r="AK777" s="38">
        <v>2.0</v>
      </c>
      <c r="AL777" s="38">
        <v>376.2</v>
      </c>
      <c r="AM777" s="38">
        <v>0.0</v>
      </c>
      <c r="AN777" s="34" t="s">
        <v>62</v>
      </c>
      <c r="AO777" s="34" t="s">
        <v>62</v>
      </c>
      <c r="AP777" s="34" t="s">
        <v>62</v>
      </c>
      <c r="AQ777" s="34" t="s">
        <v>62</v>
      </c>
      <c r="AR777" s="38">
        <v>0.0</v>
      </c>
      <c r="AS777" s="38" t="s">
        <v>3058</v>
      </c>
      <c r="AT777" s="38" t="s">
        <v>2275</v>
      </c>
      <c r="AU777" s="39" t="s">
        <v>2276</v>
      </c>
      <c r="AV777" s="40">
        <v>46163.0</v>
      </c>
    </row>
    <row r="778">
      <c r="A778" s="38">
        <v>464839.0</v>
      </c>
      <c r="B778" s="38">
        <v>429732.0</v>
      </c>
      <c r="C778" s="38">
        <v>448634.0</v>
      </c>
      <c r="D778" s="34" t="s">
        <v>62</v>
      </c>
      <c r="E778" s="34" t="s">
        <v>62</v>
      </c>
      <c r="F778" s="18" t="s">
        <v>1552</v>
      </c>
      <c r="G778" s="18" t="s">
        <v>1553</v>
      </c>
      <c r="H778" s="18" t="s">
        <v>2873</v>
      </c>
      <c r="I778" s="18" t="s">
        <v>991</v>
      </c>
      <c r="J778" s="18" t="s">
        <v>2691</v>
      </c>
      <c r="K778" s="18" t="s">
        <v>2280</v>
      </c>
      <c r="L778" s="18" t="s">
        <v>52</v>
      </c>
      <c r="M778" s="18" t="s">
        <v>53</v>
      </c>
      <c r="N778" s="18" t="s">
        <v>861</v>
      </c>
      <c r="O778" s="18" t="s">
        <v>126</v>
      </c>
      <c r="P778" s="18" t="s">
        <v>56</v>
      </c>
      <c r="Q778" s="18" t="s">
        <v>90</v>
      </c>
      <c r="R778" s="18" t="s">
        <v>143</v>
      </c>
      <c r="S778" s="18" t="s">
        <v>59</v>
      </c>
      <c r="T778" s="38">
        <v>2026.0</v>
      </c>
      <c r="U778" s="38">
        <v>5.0</v>
      </c>
      <c r="V778" s="38">
        <v>1.081523183E9</v>
      </c>
      <c r="W778" s="38">
        <v>1.081541253E9</v>
      </c>
      <c r="X778" s="18" t="s">
        <v>2199</v>
      </c>
      <c r="Y778" s="18" t="s">
        <v>2200</v>
      </c>
      <c r="Z778" s="38">
        <v>129276.28</v>
      </c>
      <c r="AA778" s="38">
        <v>129276.28</v>
      </c>
      <c r="AB778" s="38">
        <v>43092.1</v>
      </c>
      <c r="AC778" s="38">
        <v>253.0</v>
      </c>
      <c r="AD778" s="38">
        <v>0.0</v>
      </c>
      <c r="AE778" s="38">
        <v>0.0</v>
      </c>
      <c r="AF778" s="38">
        <v>0.0</v>
      </c>
      <c r="AG778" s="38">
        <v>0.0</v>
      </c>
      <c r="AH778" s="38">
        <v>0.0</v>
      </c>
      <c r="AI778" s="38">
        <v>129276.28</v>
      </c>
      <c r="AJ778" s="38">
        <v>129276.28</v>
      </c>
      <c r="AK778" s="38">
        <v>0.0</v>
      </c>
      <c r="AL778" s="38">
        <v>376.2</v>
      </c>
      <c r="AM778" s="38">
        <v>0.0</v>
      </c>
      <c r="AN778" s="34" t="s">
        <v>62</v>
      </c>
      <c r="AO778" s="34" t="s">
        <v>62</v>
      </c>
      <c r="AP778" s="34" t="s">
        <v>62</v>
      </c>
      <c r="AQ778" s="34" t="s">
        <v>62</v>
      </c>
      <c r="AR778" s="38">
        <v>0.0</v>
      </c>
      <c r="AS778" s="38" t="s">
        <v>2281</v>
      </c>
      <c r="AT778" s="38" t="s">
        <v>2275</v>
      </c>
      <c r="AU778" s="39" t="s">
        <v>2276</v>
      </c>
      <c r="AV778" s="40">
        <v>46163.0</v>
      </c>
    </row>
    <row r="779">
      <c r="A779" s="38">
        <v>699.0</v>
      </c>
      <c r="B779" s="38">
        <v>433432.0</v>
      </c>
      <c r="C779" s="38">
        <v>454220.0</v>
      </c>
      <c r="D779" s="38">
        <v>1076945.0</v>
      </c>
      <c r="E779" s="38">
        <v>1076945.0</v>
      </c>
      <c r="F779" s="38">
        <v>9.00480569E8</v>
      </c>
      <c r="G779" s="18" t="s">
        <v>141</v>
      </c>
      <c r="H779" s="18" t="s">
        <v>2255</v>
      </c>
      <c r="I779" s="18" t="s">
        <v>1000</v>
      </c>
      <c r="J779" s="18" t="s">
        <v>2205</v>
      </c>
      <c r="K779" s="18" t="s">
        <v>2256</v>
      </c>
      <c r="L779" s="18" t="s">
        <v>52</v>
      </c>
      <c r="M779" s="18" t="s">
        <v>53</v>
      </c>
      <c r="N779" s="18" t="s">
        <v>861</v>
      </c>
      <c r="O779" s="18" t="s">
        <v>126</v>
      </c>
      <c r="P779" s="18" t="s">
        <v>56</v>
      </c>
      <c r="Q779" s="18" t="s">
        <v>90</v>
      </c>
      <c r="R779" s="18" t="s">
        <v>143</v>
      </c>
      <c r="S779" s="18" t="s">
        <v>59</v>
      </c>
      <c r="T779" s="38">
        <v>2026.0</v>
      </c>
      <c r="U779" s="38">
        <v>5.0</v>
      </c>
      <c r="V779" s="38">
        <v>1.081523186E9</v>
      </c>
      <c r="W779" s="38">
        <v>1.081541256E9</v>
      </c>
      <c r="X779" s="18" t="s">
        <v>2199</v>
      </c>
      <c r="Y779" s="18" t="s">
        <v>2200</v>
      </c>
      <c r="Z779" s="38">
        <v>1122712.26</v>
      </c>
      <c r="AA779" s="38">
        <v>1122712.26</v>
      </c>
      <c r="AB779" s="38">
        <v>331604.82</v>
      </c>
      <c r="AC779" s="38">
        <v>3293.0</v>
      </c>
      <c r="AD779" s="38">
        <v>127897.82</v>
      </c>
      <c r="AE779" s="38">
        <v>0.0</v>
      </c>
      <c r="AF779" s="38">
        <v>0.0</v>
      </c>
      <c r="AG779" s="38">
        <v>0.0</v>
      </c>
      <c r="AH779" s="38">
        <v>0.0</v>
      </c>
      <c r="AI779" s="38">
        <v>1122712.26</v>
      </c>
      <c r="AJ779" s="38">
        <v>8346753.06</v>
      </c>
      <c r="AK779" s="38">
        <v>8.0</v>
      </c>
      <c r="AL779" s="38">
        <v>376.2</v>
      </c>
      <c r="AM779" s="38">
        <v>0.0</v>
      </c>
      <c r="AN779" s="34" t="s">
        <v>62</v>
      </c>
      <c r="AO779" s="34" t="s">
        <v>62</v>
      </c>
      <c r="AP779" s="34" t="s">
        <v>62</v>
      </c>
      <c r="AQ779" s="34" t="s">
        <v>62</v>
      </c>
      <c r="AR779" s="38">
        <v>0.0</v>
      </c>
      <c r="AS779" s="38" t="s">
        <v>2257</v>
      </c>
      <c r="AT779" s="35" t="s">
        <v>2202</v>
      </c>
      <c r="AU779" s="39" t="s">
        <v>2203</v>
      </c>
      <c r="AV779" s="40">
        <v>46163.0</v>
      </c>
    </row>
    <row r="780">
      <c r="A780" s="38">
        <v>441.0</v>
      </c>
      <c r="B780" s="38">
        <v>440.0</v>
      </c>
      <c r="C780" s="38">
        <v>440.0</v>
      </c>
      <c r="D780" s="38">
        <v>9.025655E7</v>
      </c>
      <c r="E780" s="38">
        <v>9.025655E7</v>
      </c>
      <c r="F780" s="18" t="s">
        <v>1590</v>
      </c>
      <c r="G780" s="18" t="s">
        <v>1591</v>
      </c>
      <c r="H780" s="18" t="s">
        <v>3059</v>
      </c>
      <c r="I780" s="18" t="s">
        <v>982</v>
      </c>
      <c r="J780" s="18" t="s">
        <v>2205</v>
      </c>
      <c r="K780" s="18" t="s">
        <v>3060</v>
      </c>
      <c r="L780" s="18" t="s">
        <v>52</v>
      </c>
      <c r="M780" s="18" t="s">
        <v>89</v>
      </c>
      <c r="N780" s="18" t="s">
        <v>861</v>
      </c>
      <c r="O780" s="18" t="s">
        <v>126</v>
      </c>
      <c r="P780" s="18" t="s">
        <v>56</v>
      </c>
      <c r="Q780" s="18" t="s">
        <v>90</v>
      </c>
      <c r="R780" s="18" t="s">
        <v>143</v>
      </c>
      <c r="S780" s="18" t="s">
        <v>59</v>
      </c>
      <c r="T780" s="38">
        <v>2026.0</v>
      </c>
      <c r="U780" s="38">
        <v>5.0</v>
      </c>
      <c r="V780" s="38">
        <v>1.081522926E9</v>
      </c>
      <c r="W780" s="38">
        <v>1.081540996E9</v>
      </c>
      <c r="X780" s="18" t="s">
        <v>2199</v>
      </c>
      <c r="Y780" s="18" t="s">
        <v>2200</v>
      </c>
      <c r="Z780" s="38">
        <v>178247.53</v>
      </c>
      <c r="AA780" s="38">
        <v>178247.53</v>
      </c>
      <c r="AB780" s="38">
        <v>59415.85</v>
      </c>
      <c r="AC780" s="38">
        <v>425.0</v>
      </c>
      <c r="AD780" s="38">
        <v>0.0</v>
      </c>
      <c r="AE780" s="38">
        <v>0.0</v>
      </c>
      <c r="AF780" s="38">
        <v>0.0</v>
      </c>
      <c r="AG780" s="38">
        <v>0.0</v>
      </c>
      <c r="AH780" s="38">
        <v>0.0</v>
      </c>
      <c r="AI780" s="38">
        <v>178247.53</v>
      </c>
      <c r="AJ780" s="38">
        <v>178247.53</v>
      </c>
      <c r="AK780" s="38">
        <v>0.0</v>
      </c>
      <c r="AL780" s="38">
        <v>376.2</v>
      </c>
      <c r="AM780" s="38">
        <v>0.0</v>
      </c>
      <c r="AN780" s="34" t="s">
        <v>62</v>
      </c>
      <c r="AO780" s="34" t="s">
        <v>62</v>
      </c>
      <c r="AP780" s="34" t="s">
        <v>62</v>
      </c>
      <c r="AQ780" s="34" t="s">
        <v>62</v>
      </c>
      <c r="AR780" s="38">
        <v>0.0</v>
      </c>
      <c r="AS780" s="38" t="s">
        <v>3061</v>
      </c>
      <c r="AT780" s="35" t="s">
        <v>2202</v>
      </c>
      <c r="AU780" s="39" t="s">
        <v>2203</v>
      </c>
      <c r="AV780" s="40">
        <v>46169.0</v>
      </c>
    </row>
    <row r="781">
      <c r="A781" s="38">
        <v>457.0</v>
      </c>
      <c r="B781" s="38">
        <v>456.0</v>
      </c>
      <c r="C781" s="38">
        <v>456.0</v>
      </c>
      <c r="D781" s="38">
        <v>9.0256821E7</v>
      </c>
      <c r="E781" s="38">
        <v>9.0256821E7</v>
      </c>
      <c r="F781" s="38">
        <v>8.00118776E8</v>
      </c>
      <c r="G781" s="18" t="s">
        <v>1593</v>
      </c>
      <c r="H781" s="18" t="s">
        <v>3062</v>
      </c>
      <c r="I781" s="18" t="s">
        <v>1594</v>
      </c>
      <c r="J781" s="18" t="s">
        <v>2205</v>
      </c>
      <c r="K781" s="18" t="s">
        <v>2205</v>
      </c>
      <c r="L781" s="18" t="s">
        <v>52</v>
      </c>
      <c r="M781" s="18" t="s">
        <v>89</v>
      </c>
      <c r="N781" s="18" t="s">
        <v>861</v>
      </c>
      <c r="O781" s="18" t="s">
        <v>126</v>
      </c>
      <c r="P781" s="18" t="s">
        <v>56</v>
      </c>
      <c r="Q781" s="18" t="s">
        <v>90</v>
      </c>
      <c r="R781" s="18" t="s">
        <v>143</v>
      </c>
      <c r="S781" s="18" t="s">
        <v>59</v>
      </c>
      <c r="T781" s="38">
        <v>2026.0</v>
      </c>
      <c r="U781" s="38">
        <v>5.0</v>
      </c>
      <c r="V781" s="38">
        <v>1.081522929E9</v>
      </c>
      <c r="W781" s="38">
        <v>1.081540999E9</v>
      </c>
      <c r="X781" s="18" t="s">
        <v>2199</v>
      </c>
      <c r="Y781" s="18" t="s">
        <v>2200</v>
      </c>
      <c r="Z781" s="38">
        <v>128422.13</v>
      </c>
      <c r="AA781" s="38">
        <v>128422.13</v>
      </c>
      <c r="AB781" s="38">
        <v>42807.38</v>
      </c>
      <c r="AC781" s="38">
        <v>250.0</v>
      </c>
      <c r="AD781" s="38">
        <v>0.0</v>
      </c>
      <c r="AE781" s="38">
        <v>0.0</v>
      </c>
      <c r="AF781" s="38">
        <v>0.0</v>
      </c>
      <c r="AG781" s="38">
        <v>0.0</v>
      </c>
      <c r="AH781" s="38">
        <v>0.0</v>
      </c>
      <c r="AI781" s="38">
        <v>128422.13</v>
      </c>
      <c r="AJ781" s="38">
        <v>128422.13</v>
      </c>
      <c r="AK781" s="38">
        <v>0.0</v>
      </c>
      <c r="AL781" s="38">
        <v>376.2</v>
      </c>
      <c r="AM781" s="38">
        <v>0.0</v>
      </c>
      <c r="AN781" s="34" t="s">
        <v>62</v>
      </c>
      <c r="AO781" s="34" t="s">
        <v>62</v>
      </c>
      <c r="AP781" s="34" t="s">
        <v>62</v>
      </c>
      <c r="AQ781" s="34" t="s">
        <v>62</v>
      </c>
      <c r="AR781" s="38">
        <v>0.0</v>
      </c>
      <c r="AS781" s="38" t="s">
        <v>3063</v>
      </c>
      <c r="AT781" s="35" t="s">
        <v>2202</v>
      </c>
      <c r="AU781" s="39" t="s">
        <v>2254</v>
      </c>
      <c r="AV781" s="40">
        <v>46171.0</v>
      </c>
    </row>
    <row r="782">
      <c r="A782" s="38">
        <v>505447.0</v>
      </c>
      <c r="B782" s="38">
        <v>458096.0</v>
      </c>
      <c r="C782" s="38">
        <v>485036.0</v>
      </c>
      <c r="D782" s="34" t="s">
        <v>62</v>
      </c>
      <c r="E782" s="34" t="s">
        <v>62</v>
      </c>
      <c r="F782" s="18" t="s">
        <v>1596</v>
      </c>
      <c r="G782" s="18" t="s">
        <v>1597</v>
      </c>
      <c r="H782" s="18" t="s">
        <v>3064</v>
      </c>
      <c r="I782" s="18" t="s">
        <v>991</v>
      </c>
      <c r="J782" s="18" t="s">
        <v>2691</v>
      </c>
      <c r="K782" s="18" t="s">
        <v>2691</v>
      </c>
      <c r="L782" s="18" t="s">
        <v>52</v>
      </c>
      <c r="M782" s="18" t="s">
        <v>89</v>
      </c>
      <c r="N782" s="18" t="s">
        <v>861</v>
      </c>
      <c r="O782" s="18" t="s">
        <v>126</v>
      </c>
      <c r="P782" s="18" t="s">
        <v>56</v>
      </c>
      <c r="Q782" s="18" t="s">
        <v>90</v>
      </c>
      <c r="R782" s="18" t="s">
        <v>143</v>
      </c>
      <c r="S782" s="18" t="s">
        <v>59</v>
      </c>
      <c r="T782" s="38">
        <v>2026.0</v>
      </c>
      <c r="U782" s="38">
        <v>5.0</v>
      </c>
      <c r="V782" s="38">
        <v>1.081523191E9</v>
      </c>
      <c r="W782" s="38">
        <v>1.081541261E9</v>
      </c>
      <c r="X782" s="18" t="s">
        <v>2199</v>
      </c>
      <c r="Y782" s="18" t="s">
        <v>2200</v>
      </c>
      <c r="Z782" s="38">
        <v>129276.29</v>
      </c>
      <c r="AA782" s="38">
        <v>129276.29</v>
      </c>
      <c r="AB782" s="38">
        <v>43092.1</v>
      </c>
      <c r="AC782" s="38">
        <v>253.0</v>
      </c>
      <c r="AD782" s="38">
        <v>0.01</v>
      </c>
      <c r="AE782" s="38">
        <v>0.0</v>
      </c>
      <c r="AF782" s="38">
        <v>0.0</v>
      </c>
      <c r="AG782" s="38">
        <v>0.0</v>
      </c>
      <c r="AH782" s="38">
        <v>0.0</v>
      </c>
      <c r="AI782" s="38">
        <v>129276.29</v>
      </c>
      <c r="AJ782" s="38">
        <v>256699.21</v>
      </c>
      <c r="AK782" s="38">
        <v>2.0</v>
      </c>
      <c r="AL782" s="38">
        <v>376.2</v>
      </c>
      <c r="AM782" s="38">
        <v>0.0</v>
      </c>
      <c r="AN782" s="34" t="s">
        <v>62</v>
      </c>
      <c r="AO782" s="34" t="s">
        <v>62</v>
      </c>
      <c r="AP782" s="34" t="s">
        <v>62</v>
      </c>
      <c r="AQ782" s="34" t="s">
        <v>62</v>
      </c>
      <c r="AR782" s="38">
        <v>0.0</v>
      </c>
      <c r="AS782" s="38" t="s">
        <v>3065</v>
      </c>
      <c r="AT782" s="38" t="s">
        <v>2275</v>
      </c>
      <c r="AU782" s="39" t="s">
        <v>2276</v>
      </c>
      <c r="AV782" s="40">
        <v>46163.0</v>
      </c>
    </row>
    <row r="783">
      <c r="A783" s="38">
        <v>505478.0</v>
      </c>
      <c r="B783" s="38">
        <v>458108.0</v>
      </c>
      <c r="C783" s="38">
        <v>485054.0</v>
      </c>
      <c r="D783" s="34" t="s">
        <v>62</v>
      </c>
      <c r="E783" s="34" t="s">
        <v>62</v>
      </c>
      <c r="F783" s="18" t="s">
        <v>1599</v>
      </c>
      <c r="G783" s="18" t="s">
        <v>1600</v>
      </c>
      <c r="H783" s="18" t="s">
        <v>3066</v>
      </c>
      <c r="I783" s="18" t="s">
        <v>991</v>
      </c>
      <c r="J783" s="18" t="s">
        <v>2691</v>
      </c>
      <c r="K783" s="18" t="s">
        <v>2691</v>
      </c>
      <c r="L783" s="18" t="s">
        <v>52</v>
      </c>
      <c r="M783" s="18" t="s">
        <v>89</v>
      </c>
      <c r="N783" s="18" t="s">
        <v>861</v>
      </c>
      <c r="O783" s="18" t="s">
        <v>126</v>
      </c>
      <c r="P783" s="18" t="s">
        <v>56</v>
      </c>
      <c r="Q783" s="18" t="s">
        <v>90</v>
      </c>
      <c r="R783" s="18" t="s">
        <v>143</v>
      </c>
      <c r="S783" s="18" t="s">
        <v>59</v>
      </c>
      <c r="T783" s="38">
        <v>2026.0</v>
      </c>
      <c r="U783" s="38">
        <v>5.0</v>
      </c>
      <c r="V783" s="38">
        <v>1.081523194E9</v>
      </c>
      <c r="W783" s="38">
        <v>1.081541264E9</v>
      </c>
      <c r="X783" s="18" t="s">
        <v>2199</v>
      </c>
      <c r="Y783" s="18" t="s">
        <v>2200</v>
      </c>
      <c r="Z783" s="38">
        <v>129276.28</v>
      </c>
      <c r="AA783" s="38">
        <v>129276.28</v>
      </c>
      <c r="AB783" s="38">
        <v>43092.1</v>
      </c>
      <c r="AC783" s="38">
        <v>253.0</v>
      </c>
      <c r="AD783" s="38">
        <v>0.0</v>
      </c>
      <c r="AE783" s="38">
        <v>0.0</v>
      </c>
      <c r="AF783" s="38">
        <v>0.0</v>
      </c>
      <c r="AG783" s="38">
        <v>0.0</v>
      </c>
      <c r="AH783" s="38">
        <v>0.0</v>
      </c>
      <c r="AI783" s="38">
        <v>129276.28</v>
      </c>
      <c r="AJ783" s="38">
        <v>129276.28</v>
      </c>
      <c r="AK783" s="38">
        <v>0.0</v>
      </c>
      <c r="AL783" s="38">
        <v>376.2</v>
      </c>
      <c r="AM783" s="38">
        <v>0.0</v>
      </c>
      <c r="AN783" s="34" t="s">
        <v>62</v>
      </c>
      <c r="AO783" s="34" t="s">
        <v>62</v>
      </c>
      <c r="AP783" s="34" t="s">
        <v>62</v>
      </c>
      <c r="AQ783" s="34" t="s">
        <v>62</v>
      </c>
      <c r="AR783" s="38">
        <v>0.0</v>
      </c>
      <c r="AS783" s="38" t="s">
        <v>3067</v>
      </c>
      <c r="AT783" s="38" t="s">
        <v>2275</v>
      </c>
      <c r="AU783" s="39" t="s">
        <v>2276</v>
      </c>
      <c r="AV783" s="40">
        <v>46163.0</v>
      </c>
    </row>
    <row r="784">
      <c r="A784" s="38">
        <v>505851.0</v>
      </c>
      <c r="B784" s="38">
        <v>458160.0</v>
      </c>
      <c r="C784" s="38">
        <v>485264.0</v>
      </c>
      <c r="D784" s="34" t="s">
        <v>62</v>
      </c>
      <c r="E784" s="34" t="s">
        <v>62</v>
      </c>
      <c r="F784" s="18" t="s">
        <v>1602</v>
      </c>
      <c r="G784" s="18" t="s">
        <v>1603</v>
      </c>
      <c r="H784" s="18" t="s">
        <v>3068</v>
      </c>
      <c r="I784" s="18" t="s">
        <v>991</v>
      </c>
      <c r="J784" s="18" t="s">
        <v>2691</v>
      </c>
      <c r="K784" s="18" t="s">
        <v>2691</v>
      </c>
      <c r="L784" s="18" t="s">
        <v>52</v>
      </c>
      <c r="M784" s="18" t="s">
        <v>89</v>
      </c>
      <c r="N784" s="18" t="s">
        <v>861</v>
      </c>
      <c r="O784" s="18" t="s">
        <v>126</v>
      </c>
      <c r="P784" s="18" t="s">
        <v>56</v>
      </c>
      <c r="Q784" s="18" t="s">
        <v>90</v>
      </c>
      <c r="R784" s="18" t="s">
        <v>143</v>
      </c>
      <c r="S784" s="18" t="s">
        <v>59</v>
      </c>
      <c r="T784" s="38">
        <v>2026.0</v>
      </c>
      <c r="U784" s="38">
        <v>5.0</v>
      </c>
      <c r="V784" s="38">
        <v>1.081523196E9</v>
      </c>
      <c r="W784" s="38">
        <v>1.081541266E9</v>
      </c>
      <c r="X784" s="18" t="s">
        <v>2199</v>
      </c>
      <c r="Y784" s="18" t="s">
        <v>2200</v>
      </c>
      <c r="Z784" s="38">
        <v>131634.49</v>
      </c>
      <c r="AA784" s="38">
        <v>131634.49</v>
      </c>
      <c r="AB784" s="38">
        <v>43092.1</v>
      </c>
      <c r="AC784" s="38">
        <v>253.0</v>
      </c>
      <c r="AD784" s="38">
        <v>2358.21</v>
      </c>
      <c r="AE784" s="38">
        <v>0.0</v>
      </c>
      <c r="AF784" s="38">
        <v>0.0</v>
      </c>
      <c r="AG784" s="38">
        <v>0.0</v>
      </c>
      <c r="AH784" s="38">
        <v>0.0</v>
      </c>
      <c r="AI784" s="38">
        <v>131634.49</v>
      </c>
      <c r="AJ784" s="38">
        <v>259057.37</v>
      </c>
      <c r="AK784" s="38">
        <v>2.0</v>
      </c>
      <c r="AL784" s="38">
        <v>376.2</v>
      </c>
      <c r="AM784" s="38">
        <v>0.0</v>
      </c>
      <c r="AN784" s="34" t="s">
        <v>62</v>
      </c>
      <c r="AO784" s="34" t="s">
        <v>62</v>
      </c>
      <c r="AP784" s="34" t="s">
        <v>62</v>
      </c>
      <c r="AQ784" s="34" t="s">
        <v>62</v>
      </c>
      <c r="AR784" s="38">
        <v>0.0</v>
      </c>
      <c r="AS784" s="38" t="s">
        <v>3069</v>
      </c>
      <c r="AT784" s="38" t="s">
        <v>2275</v>
      </c>
      <c r="AU784" s="39" t="s">
        <v>2276</v>
      </c>
      <c r="AV784" s="40">
        <v>46163.0</v>
      </c>
    </row>
    <row r="785">
      <c r="A785" s="38">
        <v>461.0</v>
      </c>
      <c r="B785" s="38">
        <v>460.0</v>
      </c>
      <c r="C785" s="38">
        <v>460.0</v>
      </c>
      <c r="D785" s="38">
        <v>9.0257249E7</v>
      </c>
      <c r="E785" s="38">
        <v>9.0257249E7</v>
      </c>
      <c r="F785" s="18" t="s">
        <v>1605</v>
      </c>
      <c r="G785" s="18" t="s">
        <v>1606</v>
      </c>
      <c r="H785" s="18" t="s">
        <v>3070</v>
      </c>
      <c r="I785" s="18" t="s">
        <v>1231</v>
      </c>
      <c r="J785" s="18" t="s">
        <v>2205</v>
      </c>
      <c r="K785" s="18" t="s">
        <v>2283</v>
      </c>
      <c r="L785" s="18" t="s">
        <v>52</v>
      </c>
      <c r="M785" s="18" t="s">
        <v>89</v>
      </c>
      <c r="N785" s="18" t="s">
        <v>861</v>
      </c>
      <c r="O785" s="18" t="s">
        <v>126</v>
      </c>
      <c r="P785" s="18" t="s">
        <v>131</v>
      </c>
      <c r="Q785" s="18" t="s">
        <v>151</v>
      </c>
      <c r="R785" s="18" t="s">
        <v>133</v>
      </c>
      <c r="S785" s="18" t="s">
        <v>59</v>
      </c>
      <c r="T785" s="38">
        <v>2026.0</v>
      </c>
      <c r="U785" s="38">
        <v>5.0</v>
      </c>
      <c r="V785" s="38">
        <v>1.081522933E9</v>
      </c>
      <c r="W785" s="38">
        <v>1.081541003E9</v>
      </c>
      <c r="X785" s="18" t="s">
        <v>2199</v>
      </c>
      <c r="Y785" s="18" t="s">
        <v>2200</v>
      </c>
      <c r="Z785" s="38">
        <v>75941.0</v>
      </c>
      <c r="AA785" s="38">
        <v>75941.0</v>
      </c>
      <c r="AB785" s="38">
        <v>0.0</v>
      </c>
      <c r="AC785" s="38">
        <v>0.0</v>
      </c>
      <c r="AD785" s="38">
        <v>0.0</v>
      </c>
      <c r="AE785" s="38">
        <v>0.0</v>
      </c>
      <c r="AF785" s="38">
        <v>0.0</v>
      </c>
      <c r="AG785" s="38">
        <v>0.0</v>
      </c>
      <c r="AH785" s="38">
        <v>0.0</v>
      </c>
      <c r="AI785" s="38">
        <v>75941.0</v>
      </c>
      <c r="AJ785" s="38">
        <v>225673.0</v>
      </c>
      <c r="AK785" s="38">
        <v>2.0</v>
      </c>
      <c r="AL785" s="38">
        <v>250.8</v>
      </c>
      <c r="AM785" s="38">
        <v>0.0</v>
      </c>
      <c r="AN785" s="34" t="s">
        <v>62</v>
      </c>
      <c r="AO785" s="34" t="s">
        <v>62</v>
      </c>
      <c r="AP785" s="34" t="s">
        <v>62</v>
      </c>
      <c r="AQ785" s="34" t="s">
        <v>62</v>
      </c>
      <c r="AR785" s="38">
        <v>0.0</v>
      </c>
      <c r="AS785" s="38" t="s">
        <v>3071</v>
      </c>
      <c r="AT785" s="35" t="s">
        <v>2202</v>
      </c>
      <c r="AU785" s="39" t="s">
        <v>2203</v>
      </c>
      <c r="AV785" s="40">
        <v>46164.0</v>
      </c>
    </row>
    <row r="786">
      <c r="A786" s="38">
        <v>511776.0</v>
      </c>
      <c r="B786" s="38">
        <v>461068.0</v>
      </c>
      <c r="C786" s="38">
        <v>489734.0</v>
      </c>
      <c r="D786" s="34" t="s">
        <v>62</v>
      </c>
      <c r="E786" s="34" t="s">
        <v>62</v>
      </c>
      <c r="F786" s="18" t="s">
        <v>1608</v>
      </c>
      <c r="G786" s="18" t="s">
        <v>1609</v>
      </c>
      <c r="H786" s="18" t="s">
        <v>3072</v>
      </c>
      <c r="I786" s="18" t="s">
        <v>991</v>
      </c>
      <c r="J786" s="18" t="s">
        <v>2691</v>
      </c>
      <c r="K786" s="18" t="s">
        <v>2691</v>
      </c>
      <c r="L786" s="18" t="s">
        <v>52</v>
      </c>
      <c r="M786" s="18" t="s">
        <v>89</v>
      </c>
      <c r="N786" s="18" t="s">
        <v>861</v>
      </c>
      <c r="O786" s="18" t="s">
        <v>126</v>
      </c>
      <c r="P786" s="18" t="s">
        <v>56</v>
      </c>
      <c r="Q786" s="18" t="s">
        <v>90</v>
      </c>
      <c r="R786" s="18" t="s">
        <v>143</v>
      </c>
      <c r="S786" s="18" t="s">
        <v>59</v>
      </c>
      <c r="T786" s="38">
        <v>2026.0</v>
      </c>
      <c r="U786" s="38">
        <v>5.0</v>
      </c>
      <c r="V786" s="38">
        <v>1.081523199E9</v>
      </c>
      <c r="W786" s="38">
        <v>1.081541269E9</v>
      </c>
      <c r="X786" s="18" t="s">
        <v>2199</v>
      </c>
      <c r="Y786" s="18" t="s">
        <v>2200</v>
      </c>
      <c r="Z786" s="38">
        <v>129276.28</v>
      </c>
      <c r="AA786" s="38">
        <v>129276.28</v>
      </c>
      <c r="AB786" s="38">
        <v>43092.1</v>
      </c>
      <c r="AC786" s="38">
        <v>253.0</v>
      </c>
      <c r="AD786" s="38">
        <v>0.0</v>
      </c>
      <c r="AE786" s="38">
        <v>0.0</v>
      </c>
      <c r="AF786" s="38">
        <v>0.0</v>
      </c>
      <c r="AG786" s="38">
        <v>0.0</v>
      </c>
      <c r="AH786" s="38">
        <v>0.0</v>
      </c>
      <c r="AI786" s="38">
        <v>129276.28</v>
      </c>
      <c r="AJ786" s="38">
        <v>129276.28</v>
      </c>
      <c r="AK786" s="38">
        <v>0.0</v>
      </c>
      <c r="AL786" s="38">
        <v>376.2</v>
      </c>
      <c r="AM786" s="38">
        <v>0.0</v>
      </c>
      <c r="AN786" s="34" t="s">
        <v>62</v>
      </c>
      <c r="AO786" s="34" t="s">
        <v>62</v>
      </c>
      <c r="AP786" s="34" t="s">
        <v>62</v>
      </c>
      <c r="AQ786" s="34" t="s">
        <v>62</v>
      </c>
      <c r="AR786" s="38">
        <v>0.0</v>
      </c>
      <c r="AS786" s="38" t="s">
        <v>3073</v>
      </c>
      <c r="AT786" s="38" t="s">
        <v>2275</v>
      </c>
      <c r="AU786" s="39" t="s">
        <v>2276</v>
      </c>
      <c r="AV786" s="40">
        <v>46163.0</v>
      </c>
    </row>
    <row r="787">
      <c r="A787" s="38">
        <v>511784.0</v>
      </c>
      <c r="B787" s="38">
        <v>461076.0</v>
      </c>
      <c r="C787" s="38">
        <v>489748.0</v>
      </c>
      <c r="D787" s="34" t="s">
        <v>62</v>
      </c>
      <c r="E787" s="34" t="s">
        <v>62</v>
      </c>
      <c r="F787" s="18" t="s">
        <v>1611</v>
      </c>
      <c r="G787" s="18" t="s">
        <v>1612</v>
      </c>
      <c r="H787" s="18" t="s">
        <v>3074</v>
      </c>
      <c r="I787" s="18" t="s">
        <v>991</v>
      </c>
      <c r="J787" s="18" t="s">
        <v>2691</v>
      </c>
      <c r="K787" s="18" t="s">
        <v>2691</v>
      </c>
      <c r="L787" s="18" t="s">
        <v>52</v>
      </c>
      <c r="M787" s="18" t="s">
        <v>89</v>
      </c>
      <c r="N787" s="18" t="s">
        <v>861</v>
      </c>
      <c r="O787" s="18" t="s">
        <v>126</v>
      </c>
      <c r="P787" s="18" t="s">
        <v>56</v>
      </c>
      <c r="Q787" s="18" t="s">
        <v>90</v>
      </c>
      <c r="R787" s="18" t="s">
        <v>143</v>
      </c>
      <c r="S787" s="18" t="s">
        <v>59</v>
      </c>
      <c r="T787" s="38">
        <v>2026.0</v>
      </c>
      <c r="U787" s="38">
        <v>5.0</v>
      </c>
      <c r="V787" s="38">
        <v>1.081523202E9</v>
      </c>
      <c r="W787" s="38">
        <v>1.081541272E9</v>
      </c>
      <c r="X787" s="18" t="s">
        <v>2199</v>
      </c>
      <c r="Y787" s="18" t="s">
        <v>2200</v>
      </c>
      <c r="Z787" s="38">
        <v>129276.28</v>
      </c>
      <c r="AA787" s="38">
        <v>129276.28</v>
      </c>
      <c r="AB787" s="38">
        <v>43092.1</v>
      </c>
      <c r="AC787" s="38">
        <v>253.0</v>
      </c>
      <c r="AD787" s="38">
        <v>0.0</v>
      </c>
      <c r="AE787" s="38">
        <v>0.0</v>
      </c>
      <c r="AF787" s="38">
        <v>0.0</v>
      </c>
      <c r="AG787" s="38">
        <v>0.0</v>
      </c>
      <c r="AH787" s="38">
        <v>0.0</v>
      </c>
      <c r="AI787" s="38">
        <v>129276.28</v>
      </c>
      <c r="AJ787" s="38">
        <v>129276.28</v>
      </c>
      <c r="AK787" s="38">
        <v>0.0</v>
      </c>
      <c r="AL787" s="38">
        <v>376.2</v>
      </c>
      <c r="AM787" s="38">
        <v>0.0</v>
      </c>
      <c r="AN787" s="34" t="s">
        <v>62</v>
      </c>
      <c r="AO787" s="34" t="s">
        <v>62</v>
      </c>
      <c r="AP787" s="34" t="s">
        <v>62</v>
      </c>
      <c r="AQ787" s="34" t="s">
        <v>62</v>
      </c>
      <c r="AR787" s="38">
        <v>0.0</v>
      </c>
      <c r="AS787" s="38" t="s">
        <v>3075</v>
      </c>
      <c r="AT787" s="38" t="s">
        <v>2275</v>
      </c>
      <c r="AU787" s="39" t="s">
        <v>2276</v>
      </c>
      <c r="AV787" s="40">
        <v>46163.0</v>
      </c>
    </row>
    <row r="788">
      <c r="A788" s="38">
        <v>512257.0</v>
      </c>
      <c r="B788" s="38">
        <v>461184.0</v>
      </c>
      <c r="C788" s="38">
        <v>490066.0</v>
      </c>
      <c r="D788" s="34" t="s">
        <v>62</v>
      </c>
      <c r="E788" s="34" t="s">
        <v>62</v>
      </c>
      <c r="F788" s="38">
        <v>8.00069933E8</v>
      </c>
      <c r="G788" s="18" t="s">
        <v>1614</v>
      </c>
      <c r="H788" s="18" t="s">
        <v>3076</v>
      </c>
      <c r="I788" s="18" t="s">
        <v>991</v>
      </c>
      <c r="J788" s="18" t="s">
        <v>2691</v>
      </c>
      <c r="K788" s="18" t="s">
        <v>2691</v>
      </c>
      <c r="L788" s="18" t="s">
        <v>52</v>
      </c>
      <c r="M788" s="18" t="s">
        <v>89</v>
      </c>
      <c r="N788" s="18" t="s">
        <v>861</v>
      </c>
      <c r="O788" s="18" t="s">
        <v>126</v>
      </c>
      <c r="P788" s="18" t="s">
        <v>131</v>
      </c>
      <c r="Q788" s="18" t="s">
        <v>132</v>
      </c>
      <c r="R788" s="18" t="s">
        <v>133</v>
      </c>
      <c r="S788" s="18" t="s">
        <v>59</v>
      </c>
      <c r="T788" s="38">
        <v>2026.0</v>
      </c>
      <c r="U788" s="38">
        <v>5.0</v>
      </c>
      <c r="V788" s="38">
        <v>1.081523205E9</v>
      </c>
      <c r="W788" s="38">
        <v>1.081541275E9</v>
      </c>
      <c r="X788" s="18" t="s">
        <v>2199</v>
      </c>
      <c r="Y788" s="18" t="s">
        <v>2200</v>
      </c>
      <c r="Z788" s="38">
        <v>113911.5</v>
      </c>
      <c r="AA788" s="38">
        <v>113911.5</v>
      </c>
      <c r="AB788" s="38">
        <v>37970.5</v>
      </c>
      <c r="AC788" s="38">
        <v>0.0</v>
      </c>
      <c r="AD788" s="38">
        <v>0.0</v>
      </c>
      <c r="AE788" s="38">
        <v>0.0</v>
      </c>
      <c r="AF788" s="38">
        <v>0.0</v>
      </c>
      <c r="AG788" s="38">
        <v>0.0</v>
      </c>
      <c r="AH788" s="38">
        <v>0.0</v>
      </c>
      <c r="AI788" s="38">
        <v>113911.5</v>
      </c>
      <c r="AJ788" s="38">
        <v>226336.5</v>
      </c>
      <c r="AK788" s="38">
        <v>1.0</v>
      </c>
      <c r="AL788" s="38">
        <v>376.2</v>
      </c>
      <c r="AM788" s="38">
        <v>0.0</v>
      </c>
      <c r="AN788" s="34" t="s">
        <v>62</v>
      </c>
      <c r="AO788" s="34" t="s">
        <v>62</v>
      </c>
      <c r="AP788" s="34" t="s">
        <v>62</v>
      </c>
      <c r="AQ788" s="34" t="s">
        <v>62</v>
      </c>
      <c r="AR788" s="38">
        <v>0.0</v>
      </c>
      <c r="AS788" s="38" t="s">
        <v>3077</v>
      </c>
      <c r="AT788" s="38" t="s">
        <v>2275</v>
      </c>
      <c r="AU788" s="39" t="s">
        <v>2276</v>
      </c>
      <c r="AV788" s="40">
        <v>46163.0</v>
      </c>
    </row>
    <row r="789">
      <c r="A789" s="38">
        <v>297.0</v>
      </c>
      <c r="B789" s="38">
        <v>462276.0</v>
      </c>
      <c r="C789" s="38">
        <v>491744.0</v>
      </c>
      <c r="D789" s="34" t="s">
        <v>62</v>
      </c>
      <c r="E789" s="34" t="s">
        <v>62</v>
      </c>
      <c r="F789" s="18" t="s">
        <v>135</v>
      </c>
      <c r="G789" s="18" t="s">
        <v>136</v>
      </c>
      <c r="H789" s="18" t="s">
        <v>2258</v>
      </c>
      <c r="I789" s="18" t="s">
        <v>1616</v>
      </c>
      <c r="J789" s="18" t="s">
        <v>2205</v>
      </c>
      <c r="K789" s="18" t="s">
        <v>2259</v>
      </c>
      <c r="L789" s="18" t="s">
        <v>52</v>
      </c>
      <c r="M789" s="18" t="s">
        <v>1060</v>
      </c>
      <c r="N789" s="18" t="s">
        <v>861</v>
      </c>
      <c r="O789" s="18" t="s">
        <v>126</v>
      </c>
      <c r="P789" s="18" t="s">
        <v>131</v>
      </c>
      <c r="Q789" s="18" t="s">
        <v>151</v>
      </c>
      <c r="R789" s="18" t="s">
        <v>133</v>
      </c>
      <c r="S789" s="18" t="s">
        <v>59</v>
      </c>
      <c r="T789" s="38">
        <v>2026.0</v>
      </c>
      <c r="U789" s="38">
        <v>5.0</v>
      </c>
      <c r="V789" s="38">
        <v>1.081523207E9</v>
      </c>
      <c r="W789" s="38">
        <v>1.081541277E9</v>
      </c>
      <c r="X789" s="18" t="s">
        <v>2199</v>
      </c>
      <c r="Y789" s="18" t="s">
        <v>2200</v>
      </c>
      <c r="Z789" s="38">
        <v>41577.0</v>
      </c>
      <c r="AA789" s="38">
        <v>41577.0</v>
      </c>
      <c r="AB789" s="38">
        <v>0.0</v>
      </c>
      <c r="AC789" s="38">
        <v>0.0</v>
      </c>
      <c r="AD789" s="38">
        <v>0.0</v>
      </c>
      <c r="AE789" s="38">
        <v>0.0</v>
      </c>
      <c r="AF789" s="38">
        <v>0.0</v>
      </c>
      <c r="AG789" s="38">
        <v>0.0</v>
      </c>
      <c r="AH789" s="38">
        <v>0.0</v>
      </c>
      <c r="AI789" s="38">
        <v>1085.0</v>
      </c>
      <c r="AJ789" s="38">
        <v>1085.0</v>
      </c>
      <c r="AK789" s="38">
        <v>0.0</v>
      </c>
      <c r="AL789" s="38">
        <v>250.8</v>
      </c>
      <c r="AM789" s="38">
        <v>0.0</v>
      </c>
      <c r="AN789" s="34" t="s">
        <v>62</v>
      </c>
      <c r="AO789" s="34" t="s">
        <v>62</v>
      </c>
      <c r="AP789" s="38">
        <v>40492.0</v>
      </c>
      <c r="AQ789" s="34" t="s">
        <v>62</v>
      </c>
      <c r="AR789" s="38">
        <v>0.0</v>
      </c>
      <c r="AS789" s="38" t="s">
        <v>2260</v>
      </c>
      <c r="AT789" s="35" t="s">
        <v>2202</v>
      </c>
      <c r="AU789" s="39" t="s">
        <v>2203</v>
      </c>
      <c r="AV789" s="40">
        <v>46164.0</v>
      </c>
    </row>
    <row r="790">
      <c r="A790" s="38">
        <v>515748.0</v>
      </c>
      <c r="B790" s="38">
        <v>462392.0</v>
      </c>
      <c r="C790" s="38">
        <v>492402.0</v>
      </c>
      <c r="D790" s="38">
        <v>1089869.0</v>
      </c>
      <c r="E790" s="38">
        <v>1089869.0</v>
      </c>
      <c r="F790" s="38">
        <v>1.3501434E7</v>
      </c>
      <c r="G790" s="18" t="s">
        <v>1162</v>
      </c>
      <c r="H790" s="18" t="s">
        <v>3078</v>
      </c>
      <c r="I790" s="18" t="s">
        <v>1000</v>
      </c>
      <c r="J790" s="18" t="s">
        <v>2205</v>
      </c>
      <c r="K790" s="18" t="s">
        <v>2205</v>
      </c>
      <c r="L790" s="18" t="s">
        <v>52</v>
      </c>
      <c r="M790" s="18" t="s">
        <v>89</v>
      </c>
      <c r="N790" s="18" t="s">
        <v>861</v>
      </c>
      <c r="O790" s="18" t="s">
        <v>126</v>
      </c>
      <c r="P790" s="18" t="s">
        <v>131</v>
      </c>
      <c r="Q790" s="18" t="s">
        <v>538</v>
      </c>
      <c r="R790" s="18" t="s">
        <v>133</v>
      </c>
      <c r="S790" s="18" t="s">
        <v>59</v>
      </c>
      <c r="T790" s="38">
        <v>2026.0</v>
      </c>
      <c r="U790" s="38">
        <v>5.0</v>
      </c>
      <c r="V790" s="38">
        <v>1.081523212E9</v>
      </c>
      <c r="W790" s="38">
        <v>1.081541282E9</v>
      </c>
      <c r="X790" s="18" t="s">
        <v>2199</v>
      </c>
      <c r="Y790" s="18" t="s">
        <v>2200</v>
      </c>
      <c r="Z790" s="38">
        <v>102854.69</v>
      </c>
      <c r="AA790" s="38">
        <v>102854.69</v>
      </c>
      <c r="AB790" s="38">
        <v>31676.0</v>
      </c>
      <c r="AC790" s="38">
        <v>0.0</v>
      </c>
      <c r="AD790" s="38">
        <v>7826.69</v>
      </c>
      <c r="AE790" s="38">
        <v>0.0</v>
      </c>
      <c r="AF790" s="38">
        <v>0.0</v>
      </c>
      <c r="AG790" s="38">
        <v>0.0</v>
      </c>
      <c r="AH790" s="38">
        <v>0.0</v>
      </c>
      <c r="AI790" s="38">
        <v>102854.69</v>
      </c>
      <c r="AJ790" s="38">
        <v>635870.44</v>
      </c>
      <c r="AK790" s="38">
        <v>6.0</v>
      </c>
      <c r="AL790" s="38">
        <v>376.2</v>
      </c>
      <c r="AM790" s="38">
        <v>0.0</v>
      </c>
      <c r="AN790" s="34" t="s">
        <v>62</v>
      </c>
      <c r="AO790" s="34" t="s">
        <v>62</v>
      </c>
      <c r="AP790" s="34" t="s">
        <v>62</v>
      </c>
      <c r="AQ790" s="34" t="s">
        <v>62</v>
      </c>
      <c r="AR790" s="38">
        <v>0.0</v>
      </c>
      <c r="AS790" s="38" t="s">
        <v>3079</v>
      </c>
      <c r="AT790" s="35" t="s">
        <v>2202</v>
      </c>
      <c r="AU790" s="39" t="s">
        <v>2254</v>
      </c>
      <c r="AV790" s="40">
        <v>46171.0</v>
      </c>
    </row>
    <row r="791">
      <c r="A791" s="38">
        <v>465.0</v>
      </c>
      <c r="B791" s="38">
        <v>464.0</v>
      </c>
      <c r="C791" s="38">
        <v>464.0</v>
      </c>
      <c r="D791" s="38">
        <v>9.0257775E7</v>
      </c>
      <c r="E791" s="38">
        <v>9.0257775E7</v>
      </c>
      <c r="F791" s="38">
        <v>8.60350234E8</v>
      </c>
      <c r="G791" s="18" t="s">
        <v>1619</v>
      </c>
      <c r="H791" s="18" t="s">
        <v>3080</v>
      </c>
      <c r="I791" s="18" t="s">
        <v>928</v>
      </c>
      <c r="J791" s="18" t="s">
        <v>2205</v>
      </c>
      <c r="K791" s="18" t="s">
        <v>2205</v>
      </c>
      <c r="L791" s="18" t="s">
        <v>52</v>
      </c>
      <c r="M791" s="18" t="s">
        <v>89</v>
      </c>
      <c r="N791" s="18" t="s">
        <v>861</v>
      </c>
      <c r="O791" s="18" t="s">
        <v>126</v>
      </c>
      <c r="P791" s="18" t="s">
        <v>131</v>
      </c>
      <c r="Q791" s="18" t="s">
        <v>538</v>
      </c>
      <c r="R791" s="18" t="s">
        <v>133</v>
      </c>
      <c r="S791" s="18" t="s">
        <v>59</v>
      </c>
      <c r="T791" s="38">
        <v>2026.0</v>
      </c>
      <c r="U791" s="38">
        <v>5.0</v>
      </c>
      <c r="V791" s="38">
        <v>1.081522937E9</v>
      </c>
      <c r="W791" s="38">
        <v>1.081541007E9</v>
      </c>
      <c r="X791" s="18" t="s">
        <v>2199</v>
      </c>
      <c r="Y791" s="18" t="s">
        <v>2200</v>
      </c>
      <c r="Z791" s="38">
        <v>95028.0</v>
      </c>
      <c r="AA791" s="38">
        <v>95028.0</v>
      </c>
      <c r="AB791" s="38">
        <v>31676.0</v>
      </c>
      <c r="AC791" s="38">
        <v>0.0</v>
      </c>
      <c r="AD791" s="38">
        <v>0.0</v>
      </c>
      <c r="AE791" s="38">
        <v>0.0</v>
      </c>
      <c r="AF791" s="38">
        <v>0.0</v>
      </c>
      <c r="AG791" s="38">
        <v>0.0</v>
      </c>
      <c r="AH791" s="38">
        <v>0.0</v>
      </c>
      <c r="AI791" s="38">
        <v>95028.0</v>
      </c>
      <c r="AJ791" s="38">
        <v>95028.0</v>
      </c>
      <c r="AK791" s="38">
        <v>0.0</v>
      </c>
      <c r="AL791" s="38">
        <v>376.2</v>
      </c>
      <c r="AM791" s="38">
        <v>0.0</v>
      </c>
      <c r="AN791" s="34" t="s">
        <v>62</v>
      </c>
      <c r="AO791" s="34" t="s">
        <v>62</v>
      </c>
      <c r="AP791" s="34" t="s">
        <v>62</v>
      </c>
      <c r="AQ791" s="34" t="s">
        <v>62</v>
      </c>
      <c r="AR791" s="38">
        <v>0.0</v>
      </c>
      <c r="AS791" s="38" t="s">
        <v>3081</v>
      </c>
      <c r="AT791" s="35" t="s">
        <v>2202</v>
      </c>
      <c r="AU791" s="39" t="s">
        <v>2254</v>
      </c>
      <c r="AV791" s="40">
        <v>46171.0</v>
      </c>
    </row>
    <row r="792">
      <c r="A792" s="38">
        <v>519466.0</v>
      </c>
      <c r="B792" s="38">
        <v>464088.0</v>
      </c>
      <c r="C792" s="38">
        <v>495109.0</v>
      </c>
      <c r="D792" s="34" t="s">
        <v>62</v>
      </c>
      <c r="E792" s="34" t="s">
        <v>62</v>
      </c>
      <c r="F792" s="18" t="s">
        <v>1621</v>
      </c>
      <c r="G792" s="18" t="s">
        <v>1622</v>
      </c>
      <c r="H792" s="18" t="s">
        <v>3082</v>
      </c>
      <c r="I792" s="18" t="s">
        <v>991</v>
      </c>
      <c r="J792" s="18" t="s">
        <v>2691</v>
      </c>
      <c r="K792" s="18" t="s">
        <v>2691</v>
      </c>
      <c r="L792" s="18" t="s">
        <v>52</v>
      </c>
      <c r="M792" s="18" t="s">
        <v>89</v>
      </c>
      <c r="N792" s="18" t="s">
        <v>861</v>
      </c>
      <c r="O792" s="18" t="s">
        <v>126</v>
      </c>
      <c r="P792" s="18" t="s">
        <v>56</v>
      </c>
      <c r="Q792" s="18" t="s">
        <v>90</v>
      </c>
      <c r="R792" s="18" t="s">
        <v>143</v>
      </c>
      <c r="S792" s="18" t="s">
        <v>59</v>
      </c>
      <c r="T792" s="38">
        <v>2026.0</v>
      </c>
      <c r="U792" s="38">
        <v>5.0</v>
      </c>
      <c r="V792" s="38">
        <v>1.081523214E9</v>
      </c>
      <c r="W792" s="38">
        <v>1.081541284E9</v>
      </c>
      <c r="X792" s="18" t="s">
        <v>2199</v>
      </c>
      <c r="Y792" s="18" t="s">
        <v>2200</v>
      </c>
      <c r="Z792" s="38">
        <v>129276.28</v>
      </c>
      <c r="AA792" s="38">
        <v>129276.28</v>
      </c>
      <c r="AB792" s="38">
        <v>43092.1</v>
      </c>
      <c r="AC792" s="38">
        <v>253.0</v>
      </c>
      <c r="AD792" s="38">
        <v>0.0</v>
      </c>
      <c r="AE792" s="38">
        <v>0.0</v>
      </c>
      <c r="AF792" s="38">
        <v>0.0</v>
      </c>
      <c r="AG792" s="38">
        <v>0.0</v>
      </c>
      <c r="AH792" s="38">
        <v>0.0</v>
      </c>
      <c r="AI792" s="38">
        <v>129276.28</v>
      </c>
      <c r="AJ792" s="38">
        <v>129276.28</v>
      </c>
      <c r="AK792" s="38">
        <v>0.0</v>
      </c>
      <c r="AL792" s="38">
        <v>376.2</v>
      </c>
      <c r="AM792" s="38">
        <v>0.0</v>
      </c>
      <c r="AN792" s="34" t="s">
        <v>62</v>
      </c>
      <c r="AO792" s="34" t="s">
        <v>62</v>
      </c>
      <c r="AP792" s="34" t="s">
        <v>62</v>
      </c>
      <c r="AQ792" s="34" t="s">
        <v>62</v>
      </c>
      <c r="AR792" s="38">
        <v>0.0</v>
      </c>
      <c r="AS792" s="38" t="s">
        <v>3083</v>
      </c>
      <c r="AT792" s="38" t="s">
        <v>2275</v>
      </c>
      <c r="AU792" s="39" t="s">
        <v>2276</v>
      </c>
      <c r="AV792" s="40">
        <v>46163.0</v>
      </c>
    </row>
    <row r="793">
      <c r="A793" s="38">
        <v>519927.0</v>
      </c>
      <c r="B793" s="38">
        <v>464168.0</v>
      </c>
      <c r="C793" s="38">
        <v>495375.0</v>
      </c>
      <c r="D793" s="34" t="s">
        <v>62</v>
      </c>
      <c r="E793" s="34" t="s">
        <v>62</v>
      </c>
      <c r="F793" s="18" t="s">
        <v>1624</v>
      </c>
      <c r="G793" s="18" t="s">
        <v>1625</v>
      </c>
      <c r="H793" s="18" t="s">
        <v>3084</v>
      </c>
      <c r="I793" s="18" t="s">
        <v>991</v>
      </c>
      <c r="J793" s="18" t="s">
        <v>2691</v>
      </c>
      <c r="K793" s="18" t="s">
        <v>2691</v>
      </c>
      <c r="L793" s="18" t="s">
        <v>52</v>
      </c>
      <c r="M793" s="18" t="s">
        <v>89</v>
      </c>
      <c r="N793" s="18" t="s">
        <v>861</v>
      </c>
      <c r="O793" s="18" t="s">
        <v>126</v>
      </c>
      <c r="P793" s="18" t="s">
        <v>56</v>
      </c>
      <c r="Q793" s="18" t="s">
        <v>90</v>
      </c>
      <c r="R793" s="18" t="s">
        <v>143</v>
      </c>
      <c r="S793" s="18" t="s">
        <v>59</v>
      </c>
      <c r="T793" s="38">
        <v>2026.0</v>
      </c>
      <c r="U793" s="38">
        <v>5.0</v>
      </c>
      <c r="V793" s="38">
        <v>1.081523217E9</v>
      </c>
      <c r="W793" s="38">
        <v>1.081541287E9</v>
      </c>
      <c r="X793" s="18" t="s">
        <v>2199</v>
      </c>
      <c r="Y793" s="18" t="s">
        <v>2200</v>
      </c>
      <c r="Z793" s="38">
        <v>129610.23</v>
      </c>
      <c r="AA793" s="38">
        <v>129610.23</v>
      </c>
      <c r="AB793" s="38">
        <v>43092.1</v>
      </c>
      <c r="AC793" s="38">
        <v>253.0</v>
      </c>
      <c r="AD793" s="38">
        <v>333.95</v>
      </c>
      <c r="AE793" s="38">
        <v>0.0</v>
      </c>
      <c r="AF793" s="38">
        <v>0.0</v>
      </c>
      <c r="AG793" s="38">
        <v>0.0</v>
      </c>
      <c r="AH793" s="38">
        <v>0.0</v>
      </c>
      <c r="AI793" s="38">
        <v>129610.23</v>
      </c>
      <c r="AJ793" s="38">
        <v>129610.23</v>
      </c>
      <c r="AK793" s="38">
        <v>0.0</v>
      </c>
      <c r="AL793" s="38">
        <v>376.2</v>
      </c>
      <c r="AM793" s="38">
        <v>0.0</v>
      </c>
      <c r="AN793" s="34" t="s">
        <v>62</v>
      </c>
      <c r="AO793" s="34" t="s">
        <v>62</v>
      </c>
      <c r="AP793" s="34" t="s">
        <v>62</v>
      </c>
      <c r="AQ793" s="34" t="s">
        <v>62</v>
      </c>
      <c r="AR793" s="38">
        <v>0.0</v>
      </c>
      <c r="AS793" s="38" t="s">
        <v>3085</v>
      </c>
      <c r="AT793" s="38" t="s">
        <v>2275</v>
      </c>
      <c r="AU793" s="39" t="s">
        <v>2276</v>
      </c>
      <c r="AV793" s="40">
        <v>46163.0</v>
      </c>
    </row>
    <row r="794">
      <c r="A794" s="38">
        <v>525301.0</v>
      </c>
      <c r="B794" s="38">
        <v>466852.0</v>
      </c>
      <c r="C794" s="38">
        <v>499461.0</v>
      </c>
      <c r="D794" s="34" t="s">
        <v>62</v>
      </c>
      <c r="E794" s="34" t="s">
        <v>62</v>
      </c>
      <c r="F794" s="18" t="s">
        <v>1627</v>
      </c>
      <c r="G794" s="18" t="s">
        <v>1628</v>
      </c>
      <c r="H794" s="18" t="s">
        <v>3086</v>
      </c>
      <c r="I794" s="18" t="s">
        <v>991</v>
      </c>
      <c r="J794" s="18" t="s">
        <v>2691</v>
      </c>
      <c r="K794" s="18" t="s">
        <v>2691</v>
      </c>
      <c r="L794" s="18" t="s">
        <v>52</v>
      </c>
      <c r="M794" s="18" t="s">
        <v>89</v>
      </c>
      <c r="N794" s="18" t="s">
        <v>861</v>
      </c>
      <c r="O794" s="18" t="s">
        <v>126</v>
      </c>
      <c r="P794" s="18" t="s">
        <v>131</v>
      </c>
      <c r="Q794" s="18" t="s">
        <v>132</v>
      </c>
      <c r="R794" s="18" t="s">
        <v>133</v>
      </c>
      <c r="S794" s="18" t="s">
        <v>59</v>
      </c>
      <c r="T794" s="38">
        <v>2026.0</v>
      </c>
      <c r="U794" s="38">
        <v>5.0</v>
      </c>
      <c r="V794" s="38">
        <v>1.081523219E9</v>
      </c>
      <c r="W794" s="38">
        <v>1.081541289E9</v>
      </c>
      <c r="X794" s="18" t="s">
        <v>2199</v>
      </c>
      <c r="Y794" s="18" t="s">
        <v>2200</v>
      </c>
      <c r="Z794" s="38">
        <v>113911.5</v>
      </c>
      <c r="AA794" s="38">
        <v>113911.5</v>
      </c>
      <c r="AB794" s="38">
        <v>37970.5</v>
      </c>
      <c r="AC794" s="38">
        <v>0.0</v>
      </c>
      <c r="AD794" s="38">
        <v>0.0</v>
      </c>
      <c r="AE794" s="38">
        <v>0.0</v>
      </c>
      <c r="AF794" s="38">
        <v>0.0</v>
      </c>
      <c r="AG794" s="38">
        <v>0.0</v>
      </c>
      <c r="AH794" s="38">
        <v>0.0</v>
      </c>
      <c r="AI794" s="38">
        <v>113911.5</v>
      </c>
      <c r="AJ794" s="38">
        <v>113912.07</v>
      </c>
      <c r="AK794" s="38">
        <v>1.0</v>
      </c>
      <c r="AL794" s="38">
        <v>376.2</v>
      </c>
      <c r="AM794" s="38">
        <v>0.0</v>
      </c>
      <c r="AN794" s="34" t="s">
        <v>62</v>
      </c>
      <c r="AO794" s="34" t="s">
        <v>62</v>
      </c>
      <c r="AP794" s="34" t="s">
        <v>62</v>
      </c>
      <c r="AQ794" s="34" t="s">
        <v>62</v>
      </c>
      <c r="AR794" s="38">
        <v>0.0</v>
      </c>
      <c r="AS794" s="38" t="s">
        <v>3087</v>
      </c>
      <c r="AT794" s="38" t="s">
        <v>2275</v>
      </c>
      <c r="AU794" s="39" t="s">
        <v>2276</v>
      </c>
      <c r="AV794" s="40">
        <v>46163.0</v>
      </c>
    </row>
    <row r="795">
      <c r="A795" s="38">
        <v>528594.0</v>
      </c>
      <c r="B795" s="38">
        <v>467844.0</v>
      </c>
      <c r="C795" s="38">
        <v>501572.0</v>
      </c>
      <c r="D795" s="34" t="s">
        <v>62</v>
      </c>
      <c r="E795" s="34" t="s">
        <v>62</v>
      </c>
      <c r="F795" s="38">
        <v>9.00476207E8</v>
      </c>
      <c r="G795" s="18" t="s">
        <v>1630</v>
      </c>
      <c r="H795" s="18" t="s">
        <v>3088</v>
      </c>
      <c r="I795" s="18" t="s">
        <v>991</v>
      </c>
      <c r="J795" s="18" t="s">
        <v>2691</v>
      </c>
      <c r="K795" s="18" t="s">
        <v>2691</v>
      </c>
      <c r="L795" s="18" t="s">
        <v>52</v>
      </c>
      <c r="M795" s="18" t="s">
        <v>89</v>
      </c>
      <c r="N795" s="18" t="s">
        <v>861</v>
      </c>
      <c r="O795" s="18" t="s">
        <v>126</v>
      </c>
      <c r="P795" s="18" t="s">
        <v>56</v>
      </c>
      <c r="Q795" s="18" t="s">
        <v>90</v>
      </c>
      <c r="R795" s="18" t="s">
        <v>143</v>
      </c>
      <c r="S795" s="18" t="s">
        <v>59</v>
      </c>
      <c r="T795" s="38">
        <v>2026.0</v>
      </c>
      <c r="U795" s="38">
        <v>5.0</v>
      </c>
      <c r="V795" s="38">
        <v>1.081523222E9</v>
      </c>
      <c r="W795" s="38">
        <v>1.081541292E9</v>
      </c>
      <c r="X795" s="18" t="s">
        <v>2199</v>
      </c>
      <c r="Y795" s="18" t="s">
        <v>2200</v>
      </c>
      <c r="Z795" s="38">
        <v>130041.7</v>
      </c>
      <c r="AA795" s="38">
        <v>130041.7</v>
      </c>
      <c r="AB795" s="38">
        <v>43092.1</v>
      </c>
      <c r="AC795" s="38">
        <v>253.0</v>
      </c>
      <c r="AD795" s="38">
        <v>765.42</v>
      </c>
      <c r="AE795" s="38">
        <v>0.0</v>
      </c>
      <c r="AF795" s="38">
        <v>0.0</v>
      </c>
      <c r="AG795" s="38">
        <v>0.0</v>
      </c>
      <c r="AH795" s="38">
        <v>0.0</v>
      </c>
      <c r="AI795" s="38">
        <v>130041.7</v>
      </c>
      <c r="AJ795" s="38">
        <v>257463.73</v>
      </c>
      <c r="AK795" s="38">
        <v>1.0</v>
      </c>
      <c r="AL795" s="38">
        <v>376.2</v>
      </c>
      <c r="AM795" s="38">
        <v>0.0</v>
      </c>
      <c r="AN795" s="34" t="s">
        <v>62</v>
      </c>
      <c r="AO795" s="34" t="s">
        <v>62</v>
      </c>
      <c r="AP795" s="34" t="s">
        <v>62</v>
      </c>
      <c r="AQ795" s="34" t="s">
        <v>62</v>
      </c>
      <c r="AR795" s="38">
        <v>0.0</v>
      </c>
      <c r="AS795" s="38" t="s">
        <v>3089</v>
      </c>
      <c r="AT795" s="38" t="s">
        <v>2275</v>
      </c>
      <c r="AU795" s="39" t="s">
        <v>2276</v>
      </c>
      <c r="AV795" s="40">
        <v>46163.0</v>
      </c>
    </row>
    <row r="796">
      <c r="A796" s="38">
        <v>545083.0</v>
      </c>
      <c r="B796" s="38">
        <v>473904.0</v>
      </c>
      <c r="C796" s="38">
        <v>513095.0</v>
      </c>
      <c r="D796" s="34" t="s">
        <v>62</v>
      </c>
      <c r="E796" s="34" t="s">
        <v>62</v>
      </c>
      <c r="F796" s="38">
        <v>8.30003584E8</v>
      </c>
      <c r="G796" s="18" t="s">
        <v>1632</v>
      </c>
      <c r="H796" s="18" t="s">
        <v>3090</v>
      </c>
      <c r="I796" s="38">
        <v>0.0</v>
      </c>
      <c r="J796" s="18" t="s">
        <v>2691</v>
      </c>
      <c r="K796" s="18" t="s">
        <v>2691</v>
      </c>
      <c r="L796" s="18" t="s">
        <v>52</v>
      </c>
      <c r="M796" s="18" t="s">
        <v>89</v>
      </c>
      <c r="N796" s="18" t="s">
        <v>861</v>
      </c>
      <c r="O796" s="18" t="s">
        <v>126</v>
      </c>
      <c r="P796" s="18" t="s">
        <v>131</v>
      </c>
      <c r="Q796" s="18" t="s">
        <v>132</v>
      </c>
      <c r="R796" s="18" t="s">
        <v>133</v>
      </c>
      <c r="S796" s="18" t="s">
        <v>59</v>
      </c>
      <c r="T796" s="38">
        <v>2026.0</v>
      </c>
      <c r="U796" s="38">
        <v>5.0</v>
      </c>
      <c r="V796" s="38">
        <v>1.081523224E9</v>
      </c>
      <c r="W796" s="38">
        <v>1.081541294E9</v>
      </c>
      <c r="X796" s="18" t="s">
        <v>2199</v>
      </c>
      <c r="Y796" s="18" t="s">
        <v>2200</v>
      </c>
      <c r="Z796" s="38">
        <v>113911.5</v>
      </c>
      <c r="AA796" s="38">
        <v>113911.5</v>
      </c>
      <c r="AB796" s="38">
        <v>37970.5</v>
      </c>
      <c r="AC796" s="38">
        <v>0.0</v>
      </c>
      <c r="AD796" s="38">
        <v>0.0</v>
      </c>
      <c r="AE796" s="38">
        <v>0.0</v>
      </c>
      <c r="AF796" s="38">
        <v>0.0</v>
      </c>
      <c r="AG796" s="38">
        <v>0.0</v>
      </c>
      <c r="AH796" s="38">
        <v>0.0</v>
      </c>
      <c r="AI796" s="38">
        <v>113911.5</v>
      </c>
      <c r="AJ796" s="38">
        <v>113911.5</v>
      </c>
      <c r="AK796" s="38">
        <v>0.0</v>
      </c>
      <c r="AL796" s="38">
        <v>376.2</v>
      </c>
      <c r="AM796" s="38">
        <v>0.0</v>
      </c>
      <c r="AN796" s="34" t="s">
        <v>62</v>
      </c>
      <c r="AO796" s="34" t="s">
        <v>62</v>
      </c>
      <c r="AP796" s="34" t="s">
        <v>62</v>
      </c>
      <c r="AQ796" s="34" t="s">
        <v>62</v>
      </c>
      <c r="AR796" s="38">
        <v>0.0</v>
      </c>
      <c r="AS796" s="38" t="s">
        <v>3091</v>
      </c>
      <c r="AT796" s="38" t="s">
        <v>2275</v>
      </c>
      <c r="AU796" s="39" t="s">
        <v>2276</v>
      </c>
      <c r="AV796" s="40">
        <v>46163.0</v>
      </c>
    </row>
    <row r="797">
      <c r="A797" s="38">
        <v>555033.0</v>
      </c>
      <c r="B797" s="38">
        <v>478268.0</v>
      </c>
      <c r="C797" s="38">
        <v>520298.0</v>
      </c>
      <c r="D797" s="34" t="s">
        <v>62</v>
      </c>
      <c r="E797" s="34" t="s">
        <v>62</v>
      </c>
      <c r="F797" s="38">
        <v>8.30087848E8</v>
      </c>
      <c r="G797" s="18" t="s">
        <v>1656</v>
      </c>
      <c r="H797" s="18" t="s">
        <v>3092</v>
      </c>
      <c r="I797" s="18" t="s">
        <v>991</v>
      </c>
      <c r="J797" s="18" t="s">
        <v>2691</v>
      </c>
      <c r="K797" s="18" t="s">
        <v>2691</v>
      </c>
      <c r="L797" s="18" t="s">
        <v>52</v>
      </c>
      <c r="M797" s="18" t="s">
        <v>89</v>
      </c>
      <c r="N797" s="18" t="s">
        <v>861</v>
      </c>
      <c r="O797" s="18" t="s">
        <v>126</v>
      </c>
      <c r="P797" s="18" t="s">
        <v>56</v>
      </c>
      <c r="Q797" s="18" t="s">
        <v>90</v>
      </c>
      <c r="R797" s="18" t="s">
        <v>143</v>
      </c>
      <c r="S797" s="18" t="s">
        <v>59</v>
      </c>
      <c r="T797" s="38">
        <v>2026.0</v>
      </c>
      <c r="U797" s="38">
        <v>5.0</v>
      </c>
      <c r="V797" s="38">
        <v>1.081523226E9</v>
      </c>
      <c r="W797" s="38">
        <v>1.081541296E9</v>
      </c>
      <c r="X797" s="18" t="s">
        <v>2199</v>
      </c>
      <c r="Y797" s="18" t="s">
        <v>2200</v>
      </c>
      <c r="Z797" s="38">
        <v>129276.28</v>
      </c>
      <c r="AA797" s="38">
        <v>129276.28</v>
      </c>
      <c r="AB797" s="38">
        <v>43092.1</v>
      </c>
      <c r="AC797" s="38">
        <v>253.0</v>
      </c>
      <c r="AD797" s="38">
        <v>0.0</v>
      </c>
      <c r="AE797" s="38">
        <v>0.0</v>
      </c>
      <c r="AF797" s="38">
        <v>0.0</v>
      </c>
      <c r="AG797" s="38">
        <v>0.0</v>
      </c>
      <c r="AH797" s="38">
        <v>0.0</v>
      </c>
      <c r="AI797" s="38">
        <v>129276.28</v>
      </c>
      <c r="AJ797" s="38">
        <v>129276.28</v>
      </c>
      <c r="AK797" s="38">
        <v>0.0</v>
      </c>
      <c r="AL797" s="38">
        <v>376.2</v>
      </c>
      <c r="AM797" s="38">
        <v>0.0</v>
      </c>
      <c r="AN797" s="34" t="s">
        <v>62</v>
      </c>
      <c r="AO797" s="34" t="s">
        <v>62</v>
      </c>
      <c r="AP797" s="34" t="s">
        <v>62</v>
      </c>
      <c r="AQ797" s="34" t="s">
        <v>62</v>
      </c>
      <c r="AR797" s="38">
        <v>0.0</v>
      </c>
      <c r="AS797" s="38" t="s">
        <v>3093</v>
      </c>
      <c r="AT797" s="38" t="s">
        <v>2275</v>
      </c>
      <c r="AU797" s="39" t="s">
        <v>2276</v>
      </c>
      <c r="AV797" s="40">
        <v>46163.0</v>
      </c>
    </row>
    <row r="798">
      <c r="A798" s="38">
        <v>489.0</v>
      </c>
      <c r="B798" s="38">
        <v>488.0</v>
      </c>
      <c r="C798" s="38">
        <v>488.0</v>
      </c>
      <c r="D798" s="38">
        <v>9.026431E7</v>
      </c>
      <c r="E798" s="38">
        <v>9.026431E7</v>
      </c>
      <c r="F798" s="18" t="s">
        <v>1658</v>
      </c>
      <c r="G798" s="18" t="s">
        <v>1659</v>
      </c>
      <c r="H798" s="18" t="s">
        <v>3094</v>
      </c>
      <c r="I798" s="18" t="s">
        <v>982</v>
      </c>
      <c r="J798" s="18" t="s">
        <v>2205</v>
      </c>
      <c r="K798" s="18" t="s">
        <v>2205</v>
      </c>
      <c r="L798" s="18" t="s">
        <v>52</v>
      </c>
      <c r="M798" s="18" t="s">
        <v>89</v>
      </c>
      <c r="N798" s="18" t="s">
        <v>861</v>
      </c>
      <c r="O798" s="18" t="s">
        <v>126</v>
      </c>
      <c r="P798" s="18" t="s">
        <v>56</v>
      </c>
      <c r="Q798" s="18" t="s">
        <v>90</v>
      </c>
      <c r="R798" s="18" t="s">
        <v>143</v>
      </c>
      <c r="S798" s="18" t="s">
        <v>59</v>
      </c>
      <c r="T798" s="38">
        <v>2026.0</v>
      </c>
      <c r="U798" s="38">
        <v>5.0</v>
      </c>
      <c r="V798" s="38">
        <v>1.081522941E9</v>
      </c>
      <c r="W798" s="38">
        <v>1.081541011E9</v>
      </c>
      <c r="X798" s="18" t="s">
        <v>2199</v>
      </c>
      <c r="Y798" s="18" t="s">
        <v>2200</v>
      </c>
      <c r="Z798" s="38">
        <v>187633.37</v>
      </c>
      <c r="AA798" s="38">
        <v>187633.37</v>
      </c>
      <c r="AB798" s="38">
        <v>61788.48</v>
      </c>
      <c r="AC798" s="38">
        <v>450.0</v>
      </c>
      <c r="AD798" s="38">
        <v>2267.94</v>
      </c>
      <c r="AE798" s="38">
        <v>0.0</v>
      </c>
      <c r="AF798" s="38">
        <v>0.0</v>
      </c>
      <c r="AG798" s="38">
        <v>0.0</v>
      </c>
      <c r="AH798" s="38">
        <v>0.0</v>
      </c>
      <c r="AI798" s="38">
        <v>187633.37</v>
      </c>
      <c r="AJ798" s="38">
        <v>561527.42</v>
      </c>
      <c r="AK798" s="38">
        <v>3.0</v>
      </c>
      <c r="AL798" s="38">
        <v>376.2</v>
      </c>
      <c r="AM798" s="38">
        <v>0.0</v>
      </c>
      <c r="AN798" s="34" t="s">
        <v>62</v>
      </c>
      <c r="AO798" s="34" t="s">
        <v>62</v>
      </c>
      <c r="AP798" s="34" t="s">
        <v>62</v>
      </c>
      <c r="AQ798" s="34" t="s">
        <v>62</v>
      </c>
      <c r="AR798" s="38">
        <v>0.0</v>
      </c>
      <c r="AS798" s="38" t="s">
        <v>3095</v>
      </c>
      <c r="AT798" s="35" t="s">
        <v>2202</v>
      </c>
      <c r="AU798" s="39" t="s">
        <v>2254</v>
      </c>
      <c r="AV798" s="40">
        <v>46171.0</v>
      </c>
    </row>
    <row r="799">
      <c r="A799" s="38">
        <v>49125.0</v>
      </c>
      <c r="B799" s="38">
        <v>49124.0</v>
      </c>
      <c r="C799" s="38">
        <v>49124.0</v>
      </c>
      <c r="D799" s="38">
        <v>16899.0</v>
      </c>
      <c r="E799" s="38">
        <v>16899.0</v>
      </c>
      <c r="F799" s="18" t="s">
        <v>1078</v>
      </c>
      <c r="G799" s="18" t="s">
        <v>1079</v>
      </c>
      <c r="H799" s="18" t="s">
        <v>3096</v>
      </c>
      <c r="I799" s="18" t="s">
        <v>640</v>
      </c>
      <c r="J799" s="18" t="s">
        <v>2205</v>
      </c>
      <c r="K799" s="18" t="s">
        <v>1079</v>
      </c>
      <c r="L799" s="18" t="s">
        <v>52</v>
      </c>
      <c r="M799" s="18" t="s">
        <v>89</v>
      </c>
      <c r="N799" s="18" t="s">
        <v>861</v>
      </c>
      <c r="O799" s="18" t="s">
        <v>126</v>
      </c>
      <c r="P799" s="18" t="s">
        <v>131</v>
      </c>
      <c r="Q799" s="18" t="s">
        <v>132</v>
      </c>
      <c r="R799" s="18" t="s">
        <v>133</v>
      </c>
      <c r="S799" s="18" t="s">
        <v>59</v>
      </c>
      <c r="T799" s="38">
        <v>2026.0</v>
      </c>
      <c r="U799" s="38">
        <v>5.0</v>
      </c>
      <c r="V799" s="38">
        <v>1.081523066E9</v>
      </c>
      <c r="W799" s="38">
        <v>1.081541136E9</v>
      </c>
      <c r="X799" s="18" t="s">
        <v>2199</v>
      </c>
      <c r="Y799" s="18" t="s">
        <v>2200</v>
      </c>
      <c r="Z799" s="38">
        <v>121458.66</v>
      </c>
      <c r="AA799" s="38">
        <v>121458.66</v>
      </c>
      <c r="AB799" s="38">
        <v>37970.5</v>
      </c>
      <c r="AC799" s="38">
        <v>0.0</v>
      </c>
      <c r="AD799" s="38">
        <v>7547.16</v>
      </c>
      <c r="AE799" s="38">
        <v>0.0</v>
      </c>
      <c r="AF799" s="38">
        <v>0.0</v>
      </c>
      <c r="AG799" s="38">
        <v>0.0</v>
      </c>
      <c r="AH799" s="38">
        <v>0.0</v>
      </c>
      <c r="AI799" s="38">
        <v>121458.66</v>
      </c>
      <c r="AJ799" s="38">
        <v>655508.78</v>
      </c>
      <c r="AK799" s="38">
        <v>5.0</v>
      </c>
      <c r="AL799" s="38">
        <v>376.2</v>
      </c>
      <c r="AM799" s="38">
        <v>0.0</v>
      </c>
      <c r="AN799" s="34" t="s">
        <v>62</v>
      </c>
      <c r="AO799" s="34" t="s">
        <v>62</v>
      </c>
      <c r="AP799" s="34" t="s">
        <v>62</v>
      </c>
      <c r="AQ799" s="34" t="s">
        <v>62</v>
      </c>
      <c r="AR799" s="38">
        <v>0.0</v>
      </c>
      <c r="AS799" s="38" t="s">
        <v>2913</v>
      </c>
      <c r="AT799" s="35" t="s">
        <v>2202</v>
      </c>
      <c r="AU799" s="39" t="s">
        <v>2203</v>
      </c>
      <c r="AV799" s="40">
        <v>46164.0</v>
      </c>
    </row>
    <row r="800">
      <c r="A800" s="38">
        <v>493.0</v>
      </c>
      <c r="B800" s="38">
        <v>492.0</v>
      </c>
      <c r="C800" s="38">
        <v>492.0</v>
      </c>
      <c r="D800" s="38">
        <v>9.0266554E7</v>
      </c>
      <c r="E800" s="38">
        <v>9.0266554E7</v>
      </c>
      <c r="F800" s="18" t="s">
        <v>1662</v>
      </c>
      <c r="G800" s="18" t="s">
        <v>1663</v>
      </c>
      <c r="H800" s="18" t="s">
        <v>3097</v>
      </c>
      <c r="I800" s="18" t="s">
        <v>982</v>
      </c>
      <c r="J800" s="18" t="s">
        <v>2205</v>
      </c>
      <c r="K800" s="18" t="s">
        <v>2205</v>
      </c>
      <c r="L800" s="18" t="s">
        <v>52</v>
      </c>
      <c r="M800" s="18" t="s">
        <v>89</v>
      </c>
      <c r="N800" s="18" t="s">
        <v>861</v>
      </c>
      <c r="O800" s="18" t="s">
        <v>126</v>
      </c>
      <c r="P800" s="18" t="s">
        <v>131</v>
      </c>
      <c r="Q800" s="18" t="s">
        <v>538</v>
      </c>
      <c r="R800" s="18" t="s">
        <v>133</v>
      </c>
      <c r="S800" s="18" t="s">
        <v>59</v>
      </c>
      <c r="T800" s="38">
        <v>2026.0</v>
      </c>
      <c r="U800" s="38">
        <v>5.0</v>
      </c>
      <c r="V800" s="38">
        <v>1.081522945E9</v>
      </c>
      <c r="W800" s="38">
        <v>1.081541015E9</v>
      </c>
      <c r="X800" s="18" t="s">
        <v>2199</v>
      </c>
      <c r="Y800" s="18" t="s">
        <v>2200</v>
      </c>
      <c r="Z800" s="38">
        <v>95028.0</v>
      </c>
      <c r="AA800" s="38">
        <v>95028.0</v>
      </c>
      <c r="AB800" s="38">
        <v>31676.0</v>
      </c>
      <c r="AC800" s="38">
        <v>0.0</v>
      </c>
      <c r="AD800" s="38">
        <v>0.0</v>
      </c>
      <c r="AE800" s="38">
        <v>0.0</v>
      </c>
      <c r="AF800" s="38">
        <v>0.0</v>
      </c>
      <c r="AG800" s="38">
        <v>0.0</v>
      </c>
      <c r="AH800" s="38">
        <v>0.0</v>
      </c>
      <c r="AI800" s="38">
        <v>95028.0</v>
      </c>
      <c r="AJ800" s="38">
        <v>95028.0</v>
      </c>
      <c r="AK800" s="38">
        <v>0.0</v>
      </c>
      <c r="AL800" s="38">
        <v>376.2</v>
      </c>
      <c r="AM800" s="38">
        <v>0.0</v>
      </c>
      <c r="AN800" s="34" t="s">
        <v>62</v>
      </c>
      <c r="AO800" s="34" t="s">
        <v>62</v>
      </c>
      <c r="AP800" s="34" t="s">
        <v>62</v>
      </c>
      <c r="AQ800" s="34" t="s">
        <v>62</v>
      </c>
      <c r="AR800" s="38">
        <v>0.0</v>
      </c>
      <c r="AS800" s="38" t="s">
        <v>3098</v>
      </c>
      <c r="AT800" s="35" t="s">
        <v>2202</v>
      </c>
      <c r="AU800" s="39" t="s">
        <v>2254</v>
      </c>
      <c r="AV800" s="40">
        <v>46171.0</v>
      </c>
    </row>
    <row r="801">
      <c r="A801" s="38">
        <v>593964.0</v>
      </c>
      <c r="B801" s="38">
        <v>497904.0</v>
      </c>
      <c r="C801" s="38">
        <v>550645.0</v>
      </c>
      <c r="D801" s="34" t="s">
        <v>62</v>
      </c>
      <c r="E801" s="34" t="s">
        <v>62</v>
      </c>
      <c r="F801" s="38">
        <v>9.01568658E8</v>
      </c>
      <c r="G801" s="18" t="s">
        <v>1665</v>
      </c>
      <c r="H801" s="18" t="s">
        <v>3099</v>
      </c>
      <c r="I801" s="18" t="s">
        <v>991</v>
      </c>
      <c r="J801" s="18" t="s">
        <v>2691</v>
      </c>
      <c r="K801" s="18" t="s">
        <v>2691</v>
      </c>
      <c r="L801" s="18" t="s">
        <v>52</v>
      </c>
      <c r="M801" s="18" t="s">
        <v>89</v>
      </c>
      <c r="N801" s="18" t="s">
        <v>861</v>
      </c>
      <c r="O801" s="18" t="s">
        <v>126</v>
      </c>
      <c r="P801" s="18" t="s">
        <v>131</v>
      </c>
      <c r="Q801" s="18" t="s">
        <v>363</v>
      </c>
      <c r="R801" s="18" t="s">
        <v>133</v>
      </c>
      <c r="S801" s="18" t="s">
        <v>59</v>
      </c>
      <c r="T801" s="38">
        <v>2026.0</v>
      </c>
      <c r="U801" s="38">
        <v>5.0</v>
      </c>
      <c r="V801" s="38">
        <v>1.081523228E9</v>
      </c>
      <c r="W801" s="38">
        <v>1.081541298E9</v>
      </c>
      <c r="X801" s="18" t="s">
        <v>2199</v>
      </c>
      <c r="Y801" s="18" t="s">
        <v>2200</v>
      </c>
      <c r="Z801" s="38">
        <v>77082.02</v>
      </c>
      <c r="AA801" s="38">
        <v>77082.02</v>
      </c>
      <c r="AB801" s="38">
        <v>25380.5</v>
      </c>
      <c r="AC801" s="38">
        <v>0.0</v>
      </c>
      <c r="AD801" s="38">
        <v>940.52</v>
      </c>
      <c r="AE801" s="38">
        <v>0.0</v>
      </c>
      <c r="AF801" s="38">
        <v>0.0</v>
      </c>
      <c r="AG801" s="38">
        <v>0.0</v>
      </c>
      <c r="AH801" s="38">
        <v>0.0</v>
      </c>
      <c r="AI801" s="38">
        <v>77082.02</v>
      </c>
      <c r="AJ801" s="38">
        <v>228027.02</v>
      </c>
      <c r="AK801" s="38">
        <v>2.0</v>
      </c>
      <c r="AL801" s="38">
        <v>376.2</v>
      </c>
      <c r="AM801" s="38">
        <v>0.0</v>
      </c>
      <c r="AN801" s="34" t="s">
        <v>62</v>
      </c>
      <c r="AO801" s="34" t="s">
        <v>62</v>
      </c>
      <c r="AP801" s="34" t="s">
        <v>62</v>
      </c>
      <c r="AQ801" s="34" t="s">
        <v>62</v>
      </c>
      <c r="AR801" s="38">
        <v>0.0</v>
      </c>
      <c r="AS801" s="38" t="s">
        <v>3100</v>
      </c>
      <c r="AT801" s="38" t="s">
        <v>2275</v>
      </c>
      <c r="AU801" s="39" t="s">
        <v>2276</v>
      </c>
      <c r="AV801" s="40">
        <v>46163.0</v>
      </c>
    </row>
    <row r="802">
      <c r="A802" s="38">
        <v>596796.0</v>
      </c>
      <c r="B802" s="38">
        <v>499136.0</v>
      </c>
      <c r="C802" s="38">
        <v>553182.0</v>
      </c>
      <c r="D802" s="34" t="s">
        <v>62</v>
      </c>
      <c r="E802" s="34" t="s">
        <v>62</v>
      </c>
      <c r="F802" s="38">
        <v>8.30137461E8</v>
      </c>
      <c r="G802" s="18" t="s">
        <v>1667</v>
      </c>
      <c r="H802" s="18" t="s">
        <v>3101</v>
      </c>
      <c r="I802" s="18" t="s">
        <v>991</v>
      </c>
      <c r="J802" s="18" t="s">
        <v>2691</v>
      </c>
      <c r="K802" s="18" t="s">
        <v>2691</v>
      </c>
      <c r="L802" s="18" t="s">
        <v>52</v>
      </c>
      <c r="M802" s="18" t="s">
        <v>138</v>
      </c>
      <c r="N802" s="18" t="s">
        <v>861</v>
      </c>
      <c r="O802" s="18" t="s">
        <v>126</v>
      </c>
      <c r="P802" s="18" t="s">
        <v>131</v>
      </c>
      <c r="Q802" s="18" t="s">
        <v>363</v>
      </c>
      <c r="R802" s="18" t="s">
        <v>133</v>
      </c>
      <c r="S802" s="18" t="s">
        <v>59</v>
      </c>
      <c r="T802" s="38">
        <v>2026.0</v>
      </c>
      <c r="U802" s="38">
        <v>5.0</v>
      </c>
      <c r="V802" s="38">
        <v>1.08152323E9</v>
      </c>
      <c r="W802" s="38">
        <v>1.0815413E9</v>
      </c>
      <c r="X802" s="18" t="s">
        <v>2199</v>
      </c>
      <c r="Y802" s="18" t="s">
        <v>2200</v>
      </c>
      <c r="Z802" s="38">
        <v>78270.0</v>
      </c>
      <c r="AA802" s="38">
        <v>78270.0</v>
      </c>
      <c r="AB802" s="38">
        <v>26090.0</v>
      </c>
      <c r="AC802" s="38">
        <v>0.0</v>
      </c>
      <c r="AD802" s="38">
        <v>0.0</v>
      </c>
      <c r="AE802" s="38">
        <v>0.0</v>
      </c>
      <c r="AF802" s="38">
        <v>0.0</v>
      </c>
      <c r="AG802" s="38">
        <v>0.0</v>
      </c>
      <c r="AH802" s="38">
        <v>0.0</v>
      </c>
      <c r="AI802" s="38">
        <v>78270.0</v>
      </c>
      <c r="AJ802" s="38">
        <v>78270.0</v>
      </c>
      <c r="AK802" s="38">
        <v>0.0</v>
      </c>
      <c r="AL802" s="38">
        <v>6420.0</v>
      </c>
      <c r="AM802" s="38">
        <v>0.0</v>
      </c>
      <c r="AN802" s="34" t="s">
        <v>62</v>
      </c>
      <c r="AO802" s="34" t="s">
        <v>62</v>
      </c>
      <c r="AP802" s="34" t="s">
        <v>62</v>
      </c>
      <c r="AQ802" s="34" t="s">
        <v>62</v>
      </c>
      <c r="AR802" s="38">
        <v>0.0</v>
      </c>
      <c r="AS802" s="34"/>
      <c r="AT802" s="38" t="s">
        <v>2275</v>
      </c>
      <c r="AU802" s="39" t="s">
        <v>2276</v>
      </c>
      <c r="AV802" s="40">
        <v>46163.0</v>
      </c>
    </row>
    <row r="803">
      <c r="A803" s="38">
        <v>50149.0</v>
      </c>
      <c r="B803" s="38">
        <v>50148.0</v>
      </c>
      <c r="C803" s="38">
        <v>50148.0</v>
      </c>
      <c r="D803" s="38">
        <v>19136.0</v>
      </c>
      <c r="E803" s="38">
        <v>19136.0</v>
      </c>
      <c r="F803" s="18" t="s">
        <v>1529</v>
      </c>
      <c r="G803" s="18" t="s">
        <v>1669</v>
      </c>
      <c r="H803" s="18" t="s">
        <v>3102</v>
      </c>
      <c r="I803" s="18" t="s">
        <v>640</v>
      </c>
      <c r="J803" s="18" t="s">
        <v>2205</v>
      </c>
      <c r="K803" s="18" t="s">
        <v>1669</v>
      </c>
      <c r="L803" s="18" t="s">
        <v>52</v>
      </c>
      <c r="M803" s="18" t="s">
        <v>89</v>
      </c>
      <c r="N803" s="18" t="s">
        <v>861</v>
      </c>
      <c r="O803" s="18" t="s">
        <v>126</v>
      </c>
      <c r="P803" s="18" t="s">
        <v>131</v>
      </c>
      <c r="Q803" s="18" t="s">
        <v>132</v>
      </c>
      <c r="R803" s="18" t="s">
        <v>133</v>
      </c>
      <c r="S803" s="18" t="s">
        <v>59</v>
      </c>
      <c r="T803" s="38">
        <v>2026.0</v>
      </c>
      <c r="U803" s="38">
        <v>5.0</v>
      </c>
      <c r="V803" s="38">
        <v>1.081523069E9</v>
      </c>
      <c r="W803" s="38">
        <v>1.081541139E9</v>
      </c>
      <c r="X803" s="18" t="s">
        <v>2199</v>
      </c>
      <c r="Y803" s="18" t="s">
        <v>2200</v>
      </c>
      <c r="Z803" s="38">
        <v>113911.5</v>
      </c>
      <c r="AA803" s="38">
        <v>113911.5</v>
      </c>
      <c r="AB803" s="38">
        <v>37970.5</v>
      </c>
      <c r="AC803" s="38">
        <v>0.0</v>
      </c>
      <c r="AD803" s="38">
        <v>0.0</v>
      </c>
      <c r="AE803" s="38">
        <v>0.0</v>
      </c>
      <c r="AF803" s="38">
        <v>0.0</v>
      </c>
      <c r="AG803" s="38">
        <v>0.0</v>
      </c>
      <c r="AH803" s="38">
        <v>0.0</v>
      </c>
      <c r="AI803" s="38">
        <v>113911.5</v>
      </c>
      <c r="AJ803" s="38">
        <v>113911.5</v>
      </c>
      <c r="AK803" s="38">
        <v>0.0</v>
      </c>
      <c r="AL803" s="38">
        <v>376.2</v>
      </c>
      <c r="AM803" s="38">
        <v>0.0</v>
      </c>
      <c r="AN803" s="34" t="s">
        <v>62</v>
      </c>
      <c r="AO803" s="34" t="s">
        <v>62</v>
      </c>
      <c r="AP803" s="34" t="s">
        <v>62</v>
      </c>
      <c r="AQ803" s="34" t="s">
        <v>62</v>
      </c>
      <c r="AR803" s="38">
        <v>0.0</v>
      </c>
      <c r="AS803" s="38" t="s">
        <v>2909</v>
      </c>
      <c r="AT803" s="35" t="s">
        <v>2202</v>
      </c>
      <c r="AU803" s="39" t="s">
        <v>2203</v>
      </c>
      <c r="AV803" s="40">
        <v>46168.0</v>
      </c>
    </row>
    <row r="804">
      <c r="A804" s="38">
        <v>285191.0</v>
      </c>
      <c r="B804" s="38">
        <v>52444.0</v>
      </c>
      <c r="C804" s="38">
        <v>52444.0</v>
      </c>
      <c r="D804" s="38">
        <v>103152.0</v>
      </c>
      <c r="E804" s="38">
        <v>103152.0</v>
      </c>
      <c r="F804" s="38">
        <v>9.00276962E8</v>
      </c>
      <c r="G804" s="18" t="s">
        <v>128</v>
      </c>
      <c r="H804" s="18" t="s">
        <v>2269</v>
      </c>
      <c r="I804" s="18" t="s">
        <v>640</v>
      </c>
      <c r="J804" s="18" t="s">
        <v>982</v>
      </c>
      <c r="K804" s="34"/>
      <c r="L804" s="18" t="s">
        <v>52</v>
      </c>
      <c r="M804" s="18" t="s">
        <v>89</v>
      </c>
      <c r="N804" s="18" t="s">
        <v>861</v>
      </c>
      <c r="O804" s="18" t="s">
        <v>126</v>
      </c>
      <c r="P804" s="18" t="s">
        <v>131</v>
      </c>
      <c r="Q804" s="18" t="s">
        <v>132</v>
      </c>
      <c r="R804" s="18" t="s">
        <v>133</v>
      </c>
      <c r="S804" s="18" t="s">
        <v>59</v>
      </c>
      <c r="T804" s="38">
        <v>2026.0</v>
      </c>
      <c r="U804" s="38">
        <v>5.0</v>
      </c>
      <c r="V804" s="38">
        <v>1.081523073E9</v>
      </c>
      <c r="W804" s="38">
        <v>1.081541143E9</v>
      </c>
      <c r="X804" s="18" t="s">
        <v>2199</v>
      </c>
      <c r="Y804" s="18" t="s">
        <v>2200</v>
      </c>
      <c r="Z804" s="38">
        <v>116687.97</v>
      </c>
      <c r="AA804" s="38">
        <v>116687.97</v>
      </c>
      <c r="AB804" s="38">
        <v>37970.5</v>
      </c>
      <c r="AC804" s="38">
        <v>0.0</v>
      </c>
      <c r="AD804" s="38">
        <v>2776.47</v>
      </c>
      <c r="AE804" s="38">
        <v>0.0</v>
      </c>
      <c r="AF804" s="38">
        <v>0.0</v>
      </c>
      <c r="AG804" s="38">
        <v>0.0</v>
      </c>
      <c r="AH804" s="38">
        <v>0.0</v>
      </c>
      <c r="AI804" s="38">
        <v>116687.97</v>
      </c>
      <c r="AJ804" s="38">
        <v>116688.89</v>
      </c>
      <c r="AK804" s="38">
        <v>1.0</v>
      </c>
      <c r="AL804" s="38">
        <v>376.2</v>
      </c>
      <c r="AM804" s="38">
        <v>0.0</v>
      </c>
      <c r="AN804" s="34" t="s">
        <v>62</v>
      </c>
      <c r="AO804" s="34" t="s">
        <v>62</v>
      </c>
      <c r="AP804" s="34" t="s">
        <v>62</v>
      </c>
      <c r="AQ804" s="34" t="s">
        <v>62</v>
      </c>
      <c r="AR804" s="38">
        <v>0.0</v>
      </c>
      <c r="AS804" s="34"/>
      <c r="AT804" s="38" t="s">
        <v>2275</v>
      </c>
      <c r="AU804" s="39" t="s">
        <v>2475</v>
      </c>
      <c r="AV804" s="40">
        <v>46163.0</v>
      </c>
    </row>
    <row r="805">
      <c r="A805" s="38">
        <v>147.0</v>
      </c>
      <c r="B805" s="38">
        <v>576.0</v>
      </c>
      <c r="C805" s="38">
        <v>576.0</v>
      </c>
      <c r="D805" s="38">
        <v>9.0274084E7</v>
      </c>
      <c r="E805" s="38">
        <v>9.0274084E7</v>
      </c>
      <c r="F805" s="18" t="s">
        <v>179</v>
      </c>
      <c r="G805" s="18" t="s">
        <v>180</v>
      </c>
      <c r="H805" s="18" t="s">
        <v>2320</v>
      </c>
      <c r="I805" s="18" t="s">
        <v>915</v>
      </c>
      <c r="J805" s="18" t="s">
        <v>2205</v>
      </c>
      <c r="K805" s="18" t="s">
        <v>2289</v>
      </c>
      <c r="L805" s="18" t="s">
        <v>52</v>
      </c>
      <c r="M805" s="18" t="s">
        <v>89</v>
      </c>
      <c r="N805" s="18" t="s">
        <v>861</v>
      </c>
      <c r="O805" s="18" t="s">
        <v>126</v>
      </c>
      <c r="P805" s="18" t="s">
        <v>131</v>
      </c>
      <c r="Q805" s="18" t="s">
        <v>1111</v>
      </c>
      <c r="R805" s="18" t="s">
        <v>133</v>
      </c>
      <c r="S805" s="18" t="s">
        <v>59</v>
      </c>
      <c r="T805" s="38">
        <v>2026.0</v>
      </c>
      <c r="U805" s="38">
        <v>5.0</v>
      </c>
      <c r="V805" s="38">
        <v>1.081522948E9</v>
      </c>
      <c r="W805" s="38">
        <v>1.081541018E9</v>
      </c>
      <c r="X805" s="18" t="s">
        <v>2199</v>
      </c>
      <c r="Y805" s="18" t="s">
        <v>2200</v>
      </c>
      <c r="Z805" s="38">
        <v>50761.0</v>
      </c>
      <c r="AA805" s="38">
        <v>50761.0</v>
      </c>
      <c r="AB805" s="38">
        <v>0.0</v>
      </c>
      <c r="AC805" s="38">
        <v>0.0</v>
      </c>
      <c r="AD805" s="38">
        <v>0.0</v>
      </c>
      <c r="AE805" s="38">
        <v>0.0</v>
      </c>
      <c r="AF805" s="38">
        <v>0.0</v>
      </c>
      <c r="AG805" s="38">
        <v>0.0</v>
      </c>
      <c r="AH805" s="38">
        <v>0.0</v>
      </c>
      <c r="AI805" s="38">
        <v>50761.0</v>
      </c>
      <c r="AJ805" s="38">
        <v>101136.0</v>
      </c>
      <c r="AK805" s="38">
        <v>1.0</v>
      </c>
      <c r="AL805" s="38">
        <v>250.8</v>
      </c>
      <c r="AM805" s="38">
        <v>0.0</v>
      </c>
      <c r="AN805" s="34" t="s">
        <v>62</v>
      </c>
      <c r="AO805" s="34" t="s">
        <v>62</v>
      </c>
      <c r="AP805" s="34" t="s">
        <v>62</v>
      </c>
      <c r="AQ805" s="34" t="s">
        <v>62</v>
      </c>
      <c r="AR805" s="38">
        <v>0.0</v>
      </c>
      <c r="AS805" s="38" t="s">
        <v>2321</v>
      </c>
      <c r="AT805" s="35" t="s">
        <v>2202</v>
      </c>
      <c r="AU805" s="39" t="s">
        <v>2203</v>
      </c>
      <c r="AV805" s="40">
        <v>46163.0</v>
      </c>
    </row>
    <row r="806">
      <c r="A806" s="43">
        <v>581.0</v>
      </c>
      <c r="B806" s="43">
        <v>580.0</v>
      </c>
      <c r="C806" s="43">
        <v>580.0</v>
      </c>
      <c r="D806" s="43">
        <v>9.0274572E7</v>
      </c>
      <c r="E806" s="43">
        <v>9.0274572E7</v>
      </c>
      <c r="F806" s="44" t="s">
        <v>1673</v>
      </c>
      <c r="G806" s="44" t="s">
        <v>1674</v>
      </c>
      <c r="H806" s="44" t="s">
        <v>3103</v>
      </c>
      <c r="I806" s="44" t="s">
        <v>863</v>
      </c>
      <c r="J806" s="44" t="s">
        <v>2205</v>
      </c>
      <c r="K806" s="44" t="s">
        <v>2205</v>
      </c>
      <c r="L806" s="44" t="s">
        <v>52</v>
      </c>
      <c r="M806" s="44" t="s">
        <v>89</v>
      </c>
      <c r="N806" s="44" t="s">
        <v>861</v>
      </c>
      <c r="O806" s="44" t="s">
        <v>126</v>
      </c>
      <c r="P806" s="44" t="s">
        <v>131</v>
      </c>
      <c r="Q806" s="44" t="s">
        <v>363</v>
      </c>
      <c r="R806" s="44" t="s">
        <v>133</v>
      </c>
      <c r="S806" s="44" t="s">
        <v>59</v>
      </c>
      <c r="T806" s="43">
        <v>2026.0</v>
      </c>
      <c r="U806" s="43">
        <v>5.0</v>
      </c>
      <c r="V806" s="43">
        <v>1.081522952E9</v>
      </c>
      <c r="W806" s="43">
        <v>1.081541022E9</v>
      </c>
      <c r="X806" s="44" t="s">
        <v>2199</v>
      </c>
      <c r="Y806" s="44" t="s">
        <v>2200</v>
      </c>
      <c r="Z806" s="43">
        <v>76735.51</v>
      </c>
      <c r="AA806" s="43">
        <v>76735.51</v>
      </c>
      <c r="AB806" s="43">
        <v>25380.5</v>
      </c>
      <c r="AC806" s="43">
        <v>0.0</v>
      </c>
      <c r="AD806" s="43">
        <v>594.01</v>
      </c>
      <c r="AE806" s="43">
        <v>0.0</v>
      </c>
      <c r="AF806" s="43">
        <v>0.0</v>
      </c>
      <c r="AG806" s="43">
        <v>0.0</v>
      </c>
      <c r="AH806" s="43">
        <v>0.0</v>
      </c>
      <c r="AI806" s="43">
        <v>76735.51</v>
      </c>
      <c r="AJ806" s="43">
        <v>152705.37</v>
      </c>
      <c r="AK806" s="43">
        <v>1.0</v>
      </c>
      <c r="AL806" s="43">
        <v>376.2</v>
      </c>
      <c r="AM806" s="43">
        <v>0.0</v>
      </c>
      <c r="AN806" s="45" t="s">
        <v>62</v>
      </c>
      <c r="AO806" s="45" t="s">
        <v>62</v>
      </c>
      <c r="AP806" s="45" t="s">
        <v>62</v>
      </c>
      <c r="AQ806" s="45" t="s">
        <v>62</v>
      </c>
      <c r="AR806" s="43">
        <v>0.0</v>
      </c>
      <c r="AS806" s="43" t="s">
        <v>3104</v>
      </c>
      <c r="AT806" s="48" t="s">
        <v>2202</v>
      </c>
      <c r="AU806" s="39" t="s">
        <v>2254</v>
      </c>
      <c r="AV806" s="40">
        <v>46171.0</v>
      </c>
    </row>
    <row r="807">
      <c r="A807" s="38">
        <v>585.0</v>
      </c>
      <c r="B807" s="38">
        <v>584.0</v>
      </c>
      <c r="C807" s="38">
        <v>584.0</v>
      </c>
      <c r="D807" s="38">
        <v>9.0276121E7</v>
      </c>
      <c r="E807" s="38">
        <v>9.0276121E7</v>
      </c>
      <c r="F807" s="38">
        <v>9.0276121E7</v>
      </c>
      <c r="G807" s="18" t="s">
        <v>1676</v>
      </c>
      <c r="H807" s="18" t="s">
        <v>3105</v>
      </c>
      <c r="I807" s="18" t="s">
        <v>931</v>
      </c>
      <c r="J807" s="18" t="s">
        <v>2205</v>
      </c>
      <c r="K807" s="18" t="s">
        <v>2757</v>
      </c>
      <c r="L807" s="18" t="s">
        <v>52</v>
      </c>
      <c r="M807" s="18" t="s">
        <v>53</v>
      </c>
      <c r="N807" s="18" t="s">
        <v>861</v>
      </c>
      <c r="O807" s="18" t="s">
        <v>126</v>
      </c>
      <c r="P807" s="18" t="s">
        <v>56</v>
      </c>
      <c r="Q807" s="18" t="s">
        <v>90</v>
      </c>
      <c r="R807" s="18" t="s">
        <v>58</v>
      </c>
      <c r="S807" s="18" t="s">
        <v>59</v>
      </c>
      <c r="T807" s="38">
        <v>2026.0</v>
      </c>
      <c r="U807" s="38">
        <v>5.0</v>
      </c>
      <c r="V807" s="38">
        <v>1.081522955E9</v>
      </c>
      <c r="W807" s="38">
        <v>1.081541025E9</v>
      </c>
      <c r="X807" s="18" t="s">
        <v>2199</v>
      </c>
      <c r="Y807" s="18" t="s">
        <v>2200</v>
      </c>
      <c r="Z807" s="38">
        <v>1436162.02</v>
      </c>
      <c r="AA807" s="38">
        <v>1436162.02</v>
      </c>
      <c r="AB807" s="38">
        <v>478720.68</v>
      </c>
      <c r="AC807" s="38">
        <v>4843.13</v>
      </c>
      <c r="AD807" s="38">
        <v>0.0</v>
      </c>
      <c r="AE807" s="38">
        <v>0.0</v>
      </c>
      <c r="AF807" s="38">
        <v>0.0</v>
      </c>
      <c r="AG807" s="38">
        <v>0.0</v>
      </c>
      <c r="AH807" s="38">
        <v>0.0</v>
      </c>
      <c r="AI807" s="38">
        <v>1436162.02</v>
      </c>
      <c r="AJ807" s="38">
        <v>1436162.02</v>
      </c>
      <c r="AK807" s="38">
        <v>0.0</v>
      </c>
      <c r="AL807" s="38">
        <v>376.2</v>
      </c>
      <c r="AM807" s="38">
        <v>0.0</v>
      </c>
      <c r="AN807" s="34" t="s">
        <v>62</v>
      </c>
      <c r="AO807" s="34" t="s">
        <v>62</v>
      </c>
      <c r="AP807" s="34" t="s">
        <v>62</v>
      </c>
      <c r="AQ807" s="34" t="s">
        <v>62</v>
      </c>
      <c r="AR807" s="38">
        <v>0.0</v>
      </c>
      <c r="AS807" s="38" t="s">
        <v>3106</v>
      </c>
      <c r="AT807" s="35" t="s">
        <v>2202</v>
      </c>
      <c r="AU807" s="39" t="s">
        <v>2203</v>
      </c>
      <c r="AV807" s="40">
        <v>46168.0</v>
      </c>
    </row>
    <row r="808">
      <c r="A808" s="38">
        <v>285191.0</v>
      </c>
      <c r="B808" s="38">
        <v>58508.0</v>
      </c>
      <c r="C808" s="38">
        <v>58508.0</v>
      </c>
      <c r="D808" s="38">
        <v>56339.0</v>
      </c>
      <c r="E808" s="38">
        <v>56339.0</v>
      </c>
      <c r="F808" s="38">
        <v>9.00276962E8</v>
      </c>
      <c r="G808" s="18" t="s">
        <v>128</v>
      </c>
      <c r="H808" s="18" t="s">
        <v>2269</v>
      </c>
      <c r="I808" s="18" t="s">
        <v>1678</v>
      </c>
      <c r="J808" s="18" t="s">
        <v>2205</v>
      </c>
      <c r="K808" s="18" t="s">
        <v>2270</v>
      </c>
      <c r="L808" s="18" t="s">
        <v>52</v>
      </c>
      <c r="M808" s="18" t="s">
        <v>89</v>
      </c>
      <c r="N808" s="18" t="s">
        <v>861</v>
      </c>
      <c r="O808" s="18" t="s">
        <v>126</v>
      </c>
      <c r="P808" s="18" t="s">
        <v>131</v>
      </c>
      <c r="Q808" s="18" t="s">
        <v>132</v>
      </c>
      <c r="R808" s="18" t="s">
        <v>133</v>
      </c>
      <c r="S808" s="18" t="s">
        <v>59</v>
      </c>
      <c r="T808" s="38">
        <v>2026.0</v>
      </c>
      <c r="U808" s="38">
        <v>5.0</v>
      </c>
      <c r="V808" s="38">
        <v>1.081523078E9</v>
      </c>
      <c r="W808" s="38">
        <v>1.081541148E9</v>
      </c>
      <c r="X808" s="18" t="s">
        <v>2199</v>
      </c>
      <c r="Y808" s="18" t="s">
        <v>2200</v>
      </c>
      <c r="Z808" s="38">
        <v>113911.5</v>
      </c>
      <c r="AA808" s="38">
        <v>113911.5</v>
      </c>
      <c r="AB808" s="38">
        <v>37970.5</v>
      </c>
      <c r="AC808" s="38">
        <v>0.0</v>
      </c>
      <c r="AD808" s="38">
        <v>0.0</v>
      </c>
      <c r="AE808" s="38">
        <v>0.0</v>
      </c>
      <c r="AF808" s="38">
        <v>0.0</v>
      </c>
      <c r="AG808" s="38">
        <v>0.0</v>
      </c>
      <c r="AH808" s="38">
        <v>0.0</v>
      </c>
      <c r="AI808" s="38">
        <v>113911.5</v>
      </c>
      <c r="AJ808" s="38">
        <v>113911.5</v>
      </c>
      <c r="AK808" s="38">
        <v>0.0</v>
      </c>
      <c r="AL808" s="38">
        <v>376.2</v>
      </c>
      <c r="AM808" s="38">
        <v>0.0</v>
      </c>
      <c r="AN808" s="34" t="s">
        <v>62</v>
      </c>
      <c r="AO808" s="34" t="s">
        <v>62</v>
      </c>
      <c r="AP808" s="34" t="s">
        <v>62</v>
      </c>
      <c r="AQ808" s="34" t="s">
        <v>62</v>
      </c>
      <c r="AR808" s="38">
        <v>0.0</v>
      </c>
      <c r="AS808" s="38" t="s">
        <v>2271</v>
      </c>
      <c r="AT808" s="35" t="s">
        <v>2202</v>
      </c>
      <c r="AU808" s="39" t="s">
        <v>2203</v>
      </c>
      <c r="AV808" s="40">
        <v>46163.0</v>
      </c>
    </row>
    <row r="809">
      <c r="A809" s="38">
        <v>280920.0</v>
      </c>
      <c r="B809" s="38">
        <v>59144.0</v>
      </c>
      <c r="C809" s="38">
        <v>59144.0</v>
      </c>
      <c r="D809" s="38">
        <v>56973.0</v>
      </c>
      <c r="E809" s="38">
        <v>56973.0</v>
      </c>
      <c r="F809" s="38">
        <v>9.00576569E8</v>
      </c>
      <c r="G809" s="18" t="s">
        <v>161</v>
      </c>
      <c r="H809" s="18" t="s">
        <v>2261</v>
      </c>
      <c r="I809" s="18" t="s">
        <v>1256</v>
      </c>
      <c r="J809" s="18" t="s">
        <v>2205</v>
      </c>
      <c r="K809" s="18" t="s">
        <v>2262</v>
      </c>
      <c r="L809" s="18" t="s">
        <v>52</v>
      </c>
      <c r="M809" s="18" t="s">
        <v>89</v>
      </c>
      <c r="N809" s="18" t="s">
        <v>861</v>
      </c>
      <c r="O809" s="18" t="s">
        <v>126</v>
      </c>
      <c r="P809" s="18" t="s">
        <v>56</v>
      </c>
      <c r="Q809" s="18" t="s">
        <v>90</v>
      </c>
      <c r="R809" s="18" t="s">
        <v>143</v>
      </c>
      <c r="S809" s="18" t="s">
        <v>59</v>
      </c>
      <c r="T809" s="38">
        <v>2026.0</v>
      </c>
      <c r="U809" s="38">
        <v>5.0</v>
      </c>
      <c r="V809" s="38">
        <v>1.081523081E9</v>
      </c>
      <c r="W809" s="38">
        <v>1.081541151E9</v>
      </c>
      <c r="X809" s="18" t="s">
        <v>2199</v>
      </c>
      <c r="Y809" s="18" t="s">
        <v>2200</v>
      </c>
      <c r="Z809" s="38">
        <v>393920.28</v>
      </c>
      <c r="AA809" s="38">
        <v>393920.28</v>
      </c>
      <c r="AB809" s="38">
        <v>131306.76</v>
      </c>
      <c r="AC809" s="38">
        <v>1182.5</v>
      </c>
      <c r="AD809" s="38">
        <v>0.0</v>
      </c>
      <c r="AE809" s="38">
        <v>0.0</v>
      </c>
      <c r="AF809" s="38">
        <v>0.0</v>
      </c>
      <c r="AG809" s="38">
        <v>0.0</v>
      </c>
      <c r="AH809" s="38">
        <v>0.0</v>
      </c>
      <c r="AI809" s="38">
        <v>393920.28</v>
      </c>
      <c r="AJ809" s="38">
        <v>809809.04</v>
      </c>
      <c r="AK809" s="38">
        <v>1.0</v>
      </c>
      <c r="AL809" s="38">
        <v>376.2</v>
      </c>
      <c r="AM809" s="38">
        <v>0.0</v>
      </c>
      <c r="AN809" s="34" t="s">
        <v>62</v>
      </c>
      <c r="AO809" s="34" t="s">
        <v>62</v>
      </c>
      <c r="AP809" s="34" t="s">
        <v>62</v>
      </c>
      <c r="AQ809" s="34" t="s">
        <v>62</v>
      </c>
      <c r="AR809" s="38">
        <v>0.0</v>
      </c>
      <c r="AS809" s="38" t="s">
        <v>2263</v>
      </c>
      <c r="AT809" s="35" t="s">
        <v>2202</v>
      </c>
      <c r="AU809" s="39" t="s">
        <v>2203</v>
      </c>
      <c r="AV809" s="40">
        <v>46163.0</v>
      </c>
    </row>
    <row r="810">
      <c r="A810" s="38">
        <v>593.0</v>
      </c>
      <c r="B810" s="38">
        <v>592.0</v>
      </c>
      <c r="C810" s="38">
        <v>592.0</v>
      </c>
      <c r="D810" s="38">
        <v>9.0277195E7</v>
      </c>
      <c r="E810" s="38">
        <v>9.0277195E7</v>
      </c>
      <c r="F810" s="18" t="s">
        <v>1681</v>
      </c>
      <c r="G810" s="18" t="s">
        <v>1682</v>
      </c>
      <c r="H810" s="18" t="s">
        <v>3107</v>
      </c>
      <c r="I810" s="18" t="s">
        <v>76</v>
      </c>
      <c r="J810" s="18" t="s">
        <v>2205</v>
      </c>
      <c r="K810" s="18" t="s">
        <v>2205</v>
      </c>
      <c r="L810" s="18" t="s">
        <v>52</v>
      </c>
      <c r="M810" s="18" t="s">
        <v>89</v>
      </c>
      <c r="N810" s="18" t="s">
        <v>861</v>
      </c>
      <c r="O810" s="18" t="s">
        <v>126</v>
      </c>
      <c r="P810" s="18" t="s">
        <v>56</v>
      </c>
      <c r="Q810" s="18" t="s">
        <v>90</v>
      </c>
      <c r="R810" s="18" t="s">
        <v>143</v>
      </c>
      <c r="S810" s="18" t="s">
        <v>59</v>
      </c>
      <c r="T810" s="38">
        <v>2026.0</v>
      </c>
      <c r="U810" s="38">
        <v>5.0</v>
      </c>
      <c r="V810" s="38">
        <v>1.081522957E9</v>
      </c>
      <c r="W810" s="38">
        <v>1.081541027E9</v>
      </c>
      <c r="X810" s="18" t="s">
        <v>2199</v>
      </c>
      <c r="Y810" s="18" t="s">
        <v>2200</v>
      </c>
      <c r="Z810" s="38">
        <v>128919.78</v>
      </c>
      <c r="AA810" s="38">
        <v>128919.78</v>
      </c>
      <c r="AB810" s="38">
        <v>42807.38</v>
      </c>
      <c r="AC810" s="38">
        <v>250.0</v>
      </c>
      <c r="AD810" s="38">
        <v>497.65</v>
      </c>
      <c r="AE810" s="38">
        <v>0.0</v>
      </c>
      <c r="AF810" s="38">
        <v>0.0</v>
      </c>
      <c r="AG810" s="38">
        <v>0.0</v>
      </c>
      <c r="AH810" s="38">
        <v>0.0</v>
      </c>
      <c r="AI810" s="38">
        <v>128919.78</v>
      </c>
      <c r="AJ810" s="38">
        <v>128950.16</v>
      </c>
      <c r="AK810" s="38">
        <v>1.0</v>
      </c>
      <c r="AL810" s="38">
        <v>376.2</v>
      </c>
      <c r="AM810" s="38">
        <v>0.0</v>
      </c>
      <c r="AN810" s="34" t="s">
        <v>62</v>
      </c>
      <c r="AO810" s="34" t="s">
        <v>62</v>
      </c>
      <c r="AP810" s="34" t="s">
        <v>62</v>
      </c>
      <c r="AQ810" s="34" t="s">
        <v>62</v>
      </c>
      <c r="AR810" s="38">
        <v>0.0</v>
      </c>
      <c r="AS810" s="38" t="s">
        <v>3108</v>
      </c>
      <c r="AT810" s="35" t="s">
        <v>2202</v>
      </c>
      <c r="AU810" s="39" t="s">
        <v>2254</v>
      </c>
      <c r="AV810" s="40">
        <v>46171.0</v>
      </c>
    </row>
    <row r="811">
      <c r="A811" s="38">
        <v>59305.0</v>
      </c>
      <c r="B811" s="38">
        <v>59304.0</v>
      </c>
      <c r="C811" s="38">
        <v>59304.0</v>
      </c>
      <c r="D811" s="38">
        <v>191611.0</v>
      </c>
      <c r="E811" s="38">
        <v>191611.0</v>
      </c>
      <c r="F811" s="38">
        <v>6.0284157E7</v>
      </c>
      <c r="G811" s="18" t="s">
        <v>1684</v>
      </c>
      <c r="H811" s="18" t="s">
        <v>3109</v>
      </c>
      <c r="I811" s="18" t="s">
        <v>1181</v>
      </c>
      <c r="J811" s="18" t="s">
        <v>982</v>
      </c>
      <c r="K811" s="18" t="s">
        <v>2205</v>
      </c>
      <c r="L811" s="18" t="s">
        <v>52</v>
      </c>
      <c r="M811" s="18" t="s">
        <v>89</v>
      </c>
      <c r="N811" s="18" t="s">
        <v>861</v>
      </c>
      <c r="O811" s="18" t="s">
        <v>126</v>
      </c>
      <c r="P811" s="18" t="s">
        <v>131</v>
      </c>
      <c r="Q811" s="18" t="s">
        <v>538</v>
      </c>
      <c r="R811" s="18" t="s">
        <v>133</v>
      </c>
      <c r="S811" s="18" t="s">
        <v>59</v>
      </c>
      <c r="T811" s="38">
        <v>2026.0</v>
      </c>
      <c r="U811" s="38">
        <v>5.0</v>
      </c>
      <c r="V811" s="38">
        <v>1.081523085E9</v>
      </c>
      <c r="W811" s="38">
        <v>1.081541155E9</v>
      </c>
      <c r="X811" s="18" t="s">
        <v>2199</v>
      </c>
      <c r="Y811" s="18" t="s">
        <v>2200</v>
      </c>
      <c r="Z811" s="38">
        <v>101749.45</v>
      </c>
      <c r="AA811" s="38">
        <v>101749.45</v>
      </c>
      <c r="AB811" s="38">
        <v>31676.0</v>
      </c>
      <c r="AC811" s="38">
        <v>0.0</v>
      </c>
      <c r="AD811" s="38">
        <v>6721.45</v>
      </c>
      <c r="AE811" s="38">
        <v>0.0</v>
      </c>
      <c r="AF811" s="38">
        <v>0.0</v>
      </c>
      <c r="AG811" s="38">
        <v>0.0</v>
      </c>
      <c r="AH811" s="38">
        <v>0.0</v>
      </c>
      <c r="AI811" s="38">
        <v>101749.45</v>
      </c>
      <c r="AJ811" s="38">
        <v>101749.45</v>
      </c>
      <c r="AK811" s="38">
        <v>0.0</v>
      </c>
      <c r="AL811" s="38">
        <v>376.2</v>
      </c>
      <c r="AM811" s="38">
        <v>0.0</v>
      </c>
      <c r="AN811" s="34" t="s">
        <v>62</v>
      </c>
      <c r="AO811" s="34" t="s">
        <v>62</v>
      </c>
      <c r="AP811" s="34" t="s">
        <v>62</v>
      </c>
      <c r="AQ811" s="34" t="s">
        <v>62</v>
      </c>
      <c r="AR811" s="38">
        <v>0.0</v>
      </c>
      <c r="AS811" s="38" t="s">
        <v>3110</v>
      </c>
      <c r="AT811" s="35" t="s">
        <v>2275</v>
      </c>
      <c r="AU811" s="39" t="s">
        <v>2475</v>
      </c>
      <c r="AV811" s="40">
        <v>46163.0</v>
      </c>
    </row>
    <row r="812">
      <c r="A812" s="38">
        <v>285191.0</v>
      </c>
      <c r="B812" s="38">
        <v>59928.0</v>
      </c>
      <c r="C812" s="38">
        <v>59928.0</v>
      </c>
      <c r="D812" s="38">
        <v>302796.0</v>
      </c>
      <c r="E812" s="38">
        <v>302796.0</v>
      </c>
      <c r="F812" s="38">
        <v>9.00276962E8</v>
      </c>
      <c r="G812" s="18" t="s">
        <v>128</v>
      </c>
      <c r="H812" s="18" t="s">
        <v>2269</v>
      </c>
      <c r="I812" s="18" t="s">
        <v>1114</v>
      </c>
      <c r="J812" s="18" t="s">
        <v>2205</v>
      </c>
      <c r="K812" s="18" t="s">
        <v>2270</v>
      </c>
      <c r="L812" s="18" t="s">
        <v>52</v>
      </c>
      <c r="M812" s="18" t="s">
        <v>89</v>
      </c>
      <c r="N812" s="18" t="s">
        <v>861</v>
      </c>
      <c r="O812" s="18" t="s">
        <v>126</v>
      </c>
      <c r="P812" s="18" t="s">
        <v>131</v>
      </c>
      <c r="Q812" s="18" t="s">
        <v>132</v>
      </c>
      <c r="R812" s="18" t="s">
        <v>133</v>
      </c>
      <c r="S812" s="18" t="s">
        <v>59</v>
      </c>
      <c r="T812" s="38">
        <v>2026.0</v>
      </c>
      <c r="U812" s="38">
        <v>5.0</v>
      </c>
      <c r="V812" s="38">
        <v>1.081523091E9</v>
      </c>
      <c r="W812" s="38">
        <v>1.081541161E9</v>
      </c>
      <c r="X812" s="18" t="s">
        <v>2199</v>
      </c>
      <c r="Y812" s="18" t="s">
        <v>2200</v>
      </c>
      <c r="Z812" s="38">
        <v>113911.5</v>
      </c>
      <c r="AA812" s="38">
        <v>113911.5</v>
      </c>
      <c r="AB812" s="38">
        <v>37970.5</v>
      </c>
      <c r="AC812" s="38">
        <v>0.0</v>
      </c>
      <c r="AD812" s="38">
        <v>0.0</v>
      </c>
      <c r="AE812" s="38">
        <v>0.0</v>
      </c>
      <c r="AF812" s="38">
        <v>0.0</v>
      </c>
      <c r="AG812" s="38">
        <v>0.0</v>
      </c>
      <c r="AH812" s="38">
        <v>0.0</v>
      </c>
      <c r="AI812" s="38">
        <v>113911.5</v>
      </c>
      <c r="AJ812" s="38">
        <v>113911.5</v>
      </c>
      <c r="AK812" s="38">
        <v>0.0</v>
      </c>
      <c r="AL812" s="38">
        <v>376.2</v>
      </c>
      <c r="AM812" s="38">
        <v>0.0</v>
      </c>
      <c r="AN812" s="34" t="s">
        <v>62</v>
      </c>
      <c r="AO812" s="34" t="s">
        <v>62</v>
      </c>
      <c r="AP812" s="34" t="s">
        <v>62</v>
      </c>
      <c r="AQ812" s="34" t="s">
        <v>62</v>
      </c>
      <c r="AR812" s="38">
        <v>0.0</v>
      </c>
      <c r="AS812" s="38" t="s">
        <v>2271</v>
      </c>
      <c r="AT812" s="35" t="s">
        <v>2202</v>
      </c>
      <c r="AU812" s="39" t="s">
        <v>2203</v>
      </c>
      <c r="AV812" s="40">
        <v>46163.0</v>
      </c>
    </row>
    <row r="813">
      <c r="A813" s="38">
        <v>60173.0</v>
      </c>
      <c r="B813" s="38">
        <v>60008.0</v>
      </c>
      <c r="C813" s="38">
        <v>60008.0</v>
      </c>
      <c r="D813" s="38">
        <v>15917.0</v>
      </c>
      <c r="E813" s="38">
        <v>15917.0</v>
      </c>
      <c r="F813" s="38">
        <v>9.01447279E8</v>
      </c>
      <c r="G813" s="18" t="s">
        <v>1687</v>
      </c>
      <c r="H813" s="18" t="s">
        <v>3111</v>
      </c>
      <c r="I813" s="18" t="s">
        <v>942</v>
      </c>
      <c r="J813" s="18" t="s">
        <v>2205</v>
      </c>
      <c r="K813" s="18" t="s">
        <v>3112</v>
      </c>
      <c r="L813" s="18" t="s">
        <v>52</v>
      </c>
      <c r="M813" s="18" t="s">
        <v>53</v>
      </c>
      <c r="N813" s="18" t="s">
        <v>861</v>
      </c>
      <c r="O813" s="18" t="s">
        <v>126</v>
      </c>
      <c r="P813" s="18" t="s">
        <v>56</v>
      </c>
      <c r="Q813" s="18" t="s">
        <v>90</v>
      </c>
      <c r="R813" s="18" t="s">
        <v>143</v>
      </c>
      <c r="S813" s="18" t="s">
        <v>59</v>
      </c>
      <c r="T813" s="38">
        <v>2026.0</v>
      </c>
      <c r="U813" s="38">
        <v>5.0</v>
      </c>
      <c r="V813" s="38">
        <v>1.081523094E9</v>
      </c>
      <c r="W813" s="38">
        <v>1.081541164E9</v>
      </c>
      <c r="X813" s="18" t="s">
        <v>2199</v>
      </c>
      <c r="Y813" s="18" t="s">
        <v>2200</v>
      </c>
      <c r="Z813" s="38">
        <v>603898.68</v>
      </c>
      <c r="AA813" s="38">
        <v>603898.68</v>
      </c>
      <c r="AB813" s="38">
        <v>201299.56</v>
      </c>
      <c r="AC813" s="38">
        <v>1920.0</v>
      </c>
      <c r="AD813" s="38">
        <v>0.0</v>
      </c>
      <c r="AE813" s="38">
        <v>0.0</v>
      </c>
      <c r="AF813" s="38">
        <v>0.0</v>
      </c>
      <c r="AG813" s="38">
        <v>0.0</v>
      </c>
      <c r="AH813" s="38">
        <v>0.0</v>
      </c>
      <c r="AI813" s="38">
        <v>603898.68</v>
      </c>
      <c r="AJ813" s="38">
        <v>603898.68</v>
      </c>
      <c r="AK813" s="38">
        <v>0.0</v>
      </c>
      <c r="AL813" s="38">
        <v>376.2</v>
      </c>
      <c r="AM813" s="38">
        <v>0.0</v>
      </c>
      <c r="AN813" s="34" t="s">
        <v>62</v>
      </c>
      <c r="AO813" s="34" t="s">
        <v>62</v>
      </c>
      <c r="AP813" s="34" t="s">
        <v>62</v>
      </c>
      <c r="AQ813" s="34" t="s">
        <v>62</v>
      </c>
      <c r="AR813" s="38">
        <v>0.0</v>
      </c>
      <c r="AS813" s="38" t="s">
        <v>3113</v>
      </c>
      <c r="AT813" s="35" t="s">
        <v>2202</v>
      </c>
      <c r="AU813" s="39" t="s">
        <v>2203</v>
      </c>
      <c r="AV813" s="40">
        <v>46169.0</v>
      </c>
    </row>
    <row r="814">
      <c r="A814" s="38">
        <v>60173.0</v>
      </c>
      <c r="B814" s="38">
        <v>60172.0</v>
      </c>
      <c r="C814" s="38">
        <v>60172.0</v>
      </c>
      <c r="D814" s="38">
        <v>15914.0</v>
      </c>
      <c r="E814" s="38">
        <v>15914.0</v>
      </c>
      <c r="F814" s="38">
        <v>9.01447279E8</v>
      </c>
      <c r="G814" s="18" t="s">
        <v>1687</v>
      </c>
      <c r="H814" s="18" t="s">
        <v>3111</v>
      </c>
      <c r="I814" s="18" t="s">
        <v>942</v>
      </c>
      <c r="J814" s="18" t="s">
        <v>2205</v>
      </c>
      <c r="K814" s="18" t="s">
        <v>3112</v>
      </c>
      <c r="L814" s="18" t="s">
        <v>52</v>
      </c>
      <c r="M814" s="18" t="s">
        <v>53</v>
      </c>
      <c r="N814" s="18" t="s">
        <v>861</v>
      </c>
      <c r="O814" s="18" t="s">
        <v>126</v>
      </c>
      <c r="P814" s="18" t="s">
        <v>56</v>
      </c>
      <c r="Q814" s="18" t="s">
        <v>90</v>
      </c>
      <c r="R814" s="18" t="s">
        <v>143</v>
      </c>
      <c r="S814" s="18" t="s">
        <v>59</v>
      </c>
      <c r="T814" s="38">
        <v>2026.0</v>
      </c>
      <c r="U814" s="38">
        <v>5.0</v>
      </c>
      <c r="V814" s="38">
        <v>1.081523097E9</v>
      </c>
      <c r="W814" s="38">
        <v>1.081541167E9</v>
      </c>
      <c r="X814" s="18" t="s">
        <v>2199</v>
      </c>
      <c r="Y814" s="18" t="s">
        <v>2200</v>
      </c>
      <c r="Z814" s="38">
        <v>733444.71</v>
      </c>
      <c r="AA814" s="38">
        <v>733444.71</v>
      </c>
      <c r="AB814" s="38">
        <v>244481.58</v>
      </c>
      <c r="AC814" s="38">
        <v>2375.0</v>
      </c>
      <c r="AD814" s="38">
        <v>0.0</v>
      </c>
      <c r="AE814" s="38">
        <v>0.0</v>
      </c>
      <c r="AF814" s="38">
        <v>0.0</v>
      </c>
      <c r="AG814" s="38">
        <v>0.0</v>
      </c>
      <c r="AH814" s="38">
        <v>0.0</v>
      </c>
      <c r="AI814" s="38">
        <v>733444.71</v>
      </c>
      <c r="AJ814" s="38">
        <v>733444.71</v>
      </c>
      <c r="AK814" s="38">
        <v>0.0</v>
      </c>
      <c r="AL814" s="38">
        <v>376.2</v>
      </c>
      <c r="AM814" s="38">
        <v>0.0</v>
      </c>
      <c r="AN814" s="34" t="s">
        <v>62</v>
      </c>
      <c r="AO814" s="34" t="s">
        <v>62</v>
      </c>
      <c r="AP814" s="34" t="s">
        <v>62</v>
      </c>
      <c r="AQ814" s="34" t="s">
        <v>62</v>
      </c>
      <c r="AR814" s="38">
        <v>0.0</v>
      </c>
      <c r="AS814" s="38" t="s">
        <v>3113</v>
      </c>
      <c r="AT814" s="35" t="s">
        <v>2202</v>
      </c>
      <c r="AU814" s="39" t="s">
        <v>2203</v>
      </c>
      <c r="AV814" s="40">
        <v>46169.0</v>
      </c>
    </row>
    <row r="815">
      <c r="A815" s="38">
        <v>609.0</v>
      </c>
      <c r="B815" s="38">
        <v>608.0</v>
      </c>
      <c r="C815" s="38">
        <v>608.0</v>
      </c>
      <c r="D815" s="38">
        <v>9.0283959E7</v>
      </c>
      <c r="E815" s="38">
        <v>9.0283959E7</v>
      </c>
      <c r="F815" s="18" t="s">
        <v>1690</v>
      </c>
      <c r="G815" s="18" t="s">
        <v>1691</v>
      </c>
      <c r="H815" s="18" t="s">
        <v>3114</v>
      </c>
      <c r="I815" s="18" t="s">
        <v>931</v>
      </c>
      <c r="J815" s="18" t="s">
        <v>2205</v>
      </c>
      <c r="K815" s="18" t="s">
        <v>2205</v>
      </c>
      <c r="L815" s="18" t="s">
        <v>52</v>
      </c>
      <c r="M815" s="18" t="s">
        <v>89</v>
      </c>
      <c r="N815" s="18" t="s">
        <v>861</v>
      </c>
      <c r="O815" s="18" t="s">
        <v>126</v>
      </c>
      <c r="P815" s="18" t="s">
        <v>131</v>
      </c>
      <c r="Q815" s="18" t="s">
        <v>132</v>
      </c>
      <c r="R815" s="18" t="s">
        <v>133</v>
      </c>
      <c r="S815" s="18" t="s">
        <v>59</v>
      </c>
      <c r="T815" s="38">
        <v>2026.0</v>
      </c>
      <c r="U815" s="38">
        <v>5.0</v>
      </c>
      <c r="V815" s="38">
        <v>1.081522961E9</v>
      </c>
      <c r="W815" s="38">
        <v>1.081541031E9</v>
      </c>
      <c r="X815" s="18" t="s">
        <v>2199</v>
      </c>
      <c r="Y815" s="18" t="s">
        <v>2200</v>
      </c>
      <c r="Z815" s="38">
        <v>113911.5</v>
      </c>
      <c r="AA815" s="38">
        <v>113911.5</v>
      </c>
      <c r="AB815" s="38">
        <v>37970.5</v>
      </c>
      <c r="AC815" s="38">
        <v>0.0</v>
      </c>
      <c r="AD815" s="38">
        <v>0.0</v>
      </c>
      <c r="AE815" s="38">
        <v>0.0</v>
      </c>
      <c r="AF815" s="38">
        <v>0.0</v>
      </c>
      <c r="AG815" s="38">
        <v>0.0</v>
      </c>
      <c r="AH815" s="38">
        <v>0.0</v>
      </c>
      <c r="AI815" s="38">
        <v>113911.5</v>
      </c>
      <c r="AJ815" s="38">
        <v>113911.5</v>
      </c>
      <c r="AK815" s="38">
        <v>0.0</v>
      </c>
      <c r="AL815" s="38">
        <v>376.2</v>
      </c>
      <c r="AM815" s="38">
        <v>0.0</v>
      </c>
      <c r="AN815" s="34" t="s">
        <v>62</v>
      </c>
      <c r="AO815" s="34" t="s">
        <v>62</v>
      </c>
      <c r="AP815" s="34" t="s">
        <v>62</v>
      </c>
      <c r="AQ815" s="34" t="s">
        <v>62</v>
      </c>
      <c r="AR815" s="38">
        <v>0.0</v>
      </c>
      <c r="AS815" s="38" t="s">
        <v>3115</v>
      </c>
      <c r="AT815" s="35" t="s">
        <v>2202</v>
      </c>
      <c r="AU815" s="39" t="s">
        <v>2254</v>
      </c>
      <c r="AV815" s="40">
        <v>46171.0</v>
      </c>
    </row>
    <row r="816">
      <c r="A816" s="52">
        <v>61105.0</v>
      </c>
      <c r="B816" s="52">
        <v>61104.0</v>
      </c>
      <c r="C816" s="52">
        <v>61104.0</v>
      </c>
      <c r="D816" s="52">
        <v>409486.0</v>
      </c>
      <c r="E816" s="52">
        <v>409486.0</v>
      </c>
      <c r="F816" s="52">
        <v>6.0387989E7</v>
      </c>
      <c r="G816" s="53" t="s">
        <v>3116</v>
      </c>
      <c r="H816" s="32" t="e">
        <v>#N/A</v>
      </c>
      <c r="I816" s="32" t="e">
        <v>#N/A</v>
      </c>
      <c r="J816" s="32" t="e">
        <v>#N/A</v>
      </c>
      <c r="K816" s="32" t="e">
        <v>#N/A</v>
      </c>
      <c r="L816" s="53" t="s">
        <v>52</v>
      </c>
      <c r="M816" s="53" t="s">
        <v>53</v>
      </c>
      <c r="N816" s="53" t="s">
        <v>861</v>
      </c>
      <c r="O816" s="53" t="s">
        <v>126</v>
      </c>
      <c r="P816" s="53" t="s">
        <v>218</v>
      </c>
      <c r="Q816" s="53" t="s">
        <v>943</v>
      </c>
      <c r="R816" s="53" t="s">
        <v>133</v>
      </c>
      <c r="S816" s="53" t="s">
        <v>59</v>
      </c>
      <c r="T816" s="52">
        <v>2026.0</v>
      </c>
      <c r="U816" s="52">
        <v>5.0</v>
      </c>
      <c r="V816" s="52">
        <v>1.081523102E9</v>
      </c>
      <c r="W816" s="52">
        <v>1.081541172E9</v>
      </c>
      <c r="X816" s="53" t="s">
        <v>2199</v>
      </c>
      <c r="Y816" s="53" t="s">
        <v>2200</v>
      </c>
      <c r="Z816" s="52">
        <v>87712.5</v>
      </c>
      <c r="AA816" s="52">
        <v>87712.5</v>
      </c>
      <c r="AB816" s="52">
        <v>29237.5</v>
      </c>
      <c r="AC816" s="52">
        <v>0.0</v>
      </c>
      <c r="AD816" s="52">
        <v>0.0</v>
      </c>
      <c r="AE816" s="52">
        <v>0.0</v>
      </c>
      <c r="AF816" s="52">
        <v>0.0</v>
      </c>
      <c r="AG816" s="52">
        <v>0.0</v>
      </c>
      <c r="AH816" s="52">
        <v>0.0</v>
      </c>
      <c r="AI816" s="52">
        <v>87712.5</v>
      </c>
      <c r="AJ816" s="52">
        <v>87712.5</v>
      </c>
      <c r="AK816" s="52">
        <v>0.0</v>
      </c>
      <c r="AL816" s="52">
        <v>6420.0</v>
      </c>
      <c r="AM816" s="52">
        <v>0.0</v>
      </c>
      <c r="AN816" s="51" t="s">
        <v>62</v>
      </c>
      <c r="AO816" s="51" t="s">
        <v>62</v>
      </c>
      <c r="AP816" s="51" t="s">
        <v>62</v>
      </c>
      <c r="AQ816" s="51" t="s">
        <v>62</v>
      </c>
      <c r="AR816" s="52">
        <v>0.0</v>
      </c>
      <c r="AS816" s="30" t="e">
        <v>#N/A</v>
      </c>
      <c r="AT816" s="30" t="e">
        <v>#N/A</v>
      </c>
      <c r="AU816" s="54"/>
      <c r="AV816" s="54"/>
    </row>
    <row r="817">
      <c r="A817" s="38">
        <v>617.0</v>
      </c>
      <c r="B817" s="38">
        <v>616.0</v>
      </c>
      <c r="C817" s="38">
        <v>616.0</v>
      </c>
      <c r="D817" s="38">
        <v>9.0284989E7</v>
      </c>
      <c r="E817" s="38">
        <v>9.0284989E7</v>
      </c>
      <c r="F817" s="18" t="s">
        <v>1693</v>
      </c>
      <c r="G817" s="18" t="s">
        <v>1694</v>
      </c>
      <c r="H817" s="18" t="s">
        <v>3117</v>
      </c>
      <c r="I817" s="18" t="s">
        <v>1169</v>
      </c>
      <c r="J817" s="18" t="s">
        <v>2205</v>
      </c>
      <c r="K817" s="18" t="s">
        <v>2987</v>
      </c>
      <c r="L817" s="18" t="s">
        <v>52</v>
      </c>
      <c r="M817" s="18" t="s">
        <v>89</v>
      </c>
      <c r="N817" s="18" t="s">
        <v>861</v>
      </c>
      <c r="O817" s="18" t="s">
        <v>126</v>
      </c>
      <c r="P817" s="18" t="s">
        <v>56</v>
      </c>
      <c r="Q817" s="18" t="s">
        <v>57</v>
      </c>
      <c r="R817" s="18" t="s">
        <v>58</v>
      </c>
      <c r="S817" s="18" t="s">
        <v>59</v>
      </c>
      <c r="T817" s="38">
        <v>2026.0</v>
      </c>
      <c r="U817" s="38">
        <v>5.0</v>
      </c>
      <c r="V817" s="38">
        <v>1.081522965E9</v>
      </c>
      <c r="W817" s="38">
        <v>1.081541035E9</v>
      </c>
      <c r="X817" s="18" t="s">
        <v>2199</v>
      </c>
      <c r="Y817" s="18" t="s">
        <v>2200</v>
      </c>
      <c r="Z817" s="38">
        <v>2517568.2</v>
      </c>
      <c r="AA817" s="38">
        <v>2517568.2</v>
      </c>
      <c r="AB817" s="38">
        <v>0.0</v>
      </c>
      <c r="AC817" s="38">
        <v>13062.5</v>
      </c>
      <c r="AD817" s="38">
        <v>0.0</v>
      </c>
      <c r="AE817" s="38">
        <v>0.0</v>
      </c>
      <c r="AF817" s="38">
        <v>0.0</v>
      </c>
      <c r="AG817" s="38">
        <v>0.0</v>
      </c>
      <c r="AH817" s="38">
        <v>0.0</v>
      </c>
      <c r="AI817" s="38">
        <v>2517568.2</v>
      </c>
      <c r="AJ817" s="38">
        <v>5566471.6</v>
      </c>
      <c r="AK817" s="38">
        <v>1.0</v>
      </c>
      <c r="AL817" s="38">
        <v>250.8</v>
      </c>
      <c r="AM817" s="38">
        <v>0.0</v>
      </c>
      <c r="AN817" s="34" t="s">
        <v>62</v>
      </c>
      <c r="AO817" s="34" t="s">
        <v>62</v>
      </c>
      <c r="AP817" s="34" t="s">
        <v>62</v>
      </c>
      <c r="AQ817" s="34" t="s">
        <v>62</v>
      </c>
      <c r="AR817" s="38">
        <v>0.0</v>
      </c>
      <c r="AS817" s="38" t="s">
        <v>3118</v>
      </c>
      <c r="AT817" s="35" t="s">
        <v>2202</v>
      </c>
      <c r="AU817" s="39" t="s">
        <v>2203</v>
      </c>
      <c r="AV817" s="40">
        <v>46169.0</v>
      </c>
    </row>
    <row r="818">
      <c r="A818" s="38">
        <v>629.0</v>
      </c>
      <c r="B818" s="38">
        <v>628.0</v>
      </c>
      <c r="C818" s="38">
        <v>628.0</v>
      </c>
      <c r="D818" s="38">
        <v>9.0290289E7</v>
      </c>
      <c r="E818" s="38">
        <v>9.0290289E7</v>
      </c>
      <c r="F818" s="18" t="s">
        <v>1696</v>
      </c>
      <c r="G818" s="18" t="s">
        <v>2930</v>
      </c>
      <c r="H818" s="18" t="s">
        <v>2931</v>
      </c>
      <c r="I818" s="18" t="s">
        <v>1050</v>
      </c>
      <c r="J818" s="18" t="s">
        <v>2205</v>
      </c>
      <c r="K818" s="18" t="s">
        <v>2205</v>
      </c>
      <c r="L818" s="18" t="s">
        <v>52</v>
      </c>
      <c r="M818" s="18" t="s">
        <v>89</v>
      </c>
      <c r="N818" s="18" t="s">
        <v>861</v>
      </c>
      <c r="O818" s="18" t="s">
        <v>126</v>
      </c>
      <c r="P818" s="18" t="s">
        <v>218</v>
      </c>
      <c r="Q818" s="18" t="s">
        <v>219</v>
      </c>
      <c r="R818" s="18" t="s">
        <v>133</v>
      </c>
      <c r="S818" s="18" t="s">
        <v>59</v>
      </c>
      <c r="T818" s="38">
        <v>2026.0</v>
      </c>
      <c r="U818" s="38">
        <v>5.0</v>
      </c>
      <c r="V818" s="38">
        <v>1.08152297E9</v>
      </c>
      <c r="W818" s="38">
        <v>1.08154104E9</v>
      </c>
      <c r="X818" s="18" t="s">
        <v>2199</v>
      </c>
      <c r="Y818" s="18" t="s">
        <v>2200</v>
      </c>
      <c r="Z818" s="38">
        <v>50434.76</v>
      </c>
      <c r="AA818" s="38">
        <v>50434.76</v>
      </c>
      <c r="AB818" s="38">
        <v>-1667.24</v>
      </c>
      <c r="AC818" s="38">
        <v>0.0</v>
      </c>
      <c r="AD818" s="38">
        <v>0.0</v>
      </c>
      <c r="AE818" s="38">
        <v>0.0</v>
      </c>
      <c r="AF818" s="38">
        <v>0.0</v>
      </c>
      <c r="AG818" s="38">
        <v>0.0</v>
      </c>
      <c r="AH818" s="38">
        <v>0.0</v>
      </c>
      <c r="AI818" s="38">
        <v>50434.76</v>
      </c>
      <c r="AJ818" s="38">
        <v>50434.76</v>
      </c>
      <c r="AK818" s="38">
        <v>0.0</v>
      </c>
      <c r="AL818" s="38">
        <v>242.77</v>
      </c>
      <c r="AM818" s="38">
        <v>0.0</v>
      </c>
      <c r="AN818" s="34" t="s">
        <v>62</v>
      </c>
      <c r="AO818" s="34" t="s">
        <v>62</v>
      </c>
      <c r="AP818" s="34" t="s">
        <v>62</v>
      </c>
      <c r="AQ818" s="34" t="s">
        <v>62</v>
      </c>
      <c r="AR818" s="38">
        <v>0.0</v>
      </c>
      <c r="AS818" s="38" t="s">
        <v>2932</v>
      </c>
      <c r="AT818" s="35" t="s">
        <v>2202</v>
      </c>
      <c r="AU818" s="39" t="s">
        <v>2254</v>
      </c>
      <c r="AV818" s="40">
        <v>46171.0</v>
      </c>
    </row>
    <row r="819">
      <c r="A819" s="38">
        <v>633.0</v>
      </c>
      <c r="B819" s="38">
        <v>632.0</v>
      </c>
      <c r="C819" s="38">
        <v>632.0</v>
      </c>
      <c r="D819" s="38">
        <v>9.0290499E7</v>
      </c>
      <c r="E819" s="38">
        <v>9.0290499E7</v>
      </c>
      <c r="F819" s="18" t="s">
        <v>1699</v>
      </c>
      <c r="G819" s="18" t="s">
        <v>1121</v>
      </c>
      <c r="H819" s="18" t="s">
        <v>3119</v>
      </c>
      <c r="I819" s="18" t="s">
        <v>915</v>
      </c>
      <c r="J819" s="18" t="s">
        <v>2205</v>
      </c>
      <c r="K819" s="18" t="s">
        <v>2742</v>
      </c>
      <c r="L819" s="18" t="s">
        <v>52</v>
      </c>
      <c r="M819" s="18" t="s">
        <v>89</v>
      </c>
      <c r="N819" s="18" t="s">
        <v>861</v>
      </c>
      <c r="O819" s="18" t="s">
        <v>126</v>
      </c>
      <c r="P819" s="18" t="s">
        <v>56</v>
      </c>
      <c r="Q819" s="18" t="s">
        <v>90</v>
      </c>
      <c r="R819" s="18" t="s">
        <v>143</v>
      </c>
      <c r="S819" s="18" t="s">
        <v>59</v>
      </c>
      <c r="T819" s="38">
        <v>2026.0</v>
      </c>
      <c r="U819" s="38">
        <v>5.0</v>
      </c>
      <c r="V819" s="38">
        <v>1.081522975E9</v>
      </c>
      <c r="W819" s="38">
        <v>1.081541045E9</v>
      </c>
      <c r="X819" s="18" t="s">
        <v>2199</v>
      </c>
      <c r="Y819" s="18" t="s">
        <v>2200</v>
      </c>
      <c r="Z819" s="38">
        <v>144081.55</v>
      </c>
      <c r="AA819" s="38">
        <v>144081.55</v>
      </c>
      <c r="AB819" s="38">
        <v>48027.19</v>
      </c>
      <c r="AC819" s="38">
        <v>305.0</v>
      </c>
      <c r="AD819" s="38">
        <v>0.0</v>
      </c>
      <c r="AE819" s="38">
        <v>0.0</v>
      </c>
      <c r="AF819" s="38">
        <v>0.0</v>
      </c>
      <c r="AG819" s="38">
        <v>0.0</v>
      </c>
      <c r="AH819" s="38">
        <v>0.0</v>
      </c>
      <c r="AI819" s="38">
        <v>144081.55</v>
      </c>
      <c r="AJ819" s="38">
        <v>144081.55</v>
      </c>
      <c r="AK819" s="38">
        <v>0.0</v>
      </c>
      <c r="AL819" s="38">
        <v>376.2</v>
      </c>
      <c r="AM819" s="38">
        <v>0.0</v>
      </c>
      <c r="AN819" s="34" t="s">
        <v>62</v>
      </c>
      <c r="AO819" s="34" t="s">
        <v>62</v>
      </c>
      <c r="AP819" s="34" t="s">
        <v>62</v>
      </c>
      <c r="AQ819" s="34" t="s">
        <v>62</v>
      </c>
      <c r="AR819" s="38">
        <v>0.0</v>
      </c>
      <c r="AS819" s="38" t="s">
        <v>3120</v>
      </c>
      <c r="AT819" s="35" t="s">
        <v>2202</v>
      </c>
      <c r="AU819" s="39" t="s">
        <v>2203</v>
      </c>
      <c r="AV819" s="40">
        <v>46169.0</v>
      </c>
    </row>
    <row r="820">
      <c r="A820" s="38">
        <v>637.0</v>
      </c>
      <c r="B820" s="38">
        <v>636.0</v>
      </c>
      <c r="C820" s="38">
        <v>636.0</v>
      </c>
      <c r="D820" s="38">
        <v>9.029068E7</v>
      </c>
      <c r="E820" s="38">
        <v>9.029068E7</v>
      </c>
      <c r="F820" s="18" t="s">
        <v>1701</v>
      </c>
      <c r="G820" s="18" t="s">
        <v>1702</v>
      </c>
      <c r="H820" s="18" t="s">
        <v>3121</v>
      </c>
      <c r="I820" s="18" t="s">
        <v>991</v>
      </c>
      <c r="J820" s="18" t="s">
        <v>2691</v>
      </c>
      <c r="K820" s="18" t="s">
        <v>2395</v>
      </c>
      <c r="L820" s="18" t="s">
        <v>52</v>
      </c>
      <c r="M820" s="18" t="s">
        <v>89</v>
      </c>
      <c r="N820" s="18" t="s">
        <v>861</v>
      </c>
      <c r="O820" s="18" t="s">
        <v>126</v>
      </c>
      <c r="P820" s="18" t="s">
        <v>56</v>
      </c>
      <c r="Q820" s="18" t="s">
        <v>90</v>
      </c>
      <c r="R820" s="18" t="s">
        <v>143</v>
      </c>
      <c r="S820" s="18" t="s">
        <v>59</v>
      </c>
      <c r="T820" s="38">
        <v>2026.0</v>
      </c>
      <c r="U820" s="38">
        <v>5.0</v>
      </c>
      <c r="V820" s="38">
        <v>1.081522979E9</v>
      </c>
      <c r="W820" s="38">
        <v>1.081541049E9</v>
      </c>
      <c r="X820" s="18" t="s">
        <v>2199</v>
      </c>
      <c r="Y820" s="18" t="s">
        <v>2200</v>
      </c>
      <c r="Z820" s="38">
        <v>128422.13</v>
      </c>
      <c r="AA820" s="38">
        <v>128422.13</v>
      </c>
      <c r="AB820" s="38">
        <v>42807.38</v>
      </c>
      <c r="AC820" s="38">
        <v>250.0</v>
      </c>
      <c r="AD820" s="38">
        <v>0.0</v>
      </c>
      <c r="AE820" s="38">
        <v>0.0</v>
      </c>
      <c r="AF820" s="38">
        <v>0.0</v>
      </c>
      <c r="AG820" s="38">
        <v>0.0</v>
      </c>
      <c r="AH820" s="38">
        <v>0.0</v>
      </c>
      <c r="AI820" s="38">
        <v>128422.13</v>
      </c>
      <c r="AJ820" s="38">
        <v>128422.13</v>
      </c>
      <c r="AK820" s="38">
        <v>0.0</v>
      </c>
      <c r="AL820" s="38">
        <v>376.2</v>
      </c>
      <c r="AM820" s="38">
        <v>0.0</v>
      </c>
      <c r="AN820" s="34" t="s">
        <v>62</v>
      </c>
      <c r="AO820" s="34" t="s">
        <v>62</v>
      </c>
      <c r="AP820" s="34" t="s">
        <v>62</v>
      </c>
      <c r="AQ820" s="34" t="s">
        <v>62</v>
      </c>
      <c r="AR820" s="38">
        <v>0.0</v>
      </c>
      <c r="AS820" s="38" t="s">
        <v>2396</v>
      </c>
      <c r="AT820" s="38" t="s">
        <v>2275</v>
      </c>
      <c r="AU820" s="39" t="s">
        <v>2276</v>
      </c>
      <c r="AV820" s="40">
        <v>46163.0</v>
      </c>
    </row>
    <row r="821">
      <c r="A821" s="38">
        <v>641.0</v>
      </c>
      <c r="B821" s="38">
        <v>640.0</v>
      </c>
      <c r="C821" s="38">
        <v>640.0</v>
      </c>
      <c r="D821" s="38">
        <v>9.0290684E7</v>
      </c>
      <c r="E821" s="38">
        <v>9.0290684E7</v>
      </c>
      <c r="F821" s="18" t="s">
        <v>1704</v>
      </c>
      <c r="G821" s="18" t="s">
        <v>1705</v>
      </c>
      <c r="H821" s="18" t="s">
        <v>3122</v>
      </c>
      <c r="I821" s="18" t="s">
        <v>991</v>
      </c>
      <c r="J821" s="18" t="s">
        <v>2691</v>
      </c>
      <c r="K821" s="18" t="s">
        <v>2947</v>
      </c>
      <c r="L821" s="18" t="s">
        <v>52</v>
      </c>
      <c r="M821" s="18" t="s">
        <v>89</v>
      </c>
      <c r="N821" s="18" t="s">
        <v>861</v>
      </c>
      <c r="O821" s="18" t="s">
        <v>126</v>
      </c>
      <c r="P821" s="18" t="s">
        <v>56</v>
      </c>
      <c r="Q821" s="18" t="s">
        <v>90</v>
      </c>
      <c r="R821" s="18" t="s">
        <v>143</v>
      </c>
      <c r="S821" s="18" t="s">
        <v>59</v>
      </c>
      <c r="T821" s="38">
        <v>2026.0</v>
      </c>
      <c r="U821" s="38">
        <v>5.0</v>
      </c>
      <c r="V821" s="38">
        <v>1.081522981E9</v>
      </c>
      <c r="W821" s="38">
        <v>1.081541051E9</v>
      </c>
      <c r="X821" s="18" t="s">
        <v>2199</v>
      </c>
      <c r="Y821" s="18" t="s">
        <v>2200</v>
      </c>
      <c r="Z821" s="38">
        <v>128422.13</v>
      </c>
      <c r="AA821" s="38">
        <v>128422.13</v>
      </c>
      <c r="AB821" s="38">
        <v>42807.38</v>
      </c>
      <c r="AC821" s="38">
        <v>250.0</v>
      </c>
      <c r="AD821" s="38">
        <v>0.0</v>
      </c>
      <c r="AE821" s="38">
        <v>0.0</v>
      </c>
      <c r="AF821" s="38">
        <v>0.0</v>
      </c>
      <c r="AG821" s="38">
        <v>0.0</v>
      </c>
      <c r="AH821" s="38">
        <v>0.0</v>
      </c>
      <c r="AI821" s="38">
        <v>128422.13</v>
      </c>
      <c r="AJ821" s="38">
        <v>128422.13</v>
      </c>
      <c r="AK821" s="38">
        <v>0.0</v>
      </c>
      <c r="AL821" s="38">
        <v>376.2</v>
      </c>
      <c r="AM821" s="38">
        <v>0.0</v>
      </c>
      <c r="AN821" s="34" t="s">
        <v>62</v>
      </c>
      <c r="AO821" s="34" t="s">
        <v>62</v>
      </c>
      <c r="AP821" s="34" t="s">
        <v>62</v>
      </c>
      <c r="AQ821" s="34" t="s">
        <v>62</v>
      </c>
      <c r="AR821" s="38">
        <v>0.0</v>
      </c>
      <c r="AS821" s="38" t="s">
        <v>2948</v>
      </c>
      <c r="AT821" s="38" t="s">
        <v>2275</v>
      </c>
      <c r="AU821" s="39" t="s">
        <v>2276</v>
      </c>
      <c r="AV821" s="40">
        <v>46163.0</v>
      </c>
    </row>
    <row r="822">
      <c r="A822" s="38">
        <v>645.0</v>
      </c>
      <c r="B822" s="38">
        <v>644.0</v>
      </c>
      <c r="C822" s="38">
        <v>644.0</v>
      </c>
      <c r="D822" s="38">
        <v>9.0290688E7</v>
      </c>
      <c r="E822" s="38">
        <v>9.0290688E7</v>
      </c>
      <c r="F822" s="18" t="s">
        <v>1707</v>
      </c>
      <c r="G822" s="18" t="s">
        <v>1708</v>
      </c>
      <c r="H822" s="18" t="s">
        <v>3123</v>
      </c>
      <c r="I822" s="18" t="s">
        <v>991</v>
      </c>
      <c r="J822" s="18" t="s">
        <v>2691</v>
      </c>
      <c r="K822" s="18" t="s">
        <v>2691</v>
      </c>
      <c r="L822" s="18" t="s">
        <v>52</v>
      </c>
      <c r="M822" s="18" t="s">
        <v>89</v>
      </c>
      <c r="N822" s="18" t="s">
        <v>861</v>
      </c>
      <c r="O822" s="18" t="s">
        <v>126</v>
      </c>
      <c r="P822" s="18" t="s">
        <v>56</v>
      </c>
      <c r="Q822" s="18" t="s">
        <v>90</v>
      </c>
      <c r="R822" s="18" t="s">
        <v>143</v>
      </c>
      <c r="S822" s="18" t="s">
        <v>59</v>
      </c>
      <c r="T822" s="38">
        <v>2026.0</v>
      </c>
      <c r="U822" s="38">
        <v>5.0</v>
      </c>
      <c r="V822" s="38">
        <v>1.081522985E9</v>
      </c>
      <c r="W822" s="38">
        <v>1.081541055E9</v>
      </c>
      <c r="X822" s="18" t="s">
        <v>2199</v>
      </c>
      <c r="Y822" s="18" t="s">
        <v>2200</v>
      </c>
      <c r="Z822" s="38">
        <v>129583.31</v>
      </c>
      <c r="AA822" s="38">
        <v>129583.31</v>
      </c>
      <c r="AB822" s="38">
        <v>42807.38</v>
      </c>
      <c r="AC822" s="38">
        <v>250.0</v>
      </c>
      <c r="AD822" s="38">
        <v>1161.18</v>
      </c>
      <c r="AE822" s="38">
        <v>0.0</v>
      </c>
      <c r="AF822" s="38">
        <v>0.0</v>
      </c>
      <c r="AG822" s="38">
        <v>0.0</v>
      </c>
      <c r="AH822" s="38">
        <v>0.0</v>
      </c>
      <c r="AI822" s="38">
        <v>129583.31</v>
      </c>
      <c r="AJ822" s="38">
        <v>129583.82</v>
      </c>
      <c r="AK822" s="38">
        <v>1.0</v>
      </c>
      <c r="AL822" s="38">
        <v>376.2</v>
      </c>
      <c r="AM822" s="38">
        <v>0.0</v>
      </c>
      <c r="AN822" s="34" t="s">
        <v>62</v>
      </c>
      <c r="AO822" s="34" t="s">
        <v>62</v>
      </c>
      <c r="AP822" s="34" t="s">
        <v>62</v>
      </c>
      <c r="AQ822" s="34" t="s">
        <v>62</v>
      </c>
      <c r="AR822" s="38">
        <v>0.0</v>
      </c>
      <c r="AS822" s="38" t="s">
        <v>3124</v>
      </c>
      <c r="AT822" s="38" t="s">
        <v>2275</v>
      </c>
      <c r="AU822" s="39" t="s">
        <v>2276</v>
      </c>
      <c r="AV822" s="40">
        <v>46163.0</v>
      </c>
    </row>
    <row r="823">
      <c r="A823" s="38">
        <v>649.0</v>
      </c>
      <c r="B823" s="38">
        <v>648.0</v>
      </c>
      <c r="C823" s="38">
        <v>648.0</v>
      </c>
      <c r="D823" s="38">
        <v>9.0290692E7</v>
      </c>
      <c r="E823" s="38">
        <v>9.0290692E7</v>
      </c>
      <c r="F823" s="18" t="s">
        <v>1131</v>
      </c>
      <c r="G823" s="18" t="s">
        <v>1132</v>
      </c>
      <c r="H823" s="18" t="s">
        <v>3125</v>
      </c>
      <c r="I823" s="18" t="s">
        <v>991</v>
      </c>
      <c r="J823" s="18" t="s">
        <v>2691</v>
      </c>
      <c r="K823" s="18" t="s">
        <v>2691</v>
      </c>
      <c r="L823" s="18" t="s">
        <v>52</v>
      </c>
      <c r="M823" s="18" t="s">
        <v>89</v>
      </c>
      <c r="N823" s="18" t="s">
        <v>861</v>
      </c>
      <c r="O823" s="18" t="s">
        <v>126</v>
      </c>
      <c r="P823" s="18" t="s">
        <v>56</v>
      </c>
      <c r="Q823" s="18" t="s">
        <v>90</v>
      </c>
      <c r="R823" s="18" t="s">
        <v>143</v>
      </c>
      <c r="S823" s="18" t="s">
        <v>163</v>
      </c>
      <c r="T823" s="38">
        <v>2026.0</v>
      </c>
      <c r="U823" s="38">
        <v>5.0</v>
      </c>
      <c r="V823" s="38">
        <v>1.081522988E9</v>
      </c>
      <c r="W823" s="38">
        <v>1.081541058E9</v>
      </c>
      <c r="X823" s="18" t="s">
        <v>2199</v>
      </c>
      <c r="Y823" s="18" t="s">
        <v>2200</v>
      </c>
      <c r="Z823" s="38">
        <v>56619.0</v>
      </c>
      <c r="AA823" s="38">
        <v>56619.0</v>
      </c>
      <c r="AB823" s="38">
        <v>18873.0</v>
      </c>
      <c r="AC823" s="38">
        <v>0.0</v>
      </c>
      <c r="AD823" s="38">
        <v>0.0</v>
      </c>
      <c r="AE823" s="38">
        <v>0.0</v>
      </c>
      <c r="AF823" s="38">
        <v>0.0</v>
      </c>
      <c r="AG823" s="38">
        <v>0.0</v>
      </c>
      <c r="AH823" s="38">
        <v>0.0</v>
      </c>
      <c r="AI823" s="38">
        <v>56619.0</v>
      </c>
      <c r="AJ823" s="38">
        <v>56619.0</v>
      </c>
      <c r="AK823" s="38">
        <v>0.0</v>
      </c>
      <c r="AL823" s="38">
        <v>376.2</v>
      </c>
      <c r="AM823" s="38">
        <v>0.0</v>
      </c>
      <c r="AN823" s="34" t="s">
        <v>62</v>
      </c>
      <c r="AO823" s="34" t="s">
        <v>62</v>
      </c>
      <c r="AP823" s="34" t="s">
        <v>62</v>
      </c>
      <c r="AQ823" s="34" t="s">
        <v>62</v>
      </c>
      <c r="AR823" s="38">
        <v>0.0</v>
      </c>
      <c r="AS823" s="38" t="s">
        <v>3126</v>
      </c>
      <c r="AT823" s="38" t="s">
        <v>2275</v>
      </c>
      <c r="AU823" s="39" t="s">
        <v>2276</v>
      </c>
      <c r="AV823" s="40">
        <v>46163.0</v>
      </c>
    </row>
    <row r="824">
      <c r="A824" s="38">
        <v>653.0</v>
      </c>
      <c r="B824" s="38">
        <v>652.0</v>
      </c>
      <c r="C824" s="38">
        <v>652.0</v>
      </c>
      <c r="D824" s="38">
        <v>9.0290696E7</v>
      </c>
      <c r="E824" s="38">
        <v>9.0290696E7</v>
      </c>
      <c r="F824" s="38">
        <v>9.00158685E8</v>
      </c>
      <c r="G824" s="18" t="s">
        <v>3127</v>
      </c>
      <c r="H824" s="18" t="s">
        <v>3128</v>
      </c>
      <c r="I824" s="18" t="s">
        <v>991</v>
      </c>
      <c r="J824" s="18" t="s">
        <v>2700</v>
      </c>
      <c r="K824" s="18" t="s">
        <v>2700</v>
      </c>
      <c r="L824" s="18" t="s">
        <v>52</v>
      </c>
      <c r="M824" s="18" t="s">
        <v>89</v>
      </c>
      <c r="N824" s="18" t="s">
        <v>861</v>
      </c>
      <c r="O824" s="18" t="s">
        <v>126</v>
      </c>
      <c r="P824" s="18" t="s">
        <v>131</v>
      </c>
      <c r="Q824" s="18" t="s">
        <v>132</v>
      </c>
      <c r="R824" s="18" t="s">
        <v>133</v>
      </c>
      <c r="S824" s="18" t="s">
        <v>59</v>
      </c>
      <c r="T824" s="38">
        <v>2026.0</v>
      </c>
      <c r="U824" s="38">
        <v>5.0</v>
      </c>
      <c r="V824" s="38">
        <v>1.081522992E9</v>
      </c>
      <c r="W824" s="38">
        <v>1.081541062E9</v>
      </c>
      <c r="X824" s="18" t="s">
        <v>2199</v>
      </c>
      <c r="Y824" s="18" t="s">
        <v>2200</v>
      </c>
      <c r="Z824" s="38">
        <v>117864.87</v>
      </c>
      <c r="AA824" s="38">
        <v>117864.87</v>
      </c>
      <c r="AB824" s="38">
        <v>37970.5</v>
      </c>
      <c r="AC824" s="38">
        <v>0.0</v>
      </c>
      <c r="AD824" s="38">
        <v>3953.37</v>
      </c>
      <c r="AE824" s="38">
        <v>0.0</v>
      </c>
      <c r="AF824" s="38">
        <v>0.0</v>
      </c>
      <c r="AG824" s="38">
        <v>0.0</v>
      </c>
      <c r="AH824" s="38">
        <v>0.0</v>
      </c>
      <c r="AI824" s="38">
        <v>117864.87</v>
      </c>
      <c r="AJ824" s="38">
        <v>393931.12</v>
      </c>
      <c r="AK824" s="38">
        <v>4.0</v>
      </c>
      <c r="AL824" s="38">
        <v>376.2</v>
      </c>
      <c r="AM824" s="38">
        <v>0.0</v>
      </c>
      <c r="AN824" s="34" t="s">
        <v>62</v>
      </c>
      <c r="AO824" s="34" t="s">
        <v>62</v>
      </c>
      <c r="AP824" s="34" t="s">
        <v>62</v>
      </c>
      <c r="AQ824" s="34" t="s">
        <v>62</v>
      </c>
      <c r="AR824" s="38">
        <v>0.0</v>
      </c>
      <c r="AS824" s="38" t="s">
        <v>2701</v>
      </c>
      <c r="AT824" s="35" t="s">
        <v>2202</v>
      </c>
      <c r="AU824" s="39" t="s">
        <v>2203</v>
      </c>
      <c r="AV824" s="40">
        <v>46164.0</v>
      </c>
    </row>
    <row r="825">
      <c r="A825" s="38">
        <v>657.0</v>
      </c>
      <c r="B825" s="38">
        <v>656.0</v>
      </c>
      <c r="C825" s="38">
        <v>656.0</v>
      </c>
      <c r="D825" s="38">
        <v>9.02907E7</v>
      </c>
      <c r="E825" s="38">
        <v>9.02907E7</v>
      </c>
      <c r="F825" s="18" t="s">
        <v>1712</v>
      </c>
      <c r="G825" s="18" t="s">
        <v>1713</v>
      </c>
      <c r="H825" s="18" t="s">
        <v>3129</v>
      </c>
      <c r="I825" s="18" t="s">
        <v>991</v>
      </c>
      <c r="J825" s="18" t="s">
        <v>2691</v>
      </c>
      <c r="K825" s="18" t="s">
        <v>2691</v>
      </c>
      <c r="L825" s="18" t="s">
        <v>52</v>
      </c>
      <c r="M825" s="18" t="s">
        <v>89</v>
      </c>
      <c r="N825" s="18" t="s">
        <v>861</v>
      </c>
      <c r="O825" s="18" t="s">
        <v>126</v>
      </c>
      <c r="P825" s="18" t="s">
        <v>56</v>
      </c>
      <c r="Q825" s="18" t="s">
        <v>90</v>
      </c>
      <c r="R825" s="18" t="s">
        <v>143</v>
      </c>
      <c r="S825" s="18" t="s">
        <v>59</v>
      </c>
      <c r="T825" s="38">
        <v>2026.0</v>
      </c>
      <c r="U825" s="38">
        <v>5.0</v>
      </c>
      <c r="V825" s="38">
        <v>1.081522996E9</v>
      </c>
      <c r="W825" s="38">
        <v>1.081541066E9</v>
      </c>
      <c r="X825" s="18" t="s">
        <v>2199</v>
      </c>
      <c r="Y825" s="18" t="s">
        <v>2200</v>
      </c>
      <c r="Z825" s="38">
        <v>128422.13</v>
      </c>
      <c r="AA825" s="38">
        <v>128422.13</v>
      </c>
      <c r="AB825" s="38">
        <v>42807.38</v>
      </c>
      <c r="AC825" s="38">
        <v>250.0</v>
      </c>
      <c r="AD825" s="38">
        <v>0.0</v>
      </c>
      <c r="AE825" s="38">
        <v>0.0</v>
      </c>
      <c r="AF825" s="38">
        <v>0.0</v>
      </c>
      <c r="AG825" s="38">
        <v>0.0</v>
      </c>
      <c r="AH825" s="38">
        <v>0.0</v>
      </c>
      <c r="AI825" s="38">
        <v>128422.13</v>
      </c>
      <c r="AJ825" s="38">
        <v>128422.13</v>
      </c>
      <c r="AK825" s="38">
        <v>0.0</v>
      </c>
      <c r="AL825" s="38">
        <v>376.2</v>
      </c>
      <c r="AM825" s="38">
        <v>0.0</v>
      </c>
      <c r="AN825" s="34" t="s">
        <v>62</v>
      </c>
      <c r="AO825" s="34" t="s">
        <v>62</v>
      </c>
      <c r="AP825" s="34" t="s">
        <v>62</v>
      </c>
      <c r="AQ825" s="34" t="s">
        <v>62</v>
      </c>
      <c r="AR825" s="38">
        <v>0.0</v>
      </c>
      <c r="AS825" s="38" t="s">
        <v>3130</v>
      </c>
      <c r="AT825" s="38" t="s">
        <v>2275</v>
      </c>
      <c r="AU825" s="39" t="s">
        <v>2276</v>
      </c>
      <c r="AV825" s="40">
        <v>46163.0</v>
      </c>
    </row>
    <row r="826">
      <c r="A826" s="38">
        <v>665.0</v>
      </c>
      <c r="B826" s="38">
        <v>664.0</v>
      </c>
      <c r="C826" s="38">
        <v>664.0</v>
      </c>
      <c r="D826" s="38">
        <v>9.0290708E7</v>
      </c>
      <c r="E826" s="38">
        <v>9.0290708E7</v>
      </c>
      <c r="F826" s="18" t="s">
        <v>1715</v>
      </c>
      <c r="G826" s="18" t="s">
        <v>1716</v>
      </c>
      <c r="H826" s="18" t="s">
        <v>3131</v>
      </c>
      <c r="I826" s="18" t="s">
        <v>991</v>
      </c>
      <c r="J826" s="18" t="s">
        <v>2691</v>
      </c>
      <c r="K826" s="18" t="s">
        <v>2395</v>
      </c>
      <c r="L826" s="18" t="s">
        <v>52</v>
      </c>
      <c r="M826" s="18" t="s">
        <v>89</v>
      </c>
      <c r="N826" s="18" t="s">
        <v>861</v>
      </c>
      <c r="O826" s="18" t="s">
        <v>126</v>
      </c>
      <c r="P826" s="18" t="s">
        <v>56</v>
      </c>
      <c r="Q826" s="18" t="s">
        <v>90</v>
      </c>
      <c r="R826" s="18" t="s">
        <v>143</v>
      </c>
      <c r="S826" s="18" t="s">
        <v>59</v>
      </c>
      <c r="T826" s="38">
        <v>2026.0</v>
      </c>
      <c r="U826" s="38">
        <v>5.0</v>
      </c>
      <c r="V826" s="38">
        <v>1.081523E9</v>
      </c>
      <c r="W826" s="38">
        <v>1.08154107E9</v>
      </c>
      <c r="X826" s="18" t="s">
        <v>2199</v>
      </c>
      <c r="Y826" s="18" t="s">
        <v>2200</v>
      </c>
      <c r="Z826" s="38">
        <v>128422.13</v>
      </c>
      <c r="AA826" s="38">
        <v>128422.13</v>
      </c>
      <c r="AB826" s="38">
        <v>42807.38</v>
      </c>
      <c r="AC826" s="38">
        <v>250.0</v>
      </c>
      <c r="AD826" s="38">
        <v>0.0</v>
      </c>
      <c r="AE826" s="38">
        <v>0.0</v>
      </c>
      <c r="AF826" s="38">
        <v>0.0</v>
      </c>
      <c r="AG826" s="38">
        <v>0.0</v>
      </c>
      <c r="AH826" s="38">
        <v>0.0</v>
      </c>
      <c r="AI826" s="38">
        <v>128422.13</v>
      </c>
      <c r="AJ826" s="38">
        <v>128422.13</v>
      </c>
      <c r="AK826" s="38">
        <v>0.0</v>
      </c>
      <c r="AL826" s="38">
        <v>376.2</v>
      </c>
      <c r="AM826" s="38">
        <v>0.0</v>
      </c>
      <c r="AN826" s="34" t="s">
        <v>62</v>
      </c>
      <c r="AO826" s="34" t="s">
        <v>62</v>
      </c>
      <c r="AP826" s="34" t="s">
        <v>62</v>
      </c>
      <c r="AQ826" s="34" t="s">
        <v>62</v>
      </c>
      <c r="AR826" s="38">
        <v>0.0</v>
      </c>
      <c r="AS826" s="38" t="s">
        <v>2396</v>
      </c>
      <c r="AT826" s="38" t="s">
        <v>2275</v>
      </c>
      <c r="AU826" s="39" t="s">
        <v>2276</v>
      </c>
      <c r="AV826" s="40">
        <v>46163.0</v>
      </c>
    </row>
    <row r="827">
      <c r="A827" s="38">
        <v>669.0</v>
      </c>
      <c r="B827" s="38">
        <v>668.0</v>
      </c>
      <c r="C827" s="38">
        <v>668.0</v>
      </c>
      <c r="D827" s="38">
        <v>9.0290712E7</v>
      </c>
      <c r="E827" s="38">
        <v>9.0290712E7</v>
      </c>
      <c r="F827" s="18" t="s">
        <v>1718</v>
      </c>
      <c r="G827" s="18" t="s">
        <v>1719</v>
      </c>
      <c r="H827" s="18" t="s">
        <v>3132</v>
      </c>
      <c r="I827" s="18" t="s">
        <v>991</v>
      </c>
      <c r="J827" s="18" t="s">
        <v>2691</v>
      </c>
      <c r="K827" s="18" t="s">
        <v>2691</v>
      </c>
      <c r="L827" s="18" t="s">
        <v>52</v>
      </c>
      <c r="M827" s="18" t="s">
        <v>89</v>
      </c>
      <c r="N827" s="18" t="s">
        <v>861</v>
      </c>
      <c r="O827" s="18" t="s">
        <v>126</v>
      </c>
      <c r="P827" s="18" t="s">
        <v>56</v>
      </c>
      <c r="Q827" s="18" t="s">
        <v>90</v>
      </c>
      <c r="R827" s="18" t="s">
        <v>143</v>
      </c>
      <c r="S827" s="18" t="s">
        <v>59</v>
      </c>
      <c r="T827" s="38">
        <v>2026.0</v>
      </c>
      <c r="U827" s="38">
        <v>5.0</v>
      </c>
      <c r="V827" s="38">
        <v>1.081523004E9</v>
      </c>
      <c r="W827" s="38">
        <v>1.081541074E9</v>
      </c>
      <c r="X827" s="18" t="s">
        <v>2199</v>
      </c>
      <c r="Y827" s="18" t="s">
        <v>2200</v>
      </c>
      <c r="Z827" s="38">
        <v>128422.14</v>
      </c>
      <c r="AA827" s="38">
        <v>128422.14</v>
      </c>
      <c r="AB827" s="38">
        <v>42807.38</v>
      </c>
      <c r="AC827" s="38">
        <v>250.0</v>
      </c>
      <c r="AD827" s="38">
        <v>0.01</v>
      </c>
      <c r="AE827" s="38">
        <v>0.0</v>
      </c>
      <c r="AF827" s="38">
        <v>0.0</v>
      </c>
      <c r="AG827" s="38">
        <v>0.0</v>
      </c>
      <c r="AH827" s="38">
        <v>0.0</v>
      </c>
      <c r="AI827" s="38">
        <v>128422.14</v>
      </c>
      <c r="AJ827" s="38">
        <v>255011.36</v>
      </c>
      <c r="AK827" s="38">
        <v>2.0</v>
      </c>
      <c r="AL827" s="38">
        <v>376.2</v>
      </c>
      <c r="AM827" s="38">
        <v>0.0</v>
      </c>
      <c r="AN827" s="34" t="s">
        <v>62</v>
      </c>
      <c r="AO827" s="34" t="s">
        <v>62</v>
      </c>
      <c r="AP827" s="34" t="s">
        <v>62</v>
      </c>
      <c r="AQ827" s="34" t="s">
        <v>62</v>
      </c>
      <c r="AR827" s="38">
        <v>0.0</v>
      </c>
      <c r="AS827" s="38" t="s">
        <v>3133</v>
      </c>
      <c r="AT827" s="38" t="s">
        <v>2275</v>
      </c>
      <c r="AU827" s="39" t="s">
        <v>2276</v>
      </c>
      <c r="AV827" s="40">
        <v>46163.0</v>
      </c>
    </row>
    <row r="828">
      <c r="A828" s="38">
        <v>350.0</v>
      </c>
      <c r="B828" s="38">
        <v>672.0</v>
      </c>
      <c r="C828" s="38">
        <v>672.0</v>
      </c>
      <c r="D828" s="38">
        <v>9.0290717E7</v>
      </c>
      <c r="E828" s="38">
        <v>9.0290717E7</v>
      </c>
      <c r="F828" s="38">
        <v>9.00603041E8</v>
      </c>
      <c r="G828" s="18" t="s">
        <v>400</v>
      </c>
      <c r="H828" s="18" t="s">
        <v>2304</v>
      </c>
      <c r="I828" s="18" t="s">
        <v>902</v>
      </c>
      <c r="J828" s="18" t="s">
        <v>2205</v>
      </c>
      <c r="K828" s="18" t="s">
        <v>2305</v>
      </c>
      <c r="L828" s="18" t="s">
        <v>52</v>
      </c>
      <c r="M828" s="18" t="s">
        <v>89</v>
      </c>
      <c r="N828" s="18" t="s">
        <v>861</v>
      </c>
      <c r="O828" s="18" t="s">
        <v>126</v>
      </c>
      <c r="P828" s="18" t="s">
        <v>56</v>
      </c>
      <c r="Q828" s="18" t="s">
        <v>90</v>
      </c>
      <c r="R828" s="18" t="s">
        <v>143</v>
      </c>
      <c r="S828" s="18" t="s">
        <v>59</v>
      </c>
      <c r="T828" s="38">
        <v>2026.0</v>
      </c>
      <c r="U828" s="38">
        <v>5.0</v>
      </c>
      <c r="V828" s="38">
        <v>1.08152301E9</v>
      </c>
      <c r="W828" s="38">
        <v>1.08154108E9</v>
      </c>
      <c r="X828" s="18" t="s">
        <v>2199</v>
      </c>
      <c r="Y828" s="18" t="s">
        <v>2200</v>
      </c>
      <c r="Z828" s="38">
        <v>144916.89</v>
      </c>
      <c r="AA828" s="38">
        <v>144916.89</v>
      </c>
      <c r="AB828" s="38">
        <v>47552.65</v>
      </c>
      <c r="AC828" s="38">
        <v>300.0</v>
      </c>
      <c r="AD828" s="38">
        <v>2258.94</v>
      </c>
      <c r="AE828" s="38">
        <v>0.0</v>
      </c>
      <c r="AF828" s="38">
        <v>0.0</v>
      </c>
      <c r="AG828" s="38">
        <v>0.0</v>
      </c>
      <c r="AH828" s="38">
        <v>0.0</v>
      </c>
      <c r="AI828" s="38">
        <v>144916.89</v>
      </c>
      <c r="AJ828" s="38">
        <v>426107.84</v>
      </c>
      <c r="AK828" s="38">
        <v>2.0</v>
      </c>
      <c r="AL828" s="38">
        <v>376.2</v>
      </c>
      <c r="AM828" s="38">
        <v>0.0</v>
      </c>
      <c r="AN828" s="34" t="s">
        <v>62</v>
      </c>
      <c r="AO828" s="34" t="s">
        <v>62</v>
      </c>
      <c r="AP828" s="34" t="s">
        <v>62</v>
      </c>
      <c r="AQ828" s="34" t="s">
        <v>62</v>
      </c>
      <c r="AR828" s="38">
        <v>0.0</v>
      </c>
      <c r="AS828" s="38" t="s">
        <v>2306</v>
      </c>
      <c r="AT828" s="35" t="s">
        <v>2202</v>
      </c>
      <c r="AU828" s="39" t="s">
        <v>2203</v>
      </c>
      <c r="AV828" s="40">
        <v>46164.0</v>
      </c>
    </row>
    <row r="829">
      <c r="A829" s="38">
        <v>677.0</v>
      </c>
      <c r="B829" s="38">
        <v>676.0</v>
      </c>
      <c r="C829" s="38">
        <v>676.0</v>
      </c>
      <c r="D829" s="38">
        <v>9.0290742E7</v>
      </c>
      <c r="E829" s="38">
        <v>9.0290742E7</v>
      </c>
      <c r="F829" s="38">
        <v>1.3499412E7</v>
      </c>
      <c r="G829" s="18" t="s">
        <v>1722</v>
      </c>
      <c r="H829" s="18" t="s">
        <v>3134</v>
      </c>
      <c r="I829" s="18" t="s">
        <v>76</v>
      </c>
      <c r="J829" s="18" t="s">
        <v>2691</v>
      </c>
      <c r="K829" s="18" t="s">
        <v>2691</v>
      </c>
      <c r="L829" s="18" t="s">
        <v>52</v>
      </c>
      <c r="M829" s="18" t="s">
        <v>89</v>
      </c>
      <c r="N829" s="18" t="s">
        <v>861</v>
      </c>
      <c r="O829" s="18" t="s">
        <v>126</v>
      </c>
      <c r="P829" s="18" t="s">
        <v>56</v>
      </c>
      <c r="Q829" s="18" t="s">
        <v>90</v>
      </c>
      <c r="R829" s="18" t="s">
        <v>143</v>
      </c>
      <c r="S829" s="18" t="s">
        <v>59</v>
      </c>
      <c r="T829" s="38">
        <v>2026.0</v>
      </c>
      <c r="U829" s="38">
        <v>5.0</v>
      </c>
      <c r="V829" s="38">
        <v>1.081523014E9</v>
      </c>
      <c r="W829" s="38">
        <v>1.081541084E9</v>
      </c>
      <c r="X829" s="18" t="s">
        <v>2199</v>
      </c>
      <c r="Y829" s="18" t="s">
        <v>2200</v>
      </c>
      <c r="Z829" s="38">
        <v>283445.43</v>
      </c>
      <c r="AA829" s="38">
        <v>283445.43</v>
      </c>
      <c r="AB829" s="38">
        <v>71753.57</v>
      </c>
      <c r="AC829" s="38">
        <v>555.0</v>
      </c>
      <c r="AD829" s="38">
        <v>68184.75</v>
      </c>
      <c r="AE829" s="38">
        <v>0.0</v>
      </c>
      <c r="AF829" s="38">
        <v>0.0</v>
      </c>
      <c r="AG829" s="38">
        <v>0.0</v>
      </c>
      <c r="AH829" s="38">
        <v>0.0</v>
      </c>
      <c r="AI829" s="38">
        <v>283445.43</v>
      </c>
      <c r="AJ829" s="38">
        <v>4476552.42</v>
      </c>
      <c r="AK829" s="38">
        <v>20.0</v>
      </c>
      <c r="AL829" s="38">
        <v>376.2</v>
      </c>
      <c r="AM829" s="38">
        <v>0.0</v>
      </c>
      <c r="AN829" s="34" t="s">
        <v>62</v>
      </c>
      <c r="AO829" s="34" t="s">
        <v>62</v>
      </c>
      <c r="AP829" s="34" t="s">
        <v>62</v>
      </c>
      <c r="AQ829" s="34" t="s">
        <v>62</v>
      </c>
      <c r="AR829" s="38">
        <v>0.0</v>
      </c>
      <c r="AS829" s="38" t="s">
        <v>3135</v>
      </c>
      <c r="AT829" s="38" t="s">
        <v>2275</v>
      </c>
      <c r="AU829" s="39" t="s">
        <v>2276</v>
      </c>
      <c r="AV829" s="40">
        <v>46163.0</v>
      </c>
    </row>
    <row r="830">
      <c r="A830" s="38">
        <v>685.0</v>
      </c>
      <c r="B830" s="38">
        <v>684.0</v>
      </c>
      <c r="C830" s="38">
        <v>684.0</v>
      </c>
      <c r="D830" s="38">
        <v>9.0290764E7</v>
      </c>
      <c r="E830" s="38">
        <v>9.0290764E7</v>
      </c>
      <c r="F830" s="18" t="s">
        <v>1724</v>
      </c>
      <c r="G830" s="18" t="s">
        <v>1725</v>
      </c>
      <c r="H830" s="18" t="s">
        <v>3136</v>
      </c>
      <c r="I830" s="18" t="s">
        <v>76</v>
      </c>
      <c r="J830" s="18" t="s">
        <v>2205</v>
      </c>
      <c r="K830" s="18" t="s">
        <v>2205</v>
      </c>
      <c r="L830" s="18" t="s">
        <v>52</v>
      </c>
      <c r="M830" s="18" t="s">
        <v>89</v>
      </c>
      <c r="N830" s="18" t="s">
        <v>861</v>
      </c>
      <c r="O830" s="18" t="s">
        <v>126</v>
      </c>
      <c r="P830" s="18" t="s">
        <v>56</v>
      </c>
      <c r="Q830" s="18" t="s">
        <v>90</v>
      </c>
      <c r="R830" s="18" t="s">
        <v>143</v>
      </c>
      <c r="S830" s="18" t="s">
        <v>59</v>
      </c>
      <c r="T830" s="38">
        <v>2026.0</v>
      </c>
      <c r="U830" s="38">
        <v>5.0</v>
      </c>
      <c r="V830" s="38">
        <v>1.081523019E9</v>
      </c>
      <c r="W830" s="38">
        <v>1.081541089E9</v>
      </c>
      <c r="X830" s="18" t="s">
        <v>2199</v>
      </c>
      <c r="Y830" s="18" t="s">
        <v>2200</v>
      </c>
      <c r="Z830" s="38">
        <v>279234.01</v>
      </c>
      <c r="AA830" s="38">
        <v>279234.01</v>
      </c>
      <c r="AB830" s="38">
        <v>90260.13</v>
      </c>
      <c r="AC830" s="38">
        <v>750.0</v>
      </c>
      <c r="AD830" s="38">
        <v>8453.63</v>
      </c>
      <c r="AE830" s="38">
        <v>0.0</v>
      </c>
      <c r="AF830" s="38">
        <v>0.0</v>
      </c>
      <c r="AG830" s="38">
        <v>0.0</v>
      </c>
      <c r="AH830" s="38">
        <v>0.0</v>
      </c>
      <c r="AI830" s="38">
        <v>279234.01</v>
      </c>
      <c r="AJ830" s="38">
        <v>1072387.82</v>
      </c>
      <c r="AK830" s="38">
        <v>3.0</v>
      </c>
      <c r="AL830" s="38">
        <v>376.2</v>
      </c>
      <c r="AM830" s="38">
        <v>0.0</v>
      </c>
      <c r="AN830" s="34" t="s">
        <v>62</v>
      </c>
      <c r="AO830" s="34" t="s">
        <v>62</v>
      </c>
      <c r="AP830" s="34" t="s">
        <v>62</v>
      </c>
      <c r="AQ830" s="34" t="s">
        <v>62</v>
      </c>
      <c r="AR830" s="38">
        <v>0.0</v>
      </c>
      <c r="AS830" s="38" t="s">
        <v>3137</v>
      </c>
      <c r="AT830" s="35" t="s">
        <v>2202</v>
      </c>
      <c r="AU830" s="39" t="s">
        <v>2254</v>
      </c>
      <c r="AV830" s="40">
        <v>46171.0</v>
      </c>
    </row>
    <row r="831">
      <c r="A831" s="38">
        <v>689.0</v>
      </c>
      <c r="B831" s="38">
        <v>688.0</v>
      </c>
      <c r="C831" s="38">
        <v>688.0</v>
      </c>
      <c r="D831" s="38">
        <v>9.0290848E7</v>
      </c>
      <c r="E831" s="38">
        <v>9.0290848E7</v>
      </c>
      <c r="F831" s="18" t="s">
        <v>1727</v>
      </c>
      <c r="G831" s="18" t="s">
        <v>1728</v>
      </c>
      <c r="H831" s="18" t="s">
        <v>3138</v>
      </c>
      <c r="I831" s="18" t="s">
        <v>991</v>
      </c>
      <c r="J831" s="18" t="s">
        <v>2691</v>
      </c>
      <c r="K831" s="18" t="s">
        <v>2691</v>
      </c>
      <c r="L831" s="18" t="s">
        <v>52</v>
      </c>
      <c r="M831" s="18" t="s">
        <v>89</v>
      </c>
      <c r="N831" s="18" t="s">
        <v>861</v>
      </c>
      <c r="O831" s="18" t="s">
        <v>126</v>
      </c>
      <c r="P831" s="18" t="s">
        <v>56</v>
      </c>
      <c r="Q831" s="18" t="s">
        <v>90</v>
      </c>
      <c r="R831" s="18" t="s">
        <v>143</v>
      </c>
      <c r="S831" s="18" t="s">
        <v>59</v>
      </c>
      <c r="T831" s="38">
        <v>2026.0</v>
      </c>
      <c r="U831" s="38">
        <v>5.0</v>
      </c>
      <c r="V831" s="38">
        <v>1.081523023E9</v>
      </c>
      <c r="W831" s="38">
        <v>1.081541093E9</v>
      </c>
      <c r="X831" s="18" t="s">
        <v>2199</v>
      </c>
      <c r="Y831" s="18" t="s">
        <v>2200</v>
      </c>
      <c r="Z831" s="38">
        <v>129276.28</v>
      </c>
      <c r="AA831" s="38">
        <v>129276.28</v>
      </c>
      <c r="AB831" s="38">
        <v>43092.1</v>
      </c>
      <c r="AC831" s="38">
        <v>253.0</v>
      </c>
      <c r="AD831" s="38">
        <v>0.0</v>
      </c>
      <c r="AE831" s="38">
        <v>0.0</v>
      </c>
      <c r="AF831" s="38">
        <v>0.0</v>
      </c>
      <c r="AG831" s="38">
        <v>0.0</v>
      </c>
      <c r="AH831" s="38">
        <v>0.0</v>
      </c>
      <c r="AI831" s="38">
        <v>129276.28</v>
      </c>
      <c r="AJ831" s="38">
        <v>129276.28</v>
      </c>
      <c r="AK831" s="38">
        <v>0.0</v>
      </c>
      <c r="AL831" s="38">
        <v>376.2</v>
      </c>
      <c r="AM831" s="38">
        <v>0.0</v>
      </c>
      <c r="AN831" s="34" t="s">
        <v>62</v>
      </c>
      <c r="AO831" s="34" t="s">
        <v>62</v>
      </c>
      <c r="AP831" s="34" t="s">
        <v>62</v>
      </c>
      <c r="AQ831" s="34" t="s">
        <v>62</v>
      </c>
      <c r="AR831" s="38">
        <v>0.0</v>
      </c>
      <c r="AS831" s="38" t="s">
        <v>3139</v>
      </c>
      <c r="AT831" s="38" t="s">
        <v>2275</v>
      </c>
      <c r="AU831" s="39" t="s">
        <v>2276</v>
      </c>
      <c r="AV831" s="40">
        <v>46163.0</v>
      </c>
    </row>
    <row r="832">
      <c r="A832" s="38">
        <v>693.0</v>
      </c>
      <c r="B832" s="38">
        <v>692.0</v>
      </c>
      <c r="C832" s="38">
        <v>692.0</v>
      </c>
      <c r="D832" s="38">
        <v>9.0290852E7</v>
      </c>
      <c r="E832" s="38">
        <v>9.0290852E7</v>
      </c>
      <c r="F832" s="38">
        <v>9.01323357E8</v>
      </c>
      <c r="G832" s="18" t="s">
        <v>1730</v>
      </c>
      <c r="H832" s="18" t="s">
        <v>3140</v>
      </c>
      <c r="I832" s="18" t="s">
        <v>991</v>
      </c>
      <c r="J832" s="18" t="s">
        <v>2691</v>
      </c>
      <c r="K832" s="18" t="s">
        <v>2691</v>
      </c>
      <c r="L832" s="18" t="s">
        <v>52</v>
      </c>
      <c r="M832" s="18" t="s">
        <v>89</v>
      </c>
      <c r="N832" s="18" t="s">
        <v>861</v>
      </c>
      <c r="O832" s="18" t="s">
        <v>126</v>
      </c>
      <c r="P832" s="18" t="s">
        <v>56</v>
      </c>
      <c r="Q832" s="18" t="s">
        <v>90</v>
      </c>
      <c r="R832" s="18" t="s">
        <v>143</v>
      </c>
      <c r="S832" s="18" t="s">
        <v>59</v>
      </c>
      <c r="T832" s="38">
        <v>2026.0</v>
      </c>
      <c r="U832" s="38">
        <v>5.0</v>
      </c>
      <c r="V832" s="38">
        <v>1.081523027E9</v>
      </c>
      <c r="W832" s="38">
        <v>1.081541097E9</v>
      </c>
      <c r="X832" s="18" t="s">
        <v>2199</v>
      </c>
      <c r="Y832" s="18" t="s">
        <v>2200</v>
      </c>
      <c r="Z832" s="38">
        <v>128422.13</v>
      </c>
      <c r="AA832" s="38">
        <v>128422.13</v>
      </c>
      <c r="AB832" s="38">
        <v>42807.38</v>
      </c>
      <c r="AC832" s="38">
        <v>250.0</v>
      </c>
      <c r="AD832" s="38">
        <v>0.0</v>
      </c>
      <c r="AE832" s="38">
        <v>0.0</v>
      </c>
      <c r="AF832" s="38">
        <v>0.0</v>
      </c>
      <c r="AG832" s="38">
        <v>0.0</v>
      </c>
      <c r="AH832" s="38">
        <v>0.0</v>
      </c>
      <c r="AI832" s="38">
        <v>128422.13</v>
      </c>
      <c r="AJ832" s="38">
        <v>128422.13</v>
      </c>
      <c r="AK832" s="38">
        <v>0.0</v>
      </c>
      <c r="AL832" s="38">
        <v>376.2</v>
      </c>
      <c r="AM832" s="38">
        <v>0.0</v>
      </c>
      <c r="AN832" s="34" t="s">
        <v>62</v>
      </c>
      <c r="AO832" s="34" t="s">
        <v>62</v>
      </c>
      <c r="AP832" s="34" t="s">
        <v>62</v>
      </c>
      <c r="AQ832" s="34" t="s">
        <v>62</v>
      </c>
      <c r="AR832" s="38">
        <v>0.0</v>
      </c>
      <c r="AS832" s="38" t="s">
        <v>3141</v>
      </c>
      <c r="AT832" s="38" t="s">
        <v>2275</v>
      </c>
      <c r="AU832" s="39" t="s">
        <v>2276</v>
      </c>
      <c r="AV832" s="40">
        <v>46163.0</v>
      </c>
    </row>
    <row r="833">
      <c r="A833" s="38">
        <v>632.0</v>
      </c>
      <c r="B833" s="38">
        <v>696.0</v>
      </c>
      <c r="C833" s="38">
        <v>696.0</v>
      </c>
      <c r="D833" s="38">
        <v>9.0291511E7</v>
      </c>
      <c r="E833" s="38">
        <v>9.0291511E7</v>
      </c>
      <c r="F833" s="38">
        <v>8.90107487E8</v>
      </c>
      <c r="G833" s="18" t="s">
        <v>1121</v>
      </c>
      <c r="H833" s="18" t="s">
        <v>2741</v>
      </c>
      <c r="I833" s="18" t="s">
        <v>1050</v>
      </c>
      <c r="J833" s="18" t="s">
        <v>2205</v>
      </c>
      <c r="K833" s="18" t="s">
        <v>2742</v>
      </c>
      <c r="L833" s="18" t="s">
        <v>52</v>
      </c>
      <c r="M833" s="18" t="s">
        <v>53</v>
      </c>
      <c r="N833" s="18" t="s">
        <v>861</v>
      </c>
      <c r="O833" s="18" t="s">
        <v>126</v>
      </c>
      <c r="P833" s="18" t="s">
        <v>56</v>
      </c>
      <c r="Q833" s="18" t="s">
        <v>90</v>
      </c>
      <c r="R833" s="18" t="s">
        <v>143</v>
      </c>
      <c r="S833" s="18" t="s">
        <v>59</v>
      </c>
      <c r="T833" s="38">
        <v>2026.0</v>
      </c>
      <c r="U833" s="38">
        <v>5.0</v>
      </c>
      <c r="V833" s="38">
        <v>1.08152303E9</v>
      </c>
      <c r="W833" s="38">
        <v>1.0815411E9</v>
      </c>
      <c r="X833" s="18" t="s">
        <v>2199</v>
      </c>
      <c r="Y833" s="18" t="s">
        <v>2200</v>
      </c>
      <c r="Z833" s="38">
        <v>828255.29</v>
      </c>
      <c r="AA833" s="38">
        <v>828255.29</v>
      </c>
      <c r="AB833" s="38">
        <v>276085.1</v>
      </c>
      <c r="AC833" s="38">
        <v>2708.0</v>
      </c>
      <c r="AD833" s="38">
        <v>0.0</v>
      </c>
      <c r="AE833" s="38">
        <v>0.0</v>
      </c>
      <c r="AF833" s="38">
        <v>0.0</v>
      </c>
      <c r="AG833" s="38">
        <v>0.0</v>
      </c>
      <c r="AH833" s="38">
        <v>0.0</v>
      </c>
      <c r="AI833" s="38">
        <v>828255.29</v>
      </c>
      <c r="AJ833" s="38">
        <v>828255.29</v>
      </c>
      <c r="AK833" s="38">
        <v>0.0</v>
      </c>
      <c r="AL833" s="38">
        <v>376.2</v>
      </c>
      <c r="AM833" s="38">
        <v>0.0</v>
      </c>
      <c r="AN833" s="34" t="s">
        <v>62</v>
      </c>
      <c r="AO833" s="34" t="s">
        <v>62</v>
      </c>
      <c r="AP833" s="34" t="s">
        <v>62</v>
      </c>
      <c r="AQ833" s="34" t="s">
        <v>62</v>
      </c>
      <c r="AR833" s="38">
        <v>0.0</v>
      </c>
      <c r="AS833" s="38" t="s">
        <v>2743</v>
      </c>
      <c r="AT833" s="35" t="s">
        <v>2202</v>
      </c>
      <c r="AU833" s="39" t="s">
        <v>2203</v>
      </c>
      <c r="AV833" s="40">
        <v>46169.0</v>
      </c>
    </row>
    <row r="834">
      <c r="A834" s="38">
        <v>701.0</v>
      </c>
      <c r="B834" s="38">
        <v>700.0</v>
      </c>
      <c r="C834" s="38">
        <v>700.0</v>
      </c>
      <c r="D834" s="38">
        <v>9.0291873E7</v>
      </c>
      <c r="E834" s="38">
        <v>9.0291873E7</v>
      </c>
      <c r="F834" s="18" t="s">
        <v>1008</v>
      </c>
      <c r="G834" s="18" t="s">
        <v>1009</v>
      </c>
      <c r="H834" s="18" t="s">
        <v>3020</v>
      </c>
      <c r="I834" s="18" t="s">
        <v>991</v>
      </c>
      <c r="J834" s="18" t="s">
        <v>2205</v>
      </c>
      <c r="K834" s="18" t="s">
        <v>1009</v>
      </c>
      <c r="L834" s="18" t="s">
        <v>52</v>
      </c>
      <c r="M834" s="18" t="s">
        <v>89</v>
      </c>
      <c r="N834" s="18" t="s">
        <v>861</v>
      </c>
      <c r="O834" s="18" t="s">
        <v>126</v>
      </c>
      <c r="P834" s="18" t="s">
        <v>56</v>
      </c>
      <c r="Q834" s="18" t="s">
        <v>90</v>
      </c>
      <c r="R834" s="18" t="s">
        <v>143</v>
      </c>
      <c r="S834" s="18" t="s">
        <v>59</v>
      </c>
      <c r="T834" s="38">
        <v>2026.0</v>
      </c>
      <c r="U834" s="38">
        <v>5.0</v>
      </c>
      <c r="V834" s="38">
        <v>1.081523034E9</v>
      </c>
      <c r="W834" s="38">
        <v>1.081541104E9</v>
      </c>
      <c r="X834" s="18" t="s">
        <v>2199</v>
      </c>
      <c r="Y834" s="18" t="s">
        <v>2200</v>
      </c>
      <c r="Z834" s="38">
        <v>128422.13</v>
      </c>
      <c r="AA834" s="38">
        <v>128422.13</v>
      </c>
      <c r="AB834" s="38">
        <v>42807.38</v>
      </c>
      <c r="AC834" s="38">
        <v>250.0</v>
      </c>
      <c r="AD834" s="38">
        <v>0.0</v>
      </c>
      <c r="AE834" s="38">
        <v>0.0</v>
      </c>
      <c r="AF834" s="38">
        <v>0.0</v>
      </c>
      <c r="AG834" s="38">
        <v>0.0</v>
      </c>
      <c r="AH834" s="38">
        <v>0.0</v>
      </c>
      <c r="AI834" s="38">
        <v>128422.13</v>
      </c>
      <c r="AJ834" s="38">
        <v>128422.13</v>
      </c>
      <c r="AK834" s="38">
        <v>0.0</v>
      </c>
      <c r="AL834" s="38">
        <v>376.2</v>
      </c>
      <c r="AM834" s="38">
        <v>0.0</v>
      </c>
      <c r="AN834" s="34" t="s">
        <v>62</v>
      </c>
      <c r="AO834" s="34" t="s">
        <v>62</v>
      </c>
      <c r="AP834" s="34" t="s">
        <v>62</v>
      </c>
      <c r="AQ834" s="34" t="s">
        <v>62</v>
      </c>
      <c r="AR834" s="38">
        <v>0.0</v>
      </c>
      <c r="AS834" s="38" t="s">
        <v>3021</v>
      </c>
      <c r="AT834" s="35" t="s">
        <v>2202</v>
      </c>
      <c r="AU834" s="39" t="s">
        <v>2203</v>
      </c>
      <c r="AV834" s="40">
        <v>46163.0</v>
      </c>
    </row>
    <row r="835">
      <c r="A835" s="38">
        <v>705.0</v>
      </c>
      <c r="B835" s="38">
        <v>704.0</v>
      </c>
      <c r="C835" s="38">
        <v>704.0</v>
      </c>
      <c r="D835" s="38">
        <v>9.0291877E7</v>
      </c>
      <c r="E835" s="38">
        <v>9.0291877E7</v>
      </c>
      <c r="F835" s="38">
        <v>8.60053831E8</v>
      </c>
      <c r="G835" s="18" t="s">
        <v>720</v>
      </c>
      <c r="H835" s="18" t="s">
        <v>2537</v>
      </c>
      <c r="I835" s="18" t="s">
        <v>991</v>
      </c>
      <c r="J835" s="18" t="s">
        <v>2691</v>
      </c>
      <c r="K835" s="18" t="s">
        <v>2691</v>
      </c>
      <c r="L835" s="18" t="s">
        <v>52</v>
      </c>
      <c r="M835" s="18" t="s">
        <v>53</v>
      </c>
      <c r="N835" s="18" t="s">
        <v>861</v>
      </c>
      <c r="O835" s="18" t="s">
        <v>126</v>
      </c>
      <c r="P835" s="18" t="s">
        <v>56</v>
      </c>
      <c r="Q835" s="18" t="s">
        <v>90</v>
      </c>
      <c r="R835" s="18" t="s">
        <v>143</v>
      </c>
      <c r="S835" s="18" t="s">
        <v>59</v>
      </c>
      <c r="T835" s="38">
        <v>2026.0</v>
      </c>
      <c r="U835" s="38">
        <v>5.0</v>
      </c>
      <c r="V835" s="38">
        <v>1.081523038E9</v>
      </c>
      <c r="W835" s="38">
        <v>1.081541108E9</v>
      </c>
      <c r="X835" s="18" t="s">
        <v>2199</v>
      </c>
      <c r="Y835" s="18" t="s">
        <v>2200</v>
      </c>
      <c r="Z835" s="38">
        <v>128422.13</v>
      </c>
      <c r="AA835" s="38">
        <v>128422.13</v>
      </c>
      <c r="AB835" s="38">
        <v>42807.38</v>
      </c>
      <c r="AC835" s="38">
        <v>250.0</v>
      </c>
      <c r="AD835" s="38">
        <v>0.0</v>
      </c>
      <c r="AE835" s="38">
        <v>0.0</v>
      </c>
      <c r="AF835" s="38">
        <v>0.0</v>
      </c>
      <c r="AG835" s="38">
        <v>0.0</v>
      </c>
      <c r="AH835" s="38">
        <v>0.0</v>
      </c>
      <c r="AI835" s="38">
        <v>128422.13</v>
      </c>
      <c r="AJ835" s="38">
        <v>128422.13</v>
      </c>
      <c r="AK835" s="38">
        <v>0.0</v>
      </c>
      <c r="AL835" s="38">
        <v>376.2</v>
      </c>
      <c r="AM835" s="38">
        <v>0.0</v>
      </c>
      <c r="AN835" s="34" t="s">
        <v>62</v>
      </c>
      <c r="AO835" s="34" t="s">
        <v>62</v>
      </c>
      <c r="AP835" s="34" t="s">
        <v>62</v>
      </c>
      <c r="AQ835" s="34" t="s">
        <v>62</v>
      </c>
      <c r="AR835" s="38">
        <v>0.0</v>
      </c>
      <c r="AS835" s="38" t="s">
        <v>2538</v>
      </c>
      <c r="AT835" s="38" t="s">
        <v>2275</v>
      </c>
      <c r="AU835" s="39" t="s">
        <v>2276</v>
      </c>
      <c r="AV835" s="40">
        <v>46163.0</v>
      </c>
    </row>
    <row r="836">
      <c r="A836" s="38">
        <v>147.0</v>
      </c>
      <c r="B836" s="38">
        <v>7916.0</v>
      </c>
      <c r="C836" s="38">
        <v>7916.0</v>
      </c>
      <c r="D836" s="38">
        <v>4851.0</v>
      </c>
      <c r="E836" s="38">
        <v>4851.0</v>
      </c>
      <c r="F836" s="18" t="s">
        <v>179</v>
      </c>
      <c r="G836" s="18" t="s">
        <v>180</v>
      </c>
      <c r="H836" s="18" t="s">
        <v>2320</v>
      </c>
      <c r="I836" s="18" t="s">
        <v>1322</v>
      </c>
      <c r="J836" s="18" t="s">
        <v>2205</v>
      </c>
      <c r="K836" s="18" t="s">
        <v>2289</v>
      </c>
      <c r="L836" s="18" t="s">
        <v>52</v>
      </c>
      <c r="M836" s="18" t="s">
        <v>89</v>
      </c>
      <c r="N836" s="18" t="s">
        <v>861</v>
      </c>
      <c r="O836" s="18" t="s">
        <v>126</v>
      </c>
      <c r="P836" s="18" t="s">
        <v>131</v>
      </c>
      <c r="Q836" s="18" t="s">
        <v>1111</v>
      </c>
      <c r="R836" s="18" t="s">
        <v>133</v>
      </c>
      <c r="S836" s="18" t="s">
        <v>59</v>
      </c>
      <c r="T836" s="38">
        <v>2026.0</v>
      </c>
      <c r="U836" s="38">
        <v>5.0</v>
      </c>
      <c r="V836" s="38">
        <v>1.081523042E9</v>
      </c>
      <c r="W836" s="38">
        <v>1.081541112E9</v>
      </c>
      <c r="X836" s="18" t="s">
        <v>2199</v>
      </c>
      <c r="Y836" s="18" t="s">
        <v>2200</v>
      </c>
      <c r="Z836" s="38">
        <v>50761.0</v>
      </c>
      <c r="AA836" s="38">
        <v>50761.0</v>
      </c>
      <c r="AB836" s="38">
        <v>0.0</v>
      </c>
      <c r="AC836" s="38">
        <v>0.0</v>
      </c>
      <c r="AD836" s="38">
        <v>0.0</v>
      </c>
      <c r="AE836" s="38">
        <v>0.0</v>
      </c>
      <c r="AF836" s="38">
        <v>0.0</v>
      </c>
      <c r="AG836" s="38">
        <v>0.0</v>
      </c>
      <c r="AH836" s="38">
        <v>0.0</v>
      </c>
      <c r="AI836" s="38">
        <v>50761.0</v>
      </c>
      <c r="AJ836" s="38">
        <v>101136.0</v>
      </c>
      <c r="AK836" s="38">
        <v>1.0</v>
      </c>
      <c r="AL836" s="38">
        <v>250.8</v>
      </c>
      <c r="AM836" s="38">
        <v>0.0</v>
      </c>
      <c r="AN836" s="34" t="s">
        <v>62</v>
      </c>
      <c r="AO836" s="34" t="s">
        <v>62</v>
      </c>
      <c r="AP836" s="34" t="s">
        <v>62</v>
      </c>
      <c r="AQ836" s="34" t="s">
        <v>62</v>
      </c>
      <c r="AR836" s="38">
        <v>0.0</v>
      </c>
      <c r="AS836" s="38" t="s">
        <v>2321</v>
      </c>
      <c r="AT836" s="35" t="s">
        <v>2202</v>
      </c>
      <c r="AU836" s="39" t="s">
        <v>2203</v>
      </c>
      <c r="AV836" s="40">
        <v>46163.0</v>
      </c>
    </row>
    <row r="837">
      <c r="A837" s="38">
        <v>643.0</v>
      </c>
      <c r="B837" s="38">
        <v>95928.0</v>
      </c>
      <c r="C837" s="38">
        <v>95928.0</v>
      </c>
      <c r="D837" s="38">
        <v>457783.0</v>
      </c>
      <c r="E837" s="38">
        <v>457783.0</v>
      </c>
      <c r="F837" s="18" t="s">
        <v>1189</v>
      </c>
      <c r="G837" s="18" t="s">
        <v>1190</v>
      </c>
      <c r="H837" s="18" t="s">
        <v>2615</v>
      </c>
      <c r="I837" s="18" t="s">
        <v>942</v>
      </c>
      <c r="J837" s="18" t="s">
        <v>982</v>
      </c>
      <c r="K837" s="18" t="s">
        <v>982</v>
      </c>
      <c r="L837" s="18" t="s">
        <v>52</v>
      </c>
      <c r="M837" s="18" t="s">
        <v>89</v>
      </c>
      <c r="N837" s="18" t="s">
        <v>861</v>
      </c>
      <c r="O837" s="18" t="s">
        <v>126</v>
      </c>
      <c r="P837" s="18" t="s">
        <v>131</v>
      </c>
      <c r="Q837" s="18" t="s">
        <v>132</v>
      </c>
      <c r="R837" s="18" t="s">
        <v>133</v>
      </c>
      <c r="S837" s="18" t="s">
        <v>59</v>
      </c>
      <c r="T837" s="38">
        <v>2026.0</v>
      </c>
      <c r="U837" s="38">
        <v>5.0</v>
      </c>
      <c r="V837" s="38">
        <v>1.081523108E9</v>
      </c>
      <c r="W837" s="38">
        <v>1.081541178E9</v>
      </c>
      <c r="X837" s="18" t="s">
        <v>2199</v>
      </c>
      <c r="Y837" s="18" t="s">
        <v>2200</v>
      </c>
      <c r="Z837" s="38">
        <v>113911.5</v>
      </c>
      <c r="AA837" s="38">
        <v>113911.5</v>
      </c>
      <c r="AB837" s="38">
        <v>37970.5</v>
      </c>
      <c r="AC837" s="38">
        <v>0.0</v>
      </c>
      <c r="AD837" s="38">
        <v>0.0</v>
      </c>
      <c r="AE837" s="38">
        <v>0.0</v>
      </c>
      <c r="AF837" s="38">
        <v>0.0</v>
      </c>
      <c r="AG837" s="38">
        <v>0.0</v>
      </c>
      <c r="AH837" s="38">
        <v>0.0</v>
      </c>
      <c r="AI837" s="38">
        <v>113911.5</v>
      </c>
      <c r="AJ837" s="38">
        <v>113911.5</v>
      </c>
      <c r="AK837" s="38">
        <v>0.0</v>
      </c>
      <c r="AL837" s="38">
        <v>376.2</v>
      </c>
      <c r="AM837" s="38">
        <v>0.0</v>
      </c>
      <c r="AN837" s="34" t="s">
        <v>62</v>
      </c>
      <c r="AO837" s="34" t="s">
        <v>62</v>
      </c>
      <c r="AP837" s="34" t="s">
        <v>62</v>
      </c>
      <c r="AQ837" s="34" t="s">
        <v>62</v>
      </c>
      <c r="AR837" s="38">
        <v>0.0</v>
      </c>
      <c r="AS837" s="38" t="s">
        <v>2616</v>
      </c>
      <c r="AT837" s="35" t="s">
        <v>2275</v>
      </c>
      <c r="AU837" s="39" t="s">
        <v>2326</v>
      </c>
      <c r="AV837" s="40">
        <v>46163.0</v>
      </c>
    </row>
    <row r="838">
      <c r="A838" s="38">
        <v>108.0</v>
      </c>
      <c r="B838" s="38">
        <v>107.0</v>
      </c>
      <c r="C838" s="38">
        <v>107.0</v>
      </c>
      <c r="D838" s="38">
        <v>9.0048888E7</v>
      </c>
      <c r="E838" s="38">
        <v>9.0048888E7</v>
      </c>
      <c r="F838" s="18" t="s">
        <v>858</v>
      </c>
      <c r="G838" s="18" t="s">
        <v>859</v>
      </c>
      <c r="H838" s="18" t="s">
        <v>3142</v>
      </c>
      <c r="I838" s="18" t="s">
        <v>860</v>
      </c>
      <c r="J838" s="18" t="s">
        <v>2205</v>
      </c>
      <c r="K838" s="18" t="s">
        <v>2205</v>
      </c>
      <c r="L838" s="18" t="s">
        <v>52</v>
      </c>
      <c r="M838" s="18" t="s">
        <v>89</v>
      </c>
      <c r="N838" s="18" t="s">
        <v>861</v>
      </c>
      <c r="O838" s="18" t="s">
        <v>126</v>
      </c>
      <c r="P838" s="18" t="s">
        <v>131</v>
      </c>
      <c r="Q838" s="18" t="s">
        <v>132</v>
      </c>
      <c r="R838" s="18" t="s">
        <v>133</v>
      </c>
      <c r="S838" s="18" t="s">
        <v>59</v>
      </c>
      <c r="T838" s="38">
        <v>2026.0</v>
      </c>
      <c r="U838" s="38">
        <v>5.0</v>
      </c>
      <c r="V838" s="38">
        <v>1.081522682E9</v>
      </c>
      <c r="W838" s="38">
        <v>1.081540752E9</v>
      </c>
      <c r="X838" s="18" t="s">
        <v>2199</v>
      </c>
      <c r="Y838" s="18" t="s">
        <v>2200</v>
      </c>
      <c r="Z838" s="38">
        <v>113911.5</v>
      </c>
      <c r="AA838" s="38">
        <v>113911.5</v>
      </c>
      <c r="AB838" s="38">
        <v>37970.5</v>
      </c>
      <c r="AC838" s="38">
        <v>0.0</v>
      </c>
      <c r="AD838" s="38">
        <v>0.0</v>
      </c>
      <c r="AE838" s="38">
        <v>0.0</v>
      </c>
      <c r="AF838" s="38">
        <v>0.0</v>
      </c>
      <c r="AG838" s="38">
        <v>0.0</v>
      </c>
      <c r="AH838" s="38">
        <v>0.0</v>
      </c>
      <c r="AI838" s="38">
        <v>113911.5</v>
      </c>
      <c r="AJ838" s="38">
        <v>113911.5</v>
      </c>
      <c r="AK838" s="38">
        <v>0.0</v>
      </c>
      <c r="AL838" s="38">
        <v>376.2</v>
      </c>
      <c r="AM838" s="38">
        <v>0.0</v>
      </c>
      <c r="AN838" s="34" t="s">
        <v>62</v>
      </c>
      <c r="AO838" s="34" t="s">
        <v>62</v>
      </c>
      <c r="AP838" s="34" t="s">
        <v>62</v>
      </c>
      <c r="AQ838" s="34" t="s">
        <v>62</v>
      </c>
      <c r="AR838" s="38">
        <v>0.0</v>
      </c>
      <c r="AS838" s="38" t="s">
        <v>2905</v>
      </c>
      <c r="AT838" s="35" t="s">
        <v>2202</v>
      </c>
      <c r="AU838" s="39" t="s">
        <v>2254</v>
      </c>
      <c r="AV838" s="40">
        <v>46171.0</v>
      </c>
    </row>
    <row r="839">
      <c r="A839" s="38">
        <v>297.0</v>
      </c>
      <c r="B839" s="38">
        <v>111.0</v>
      </c>
      <c r="C839" s="38">
        <v>111.0</v>
      </c>
      <c r="D839" s="38">
        <v>9.0200778E7</v>
      </c>
      <c r="E839" s="38">
        <v>9.0200778E7</v>
      </c>
      <c r="F839" s="18" t="s">
        <v>135</v>
      </c>
      <c r="G839" s="18" t="s">
        <v>136</v>
      </c>
      <c r="H839" s="18" t="s">
        <v>2258</v>
      </c>
      <c r="I839" s="18" t="s">
        <v>863</v>
      </c>
      <c r="J839" s="18" t="s">
        <v>2205</v>
      </c>
      <c r="K839" s="18" t="s">
        <v>2259</v>
      </c>
      <c r="L839" s="18" t="s">
        <v>52</v>
      </c>
      <c r="M839" s="18" t="s">
        <v>53</v>
      </c>
      <c r="N839" s="18" t="s">
        <v>861</v>
      </c>
      <c r="O839" s="18" t="s">
        <v>126</v>
      </c>
      <c r="P839" s="18" t="s">
        <v>131</v>
      </c>
      <c r="Q839" s="18" t="s">
        <v>151</v>
      </c>
      <c r="R839" s="18" t="s">
        <v>133</v>
      </c>
      <c r="S839" s="18" t="s">
        <v>59</v>
      </c>
      <c r="T839" s="38">
        <v>2026.0</v>
      </c>
      <c r="U839" s="38">
        <v>5.0</v>
      </c>
      <c r="V839" s="38">
        <v>1.081522688E9</v>
      </c>
      <c r="W839" s="38">
        <v>1.081540758E9</v>
      </c>
      <c r="X839" s="18" t="s">
        <v>2199</v>
      </c>
      <c r="Y839" s="18" t="s">
        <v>2200</v>
      </c>
      <c r="Z839" s="38">
        <v>75941.0</v>
      </c>
      <c r="AA839" s="38">
        <v>75941.0</v>
      </c>
      <c r="AB839" s="38">
        <v>0.0</v>
      </c>
      <c r="AC839" s="38">
        <v>0.0</v>
      </c>
      <c r="AD839" s="38">
        <v>0.0</v>
      </c>
      <c r="AE839" s="38">
        <v>0.0</v>
      </c>
      <c r="AF839" s="38">
        <v>0.0</v>
      </c>
      <c r="AG839" s="38">
        <v>0.0</v>
      </c>
      <c r="AH839" s="38">
        <v>0.0</v>
      </c>
      <c r="AI839" s="38">
        <v>75941.0</v>
      </c>
      <c r="AJ839" s="38">
        <v>75941.0</v>
      </c>
      <c r="AK839" s="38">
        <v>0.0</v>
      </c>
      <c r="AL839" s="38">
        <v>250.8</v>
      </c>
      <c r="AM839" s="38">
        <v>0.0</v>
      </c>
      <c r="AN839" s="34" t="s">
        <v>62</v>
      </c>
      <c r="AO839" s="34" t="s">
        <v>62</v>
      </c>
      <c r="AP839" s="34" t="s">
        <v>62</v>
      </c>
      <c r="AQ839" s="34" t="s">
        <v>62</v>
      </c>
      <c r="AR839" s="38">
        <v>0.0</v>
      </c>
      <c r="AS839" s="38" t="s">
        <v>2260</v>
      </c>
      <c r="AT839" s="35" t="s">
        <v>2202</v>
      </c>
      <c r="AU839" s="39" t="s">
        <v>2203</v>
      </c>
      <c r="AV839" s="40">
        <v>46164.0</v>
      </c>
    </row>
    <row r="840">
      <c r="A840" s="38">
        <v>285191.0</v>
      </c>
      <c r="B840" s="38">
        <v>113635.0</v>
      </c>
      <c r="C840" s="38">
        <v>113635.0</v>
      </c>
      <c r="D840" s="38">
        <v>579003.0</v>
      </c>
      <c r="E840" s="38">
        <v>579003.0</v>
      </c>
      <c r="F840" s="38">
        <v>9.00276962E8</v>
      </c>
      <c r="G840" s="18" t="s">
        <v>128</v>
      </c>
      <c r="H840" s="18" t="s">
        <v>2269</v>
      </c>
      <c r="I840" s="18" t="s">
        <v>865</v>
      </c>
      <c r="J840" s="18" t="s">
        <v>2205</v>
      </c>
      <c r="K840" s="18" t="s">
        <v>2270</v>
      </c>
      <c r="L840" s="18" t="s">
        <v>52</v>
      </c>
      <c r="M840" s="18" t="s">
        <v>89</v>
      </c>
      <c r="N840" s="18" t="s">
        <v>861</v>
      </c>
      <c r="O840" s="18" t="s">
        <v>126</v>
      </c>
      <c r="P840" s="18" t="s">
        <v>131</v>
      </c>
      <c r="Q840" s="18" t="s">
        <v>132</v>
      </c>
      <c r="R840" s="18" t="s">
        <v>133</v>
      </c>
      <c r="S840" s="18" t="s">
        <v>59</v>
      </c>
      <c r="T840" s="38">
        <v>2026.0</v>
      </c>
      <c r="U840" s="38">
        <v>5.0</v>
      </c>
      <c r="V840" s="38">
        <v>1.081523061E9</v>
      </c>
      <c r="W840" s="38">
        <v>1.081541131E9</v>
      </c>
      <c r="X840" s="18" t="s">
        <v>2199</v>
      </c>
      <c r="Y840" s="18" t="s">
        <v>2200</v>
      </c>
      <c r="Z840" s="38">
        <v>113911.5</v>
      </c>
      <c r="AA840" s="38">
        <v>113911.5</v>
      </c>
      <c r="AB840" s="38">
        <v>37970.5</v>
      </c>
      <c r="AC840" s="38">
        <v>0.0</v>
      </c>
      <c r="AD840" s="38">
        <v>0.0</v>
      </c>
      <c r="AE840" s="38">
        <v>0.0</v>
      </c>
      <c r="AF840" s="38">
        <v>0.0</v>
      </c>
      <c r="AG840" s="38">
        <v>0.0</v>
      </c>
      <c r="AH840" s="38">
        <v>0.0</v>
      </c>
      <c r="AI840" s="38">
        <v>113911.5</v>
      </c>
      <c r="AJ840" s="38">
        <v>113911.5</v>
      </c>
      <c r="AK840" s="38">
        <v>0.0</v>
      </c>
      <c r="AL840" s="38">
        <v>376.2</v>
      </c>
      <c r="AM840" s="38">
        <v>0.0</v>
      </c>
      <c r="AN840" s="34" t="s">
        <v>62</v>
      </c>
      <c r="AO840" s="34" t="s">
        <v>62</v>
      </c>
      <c r="AP840" s="34" t="s">
        <v>62</v>
      </c>
      <c r="AQ840" s="34" t="s">
        <v>62</v>
      </c>
      <c r="AR840" s="38">
        <v>0.0</v>
      </c>
      <c r="AS840" s="38" t="s">
        <v>2271</v>
      </c>
      <c r="AT840" s="35" t="s">
        <v>2202</v>
      </c>
      <c r="AU840" s="39" t="s">
        <v>2203</v>
      </c>
      <c r="AV840" s="40">
        <v>46163.0</v>
      </c>
    </row>
    <row r="841">
      <c r="A841" s="38">
        <v>116.0</v>
      </c>
      <c r="B841" s="38">
        <v>115.0</v>
      </c>
      <c r="C841" s="38">
        <v>115.0</v>
      </c>
      <c r="D841" s="38">
        <v>9.0202082E7</v>
      </c>
      <c r="E841" s="38">
        <v>9.0202082E7</v>
      </c>
      <c r="F841" s="38">
        <v>8.00103927E8</v>
      </c>
      <c r="G841" s="18" t="s">
        <v>867</v>
      </c>
      <c r="H841" s="18" t="s">
        <v>3143</v>
      </c>
      <c r="I841" s="18" t="s">
        <v>863</v>
      </c>
      <c r="J841" s="18" t="s">
        <v>2205</v>
      </c>
      <c r="K841" s="18" t="s">
        <v>2681</v>
      </c>
      <c r="L841" s="18" t="s">
        <v>52</v>
      </c>
      <c r="M841" s="18" t="s">
        <v>89</v>
      </c>
      <c r="N841" s="18" t="s">
        <v>861</v>
      </c>
      <c r="O841" s="18" t="s">
        <v>126</v>
      </c>
      <c r="P841" s="18" t="s">
        <v>131</v>
      </c>
      <c r="Q841" s="18" t="s">
        <v>151</v>
      </c>
      <c r="R841" s="18" t="s">
        <v>133</v>
      </c>
      <c r="S841" s="18" t="s">
        <v>59</v>
      </c>
      <c r="T841" s="38">
        <v>2026.0</v>
      </c>
      <c r="U841" s="38">
        <v>5.0</v>
      </c>
      <c r="V841" s="38">
        <v>1.081522691E9</v>
      </c>
      <c r="W841" s="38">
        <v>1.081540761E9</v>
      </c>
      <c r="X841" s="18" t="s">
        <v>2199</v>
      </c>
      <c r="Y841" s="18" t="s">
        <v>2200</v>
      </c>
      <c r="Z841" s="38">
        <v>75941.0</v>
      </c>
      <c r="AA841" s="38">
        <v>75941.0</v>
      </c>
      <c r="AB841" s="38">
        <v>0.0</v>
      </c>
      <c r="AC841" s="38">
        <v>0.0</v>
      </c>
      <c r="AD841" s="38">
        <v>0.0</v>
      </c>
      <c r="AE841" s="38">
        <v>0.0</v>
      </c>
      <c r="AF841" s="38">
        <v>0.0</v>
      </c>
      <c r="AG841" s="38">
        <v>0.0</v>
      </c>
      <c r="AH841" s="38">
        <v>0.0</v>
      </c>
      <c r="AI841" s="38">
        <v>75941.0</v>
      </c>
      <c r="AJ841" s="38">
        <v>75941.0</v>
      </c>
      <c r="AK841" s="38">
        <v>0.0</v>
      </c>
      <c r="AL841" s="38">
        <v>250.8</v>
      </c>
      <c r="AM841" s="38">
        <v>0.0</v>
      </c>
      <c r="AN841" s="34" t="s">
        <v>62</v>
      </c>
      <c r="AO841" s="34" t="s">
        <v>62</v>
      </c>
      <c r="AP841" s="34" t="s">
        <v>62</v>
      </c>
      <c r="AQ841" s="34" t="s">
        <v>62</v>
      </c>
      <c r="AR841" s="38">
        <v>0.0</v>
      </c>
      <c r="AS841" s="38" t="s">
        <v>2817</v>
      </c>
      <c r="AT841" s="35" t="s">
        <v>2202</v>
      </c>
      <c r="AU841" s="39" t="s">
        <v>2203</v>
      </c>
      <c r="AV841" s="40">
        <v>46169.0</v>
      </c>
    </row>
    <row r="842">
      <c r="A842" s="38">
        <v>455370.0</v>
      </c>
      <c r="B842" s="38">
        <v>119.0</v>
      </c>
      <c r="C842" s="38">
        <v>119.0</v>
      </c>
      <c r="D842" s="38">
        <v>9.0205222E7</v>
      </c>
      <c r="E842" s="38">
        <v>9.0205222E7</v>
      </c>
      <c r="F842" s="18" t="s">
        <v>148</v>
      </c>
      <c r="G842" s="18" t="s">
        <v>149</v>
      </c>
      <c r="H842" s="18" t="s">
        <v>2296</v>
      </c>
      <c r="I842" s="18" t="s">
        <v>869</v>
      </c>
      <c r="J842" s="18" t="s">
        <v>2205</v>
      </c>
      <c r="K842" s="18" t="s">
        <v>2611</v>
      </c>
      <c r="L842" s="18" t="s">
        <v>52</v>
      </c>
      <c r="M842" s="18" t="s">
        <v>53</v>
      </c>
      <c r="N842" s="18" t="s">
        <v>861</v>
      </c>
      <c r="O842" s="18" t="s">
        <v>126</v>
      </c>
      <c r="P842" s="18" t="s">
        <v>56</v>
      </c>
      <c r="Q842" s="18" t="s">
        <v>57</v>
      </c>
      <c r="R842" s="18" t="s">
        <v>143</v>
      </c>
      <c r="S842" s="18" t="s">
        <v>59</v>
      </c>
      <c r="T842" s="38">
        <v>2026.0</v>
      </c>
      <c r="U842" s="38">
        <v>5.0</v>
      </c>
      <c r="V842" s="38">
        <v>1.081522694E9</v>
      </c>
      <c r="W842" s="38">
        <v>1.081540764E9</v>
      </c>
      <c r="X842" s="18" t="s">
        <v>2199</v>
      </c>
      <c r="Y842" s="18" t="s">
        <v>2200</v>
      </c>
      <c r="Z842" s="38">
        <v>605696.89</v>
      </c>
      <c r="AA842" s="38">
        <v>605696.89</v>
      </c>
      <c r="AB842" s="38">
        <v>0.0</v>
      </c>
      <c r="AC842" s="38">
        <v>2990.0</v>
      </c>
      <c r="AD842" s="38">
        <v>0.0</v>
      </c>
      <c r="AE842" s="38">
        <v>0.0</v>
      </c>
      <c r="AF842" s="38">
        <v>0.0</v>
      </c>
      <c r="AG842" s="38">
        <v>0.0</v>
      </c>
      <c r="AH842" s="38">
        <v>0.0</v>
      </c>
      <c r="AI842" s="38">
        <v>605696.89</v>
      </c>
      <c r="AJ842" s="38">
        <v>1360149.06</v>
      </c>
      <c r="AK842" s="38">
        <v>3.0</v>
      </c>
      <c r="AL842" s="38">
        <v>250.8</v>
      </c>
      <c r="AM842" s="38">
        <v>0.0</v>
      </c>
      <c r="AN842" s="34" t="s">
        <v>62</v>
      </c>
      <c r="AO842" s="34" t="s">
        <v>62</v>
      </c>
      <c r="AP842" s="34" t="s">
        <v>62</v>
      </c>
      <c r="AQ842" s="34" t="s">
        <v>62</v>
      </c>
      <c r="AR842" s="38">
        <v>0.0</v>
      </c>
      <c r="AS842" s="38" t="s">
        <v>2293</v>
      </c>
      <c r="AT842" s="35" t="s">
        <v>2294</v>
      </c>
      <c r="AU842" s="39" t="s">
        <v>2295</v>
      </c>
      <c r="AV842" s="40">
        <v>46164.0</v>
      </c>
    </row>
    <row r="843">
      <c r="A843" s="38">
        <v>124.0</v>
      </c>
      <c r="B843" s="38">
        <v>123.0</v>
      </c>
      <c r="C843" s="38">
        <v>123.0</v>
      </c>
      <c r="D843" s="38">
        <v>9.0206542E7</v>
      </c>
      <c r="E843" s="38">
        <v>9.0206542E7</v>
      </c>
      <c r="F843" s="18" t="s">
        <v>871</v>
      </c>
      <c r="G843" s="18" t="s">
        <v>872</v>
      </c>
      <c r="H843" s="18" t="s">
        <v>3144</v>
      </c>
      <c r="I843" s="18" t="s">
        <v>873</v>
      </c>
      <c r="J843" s="18" t="s">
        <v>2205</v>
      </c>
      <c r="K843" s="18" t="s">
        <v>2611</v>
      </c>
      <c r="L843" s="18" t="s">
        <v>52</v>
      </c>
      <c r="M843" s="18" t="s">
        <v>89</v>
      </c>
      <c r="N843" s="18" t="s">
        <v>861</v>
      </c>
      <c r="O843" s="18" t="s">
        <v>126</v>
      </c>
      <c r="P843" s="18" t="s">
        <v>56</v>
      </c>
      <c r="Q843" s="18" t="s">
        <v>57</v>
      </c>
      <c r="R843" s="18" t="s">
        <v>143</v>
      </c>
      <c r="S843" s="18" t="s">
        <v>59</v>
      </c>
      <c r="T843" s="38">
        <v>2026.0</v>
      </c>
      <c r="U843" s="38">
        <v>5.0</v>
      </c>
      <c r="V843" s="38">
        <v>1.081522699E9</v>
      </c>
      <c r="W843" s="38">
        <v>1.081540769E9</v>
      </c>
      <c r="X843" s="18" t="s">
        <v>2199</v>
      </c>
      <c r="Y843" s="18" t="s">
        <v>2200</v>
      </c>
      <c r="Z843" s="38">
        <v>456315.63</v>
      </c>
      <c r="AA843" s="38">
        <v>456315.63</v>
      </c>
      <c r="AB843" s="38">
        <v>0.0</v>
      </c>
      <c r="AC843" s="38">
        <v>2203.0</v>
      </c>
      <c r="AD843" s="38">
        <v>0.0</v>
      </c>
      <c r="AE843" s="38">
        <v>0.0</v>
      </c>
      <c r="AF843" s="38">
        <v>0.0</v>
      </c>
      <c r="AG843" s="38">
        <v>0.0</v>
      </c>
      <c r="AH843" s="38">
        <v>0.0</v>
      </c>
      <c r="AI843" s="38">
        <v>456315.63</v>
      </c>
      <c r="AJ843" s="38">
        <v>1064973.69</v>
      </c>
      <c r="AK843" s="38">
        <v>3.0</v>
      </c>
      <c r="AL843" s="38">
        <v>250.8</v>
      </c>
      <c r="AM843" s="38">
        <v>0.0</v>
      </c>
      <c r="AN843" s="34" t="s">
        <v>62</v>
      </c>
      <c r="AO843" s="34" t="s">
        <v>62</v>
      </c>
      <c r="AP843" s="34" t="s">
        <v>62</v>
      </c>
      <c r="AQ843" s="34" t="s">
        <v>62</v>
      </c>
      <c r="AR843" s="38">
        <v>0.0</v>
      </c>
      <c r="AS843" s="38" t="s">
        <v>2293</v>
      </c>
      <c r="AT843" s="35" t="s">
        <v>2294</v>
      </c>
      <c r="AU843" s="39" t="s">
        <v>2295</v>
      </c>
      <c r="AV843" s="40">
        <v>46164.0</v>
      </c>
    </row>
    <row r="844">
      <c r="A844" s="38">
        <v>128.0</v>
      </c>
      <c r="B844" s="38">
        <v>127.0</v>
      </c>
      <c r="C844" s="38">
        <v>127.0</v>
      </c>
      <c r="D844" s="38">
        <v>9.0207944E7</v>
      </c>
      <c r="E844" s="38">
        <v>9.0207944E7</v>
      </c>
      <c r="F844" s="18" t="s">
        <v>875</v>
      </c>
      <c r="G844" s="18" t="s">
        <v>876</v>
      </c>
      <c r="H844" s="18" t="s">
        <v>3145</v>
      </c>
      <c r="I844" s="18" t="s">
        <v>877</v>
      </c>
      <c r="J844" s="18" t="s">
        <v>2205</v>
      </c>
      <c r="K844" s="18" t="s">
        <v>2611</v>
      </c>
      <c r="L844" s="18" t="s">
        <v>52</v>
      </c>
      <c r="M844" s="18" t="s">
        <v>89</v>
      </c>
      <c r="N844" s="18" t="s">
        <v>861</v>
      </c>
      <c r="O844" s="18" t="s">
        <v>126</v>
      </c>
      <c r="P844" s="18" t="s">
        <v>56</v>
      </c>
      <c r="Q844" s="18" t="s">
        <v>57</v>
      </c>
      <c r="R844" s="18" t="s">
        <v>143</v>
      </c>
      <c r="S844" s="18" t="s">
        <v>59</v>
      </c>
      <c r="T844" s="38">
        <v>2026.0</v>
      </c>
      <c r="U844" s="38">
        <v>5.0</v>
      </c>
      <c r="V844" s="38">
        <v>1.081522703E9</v>
      </c>
      <c r="W844" s="38">
        <v>1.081540773E9</v>
      </c>
      <c r="X844" s="18" t="s">
        <v>2199</v>
      </c>
      <c r="Y844" s="18" t="s">
        <v>2200</v>
      </c>
      <c r="Z844" s="38">
        <v>180520.25</v>
      </c>
      <c r="AA844" s="38">
        <v>180520.25</v>
      </c>
      <c r="AB844" s="38">
        <v>0.0</v>
      </c>
      <c r="AC844" s="38">
        <v>750.0</v>
      </c>
      <c r="AD844" s="38">
        <v>0.0</v>
      </c>
      <c r="AE844" s="38">
        <v>0.0</v>
      </c>
      <c r="AF844" s="38">
        <v>0.0</v>
      </c>
      <c r="AG844" s="38">
        <v>0.0</v>
      </c>
      <c r="AH844" s="38">
        <v>0.0</v>
      </c>
      <c r="AI844" s="38">
        <v>180520.25</v>
      </c>
      <c r="AJ844" s="38">
        <v>520005.7</v>
      </c>
      <c r="AK844" s="38">
        <v>3.0</v>
      </c>
      <c r="AL844" s="38">
        <v>250.8</v>
      </c>
      <c r="AM844" s="38">
        <v>0.0</v>
      </c>
      <c r="AN844" s="34" t="s">
        <v>62</v>
      </c>
      <c r="AO844" s="34" t="s">
        <v>62</v>
      </c>
      <c r="AP844" s="34" t="s">
        <v>62</v>
      </c>
      <c r="AQ844" s="34" t="s">
        <v>62</v>
      </c>
      <c r="AR844" s="38">
        <v>0.0</v>
      </c>
      <c r="AS844" s="38" t="s">
        <v>2293</v>
      </c>
      <c r="AT844" s="35" t="s">
        <v>2294</v>
      </c>
      <c r="AU844" s="39" t="s">
        <v>2295</v>
      </c>
      <c r="AV844" s="40">
        <v>46164.0</v>
      </c>
    </row>
    <row r="845">
      <c r="A845" s="38">
        <v>132.0</v>
      </c>
      <c r="B845" s="38">
        <v>131.0</v>
      </c>
      <c r="C845" s="38">
        <v>131.0</v>
      </c>
      <c r="D845" s="38">
        <v>9.0211192E7</v>
      </c>
      <c r="E845" s="38">
        <v>9.0211192E7</v>
      </c>
      <c r="F845" s="38">
        <v>8.90501434E8</v>
      </c>
      <c r="G845" s="18" t="s">
        <v>3146</v>
      </c>
      <c r="H845" s="18" t="s">
        <v>3147</v>
      </c>
      <c r="I845" s="18" t="s">
        <v>880</v>
      </c>
      <c r="J845" s="18" t="s">
        <v>2205</v>
      </c>
      <c r="K845" s="18" t="s">
        <v>2611</v>
      </c>
      <c r="L845" s="18" t="s">
        <v>52</v>
      </c>
      <c r="M845" s="18" t="s">
        <v>89</v>
      </c>
      <c r="N845" s="18" t="s">
        <v>861</v>
      </c>
      <c r="O845" s="18" t="s">
        <v>126</v>
      </c>
      <c r="P845" s="18" t="s">
        <v>56</v>
      </c>
      <c r="Q845" s="18" t="s">
        <v>57</v>
      </c>
      <c r="R845" s="18" t="s">
        <v>143</v>
      </c>
      <c r="S845" s="18" t="s">
        <v>59</v>
      </c>
      <c r="T845" s="38">
        <v>2026.0</v>
      </c>
      <c r="U845" s="38">
        <v>5.0</v>
      </c>
      <c r="V845" s="38">
        <v>1.081522707E9</v>
      </c>
      <c r="W845" s="38">
        <v>1.081540777E9</v>
      </c>
      <c r="X845" s="18" t="s">
        <v>2199</v>
      </c>
      <c r="Y845" s="18" t="s">
        <v>2200</v>
      </c>
      <c r="Z845" s="38">
        <v>218482.45</v>
      </c>
      <c r="AA845" s="38">
        <v>218482.45</v>
      </c>
      <c r="AB845" s="38">
        <v>0.0</v>
      </c>
      <c r="AC845" s="38">
        <v>950.0</v>
      </c>
      <c r="AD845" s="38">
        <v>0.0</v>
      </c>
      <c r="AE845" s="38">
        <v>0.0</v>
      </c>
      <c r="AF845" s="38">
        <v>0.0</v>
      </c>
      <c r="AG845" s="38">
        <v>0.0</v>
      </c>
      <c r="AH845" s="38">
        <v>0.0</v>
      </c>
      <c r="AI845" s="38">
        <v>218482.45</v>
      </c>
      <c r="AJ845" s="38">
        <v>595018.5</v>
      </c>
      <c r="AK845" s="38">
        <v>3.0</v>
      </c>
      <c r="AL845" s="38">
        <v>250.8</v>
      </c>
      <c r="AM845" s="38">
        <v>0.0</v>
      </c>
      <c r="AN845" s="34" t="s">
        <v>62</v>
      </c>
      <c r="AO845" s="34" t="s">
        <v>62</v>
      </c>
      <c r="AP845" s="34" t="s">
        <v>62</v>
      </c>
      <c r="AQ845" s="34" t="s">
        <v>62</v>
      </c>
      <c r="AR845" s="38">
        <v>0.0</v>
      </c>
      <c r="AS845" s="38" t="s">
        <v>2293</v>
      </c>
      <c r="AT845" s="35" t="s">
        <v>2294</v>
      </c>
      <c r="AU845" s="39" t="s">
        <v>2295</v>
      </c>
      <c r="AV845" s="40">
        <v>46164.0</v>
      </c>
    </row>
    <row r="846">
      <c r="A846" s="38">
        <v>147.0</v>
      </c>
      <c r="B846" s="38">
        <v>135.0</v>
      </c>
      <c r="C846" s="38">
        <v>135.0</v>
      </c>
      <c r="D846" s="38">
        <v>9.0213371E7</v>
      </c>
      <c r="E846" s="38">
        <v>9.0213371E7</v>
      </c>
      <c r="F846" s="18" t="s">
        <v>179</v>
      </c>
      <c r="G846" s="18" t="s">
        <v>180</v>
      </c>
      <c r="H846" s="18" t="s">
        <v>2320</v>
      </c>
      <c r="I846" s="18" t="s">
        <v>882</v>
      </c>
      <c r="J846" s="18" t="s">
        <v>2205</v>
      </c>
      <c r="K846" s="18" t="s">
        <v>2289</v>
      </c>
      <c r="L846" s="18" t="s">
        <v>52</v>
      </c>
      <c r="M846" s="18" t="s">
        <v>89</v>
      </c>
      <c r="N846" s="18" t="s">
        <v>861</v>
      </c>
      <c r="O846" s="18" t="s">
        <v>126</v>
      </c>
      <c r="P846" s="18" t="s">
        <v>131</v>
      </c>
      <c r="Q846" s="18" t="s">
        <v>151</v>
      </c>
      <c r="R846" s="18" t="s">
        <v>133</v>
      </c>
      <c r="S846" s="18" t="s">
        <v>59</v>
      </c>
      <c r="T846" s="38">
        <v>2026.0</v>
      </c>
      <c r="U846" s="38">
        <v>5.0</v>
      </c>
      <c r="V846" s="38">
        <v>1.081522711E9</v>
      </c>
      <c r="W846" s="38">
        <v>1.081540781E9</v>
      </c>
      <c r="X846" s="18" t="s">
        <v>2199</v>
      </c>
      <c r="Y846" s="18" t="s">
        <v>2200</v>
      </c>
      <c r="Z846" s="38">
        <v>75941.0</v>
      </c>
      <c r="AA846" s="38">
        <v>75941.0</v>
      </c>
      <c r="AB846" s="38">
        <v>0.0</v>
      </c>
      <c r="AC846" s="38">
        <v>0.0</v>
      </c>
      <c r="AD846" s="38">
        <v>0.0</v>
      </c>
      <c r="AE846" s="38">
        <v>0.0</v>
      </c>
      <c r="AF846" s="38">
        <v>0.0</v>
      </c>
      <c r="AG846" s="38">
        <v>0.0</v>
      </c>
      <c r="AH846" s="38">
        <v>0.0</v>
      </c>
      <c r="AI846" s="38">
        <v>75941.0</v>
      </c>
      <c r="AJ846" s="38">
        <v>150891.0</v>
      </c>
      <c r="AK846" s="38">
        <v>1.0</v>
      </c>
      <c r="AL846" s="38">
        <v>250.8</v>
      </c>
      <c r="AM846" s="38">
        <v>0.0</v>
      </c>
      <c r="AN846" s="34" t="s">
        <v>62</v>
      </c>
      <c r="AO846" s="34" t="s">
        <v>62</v>
      </c>
      <c r="AP846" s="34" t="s">
        <v>62</v>
      </c>
      <c r="AQ846" s="34" t="s">
        <v>62</v>
      </c>
      <c r="AR846" s="38">
        <v>0.0</v>
      </c>
      <c r="AS846" s="38" t="s">
        <v>2321</v>
      </c>
      <c r="AT846" s="35" t="s">
        <v>2202</v>
      </c>
      <c r="AU846" s="39" t="s">
        <v>2203</v>
      </c>
      <c r="AV846" s="40">
        <v>46163.0</v>
      </c>
    </row>
    <row r="847">
      <c r="A847" s="38">
        <v>140.0</v>
      </c>
      <c r="B847" s="38">
        <v>139.0</v>
      </c>
      <c r="C847" s="38">
        <v>139.0</v>
      </c>
      <c r="D847" s="38">
        <v>9.021473E7</v>
      </c>
      <c r="E847" s="38">
        <v>9.021473E7</v>
      </c>
      <c r="F847" s="18" t="s">
        <v>884</v>
      </c>
      <c r="G847" s="18" t="s">
        <v>885</v>
      </c>
      <c r="H847" s="18" t="s">
        <v>3148</v>
      </c>
      <c r="I847" s="18" t="s">
        <v>882</v>
      </c>
      <c r="J847" s="18" t="s">
        <v>2205</v>
      </c>
      <c r="K847" s="18" t="s">
        <v>2611</v>
      </c>
      <c r="L847" s="18" t="s">
        <v>52</v>
      </c>
      <c r="M847" s="18" t="s">
        <v>89</v>
      </c>
      <c r="N847" s="18" t="s">
        <v>861</v>
      </c>
      <c r="O847" s="18" t="s">
        <v>126</v>
      </c>
      <c r="P847" s="18" t="s">
        <v>56</v>
      </c>
      <c r="Q847" s="18" t="s">
        <v>57</v>
      </c>
      <c r="R847" s="18" t="s">
        <v>143</v>
      </c>
      <c r="S847" s="18" t="s">
        <v>59</v>
      </c>
      <c r="T847" s="38">
        <v>2026.0</v>
      </c>
      <c r="U847" s="38">
        <v>5.0</v>
      </c>
      <c r="V847" s="38">
        <v>1.081522714E9</v>
      </c>
      <c r="W847" s="38">
        <v>1.081540784E9</v>
      </c>
      <c r="X847" s="18" t="s">
        <v>2199</v>
      </c>
      <c r="Y847" s="18" t="s">
        <v>2200</v>
      </c>
      <c r="Z847" s="38">
        <v>166284.43</v>
      </c>
      <c r="AA847" s="38">
        <v>166284.43</v>
      </c>
      <c r="AB847" s="38">
        <v>0.0</v>
      </c>
      <c r="AC847" s="38">
        <v>675.0</v>
      </c>
      <c r="AD847" s="38">
        <v>0.0</v>
      </c>
      <c r="AE847" s="38">
        <v>0.0</v>
      </c>
      <c r="AF847" s="38">
        <v>0.0</v>
      </c>
      <c r="AG847" s="38">
        <v>0.0</v>
      </c>
      <c r="AH847" s="38">
        <v>0.0</v>
      </c>
      <c r="AI847" s="38">
        <v>166284.43</v>
      </c>
      <c r="AJ847" s="38">
        <v>491875.91</v>
      </c>
      <c r="AK847" s="38">
        <v>3.0</v>
      </c>
      <c r="AL847" s="38">
        <v>250.8</v>
      </c>
      <c r="AM847" s="38">
        <v>0.0</v>
      </c>
      <c r="AN847" s="34" t="s">
        <v>62</v>
      </c>
      <c r="AO847" s="34" t="s">
        <v>62</v>
      </c>
      <c r="AP847" s="34" t="s">
        <v>62</v>
      </c>
      <c r="AQ847" s="34" t="s">
        <v>62</v>
      </c>
      <c r="AR847" s="38">
        <v>0.0</v>
      </c>
      <c r="AS847" s="38" t="s">
        <v>2293</v>
      </c>
      <c r="AT847" s="35" t="s">
        <v>2294</v>
      </c>
      <c r="AU847" s="39" t="s">
        <v>2295</v>
      </c>
      <c r="AV847" s="40">
        <v>46164.0</v>
      </c>
    </row>
    <row r="848">
      <c r="A848" s="38">
        <v>144.0</v>
      </c>
      <c r="B848" s="38">
        <v>143.0</v>
      </c>
      <c r="C848" s="38">
        <v>143.0</v>
      </c>
      <c r="D848" s="38">
        <v>9.0216733E7</v>
      </c>
      <c r="E848" s="38">
        <v>9.0216733E7</v>
      </c>
      <c r="F848" s="38">
        <v>8.90501434E8</v>
      </c>
      <c r="G848" s="18" t="s">
        <v>887</v>
      </c>
      <c r="H848" s="18" t="s">
        <v>3149</v>
      </c>
      <c r="I848" s="18" t="s">
        <v>888</v>
      </c>
      <c r="J848" s="18" t="s">
        <v>2205</v>
      </c>
      <c r="K848" s="18" t="s">
        <v>2611</v>
      </c>
      <c r="L848" s="18" t="s">
        <v>52</v>
      </c>
      <c r="M848" s="18" t="s">
        <v>89</v>
      </c>
      <c r="N848" s="18" t="s">
        <v>861</v>
      </c>
      <c r="O848" s="18" t="s">
        <v>126</v>
      </c>
      <c r="P848" s="18" t="s">
        <v>56</v>
      </c>
      <c r="Q848" s="18" t="s">
        <v>57</v>
      </c>
      <c r="R848" s="18" t="s">
        <v>143</v>
      </c>
      <c r="S848" s="18" t="s">
        <v>59</v>
      </c>
      <c r="T848" s="38">
        <v>2026.0</v>
      </c>
      <c r="U848" s="38">
        <v>5.0</v>
      </c>
      <c r="V848" s="38">
        <v>1.081522718E9</v>
      </c>
      <c r="W848" s="38">
        <v>1.081540788E9</v>
      </c>
      <c r="X848" s="18" t="s">
        <v>2199</v>
      </c>
      <c r="Y848" s="18" t="s">
        <v>2200</v>
      </c>
      <c r="Z848" s="38">
        <v>166284.43</v>
      </c>
      <c r="AA848" s="38">
        <v>166284.43</v>
      </c>
      <c r="AB848" s="38">
        <v>0.0</v>
      </c>
      <c r="AC848" s="38">
        <v>675.0</v>
      </c>
      <c r="AD848" s="38">
        <v>0.0</v>
      </c>
      <c r="AE848" s="38">
        <v>0.0</v>
      </c>
      <c r="AF848" s="38">
        <v>0.0</v>
      </c>
      <c r="AG848" s="38">
        <v>0.0</v>
      </c>
      <c r="AH848" s="38">
        <v>0.0</v>
      </c>
      <c r="AI848" s="38">
        <v>166284.43</v>
      </c>
      <c r="AJ848" s="38">
        <v>491875.91</v>
      </c>
      <c r="AK848" s="38">
        <v>3.0</v>
      </c>
      <c r="AL848" s="38">
        <v>250.8</v>
      </c>
      <c r="AM848" s="38">
        <v>0.0</v>
      </c>
      <c r="AN848" s="34" t="s">
        <v>62</v>
      </c>
      <c r="AO848" s="34" t="s">
        <v>62</v>
      </c>
      <c r="AP848" s="34" t="s">
        <v>62</v>
      </c>
      <c r="AQ848" s="34" t="s">
        <v>62</v>
      </c>
      <c r="AR848" s="38">
        <v>0.0</v>
      </c>
      <c r="AS848" s="38" t="s">
        <v>2293</v>
      </c>
      <c r="AT848" s="35" t="s">
        <v>2294</v>
      </c>
      <c r="AU848" s="39" t="s">
        <v>2295</v>
      </c>
      <c r="AV848" s="40">
        <v>46164.0</v>
      </c>
    </row>
    <row r="849">
      <c r="A849" s="38">
        <v>148.0</v>
      </c>
      <c r="B849" s="38">
        <v>147.0</v>
      </c>
      <c r="C849" s="38">
        <v>147.0</v>
      </c>
      <c r="D849" s="38">
        <v>9.0217284E7</v>
      </c>
      <c r="E849" s="38">
        <v>9.0217284E7</v>
      </c>
      <c r="F849" s="18" t="s">
        <v>890</v>
      </c>
      <c r="G849" s="18" t="s">
        <v>891</v>
      </c>
      <c r="H849" s="18" t="s">
        <v>3150</v>
      </c>
      <c r="I849" s="18" t="s">
        <v>888</v>
      </c>
      <c r="J849" s="18" t="s">
        <v>2205</v>
      </c>
      <c r="K849" s="18" t="s">
        <v>2684</v>
      </c>
      <c r="L849" s="18" t="s">
        <v>52</v>
      </c>
      <c r="M849" s="18" t="s">
        <v>89</v>
      </c>
      <c r="N849" s="18" t="s">
        <v>861</v>
      </c>
      <c r="O849" s="18" t="s">
        <v>126</v>
      </c>
      <c r="P849" s="18" t="s">
        <v>131</v>
      </c>
      <c r="Q849" s="18" t="s">
        <v>151</v>
      </c>
      <c r="R849" s="18" t="s">
        <v>133</v>
      </c>
      <c r="S849" s="18" t="s">
        <v>59</v>
      </c>
      <c r="T849" s="38">
        <v>2026.0</v>
      </c>
      <c r="U849" s="38">
        <v>5.0</v>
      </c>
      <c r="V849" s="38">
        <v>1.081522721E9</v>
      </c>
      <c r="W849" s="38">
        <v>1.081540791E9</v>
      </c>
      <c r="X849" s="18" t="s">
        <v>2199</v>
      </c>
      <c r="Y849" s="18" t="s">
        <v>2200</v>
      </c>
      <c r="Z849" s="38">
        <v>75941.0</v>
      </c>
      <c r="AA849" s="38">
        <v>75941.0</v>
      </c>
      <c r="AB849" s="38">
        <v>0.0</v>
      </c>
      <c r="AC849" s="38">
        <v>0.0</v>
      </c>
      <c r="AD849" s="38">
        <v>0.0</v>
      </c>
      <c r="AE849" s="38">
        <v>0.0</v>
      </c>
      <c r="AF849" s="38">
        <v>0.0</v>
      </c>
      <c r="AG849" s="38">
        <v>0.0</v>
      </c>
      <c r="AH849" s="38">
        <v>0.0</v>
      </c>
      <c r="AI849" s="38">
        <v>75941.0</v>
      </c>
      <c r="AJ849" s="38">
        <v>176867.0</v>
      </c>
      <c r="AK849" s="38">
        <v>2.0</v>
      </c>
      <c r="AL849" s="38">
        <v>250.8</v>
      </c>
      <c r="AM849" s="38">
        <v>0.0</v>
      </c>
      <c r="AN849" s="34" t="s">
        <v>62</v>
      </c>
      <c r="AO849" s="34" t="s">
        <v>62</v>
      </c>
      <c r="AP849" s="34" t="s">
        <v>62</v>
      </c>
      <c r="AQ849" s="34" t="s">
        <v>62</v>
      </c>
      <c r="AR849" s="38">
        <v>0.0</v>
      </c>
      <c r="AS849" s="38" t="s">
        <v>2685</v>
      </c>
      <c r="AT849" s="35" t="s">
        <v>2294</v>
      </c>
      <c r="AU849" s="39" t="s">
        <v>2295</v>
      </c>
      <c r="AV849" s="40">
        <v>46164.0</v>
      </c>
    </row>
    <row r="850">
      <c r="A850" s="38">
        <v>156.0</v>
      </c>
      <c r="B850" s="38">
        <v>155.0</v>
      </c>
      <c r="C850" s="38">
        <v>155.0</v>
      </c>
      <c r="D850" s="38">
        <v>9.0217994E7</v>
      </c>
      <c r="E850" s="38">
        <v>9.0217994E7</v>
      </c>
      <c r="F850" s="18" t="s">
        <v>893</v>
      </c>
      <c r="G850" s="18" t="s">
        <v>894</v>
      </c>
      <c r="H850" s="18" t="s">
        <v>3151</v>
      </c>
      <c r="I850" s="18" t="s">
        <v>895</v>
      </c>
      <c r="J850" s="18" t="s">
        <v>2205</v>
      </c>
      <c r="K850" s="18" t="s">
        <v>2205</v>
      </c>
      <c r="L850" s="18" t="s">
        <v>52</v>
      </c>
      <c r="M850" s="18" t="s">
        <v>89</v>
      </c>
      <c r="N850" s="18" t="s">
        <v>861</v>
      </c>
      <c r="O850" s="18" t="s">
        <v>126</v>
      </c>
      <c r="P850" s="18" t="s">
        <v>56</v>
      </c>
      <c r="Q850" s="18" t="s">
        <v>57</v>
      </c>
      <c r="R850" s="18" t="s">
        <v>143</v>
      </c>
      <c r="S850" s="18" t="s">
        <v>59</v>
      </c>
      <c r="T850" s="38">
        <v>2026.0</v>
      </c>
      <c r="U850" s="38">
        <v>5.0</v>
      </c>
      <c r="V850" s="38">
        <v>1.081522724E9</v>
      </c>
      <c r="W850" s="38">
        <v>1.081540794E9</v>
      </c>
      <c r="X850" s="18" t="s">
        <v>2199</v>
      </c>
      <c r="Y850" s="18" t="s">
        <v>2200</v>
      </c>
      <c r="Z850" s="38">
        <v>1253426.94</v>
      </c>
      <c r="AA850" s="38">
        <v>1253426.94</v>
      </c>
      <c r="AB850" s="38">
        <v>0.0</v>
      </c>
      <c r="AC850" s="38">
        <v>6402.5</v>
      </c>
      <c r="AD850" s="38">
        <v>0.0</v>
      </c>
      <c r="AE850" s="38">
        <v>0.0</v>
      </c>
      <c r="AF850" s="38">
        <v>0.0</v>
      </c>
      <c r="AG850" s="38">
        <v>0.0</v>
      </c>
      <c r="AH850" s="38">
        <v>0.0</v>
      </c>
      <c r="AI850" s="38">
        <v>1253426.94</v>
      </c>
      <c r="AJ850" s="38">
        <v>1253426.94</v>
      </c>
      <c r="AK850" s="38">
        <v>0.0</v>
      </c>
      <c r="AL850" s="38">
        <v>250.8</v>
      </c>
      <c r="AM850" s="38">
        <v>0.0</v>
      </c>
      <c r="AN850" s="34" t="s">
        <v>62</v>
      </c>
      <c r="AO850" s="34" t="s">
        <v>62</v>
      </c>
      <c r="AP850" s="34" t="s">
        <v>62</v>
      </c>
      <c r="AQ850" s="34" t="s">
        <v>62</v>
      </c>
      <c r="AR850" s="38">
        <v>0.0</v>
      </c>
      <c r="AS850" s="38" t="s">
        <v>3152</v>
      </c>
      <c r="AT850" s="35" t="s">
        <v>2202</v>
      </c>
      <c r="AU850" s="39" t="s">
        <v>2254</v>
      </c>
      <c r="AV850" s="40">
        <v>46171.0</v>
      </c>
    </row>
    <row r="851">
      <c r="A851" s="38">
        <v>160.0</v>
      </c>
      <c r="B851" s="38">
        <v>159.0</v>
      </c>
      <c r="C851" s="38">
        <v>159.0</v>
      </c>
      <c r="D851" s="38">
        <v>9.021917E7</v>
      </c>
      <c r="E851" s="38">
        <v>9.021917E7</v>
      </c>
      <c r="F851" s="18" t="s">
        <v>897</v>
      </c>
      <c r="G851" s="18" t="s">
        <v>3153</v>
      </c>
      <c r="H851" s="18" t="s">
        <v>3154</v>
      </c>
      <c r="I851" s="38">
        <v>0.0</v>
      </c>
      <c r="J851" s="18" t="s">
        <v>2205</v>
      </c>
      <c r="K851" s="18" t="s">
        <v>2205</v>
      </c>
      <c r="L851" s="18" t="s">
        <v>52</v>
      </c>
      <c r="M851" s="18" t="s">
        <v>89</v>
      </c>
      <c r="N851" s="18" t="s">
        <v>861</v>
      </c>
      <c r="O851" s="18" t="s">
        <v>126</v>
      </c>
      <c r="P851" s="18" t="s">
        <v>56</v>
      </c>
      <c r="Q851" s="18" t="s">
        <v>90</v>
      </c>
      <c r="R851" s="18" t="s">
        <v>143</v>
      </c>
      <c r="S851" s="18" t="s">
        <v>59</v>
      </c>
      <c r="T851" s="38">
        <v>2026.0</v>
      </c>
      <c r="U851" s="38">
        <v>5.0</v>
      </c>
      <c r="V851" s="38">
        <v>1.081522728E9</v>
      </c>
      <c r="W851" s="38">
        <v>1.081540798E9</v>
      </c>
      <c r="X851" s="18" t="s">
        <v>2199</v>
      </c>
      <c r="Y851" s="18" t="s">
        <v>2200</v>
      </c>
      <c r="Z851" s="38">
        <v>354771.76</v>
      </c>
      <c r="AA851" s="38">
        <v>354771.76</v>
      </c>
      <c r="AB851" s="38">
        <v>118257.26</v>
      </c>
      <c r="AC851" s="38">
        <v>1045.0</v>
      </c>
      <c r="AD851" s="38">
        <v>0.0</v>
      </c>
      <c r="AE851" s="38">
        <v>0.0</v>
      </c>
      <c r="AF851" s="38">
        <v>0.0</v>
      </c>
      <c r="AG851" s="38">
        <v>0.0</v>
      </c>
      <c r="AH851" s="38">
        <v>0.0</v>
      </c>
      <c r="AI851" s="38">
        <v>354771.76</v>
      </c>
      <c r="AJ851" s="38">
        <v>354771.76</v>
      </c>
      <c r="AK851" s="38">
        <v>0.0</v>
      </c>
      <c r="AL851" s="38">
        <v>376.2</v>
      </c>
      <c r="AM851" s="38">
        <v>0.0</v>
      </c>
      <c r="AN851" s="34" t="s">
        <v>62</v>
      </c>
      <c r="AO851" s="34" t="s">
        <v>62</v>
      </c>
      <c r="AP851" s="34" t="s">
        <v>62</v>
      </c>
      <c r="AQ851" s="34" t="s">
        <v>62</v>
      </c>
      <c r="AR851" s="38">
        <v>0.0</v>
      </c>
      <c r="AS851" s="38" t="s">
        <v>3155</v>
      </c>
      <c r="AT851" s="35" t="s">
        <v>2202</v>
      </c>
      <c r="AU851" s="39" t="s">
        <v>2254</v>
      </c>
      <c r="AV851" s="40">
        <v>46171.0</v>
      </c>
    </row>
    <row r="852">
      <c r="A852" s="38">
        <v>168.0</v>
      </c>
      <c r="B852" s="38">
        <v>167.0</v>
      </c>
      <c r="C852" s="38">
        <v>167.0</v>
      </c>
      <c r="D852" s="38">
        <v>9.0221385E7</v>
      </c>
      <c r="E852" s="38">
        <v>9.0221385E7</v>
      </c>
      <c r="F852" s="18" t="s">
        <v>900</v>
      </c>
      <c r="G852" s="18" t="s">
        <v>901</v>
      </c>
      <c r="H852" s="18" t="s">
        <v>3156</v>
      </c>
      <c r="I852" s="18" t="s">
        <v>902</v>
      </c>
      <c r="J852" s="18" t="s">
        <v>2205</v>
      </c>
      <c r="K852" s="18" t="s">
        <v>3157</v>
      </c>
      <c r="L852" s="18" t="s">
        <v>52</v>
      </c>
      <c r="M852" s="18" t="s">
        <v>89</v>
      </c>
      <c r="N852" s="18" t="s">
        <v>861</v>
      </c>
      <c r="O852" s="18" t="s">
        <v>126</v>
      </c>
      <c r="P852" s="18" t="s">
        <v>56</v>
      </c>
      <c r="Q852" s="18" t="s">
        <v>57</v>
      </c>
      <c r="R852" s="18" t="s">
        <v>143</v>
      </c>
      <c r="S852" s="18" t="s">
        <v>59</v>
      </c>
      <c r="T852" s="38">
        <v>2026.0</v>
      </c>
      <c r="U852" s="38">
        <v>5.0</v>
      </c>
      <c r="V852" s="38">
        <v>1.081522732E9</v>
      </c>
      <c r="W852" s="38">
        <v>1.081540802E9</v>
      </c>
      <c r="X852" s="18" t="s">
        <v>2199</v>
      </c>
      <c r="Y852" s="18" t="s">
        <v>2200</v>
      </c>
      <c r="Z852" s="38">
        <v>225125.84</v>
      </c>
      <c r="AA852" s="38">
        <v>225125.84</v>
      </c>
      <c r="AB852" s="38">
        <v>0.0</v>
      </c>
      <c r="AC852" s="38">
        <v>985.0</v>
      </c>
      <c r="AD852" s="38">
        <v>0.0</v>
      </c>
      <c r="AE852" s="38">
        <v>0.0</v>
      </c>
      <c r="AF852" s="38">
        <v>0.0</v>
      </c>
      <c r="AG852" s="38">
        <v>0.0</v>
      </c>
      <c r="AH852" s="38">
        <v>0.0</v>
      </c>
      <c r="AI852" s="38">
        <v>225125.84</v>
      </c>
      <c r="AJ852" s="38">
        <v>225125.84</v>
      </c>
      <c r="AK852" s="38">
        <v>0.0</v>
      </c>
      <c r="AL852" s="38">
        <v>250.8</v>
      </c>
      <c r="AM852" s="38">
        <v>0.0</v>
      </c>
      <c r="AN852" s="34" t="s">
        <v>62</v>
      </c>
      <c r="AO852" s="34" t="s">
        <v>62</v>
      </c>
      <c r="AP852" s="34" t="s">
        <v>62</v>
      </c>
      <c r="AQ852" s="34" t="s">
        <v>62</v>
      </c>
      <c r="AR852" s="38">
        <v>0.0</v>
      </c>
      <c r="AS852" s="38" t="s">
        <v>3158</v>
      </c>
      <c r="AT852" s="35" t="s">
        <v>2202</v>
      </c>
      <c r="AU852" s="39" t="s">
        <v>2203</v>
      </c>
      <c r="AV852" s="40">
        <v>46168.0</v>
      </c>
    </row>
    <row r="853">
      <c r="A853" s="38">
        <v>176.0</v>
      </c>
      <c r="B853" s="38">
        <v>175.0</v>
      </c>
      <c r="C853" s="38">
        <v>175.0</v>
      </c>
      <c r="D853" s="38">
        <v>9.0222812E7</v>
      </c>
      <c r="E853" s="38">
        <v>9.0222812E7</v>
      </c>
      <c r="F853" s="18" t="s">
        <v>904</v>
      </c>
      <c r="G853" s="18" t="s">
        <v>905</v>
      </c>
      <c r="H853" s="18" t="s">
        <v>3159</v>
      </c>
      <c r="I853" s="18" t="s">
        <v>906</v>
      </c>
      <c r="J853" s="18" t="s">
        <v>2205</v>
      </c>
      <c r="K853" s="18" t="s">
        <v>2205</v>
      </c>
      <c r="L853" s="18" t="s">
        <v>52</v>
      </c>
      <c r="M853" s="18" t="s">
        <v>89</v>
      </c>
      <c r="N853" s="18" t="s">
        <v>861</v>
      </c>
      <c r="O853" s="18" t="s">
        <v>126</v>
      </c>
      <c r="P853" s="18" t="s">
        <v>131</v>
      </c>
      <c r="Q853" s="18" t="s">
        <v>151</v>
      </c>
      <c r="R853" s="18" t="s">
        <v>133</v>
      </c>
      <c r="S853" s="18" t="s">
        <v>59</v>
      </c>
      <c r="T853" s="38">
        <v>2026.0</v>
      </c>
      <c r="U853" s="38">
        <v>5.0</v>
      </c>
      <c r="V853" s="38">
        <v>1.081522735E9</v>
      </c>
      <c r="W853" s="38">
        <v>1.081540805E9</v>
      </c>
      <c r="X853" s="18" t="s">
        <v>2199</v>
      </c>
      <c r="Y853" s="18" t="s">
        <v>2200</v>
      </c>
      <c r="Z853" s="38">
        <v>75941.0</v>
      </c>
      <c r="AA853" s="38">
        <v>75941.0</v>
      </c>
      <c r="AB853" s="38">
        <v>0.0</v>
      </c>
      <c r="AC853" s="38">
        <v>0.0</v>
      </c>
      <c r="AD853" s="38">
        <v>0.0</v>
      </c>
      <c r="AE853" s="38">
        <v>0.0</v>
      </c>
      <c r="AF853" s="38">
        <v>0.0</v>
      </c>
      <c r="AG853" s="38">
        <v>0.0</v>
      </c>
      <c r="AH853" s="38">
        <v>0.0</v>
      </c>
      <c r="AI853" s="38">
        <v>75941.0</v>
      </c>
      <c r="AJ853" s="38">
        <v>150891.0</v>
      </c>
      <c r="AK853" s="38">
        <v>1.0</v>
      </c>
      <c r="AL853" s="38">
        <v>250.8</v>
      </c>
      <c r="AM853" s="38">
        <v>0.0</v>
      </c>
      <c r="AN853" s="34" t="s">
        <v>62</v>
      </c>
      <c r="AO853" s="34" t="s">
        <v>62</v>
      </c>
      <c r="AP853" s="34" t="s">
        <v>62</v>
      </c>
      <c r="AQ853" s="34" t="s">
        <v>62</v>
      </c>
      <c r="AR853" s="38">
        <v>0.0</v>
      </c>
      <c r="AS853" s="38" t="s">
        <v>3160</v>
      </c>
      <c r="AT853" s="35" t="s">
        <v>2202</v>
      </c>
      <c r="AU853" s="39" t="s">
        <v>2254</v>
      </c>
      <c r="AV853" s="40">
        <v>46171.0</v>
      </c>
    </row>
    <row r="854">
      <c r="A854" s="38">
        <v>455370.0</v>
      </c>
      <c r="B854" s="38">
        <v>179.0</v>
      </c>
      <c r="C854" s="38">
        <v>179.0</v>
      </c>
      <c r="D854" s="38">
        <v>9.0225362E7</v>
      </c>
      <c r="E854" s="38">
        <v>9.0225362E7</v>
      </c>
      <c r="F854" s="18" t="s">
        <v>148</v>
      </c>
      <c r="G854" s="18" t="s">
        <v>149</v>
      </c>
      <c r="H854" s="18" t="s">
        <v>2296</v>
      </c>
      <c r="I854" s="18" t="s">
        <v>908</v>
      </c>
      <c r="J854" s="18" t="s">
        <v>2205</v>
      </c>
      <c r="K854" s="18" t="s">
        <v>2611</v>
      </c>
      <c r="L854" s="18" t="s">
        <v>52</v>
      </c>
      <c r="M854" s="18" t="s">
        <v>53</v>
      </c>
      <c r="N854" s="18" t="s">
        <v>861</v>
      </c>
      <c r="O854" s="18" t="s">
        <v>126</v>
      </c>
      <c r="P854" s="18" t="s">
        <v>56</v>
      </c>
      <c r="Q854" s="18" t="s">
        <v>57</v>
      </c>
      <c r="R854" s="18" t="s">
        <v>143</v>
      </c>
      <c r="S854" s="18" t="s">
        <v>59</v>
      </c>
      <c r="T854" s="38">
        <v>2026.0</v>
      </c>
      <c r="U854" s="38">
        <v>5.0</v>
      </c>
      <c r="V854" s="38">
        <v>1.081522739E9</v>
      </c>
      <c r="W854" s="38">
        <v>1.081540809E9</v>
      </c>
      <c r="X854" s="18" t="s">
        <v>2199</v>
      </c>
      <c r="Y854" s="18" t="s">
        <v>2200</v>
      </c>
      <c r="Z854" s="38">
        <v>205195.68</v>
      </c>
      <c r="AA854" s="38">
        <v>205195.68</v>
      </c>
      <c r="AB854" s="38">
        <v>0.0</v>
      </c>
      <c r="AC854" s="38">
        <v>880.0</v>
      </c>
      <c r="AD854" s="38">
        <v>0.0</v>
      </c>
      <c r="AE854" s="38">
        <v>0.0</v>
      </c>
      <c r="AF854" s="38">
        <v>0.0</v>
      </c>
      <c r="AG854" s="38">
        <v>0.0</v>
      </c>
      <c r="AH854" s="38">
        <v>0.0</v>
      </c>
      <c r="AI854" s="38">
        <v>205195.68</v>
      </c>
      <c r="AJ854" s="38">
        <v>568764.02</v>
      </c>
      <c r="AK854" s="38">
        <v>3.0</v>
      </c>
      <c r="AL854" s="38">
        <v>250.8</v>
      </c>
      <c r="AM854" s="38">
        <v>0.0</v>
      </c>
      <c r="AN854" s="34" t="s">
        <v>62</v>
      </c>
      <c r="AO854" s="34" t="s">
        <v>62</v>
      </c>
      <c r="AP854" s="34" t="s">
        <v>62</v>
      </c>
      <c r="AQ854" s="34" t="s">
        <v>62</v>
      </c>
      <c r="AR854" s="38">
        <v>0.0</v>
      </c>
      <c r="AS854" s="38" t="s">
        <v>2293</v>
      </c>
      <c r="AT854" s="35" t="s">
        <v>2294</v>
      </c>
      <c r="AU854" s="39" t="s">
        <v>2295</v>
      </c>
      <c r="AV854" s="40">
        <v>46164.0</v>
      </c>
    </row>
    <row r="855">
      <c r="A855" s="38">
        <v>455370.0</v>
      </c>
      <c r="B855" s="38">
        <v>183.0</v>
      </c>
      <c r="C855" s="38">
        <v>183.0</v>
      </c>
      <c r="D855" s="38">
        <v>9.0225813E7</v>
      </c>
      <c r="E855" s="38">
        <v>9.0225813E7</v>
      </c>
      <c r="F855" s="18" t="s">
        <v>148</v>
      </c>
      <c r="G855" s="18" t="s">
        <v>149</v>
      </c>
      <c r="H855" s="18" t="s">
        <v>2296</v>
      </c>
      <c r="I855" s="18" t="s">
        <v>910</v>
      </c>
      <c r="J855" s="18" t="s">
        <v>2205</v>
      </c>
      <c r="K855" s="18" t="s">
        <v>2611</v>
      </c>
      <c r="L855" s="18" t="s">
        <v>52</v>
      </c>
      <c r="M855" s="18" t="s">
        <v>53</v>
      </c>
      <c r="N855" s="18" t="s">
        <v>861</v>
      </c>
      <c r="O855" s="18" t="s">
        <v>126</v>
      </c>
      <c r="P855" s="18" t="s">
        <v>56</v>
      </c>
      <c r="Q855" s="18" t="s">
        <v>57</v>
      </c>
      <c r="R855" s="18" t="s">
        <v>143</v>
      </c>
      <c r="S855" s="18" t="s">
        <v>59</v>
      </c>
      <c r="T855" s="38">
        <v>2026.0</v>
      </c>
      <c r="U855" s="38">
        <v>5.0</v>
      </c>
      <c r="V855" s="38">
        <v>1.081522743E9</v>
      </c>
      <c r="W855" s="38">
        <v>1.081540813E9</v>
      </c>
      <c r="X855" s="18" t="s">
        <v>2199</v>
      </c>
      <c r="Y855" s="18" t="s">
        <v>2200</v>
      </c>
      <c r="Z855" s="38">
        <v>350401.1</v>
      </c>
      <c r="AA855" s="38">
        <v>350401.1</v>
      </c>
      <c r="AB855" s="38">
        <v>0.0</v>
      </c>
      <c r="AC855" s="38">
        <v>1645.0</v>
      </c>
      <c r="AD855" s="38">
        <v>0.0</v>
      </c>
      <c r="AE855" s="38">
        <v>0.0</v>
      </c>
      <c r="AF855" s="38">
        <v>0.0</v>
      </c>
      <c r="AG855" s="38">
        <v>0.0</v>
      </c>
      <c r="AH855" s="38">
        <v>0.0</v>
      </c>
      <c r="AI855" s="38">
        <v>350401.1</v>
      </c>
      <c r="AJ855" s="38">
        <v>855687.99</v>
      </c>
      <c r="AK855" s="38">
        <v>3.0</v>
      </c>
      <c r="AL855" s="38">
        <v>250.8</v>
      </c>
      <c r="AM855" s="38">
        <v>0.0</v>
      </c>
      <c r="AN855" s="34" t="s">
        <v>62</v>
      </c>
      <c r="AO855" s="34" t="s">
        <v>62</v>
      </c>
      <c r="AP855" s="34" t="s">
        <v>62</v>
      </c>
      <c r="AQ855" s="34" t="s">
        <v>62</v>
      </c>
      <c r="AR855" s="38">
        <v>0.0</v>
      </c>
      <c r="AS855" s="38" t="s">
        <v>2293</v>
      </c>
      <c r="AT855" s="35" t="s">
        <v>2294</v>
      </c>
      <c r="AU855" s="39" t="s">
        <v>2295</v>
      </c>
      <c r="AV855" s="40">
        <v>46164.0</v>
      </c>
    </row>
    <row r="856">
      <c r="A856" s="38">
        <v>188.0</v>
      </c>
      <c r="B856" s="38">
        <v>187.0</v>
      </c>
      <c r="C856" s="38">
        <v>187.0</v>
      </c>
      <c r="D856" s="38">
        <v>9.0226173E7</v>
      </c>
      <c r="E856" s="38">
        <v>9.0226173E7</v>
      </c>
      <c r="F856" s="38">
        <v>8.9005272E7</v>
      </c>
      <c r="G856" s="18" t="s">
        <v>912</v>
      </c>
      <c r="H856" s="18" t="s">
        <v>3161</v>
      </c>
      <c r="I856" s="18" t="s">
        <v>910</v>
      </c>
      <c r="J856" s="18" t="s">
        <v>2273</v>
      </c>
      <c r="K856" s="18" t="s">
        <v>2205</v>
      </c>
      <c r="L856" s="18" t="s">
        <v>52</v>
      </c>
      <c r="M856" s="18" t="s">
        <v>89</v>
      </c>
      <c r="N856" s="18" t="s">
        <v>861</v>
      </c>
      <c r="O856" s="18" t="s">
        <v>126</v>
      </c>
      <c r="P856" s="18" t="s">
        <v>131</v>
      </c>
      <c r="Q856" s="18" t="s">
        <v>132</v>
      </c>
      <c r="R856" s="18" t="s">
        <v>133</v>
      </c>
      <c r="S856" s="18" t="s">
        <v>59</v>
      </c>
      <c r="T856" s="38">
        <v>2026.0</v>
      </c>
      <c r="U856" s="38">
        <v>5.0</v>
      </c>
      <c r="V856" s="38">
        <v>1.081522747E9</v>
      </c>
      <c r="W856" s="38">
        <v>1.081540817E9</v>
      </c>
      <c r="X856" s="18" t="s">
        <v>2199</v>
      </c>
      <c r="Y856" s="18" t="s">
        <v>2200</v>
      </c>
      <c r="Z856" s="38">
        <v>117405.93</v>
      </c>
      <c r="AA856" s="38">
        <v>117405.93</v>
      </c>
      <c r="AB856" s="38">
        <v>37970.5</v>
      </c>
      <c r="AC856" s="38">
        <v>0.0</v>
      </c>
      <c r="AD856" s="38">
        <v>3494.43</v>
      </c>
      <c r="AE856" s="38">
        <v>0.0</v>
      </c>
      <c r="AF856" s="38">
        <v>0.0</v>
      </c>
      <c r="AG856" s="38">
        <v>0.0</v>
      </c>
      <c r="AH856" s="38">
        <v>0.0</v>
      </c>
      <c r="AI856" s="38">
        <v>117405.93</v>
      </c>
      <c r="AJ856" s="38">
        <v>446079.92</v>
      </c>
      <c r="AK856" s="38">
        <v>3.0</v>
      </c>
      <c r="AL856" s="38">
        <v>376.2</v>
      </c>
      <c r="AM856" s="38">
        <v>0.0</v>
      </c>
      <c r="AN856" s="34" t="s">
        <v>62</v>
      </c>
      <c r="AO856" s="34" t="s">
        <v>62</v>
      </c>
      <c r="AP856" s="34" t="s">
        <v>62</v>
      </c>
      <c r="AQ856" s="34" t="s">
        <v>62</v>
      </c>
      <c r="AR856" s="38">
        <v>0.0</v>
      </c>
      <c r="AS856" s="34"/>
      <c r="AT856" s="35" t="s">
        <v>2275</v>
      </c>
      <c r="AU856" s="39" t="s">
        <v>2276</v>
      </c>
      <c r="AV856" s="40">
        <v>46163.0</v>
      </c>
    </row>
    <row r="857">
      <c r="A857" s="38">
        <v>192.0</v>
      </c>
      <c r="B857" s="38">
        <v>191.0</v>
      </c>
      <c r="C857" s="38">
        <v>191.0</v>
      </c>
      <c r="D857" s="38">
        <v>9.0229493E7</v>
      </c>
      <c r="E857" s="38">
        <v>9.0229493E7</v>
      </c>
      <c r="F857" s="38">
        <v>9.00259415E8</v>
      </c>
      <c r="G857" s="18" t="s">
        <v>914</v>
      </c>
      <c r="H857" s="18" t="s">
        <v>3162</v>
      </c>
      <c r="I857" s="18" t="s">
        <v>915</v>
      </c>
      <c r="J857" s="18" t="s">
        <v>2205</v>
      </c>
      <c r="K857" s="18" t="s">
        <v>2289</v>
      </c>
      <c r="L857" s="18" t="s">
        <v>52</v>
      </c>
      <c r="M857" s="18" t="s">
        <v>89</v>
      </c>
      <c r="N857" s="18" t="s">
        <v>861</v>
      </c>
      <c r="O857" s="18" t="s">
        <v>126</v>
      </c>
      <c r="P857" s="18" t="s">
        <v>56</v>
      </c>
      <c r="Q857" s="18" t="s">
        <v>57</v>
      </c>
      <c r="R857" s="18" t="s">
        <v>143</v>
      </c>
      <c r="S857" s="18" t="s">
        <v>59</v>
      </c>
      <c r="T857" s="38">
        <v>2026.0</v>
      </c>
      <c r="U857" s="38">
        <v>5.0</v>
      </c>
      <c r="V857" s="38">
        <v>1.081522751E9</v>
      </c>
      <c r="W857" s="38">
        <v>1.081540821E9</v>
      </c>
      <c r="X857" s="18" t="s">
        <v>2199</v>
      </c>
      <c r="Y857" s="18" t="s">
        <v>2200</v>
      </c>
      <c r="Z857" s="38">
        <v>534138.14</v>
      </c>
      <c r="AA857" s="38">
        <v>534138.14</v>
      </c>
      <c r="AB857" s="38">
        <v>0.0</v>
      </c>
      <c r="AC857" s="38">
        <v>2613.0</v>
      </c>
      <c r="AD857" s="38">
        <v>0.0</v>
      </c>
      <c r="AE857" s="38">
        <v>0.0</v>
      </c>
      <c r="AF857" s="38">
        <v>0.0</v>
      </c>
      <c r="AG857" s="38">
        <v>0.0</v>
      </c>
      <c r="AH857" s="38">
        <v>0.0</v>
      </c>
      <c r="AI857" s="38">
        <v>534138.14</v>
      </c>
      <c r="AJ857" s="38">
        <v>1056283.37</v>
      </c>
      <c r="AK857" s="38">
        <v>2.0</v>
      </c>
      <c r="AL857" s="38">
        <v>250.8</v>
      </c>
      <c r="AM857" s="38">
        <v>0.0</v>
      </c>
      <c r="AN857" s="34" t="s">
        <v>62</v>
      </c>
      <c r="AO857" s="34" t="s">
        <v>62</v>
      </c>
      <c r="AP857" s="34" t="s">
        <v>62</v>
      </c>
      <c r="AQ857" s="34" t="s">
        <v>62</v>
      </c>
      <c r="AR857" s="38">
        <v>0.0</v>
      </c>
      <c r="AS857" s="38" t="s">
        <v>3163</v>
      </c>
      <c r="AT857" s="35" t="s">
        <v>2202</v>
      </c>
      <c r="AU857" s="39" t="s">
        <v>2203</v>
      </c>
      <c r="AV857" s="40">
        <v>46163.0</v>
      </c>
    </row>
    <row r="858">
      <c r="A858" s="38">
        <v>196.0</v>
      </c>
      <c r="B858" s="38">
        <v>195.0</v>
      </c>
      <c r="C858" s="38">
        <v>195.0</v>
      </c>
      <c r="D858" s="38">
        <v>9.0230804E7</v>
      </c>
      <c r="E858" s="38">
        <v>9.0230804E7</v>
      </c>
      <c r="F858" s="18" t="s">
        <v>917</v>
      </c>
      <c r="G858" s="18" t="s">
        <v>918</v>
      </c>
      <c r="H858" s="18" t="s">
        <v>3164</v>
      </c>
      <c r="I858" s="18" t="s">
        <v>919</v>
      </c>
      <c r="J858" s="18" t="s">
        <v>2205</v>
      </c>
      <c r="K858" s="18" t="s">
        <v>2205</v>
      </c>
      <c r="L858" s="18" t="s">
        <v>52</v>
      </c>
      <c r="M858" s="18" t="s">
        <v>89</v>
      </c>
      <c r="N858" s="18" t="s">
        <v>861</v>
      </c>
      <c r="O858" s="18" t="s">
        <v>126</v>
      </c>
      <c r="P858" s="18" t="s">
        <v>56</v>
      </c>
      <c r="Q858" s="18" t="s">
        <v>90</v>
      </c>
      <c r="R858" s="18" t="s">
        <v>143</v>
      </c>
      <c r="S858" s="18" t="s">
        <v>59</v>
      </c>
      <c r="T858" s="38">
        <v>2026.0</v>
      </c>
      <c r="U858" s="38">
        <v>5.0</v>
      </c>
      <c r="V858" s="38">
        <v>1.081522755E9</v>
      </c>
      <c r="W858" s="38">
        <v>1.081540825E9</v>
      </c>
      <c r="X858" s="18" t="s">
        <v>2199</v>
      </c>
      <c r="Y858" s="18" t="s">
        <v>2200</v>
      </c>
      <c r="Z858" s="38">
        <v>128422.13</v>
      </c>
      <c r="AA858" s="38">
        <v>128422.13</v>
      </c>
      <c r="AB858" s="38">
        <v>42807.38</v>
      </c>
      <c r="AC858" s="38">
        <v>250.0</v>
      </c>
      <c r="AD858" s="38">
        <v>0.0</v>
      </c>
      <c r="AE858" s="38">
        <v>0.0</v>
      </c>
      <c r="AF858" s="38">
        <v>0.0</v>
      </c>
      <c r="AG858" s="38">
        <v>0.0</v>
      </c>
      <c r="AH858" s="38">
        <v>0.0</v>
      </c>
      <c r="AI858" s="38">
        <v>128422.13</v>
      </c>
      <c r="AJ858" s="38">
        <v>128422.14</v>
      </c>
      <c r="AK858" s="38">
        <v>1.0</v>
      </c>
      <c r="AL858" s="38">
        <v>376.2</v>
      </c>
      <c r="AM858" s="38">
        <v>0.0</v>
      </c>
      <c r="AN858" s="34" t="s">
        <v>62</v>
      </c>
      <c r="AO858" s="34" t="s">
        <v>62</v>
      </c>
      <c r="AP858" s="34" t="s">
        <v>62</v>
      </c>
      <c r="AQ858" s="34" t="s">
        <v>62</v>
      </c>
      <c r="AR858" s="38">
        <v>0.0</v>
      </c>
      <c r="AS858" s="38" t="s">
        <v>3165</v>
      </c>
      <c r="AT858" s="35" t="s">
        <v>2202</v>
      </c>
      <c r="AU858" s="39" t="s">
        <v>2254</v>
      </c>
      <c r="AV858" s="40">
        <v>46171.0</v>
      </c>
    </row>
    <row r="859">
      <c r="A859" s="38">
        <v>220.0</v>
      </c>
      <c r="B859" s="38">
        <v>219.0</v>
      </c>
      <c r="C859" s="38">
        <v>219.0</v>
      </c>
      <c r="D859" s="38">
        <v>9.0231402E7</v>
      </c>
      <c r="E859" s="38">
        <v>9.0231402E7</v>
      </c>
      <c r="F859" s="18" t="s">
        <v>921</v>
      </c>
      <c r="G859" s="18" t="s">
        <v>922</v>
      </c>
      <c r="H859" s="18" t="s">
        <v>3166</v>
      </c>
      <c r="I859" s="18" t="s">
        <v>923</v>
      </c>
      <c r="J859" s="18" t="s">
        <v>2205</v>
      </c>
      <c r="K859" s="18" t="s">
        <v>2205</v>
      </c>
      <c r="L859" s="18" t="s">
        <v>52</v>
      </c>
      <c r="M859" s="18" t="s">
        <v>89</v>
      </c>
      <c r="N859" s="18" t="s">
        <v>861</v>
      </c>
      <c r="O859" s="18" t="s">
        <v>126</v>
      </c>
      <c r="P859" s="18" t="s">
        <v>56</v>
      </c>
      <c r="Q859" s="18" t="s">
        <v>90</v>
      </c>
      <c r="R859" s="18" t="s">
        <v>143</v>
      </c>
      <c r="S859" s="18" t="s">
        <v>59</v>
      </c>
      <c r="T859" s="38">
        <v>2026.0</v>
      </c>
      <c r="U859" s="38">
        <v>5.0</v>
      </c>
      <c r="V859" s="38">
        <v>1.081522759E9</v>
      </c>
      <c r="W859" s="38">
        <v>1.081540829E9</v>
      </c>
      <c r="X859" s="18" t="s">
        <v>2199</v>
      </c>
      <c r="Y859" s="18" t="s">
        <v>2200</v>
      </c>
      <c r="Z859" s="38">
        <v>692289.93</v>
      </c>
      <c r="AA859" s="38">
        <v>692289.93</v>
      </c>
      <c r="AB859" s="38">
        <v>227873.1</v>
      </c>
      <c r="AC859" s="38">
        <v>2200.0</v>
      </c>
      <c r="AD859" s="38">
        <v>8670.63</v>
      </c>
      <c r="AE859" s="38">
        <v>0.0</v>
      </c>
      <c r="AF859" s="38">
        <v>0.0</v>
      </c>
      <c r="AG859" s="38">
        <v>0.0</v>
      </c>
      <c r="AH859" s="38">
        <v>0.0</v>
      </c>
      <c r="AI859" s="38">
        <v>692289.93</v>
      </c>
      <c r="AJ859" s="38">
        <v>2056954.5</v>
      </c>
      <c r="AK859" s="38">
        <v>3.0</v>
      </c>
      <c r="AL859" s="38">
        <v>376.2</v>
      </c>
      <c r="AM859" s="38">
        <v>0.0</v>
      </c>
      <c r="AN859" s="34" t="s">
        <v>62</v>
      </c>
      <c r="AO859" s="34" t="s">
        <v>62</v>
      </c>
      <c r="AP859" s="34" t="s">
        <v>62</v>
      </c>
      <c r="AQ859" s="34" t="s">
        <v>62</v>
      </c>
      <c r="AR859" s="38">
        <v>0.0</v>
      </c>
      <c r="AS859" s="38" t="s">
        <v>3167</v>
      </c>
      <c r="AT859" s="35" t="s">
        <v>2202</v>
      </c>
      <c r="AU859" s="39" t="s">
        <v>2254</v>
      </c>
      <c r="AV859" s="40">
        <v>46171.0</v>
      </c>
    </row>
    <row r="860">
      <c r="A860" s="38">
        <v>224.0</v>
      </c>
      <c r="B860" s="38">
        <v>223.0</v>
      </c>
      <c r="C860" s="38">
        <v>223.0</v>
      </c>
      <c r="D860" s="38">
        <v>9.023295E7</v>
      </c>
      <c r="E860" s="38">
        <v>9.023295E7</v>
      </c>
      <c r="F860" s="18" t="s">
        <v>875</v>
      </c>
      <c r="G860" s="18" t="s">
        <v>925</v>
      </c>
      <c r="H860" s="18" t="s">
        <v>3168</v>
      </c>
      <c r="I860" s="18" t="s">
        <v>926</v>
      </c>
      <c r="J860" s="18" t="s">
        <v>2205</v>
      </c>
      <c r="K860" s="18" t="s">
        <v>2724</v>
      </c>
      <c r="L860" s="18" t="s">
        <v>52</v>
      </c>
      <c r="M860" s="18" t="s">
        <v>89</v>
      </c>
      <c r="N860" s="18" t="s">
        <v>861</v>
      </c>
      <c r="O860" s="18" t="s">
        <v>126</v>
      </c>
      <c r="P860" s="18" t="s">
        <v>56</v>
      </c>
      <c r="Q860" s="18" t="s">
        <v>57</v>
      </c>
      <c r="R860" s="18" t="s">
        <v>143</v>
      </c>
      <c r="S860" s="18" t="s">
        <v>59</v>
      </c>
      <c r="T860" s="38">
        <v>2026.0</v>
      </c>
      <c r="U860" s="38">
        <v>5.0</v>
      </c>
      <c r="V860" s="38">
        <v>1.081522763E9</v>
      </c>
      <c r="W860" s="38">
        <v>1.081540833E9</v>
      </c>
      <c r="X860" s="18" t="s">
        <v>2199</v>
      </c>
      <c r="Y860" s="18" t="s">
        <v>2200</v>
      </c>
      <c r="Z860" s="38">
        <v>852925.73</v>
      </c>
      <c r="AA860" s="38">
        <v>852925.73</v>
      </c>
      <c r="AB860" s="38">
        <v>0.0</v>
      </c>
      <c r="AC860" s="38">
        <v>4292.5</v>
      </c>
      <c r="AD860" s="38">
        <v>0.0</v>
      </c>
      <c r="AE860" s="38">
        <v>0.0</v>
      </c>
      <c r="AF860" s="38">
        <v>0.0</v>
      </c>
      <c r="AG860" s="38">
        <v>0.0</v>
      </c>
      <c r="AH860" s="38">
        <v>0.0</v>
      </c>
      <c r="AI860" s="38">
        <v>852925.73</v>
      </c>
      <c r="AJ860" s="38">
        <v>852926.25</v>
      </c>
      <c r="AK860" s="38">
        <v>1.0</v>
      </c>
      <c r="AL860" s="38">
        <v>250.8</v>
      </c>
      <c r="AM860" s="38">
        <v>0.0</v>
      </c>
      <c r="AN860" s="34" t="s">
        <v>62</v>
      </c>
      <c r="AO860" s="34" t="s">
        <v>62</v>
      </c>
      <c r="AP860" s="34" t="s">
        <v>62</v>
      </c>
      <c r="AQ860" s="34" t="s">
        <v>62</v>
      </c>
      <c r="AR860" s="38">
        <v>0.0</v>
      </c>
      <c r="AS860" s="38" t="s">
        <v>3169</v>
      </c>
      <c r="AT860" s="35" t="s">
        <v>2202</v>
      </c>
      <c r="AU860" s="39" t="s">
        <v>2203</v>
      </c>
      <c r="AV860" s="40">
        <v>46168.0</v>
      </c>
    </row>
    <row r="861">
      <c r="A861" s="38">
        <v>699.0</v>
      </c>
      <c r="B861" s="38">
        <v>22403.0</v>
      </c>
      <c r="C861" s="38">
        <v>22403.0</v>
      </c>
      <c r="D861" s="38">
        <v>12028.0</v>
      </c>
      <c r="E861" s="38">
        <v>12028.0</v>
      </c>
      <c r="F861" s="38">
        <v>9.00480569E8</v>
      </c>
      <c r="G861" s="18" t="s">
        <v>141</v>
      </c>
      <c r="H861" s="18" t="s">
        <v>2255</v>
      </c>
      <c r="I861" s="18" t="s">
        <v>928</v>
      </c>
      <c r="J861" s="18" t="s">
        <v>2205</v>
      </c>
      <c r="K861" s="18" t="s">
        <v>2256</v>
      </c>
      <c r="L861" s="18" t="s">
        <v>52</v>
      </c>
      <c r="M861" s="18" t="s">
        <v>53</v>
      </c>
      <c r="N861" s="18" t="s">
        <v>861</v>
      </c>
      <c r="O861" s="18" t="s">
        <v>126</v>
      </c>
      <c r="P861" s="18" t="s">
        <v>56</v>
      </c>
      <c r="Q861" s="18" t="s">
        <v>90</v>
      </c>
      <c r="R861" s="18" t="s">
        <v>143</v>
      </c>
      <c r="S861" s="18" t="s">
        <v>59</v>
      </c>
      <c r="T861" s="38">
        <v>2026.0</v>
      </c>
      <c r="U861" s="38">
        <v>5.0</v>
      </c>
      <c r="V861" s="38">
        <v>1.081523022E9</v>
      </c>
      <c r="W861" s="38">
        <v>1.081541092E9</v>
      </c>
      <c r="X861" s="18" t="s">
        <v>2199</v>
      </c>
      <c r="Y861" s="18" t="s">
        <v>2200</v>
      </c>
      <c r="Z861" s="38">
        <v>989689.56</v>
      </c>
      <c r="AA861" s="38">
        <v>989689.56</v>
      </c>
      <c r="AB861" s="38">
        <v>329896.53</v>
      </c>
      <c r="AC861" s="38">
        <v>3275.0</v>
      </c>
      <c r="AD861" s="38">
        <v>0.0</v>
      </c>
      <c r="AE861" s="38">
        <v>0.0</v>
      </c>
      <c r="AF861" s="38">
        <v>0.0</v>
      </c>
      <c r="AG861" s="38">
        <v>0.0</v>
      </c>
      <c r="AH861" s="38">
        <v>0.0</v>
      </c>
      <c r="AI861" s="38">
        <v>989689.56</v>
      </c>
      <c r="AJ861" s="38">
        <v>989689.56</v>
      </c>
      <c r="AK861" s="38">
        <v>0.0</v>
      </c>
      <c r="AL861" s="38">
        <v>376.2</v>
      </c>
      <c r="AM861" s="38">
        <v>0.0</v>
      </c>
      <c r="AN861" s="34" t="s">
        <v>62</v>
      </c>
      <c r="AO861" s="34" t="s">
        <v>62</v>
      </c>
      <c r="AP861" s="34" t="s">
        <v>62</v>
      </c>
      <c r="AQ861" s="34" t="s">
        <v>62</v>
      </c>
      <c r="AR861" s="38">
        <v>0.0</v>
      </c>
      <c r="AS861" s="38" t="s">
        <v>2257</v>
      </c>
      <c r="AT861" s="35" t="s">
        <v>2202</v>
      </c>
      <c r="AU861" s="39" t="s">
        <v>2203</v>
      </c>
      <c r="AV861" s="40">
        <v>46163.0</v>
      </c>
    </row>
    <row r="862">
      <c r="A862" s="38">
        <v>228.0</v>
      </c>
      <c r="B862" s="38">
        <v>227.0</v>
      </c>
      <c r="C862" s="38">
        <v>227.0</v>
      </c>
      <c r="D862" s="38">
        <v>9.0235056E7</v>
      </c>
      <c r="E862" s="38">
        <v>9.0235056E7</v>
      </c>
      <c r="F862" s="38">
        <v>2.7575204E7</v>
      </c>
      <c r="G862" s="18" t="s">
        <v>930</v>
      </c>
      <c r="H862" s="18" t="s">
        <v>3170</v>
      </c>
      <c r="I862" s="18" t="s">
        <v>931</v>
      </c>
      <c r="J862" s="18" t="s">
        <v>2205</v>
      </c>
      <c r="K862" s="18" t="s">
        <v>2205</v>
      </c>
      <c r="L862" s="18" t="s">
        <v>52</v>
      </c>
      <c r="M862" s="18" t="s">
        <v>89</v>
      </c>
      <c r="N862" s="18" t="s">
        <v>861</v>
      </c>
      <c r="O862" s="18" t="s">
        <v>126</v>
      </c>
      <c r="P862" s="18" t="s">
        <v>131</v>
      </c>
      <c r="Q862" s="18" t="s">
        <v>132</v>
      </c>
      <c r="R862" s="18" t="s">
        <v>133</v>
      </c>
      <c r="S862" s="18" t="s">
        <v>59</v>
      </c>
      <c r="T862" s="38">
        <v>2026.0</v>
      </c>
      <c r="U862" s="38">
        <v>5.0</v>
      </c>
      <c r="V862" s="38">
        <v>1.081522767E9</v>
      </c>
      <c r="W862" s="38">
        <v>1.081540837E9</v>
      </c>
      <c r="X862" s="18" t="s">
        <v>2199</v>
      </c>
      <c r="Y862" s="18" t="s">
        <v>2200</v>
      </c>
      <c r="Z862" s="38">
        <v>113911.5</v>
      </c>
      <c r="AA862" s="38">
        <v>113911.5</v>
      </c>
      <c r="AB862" s="38">
        <v>37970.5</v>
      </c>
      <c r="AC862" s="38">
        <v>0.0</v>
      </c>
      <c r="AD862" s="38">
        <v>0.0</v>
      </c>
      <c r="AE862" s="38">
        <v>0.0</v>
      </c>
      <c r="AF862" s="38">
        <v>0.0</v>
      </c>
      <c r="AG862" s="38">
        <v>0.0</v>
      </c>
      <c r="AH862" s="38">
        <v>0.0</v>
      </c>
      <c r="AI862" s="38">
        <v>113911.5</v>
      </c>
      <c r="AJ862" s="38">
        <v>113911.5</v>
      </c>
      <c r="AK862" s="38">
        <v>0.0</v>
      </c>
      <c r="AL862" s="38">
        <v>376.2</v>
      </c>
      <c r="AM862" s="38">
        <v>0.0</v>
      </c>
      <c r="AN862" s="34" t="s">
        <v>62</v>
      </c>
      <c r="AO862" s="34" t="s">
        <v>62</v>
      </c>
      <c r="AP862" s="34" t="s">
        <v>62</v>
      </c>
      <c r="AQ862" s="34" t="s">
        <v>62</v>
      </c>
      <c r="AR862" s="38">
        <v>0.0</v>
      </c>
      <c r="AS862" s="38" t="s">
        <v>3171</v>
      </c>
      <c r="AT862" s="35" t="s">
        <v>2202</v>
      </c>
      <c r="AU862" s="39" t="s">
        <v>2254</v>
      </c>
      <c r="AV862" s="40">
        <v>46171.0</v>
      </c>
    </row>
    <row r="863">
      <c r="A863" s="38">
        <v>232.0</v>
      </c>
      <c r="B863" s="38">
        <v>231.0</v>
      </c>
      <c r="C863" s="38">
        <v>231.0</v>
      </c>
      <c r="D863" s="38">
        <v>9.023509E7</v>
      </c>
      <c r="E863" s="38">
        <v>9.023509E7</v>
      </c>
      <c r="F863" s="38">
        <v>8.30122566E8</v>
      </c>
      <c r="G863" s="18" t="s">
        <v>193</v>
      </c>
      <c r="H863" s="18" t="s">
        <v>2282</v>
      </c>
      <c r="I863" s="18" t="s">
        <v>931</v>
      </c>
      <c r="J863" s="18" t="s">
        <v>2205</v>
      </c>
      <c r="K863" s="18" t="s">
        <v>2283</v>
      </c>
      <c r="L863" s="18" t="s">
        <v>52</v>
      </c>
      <c r="M863" s="18" t="s">
        <v>53</v>
      </c>
      <c r="N863" s="18" t="s">
        <v>861</v>
      </c>
      <c r="O863" s="18" t="s">
        <v>126</v>
      </c>
      <c r="P863" s="18" t="s">
        <v>56</v>
      </c>
      <c r="Q863" s="18" t="s">
        <v>57</v>
      </c>
      <c r="R863" s="18" t="s">
        <v>143</v>
      </c>
      <c r="S863" s="18" t="s">
        <v>59</v>
      </c>
      <c r="T863" s="38">
        <v>2026.0</v>
      </c>
      <c r="U863" s="38">
        <v>5.0</v>
      </c>
      <c r="V863" s="38">
        <v>1.08152277E9</v>
      </c>
      <c r="W863" s="38">
        <v>1.08154084E9</v>
      </c>
      <c r="X863" s="18" t="s">
        <v>2199</v>
      </c>
      <c r="Y863" s="18" t="s">
        <v>2200</v>
      </c>
      <c r="Z863" s="38">
        <v>511265.93</v>
      </c>
      <c r="AA863" s="38">
        <v>511265.93</v>
      </c>
      <c r="AB863" s="38">
        <v>0.0</v>
      </c>
      <c r="AC863" s="38">
        <v>2492.5</v>
      </c>
      <c r="AD863" s="38">
        <v>0.0</v>
      </c>
      <c r="AE863" s="38">
        <v>0.0</v>
      </c>
      <c r="AF863" s="38">
        <v>0.0</v>
      </c>
      <c r="AG863" s="38">
        <v>0.0</v>
      </c>
      <c r="AH863" s="38">
        <v>0.0</v>
      </c>
      <c r="AI863" s="38">
        <v>511265.93</v>
      </c>
      <c r="AJ863" s="38">
        <v>1011088.05</v>
      </c>
      <c r="AK863" s="38">
        <v>1.0</v>
      </c>
      <c r="AL863" s="38">
        <v>250.8</v>
      </c>
      <c r="AM863" s="38">
        <v>0.0</v>
      </c>
      <c r="AN863" s="34" t="s">
        <v>62</v>
      </c>
      <c r="AO863" s="34" t="s">
        <v>62</v>
      </c>
      <c r="AP863" s="34" t="s">
        <v>62</v>
      </c>
      <c r="AQ863" s="34" t="s">
        <v>62</v>
      </c>
      <c r="AR863" s="38">
        <v>0.0</v>
      </c>
      <c r="AS863" s="38" t="s">
        <v>2284</v>
      </c>
      <c r="AT863" s="35" t="s">
        <v>2202</v>
      </c>
      <c r="AU863" s="39" t="s">
        <v>2203</v>
      </c>
      <c r="AV863" s="40">
        <v>46164.0</v>
      </c>
    </row>
    <row r="864">
      <c r="A864" s="38">
        <v>252.0</v>
      </c>
      <c r="B864" s="38">
        <v>251.0</v>
      </c>
      <c r="C864" s="38">
        <v>251.0</v>
      </c>
      <c r="D864" s="38">
        <v>9.023527E7</v>
      </c>
      <c r="E864" s="38">
        <v>9.023527E7</v>
      </c>
      <c r="F864" s="38">
        <v>8.8269652E7</v>
      </c>
      <c r="G864" s="18" t="s">
        <v>934</v>
      </c>
      <c r="H864" s="18" t="s">
        <v>3172</v>
      </c>
      <c r="I864" s="18" t="s">
        <v>931</v>
      </c>
      <c r="J864" s="18" t="s">
        <v>982</v>
      </c>
      <c r="K864" s="18" t="s">
        <v>982</v>
      </c>
      <c r="L864" s="18" t="s">
        <v>52</v>
      </c>
      <c r="M864" s="18" t="s">
        <v>89</v>
      </c>
      <c r="N864" s="18" t="s">
        <v>861</v>
      </c>
      <c r="O864" s="18" t="s">
        <v>126</v>
      </c>
      <c r="P864" s="18" t="s">
        <v>131</v>
      </c>
      <c r="Q864" s="18" t="s">
        <v>363</v>
      </c>
      <c r="R864" s="18" t="s">
        <v>133</v>
      </c>
      <c r="S864" s="18" t="s">
        <v>59</v>
      </c>
      <c r="T864" s="38">
        <v>2026.0</v>
      </c>
      <c r="U864" s="38">
        <v>5.0</v>
      </c>
      <c r="V864" s="38">
        <v>1.081522774E9</v>
      </c>
      <c r="W864" s="38">
        <v>1.081540844E9</v>
      </c>
      <c r="X864" s="18" t="s">
        <v>2199</v>
      </c>
      <c r="Y864" s="18" t="s">
        <v>2200</v>
      </c>
      <c r="Z864" s="38">
        <v>76141.5</v>
      </c>
      <c r="AA864" s="38">
        <v>76141.5</v>
      </c>
      <c r="AB864" s="38">
        <v>25380.5</v>
      </c>
      <c r="AC864" s="38">
        <v>0.0</v>
      </c>
      <c r="AD864" s="38">
        <v>0.0</v>
      </c>
      <c r="AE864" s="38">
        <v>0.0</v>
      </c>
      <c r="AF864" s="38">
        <v>0.0</v>
      </c>
      <c r="AG864" s="38">
        <v>0.0</v>
      </c>
      <c r="AH864" s="38">
        <v>0.0</v>
      </c>
      <c r="AI864" s="38">
        <v>76141.5</v>
      </c>
      <c r="AJ864" s="38">
        <v>76141.5</v>
      </c>
      <c r="AK864" s="38">
        <v>0.0</v>
      </c>
      <c r="AL864" s="38">
        <v>376.2</v>
      </c>
      <c r="AM864" s="38">
        <v>0.0</v>
      </c>
      <c r="AN864" s="34" t="s">
        <v>62</v>
      </c>
      <c r="AO864" s="34" t="s">
        <v>62</v>
      </c>
      <c r="AP864" s="34" t="s">
        <v>62</v>
      </c>
      <c r="AQ864" s="34" t="s">
        <v>62</v>
      </c>
      <c r="AR864" s="38">
        <v>0.0</v>
      </c>
      <c r="AS864" s="38" t="s">
        <v>2998</v>
      </c>
      <c r="AT864" s="35" t="s">
        <v>2275</v>
      </c>
      <c r="AU864" s="39" t="s">
        <v>2326</v>
      </c>
      <c r="AV864" s="40">
        <v>46163.0</v>
      </c>
    </row>
    <row r="865">
      <c r="A865" s="38">
        <v>545073.0</v>
      </c>
      <c r="B865" s="38">
        <v>255.0</v>
      </c>
      <c r="C865" s="38">
        <v>255.0</v>
      </c>
      <c r="D865" s="38">
        <v>9.0235274E7</v>
      </c>
      <c r="E865" s="38">
        <v>9.0235274E7</v>
      </c>
      <c r="F865" s="18" t="s">
        <v>936</v>
      </c>
      <c r="G865" s="18" t="s">
        <v>937</v>
      </c>
      <c r="H865" s="18" t="s">
        <v>2735</v>
      </c>
      <c r="I865" s="18" t="s">
        <v>931</v>
      </c>
      <c r="J865" s="18" t="s">
        <v>982</v>
      </c>
      <c r="K865" s="18" t="s">
        <v>982</v>
      </c>
      <c r="L865" s="18" t="s">
        <v>52</v>
      </c>
      <c r="M865" s="18" t="s">
        <v>53</v>
      </c>
      <c r="N865" s="18" t="s">
        <v>861</v>
      </c>
      <c r="O865" s="18" t="s">
        <v>126</v>
      </c>
      <c r="P865" s="18" t="s">
        <v>218</v>
      </c>
      <c r="Q865" s="18" t="s">
        <v>938</v>
      </c>
      <c r="R865" s="18" t="s">
        <v>133</v>
      </c>
      <c r="S865" s="18" t="s">
        <v>59</v>
      </c>
      <c r="T865" s="38">
        <v>2026.0</v>
      </c>
      <c r="U865" s="38">
        <v>5.0</v>
      </c>
      <c r="V865" s="38">
        <v>1.081522778E9</v>
      </c>
      <c r="W865" s="38">
        <v>1.081540848E9</v>
      </c>
      <c r="X865" s="18" t="s">
        <v>2199</v>
      </c>
      <c r="Y865" s="18" t="s">
        <v>2200</v>
      </c>
      <c r="Z865" s="38">
        <v>53651.0</v>
      </c>
      <c r="AA865" s="38">
        <v>53651.0</v>
      </c>
      <c r="AB865" s="38">
        <v>0.0</v>
      </c>
      <c r="AC865" s="38">
        <v>0.0</v>
      </c>
      <c r="AD865" s="38">
        <v>0.0</v>
      </c>
      <c r="AE865" s="38">
        <v>0.0</v>
      </c>
      <c r="AF865" s="38">
        <v>0.0</v>
      </c>
      <c r="AG865" s="38">
        <v>0.0</v>
      </c>
      <c r="AH865" s="38">
        <v>0.0</v>
      </c>
      <c r="AI865" s="38">
        <v>53651.0</v>
      </c>
      <c r="AJ865" s="38">
        <v>53651.0</v>
      </c>
      <c r="AK865" s="38">
        <v>0.0</v>
      </c>
      <c r="AL865" s="38">
        <v>250.8</v>
      </c>
      <c r="AM865" s="38">
        <v>0.0</v>
      </c>
      <c r="AN865" s="34" t="s">
        <v>62</v>
      </c>
      <c r="AO865" s="34" t="s">
        <v>62</v>
      </c>
      <c r="AP865" s="34" t="s">
        <v>62</v>
      </c>
      <c r="AQ865" s="34" t="s">
        <v>62</v>
      </c>
      <c r="AR865" s="38">
        <v>0.0</v>
      </c>
      <c r="AS865" s="38" t="s">
        <v>2736</v>
      </c>
      <c r="AT865" s="35" t="s">
        <v>2275</v>
      </c>
      <c r="AU865" s="39" t="s">
        <v>2326</v>
      </c>
      <c r="AV865" s="40">
        <v>46163.0</v>
      </c>
    </row>
    <row r="866">
      <c r="A866" s="38">
        <v>260.0</v>
      </c>
      <c r="B866" s="38">
        <v>259.0</v>
      </c>
      <c r="C866" s="38">
        <v>259.0</v>
      </c>
      <c r="D866" s="38">
        <v>9.0235279E7</v>
      </c>
      <c r="E866" s="38">
        <v>9.0235279E7</v>
      </c>
      <c r="F866" s="38">
        <v>9.0235279E7</v>
      </c>
      <c r="G866" s="18" t="s">
        <v>934</v>
      </c>
      <c r="H866" s="18" t="s">
        <v>3173</v>
      </c>
      <c r="I866" s="18" t="s">
        <v>931</v>
      </c>
      <c r="J866" s="18" t="s">
        <v>982</v>
      </c>
      <c r="K866" s="18" t="s">
        <v>982</v>
      </c>
      <c r="L866" s="18" t="s">
        <v>52</v>
      </c>
      <c r="M866" s="18" t="s">
        <v>89</v>
      </c>
      <c r="N866" s="18" t="s">
        <v>861</v>
      </c>
      <c r="O866" s="18" t="s">
        <v>126</v>
      </c>
      <c r="P866" s="18" t="s">
        <v>218</v>
      </c>
      <c r="Q866" s="18" t="s">
        <v>938</v>
      </c>
      <c r="R866" s="18" t="s">
        <v>133</v>
      </c>
      <c r="S866" s="18" t="s">
        <v>59</v>
      </c>
      <c r="T866" s="38">
        <v>2026.0</v>
      </c>
      <c r="U866" s="38">
        <v>5.0</v>
      </c>
      <c r="V866" s="38">
        <v>1.081522784E9</v>
      </c>
      <c r="W866" s="38">
        <v>1.081540854E9</v>
      </c>
      <c r="X866" s="18" t="s">
        <v>2199</v>
      </c>
      <c r="Y866" s="18" t="s">
        <v>2200</v>
      </c>
      <c r="Z866" s="38">
        <v>53651.0</v>
      </c>
      <c r="AA866" s="38">
        <v>53651.0</v>
      </c>
      <c r="AB866" s="38">
        <v>0.0</v>
      </c>
      <c r="AC866" s="38">
        <v>0.0</v>
      </c>
      <c r="AD866" s="38">
        <v>0.0</v>
      </c>
      <c r="AE866" s="38">
        <v>0.0</v>
      </c>
      <c r="AF866" s="38">
        <v>0.0</v>
      </c>
      <c r="AG866" s="38">
        <v>0.0</v>
      </c>
      <c r="AH866" s="38">
        <v>0.0</v>
      </c>
      <c r="AI866" s="38">
        <v>53651.0</v>
      </c>
      <c r="AJ866" s="38">
        <v>53651.0</v>
      </c>
      <c r="AK866" s="38">
        <v>0.0</v>
      </c>
      <c r="AL866" s="38">
        <v>250.8</v>
      </c>
      <c r="AM866" s="38">
        <v>0.0</v>
      </c>
      <c r="AN866" s="34" t="s">
        <v>62</v>
      </c>
      <c r="AO866" s="34" t="s">
        <v>62</v>
      </c>
      <c r="AP866" s="34" t="s">
        <v>62</v>
      </c>
      <c r="AQ866" s="34" t="s">
        <v>62</v>
      </c>
      <c r="AR866" s="38">
        <v>0.0</v>
      </c>
      <c r="AS866" s="38" t="s">
        <v>3002</v>
      </c>
      <c r="AT866" s="35" t="s">
        <v>2275</v>
      </c>
      <c r="AU866" s="39" t="s">
        <v>2326</v>
      </c>
      <c r="AV866" s="40">
        <v>46163.0</v>
      </c>
    </row>
    <row r="867">
      <c r="A867" s="38">
        <v>271.0</v>
      </c>
      <c r="B867" s="38">
        <v>271.0</v>
      </c>
      <c r="C867" s="38">
        <v>271.0</v>
      </c>
      <c r="D867" s="38">
        <v>9.0236216E7</v>
      </c>
      <c r="E867" s="38">
        <v>9.0236216E7</v>
      </c>
      <c r="F867" s="38">
        <v>9.0236215E7</v>
      </c>
      <c r="G867" s="18" t="s">
        <v>941</v>
      </c>
      <c r="H867" s="18" t="s">
        <v>2645</v>
      </c>
      <c r="I867" s="18" t="s">
        <v>942</v>
      </c>
      <c r="J867" s="18" t="s">
        <v>2648</v>
      </c>
      <c r="K867" s="18" t="s">
        <v>941</v>
      </c>
      <c r="L867" s="18" t="s">
        <v>52</v>
      </c>
      <c r="M867" s="18" t="s">
        <v>53</v>
      </c>
      <c r="N867" s="18" t="s">
        <v>861</v>
      </c>
      <c r="O867" s="18" t="s">
        <v>126</v>
      </c>
      <c r="P867" s="18" t="s">
        <v>218</v>
      </c>
      <c r="Q867" s="18" t="s">
        <v>943</v>
      </c>
      <c r="R867" s="18" t="s">
        <v>133</v>
      </c>
      <c r="S867" s="18" t="s">
        <v>59</v>
      </c>
      <c r="T867" s="38">
        <v>2026.0</v>
      </c>
      <c r="U867" s="38">
        <v>5.0</v>
      </c>
      <c r="V867" s="38">
        <v>1.081522785E9</v>
      </c>
      <c r="W867" s="38">
        <v>1.081540855E9</v>
      </c>
      <c r="X867" s="18" t="s">
        <v>2199</v>
      </c>
      <c r="Y867" s="18" t="s">
        <v>2200</v>
      </c>
      <c r="Z867" s="38">
        <v>85584.0</v>
      </c>
      <c r="AA867" s="38">
        <v>85584.0</v>
      </c>
      <c r="AB867" s="38">
        <v>28528.0</v>
      </c>
      <c r="AC867" s="38">
        <v>0.0</v>
      </c>
      <c r="AD867" s="38">
        <v>0.0</v>
      </c>
      <c r="AE867" s="38">
        <v>0.0</v>
      </c>
      <c r="AF867" s="38">
        <v>0.0</v>
      </c>
      <c r="AG867" s="38">
        <v>0.0</v>
      </c>
      <c r="AH867" s="38">
        <v>0.0</v>
      </c>
      <c r="AI867" s="38">
        <v>85584.0</v>
      </c>
      <c r="AJ867" s="38">
        <v>85584.0</v>
      </c>
      <c r="AK867" s="38">
        <v>0.0</v>
      </c>
      <c r="AL867" s="38">
        <v>376.2</v>
      </c>
      <c r="AM867" s="38">
        <v>0.0</v>
      </c>
      <c r="AN867" s="34" t="s">
        <v>62</v>
      </c>
      <c r="AO867" s="34" t="s">
        <v>62</v>
      </c>
      <c r="AP867" s="34" t="s">
        <v>62</v>
      </c>
      <c r="AQ867" s="34" t="s">
        <v>62</v>
      </c>
      <c r="AR867" s="38">
        <v>0.0</v>
      </c>
      <c r="AS867" s="38" t="s">
        <v>2646</v>
      </c>
      <c r="AT867" s="35" t="s">
        <v>2275</v>
      </c>
      <c r="AU867" s="39" t="s">
        <v>2475</v>
      </c>
      <c r="AV867" s="40">
        <v>46163.0</v>
      </c>
    </row>
    <row r="868">
      <c r="A868" s="38">
        <v>276.0</v>
      </c>
      <c r="B868" s="38">
        <v>275.0</v>
      </c>
      <c r="C868" s="38">
        <v>275.0</v>
      </c>
      <c r="D868" s="38">
        <v>9.023622E7</v>
      </c>
      <c r="E868" s="38">
        <v>9.023622E7</v>
      </c>
      <c r="F868" s="38">
        <v>9.023622E7</v>
      </c>
      <c r="G868" s="18" t="s">
        <v>945</v>
      </c>
      <c r="H868" s="18" t="s">
        <v>3174</v>
      </c>
      <c r="I868" s="18" t="s">
        <v>942</v>
      </c>
      <c r="J868" s="18" t="s">
        <v>982</v>
      </c>
      <c r="K868" s="18" t="s">
        <v>941</v>
      </c>
      <c r="L868" s="18" t="s">
        <v>52</v>
      </c>
      <c r="M868" s="18" t="s">
        <v>89</v>
      </c>
      <c r="N868" s="18" t="s">
        <v>861</v>
      </c>
      <c r="O868" s="18" t="s">
        <v>126</v>
      </c>
      <c r="P868" s="18" t="s">
        <v>218</v>
      </c>
      <c r="Q868" s="18" t="s">
        <v>943</v>
      </c>
      <c r="R868" s="18" t="s">
        <v>133</v>
      </c>
      <c r="S868" s="18" t="s">
        <v>59</v>
      </c>
      <c r="T868" s="38">
        <v>2026.0</v>
      </c>
      <c r="U868" s="38">
        <v>5.0</v>
      </c>
      <c r="V868" s="38">
        <v>1.081522791E9</v>
      </c>
      <c r="W868" s="38">
        <v>1.081540861E9</v>
      </c>
      <c r="X868" s="18" t="s">
        <v>2199</v>
      </c>
      <c r="Y868" s="18" t="s">
        <v>2200</v>
      </c>
      <c r="Z868" s="38">
        <v>86639.28</v>
      </c>
      <c r="AA868" s="38">
        <v>86639.28</v>
      </c>
      <c r="AB868" s="38">
        <v>28528.0</v>
      </c>
      <c r="AC868" s="38">
        <v>0.0</v>
      </c>
      <c r="AD868" s="38">
        <v>1055.28</v>
      </c>
      <c r="AE868" s="38">
        <v>0.0</v>
      </c>
      <c r="AF868" s="38">
        <v>0.0</v>
      </c>
      <c r="AG868" s="38">
        <v>0.0</v>
      </c>
      <c r="AH868" s="38">
        <v>0.0</v>
      </c>
      <c r="AI868" s="38">
        <v>86639.28</v>
      </c>
      <c r="AJ868" s="38">
        <v>256404.25</v>
      </c>
      <c r="AK868" s="38">
        <v>2.0</v>
      </c>
      <c r="AL868" s="38">
        <v>376.2</v>
      </c>
      <c r="AM868" s="38">
        <v>0.0</v>
      </c>
      <c r="AN868" s="34" t="s">
        <v>62</v>
      </c>
      <c r="AO868" s="34" t="s">
        <v>62</v>
      </c>
      <c r="AP868" s="34" t="s">
        <v>62</v>
      </c>
      <c r="AQ868" s="34" t="s">
        <v>62</v>
      </c>
      <c r="AR868" s="38">
        <v>0.0</v>
      </c>
      <c r="AS868" s="38" t="s">
        <v>3175</v>
      </c>
      <c r="AT868" s="35" t="s">
        <v>2275</v>
      </c>
      <c r="AU868" s="39" t="s">
        <v>2475</v>
      </c>
      <c r="AV868" s="40">
        <v>46163.0</v>
      </c>
    </row>
    <row r="869">
      <c r="A869" s="38">
        <v>280.0</v>
      </c>
      <c r="B869" s="38">
        <v>279.0</v>
      </c>
      <c r="C869" s="38">
        <v>279.0</v>
      </c>
      <c r="D869" s="38">
        <v>9.0236224E7</v>
      </c>
      <c r="E869" s="38">
        <v>9.0236224E7</v>
      </c>
      <c r="F869" s="38">
        <v>9.0236224E7</v>
      </c>
      <c r="G869" s="18" t="s">
        <v>947</v>
      </c>
      <c r="H869" s="18" t="s">
        <v>3176</v>
      </c>
      <c r="I869" s="18" t="s">
        <v>942</v>
      </c>
      <c r="J869" s="18" t="s">
        <v>982</v>
      </c>
      <c r="K869" s="18" t="s">
        <v>941</v>
      </c>
      <c r="L869" s="18" t="s">
        <v>52</v>
      </c>
      <c r="M869" s="18" t="s">
        <v>89</v>
      </c>
      <c r="N869" s="18" t="s">
        <v>861</v>
      </c>
      <c r="O869" s="18" t="s">
        <v>126</v>
      </c>
      <c r="P869" s="18" t="s">
        <v>218</v>
      </c>
      <c r="Q869" s="18" t="s">
        <v>943</v>
      </c>
      <c r="R869" s="18" t="s">
        <v>133</v>
      </c>
      <c r="S869" s="18" t="s">
        <v>59</v>
      </c>
      <c r="T869" s="38">
        <v>2026.0</v>
      </c>
      <c r="U869" s="38">
        <v>5.0</v>
      </c>
      <c r="V869" s="38">
        <v>1.081522794E9</v>
      </c>
      <c r="W869" s="38">
        <v>1.081540864E9</v>
      </c>
      <c r="X869" s="18" t="s">
        <v>2199</v>
      </c>
      <c r="Y869" s="18" t="s">
        <v>2200</v>
      </c>
      <c r="Z869" s="38">
        <v>85584.0</v>
      </c>
      <c r="AA869" s="38">
        <v>85584.0</v>
      </c>
      <c r="AB869" s="38">
        <v>28528.0</v>
      </c>
      <c r="AC869" s="38">
        <v>0.0</v>
      </c>
      <c r="AD869" s="38">
        <v>0.0</v>
      </c>
      <c r="AE869" s="38">
        <v>0.0</v>
      </c>
      <c r="AF869" s="38">
        <v>0.0</v>
      </c>
      <c r="AG869" s="38">
        <v>0.0</v>
      </c>
      <c r="AH869" s="38">
        <v>0.0</v>
      </c>
      <c r="AI869" s="38">
        <v>85584.0</v>
      </c>
      <c r="AJ869" s="38">
        <v>85584.0</v>
      </c>
      <c r="AK869" s="38">
        <v>0.0</v>
      </c>
      <c r="AL869" s="38">
        <v>376.2</v>
      </c>
      <c r="AM869" s="38">
        <v>0.0</v>
      </c>
      <c r="AN869" s="34" t="s">
        <v>62</v>
      </c>
      <c r="AO869" s="34" t="s">
        <v>62</v>
      </c>
      <c r="AP869" s="34" t="s">
        <v>62</v>
      </c>
      <c r="AQ869" s="34" t="s">
        <v>62</v>
      </c>
      <c r="AR869" s="38">
        <v>0.0</v>
      </c>
      <c r="AS869" s="38" t="e">
        <v>#ERROR!</v>
      </c>
      <c r="AT869" s="35" t="s">
        <v>2275</v>
      </c>
      <c r="AU869" s="39" t="s">
        <v>2475</v>
      </c>
      <c r="AV869" s="40">
        <v>46163.0</v>
      </c>
    </row>
    <row r="870">
      <c r="A870" s="38">
        <v>284.0</v>
      </c>
      <c r="B870" s="38">
        <v>283.0</v>
      </c>
      <c r="C870" s="38">
        <v>283.0</v>
      </c>
      <c r="D870" s="38">
        <v>9.0237001E7</v>
      </c>
      <c r="E870" s="38">
        <v>9.0237001E7</v>
      </c>
      <c r="F870" s="18" t="s">
        <v>949</v>
      </c>
      <c r="G870" s="18" t="s">
        <v>950</v>
      </c>
      <c r="H870" s="18" t="s">
        <v>3177</v>
      </c>
      <c r="I870" s="18" t="s">
        <v>123</v>
      </c>
      <c r="J870" s="18" t="s">
        <v>2205</v>
      </c>
      <c r="K870" s="18" t="s">
        <v>2205</v>
      </c>
      <c r="L870" s="18" t="s">
        <v>52</v>
      </c>
      <c r="M870" s="18" t="s">
        <v>89</v>
      </c>
      <c r="N870" s="18" t="s">
        <v>861</v>
      </c>
      <c r="O870" s="18" t="s">
        <v>126</v>
      </c>
      <c r="P870" s="18" t="s">
        <v>56</v>
      </c>
      <c r="Q870" s="18" t="s">
        <v>57</v>
      </c>
      <c r="R870" s="18" t="s">
        <v>143</v>
      </c>
      <c r="S870" s="18" t="s">
        <v>59</v>
      </c>
      <c r="T870" s="38">
        <v>2026.0</v>
      </c>
      <c r="U870" s="38">
        <v>5.0</v>
      </c>
      <c r="V870" s="38">
        <v>1.081522797E9</v>
      </c>
      <c r="W870" s="38">
        <v>1.081540867E9</v>
      </c>
      <c r="X870" s="18" t="s">
        <v>2199</v>
      </c>
      <c r="Y870" s="18" t="s">
        <v>2200</v>
      </c>
      <c r="Z870" s="38">
        <v>1532923.63</v>
      </c>
      <c r="AA870" s="38">
        <v>1532923.63</v>
      </c>
      <c r="AB870" s="38">
        <v>0.0</v>
      </c>
      <c r="AC870" s="38">
        <v>7875.0</v>
      </c>
      <c r="AD870" s="38">
        <v>0.0</v>
      </c>
      <c r="AE870" s="38">
        <v>0.0</v>
      </c>
      <c r="AF870" s="38">
        <v>0.0</v>
      </c>
      <c r="AG870" s="38">
        <v>0.0</v>
      </c>
      <c r="AH870" s="38">
        <v>0.0</v>
      </c>
      <c r="AI870" s="38">
        <v>1532923.63</v>
      </c>
      <c r="AJ870" s="38">
        <v>1532923.63</v>
      </c>
      <c r="AK870" s="38">
        <v>0.0</v>
      </c>
      <c r="AL870" s="38">
        <v>250.8</v>
      </c>
      <c r="AM870" s="38">
        <v>0.0</v>
      </c>
      <c r="AN870" s="34" t="s">
        <v>62</v>
      </c>
      <c r="AO870" s="34" t="s">
        <v>62</v>
      </c>
      <c r="AP870" s="34" t="s">
        <v>62</v>
      </c>
      <c r="AQ870" s="34" t="s">
        <v>62</v>
      </c>
      <c r="AR870" s="38">
        <v>0.0</v>
      </c>
      <c r="AS870" s="38" t="s">
        <v>3178</v>
      </c>
      <c r="AT870" s="35" t="s">
        <v>2202</v>
      </c>
      <c r="AU870" s="39" t="s">
        <v>2254</v>
      </c>
      <c r="AV870" s="40">
        <v>46171.0</v>
      </c>
    </row>
    <row r="871">
      <c r="A871" s="38">
        <v>28308.0</v>
      </c>
      <c r="B871" s="38">
        <v>28307.0</v>
      </c>
      <c r="C871" s="38">
        <v>28307.0</v>
      </c>
      <c r="D871" s="38">
        <v>196747.0</v>
      </c>
      <c r="E871" s="38">
        <v>196747.0</v>
      </c>
      <c r="F871" s="38">
        <v>1.093770325E9</v>
      </c>
      <c r="G871" s="18" t="s">
        <v>952</v>
      </c>
      <c r="H871" s="18" t="s">
        <v>3179</v>
      </c>
      <c r="I871" s="18" t="s">
        <v>953</v>
      </c>
      <c r="J871" s="18" t="s">
        <v>2205</v>
      </c>
      <c r="K871" s="18" t="s">
        <v>2205</v>
      </c>
      <c r="L871" s="18" t="s">
        <v>52</v>
      </c>
      <c r="M871" s="18" t="s">
        <v>89</v>
      </c>
      <c r="N871" s="18" t="s">
        <v>861</v>
      </c>
      <c r="O871" s="18" t="s">
        <v>126</v>
      </c>
      <c r="P871" s="18" t="s">
        <v>131</v>
      </c>
      <c r="Q871" s="18" t="s">
        <v>132</v>
      </c>
      <c r="R871" s="18" t="s">
        <v>133</v>
      </c>
      <c r="S871" s="18" t="s">
        <v>59</v>
      </c>
      <c r="T871" s="38">
        <v>2026.0</v>
      </c>
      <c r="U871" s="38">
        <v>5.0</v>
      </c>
      <c r="V871" s="38">
        <v>1.081523025E9</v>
      </c>
      <c r="W871" s="38">
        <v>1.081541095E9</v>
      </c>
      <c r="X871" s="18" t="s">
        <v>2199</v>
      </c>
      <c r="Y871" s="18" t="s">
        <v>2200</v>
      </c>
      <c r="Z871" s="38">
        <v>113911.5</v>
      </c>
      <c r="AA871" s="38">
        <v>113911.5</v>
      </c>
      <c r="AB871" s="38">
        <v>37970.5</v>
      </c>
      <c r="AC871" s="38">
        <v>0.0</v>
      </c>
      <c r="AD871" s="38">
        <v>0.0</v>
      </c>
      <c r="AE871" s="38">
        <v>0.0</v>
      </c>
      <c r="AF871" s="38">
        <v>0.0</v>
      </c>
      <c r="AG871" s="38">
        <v>0.0</v>
      </c>
      <c r="AH871" s="38">
        <v>0.0</v>
      </c>
      <c r="AI871" s="38">
        <v>113911.5</v>
      </c>
      <c r="AJ871" s="38">
        <v>226336.5</v>
      </c>
      <c r="AK871" s="38">
        <v>1.0</v>
      </c>
      <c r="AL871" s="38">
        <v>376.2</v>
      </c>
      <c r="AM871" s="38">
        <v>0.0</v>
      </c>
      <c r="AN871" s="34" t="s">
        <v>62</v>
      </c>
      <c r="AO871" s="34" t="s">
        <v>62</v>
      </c>
      <c r="AP871" s="34" t="s">
        <v>62</v>
      </c>
      <c r="AQ871" s="34" t="s">
        <v>62</v>
      </c>
      <c r="AR871" s="38">
        <v>0.0</v>
      </c>
      <c r="AS871" s="38" t="s">
        <v>3180</v>
      </c>
      <c r="AT871" s="35" t="s">
        <v>2202</v>
      </c>
      <c r="AU871" s="39" t="s">
        <v>2254</v>
      </c>
      <c r="AV871" s="40">
        <v>46171.0</v>
      </c>
    </row>
    <row r="872">
      <c r="A872" s="38">
        <v>455370.0</v>
      </c>
      <c r="B872" s="38">
        <v>291.0</v>
      </c>
      <c r="C872" s="38">
        <v>291.0</v>
      </c>
      <c r="D872" s="38">
        <v>9.0238192E7</v>
      </c>
      <c r="E872" s="38">
        <v>9.0238192E7</v>
      </c>
      <c r="F872" s="18" t="s">
        <v>148</v>
      </c>
      <c r="G872" s="18" t="s">
        <v>149</v>
      </c>
      <c r="H872" s="18" t="s">
        <v>2296</v>
      </c>
      <c r="I872" s="18" t="s">
        <v>955</v>
      </c>
      <c r="J872" s="18" t="s">
        <v>2205</v>
      </c>
      <c r="K872" s="18" t="s">
        <v>2611</v>
      </c>
      <c r="L872" s="18" t="s">
        <v>52</v>
      </c>
      <c r="M872" s="18" t="s">
        <v>53</v>
      </c>
      <c r="N872" s="18" t="s">
        <v>861</v>
      </c>
      <c r="O872" s="18" t="s">
        <v>126</v>
      </c>
      <c r="P872" s="18" t="s">
        <v>56</v>
      </c>
      <c r="Q872" s="18" t="s">
        <v>57</v>
      </c>
      <c r="R872" s="18" t="s">
        <v>143</v>
      </c>
      <c r="S872" s="18" t="s">
        <v>59</v>
      </c>
      <c r="T872" s="38">
        <v>2026.0</v>
      </c>
      <c r="U872" s="38">
        <v>5.0</v>
      </c>
      <c r="V872" s="38">
        <v>1.081522801E9</v>
      </c>
      <c r="W872" s="38">
        <v>1.081540871E9</v>
      </c>
      <c r="X872" s="18" t="s">
        <v>2199</v>
      </c>
      <c r="Y872" s="18" t="s">
        <v>2200</v>
      </c>
      <c r="Z872" s="38">
        <v>206714.17</v>
      </c>
      <c r="AA872" s="38">
        <v>206714.17</v>
      </c>
      <c r="AB872" s="38">
        <v>0.0</v>
      </c>
      <c r="AC872" s="38">
        <v>888.0</v>
      </c>
      <c r="AD872" s="38">
        <v>0.0</v>
      </c>
      <c r="AE872" s="38">
        <v>0.0</v>
      </c>
      <c r="AF872" s="38">
        <v>0.0</v>
      </c>
      <c r="AG872" s="38">
        <v>0.0</v>
      </c>
      <c r="AH872" s="38">
        <v>0.0</v>
      </c>
      <c r="AI872" s="38">
        <v>206714.17</v>
      </c>
      <c r="AJ872" s="38">
        <v>571764.54</v>
      </c>
      <c r="AK872" s="38">
        <v>3.0</v>
      </c>
      <c r="AL872" s="38">
        <v>250.8</v>
      </c>
      <c r="AM872" s="38">
        <v>0.0</v>
      </c>
      <c r="AN872" s="34" t="s">
        <v>62</v>
      </c>
      <c r="AO872" s="34" t="s">
        <v>62</v>
      </c>
      <c r="AP872" s="34" t="s">
        <v>62</v>
      </c>
      <c r="AQ872" s="34" t="s">
        <v>62</v>
      </c>
      <c r="AR872" s="38">
        <v>0.0</v>
      </c>
      <c r="AS872" s="38" t="s">
        <v>2293</v>
      </c>
      <c r="AT872" s="35" t="s">
        <v>2294</v>
      </c>
      <c r="AU872" s="39" t="s">
        <v>2295</v>
      </c>
      <c r="AV872" s="40">
        <v>46164.0</v>
      </c>
    </row>
    <row r="873">
      <c r="A873" s="38">
        <v>285191.0</v>
      </c>
      <c r="B873" s="38">
        <v>29435.0</v>
      </c>
      <c r="C873" s="38">
        <v>29435.0</v>
      </c>
      <c r="D873" s="38">
        <v>204088.0</v>
      </c>
      <c r="E873" s="38">
        <v>204088.0</v>
      </c>
      <c r="F873" s="38">
        <v>9.00276962E8</v>
      </c>
      <c r="G873" s="18" t="s">
        <v>128</v>
      </c>
      <c r="H873" s="18" t="s">
        <v>2269</v>
      </c>
      <c r="I873" s="18" t="s">
        <v>863</v>
      </c>
      <c r="J873" s="18" t="s">
        <v>2205</v>
      </c>
      <c r="K873" s="18" t="s">
        <v>2270</v>
      </c>
      <c r="L873" s="18" t="s">
        <v>52</v>
      </c>
      <c r="M873" s="18" t="s">
        <v>89</v>
      </c>
      <c r="N873" s="18" t="s">
        <v>861</v>
      </c>
      <c r="O873" s="18" t="s">
        <v>126</v>
      </c>
      <c r="P873" s="18" t="s">
        <v>131</v>
      </c>
      <c r="Q873" s="18" t="s">
        <v>132</v>
      </c>
      <c r="R873" s="18" t="s">
        <v>133</v>
      </c>
      <c r="S873" s="18" t="s">
        <v>59</v>
      </c>
      <c r="T873" s="38">
        <v>2026.0</v>
      </c>
      <c r="U873" s="38">
        <v>5.0</v>
      </c>
      <c r="V873" s="38">
        <v>1.081523028E9</v>
      </c>
      <c r="W873" s="38">
        <v>1.081541098E9</v>
      </c>
      <c r="X873" s="18" t="s">
        <v>2199</v>
      </c>
      <c r="Y873" s="18" t="s">
        <v>2200</v>
      </c>
      <c r="Z873" s="38">
        <v>113911.5</v>
      </c>
      <c r="AA873" s="38">
        <v>113911.5</v>
      </c>
      <c r="AB873" s="38">
        <v>37970.5</v>
      </c>
      <c r="AC873" s="38">
        <v>0.0</v>
      </c>
      <c r="AD873" s="38">
        <v>0.0</v>
      </c>
      <c r="AE873" s="38">
        <v>0.0</v>
      </c>
      <c r="AF873" s="38">
        <v>0.0</v>
      </c>
      <c r="AG873" s="38">
        <v>0.0</v>
      </c>
      <c r="AH873" s="38">
        <v>0.0</v>
      </c>
      <c r="AI873" s="38">
        <v>113911.5</v>
      </c>
      <c r="AJ873" s="38">
        <v>113911.5</v>
      </c>
      <c r="AK873" s="38">
        <v>0.0</v>
      </c>
      <c r="AL873" s="38">
        <v>376.2</v>
      </c>
      <c r="AM873" s="38">
        <v>0.0</v>
      </c>
      <c r="AN873" s="34" t="s">
        <v>62</v>
      </c>
      <c r="AO873" s="34" t="s">
        <v>62</v>
      </c>
      <c r="AP873" s="34" t="s">
        <v>62</v>
      </c>
      <c r="AQ873" s="34" t="s">
        <v>62</v>
      </c>
      <c r="AR873" s="38">
        <v>0.0</v>
      </c>
      <c r="AS873" s="38" t="s">
        <v>2271</v>
      </c>
      <c r="AT873" s="35" t="s">
        <v>2202</v>
      </c>
      <c r="AU873" s="39" t="s">
        <v>2203</v>
      </c>
      <c r="AV873" s="40">
        <v>46163.0</v>
      </c>
    </row>
    <row r="874">
      <c r="A874" s="38">
        <v>296.0</v>
      </c>
      <c r="B874" s="38">
        <v>295.0</v>
      </c>
      <c r="C874" s="38">
        <v>295.0</v>
      </c>
      <c r="D874" s="38">
        <v>9.0239422E7</v>
      </c>
      <c r="E874" s="38">
        <v>9.0239422E7</v>
      </c>
      <c r="F874" s="18" t="s">
        <v>958</v>
      </c>
      <c r="G874" s="18" t="s">
        <v>959</v>
      </c>
      <c r="H874" s="18" t="s">
        <v>3181</v>
      </c>
      <c r="I874" s="38">
        <v>0.0</v>
      </c>
      <c r="J874" s="18" t="s">
        <v>982</v>
      </c>
      <c r="K874" s="18" t="s">
        <v>982</v>
      </c>
      <c r="L874" s="18" t="s">
        <v>52</v>
      </c>
      <c r="M874" s="18" t="s">
        <v>89</v>
      </c>
      <c r="N874" s="18" t="s">
        <v>861</v>
      </c>
      <c r="O874" s="18" t="s">
        <v>126</v>
      </c>
      <c r="P874" s="18" t="s">
        <v>56</v>
      </c>
      <c r="Q874" s="18" t="s">
        <v>90</v>
      </c>
      <c r="R874" s="18" t="s">
        <v>143</v>
      </c>
      <c r="S874" s="18" t="s">
        <v>59</v>
      </c>
      <c r="T874" s="38">
        <v>2026.0</v>
      </c>
      <c r="U874" s="38">
        <v>5.0</v>
      </c>
      <c r="V874" s="38">
        <v>1.081522804E9</v>
      </c>
      <c r="W874" s="38">
        <v>1.081540874E9</v>
      </c>
      <c r="X874" s="18" t="s">
        <v>2199</v>
      </c>
      <c r="Y874" s="18" t="s">
        <v>2200</v>
      </c>
      <c r="Z874" s="38">
        <v>780422.91</v>
      </c>
      <c r="AA874" s="38">
        <v>780422.91</v>
      </c>
      <c r="AB874" s="38">
        <v>260140.97</v>
      </c>
      <c r="AC874" s="38">
        <v>2540.0</v>
      </c>
      <c r="AD874" s="38">
        <v>0.0</v>
      </c>
      <c r="AE874" s="38">
        <v>0.0</v>
      </c>
      <c r="AF874" s="38">
        <v>0.0</v>
      </c>
      <c r="AG874" s="38">
        <v>0.0</v>
      </c>
      <c r="AH874" s="38">
        <v>0.0</v>
      </c>
      <c r="AI874" s="38">
        <v>780422.91</v>
      </c>
      <c r="AJ874" s="38">
        <v>780422.91</v>
      </c>
      <c r="AK874" s="38">
        <v>0.0</v>
      </c>
      <c r="AL874" s="38">
        <v>376.2</v>
      </c>
      <c r="AM874" s="38">
        <v>0.0</v>
      </c>
      <c r="AN874" s="34" t="s">
        <v>62</v>
      </c>
      <c r="AO874" s="34" t="s">
        <v>62</v>
      </c>
      <c r="AP874" s="34" t="s">
        <v>62</v>
      </c>
      <c r="AQ874" s="34" t="s">
        <v>62</v>
      </c>
      <c r="AR874" s="38">
        <v>0.0</v>
      </c>
      <c r="AS874" s="38" t="s">
        <v>3182</v>
      </c>
      <c r="AT874" s="35" t="s">
        <v>2275</v>
      </c>
      <c r="AU874" s="39" t="s">
        <v>2326</v>
      </c>
      <c r="AV874" s="40">
        <v>46163.0</v>
      </c>
    </row>
    <row r="875">
      <c r="A875" s="38">
        <v>300.0</v>
      </c>
      <c r="B875" s="38">
        <v>299.0</v>
      </c>
      <c r="C875" s="38">
        <v>299.0</v>
      </c>
      <c r="D875" s="38">
        <v>9.0239509E7</v>
      </c>
      <c r="E875" s="38">
        <v>9.0239509E7</v>
      </c>
      <c r="F875" s="38">
        <v>8.07003087E8</v>
      </c>
      <c r="G875" s="18" t="s">
        <v>961</v>
      </c>
      <c r="H875" s="18" t="s">
        <v>3183</v>
      </c>
      <c r="I875" s="18" t="s">
        <v>343</v>
      </c>
      <c r="J875" s="18" t="s">
        <v>2205</v>
      </c>
      <c r="K875" s="18" t="s">
        <v>2205</v>
      </c>
      <c r="L875" s="18" t="s">
        <v>52</v>
      </c>
      <c r="M875" s="18" t="s">
        <v>89</v>
      </c>
      <c r="N875" s="18" t="s">
        <v>861</v>
      </c>
      <c r="O875" s="18" t="s">
        <v>126</v>
      </c>
      <c r="P875" s="18" t="s">
        <v>56</v>
      </c>
      <c r="Q875" s="18" t="s">
        <v>90</v>
      </c>
      <c r="R875" s="18" t="s">
        <v>143</v>
      </c>
      <c r="S875" s="18" t="s">
        <v>59</v>
      </c>
      <c r="T875" s="38">
        <v>2026.0</v>
      </c>
      <c r="U875" s="38">
        <v>5.0</v>
      </c>
      <c r="V875" s="38">
        <v>1.081522808E9</v>
      </c>
      <c r="W875" s="38">
        <v>1.081540878E9</v>
      </c>
      <c r="X875" s="18" t="s">
        <v>2199</v>
      </c>
      <c r="Y875" s="18" t="s">
        <v>2200</v>
      </c>
      <c r="Z875" s="38">
        <v>1003689.79</v>
      </c>
      <c r="AA875" s="38">
        <v>1003689.79</v>
      </c>
      <c r="AB875" s="38">
        <v>327523.88</v>
      </c>
      <c r="AC875" s="38">
        <v>3250.0</v>
      </c>
      <c r="AD875" s="38">
        <v>21118.16</v>
      </c>
      <c r="AE875" s="38">
        <v>0.0</v>
      </c>
      <c r="AF875" s="38">
        <v>0.0</v>
      </c>
      <c r="AG875" s="38">
        <v>0.0</v>
      </c>
      <c r="AH875" s="38">
        <v>0.0</v>
      </c>
      <c r="AI875" s="38">
        <v>1003689.79</v>
      </c>
      <c r="AJ875" s="38">
        <v>1978559.93</v>
      </c>
      <c r="AK875" s="38">
        <v>2.0</v>
      </c>
      <c r="AL875" s="38">
        <v>376.2</v>
      </c>
      <c r="AM875" s="38">
        <v>0.0</v>
      </c>
      <c r="AN875" s="34" t="s">
        <v>62</v>
      </c>
      <c r="AO875" s="34" t="s">
        <v>62</v>
      </c>
      <c r="AP875" s="34" t="s">
        <v>62</v>
      </c>
      <c r="AQ875" s="34" t="s">
        <v>62</v>
      </c>
      <c r="AR875" s="38">
        <v>0.0</v>
      </c>
      <c r="AS875" s="38" t="s">
        <v>3184</v>
      </c>
      <c r="AT875" s="35" t="s">
        <v>2202</v>
      </c>
      <c r="AU875" s="39" t="s">
        <v>2254</v>
      </c>
      <c r="AV875" s="40">
        <v>46171.0</v>
      </c>
    </row>
    <row r="876">
      <c r="A876" s="38">
        <v>455370.0</v>
      </c>
      <c r="B876" s="38">
        <v>303.0</v>
      </c>
      <c r="C876" s="38">
        <v>303.0</v>
      </c>
      <c r="D876" s="38">
        <v>9.0239559E7</v>
      </c>
      <c r="E876" s="38">
        <v>9.0239559E7</v>
      </c>
      <c r="F876" s="18" t="s">
        <v>148</v>
      </c>
      <c r="G876" s="18" t="s">
        <v>149</v>
      </c>
      <c r="H876" s="18" t="s">
        <v>2296</v>
      </c>
      <c r="I876" s="18" t="s">
        <v>343</v>
      </c>
      <c r="J876" s="18" t="s">
        <v>2205</v>
      </c>
      <c r="K876" s="18" t="s">
        <v>2611</v>
      </c>
      <c r="L876" s="18" t="s">
        <v>52</v>
      </c>
      <c r="M876" s="18" t="s">
        <v>53</v>
      </c>
      <c r="N876" s="18" t="s">
        <v>861</v>
      </c>
      <c r="O876" s="18" t="s">
        <v>126</v>
      </c>
      <c r="P876" s="18" t="s">
        <v>56</v>
      </c>
      <c r="Q876" s="18" t="s">
        <v>57</v>
      </c>
      <c r="R876" s="18" t="s">
        <v>143</v>
      </c>
      <c r="S876" s="18" t="s">
        <v>59</v>
      </c>
      <c r="T876" s="38">
        <v>2026.0</v>
      </c>
      <c r="U876" s="38">
        <v>5.0</v>
      </c>
      <c r="V876" s="38">
        <v>1.081522812E9</v>
      </c>
      <c r="W876" s="38">
        <v>1.081540882E9</v>
      </c>
      <c r="X876" s="18" t="s">
        <v>2199</v>
      </c>
      <c r="Y876" s="18" t="s">
        <v>2200</v>
      </c>
      <c r="Z876" s="38">
        <v>1199425.7</v>
      </c>
      <c r="AA876" s="38">
        <v>1199425.7</v>
      </c>
      <c r="AB876" s="38">
        <v>0.0</v>
      </c>
      <c r="AC876" s="38">
        <v>6118.0</v>
      </c>
      <c r="AD876" s="38">
        <v>0.0</v>
      </c>
      <c r="AE876" s="38">
        <v>0.0</v>
      </c>
      <c r="AF876" s="38">
        <v>0.0</v>
      </c>
      <c r="AG876" s="38">
        <v>0.0</v>
      </c>
      <c r="AH876" s="38">
        <v>0.0</v>
      </c>
      <c r="AI876" s="38">
        <v>1199425.7</v>
      </c>
      <c r="AJ876" s="38">
        <v>2533349.51</v>
      </c>
      <c r="AK876" s="38">
        <v>2.0</v>
      </c>
      <c r="AL876" s="38">
        <v>250.8</v>
      </c>
      <c r="AM876" s="38">
        <v>0.0</v>
      </c>
      <c r="AN876" s="34" t="s">
        <v>62</v>
      </c>
      <c r="AO876" s="34" t="s">
        <v>62</v>
      </c>
      <c r="AP876" s="34" t="s">
        <v>62</v>
      </c>
      <c r="AQ876" s="34" t="s">
        <v>62</v>
      </c>
      <c r="AR876" s="38">
        <v>0.0</v>
      </c>
      <c r="AS876" s="38" t="s">
        <v>2293</v>
      </c>
      <c r="AT876" s="35" t="s">
        <v>2294</v>
      </c>
      <c r="AU876" s="39" t="s">
        <v>2295</v>
      </c>
      <c r="AV876" s="40">
        <v>46164.0</v>
      </c>
    </row>
    <row r="877">
      <c r="A877" s="38">
        <v>355.0</v>
      </c>
      <c r="B877" s="38">
        <v>307.0</v>
      </c>
      <c r="C877" s="38">
        <v>307.0</v>
      </c>
      <c r="D877" s="38">
        <v>9.0239952E7</v>
      </c>
      <c r="E877" s="38">
        <v>9.0239952E7</v>
      </c>
      <c r="F877" s="18" t="s">
        <v>964</v>
      </c>
      <c r="G877" s="18" t="s">
        <v>965</v>
      </c>
      <c r="H877" s="18" t="s">
        <v>2680</v>
      </c>
      <c r="I877" s="18" t="s">
        <v>343</v>
      </c>
      <c r="J877" s="18" t="s">
        <v>2205</v>
      </c>
      <c r="K877" s="18" t="s">
        <v>2681</v>
      </c>
      <c r="L877" s="18" t="s">
        <v>52</v>
      </c>
      <c r="M877" s="18" t="s">
        <v>53</v>
      </c>
      <c r="N877" s="18" t="s">
        <v>861</v>
      </c>
      <c r="O877" s="18" t="s">
        <v>126</v>
      </c>
      <c r="P877" s="18" t="s">
        <v>131</v>
      </c>
      <c r="Q877" s="18" t="s">
        <v>151</v>
      </c>
      <c r="R877" s="18" t="s">
        <v>133</v>
      </c>
      <c r="S877" s="18" t="s">
        <v>59</v>
      </c>
      <c r="T877" s="38">
        <v>2026.0</v>
      </c>
      <c r="U877" s="38">
        <v>5.0</v>
      </c>
      <c r="V877" s="38">
        <v>1.081522815E9</v>
      </c>
      <c r="W877" s="38">
        <v>1.081540885E9</v>
      </c>
      <c r="X877" s="18" t="s">
        <v>2199</v>
      </c>
      <c r="Y877" s="18" t="s">
        <v>2200</v>
      </c>
      <c r="Z877" s="38">
        <v>75941.0</v>
      </c>
      <c r="AA877" s="38">
        <v>75941.0</v>
      </c>
      <c r="AB877" s="38">
        <v>0.0</v>
      </c>
      <c r="AC877" s="38">
        <v>0.0</v>
      </c>
      <c r="AD877" s="38">
        <v>0.0</v>
      </c>
      <c r="AE877" s="38">
        <v>0.0</v>
      </c>
      <c r="AF877" s="38">
        <v>0.0</v>
      </c>
      <c r="AG877" s="38">
        <v>0.0</v>
      </c>
      <c r="AH877" s="38">
        <v>0.0</v>
      </c>
      <c r="AI877" s="38">
        <v>75941.0</v>
      </c>
      <c r="AJ877" s="38">
        <v>75941.0</v>
      </c>
      <c r="AK877" s="38">
        <v>0.0</v>
      </c>
      <c r="AL877" s="38">
        <v>250.8</v>
      </c>
      <c r="AM877" s="38">
        <v>0.0</v>
      </c>
      <c r="AN877" s="34" t="s">
        <v>62</v>
      </c>
      <c r="AO877" s="34" t="s">
        <v>62</v>
      </c>
      <c r="AP877" s="34" t="s">
        <v>62</v>
      </c>
      <c r="AQ877" s="34" t="s">
        <v>62</v>
      </c>
      <c r="AR877" s="38">
        <v>0.0</v>
      </c>
      <c r="AS877" s="38" t="s">
        <v>2682</v>
      </c>
      <c r="AT877" s="35" t="s">
        <v>2202</v>
      </c>
      <c r="AU877" s="39" t="s">
        <v>2203</v>
      </c>
      <c r="AV877" s="40">
        <v>46169.0</v>
      </c>
    </row>
    <row r="878">
      <c r="A878" s="38">
        <v>312.0</v>
      </c>
      <c r="B878" s="38">
        <v>311.0</v>
      </c>
      <c r="C878" s="38">
        <v>311.0</v>
      </c>
      <c r="D878" s="38">
        <v>9.0240155E7</v>
      </c>
      <c r="E878" s="38">
        <v>9.0240155E7</v>
      </c>
      <c r="F878" s="38">
        <v>8.90500675E8</v>
      </c>
      <c r="G878" s="18" t="s">
        <v>967</v>
      </c>
      <c r="H878" s="18" t="s">
        <v>3185</v>
      </c>
      <c r="I878" s="18" t="s">
        <v>343</v>
      </c>
      <c r="J878" s="18" t="s">
        <v>2205</v>
      </c>
      <c r="K878" s="18" t="s">
        <v>967</v>
      </c>
      <c r="L878" s="18" t="s">
        <v>52</v>
      </c>
      <c r="M878" s="18" t="s">
        <v>53</v>
      </c>
      <c r="N878" s="18" t="s">
        <v>861</v>
      </c>
      <c r="O878" s="18" t="s">
        <v>126</v>
      </c>
      <c r="P878" s="18" t="s">
        <v>56</v>
      </c>
      <c r="Q878" s="18" t="s">
        <v>90</v>
      </c>
      <c r="R878" s="18" t="s">
        <v>143</v>
      </c>
      <c r="S878" s="18" t="s">
        <v>59</v>
      </c>
      <c r="T878" s="38">
        <v>2026.0</v>
      </c>
      <c r="U878" s="38">
        <v>5.0</v>
      </c>
      <c r="V878" s="38">
        <v>1.081522818E9</v>
      </c>
      <c r="W878" s="38">
        <v>1.081540888E9</v>
      </c>
      <c r="X878" s="18" t="s">
        <v>2199</v>
      </c>
      <c r="Y878" s="18" t="s">
        <v>2200</v>
      </c>
      <c r="Z878" s="38">
        <v>1187567.51</v>
      </c>
      <c r="AA878" s="38">
        <v>1187567.51</v>
      </c>
      <c r="AB878" s="38">
        <v>395855.84</v>
      </c>
      <c r="AC878" s="38">
        <v>3970.0</v>
      </c>
      <c r="AD878" s="38">
        <v>0.0</v>
      </c>
      <c r="AE878" s="38">
        <v>0.0</v>
      </c>
      <c r="AF878" s="38">
        <v>0.0</v>
      </c>
      <c r="AG878" s="38">
        <v>0.0</v>
      </c>
      <c r="AH878" s="38">
        <v>0.0</v>
      </c>
      <c r="AI878" s="38">
        <v>1187567.51</v>
      </c>
      <c r="AJ878" s="38">
        <v>1187567.51</v>
      </c>
      <c r="AK878" s="38">
        <v>0.0</v>
      </c>
      <c r="AL878" s="38">
        <v>376.2</v>
      </c>
      <c r="AM878" s="38">
        <v>0.0</v>
      </c>
      <c r="AN878" s="34" t="s">
        <v>62</v>
      </c>
      <c r="AO878" s="34" t="s">
        <v>62</v>
      </c>
      <c r="AP878" s="34" t="s">
        <v>62</v>
      </c>
      <c r="AQ878" s="34" t="s">
        <v>62</v>
      </c>
      <c r="AR878" s="38">
        <v>0.0</v>
      </c>
      <c r="AS878" s="38" t="s">
        <v>3186</v>
      </c>
      <c r="AT878" s="35" t="s">
        <v>2202</v>
      </c>
      <c r="AU878" s="39" t="s">
        <v>2203</v>
      </c>
      <c r="AV878" s="40">
        <v>46168.0</v>
      </c>
    </row>
    <row r="879">
      <c r="A879" s="38">
        <v>316.0</v>
      </c>
      <c r="B879" s="38">
        <v>315.0</v>
      </c>
      <c r="C879" s="38">
        <v>315.0</v>
      </c>
      <c r="D879" s="38">
        <v>9.0240307E7</v>
      </c>
      <c r="E879" s="38">
        <v>9.0240307E7</v>
      </c>
      <c r="F879" s="38">
        <v>8.6000302E8</v>
      </c>
      <c r="G879" s="18" t="s">
        <v>969</v>
      </c>
      <c r="H879" s="18" t="s">
        <v>3187</v>
      </c>
      <c r="I879" s="18" t="s">
        <v>343</v>
      </c>
      <c r="J879" s="18" t="s">
        <v>2205</v>
      </c>
      <c r="K879" s="18" t="s">
        <v>2205</v>
      </c>
      <c r="L879" s="18" t="s">
        <v>52</v>
      </c>
      <c r="M879" s="18" t="s">
        <v>89</v>
      </c>
      <c r="N879" s="18" t="s">
        <v>861</v>
      </c>
      <c r="O879" s="18" t="s">
        <v>126</v>
      </c>
      <c r="P879" s="18" t="s">
        <v>56</v>
      </c>
      <c r="Q879" s="18" t="s">
        <v>90</v>
      </c>
      <c r="R879" s="18" t="s">
        <v>143</v>
      </c>
      <c r="S879" s="18" t="s">
        <v>59</v>
      </c>
      <c r="T879" s="38">
        <v>2026.0</v>
      </c>
      <c r="U879" s="38">
        <v>5.0</v>
      </c>
      <c r="V879" s="38">
        <v>1.081522821E9</v>
      </c>
      <c r="W879" s="38">
        <v>1.081540891E9</v>
      </c>
      <c r="X879" s="18" t="s">
        <v>2199</v>
      </c>
      <c r="Y879" s="18" t="s">
        <v>2200</v>
      </c>
      <c r="Z879" s="38">
        <v>299252.03</v>
      </c>
      <c r="AA879" s="38">
        <v>299252.03</v>
      </c>
      <c r="AB879" s="38">
        <v>99750.68</v>
      </c>
      <c r="AC879" s="38">
        <v>850.0</v>
      </c>
      <c r="AD879" s="38">
        <v>0.0</v>
      </c>
      <c r="AE879" s="38">
        <v>0.0</v>
      </c>
      <c r="AF879" s="38">
        <v>0.0</v>
      </c>
      <c r="AG879" s="38">
        <v>0.0</v>
      </c>
      <c r="AH879" s="38">
        <v>0.0</v>
      </c>
      <c r="AI879" s="38">
        <v>299252.03</v>
      </c>
      <c r="AJ879" s="38">
        <v>592568.11</v>
      </c>
      <c r="AK879" s="38">
        <v>1.0</v>
      </c>
      <c r="AL879" s="38">
        <v>376.2</v>
      </c>
      <c r="AM879" s="38">
        <v>0.0</v>
      </c>
      <c r="AN879" s="34" t="s">
        <v>62</v>
      </c>
      <c r="AO879" s="34" t="s">
        <v>62</v>
      </c>
      <c r="AP879" s="34" t="s">
        <v>62</v>
      </c>
      <c r="AQ879" s="34" t="s">
        <v>62</v>
      </c>
      <c r="AR879" s="38">
        <v>0.0</v>
      </c>
      <c r="AS879" s="38" t="s">
        <v>3188</v>
      </c>
      <c r="AT879" s="35" t="s">
        <v>2202</v>
      </c>
      <c r="AU879" s="39" t="s">
        <v>2254</v>
      </c>
      <c r="AV879" s="40">
        <v>46171.0</v>
      </c>
    </row>
    <row r="880">
      <c r="A880" s="38">
        <v>324.0</v>
      </c>
      <c r="B880" s="38">
        <v>323.0</v>
      </c>
      <c r="C880" s="38">
        <v>323.0</v>
      </c>
      <c r="D880" s="38">
        <v>9.0240785E7</v>
      </c>
      <c r="E880" s="38">
        <v>9.0240785E7</v>
      </c>
      <c r="F880" s="38">
        <v>1.3211812E7</v>
      </c>
      <c r="G880" s="18" t="s">
        <v>971</v>
      </c>
      <c r="H880" s="18" t="s">
        <v>3189</v>
      </c>
      <c r="I880" s="18" t="s">
        <v>343</v>
      </c>
      <c r="J880" s="18" t="s">
        <v>2205</v>
      </c>
      <c r="K880" s="18" t="s">
        <v>2205</v>
      </c>
      <c r="L880" s="18" t="s">
        <v>52</v>
      </c>
      <c r="M880" s="18" t="s">
        <v>89</v>
      </c>
      <c r="N880" s="18" t="s">
        <v>861</v>
      </c>
      <c r="O880" s="18" t="s">
        <v>126</v>
      </c>
      <c r="P880" s="18" t="s">
        <v>56</v>
      </c>
      <c r="Q880" s="18" t="s">
        <v>90</v>
      </c>
      <c r="R880" s="18" t="s">
        <v>143</v>
      </c>
      <c r="S880" s="18" t="s">
        <v>59</v>
      </c>
      <c r="T880" s="38">
        <v>2026.0</v>
      </c>
      <c r="U880" s="38">
        <v>5.0</v>
      </c>
      <c r="V880" s="38">
        <v>1.081522825E9</v>
      </c>
      <c r="W880" s="38">
        <v>1.081540895E9</v>
      </c>
      <c r="X880" s="18" t="s">
        <v>2199</v>
      </c>
      <c r="Y880" s="18" t="s">
        <v>2200</v>
      </c>
      <c r="Z880" s="38">
        <v>230920.07</v>
      </c>
      <c r="AA880" s="38">
        <v>230920.07</v>
      </c>
      <c r="AB880" s="38">
        <v>76973.36</v>
      </c>
      <c r="AC880" s="38">
        <v>610.0</v>
      </c>
      <c r="AD880" s="38">
        <v>0.0</v>
      </c>
      <c r="AE880" s="38">
        <v>0.0</v>
      </c>
      <c r="AF880" s="38">
        <v>0.0</v>
      </c>
      <c r="AG880" s="38">
        <v>0.0</v>
      </c>
      <c r="AH880" s="38">
        <v>0.0</v>
      </c>
      <c r="AI880" s="38">
        <v>230920.07</v>
      </c>
      <c r="AJ880" s="38">
        <v>230920.07</v>
      </c>
      <c r="AK880" s="38">
        <v>0.0</v>
      </c>
      <c r="AL880" s="38">
        <v>376.2</v>
      </c>
      <c r="AM880" s="38">
        <v>0.0</v>
      </c>
      <c r="AN880" s="34" t="s">
        <v>62</v>
      </c>
      <c r="AO880" s="34" t="s">
        <v>62</v>
      </c>
      <c r="AP880" s="34" t="s">
        <v>62</v>
      </c>
      <c r="AQ880" s="34" t="s">
        <v>62</v>
      </c>
      <c r="AR880" s="38">
        <v>0.0</v>
      </c>
      <c r="AS880" s="38" t="s">
        <v>3190</v>
      </c>
      <c r="AT880" s="35" t="s">
        <v>2202</v>
      </c>
      <c r="AU880" s="39" t="s">
        <v>2254</v>
      </c>
      <c r="AV880" s="40">
        <v>46171.0</v>
      </c>
    </row>
    <row r="881">
      <c r="A881" s="38">
        <v>328.0</v>
      </c>
      <c r="B881" s="38">
        <v>327.0</v>
      </c>
      <c r="C881" s="38">
        <v>327.0</v>
      </c>
      <c r="D881" s="38">
        <v>9.0240879E7</v>
      </c>
      <c r="E881" s="38">
        <v>9.0240879E7</v>
      </c>
      <c r="F881" s="38">
        <v>9.0240879E7</v>
      </c>
      <c r="G881" s="18" t="s">
        <v>973</v>
      </c>
      <c r="H881" s="18" t="s">
        <v>3191</v>
      </c>
      <c r="I881" s="18" t="s">
        <v>343</v>
      </c>
      <c r="J881" s="18" t="s">
        <v>982</v>
      </c>
      <c r="K881" s="18" t="s">
        <v>982</v>
      </c>
      <c r="L881" s="18" t="s">
        <v>52</v>
      </c>
      <c r="M881" s="18" t="s">
        <v>89</v>
      </c>
      <c r="N881" s="18" t="s">
        <v>861</v>
      </c>
      <c r="O881" s="18" t="s">
        <v>126</v>
      </c>
      <c r="P881" s="18" t="s">
        <v>131</v>
      </c>
      <c r="Q881" s="18" t="s">
        <v>363</v>
      </c>
      <c r="R881" s="18" t="s">
        <v>133</v>
      </c>
      <c r="S881" s="18" t="s">
        <v>59</v>
      </c>
      <c r="T881" s="38">
        <v>2026.0</v>
      </c>
      <c r="U881" s="38">
        <v>5.0</v>
      </c>
      <c r="V881" s="38">
        <v>1.08152283E9</v>
      </c>
      <c r="W881" s="38">
        <v>1.0815409E9</v>
      </c>
      <c r="X881" s="18" t="s">
        <v>2199</v>
      </c>
      <c r="Y881" s="18" t="s">
        <v>2200</v>
      </c>
      <c r="Z881" s="38">
        <v>78797.83</v>
      </c>
      <c r="AA881" s="38">
        <v>78797.83</v>
      </c>
      <c r="AB881" s="38">
        <v>25380.5</v>
      </c>
      <c r="AC881" s="38">
        <v>0.0</v>
      </c>
      <c r="AD881" s="38">
        <v>2656.33</v>
      </c>
      <c r="AE881" s="38">
        <v>0.0</v>
      </c>
      <c r="AF881" s="38">
        <v>0.0</v>
      </c>
      <c r="AG881" s="38">
        <v>0.0</v>
      </c>
      <c r="AH881" s="38">
        <v>0.0</v>
      </c>
      <c r="AI881" s="38">
        <v>78797.83</v>
      </c>
      <c r="AJ881" s="38">
        <v>273047.3</v>
      </c>
      <c r="AK881" s="38">
        <v>3.0</v>
      </c>
      <c r="AL881" s="38">
        <v>376.2</v>
      </c>
      <c r="AM881" s="38">
        <v>0.0</v>
      </c>
      <c r="AN881" s="34" t="s">
        <v>62</v>
      </c>
      <c r="AO881" s="34" t="s">
        <v>62</v>
      </c>
      <c r="AP881" s="34" t="s">
        <v>62</v>
      </c>
      <c r="AQ881" s="34" t="s">
        <v>62</v>
      </c>
      <c r="AR881" s="38">
        <v>0.0</v>
      </c>
      <c r="AS881" s="38" t="e">
        <v>#ERROR!</v>
      </c>
      <c r="AT881" s="35" t="s">
        <v>2275</v>
      </c>
      <c r="AU881" s="39" t="s">
        <v>2326</v>
      </c>
      <c r="AV881" s="40">
        <v>46163.0</v>
      </c>
    </row>
    <row r="882">
      <c r="A882" s="38">
        <v>332.0</v>
      </c>
      <c r="B882" s="38">
        <v>331.0</v>
      </c>
      <c r="C882" s="38">
        <v>331.0</v>
      </c>
      <c r="D882" s="38">
        <v>9.0240885E7</v>
      </c>
      <c r="E882" s="38">
        <v>9.0240885E7</v>
      </c>
      <c r="F882" s="38">
        <v>9.0240885E7</v>
      </c>
      <c r="G882" s="18" t="s">
        <v>973</v>
      </c>
      <c r="H882" s="18" t="s">
        <v>3192</v>
      </c>
      <c r="I882" s="18" t="s">
        <v>343</v>
      </c>
      <c r="J882" s="18" t="s">
        <v>982</v>
      </c>
      <c r="K882" s="18" t="s">
        <v>982</v>
      </c>
      <c r="L882" s="18" t="s">
        <v>52</v>
      </c>
      <c r="M882" s="18" t="s">
        <v>89</v>
      </c>
      <c r="N882" s="18" t="s">
        <v>861</v>
      </c>
      <c r="O882" s="18" t="s">
        <v>126</v>
      </c>
      <c r="P882" s="18" t="s">
        <v>131</v>
      </c>
      <c r="Q882" s="18" t="s">
        <v>363</v>
      </c>
      <c r="R882" s="18" t="s">
        <v>133</v>
      </c>
      <c r="S882" s="18" t="s">
        <v>59</v>
      </c>
      <c r="T882" s="38">
        <v>2026.0</v>
      </c>
      <c r="U882" s="38">
        <v>5.0</v>
      </c>
      <c r="V882" s="38">
        <v>1.081522834E9</v>
      </c>
      <c r="W882" s="38">
        <v>1.081540904E9</v>
      </c>
      <c r="X882" s="18" t="s">
        <v>2199</v>
      </c>
      <c r="Y882" s="18" t="s">
        <v>2200</v>
      </c>
      <c r="Z882" s="38">
        <v>76141.5</v>
      </c>
      <c r="AA882" s="38">
        <v>76141.5</v>
      </c>
      <c r="AB882" s="38">
        <v>25380.5</v>
      </c>
      <c r="AC882" s="38">
        <v>0.0</v>
      </c>
      <c r="AD882" s="38">
        <v>0.0</v>
      </c>
      <c r="AE882" s="38">
        <v>0.0</v>
      </c>
      <c r="AF882" s="38">
        <v>0.0</v>
      </c>
      <c r="AG882" s="38">
        <v>0.0</v>
      </c>
      <c r="AH882" s="38">
        <v>0.0</v>
      </c>
      <c r="AI882" s="38">
        <v>76141.5</v>
      </c>
      <c r="AJ882" s="38">
        <v>151704.0</v>
      </c>
      <c r="AK882" s="38">
        <v>1.0</v>
      </c>
      <c r="AL882" s="38">
        <v>376.2</v>
      </c>
      <c r="AM882" s="38">
        <v>0.0</v>
      </c>
      <c r="AN882" s="34" t="s">
        <v>62</v>
      </c>
      <c r="AO882" s="34" t="s">
        <v>62</v>
      </c>
      <c r="AP882" s="34" t="s">
        <v>62</v>
      </c>
      <c r="AQ882" s="34" t="s">
        <v>62</v>
      </c>
      <c r="AR882" s="38">
        <v>0.0</v>
      </c>
      <c r="AS882" s="38" t="s">
        <v>3193</v>
      </c>
      <c r="AT882" s="35" t="s">
        <v>2275</v>
      </c>
      <c r="AU882" s="39" t="s">
        <v>2326</v>
      </c>
      <c r="AV882" s="40">
        <v>46163.0</v>
      </c>
    </row>
    <row r="883">
      <c r="A883" s="38">
        <v>340.0</v>
      </c>
      <c r="B883" s="38">
        <v>339.0</v>
      </c>
      <c r="C883" s="38">
        <v>339.0</v>
      </c>
      <c r="D883" s="38">
        <v>9.0241236E7</v>
      </c>
      <c r="E883" s="38">
        <v>9.0241236E7</v>
      </c>
      <c r="F883" s="18" t="s">
        <v>875</v>
      </c>
      <c r="G883" s="18" t="s">
        <v>976</v>
      </c>
      <c r="H883" s="18" t="s">
        <v>3194</v>
      </c>
      <c r="I883" s="18" t="s">
        <v>443</v>
      </c>
      <c r="J883" s="18" t="s">
        <v>2205</v>
      </c>
      <c r="K883" s="18" t="s">
        <v>2205</v>
      </c>
      <c r="L883" s="18" t="s">
        <v>52</v>
      </c>
      <c r="M883" s="18" t="s">
        <v>89</v>
      </c>
      <c r="N883" s="18" t="s">
        <v>861</v>
      </c>
      <c r="O883" s="18" t="s">
        <v>126</v>
      </c>
      <c r="P883" s="18" t="s">
        <v>56</v>
      </c>
      <c r="Q883" s="18" t="s">
        <v>57</v>
      </c>
      <c r="R883" s="18" t="s">
        <v>143</v>
      </c>
      <c r="S883" s="18" t="s">
        <v>59</v>
      </c>
      <c r="T883" s="38">
        <v>2026.0</v>
      </c>
      <c r="U883" s="38">
        <v>5.0</v>
      </c>
      <c r="V883" s="38">
        <v>1.08152284E9</v>
      </c>
      <c r="W883" s="38">
        <v>1.08154091E9</v>
      </c>
      <c r="X883" s="18" t="s">
        <v>2199</v>
      </c>
      <c r="Y883" s="18" t="s">
        <v>2200</v>
      </c>
      <c r="Z883" s="38">
        <v>146828.81</v>
      </c>
      <c r="AA883" s="38">
        <v>146828.81</v>
      </c>
      <c r="AB883" s="38">
        <v>0.0</v>
      </c>
      <c r="AC883" s="38">
        <v>572.5</v>
      </c>
      <c r="AD883" s="38">
        <v>0.0</v>
      </c>
      <c r="AE883" s="38">
        <v>0.0</v>
      </c>
      <c r="AF883" s="38">
        <v>0.0</v>
      </c>
      <c r="AG883" s="38">
        <v>0.0</v>
      </c>
      <c r="AH883" s="38">
        <v>0.0</v>
      </c>
      <c r="AI883" s="38">
        <v>146828.81</v>
      </c>
      <c r="AJ883" s="38">
        <v>146828.81</v>
      </c>
      <c r="AK883" s="38">
        <v>0.0</v>
      </c>
      <c r="AL883" s="38">
        <v>250.8</v>
      </c>
      <c r="AM883" s="38">
        <v>0.0</v>
      </c>
      <c r="AN883" s="34" t="s">
        <v>62</v>
      </c>
      <c r="AO883" s="34" t="s">
        <v>62</v>
      </c>
      <c r="AP883" s="34" t="s">
        <v>62</v>
      </c>
      <c r="AQ883" s="34" t="s">
        <v>62</v>
      </c>
      <c r="AR883" s="38">
        <v>0.0</v>
      </c>
      <c r="AS883" s="38" t="s">
        <v>3195</v>
      </c>
      <c r="AT883" s="35" t="s">
        <v>2202</v>
      </c>
      <c r="AU883" s="39" t="s">
        <v>2254</v>
      </c>
      <c r="AV883" s="40">
        <v>46171.0</v>
      </c>
    </row>
    <row r="884">
      <c r="A884" s="38">
        <v>341408.0</v>
      </c>
      <c r="B884" s="38">
        <v>341407.0</v>
      </c>
      <c r="C884" s="38">
        <v>341407.0</v>
      </c>
      <c r="D884" s="38">
        <v>12187.0</v>
      </c>
      <c r="E884" s="38">
        <v>12187.0</v>
      </c>
      <c r="F884" s="38">
        <v>8.30129327E8</v>
      </c>
      <c r="G884" s="18" t="s">
        <v>978</v>
      </c>
      <c r="H884" s="18" t="s">
        <v>2893</v>
      </c>
      <c r="I884" s="18" t="s">
        <v>928</v>
      </c>
      <c r="J884" s="18" t="s">
        <v>2205</v>
      </c>
      <c r="K884" s="18" t="s">
        <v>2395</v>
      </c>
      <c r="L884" s="18" t="s">
        <v>52</v>
      </c>
      <c r="M884" s="18" t="s">
        <v>89</v>
      </c>
      <c r="N884" s="18" t="s">
        <v>861</v>
      </c>
      <c r="O884" s="18" t="s">
        <v>126</v>
      </c>
      <c r="P884" s="18" t="s">
        <v>131</v>
      </c>
      <c r="Q884" s="18" t="s">
        <v>132</v>
      </c>
      <c r="R884" s="18" t="s">
        <v>133</v>
      </c>
      <c r="S884" s="18" t="s">
        <v>59</v>
      </c>
      <c r="T884" s="38">
        <v>2026.0</v>
      </c>
      <c r="U884" s="38">
        <v>5.0</v>
      </c>
      <c r="V884" s="38">
        <v>1.081523063E9</v>
      </c>
      <c r="W884" s="38">
        <v>1.081541133E9</v>
      </c>
      <c r="X884" s="18" t="s">
        <v>2199</v>
      </c>
      <c r="Y884" s="18" t="s">
        <v>2200</v>
      </c>
      <c r="Z884" s="38">
        <v>114721.76</v>
      </c>
      <c r="AA884" s="38">
        <v>114721.76</v>
      </c>
      <c r="AB884" s="38">
        <v>37970.5</v>
      </c>
      <c r="AC884" s="38">
        <v>0.0</v>
      </c>
      <c r="AD884" s="38">
        <v>810.26</v>
      </c>
      <c r="AE884" s="38">
        <v>0.0</v>
      </c>
      <c r="AF884" s="38">
        <v>0.0</v>
      </c>
      <c r="AG884" s="38">
        <v>0.0</v>
      </c>
      <c r="AH884" s="38">
        <v>0.0</v>
      </c>
      <c r="AI884" s="38">
        <v>114721.76</v>
      </c>
      <c r="AJ884" s="38">
        <v>227211.59</v>
      </c>
      <c r="AK884" s="38">
        <v>1.0</v>
      </c>
      <c r="AL884" s="38">
        <v>376.2</v>
      </c>
      <c r="AM884" s="38">
        <v>0.0</v>
      </c>
      <c r="AN884" s="34" t="s">
        <v>62</v>
      </c>
      <c r="AO884" s="34" t="s">
        <v>62</v>
      </c>
      <c r="AP884" s="34" t="s">
        <v>62</v>
      </c>
      <c r="AQ884" s="34" t="s">
        <v>62</v>
      </c>
      <c r="AR884" s="38">
        <v>0.0</v>
      </c>
      <c r="AS884" s="38" t="s">
        <v>2396</v>
      </c>
      <c r="AT884" s="35" t="s">
        <v>2202</v>
      </c>
      <c r="AU884" s="39" t="s">
        <v>2203</v>
      </c>
      <c r="AV884" s="40">
        <v>46168.0</v>
      </c>
    </row>
    <row r="885">
      <c r="A885" s="38">
        <v>348.0</v>
      </c>
      <c r="B885" s="38">
        <v>347.0</v>
      </c>
      <c r="C885" s="38">
        <v>347.0</v>
      </c>
      <c r="D885" s="38">
        <v>9.0242109E7</v>
      </c>
      <c r="E885" s="38">
        <v>9.0242109E7</v>
      </c>
      <c r="F885" s="38">
        <v>9.01155475E8</v>
      </c>
      <c r="G885" s="18" t="s">
        <v>980</v>
      </c>
      <c r="H885" s="18" t="s">
        <v>3196</v>
      </c>
      <c r="I885" s="18" t="s">
        <v>860</v>
      </c>
      <c r="J885" s="18" t="s">
        <v>2205</v>
      </c>
      <c r="K885" s="18" t="s">
        <v>2205</v>
      </c>
      <c r="L885" s="18" t="s">
        <v>52</v>
      </c>
      <c r="M885" s="18" t="s">
        <v>89</v>
      </c>
      <c r="N885" s="18" t="s">
        <v>861</v>
      </c>
      <c r="O885" s="18" t="s">
        <v>126</v>
      </c>
      <c r="P885" s="18" t="s">
        <v>56</v>
      </c>
      <c r="Q885" s="18" t="s">
        <v>90</v>
      </c>
      <c r="R885" s="18" t="s">
        <v>143</v>
      </c>
      <c r="S885" s="18" t="s">
        <v>59</v>
      </c>
      <c r="T885" s="38">
        <v>2026.0</v>
      </c>
      <c r="U885" s="38">
        <v>5.0</v>
      </c>
      <c r="V885" s="38">
        <v>1.081522843E9</v>
      </c>
      <c r="W885" s="38">
        <v>1.081540913E9</v>
      </c>
      <c r="X885" s="18" t="s">
        <v>2199</v>
      </c>
      <c r="Y885" s="18" t="s">
        <v>2200</v>
      </c>
      <c r="Z885" s="38">
        <v>413138.63</v>
      </c>
      <c r="AA885" s="38">
        <v>413138.63</v>
      </c>
      <c r="AB885" s="38">
        <v>137712.88</v>
      </c>
      <c r="AC885" s="38">
        <v>1250.0</v>
      </c>
      <c r="AD885" s="38">
        <v>0.0</v>
      </c>
      <c r="AE885" s="38">
        <v>0.0</v>
      </c>
      <c r="AF885" s="38">
        <v>0.0</v>
      </c>
      <c r="AG885" s="38">
        <v>0.0</v>
      </c>
      <c r="AH885" s="38">
        <v>0.0</v>
      </c>
      <c r="AI885" s="38">
        <v>413138.63</v>
      </c>
      <c r="AJ885" s="38">
        <v>413139.51</v>
      </c>
      <c r="AK885" s="38">
        <v>1.0</v>
      </c>
      <c r="AL885" s="38">
        <v>376.2</v>
      </c>
      <c r="AM885" s="38">
        <v>0.0</v>
      </c>
      <c r="AN885" s="34" t="s">
        <v>62</v>
      </c>
      <c r="AO885" s="34" t="s">
        <v>62</v>
      </c>
      <c r="AP885" s="34" t="s">
        <v>62</v>
      </c>
      <c r="AQ885" s="34" t="s">
        <v>62</v>
      </c>
      <c r="AR885" s="38">
        <v>0.0</v>
      </c>
      <c r="AS885" s="38" t="s">
        <v>3197</v>
      </c>
      <c r="AT885" s="35" t="s">
        <v>2202</v>
      </c>
      <c r="AU885" s="39" t="s">
        <v>2254</v>
      </c>
      <c r="AV885" s="40">
        <v>46171.0</v>
      </c>
    </row>
    <row r="886">
      <c r="A886" s="38">
        <v>355.0</v>
      </c>
      <c r="B886" s="38">
        <v>355.0</v>
      </c>
      <c r="C886" s="38">
        <v>355.0</v>
      </c>
      <c r="D886" s="38">
        <v>9.0242455E7</v>
      </c>
      <c r="E886" s="38">
        <v>9.0242455E7</v>
      </c>
      <c r="F886" s="18" t="s">
        <v>964</v>
      </c>
      <c r="G886" s="18" t="s">
        <v>965</v>
      </c>
      <c r="H886" s="18" t="s">
        <v>2680</v>
      </c>
      <c r="I886" s="18" t="s">
        <v>982</v>
      </c>
      <c r="J886" s="18" t="s">
        <v>2205</v>
      </c>
      <c r="K886" s="18" t="s">
        <v>2681</v>
      </c>
      <c r="L886" s="18" t="s">
        <v>52</v>
      </c>
      <c r="M886" s="18" t="s">
        <v>53</v>
      </c>
      <c r="N886" s="18" t="s">
        <v>861</v>
      </c>
      <c r="O886" s="18" t="s">
        <v>126</v>
      </c>
      <c r="P886" s="18" t="s">
        <v>56</v>
      </c>
      <c r="Q886" s="18" t="s">
        <v>57</v>
      </c>
      <c r="R886" s="18" t="s">
        <v>143</v>
      </c>
      <c r="S886" s="18" t="s">
        <v>59</v>
      </c>
      <c r="T886" s="38">
        <v>2026.0</v>
      </c>
      <c r="U886" s="38">
        <v>5.0</v>
      </c>
      <c r="V886" s="38">
        <v>1.081522849E9</v>
      </c>
      <c r="W886" s="38">
        <v>1.081540919E9</v>
      </c>
      <c r="X886" s="18" t="s">
        <v>2199</v>
      </c>
      <c r="Y886" s="18" t="s">
        <v>2200</v>
      </c>
      <c r="Z886" s="38">
        <v>152523.14</v>
      </c>
      <c r="AA886" s="38">
        <v>152523.14</v>
      </c>
      <c r="AB886" s="38">
        <v>0.0</v>
      </c>
      <c r="AC886" s="38">
        <v>602.5</v>
      </c>
      <c r="AD886" s="38">
        <v>0.0</v>
      </c>
      <c r="AE886" s="38">
        <v>0.0</v>
      </c>
      <c r="AF886" s="38">
        <v>0.0</v>
      </c>
      <c r="AG886" s="38">
        <v>0.0</v>
      </c>
      <c r="AH886" s="38">
        <v>0.0</v>
      </c>
      <c r="AI886" s="38">
        <v>152523.14</v>
      </c>
      <c r="AJ886" s="38">
        <v>152523.14</v>
      </c>
      <c r="AK886" s="38">
        <v>0.0</v>
      </c>
      <c r="AL886" s="38">
        <v>250.8</v>
      </c>
      <c r="AM886" s="38">
        <v>0.0</v>
      </c>
      <c r="AN886" s="34" t="s">
        <v>62</v>
      </c>
      <c r="AO886" s="34" t="s">
        <v>62</v>
      </c>
      <c r="AP886" s="34" t="s">
        <v>62</v>
      </c>
      <c r="AQ886" s="34" t="s">
        <v>62</v>
      </c>
      <c r="AR886" s="38">
        <v>0.0</v>
      </c>
      <c r="AS886" s="38" t="s">
        <v>2682</v>
      </c>
      <c r="AT886" s="35" t="s">
        <v>2202</v>
      </c>
      <c r="AU886" s="39" t="s">
        <v>2203</v>
      </c>
      <c r="AV886" s="40">
        <v>46169.0</v>
      </c>
    </row>
    <row r="887">
      <c r="A887" s="38">
        <v>360.0</v>
      </c>
      <c r="B887" s="38">
        <v>359.0</v>
      </c>
      <c r="C887" s="38">
        <v>359.0</v>
      </c>
      <c r="D887" s="38">
        <v>9.0242834E7</v>
      </c>
      <c r="E887" s="38">
        <v>9.0242834E7</v>
      </c>
      <c r="F887" s="18" t="s">
        <v>875</v>
      </c>
      <c r="G887" s="18" t="s">
        <v>984</v>
      </c>
      <c r="H887" s="18" t="s">
        <v>3198</v>
      </c>
      <c r="I887" s="18" t="s">
        <v>982</v>
      </c>
      <c r="J887" s="18" t="s">
        <v>2205</v>
      </c>
      <c r="K887" s="18" t="s">
        <v>2684</v>
      </c>
      <c r="L887" s="18" t="s">
        <v>52</v>
      </c>
      <c r="M887" s="18" t="s">
        <v>89</v>
      </c>
      <c r="N887" s="18" t="s">
        <v>861</v>
      </c>
      <c r="O887" s="18" t="s">
        <v>126</v>
      </c>
      <c r="P887" s="18" t="s">
        <v>131</v>
      </c>
      <c r="Q887" s="18" t="s">
        <v>151</v>
      </c>
      <c r="R887" s="18" t="s">
        <v>133</v>
      </c>
      <c r="S887" s="18" t="s">
        <v>59</v>
      </c>
      <c r="T887" s="38">
        <v>2026.0</v>
      </c>
      <c r="U887" s="38">
        <v>5.0</v>
      </c>
      <c r="V887" s="38">
        <v>1.081522853E9</v>
      </c>
      <c r="W887" s="38">
        <v>1.081540923E9</v>
      </c>
      <c r="X887" s="18" t="s">
        <v>2199</v>
      </c>
      <c r="Y887" s="18" t="s">
        <v>2200</v>
      </c>
      <c r="Z887" s="38">
        <v>75941.0</v>
      </c>
      <c r="AA887" s="38">
        <v>75941.0</v>
      </c>
      <c r="AB887" s="38">
        <v>0.0</v>
      </c>
      <c r="AC887" s="38">
        <v>0.0</v>
      </c>
      <c r="AD887" s="38">
        <v>0.0</v>
      </c>
      <c r="AE887" s="38">
        <v>0.0</v>
      </c>
      <c r="AF887" s="38">
        <v>0.0</v>
      </c>
      <c r="AG887" s="38">
        <v>0.0</v>
      </c>
      <c r="AH887" s="38">
        <v>0.0</v>
      </c>
      <c r="AI887" s="38">
        <v>75941.0</v>
      </c>
      <c r="AJ887" s="38">
        <v>304563.23</v>
      </c>
      <c r="AK887" s="38">
        <v>4.0</v>
      </c>
      <c r="AL887" s="38">
        <v>250.8</v>
      </c>
      <c r="AM887" s="38">
        <v>0.0</v>
      </c>
      <c r="AN887" s="34" t="s">
        <v>62</v>
      </c>
      <c r="AO887" s="34" t="s">
        <v>62</v>
      </c>
      <c r="AP887" s="34" t="s">
        <v>62</v>
      </c>
      <c r="AQ887" s="34" t="s">
        <v>62</v>
      </c>
      <c r="AR887" s="38">
        <v>0.0</v>
      </c>
      <c r="AS887" s="38" t="s">
        <v>2685</v>
      </c>
      <c r="AT887" s="35" t="s">
        <v>2294</v>
      </c>
      <c r="AU887" s="39" t="s">
        <v>2295</v>
      </c>
      <c r="AV887" s="40">
        <v>46164.0</v>
      </c>
    </row>
    <row r="888">
      <c r="A888" s="38">
        <v>364.0</v>
      </c>
      <c r="B888" s="38">
        <v>363.0</v>
      </c>
      <c r="C888" s="38">
        <v>363.0</v>
      </c>
      <c r="D888" s="38">
        <v>9.0242839E7</v>
      </c>
      <c r="E888" s="38">
        <v>9.0242839E7</v>
      </c>
      <c r="F888" s="38">
        <v>8.07002508E8</v>
      </c>
      <c r="G888" s="18" t="s">
        <v>986</v>
      </c>
      <c r="H888" s="18" t="s">
        <v>3199</v>
      </c>
      <c r="I888" s="18" t="s">
        <v>982</v>
      </c>
      <c r="J888" s="18" t="s">
        <v>2205</v>
      </c>
      <c r="K888" s="18" t="s">
        <v>2205</v>
      </c>
      <c r="L888" s="18" t="s">
        <v>52</v>
      </c>
      <c r="M888" s="18" t="s">
        <v>89</v>
      </c>
      <c r="N888" s="18" t="s">
        <v>861</v>
      </c>
      <c r="O888" s="18" t="s">
        <v>126</v>
      </c>
      <c r="P888" s="18" t="s">
        <v>56</v>
      </c>
      <c r="Q888" s="18" t="s">
        <v>90</v>
      </c>
      <c r="R888" s="18" t="s">
        <v>143</v>
      </c>
      <c r="S888" s="18" t="s">
        <v>59</v>
      </c>
      <c r="T888" s="38">
        <v>2026.0</v>
      </c>
      <c r="U888" s="38">
        <v>5.0</v>
      </c>
      <c r="V888" s="38">
        <v>1.081522857E9</v>
      </c>
      <c r="W888" s="38">
        <v>1.081540927E9</v>
      </c>
      <c r="X888" s="18" t="s">
        <v>2199</v>
      </c>
      <c r="Y888" s="18" t="s">
        <v>2200</v>
      </c>
      <c r="Z888" s="38">
        <v>414728.98</v>
      </c>
      <c r="AA888" s="38">
        <v>414728.98</v>
      </c>
      <c r="AB888" s="38">
        <v>137712.88</v>
      </c>
      <c r="AC888" s="38">
        <v>1250.0</v>
      </c>
      <c r="AD888" s="38">
        <v>1590.35</v>
      </c>
      <c r="AE888" s="38">
        <v>0.0</v>
      </c>
      <c r="AF888" s="38">
        <v>0.0</v>
      </c>
      <c r="AG888" s="38">
        <v>0.0</v>
      </c>
      <c r="AH888" s="38">
        <v>0.0</v>
      </c>
      <c r="AI888" s="38">
        <v>414728.98</v>
      </c>
      <c r="AJ888" s="38">
        <v>821163.39</v>
      </c>
      <c r="AK888" s="38">
        <v>2.0</v>
      </c>
      <c r="AL888" s="38">
        <v>376.2</v>
      </c>
      <c r="AM888" s="38">
        <v>0.0</v>
      </c>
      <c r="AN888" s="34" t="s">
        <v>62</v>
      </c>
      <c r="AO888" s="34" t="s">
        <v>62</v>
      </c>
      <c r="AP888" s="34" t="s">
        <v>62</v>
      </c>
      <c r="AQ888" s="34" t="s">
        <v>62</v>
      </c>
      <c r="AR888" s="38">
        <v>0.0</v>
      </c>
      <c r="AS888" s="38" t="s">
        <v>3200</v>
      </c>
      <c r="AT888" s="35" t="s">
        <v>2202</v>
      </c>
      <c r="AU888" s="39" t="s">
        <v>2254</v>
      </c>
      <c r="AV888" s="40">
        <v>46171.0</v>
      </c>
    </row>
    <row r="889">
      <c r="A889" s="38">
        <v>285191.0</v>
      </c>
      <c r="B889" s="38">
        <v>363179.0</v>
      </c>
      <c r="C889" s="38">
        <v>367364.0</v>
      </c>
      <c r="D889" s="38">
        <v>1019464.0</v>
      </c>
      <c r="E889" s="38">
        <v>1019464.0</v>
      </c>
      <c r="F889" s="38">
        <v>9.00276962E8</v>
      </c>
      <c r="G889" s="18" t="s">
        <v>128</v>
      </c>
      <c r="H889" s="18" t="s">
        <v>2269</v>
      </c>
      <c r="I889" s="18" t="s">
        <v>910</v>
      </c>
      <c r="J889" s="18" t="s">
        <v>2205</v>
      </c>
      <c r="K889" s="18" t="s">
        <v>2270</v>
      </c>
      <c r="L889" s="18" t="s">
        <v>52</v>
      </c>
      <c r="M889" s="18" t="s">
        <v>89</v>
      </c>
      <c r="N889" s="18" t="s">
        <v>861</v>
      </c>
      <c r="O889" s="18" t="s">
        <v>126</v>
      </c>
      <c r="P889" s="18" t="s">
        <v>131</v>
      </c>
      <c r="Q889" s="18" t="s">
        <v>132</v>
      </c>
      <c r="R889" s="18" t="s">
        <v>133</v>
      </c>
      <c r="S889" s="18" t="s">
        <v>59</v>
      </c>
      <c r="T889" s="38">
        <v>2026.0</v>
      </c>
      <c r="U889" s="38">
        <v>5.0</v>
      </c>
      <c r="V889" s="38">
        <v>1.081523067E9</v>
      </c>
      <c r="W889" s="38">
        <v>1.081541137E9</v>
      </c>
      <c r="X889" s="18" t="s">
        <v>2199</v>
      </c>
      <c r="Y889" s="18" t="s">
        <v>2200</v>
      </c>
      <c r="Z889" s="38">
        <v>113911.5</v>
      </c>
      <c r="AA889" s="38">
        <v>113911.5</v>
      </c>
      <c r="AB889" s="38">
        <v>37970.5</v>
      </c>
      <c r="AC889" s="38">
        <v>0.0</v>
      </c>
      <c r="AD889" s="38">
        <v>0.0</v>
      </c>
      <c r="AE889" s="38">
        <v>0.0</v>
      </c>
      <c r="AF889" s="38">
        <v>0.0</v>
      </c>
      <c r="AG889" s="38">
        <v>0.0</v>
      </c>
      <c r="AH889" s="38">
        <v>0.0</v>
      </c>
      <c r="AI889" s="38">
        <v>113911.5</v>
      </c>
      <c r="AJ889" s="38">
        <v>113911.5</v>
      </c>
      <c r="AK889" s="38">
        <v>0.0</v>
      </c>
      <c r="AL889" s="38">
        <v>376.2</v>
      </c>
      <c r="AM889" s="38">
        <v>0.0</v>
      </c>
      <c r="AN889" s="34" t="s">
        <v>62</v>
      </c>
      <c r="AO889" s="34" t="s">
        <v>62</v>
      </c>
      <c r="AP889" s="34" t="s">
        <v>62</v>
      </c>
      <c r="AQ889" s="34" t="s">
        <v>62</v>
      </c>
      <c r="AR889" s="38">
        <v>0.0</v>
      </c>
      <c r="AS889" s="38" t="s">
        <v>2271</v>
      </c>
      <c r="AT889" s="35" t="s">
        <v>2202</v>
      </c>
      <c r="AU889" s="39" t="s">
        <v>2203</v>
      </c>
      <c r="AV889" s="40">
        <v>46163.0</v>
      </c>
    </row>
    <row r="890">
      <c r="A890" s="38">
        <v>379557.0</v>
      </c>
      <c r="B890" s="38">
        <v>366631.0</v>
      </c>
      <c r="C890" s="38">
        <v>373109.0</v>
      </c>
      <c r="D890" s="34" t="s">
        <v>62</v>
      </c>
      <c r="E890" s="34" t="s">
        <v>62</v>
      </c>
      <c r="F890" s="18" t="s">
        <v>989</v>
      </c>
      <c r="G890" s="18" t="s">
        <v>990</v>
      </c>
      <c r="H890" s="18" t="s">
        <v>3201</v>
      </c>
      <c r="I890" s="18" t="s">
        <v>991</v>
      </c>
      <c r="J890" s="18" t="s">
        <v>2691</v>
      </c>
      <c r="K890" s="18" t="s">
        <v>2691</v>
      </c>
      <c r="L890" s="18" t="s">
        <v>52</v>
      </c>
      <c r="M890" s="18" t="s">
        <v>89</v>
      </c>
      <c r="N890" s="18" t="s">
        <v>861</v>
      </c>
      <c r="O890" s="18" t="s">
        <v>126</v>
      </c>
      <c r="P890" s="18" t="s">
        <v>56</v>
      </c>
      <c r="Q890" s="18" t="s">
        <v>90</v>
      </c>
      <c r="R890" s="18" t="s">
        <v>143</v>
      </c>
      <c r="S890" s="18" t="s">
        <v>59</v>
      </c>
      <c r="T890" s="38">
        <v>2026.0</v>
      </c>
      <c r="U890" s="38">
        <v>5.0</v>
      </c>
      <c r="V890" s="38">
        <v>1.081523071E9</v>
      </c>
      <c r="W890" s="38">
        <v>1.081541141E9</v>
      </c>
      <c r="X890" s="18" t="s">
        <v>2199</v>
      </c>
      <c r="Y890" s="18" t="s">
        <v>2200</v>
      </c>
      <c r="Z890" s="38">
        <v>128422.13</v>
      </c>
      <c r="AA890" s="38">
        <v>128422.13</v>
      </c>
      <c r="AB890" s="38">
        <v>42807.38</v>
      </c>
      <c r="AC890" s="38">
        <v>250.0</v>
      </c>
      <c r="AD890" s="38">
        <v>0.0</v>
      </c>
      <c r="AE890" s="38">
        <v>0.0</v>
      </c>
      <c r="AF890" s="38">
        <v>0.0</v>
      </c>
      <c r="AG890" s="38">
        <v>0.0</v>
      </c>
      <c r="AH890" s="38">
        <v>0.0</v>
      </c>
      <c r="AI890" s="38">
        <v>128422.13</v>
      </c>
      <c r="AJ890" s="38">
        <v>128422.13</v>
      </c>
      <c r="AK890" s="38">
        <v>0.0</v>
      </c>
      <c r="AL890" s="38">
        <v>376.2</v>
      </c>
      <c r="AM890" s="38">
        <v>0.0</v>
      </c>
      <c r="AN890" s="34" t="s">
        <v>62</v>
      </c>
      <c r="AO890" s="34" t="s">
        <v>62</v>
      </c>
      <c r="AP890" s="34" t="s">
        <v>62</v>
      </c>
      <c r="AQ890" s="34" t="s">
        <v>62</v>
      </c>
      <c r="AR890" s="38">
        <v>0.0</v>
      </c>
      <c r="AS890" s="38" t="s">
        <v>3202</v>
      </c>
      <c r="AT890" s="38" t="s">
        <v>2275</v>
      </c>
      <c r="AU890" s="39" t="s">
        <v>2276</v>
      </c>
      <c r="AV890" s="40">
        <v>46163.0</v>
      </c>
    </row>
    <row r="891">
      <c r="A891" s="38">
        <v>379561.0</v>
      </c>
      <c r="B891" s="38">
        <v>366635.0</v>
      </c>
      <c r="C891" s="38">
        <v>373113.0</v>
      </c>
      <c r="D891" s="34" t="s">
        <v>62</v>
      </c>
      <c r="E891" s="34" t="s">
        <v>62</v>
      </c>
      <c r="F891" s="18" t="s">
        <v>993</v>
      </c>
      <c r="G891" s="18" t="s">
        <v>994</v>
      </c>
      <c r="H891" s="18" t="s">
        <v>3203</v>
      </c>
      <c r="I891" s="18" t="s">
        <v>991</v>
      </c>
      <c r="J891" s="18" t="s">
        <v>2691</v>
      </c>
      <c r="K891" s="18" t="s">
        <v>2691</v>
      </c>
      <c r="L891" s="18" t="s">
        <v>52</v>
      </c>
      <c r="M891" s="18" t="s">
        <v>89</v>
      </c>
      <c r="N891" s="18" t="s">
        <v>861</v>
      </c>
      <c r="O891" s="18" t="s">
        <v>126</v>
      </c>
      <c r="P891" s="18" t="s">
        <v>56</v>
      </c>
      <c r="Q891" s="18" t="s">
        <v>90</v>
      </c>
      <c r="R891" s="18" t="s">
        <v>143</v>
      </c>
      <c r="S891" s="18" t="s">
        <v>59</v>
      </c>
      <c r="T891" s="38">
        <v>2026.0</v>
      </c>
      <c r="U891" s="38">
        <v>5.0</v>
      </c>
      <c r="V891" s="38">
        <v>1.081523074E9</v>
      </c>
      <c r="W891" s="38">
        <v>1.081541144E9</v>
      </c>
      <c r="X891" s="18" t="s">
        <v>2199</v>
      </c>
      <c r="Y891" s="18" t="s">
        <v>2200</v>
      </c>
      <c r="Z891" s="38">
        <v>129998.02</v>
      </c>
      <c r="AA891" s="38">
        <v>129998.02</v>
      </c>
      <c r="AB891" s="38">
        <v>42807.38</v>
      </c>
      <c r="AC891" s="38">
        <v>250.0</v>
      </c>
      <c r="AD891" s="38">
        <v>1575.89</v>
      </c>
      <c r="AE891" s="38">
        <v>0.0</v>
      </c>
      <c r="AF891" s="38">
        <v>0.0</v>
      </c>
      <c r="AG891" s="38">
        <v>0.0</v>
      </c>
      <c r="AH891" s="38">
        <v>0.0</v>
      </c>
      <c r="AI891" s="38">
        <v>129998.02</v>
      </c>
      <c r="AJ891" s="38">
        <v>263867.94</v>
      </c>
      <c r="AK891" s="38">
        <v>2.0</v>
      </c>
      <c r="AL891" s="38">
        <v>376.2</v>
      </c>
      <c r="AM891" s="38">
        <v>0.0</v>
      </c>
      <c r="AN891" s="34" t="s">
        <v>62</v>
      </c>
      <c r="AO891" s="34" t="s">
        <v>62</v>
      </c>
      <c r="AP891" s="34" t="s">
        <v>62</v>
      </c>
      <c r="AQ891" s="34" t="s">
        <v>62</v>
      </c>
      <c r="AR891" s="38">
        <v>0.0</v>
      </c>
      <c r="AS891" s="38" t="s">
        <v>3204</v>
      </c>
      <c r="AT891" s="38" t="s">
        <v>2275</v>
      </c>
      <c r="AU891" s="39" t="s">
        <v>2276</v>
      </c>
      <c r="AV891" s="40">
        <v>46163.0</v>
      </c>
    </row>
    <row r="892">
      <c r="A892" s="38">
        <v>386514.0</v>
      </c>
      <c r="B892" s="38">
        <v>370539.0</v>
      </c>
      <c r="C892" s="38">
        <v>378723.0</v>
      </c>
      <c r="D892" s="34" t="s">
        <v>62</v>
      </c>
      <c r="E892" s="34" t="s">
        <v>62</v>
      </c>
      <c r="F892" s="38">
        <v>1.092361429E9</v>
      </c>
      <c r="G892" s="18" t="s">
        <v>3205</v>
      </c>
      <c r="H892" s="18" t="s">
        <v>3206</v>
      </c>
      <c r="I892" s="18" t="s">
        <v>991</v>
      </c>
      <c r="J892" s="18" t="s">
        <v>2691</v>
      </c>
      <c r="K892" s="18" t="s">
        <v>2691</v>
      </c>
      <c r="L892" s="18" t="s">
        <v>52</v>
      </c>
      <c r="M892" s="18" t="s">
        <v>89</v>
      </c>
      <c r="N892" s="18" t="s">
        <v>861</v>
      </c>
      <c r="O892" s="18" t="s">
        <v>126</v>
      </c>
      <c r="P892" s="18" t="s">
        <v>131</v>
      </c>
      <c r="Q892" s="18" t="s">
        <v>363</v>
      </c>
      <c r="R892" s="18" t="s">
        <v>133</v>
      </c>
      <c r="S892" s="18" t="s">
        <v>59</v>
      </c>
      <c r="T892" s="38">
        <v>2026.0</v>
      </c>
      <c r="U892" s="38">
        <v>5.0</v>
      </c>
      <c r="V892" s="38">
        <v>1.08152308E9</v>
      </c>
      <c r="W892" s="38">
        <v>1.08154115E9</v>
      </c>
      <c r="X892" s="18" t="s">
        <v>2199</v>
      </c>
      <c r="Y892" s="18" t="s">
        <v>2200</v>
      </c>
      <c r="Z892" s="38">
        <v>83209.5</v>
      </c>
      <c r="AA892" s="38">
        <v>83209.5</v>
      </c>
      <c r="AB892" s="38">
        <v>25380.5</v>
      </c>
      <c r="AC892" s="38">
        <v>0.0</v>
      </c>
      <c r="AD892" s="38">
        <v>7068.0</v>
      </c>
      <c r="AE892" s="38">
        <v>0.0</v>
      </c>
      <c r="AF892" s="38">
        <v>0.0</v>
      </c>
      <c r="AG892" s="38">
        <v>0.0</v>
      </c>
      <c r="AH892" s="38">
        <v>0.0</v>
      </c>
      <c r="AI892" s="38">
        <v>83209.5</v>
      </c>
      <c r="AJ892" s="38">
        <v>83209.5</v>
      </c>
      <c r="AK892" s="38">
        <v>0.0</v>
      </c>
      <c r="AL892" s="38">
        <v>376.2</v>
      </c>
      <c r="AM892" s="38">
        <v>0.0</v>
      </c>
      <c r="AN892" s="34" t="s">
        <v>62</v>
      </c>
      <c r="AO892" s="34" t="s">
        <v>62</v>
      </c>
      <c r="AP892" s="34" t="s">
        <v>62</v>
      </c>
      <c r="AQ892" s="34" t="s">
        <v>62</v>
      </c>
      <c r="AR892" s="38">
        <v>0.0</v>
      </c>
      <c r="AS892" s="38" t="s">
        <v>2701</v>
      </c>
      <c r="AT892" s="38" t="s">
        <v>2275</v>
      </c>
      <c r="AU892" s="39" t="s">
        <v>2276</v>
      </c>
      <c r="AV892" s="40">
        <v>46163.0</v>
      </c>
    </row>
    <row r="893">
      <c r="A893" s="38">
        <v>372.0</v>
      </c>
      <c r="B893" s="38">
        <v>371.0</v>
      </c>
      <c r="C893" s="38">
        <v>371.0</v>
      </c>
      <c r="D893" s="38">
        <v>9.0243071E7</v>
      </c>
      <c r="E893" s="38">
        <v>9.0243071E7</v>
      </c>
      <c r="F893" s="38">
        <v>9.01768321E8</v>
      </c>
      <c r="G893" s="18" t="s">
        <v>998</v>
      </c>
      <c r="H893" s="18" t="s">
        <v>3207</v>
      </c>
      <c r="I893" s="18" t="s">
        <v>982</v>
      </c>
      <c r="J893" s="18" t="s">
        <v>2205</v>
      </c>
      <c r="K893" s="18" t="s">
        <v>2681</v>
      </c>
      <c r="L893" s="18" t="s">
        <v>52</v>
      </c>
      <c r="M893" s="18" t="s">
        <v>89</v>
      </c>
      <c r="N893" s="18" t="s">
        <v>861</v>
      </c>
      <c r="O893" s="18" t="s">
        <v>126</v>
      </c>
      <c r="P893" s="18" t="s">
        <v>56</v>
      </c>
      <c r="Q893" s="18" t="s">
        <v>90</v>
      </c>
      <c r="R893" s="18" t="s">
        <v>143</v>
      </c>
      <c r="S893" s="18" t="s">
        <v>59</v>
      </c>
      <c r="T893" s="38">
        <v>2026.0</v>
      </c>
      <c r="U893" s="38">
        <v>5.0</v>
      </c>
      <c r="V893" s="38">
        <v>1.081522861E9</v>
      </c>
      <c r="W893" s="38">
        <v>1.081540931E9</v>
      </c>
      <c r="X893" s="18" t="s">
        <v>2199</v>
      </c>
      <c r="Y893" s="18" t="s">
        <v>2200</v>
      </c>
      <c r="Z893" s="38">
        <v>128422.13</v>
      </c>
      <c r="AA893" s="38">
        <v>128422.13</v>
      </c>
      <c r="AB893" s="38">
        <v>42807.38</v>
      </c>
      <c r="AC893" s="38">
        <v>250.0</v>
      </c>
      <c r="AD893" s="38">
        <v>0.0</v>
      </c>
      <c r="AE893" s="38">
        <v>0.0</v>
      </c>
      <c r="AF893" s="38">
        <v>0.0</v>
      </c>
      <c r="AG893" s="38">
        <v>0.0</v>
      </c>
      <c r="AH893" s="38">
        <v>0.0</v>
      </c>
      <c r="AI893" s="38">
        <v>128422.13</v>
      </c>
      <c r="AJ893" s="38">
        <v>255010.51</v>
      </c>
      <c r="AK893" s="38">
        <v>1.0</v>
      </c>
      <c r="AL893" s="38">
        <v>376.2</v>
      </c>
      <c r="AM893" s="38">
        <v>0.0</v>
      </c>
      <c r="AN893" s="34" t="s">
        <v>62</v>
      </c>
      <c r="AO893" s="34" t="s">
        <v>62</v>
      </c>
      <c r="AP893" s="34" t="s">
        <v>62</v>
      </c>
      <c r="AQ893" s="34" t="s">
        <v>62</v>
      </c>
      <c r="AR893" s="38">
        <v>0.0</v>
      </c>
      <c r="AS893" s="38" t="s">
        <v>3208</v>
      </c>
      <c r="AT893" s="35" t="s">
        <v>2202</v>
      </c>
      <c r="AU893" s="39" t="s">
        <v>2203</v>
      </c>
      <c r="AV893" s="40">
        <v>46169.0</v>
      </c>
    </row>
    <row r="894">
      <c r="A894" s="38">
        <v>285191.0</v>
      </c>
      <c r="B894" s="38">
        <v>371567.0</v>
      </c>
      <c r="C894" s="38">
        <v>380466.0</v>
      </c>
      <c r="D894" s="38">
        <v>1018474.0</v>
      </c>
      <c r="E894" s="38">
        <v>1018474.0</v>
      </c>
      <c r="F894" s="38">
        <v>9.00276962E8</v>
      </c>
      <c r="G894" s="18" t="s">
        <v>128</v>
      </c>
      <c r="H894" s="18" t="s">
        <v>2269</v>
      </c>
      <c r="I894" s="18" t="s">
        <v>1000</v>
      </c>
      <c r="J894" s="18" t="s">
        <v>2205</v>
      </c>
      <c r="K894" s="18" t="s">
        <v>2270</v>
      </c>
      <c r="L894" s="18" t="s">
        <v>52</v>
      </c>
      <c r="M894" s="18" t="s">
        <v>89</v>
      </c>
      <c r="N894" s="18" t="s">
        <v>861</v>
      </c>
      <c r="O894" s="18" t="s">
        <v>126</v>
      </c>
      <c r="P894" s="18" t="s">
        <v>131</v>
      </c>
      <c r="Q894" s="18" t="s">
        <v>132</v>
      </c>
      <c r="R894" s="18" t="s">
        <v>133</v>
      </c>
      <c r="S894" s="18" t="s">
        <v>59</v>
      </c>
      <c r="T894" s="38">
        <v>2026.0</v>
      </c>
      <c r="U894" s="38">
        <v>5.0</v>
      </c>
      <c r="V894" s="38">
        <v>1.081523083E9</v>
      </c>
      <c r="W894" s="38">
        <v>1.081541153E9</v>
      </c>
      <c r="X894" s="18" t="s">
        <v>2199</v>
      </c>
      <c r="Y894" s="18" t="s">
        <v>2200</v>
      </c>
      <c r="Z894" s="38">
        <v>113911.5</v>
      </c>
      <c r="AA894" s="38">
        <v>113911.5</v>
      </c>
      <c r="AB894" s="38">
        <v>37970.5</v>
      </c>
      <c r="AC894" s="38">
        <v>0.0</v>
      </c>
      <c r="AD894" s="38">
        <v>0.0</v>
      </c>
      <c r="AE894" s="38">
        <v>0.0</v>
      </c>
      <c r="AF894" s="38">
        <v>0.0</v>
      </c>
      <c r="AG894" s="38">
        <v>0.0</v>
      </c>
      <c r="AH894" s="38">
        <v>0.0</v>
      </c>
      <c r="AI894" s="38">
        <v>113911.5</v>
      </c>
      <c r="AJ894" s="38">
        <v>113911.5</v>
      </c>
      <c r="AK894" s="38">
        <v>0.0</v>
      </c>
      <c r="AL894" s="38">
        <v>376.2</v>
      </c>
      <c r="AM894" s="38">
        <v>0.0</v>
      </c>
      <c r="AN894" s="34" t="s">
        <v>62</v>
      </c>
      <c r="AO894" s="34" t="s">
        <v>62</v>
      </c>
      <c r="AP894" s="34" t="s">
        <v>62</v>
      </c>
      <c r="AQ894" s="34" t="s">
        <v>62</v>
      </c>
      <c r="AR894" s="38">
        <v>0.0</v>
      </c>
      <c r="AS894" s="38" t="s">
        <v>2271</v>
      </c>
      <c r="AT894" s="35" t="s">
        <v>2202</v>
      </c>
      <c r="AU894" s="39" t="s">
        <v>2203</v>
      </c>
      <c r="AV894" s="40">
        <v>46163.0</v>
      </c>
    </row>
    <row r="895">
      <c r="A895" s="38">
        <v>389405.0</v>
      </c>
      <c r="B895" s="38">
        <v>371631.0</v>
      </c>
      <c r="C895" s="38">
        <v>380791.0</v>
      </c>
      <c r="D895" s="34" t="s">
        <v>62</v>
      </c>
      <c r="E895" s="34" t="s">
        <v>62</v>
      </c>
      <c r="F895" s="18" t="s">
        <v>1002</v>
      </c>
      <c r="G895" s="18" t="s">
        <v>1003</v>
      </c>
      <c r="H895" s="18" t="s">
        <v>3209</v>
      </c>
      <c r="I895" s="18" t="s">
        <v>991</v>
      </c>
      <c r="J895" s="18" t="s">
        <v>2691</v>
      </c>
      <c r="K895" s="18" t="s">
        <v>2691</v>
      </c>
      <c r="L895" s="18" t="s">
        <v>52</v>
      </c>
      <c r="M895" s="18" t="s">
        <v>89</v>
      </c>
      <c r="N895" s="18" t="s">
        <v>861</v>
      </c>
      <c r="O895" s="18" t="s">
        <v>126</v>
      </c>
      <c r="P895" s="18" t="s">
        <v>56</v>
      </c>
      <c r="Q895" s="18" t="s">
        <v>90</v>
      </c>
      <c r="R895" s="18" t="s">
        <v>143</v>
      </c>
      <c r="S895" s="18" t="s">
        <v>59</v>
      </c>
      <c r="T895" s="38">
        <v>2026.0</v>
      </c>
      <c r="U895" s="38">
        <v>5.0</v>
      </c>
      <c r="V895" s="38">
        <v>1.081523087E9</v>
      </c>
      <c r="W895" s="38">
        <v>1.081541157E9</v>
      </c>
      <c r="X895" s="18" t="s">
        <v>2199</v>
      </c>
      <c r="Y895" s="18" t="s">
        <v>2200</v>
      </c>
      <c r="Z895" s="38">
        <v>413138.63</v>
      </c>
      <c r="AA895" s="38">
        <v>413138.63</v>
      </c>
      <c r="AB895" s="38">
        <v>137712.88</v>
      </c>
      <c r="AC895" s="38">
        <v>1250.0</v>
      </c>
      <c r="AD895" s="38">
        <v>0.0</v>
      </c>
      <c r="AE895" s="38">
        <v>0.0</v>
      </c>
      <c r="AF895" s="38">
        <v>0.0</v>
      </c>
      <c r="AG895" s="38">
        <v>0.0</v>
      </c>
      <c r="AH895" s="38">
        <v>0.0</v>
      </c>
      <c r="AI895" s="38">
        <v>413138.63</v>
      </c>
      <c r="AJ895" s="38">
        <v>413139.51</v>
      </c>
      <c r="AK895" s="38">
        <v>1.0</v>
      </c>
      <c r="AL895" s="38">
        <v>376.2</v>
      </c>
      <c r="AM895" s="38">
        <v>0.0</v>
      </c>
      <c r="AN895" s="34" t="s">
        <v>62</v>
      </c>
      <c r="AO895" s="34" t="s">
        <v>62</v>
      </c>
      <c r="AP895" s="34" t="s">
        <v>62</v>
      </c>
      <c r="AQ895" s="34" t="s">
        <v>62</v>
      </c>
      <c r="AR895" s="38">
        <v>0.0</v>
      </c>
      <c r="AS895" s="38" t="s">
        <v>3210</v>
      </c>
      <c r="AT895" s="38" t="s">
        <v>2275</v>
      </c>
      <c r="AU895" s="39" t="s">
        <v>2276</v>
      </c>
      <c r="AV895" s="40">
        <v>46163.0</v>
      </c>
    </row>
    <row r="896">
      <c r="A896" s="38">
        <v>403623.0</v>
      </c>
      <c r="B896" s="38">
        <v>380239.0</v>
      </c>
      <c r="C896" s="38">
        <v>392448.0</v>
      </c>
      <c r="D896" s="34" t="s">
        <v>62</v>
      </c>
      <c r="E896" s="34" t="s">
        <v>62</v>
      </c>
      <c r="F896" s="18" t="s">
        <v>1005</v>
      </c>
      <c r="G896" s="18" t="s">
        <v>1006</v>
      </c>
      <c r="H896" s="18" t="s">
        <v>3211</v>
      </c>
      <c r="I896" s="18" t="s">
        <v>76</v>
      </c>
      <c r="J896" s="18" t="s">
        <v>2205</v>
      </c>
      <c r="K896" s="18" t="s">
        <v>2205</v>
      </c>
      <c r="L896" s="18" t="s">
        <v>52</v>
      </c>
      <c r="M896" s="18" t="s">
        <v>89</v>
      </c>
      <c r="N896" s="18" t="s">
        <v>861</v>
      </c>
      <c r="O896" s="18" t="s">
        <v>126</v>
      </c>
      <c r="P896" s="18" t="s">
        <v>56</v>
      </c>
      <c r="Q896" s="18" t="s">
        <v>57</v>
      </c>
      <c r="R896" s="18" t="s">
        <v>58</v>
      </c>
      <c r="S896" s="18" t="s">
        <v>59</v>
      </c>
      <c r="T896" s="38">
        <v>2026.0</v>
      </c>
      <c r="U896" s="38">
        <v>5.0</v>
      </c>
      <c r="V896" s="38">
        <v>1.08152309E9</v>
      </c>
      <c r="W896" s="38">
        <v>1.08154116E9</v>
      </c>
      <c r="X896" s="18" t="s">
        <v>2199</v>
      </c>
      <c r="Y896" s="18" t="s">
        <v>2200</v>
      </c>
      <c r="Z896" s="38">
        <v>419207.59</v>
      </c>
      <c r="AA896" s="38">
        <v>419207.59</v>
      </c>
      <c r="AB896" s="38">
        <v>0.0</v>
      </c>
      <c r="AC896" s="38">
        <v>2007.5</v>
      </c>
      <c r="AD896" s="38">
        <v>0.0</v>
      </c>
      <c r="AE896" s="38">
        <v>0.0</v>
      </c>
      <c r="AF896" s="38">
        <v>0.0</v>
      </c>
      <c r="AG896" s="38">
        <v>0.0</v>
      </c>
      <c r="AH896" s="38">
        <v>0.0</v>
      </c>
      <c r="AI896" s="38">
        <v>419207.59</v>
      </c>
      <c r="AJ896" s="38">
        <v>827031.42</v>
      </c>
      <c r="AK896" s="38">
        <v>1.0</v>
      </c>
      <c r="AL896" s="38">
        <v>250.8</v>
      </c>
      <c r="AM896" s="38">
        <v>0.0</v>
      </c>
      <c r="AN896" s="34" t="s">
        <v>62</v>
      </c>
      <c r="AO896" s="34" t="s">
        <v>62</v>
      </c>
      <c r="AP896" s="34" t="s">
        <v>62</v>
      </c>
      <c r="AQ896" s="34" t="s">
        <v>62</v>
      </c>
      <c r="AR896" s="38">
        <v>0.0</v>
      </c>
      <c r="AS896" s="38" t="s">
        <v>3212</v>
      </c>
      <c r="AT896" s="35" t="s">
        <v>2202</v>
      </c>
      <c r="AU896" s="39" t="s">
        <v>2254</v>
      </c>
      <c r="AV896" s="40">
        <v>46171.0</v>
      </c>
    </row>
    <row r="897">
      <c r="A897" s="38">
        <v>701.0</v>
      </c>
      <c r="B897" s="38">
        <v>387.0</v>
      </c>
      <c r="C897" s="38">
        <v>387.0</v>
      </c>
      <c r="D897" s="38">
        <v>9.0243269E7</v>
      </c>
      <c r="E897" s="38">
        <v>9.0243269E7</v>
      </c>
      <c r="F897" s="18" t="s">
        <v>1008</v>
      </c>
      <c r="G897" s="18" t="s">
        <v>1009</v>
      </c>
      <c r="H897" s="18" t="s">
        <v>3020</v>
      </c>
      <c r="I897" s="18" t="s">
        <v>982</v>
      </c>
      <c r="J897" s="18" t="s">
        <v>2205</v>
      </c>
      <c r="K897" s="18" t="s">
        <v>1009</v>
      </c>
      <c r="L897" s="18" t="s">
        <v>52</v>
      </c>
      <c r="M897" s="18" t="s">
        <v>89</v>
      </c>
      <c r="N897" s="18" t="s">
        <v>861</v>
      </c>
      <c r="O897" s="18" t="s">
        <v>126</v>
      </c>
      <c r="P897" s="18" t="s">
        <v>56</v>
      </c>
      <c r="Q897" s="18" t="s">
        <v>90</v>
      </c>
      <c r="R897" s="18" t="s">
        <v>143</v>
      </c>
      <c r="S897" s="18" t="s">
        <v>59</v>
      </c>
      <c r="T897" s="38">
        <v>2026.0</v>
      </c>
      <c r="U897" s="38">
        <v>5.0</v>
      </c>
      <c r="V897" s="38">
        <v>1.081522865E9</v>
      </c>
      <c r="W897" s="38">
        <v>1.081540935E9</v>
      </c>
      <c r="X897" s="18" t="s">
        <v>2199</v>
      </c>
      <c r="Y897" s="18" t="s">
        <v>2200</v>
      </c>
      <c r="Z897" s="38">
        <v>235190.83</v>
      </c>
      <c r="AA897" s="38">
        <v>235190.83</v>
      </c>
      <c r="AB897" s="38">
        <v>78396.95</v>
      </c>
      <c r="AC897" s="38">
        <v>625.0</v>
      </c>
      <c r="AD897" s="38">
        <v>0.0</v>
      </c>
      <c r="AE897" s="38">
        <v>0.0</v>
      </c>
      <c r="AF897" s="38">
        <v>0.0</v>
      </c>
      <c r="AG897" s="38">
        <v>0.0</v>
      </c>
      <c r="AH897" s="38">
        <v>0.0</v>
      </c>
      <c r="AI897" s="38">
        <v>235190.83</v>
      </c>
      <c r="AJ897" s="38">
        <v>235190.83</v>
      </c>
      <c r="AK897" s="38">
        <v>0.0</v>
      </c>
      <c r="AL897" s="38">
        <v>376.2</v>
      </c>
      <c r="AM897" s="38">
        <v>0.0</v>
      </c>
      <c r="AN897" s="34" t="s">
        <v>62</v>
      </c>
      <c r="AO897" s="34" t="s">
        <v>62</v>
      </c>
      <c r="AP897" s="34" t="s">
        <v>62</v>
      </c>
      <c r="AQ897" s="34" t="s">
        <v>62</v>
      </c>
      <c r="AR897" s="38">
        <v>0.0</v>
      </c>
      <c r="AS897" s="38" t="s">
        <v>3021</v>
      </c>
      <c r="AT897" s="35" t="s">
        <v>2202</v>
      </c>
      <c r="AU897" s="39" t="s">
        <v>2203</v>
      </c>
      <c r="AV897" s="40">
        <v>46163.0</v>
      </c>
    </row>
    <row r="898">
      <c r="A898" s="55">
        <v>392.0</v>
      </c>
      <c r="B898" s="55">
        <v>391.0</v>
      </c>
      <c r="C898" s="55">
        <v>391.0</v>
      </c>
      <c r="D898" s="55">
        <v>9.024334E7</v>
      </c>
      <c r="E898" s="55">
        <v>9.024334E7</v>
      </c>
      <c r="F898" s="56" t="s">
        <v>1011</v>
      </c>
      <c r="G898" s="56" t="s">
        <v>1012</v>
      </c>
      <c r="H898" s="56" t="s">
        <v>3213</v>
      </c>
      <c r="I898" s="56" t="s">
        <v>982</v>
      </c>
      <c r="J898" s="56" t="s">
        <v>2205</v>
      </c>
      <c r="K898" s="56" t="s">
        <v>2205</v>
      </c>
      <c r="L898" s="56" t="s">
        <v>52</v>
      </c>
      <c r="M898" s="56" t="s">
        <v>89</v>
      </c>
      <c r="N898" s="56" t="s">
        <v>861</v>
      </c>
      <c r="O898" s="56" t="s">
        <v>126</v>
      </c>
      <c r="P898" s="56" t="s">
        <v>56</v>
      </c>
      <c r="Q898" s="56" t="s">
        <v>90</v>
      </c>
      <c r="R898" s="56" t="s">
        <v>143</v>
      </c>
      <c r="S898" s="56" t="s">
        <v>59</v>
      </c>
      <c r="T898" s="55">
        <v>2026.0</v>
      </c>
      <c r="U898" s="55">
        <v>5.0</v>
      </c>
      <c r="V898" s="55">
        <v>1.081522869E9</v>
      </c>
      <c r="W898" s="55">
        <v>1.081540939E9</v>
      </c>
      <c r="X898" s="56" t="s">
        <v>2199</v>
      </c>
      <c r="Y898" s="56" t="s">
        <v>2200</v>
      </c>
      <c r="Z898" s="55">
        <v>363313.26</v>
      </c>
      <c r="AA898" s="55">
        <v>363313.26</v>
      </c>
      <c r="AB898" s="55">
        <v>121104.43</v>
      </c>
      <c r="AC898" s="55">
        <v>1075.0</v>
      </c>
      <c r="AD898" s="55">
        <v>0.0</v>
      </c>
      <c r="AE898" s="55">
        <v>0.0</v>
      </c>
      <c r="AF898" s="55">
        <v>0.0</v>
      </c>
      <c r="AG898" s="55">
        <v>0.0</v>
      </c>
      <c r="AH898" s="55">
        <v>0.0</v>
      </c>
      <c r="AI898" s="55">
        <v>363313.26</v>
      </c>
      <c r="AJ898" s="55">
        <v>363313.26</v>
      </c>
      <c r="AK898" s="55">
        <v>0.0</v>
      </c>
      <c r="AL898" s="55">
        <v>376.2</v>
      </c>
      <c r="AM898" s="55">
        <v>0.0</v>
      </c>
      <c r="AN898" s="57" t="s">
        <v>62</v>
      </c>
      <c r="AO898" s="57" t="s">
        <v>62</v>
      </c>
      <c r="AP898" s="57" t="s">
        <v>62</v>
      </c>
      <c r="AQ898" s="57" t="s">
        <v>62</v>
      </c>
      <c r="AR898" s="55">
        <v>0.0</v>
      </c>
      <c r="AS898" s="55" t="s">
        <v>3214</v>
      </c>
      <c r="AT898" s="58" t="s">
        <v>2202</v>
      </c>
      <c r="AU898" s="59" t="s">
        <v>2203</v>
      </c>
      <c r="AV898" s="40">
        <v>46171.0</v>
      </c>
    </row>
    <row r="899">
      <c r="A899" s="38">
        <v>396.0</v>
      </c>
      <c r="B899" s="38">
        <v>395.0</v>
      </c>
      <c r="C899" s="38">
        <v>395.0</v>
      </c>
      <c r="D899" s="38">
        <v>9.0243927E7</v>
      </c>
      <c r="E899" s="38">
        <v>9.0243927E7</v>
      </c>
      <c r="F899" s="38">
        <v>8.90502801E8</v>
      </c>
      <c r="G899" s="18" t="s">
        <v>1014</v>
      </c>
      <c r="H899" s="18" t="s">
        <v>3215</v>
      </c>
      <c r="I899" s="18" t="s">
        <v>1015</v>
      </c>
      <c r="J899" s="18" t="s">
        <v>2205</v>
      </c>
      <c r="K899" s="18" t="s">
        <v>2205</v>
      </c>
      <c r="L899" s="18" t="s">
        <v>52</v>
      </c>
      <c r="M899" s="18" t="s">
        <v>89</v>
      </c>
      <c r="N899" s="18" t="s">
        <v>861</v>
      </c>
      <c r="O899" s="18" t="s">
        <v>126</v>
      </c>
      <c r="P899" s="18" t="s">
        <v>56</v>
      </c>
      <c r="Q899" s="18" t="s">
        <v>90</v>
      </c>
      <c r="R899" s="18" t="s">
        <v>143</v>
      </c>
      <c r="S899" s="18" t="s">
        <v>59</v>
      </c>
      <c r="T899" s="38">
        <v>2026.0</v>
      </c>
      <c r="U899" s="38">
        <v>5.0</v>
      </c>
      <c r="V899" s="38">
        <v>1.081522872E9</v>
      </c>
      <c r="W899" s="38">
        <v>1.081540942E9</v>
      </c>
      <c r="X899" s="18" t="s">
        <v>2199</v>
      </c>
      <c r="Y899" s="18" t="s">
        <v>2200</v>
      </c>
      <c r="Z899" s="38">
        <v>316062.84</v>
      </c>
      <c r="AA899" s="38">
        <v>316062.84</v>
      </c>
      <c r="AB899" s="38">
        <v>103831.62</v>
      </c>
      <c r="AC899" s="38">
        <v>893.0</v>
      </c>
      <c r="AD899" s="38">
        <v>4568.0</v>
      </c>
      <c r="AE899" s="38">
        <v>0.0</v>
      </c>
      <c r="AF899" s="38">
        <v>0.0</v>
      </c>
      <c r="AG899" s="38">
        <v>0.0</v>
      </c>
      <c r="AH899" s="38">
        <v>0.0</v>
      </c>
      <c r="AI899" s="38">
        <v>316062.84</v>
      </c>
      <c r="AJ899" s="38">
        <v>621327.95</v>
      </c>
      <c r="AK899" s="38">
        <v>2.0</v>
      </c>
      <c r="AL899" s="38">
        <v>376.2</v>
      </c>
      <c r="AM899" s="38">
        <v>0.0</v>
      </c>
      <c r="AN899" s="34" t="s">
        <v>62</v>
      </c>
      <c r="AO899" s="34" t="s">
        <v>62</v>
      </c>
      <c r="AP899" s="34" t="s">
        <v>62</v>
      </c>
      <c r="AQ899" s="34" t="s">
        <v>62</v>
      </c>
      <c r="AR899" s="38">
        <v>0.0</v>
      </c>
      <c r="AS899" s="38" t="s">
        <v>3216</v>
      </c>
      <c r="AT899" s="35" t="s">
        <v>2202</v>
      </c>
      <c r="AU899" s="59" t="s">
        <v>2203</v>
      </c>
      <c r="AV899" s="40">
        <v>46171.0</v>
      </c>
    </row>
    <row r="900">
      <c r="A900" s="38">
        <v>455370.0</v>
      </c>
      <c r="B900" s="38">
        <v>403.0</v>
      </c>
      <c r="C900" s="38">
        <v>403.0</v>
      </c>
      <c r="D900" s="38">
        <v>9.0246555E7</v>
      </c>
      <c r="E900" s="38">
        <v>9.0246555E7</v>
      </c>
      <c r="F900" s="18" t="s">
        <v>148</v>
      </c>
      <c r="G900" s="18" t="s">
        <v>149</v>
      </c>
      <c r="H900" s="18" t="s">
        <v>2296</v>
      </c>
      <c r="I900" s="18" t="s">
        <v>1017</v>
      </c>
      <c r="J900" s="18" t="s">
        <v>2205</v>
      </c>
      <c r="K900" s="18" t="s">
        <v>2611</v>
      </c>
      <c r="L900" s="18" t="s">
        <v>52</v>
      </c>
      <c r="M900" s="18" t="s">
        <v>53</v>
      </c>
      <c r="N900" s="18" t="s">
        <v>861</v>
      </c>
      <c r="O900" s="18" t="s">
        <v>126</v>
      </c>
      <c r="P900" s="18" t="s">
        <v>56</v>
      </c>
      <c r="Q900" s="18" t="s">
        <v>57</v>
      </c>
      <c r="R900" s="18" t="s">
        <v>143</v>
      </c>
      <c r="S900" s="18" t="s">
        <v>59</v>
      </c>
      <c r="T900" s="38">
        <v>2026.0</v>
      </c>
      <c r="U900" s="38">
        <v>5.0</v>
      </c>
      <c r="V900" s="38">
        <v>1.081522876E9</v>
      </c>
      <c r="W900" s="38">
        <v>1.081540946E9</v>
      </c>
      <c r="X900" s="18" t="s">
        <v>2199</v>
      </c>
      <c r="Y900" s="18" t="s">
        <v>2200</v>
      </c>
      <c r="Z900" s="38">
        <v>242778.26</v>
      </c>
      <c r="AA900" s="38">
        <v>242778.26</v>
      </c>
      <c r="AB900" s="38">
        <v>0.0</v>
      </c>
      <c r="AC900" s="38">
        <v>1078.0</v>
      </c>
      <c r="AD900" s="38">
        <v>0.0</v>
      </c>
      <c r="AE900" s="38">
        <v>0.0</v>
      </c>
      <c r="AF900" s="38">
        <v>0.0</v>
      </c>
      <c r="AG900" s="38">
        <v>0.0</v>
      </c>
      <c r="AH900" s="38">
        <v>0.0</v>
      </c>
      <c r="AI900" s="38">
        <v>242778.26</v>
      </c>
      <c r="AJ900" s="38">
        <v>643026.7</v>
      </c>
      <c r="AK900" s="38">
        <v>3.0</v>
      </c>
      <c r="AL900" s="38">
        <v>250.8</v>
      </c>
      <c r="AM900" s="38">
        <v>0.0</v>
      </c>
      <c r="AN900" s="34" t="s">
        <v>62</v>
      </c>
      <c r="AO900" s="34" t="s">
        <v>62</v>
      </c>
      <c r="AP900" s="34" t="s">
        <v>62</v>
      </c>
      <c r="AQ900" s="34" t="s">
        <v>62</v>
      </c>
      <c r="AR900" s="38">
        <v>0.0</v>
      </c>
      <c r="AS900" s="38" t="s">
        <v>2293</v>
      </c>
      <c r="AT900" s="35" t="s">
        <v>2294</v>
      </c>
      <c r="AU900" s="39" t="s">
        <v>2295</v>
      </c>
      <c r="AV900" s="40">
        <v>46164.0</v>
      </c>
    </row>
    <row r="901">
      <c r="A901" s="38">
        <v>455370.0</v>
      </c>
      <c r="B901" s="38">
        <v>407.0</v>
      </c>
      <c r="C901" s="38">
        <v>407.0</v>
      </c>
      <c r="D901" s="38">
        <v>9.0248385E7</v>
      </c>
      <c r="E901" s="38">
        <v>9.0248385E7</v>
      </c>
      <c r="F901" s="18" t="s">
        <v>148</v>
      </c>
      <c r="G901" s="18" t="s">
        <v>149</v>
      </c>
      <c r="H901" s="18" t="s">
        <v>2296</v>
      </c>
      <c r="I901" s="18" t="s">
        <v>860</v>
      </c>
      <c r="J901" s="18" t="s">
        <v>2205</v>
      </c>
      <c r="K901" s="18" t="s">
        <v>2611</v>
      </c>
      <c r="L901" s="18" t="s">
        <v>52</v>
      </c>
      <c r="M901" s="18" t="s">
        <v>53</v>
      </c>
      <c r="N901" s="18" t="s">
        <v>861</v>
      </c>
      <c r="O901" s="18" t="s">
        <v>126</v>
      </c>
      <c r="P901" s="18" t="s">
        <v>56</v>
      </c>
      <c r="Q901" s="18" t="s">
        <v>57</v>
      </c>
      <c r="R901" s="18" t="s">
        <v>143</v>
      </c>
      <c r="S901" s="18" t="s">
        <v>59</v>
      </c>
      <c r="T901" s="38">
        <v>2026.0</v>
      </c>
      <c r="U901" s="38">
        <v>5.0</v>
      </c>
      <c r="V901" s="38">
        <v>1.08152288E9</v>
      </c>
      <c r="W901" s="38">
        <v>1.08154095E9</v>
      </c>
      <c r="X901" s="18" t="s">
        <v>2199</v>
      </c>
      <c r="Y901" s="18" t="s">
        <v>2200</v>
      </c>
      <c r="Z901" s="38">
        <v>297254.02</v>
      </c>
      <c r="AA901" s="38">
        <v>297254.02</v>
      </c>
      <c r="AB901" s="38">
        <v>0.0</v>
      </c>
      <c r="AC901" s="38">
        <v>1365.0</v>
      </c>
      <c r="AD901" s="38">
        <v>0.0</v>
      </c>
      <c r="AE901" s="38">
        <v>0.0</v>
      </c>
      <c r="AF901" s="38">
        <v>0.0</v>
      </c>
      <c r="AG901" s="38">
        <v>0.0</v>
      </c>
      <c r="AH901" s="38">
        <v>0.0</v>
      </c>
      <c r="AI901" s="38">
        <v>297254.02</v>
      </c>
      <c r="AJ901" s="38">
        <v>750670.07</v>
      </c>
      <c r="AK901" s="38">
        <v>3.0</v>
      </c>
      <c r="AL901" s="38">
        <v>250.8</v>
      </c>
      <c r="AM901" s="38">
        <v>0.0</v>
      </c>
      <c r="AN901" s="34" t="s">
        <v>62</v>
      </c>
      <c r="AO901" s="34" t="s">
        <v>62</v>
      </c>
      <c r="AP901" s="34" t="s">
        <v>62</v>
      </c>
      <c r="AQ901" s="34" t="s">
        <v>62</v>
      </c>
      <c r="AR901" s="38">
        <v>0.0</v>
      </c>
      <c r="AS901" s="38" t="s">
        <v>2293</v>
      </c>
      <c r="AT901" s="35" t="s">
        <v>2294</v>
      </c>
      <c r="AU901" s="39" t="s">
        <v>2295</v>
      </c>
      <c r="AV901" s="40">
        <v>46164.0</v>
      </c>
    </row>
    <row r="902">
      <c r="A902" s="38">
        <v>232.0</v>
      </c>
      <c r="B902" s="38">
        <v>411.0</v>
      </c>
      <c r="C902" s="38">
        <v>411.0</v>
      </c>
      <c r="D902" s="38">
        <v>9.0250372E7</v>
      </c>
      <c r="E902" s="38">
        <v>9.0250372E7</v>
      </c>
      <c r="F902" s="38">
        <v>8.30122566E8</v>
      </c>
      <c r="G902" s="18" t="s">
        <v>193</v>
      </c>
      <c r="H902" s="18" t="s">
        <v>2282</v>
      </c>
      <c r="I902" s="18" t="s">
        <v>982</v>
      </c>
      <c r="J902" s="18" t="s">
        <v>2205</v>
      </c>
      <c r="K902" s="18" t="s">
        <v>2283</v>
      </c>
      <c r="L902" s="18" t="s">
        <v>52</v>
      </c>
      <c r="M902" s="18" t="s">
        <v>53</v>
      </c>
      <c r="N902" s="18" t="s">
        <v>861</v>
      </c>
      <c r="O902" s="18" t="s">
        <v>126</v>
      </c>
      <c r="P902" s="18" t="s">
        <v>131</v>
      </c>
      <c r="Q902" s="18" t="s">
        <v>151</v>
      </c>
      <c r="R902" s="18" t="s">
        <v>133</v>
      </c>
      <c r="S902" s="18" t="s">
        <v>59</v>
      </c>
      <c r="T902" s="38">
        <v>2026.0</v>
      </c>
      <c r="U902" s="38">
        <v>5.0</v>
      </c>
      <c r="V902" s="38">
        <v>1.081522883E9</v>
      </c>
      <c r="W902" s="38">
        <v>1.081540953E9</v>
      </c>
      <c r="X902" s="18" t="s">
        <v>2199</v>
      </c>
      <c r="Y902" s="18" t="s">
        <v>2200</v>
      </c>
      <c r="Z902" s="38">
        <v>75941.0</v>
      </c>
      <c r="AA902" s="38">
        <v>75941.0</v>
      </c>
      <c r="AB902" s="38">
        <v>0.0</v>
      </c>
      <c r="AC902" s="38">
        <v>0.0</v>
      </c>
      <c r="AD902" s="38">
        <v>0.0</v>
      </c>
      <c r="AE902" s="38">
        <v>0.0</v>
      </c>
      <c r="AF902" s="38">
        <v>0.0</v>
      </c>
      <c r="AG902" s="38">
        <v>0.0</v>
      </c>
      <c r="AH902" s="38">
        <v>0.0</v>
      </c>
      <c r="AI902" s="38">
        <v>75941.0</v>
      </c>
      <c r="AJ902" s="38">
        <v>2762288.55</v>
      </c>
      <c r="AK902" s="38">
        <v>45.0</v>
      </c>
      <c r="AL902" s="38">
        <v>250.8</v>
      </c>
      <c r="AM902" s="38">
        <v>0.0</v>
      </c>
      <c r="AN902" s="34" t="s">
        <v>62</v>
      </c>
      <c r="AO902" s="34" t="s">
        <v>62</v>
      </c>
      <c r="AP902" s="34" t="s">
        <v>62</v>
      </c>
      <c r="AQ902" s="34" t="s">
        <v>62</v>
      </c>
      <c r="AR902" s="38">
        <v>0.0</v>
      </c>
      <c r="AS902" s="38" t="s">
        <v>2284</v>
      </c>
      <c r="AT902" s="35" t="s">
        <v>2202</v>
      </c>
      <c r="AU902" s="39" t="s">
        <v>2203</v>
      </c>
      <c r="AV902" s="40">
        <v>46164.0</v>
      </c>
    </row>
    <row r="903">
      <c r="A903" s="38">
        <v>455370.0</v>
      </c>
      <c r="B903" s="38">
        <v>415.0</v>
      </c>
      <c r="C903" s="38">
        <v>415.0</v>
      </c>
      <c r="D903" s="38">
        <v>9.0250914E7</v>
      </c>
      <c r="E903" s="38">
        <v>9.0250914E7</v>
      </c>
      <c r="F903" s="18" t="s">
        <v>148</v>
      </c>
      <c r="G903" s="18" t="s">
        <v>149</v>
      </c>
      <c r="H903" s="18" t="s">
        <v>2296</v>
      </c>
      <c r="I903" s="18" t="s">
        <v>1021</v>
      </c>
      <c r="J903" s="18" t="s">
        <v>2205</v>
      </c>
      <c r="K903" s="18" t="s">
        <v>2611</v>
      </c>
      <c r="L903" s="18" t="s">
        <v>52</v>
      </c>
      <c r="M903" s="18" t="s">
        <v>53</v>
      </c>
      <c r="N903" s="18" t="s">
        <v>861</v>
      </c>
      <c r="O903" s="18" t="s">
        <v>126</v>
      </c>
      <c r="P903" s="18" t="s">
        <v>56</v>
      </c>
      <c r="Q903" s="18" t="s">
        <v>57</v>
      </c>
      <c r="R903" s="18" t="s">
        <v>143</v>
      </c>
      <c r="S903" s="18" t="s">
        <v>59</v>
      </c>
      <c r="T903" s="38">
        <v>2026.0</v>
      </c>
      <c r="U903" s="38">
        <v>5.0</v>
      </c>
      <c r="V903" s="38">
        <v>1.08152289E9</v>
      </c>
      <c r="W903" s="38">
        <v>1.08154096E9</v>
      </c>
      <c r="X903" s="18" t="s">
        <v>2199</v>
      </c>
      <c r="Y903" s="18" t="s">
        <v>2200</v>
      </c>
      <c r="Z903" s="38">
        <v>275995.18</v>
      </c>
      <c r="AA903" s="38">
        <v>275995.18</v>
      </c>
      <c r="AB903" s="38">
        <v>0.0</v>
      </c>
      <c r="AC903" s="38">
        <v>1253.0</v>
      </c>
      <c r="AD903" s="38">
        <v>0.0</v>
      </c>
      <c r="AE903" s="38">
        <v>0.0</v>
      </c>
      <c r="AF903" s="38">
        <v>0.0</v>
      </c>
      <c r="AG903" s="38">
        <v>0.0</v>
      </c>
      <c r="AH903" s="38">
        <v>0.0</v>
      </c>
      <c r="AI903" s="38">
        <v>275995.18</v>
      </c>
      <c r="AJ903" s="38">
        <v>708662.89</v>
      </c>
      <c r="AK903" s="38">
        <v>3.0</v>
      </c>
      <c r="AL903" s="38">
        <v>250.8</v>
      </c>
      <c r="AM903" s="38">
        <v>0.0</v>
      </c>
      <c r="AN903" s="34" t="s">
        <v>62</v>
      </c>
      <c r="AO903" s="34" t="s">
        <v>62</v>
      </c>
      <c r="AP903" s="34" t="s">
        <v>62</v>
      </c>
      <c r="AQ903" s="34" t="s">
        <v>62</v>
      </c>
      <c r="AR903" s="38">
        <v>0.0</v>
      </c>
      <c r="AS903" s="38" t="s">
        <v>2293</v>
      </c>
      <c r="AT903" s="35" t="s">
        <v>2294</v>
      </c>
      <c r="AU903" s="39" t="s">
        <v>2295</v>
      </c>
      <c r="AV903" s="40">
        <v>46164.0</v>
      </c>
    </row>
    <row r="904">
      <c r="A904" s="38">
        <v>455370.0</v>
      </c>
      <c r="B904" s="38">
        <v>423.0</v>
      </c>
      <c r="C904" s="38">
        <v>423.0</v>
      </c>
      <c r="D904" s="38">
        <v>9.0253305E7</v>
      </c>
      <c r="E904" s="38">
        <v>9.0253305E7</v>
      </c>
      <c r="F904" s="18" t="s">
        <v>148</v>
      </c>
      <c r="G904" s="18" t="s">
        <v>149</v>
      </c>
      <c r="H904" s="18" t="s">
        <v>2296</v>
      </c>
      <c r="I904" s="18" t="s">
        <v>1023</v>
      </c>
      <c r="J904" s="18" t="s">
        <v>2205</v>
      </c>
      <c r="K904" s="18" t="s">
        <v>2611</v>
      </c>
      <c r="L904" s="18" t="s">
        <v>52</v>
      </c>
      <c r="M904" s="18" t="s">
        <v>53</v>
      </c>
      <c r="N904" s="18" t="s">
        <v>861</v>
      </c>
      <c r="O904" s="18" t="s">
        <v>126</v>
      </c>
      <c r="P904" s="18" t="s">
        <v>56</v>
      </c>
      <c r="Q904" s="18" t="s">
        <v>57</v>
      </c>
      <c r="R904" s="18" t="s">
        <v>143</v>
      </c>
      <c r="S904" s="18" t="s">
        <v>59</v>
      </c>
      <c r="T904" s="38">
        <v>2026.0</v>
      </c>
      <c r="U904" s="38">
        <v>5.0</v>
      </c>
      <c r="V904" s="38">
        <v>1.081522894E9</v>
      </c>
      <c r="W904" s="38">
        <v>1.081540964E9</v>
      </c>
      <c r="X904" s="18" t="s">
        <v>2199</v>
      </c>
      <c r="Y904" s="18" t="s">
        <v>2200</v>
      </c>
      <c r="Z904" s="38">
        <v>761341.91</v>
      </c>
      <c r="AA904" s="38">
        <v>761341.91</v>
      </c>
      <c r="AB904" s="38">
        <v>0.0</v>
      </c>
      <c r="AC904" s="38">
        <v>3810.0</v>
      </c>
      <c r="AD904" s="38">
        <v>0.0</v>
      </c>
      <c r="AE904" s="38">
        <v>0.0</v>
      </c>
      <c r="AF904" s="38">
        <v>0.0</v>
      </c>
      <c r="AG904" s="38">
        <v>0.0</v>
      </c>
      <c r="AH904" s="38">
        <v>0.0</v>
      </c>
      <c r="AI904" s="38">
        <v>761341.91</v>
      </c>
      <c r="AJ904" s="38">
        <v>1667701.54</v>
      </c>
      <c r="AK904" s="38">
        <v>3.0</v>
      </c>
      <c r="AL904" s="38">
        <v>250.8</v>
      </c>
      <c r="AM904" s="38">
        <v>0.0</v>
      </c>
      <c r="AN904" s="34" t="s">
        <v>62</v>
      </c>
      <c r="AO904" s="34" t="s">
        <v>62</v>
      </c>
      <c r="AP904" s="34" t="s">
        <v>62</v>
      </c>
      <c r="AQ904" s="34" t="s">
        <v>62</v>
      </c>
      <c r="AR904" s="38">
        <v>0.0</v>
      </c>
      <c r="AS904" s="38" t="s">
        <v>2293</v>
      </c>
      <c r="AT904" s="35" t="s">
        <v>2294</v>
      </c>
      <c r="AU904" s="39" t="s">
        <v>2295</v>
      </c>
      <c r="AV904" s="40">
        <v>46164.0</v>
      </c>
    </row>
    <row r="905">
      <c r="A905" s="38">
        <v>455228.0</v>
      </c>
      <c r="B905" s="38">
        <v>425267.0</v>
      </c>
      <c r="C905" s="38">
        <v>441053.0</v>
      </c>
      <c r="D905" s="34" t="s">
        <v>62</v>
      </c>
      <c r="E905" s="34" t="s">
        <v>62</v>
      </c>
      <c r="F905" s="38">
        <v>9.00342297E8</v>
      </c>
      <c r="G905" s="18" t="s">
        <v>1025</v>
      </c>
      <c r="H905" s="18" t="s">
        <v>3217</v>
      </c>
      <c r="I905" s="18" t="s">
        <v>991</v>
      </c>
      <c r="J905" s="18" t="s">
        <v>2691</v>
      </c>
      <c r="K905" s="18" t="s">
        <v>2691</v>
      </c>
      <c r="L905" s="18" t="s">
        <v>52</v>
      </c>
      <c r="M905" s="18" t="s">
        <v>89</v>
      </c>
      <c r="N905" s="18" t="s">
        <v>861</v>
      </c>
      <c r="O905" s="18" t="s">
        <v>126</v>
      </c>
      <c r="P905" s="18" t="s">
        <v>131</v>
      </c>
      <c r="Q905" s="18" t="s">
        <v>132</v>
      </c>
      <c r="R905" s="18" t="s">
        <v>133</v>
      </c>
      <c r="S905" s="18" t="s">
        <v>59</v>
      </c>
      <c r="T905" s="38">
        <v>2026.0</v>
      </c>
      <c r="U905" s="38">
        <v>5.0</v>
      </c>
      <c r="V905" s="38">
        <v>1.081523096E9</v>
      </c>
      <c r="W905" s="38">
        <v>1.081541166E9</v>
      </c>
      <c r="X905" s="18" t="s">
        <v>2199</v>
      </c>
      <c r="Y905" s="18" t="s">
        <v>2200</v>
      </c>
      <c r="Z905" s="38">
        <v>113911.5</v>
      </c>
      <c r="AA905" s="38">
        <v>113911.5</v>
      </c>
      <c r="AB905" s="38">
        <v>37970.5</v>
      </c>
      <c r="AC905" s="38">
        <v>0.0</v>
      </c>
      <c r="AD905" s="38">
        <v>0.0</v>
      </c>
      <c r="AE905" s="38">
        <v>0.0</v>
      </c>
      <c r="AF905" s="38">
        <v>0.0</v>
      </c>
      <c r="AG905" s="38">
        <v>0.0</v>
      </c>
      <c r="AH905" s="38">
        <v>0.0</v>
      </c>
      <c r="AI905" s="38">
        <v>113911.5</v>
      </c>
      <c r="AJ905" s="38">
        <v>113911.5</v>
      </c>
      <c r="AK905" s="38">
        <v>0.0</v>
      </c>
      <c r="AL905" s="38">
        <v>376.2</v>
      </c>
      <c r="AM905" s="38">
        <v>0.0</v>
      </c>
      <c r="AN905" s="34" t="s">
        <v>62</v>
      </c>
      <c r="AO905" s="34" t="s">
        <v>62</v>
      </c>
      <c r="AP905" s="34" t="s">
        <v>62</v>
      </c>
      <c r="AQ905" s="34" t="s">
        <v>62</v>
      </c>
      <c r="AR905" s="38">
        <v>0.0</v>
      </c>
      <c r="AS905" s="38" t="s">
        <v>3218</v>
      </c>
      <c r="AT905" s="38" t="s">
        <v>2275</v>
      </c>
      <c r="AU905" s="39" t="s">
        <v>2276</v>
      </c>
      <c r="AV905" s="40">
        <v>46163.0</v>
      </c>
    </row>
    <row r="906">
      <c r="A906" s="38">
        <v>428.0</v>
      </c>
      <c r="B906" s="38">
        <v>427.0</v>
      </c>
      <c r="C906" s="38">
        <v>427.0</v>
      </c>
      <c r="D906" s="38">
        <v>9.0253715E7</v>
      </c>
      <c r="E906" s="38">
        <v>9.0253715E7</v>
      </c>
      <c r="F906" s="18" t="s">
        <v>1027</v>
      </c>
      <c r="G906" s="18" t="s">
        <v>1028</v>
      </c>
      <c r="H906" s="18" t="s">
        <v>3219</v>
      </c>
      <c r="I906" s="18" t="s">
        <v>902</v>
      </c>
      <c r="J906" s="18" t="s">
        <v>2205</v>
      </c>
      <c r="K906" s="18" t="s">
        <v>3157</v>
      </c>
      <c r="L906" s="18" t="s">
        <v>52</v>
      </c>
      <c r="M906" s="18" t="s">
        <v>89</v>
      </c>
      <c r="N906" s="18" t="s">
        <v>861</v>
      </c>
      <c r="O906" s="18" t="s">
        <v>126</v>
      </c>
      <c r="P906" s="18" t="s">
        <v>56</v>
      </c>
      <c r="Q906" s="18" t="s">
        <v>57</v>
      </c>
      <c r="R906" s="18" t="s">
        <v>143</v>
      </c>
      <c r="S906" s="18" t="s">
        <v>59</v>
      </c>
      <c r="T906" s="38">
        <v>2026.0</v>
      </c>
      <c r="U906" s="38">
        <v>5.0</v>
      </c>
      <c r="V906" s="38">
        <v>1.081522899E9</v>
      </c>
      <c r="W906" s="38">
        <v>1.081540969E9</v>
      </c>
      <c r="X906" s="18" t="s">
        <v>2199</v>
      </c>
      <c r="Y906" s="18" t="s">
        <v>2200</v>
      </c>
      <c r="Z906" s="38">
        <v>7949484.48</v>
      </c>
      <c r="AA906" s="38">
        <v>7949484.48</v>
      </c>
      <c r="AB906" s="38">
        <v>0.0</v>
      </c>
      <c r="AC906" s="38">
        <v>41680.0</v>
      </c>
      <c r="AD906" s="38">
        <v>0.0</v>
      </c>
      <c r="AE906" s="38">
        <v>0.0</v>
      </c>
      <c r="AF906" s="38">
        <v>0.0</v>
      </c>
      <c r="AG906" s="38">
        <v>0.0</v>
      </c>
      <c r="AH906" s="38">
        <v>0.0</v>
      </c>
      <c r="AI906" s="38">
        <v>7949484.48</v>
      </c>
      <c r="AJ906" s="38">
        <v>7949484.48</v>
      </c>
      <c r="AK906" s="38">
        <v>0.0</v>
      </c>
      <c r="AL906" s="38">
        <v>250.8</v>
      </c>
      <c r="AM906" s="38">
        <v>0.0</v>
      </c>
      <c r="AN906" s="34" t="s">
        <v>62</v>
      </c>
      <c r="AO906" s="34" t="s">
        <v>62</v>
      </c>
      <c r="AP906" s="34" t="s">
        <v>62</v>
      </c>
      <c r="AQ906" s="34" t="s">
        <v>62</v>
      </c>
      <c r="AR906" s="38">
        <v>0.0</v>
      </c>
      <c r="AS906" s="38" t="s">
        <v>3220</v>
      </c>
      <c r="AT906" s="35" t="s">
        <v>2202</v>
      </c>
      <c r="AU906" s="39" t="s">
        <v>2203</v>
      </c>
      <c r="AV906" s="40">
        <v>46168.0</v>
      </c>
    </row>
    <row r="907">
      <c r="A907" s="38">
        <v>463239.0</v>
      </c>
      <c r="B907" s="38">
        <v>429543.0</v>
      </c>
      <c r="C907" s="38">
        <v>448045.0</v>
      </c>
      <c r="D907" s="34" t="s">
        <v>62</v>
      </c>
      <c r="E907" s="34" t="s">
        <v>62</v>
      </c>
      <c r="F907" s="38">
        <v>9.1497719E7</v>
      </c>
      <c r="G907" s="18" t="s">
        <v>1030</v>
      </c>
      <c r="H907" s="18" t="s">
        <v>3221</v>
      </c>
      <c r="I907" s="38">
        <v>0.0</v>
      </c>
      <c r="J907" s="18" t="s">
        <v>2691</v>
      </c>
      <c r="K907" s="18" t="s">
        <v>2691</v>
      </c>
      <c r="L907" s="18" t="s">
        <v>52</v>
      </c>
      <c r="M907" s="18" t="s">
        <v>53</v>
      </c>
      <c r="N907" s="18" t="s">
        <v>861</v>
      </c>
      <c r="O907" s="18" t="s">
        <v>126</v>
      </c>
      <c r="P907" s="18" t="s">
        <v>56</v>
      </c>
      <c r="Q907" s="18" t="s">
        <v>90</v>
      </c>
      <c r="R907" s="18" t="s">
        <v>143</v>
      </c>
      <c r="S907" s="18" t="s">
        <v>59</v>
      </c>
      <c r="T907" s="38">
        <v>2026.0</v>
      </c>
      <c r="U907" s="38">
        <v>5.0</v>
      </c>
      <c r="V907" s="38">
        <v>1.081523099E9</v>
      </c>
      <c r="W907" s="38">
        <v>1.081541169E9</v>
      </c>
      <c r="X907" s="18" t="s">
        <v>2199</v>
      </c>
      <c r="Y907" s="18" t="s">
        <v>2200</v>
      </c>
      <c r="Z907" s="38">
        <v>129276.28</v>
      </c>
      <c r="AA907" s="38">
        <v>129276.28</v>
      </c>
      <c r="AB907" s="38">
        <v>43092.1</v>
      </c>
      <c r="AC907" s="38">
        <v>253.0</v>
      </c>
      <c r="AD907" s="38">
        <v>0.0</v>
      </c>
      <c r="AE907" s="38">
        <v>0.0</v>
      </c>
      <c r="AF907" s="38">
        <v>0.0</v>
      </c>
      <c r="AG907" s="38">
        <v>0.0</v>
      </c>
      <c r="AH907" s="38">
        <v>0.0</v>
      </c>
      <c r="AI907" s="38">
        <v>129276.28</v>
      </c>
      <c r="AJ907" s="38">
        <v>261200.27</v>
      </c>
      <c r="AK907" s="38">
        <v>1.0</v>
      </c>
      <c r="AL907" s="38">
        <v>376.2</v>
      </c>
      <c r="AM907" s="38">
        <v>0.0</v>
      </c>
      <c r="AN907" s="34" t="s">
        <v>62</v>
      </c>
      <c r="AO907" s="34" t="s">
        <v>62</v>
      </c>
      <c r="AP907" s="34" t="s">
        <v>62</v>
      </c>
      <c r="AQ907" s="34" t="s">
        <v>62</v>
      </c>
      <c r="AR907" s="38">
        <v>0.0</v>
      </c>
      <c r="AS907" s="38" t="s">
        <v>3222</v>
      </c>
      <c r="AT907" s="38" t="s">
        <v>2275</v>
      </c>
      <c r="AU907" s="39" t="s">
        <v>2276</v>
      </c>
      <c r="AV907" s="40">
        <v>46163.0</v>
      </c>
    </row>
    <row r="908">
      <c r="A908" s="38">
        <v>464114.0</v>
      </c>
      <c r="B908" s="38">
        <v>429547.0</v>
      </c>
      <c r="C908" s="38">
        <v>448057.0</v>
      </c>
      <c r="D908" s="34" t="s">
        <v>62</v>
      </c>
      <c r="E908" s="34" t="s">
        <v>62</v>
      </c>
      <c r="F908" s="18" t="s">
        <v>1032</v>
      </c>
      <c r="G908" s="18" t="s">
        <v>1033</v>
      </c>
      <c r="H908" s="18" t="s">
        <v>3223</v>
      </c>
      <c r="I908" s="18" t="s">
        <v>991</v>
      </c>
      <c r="J908" s="18" t="s">
        <v>2691</v>
      </c>
      <c r="K908" s="18" t="s">
        <v>2793</v>
      </c>
      <c r="L908" s="18" t="s">
        <v>52</v>
      </c>
      <c r="M908" s="18" t="s">
        <v>89</v>
      </c>
      <c r="N908" s="18" t="s">
        <v>861</v>
      </c>
      <c r="O908" s="18" t="s">
        <v>126</v>
      </c>
      <c r="P908" s="18" t="s">
        <v>56</v>
      </c>
      <c r="Q908" s="18" t="s">
        <v>90</v>
      </c>
      <c r="R908" s="18" t="s">
        <v>143</v>
      </c>
      <c r="S908" s="18" t="s">
        <v>59</v>
      </c>
      <c r="T908" s="38">
        <v>2026.0</v>
      </c>
      <c r="U908" s="38">
        <v>5.0</v>
      </c>
      <c r="V908" s="38">
        <v>1.081523103E9</v>
      </c>
      <c r="W908" s="38">
        <v>1.081541173E9</v>
      </c>
      <c r="X908" s="18" t="s">
        <v>2199</v>
      </c>
      <c r="Y908" s="18" t="s">
        <v>2200</v>
      </c>
      <c r="Z908" s="38">
        <v>484317.75</v>
      </c>
      <c r="AA908" s="38">
        <v>484317.75</v>
      </c>
      <c r="AB908" s="38">
        <v>161439.25</v>
      </c>
      <c r="AC908" s="38">
        <v>1500.0</v>
      </c>
      <c r="AD908" s="38">
        <v>0.0</v>
      </c>
      <c r="AE908" s="38">
        <v>0.0</v>
      </c>
      <c r="AF908" s="38">
        <v>0.0</v>
      </c>
      <c r="AG908" s="38">
        <v>0.0</v>
      </c>
      <c r="AH908" s="38">
        <v>0.0</v>
      </c>
      <c r="AI908" s="38">
        <v>484317.75</v>
      </c>
      <c r="AJ908" s="38">
        <v>484317.75</v>
      </c>
      <c r="AK908" s="38">
        <v>0.0</v>
      </c>
      <c r="AL908" s="38">
        <v>376.2</v>
      </c>
      <c r="AM908" s="38">
        <v>0.0</v>
      </c>
      <c r="AN908" s="34" t="s">
        <v>62</v>
      </c>
      <c r="AO908" s="34" t="s">
        <v>62</v>
      </c>
      <c r="AP908" s="34" t="s">
        <v>62</v>
      </c>
      <c r="AQ908" s="34" t="s">
        <v>62</v>
      </c>
      <c r="AR908" s="38">
        <v>0.0</v>
      </c>
      <c r="AS908" s="38" t="s">
        <v>3224</v>
      </c>
      <c r="AT908" s="38" t="s">
        <v>2275</v>
      </c>
      <c r="AU908" s="39" t="s">
        <v>2276</v>
      </c>
      <c r="AV908" s="40">
        <v>46163.0</v>
      </c>
    </row>
    <row r="909">
      <c r="A909" s="38">
        <v>464127.0</v>
      </c>
      <c r="B909" s="38">
        <v>429551.0</v>
      </c>
      <c r="C909" s="38">
        <v>448067.0</v>
      </c>
      <c r="D909" s="34" t="s">
        <v>62</v>
      </c>
      <c r="E909" s="34" t="s">
        <v>62</v>
      </c>
      <c r="F909" s="18" t="s">
        <v>1035</v>
      </c>
      <c r="G909" s="18" t="s">
        <v>1036</v>
      </c>
      <c r="H909" s="18" t="s">
        <v>3225</v>
      </c>
      <c r="I909" s="18" t="s">
        <v>991</v>
      </c>
      <c r="J909" s="18" t="s">
        <v>2691</v>
      </c>
      <c r="K909" s="18" t="s">
        <v>2691</v>
      </c>
      <c r="L909" s="18" t="s">
        <v>52</v>
      </c>
      <c r="M909" s="18" t="s">
        <v>89</v>
      </c>
      <c r="N909" s="18" t="s">
        <v>861</v>
      </c>
      <c r="O909" s="18" t="s">
        <v>126</v>
      </c>
      <c r="P909" s="18" t="s">
        <v>56</v>
      </c>
      <c r="Q909" s="18" t="s">
        <v>90</v>
      </c>
      <c r="R909" s="18" t="s">
        <v>143</v>
      </c>
      <c r="S909" s="18" t="s">
        <v>59</v>
      </c>
      <c r="T909" s="38">
        <v>2026.0</v>
      </c>
      <c r="U909" s="38">
        <v>5.0</v>
      </c>
      <c r="V909" s="38">
        <v>1.081523105E9</v>
      </c>
      <c r="W909" s="38">
        <v>1.081541175E9</v>
      </c>
      <c r="X909" s="18" t="s">
        <v>2199</v>
      </c>
      <c r="Y909" s="18" t="s">
        <v>2200</v>
      </c>
      <c r="Z909" s="38">
        <v>129276.28</v>
      </c>
      <c r="AA909" s="38">
        <v>129276.28</v>
      </c>
      <c r="AB909" s="38">
        <v>43092.1</v>
      </c>
      <c r="AC909" s="38">
        <v>253.0</v>
      </c>
      <c r="AD909" s="38">
        <v>0.0</v>
      </c>
      <c r="AE909" s="38">
        <v>0.0</v>
      </c>
      <c r="AF909" s="38">
        <v>0.0</v>
      </c>
      <c r="AG909" s="38">
        <v>0.0</v>
      </c>
      <c r="AH909" s="38">
        <v>0.0</v>
      </c>
      <c r="AI909" s="38">
        <v>129276.28</v>
      </c>
      <c r="AJ909" s="38">
        <v>262055.43</v>
      </c>
      <c r="AK909" s="38">
        <v>2.0</v>
      </c>
      <c r="AL909" s="38">
        <v>376.2</v>
      </c>
      <c r="AM909" s="38">
        <v>0.0</v>
      </c>
      <c r="AN909" s="34" t="s">
        <v>62</v>
      </c>
      <c r="AO909" s="34" t="s">
        <v>62</v>
      </c>
      <c r="AP909" s="34" t="s">
        <v>62</v>
      </c>
      <c r="AQ909" s="34" t="s">
        <v>62</v>
      </c>
      <c r="AR909" s="38">
        <v>0.0</v>
      </c>
      <c r="AS909" s="38" t="s">
        <v>3226</v>
      </c>
      <c r="AT909" s="38" t="s">
        <v>2275</v>
      </c>
      <c r="AU909" s="39" t="s">
        <v>2276</v>
      </c>
      <c r="AV909" s="40">
        <v>46163.0</v>
      </c>
    </row>
    <row r="910">
      <c r="A910" s="38">
        <v>464135.0</v>
      </c>
      <c r="B910" s="38">
        <v>429555.0</v>
      </c>
      <c r="C910" s="38">
        <v>448073.0</v>
      </c>
      <c r="D910" s="34" t="s">
        <v>62</v>
      </c>
      <c r="E910" s="34" t="s">
        <v>62</v>
      </c>
      <c r="F910" s="18" t="s">
        <v>1038</v>
      </c>
      <c r="G910" s="18" t="s">
        <v>1039</v>
      </c>
      <c r="H910" s="18" t="s">
        <v>3227</v>
      </c>
      <c r="I910" s="18" t="s">
        <v>991</v>
      </c>
      <c r="J910" s="18" t="s">
        <v>2700</v>
      </c>
      <c r="K910" s="18" t="s">
        <v>2700</v>
      </c>
      <c r="L910" s="18" t="s">
        <v>52</v>
      </c>
      <c r="M910" s="18" t="s">
        <v>89</v>
      </c>
      <c r="N910" s="18" t="s">
        <v>861</v>
      </c>
      <c r="O910" s="18" t="s">
        <v>126</v>
      </c>
      <c r="P910" s="18" t="s">
        <v>131</v>
      </c>
      <c r="Q910" s="18" t="s">
        <v>132</v>
      </c>
      <c r="R910" s="18" t="s">
        <v>133</v>
      </c>
      <c r="S910" s="18" t="s">
        <v>163</v>
      </c>
      <c r="T910" s="38">
        <v>2026.0</v>
      </c>
      <c r="U910" s="38">
        <v>5.0</v>
      </c>
      <c r="V910" s="38">
        <v>1.081523107E9</v>
      </c>
      <c r="W910" s="38">
        <v>1.081541177E9</v>
      </c>
      <c r="X910" s="18" t="s">
        <v>2199</v>
      </c>
      <c r="Y910" s="18" t="s">
        <v>2200</v>
      </c>
      <c r="Z910" s="38">
        <v>57002.54</v>
      </c>
      <c r="AA910" s="38">
        <v>57002.54</v>
      </c>
      <c r="AB910" s="38">
        <v>18873.0</v>
      </c>
      <c r="AC910" s="38">
        <v>0.0</v>
      </c>
      <c r="AD910" s="38">
        <v>383.54</v>
      </c>
      <c r="AE910" s="38">
        <v>0.0</v>
      </c>
      <c r="AF910" s="38">
        <v>0.0</v>
      </c>
      <c r="AG910" s="38">
        <v>0.0</v>
      </c>
      <c r="AH910" s="38">
        <v>0.0</v>
      </c>
      <c r="AI910" s="38">
        <v>57002.54</v>
      </c>
      <c r="AJ910" s="38">
        <v>115779.76</v>
      </c>
      <c r="AK910" s="38">
        <v>1.0</v>
      </c>
      <c r="AL910" s="38">
        <v>376.2</v>
      </c>
      <c r="AM910" s="38">
        <v>0.0</v>
      </c>
      <c r="AN910" s="34" t="s">
        <v>62</v>
      </c>
      <c r="AO910" s="34" t="s">
        <v>62</v>
      </c>
      <c r="AP910" s="34" t="s">
        <v>62</v>
      </c>
      <c r="AQ910" s="34" t="s">
        <v>62</v>
      </c>
      <c r="AR910" s="38">
        <v>0.0</v>
      </c>
      <c r="AS910" s="38" t="s">
        <v>2701</v>
      </c>
      <c r="AT910" s="35" t="s">
        <v>2202</v>
      </c>
      <c r="AU910" s="39" t="s">
        <v>2203</v>
      </c>
      <c r="AV910" s="40">
        <v>46164.0</v>
      </c>
    </row>
    <row r="911">
      <c r="A911" s="38">
        <v>432.0</v>
      </c>
      <c r="B911" s="38">
        <v>431.0</v>
      </c>
      <c r="C911" s="38">
        <v>431.0</v>
      </c>
      <c r="D911" s="38">
        <v>9.0253729E7</v>
      </c>
      <c r="E911" s="38">
        <v>9.0253729E7</v>
      </c>
      <c r="F911" s="18" t="s">
        <v>1041</v>
      </c>
      <c r="G911" s="18" t="s">
        <v>1042</v>
      </c>
      <c r="H911" s="18" t="s">
        <v>3228</v>
      </c>
      <c r="I911" s="18" t="s">
        <v>982</v>
      </c>
      <c r="J911" s="18" t="s">
        <v>2205</v>
      </c>
      <c r="K911" s="18" t="s">
        <v>2205</v>
      </c>
      <c r="L911" s="18" t="s">
        <v>52</v>
      </c>
      <c r="M911" s="18" t="s">
        <v>89</v>
      </c>
      <c r="N911" s="18" t="s">
        <v>861</v>
      </c>
      <c r="O911" s="18" t="s">
        <v>126</v>
      </c>
      <c r="P911" s="18" t="s">
        <v>56</v>
      </c>
      <c r="Q911" s="18" t="s">
        <v>57</v>
      </c>
      <c r="R911" s="18" t="s">
        <v>143</v>
      </c>
      <c r="S911" s="18" t="s">
        <v>59</v>
      </c>
      <c r="T911" s="38">
        <v>2026.0</v>
      </c>
      <c r="U911" s="38">
        <v>5.0</v>
      </c>
      <c r="V911" s="38">
        <v>1.081522903E9</v>
      </c>
      <c r="W911" s="38">
        <v>1.081540973E9</v>
      </c>
      <c r="X911" s="18" t="s">
        <v>2199</v>
      </c>
      <c r="Y911" s="18" t="s">
        <v>2200</v>
      </c>
      <c r="Z911" s="38">
        <v>316709.65</v>
      </c>
      <c r="AA911" s="38">
        <v>316709.65</v>
      </c>
      <c r="AB911" s="38">
        <v>0.0</v>
      </c>
      <c r="AC911" s="38">
        <v>1467.5</v>
      </c>
      <c r="AD911" s="38">
        <v>0.0</v>
      </c>
      <c r="AE911" s="38">
        <v>0.0</v>
      </c>
      <c r="AF911" s="38">
        <v>0.0</v>
      </c>
      <c r="AG911" s="38">
        <v>0.0</v>
      </c>
      <c r="AH911" s="38">
        <v>0.0</v>
      </c>
      <c r="AI911" s="38">
        <v>305465.97</v>
      </c>
      <c r="AJ911" s="38">
        <v>305465.97</v>
      </c>
      <c r="AK911" s="38">
        <v>0.0</v>
      </c>
      <c r="AL911" s="38">
        <v>250.8</v>
      </c>
      <c r="AM911" s="38">
        <v>0.0</v>
      </c>
      <c r="AN911" s="34" t="s">
        <v>62</v>
      </c>
      <c r="AO911" s="34" t="s">
        <v>62</v>
      </c>
      <c r="AP911" s="38">
        <v>11243.68</v>
      </c>
      <c r="AQ911" s="34" t="s">
        <v>62</v>
      </c>
      <c r="AR911" s="38">
        <v>0.0</v>
      </c>
      <c r="AS911" s="38" t="s">
        <v>3229</v>
      </c>
      <c r="AT911" s="35" t="s">
        <v>2202</v>
      </c>
      <c r="AU911" s="59" t="s">
        <v>2203</v>
      </c>
      <c r="AV911" s="40">
        <v>46171.0</v>
      </c>
    </row>
    <row r="912">
      <c r="A912" s="38">
        <v>436.0</v>
      </c>
      <c r="B912" s="38">
        <v>435.0</v>
      </c>
      <c r="C912" s="38">
        <v>435.0</v>
      </c>
      <c r="D912" s="38">
        <v>9.0256537E7</v>
      </c>
      <c r="E912" s="38">
        <v>9.0256537E7</v>
      </c>
      <c r="F912" s="18" t="s">
        <v>1044</v>
      </c>
      <c r="G912" s="18" t="s">
        <v>1045</v>
      </c>
      <c r="H912" s="18" t="s">
        <v>3230</v>
      </c>
      <c r="I912" s="18" t="s">
        <v>982</v>
      </c>
      <c r="J912" s="18" t="s">
        <v>982</v>
      </c>
      <c r="K912" s="18" t="s">
        <v>982</v>
      </c>
      <c r="L912" s="18" t="s">
        <v>52</v>
      </c>
      <c r="M912" s="18" t="s">
        <v>89</v>
      </c>
      <c r="N912" s="18" t="s">
        <v>861</v>
      </c>
      <c r="O912" s="18" t="s">
        <v>126</v>
      </c>
      <c r="P912" s="18" t="s">
        <v>56</v>
      </c>
      <c r="Q912" s="18" t="s">
        <v>90</v>
      </c>
      <c r="R912" s="18" t="s">
        <v>143</v>
      </c>
      <c r="S912" s="18" t="s">
        <v>59</v>
      </c>
      <c r="T912" s="38">
        <v>2026.0</v>
      </c>
      <c r="U912" s="38">
        <v>5.0</v>
      </c>
      <c r="V912" s="38">
        <v>1.081522907E9</v>
      </c>
      <c r="W912" s="38">
        <v>1.081540977E9</v>
      </c>
      <c r="X912" s="18" t="s">
        <v>2199</v>
      </c>
      <c r="Y912" s="18" t="s">
        <v>2200</v>
      </c>
      <c r="Z912" s="38">
        <v>128422.13</v>
      </c>
      <c r="AA912" s="38">
        <v>128422.13</v>
      </c>
      <c r="AB912" s="38">
        <v>42807.38</v>
      </c>
      <c r="AC912" s="38">
        <v>250.0</v>
      </c>
      <c r="AD912" s="38">
        <v>0.0</v>
      </c>
      <c r="AE912" s="38">
        <v>0.0</v>
      </c>
      <c r="AF912" s="38">
        <v>0.0</v>
      </c>
      <c r="AG912" s="38">
        <v>0.0</v>
      </c>
      <c r="AH912" s="38">
        <v>0.0</v>
      </c>
      <c r="AI912" s="38">
        <v>128422.13</v>
      </c>
      <c r="AJ912" s="38">
        <v>128422.13</v>
      </c>
      <c r="AK912" s="38">
        <v>0.0</v>
      </c>
      <c r="AL912" s="38">
        <v>376.2</v>
      </c>
      <c r="AM912" s="38">
        <v>0.0</v>
      </c>
      <c r="AN912" s="34" t="s">
        <v>62</v>
      </c>
      <c r="AO912" s="34" t="s">
        <v>62</v>
      </c>
      <c r="AP912" s="34" t="s">
        <v>62</v>
      </c>
      <c r="AQ912" s="34" t="s">
        <v>62</v>
      </c>
      <c r="AR912" s="38">
        <v>0.0</v>
      </c>
      <c r="AS912" s="38" t="s">
        <v>3231</v>
      </c>
      <c r="AT912" s="35" t="s">
        <v>2275</v>
      </c>
      <c r="AU912" s="39" t="s">
        <v>2326</v>
      </c>
      <c r="AV912" s="40">
        <v>46163.0</v>
      </c>
    </row>
    <row r="913">
      <c r="A913" s="38">
        <v>314877.0</v>
      </c>
      <c r="B913" s="38">
        <v>439.0</v>
      </c>
      <c r="C913" s="38">
        <v>439.0</v>
      </c>
      <c r="D913" s="38">
        <v>9.0256549E7</v>
      </c>
      <c r="E913" s="38">
        <v>9.0256549E7</v>
      </c>
      <c r="F913" s="38">
        <v>8.60503159E8</v>
      </c>
      <c r="G913" s="18" t="s">
        <v>371</v>
      </c>
      <c r="H913" s="18" t="s">
        <v>2279</v>
      </c>
      <c r="I913" s="18" t="s">
        <v>982</v>
      </c>
      <c r="J913" s="18" t="s">
        <v>2205</v>
      </c>
      <c r="K913" s="18" t="s">
        <v>2280</v>
      </c>
      <c r="L913" s="18" t="s">
        <v>52</v>
      </c>
      <c r="M913" s="18" t="s">
        <v>89</v>
      </c>
      <c r="N913" s="18" t="s">
        <v>861</v>
      </c>
      <c r="O913" s="18" t="s">
        <v>126</v>
      </c>
      <c r="P913" s="18" t="s">
        <v>131</v>
      </c>
      <c r="Q913" s="18" t="s">
        <v>363</v>
      </c>
      <c r="R913" s="18" t="s">
        <v>133</v>
      </c>
      <c r="S913" s="18" t="s">
        <v>59</v>
      </c>
      <c r="T913" s="38">
        <v>2026.0</v>
      </c>
      <c r="U913" s="38">
        <v>5.0</v>
      </c>
      <c r="V913" s="38">
        <v>1.08152291E9</v>
      </c>
      <c r="W913" s="38">
        <v>1.08154098E9</v>
      </c>
      <c r="X913" s="18" t="s">
        <v>2199</v>
      </c>
      <c r="Y913" s="18" t="s">
        <v>2200</v>
      </c>
      <c r="Z913" s="38">
        <v>76141.5</v>
      </c>
      <c r="AA913" s="38">
        <v>76141.5</v>
      </c>
      <c r="AB913" s="38">
        <v>25380.5</v>
      </c>
      <c r="AC913" s="38">
        <v>0.0</v>
      </c>
      <c r="AD913" s="38">
        <v>0.0</v>
      </c>
      <c r="AE913" s="38">
        <v>0.0</v>
      </c>
      <c r="AF913" s="38">
        <v>0.0</v>
      </c>
      <c r="AG913" s="38">
        <v>0.0</v>
      </c>
      <c r="AH913" s="38">
        <v>0.0</v>
      </c>
      <c r="AI913" s="38">
        <v>76141.5</v>
      </c>
      <c r="AJ913" s="38">
        <v>76141.5</v>
      </c>
      <c r="AK913" s="38">
        <v>0.0</v>
      </c>
      <c r="AL913" s="38">
        <v>376.2</v>
      </c>
      <c r="AM913" s="38">
        <v>0.0</v>
      </c>
      <c r="AN913" s="34" t="s">
        <v>62</v>
      </c>
      <c r="AO913" s="34" t="s">
        <v>62</v>
      </c>
      <c r="AP913" s="34" t="s">
        <v>62</v>
      </c>
      <c r="AQ913" s="34" t="s">
        <v>62</v>
      </c>
      <c r="AR913" s="38">
        <v>0.0</v>
      </c>
      <c r="AS913" s="39" t="s">
        <v>2281</v>
      </c>
      <c r="AT913" s="35" t="s">
        <v>2202</v>
      </c>
      <c r="AU913" s="39" t="s">
        <v>2203</v>
      </c>
      <c r="AV913" s="40">
        <v>46169.0</v>
      </c>
    </row>
    <row r="914">
      <c r="A914" s="38">
        <v>456.0</v>
      </c>
      <c r="B914" s="38">
        <v>455.0</v>
      </c>
      <c r="C914" s="38">
        <v>455.0</v>
      </c>
      <c r="D914" s="38">
        <v>9.0256807E7</v>
      </c>
      <c r="E914" s="38">
        <v>9.0256807E7</v>
      </c>
      <c r="F914" s="38">
        <v>9.00155107E8</v>
      </c>
      <c r="G914" s="18" t="s">
        <v>1048</v>
      </c>
      <c r="H914" s="18" t="s">
        <v>3232</v>
      </c>
      <c r="I914" s="18" t="s">
        <v>942</v>
      </c>
      <c r="J914" s="18" t="s">
        <v>2205</v>
      </c>
      <c r="K914" s="18" t="s">
        <v>2302</v>
      </c>
      <c r="L914" s="18" t="s">
        <v>52</v>
      </c>
      <c r="M914" s="18" t="s">
        <v>53</v>
      </c>
      <c r="N914" s="18" t="s">
        <v>861</v>
      </c>
      <c r="O914" s="18" t="s">
        <v>126</v>
      </c>
      <c r="P914" s="18" t="s">
        <v>56</v>
      </c>
      <c r="Q914" s="18" t="s">
        <v>90</v>
      </c>
      <c r="R914" s="18" t="s">
        <v>58</v>
      </c>
      <c r="S914" s="18" t="s">
        <v>59</v>
      </c>
      <c r="T914" s="38">
        <v>2026.0</v>
      </c>
      <c r="U914" s="38">
        <v>5.0</v>
      </c>
      <c r="V914" s="38">
        <v>1.081522914E9</v>
      </c>
      <c r="W914" s="38">
        <v>1.081540984E9</v>
      </c>
      <c r="X914" s="18" t="s">
        <v>2199</v>
      </c>
      <c r="Y914" s="18" t="s">
        <v>2200</v>
      </c>
      <c r="Z914" s="38">
        <v>2349495.56</v>
      </c>
      <c r="AA914" s="38">
        <v>2349495.56</v>
      </c>
      <c r="AB914" s="38">
        <v>783165.19</v>
      </c>
      <c r="AC914" s="38">
        <v>8051.0</v>
      </c>
      <c r="AD914" s="38">
        <v>0.0</v>
      </c>
      <c r="AE914" s="38">
        <v>0.0</v>
      </c>
      <c r="AF914" s="38">
        <v>0.0</v>
      </c>
      <c r="AG914" s="38">
        <v>0.0</v>
      </c>
      <c r="AH914" s="38">
        <v>0.0</v>
      </c>
      <c r="AI914" s="38">
        <v>2349495.56</v>
      </c>
      <c r="AJ914" s="38">
        <v>2349495.56</v>
      </c>
      <c r="AK914" s="38">
        <v>0.0</v>
      </c>
      <c r="AL914" s="38">
        <v>376.2</v>
      </c>
      <c r="AM914" s="38">
        <v>0.0</v>
      </c>
      <c r="AN914" s="34" t="s">
        <v>62</v>
      </c>
      <c r="AO914" s="34" t="s">
        <v>62</v>
      </c>
      <c r="AP914" s="34" t="s">
        <v>62</v>
      </c>
      <c r="AQ914" s="34" t="s">
        <v>62</v>
      </c>
      <c r="AR914" s="38">
        <v>0.0</v>
      </c>
      <c r="AS914" s="38" t="s">
        <v>3233</v>
      </c>
      <c r="AT914" s="35" t="s">
        <v>2202</v>
      </c>
      <c r="AU914" s="39" t="s">
        <v>2203</v>
      </c>
      <c r="AV914" s="40">
        <v>46169.0</v>
      </c>
    </row>
    <row r="915">
      <c r="A915" s="38">
        <v>699.0</v>
      </c>
      <c r="B915" s="38">
        <v>456667.0</v>
      </c>
      <c r="C915" s="38">
        <v>482804.0</v>
      </c>
      <c r="D915" s="38">
        <v>1091316.0</v>
      </c>
      <c r="E915" s="38">
        <v>1091316.0</v>
      </c>
      <c r="F915" s="38">
        <v>9.00480569E8</v>
      </c>
      <c r="G915" s="18" t="s">
        <v>141</v>
      </c>
      <c r="H915" s="18" t="s">
        <v>2255</v>
      </c>
      <c r="I915" s="18" t="s">
        <v>1050</v>
      </c>
      <c r="J915" s="18" t="s">
        <v>2205</v>
      </c>
      <c r="K915" s="18" t="s">
        <v>2256</v>
      </c>
      <c r="L915" s="18" t="s">
        <v>52</v>
      </c>
      <c r="M915" s="18" t="s">
        <v>53</v>
      </c>
      <c r="N915" s="18" t="s">
        <v>861</v>
      </c>
      <c r="O915" s="18" t="s">
        <v>126</v>
      </c>
      <c r="P915" s="18" t="s">
        <v>56</v>
      </c>
      <c r="Q915" s="18" t="s">
        <v>90</v>
      </c>
      <c r="R915" s="18" t="s">
        <v>143</v>
      </c>
      <c r="S915" s="18" t="s">
        <v>59</v>
      </c>
      <c r="T915" s="38">
        <v>2026.0</v>
      </c>
      <c r="U915" s="38">
        <v>5.0</v>
      </c>
      <c r="V915" s="38">
        <v>1.081523111E9</v>
      </c>
      <c r="W915" s="38">
        <v>1.081541181E9</v>
      </c>
      <c r="X915" s="18" t="s">
        <v>2199</v>
      </c>
      <c r="Y915" s="18" t="s">
        <v>2200</v>
      </c>
      <c r="Z915" s="38">
        <v>717215.86</v>
      </c>
      <c r="AA915" s="38">
        <v>717215.86</v>
      </c>
      <c r="AB915" s="38">
        <v>239071.96</v>
      </c>
      <c r="AC915" s="38">
        <v>2318.0</v>
      </c>
      <c r="AD915" s="38">
        <v>0.0</v>
      </c>
      <c r="AE915" s="38">
        <v>0.0</v>
      </c>
      <c r="AF915" s="38">
        <v>0.0</v>
      </c>
      <c r="AG915" s="38">
        <v>0.0</v>
      </c>
      <c r="AH915" s="38">
        <v>0.0</v>
      </c>
      <c r="AI915" s="38">
        <v>717215.86</v>
      </c>
      <c r="AJ915" s="38">
        <v>1418459.06</v>
      </c>
      <c r="AK915" s="38">
        <v>1.0</v>
      </c>
      <c r="AL915" s="38">
        <v>376.2</v>
      </c>
      <c r="AM915" s="38">
        <v>0.0</v>
      </c>
      <c r="AN915" s="34" t="s">
        <v>62</v>
      </c>
      <c r="AO915" s="34" t="s">
        <v>62</v>
      </c>
      <c r="AP915" s="34" t="s">
        <v>62</v>
      </c>
      <c r="AQ915" s="34" t="s">
        <v>62</v>
      </c>
      <c r="AR915" s="38">
        <v>0.0</v>
      </c>
      <c r="AS915" s="38" t="s">
        <v>2257</v>
      </c>
      <c r="AT915" s="35" t="s">
        <v>2202</v>
      </c>
      <c r="AU915" s="39" t="s">
        <v>2203</v>
      </c>
      <c r="AV915" s="40">
        <v>46163.0</v>
      </c>
    </row>
    <row r="916">
      <c r="A916" s="38">
        <v>684.0</v>
      </c>
      <c r="B916" s="38">
        <v>458439.0</v>
      </c>
      <c r="C916" s="38">
        <v>485950.0</v>
      </c>
      <c r="D916" s="34" t="s">
        <v>62</v>
      </c>
      <c r="E916" s="34" t="s">
        <v>62</v>
      </c>
      <c r="F916" s="18" t="s">
        <v>1052</v>
      </c>
      <c r="G916" s="18" t="s">
        <v>1053</v>
      </c>
      <c r="H916" s="18" t="s">
        <v>2699</v>
      </c>
      <c r="I916" s="18" t="s">
        <v>991</v>
      </c>
      <c r="J916" s="18" t="s">
        <v>2691</v>
      </c>
      <c r="K916" s="18" t="s">
        <v>2691</v>
      </c>
      <c r="L916" s="18" t="s">
        <v>52</v>
      </c>
      <c r="M916" s="18" t="s">
        <v>89</v>
      </c>
      <c r="N916" s="18" t="s">
        <v>861</v>
      </c>
      <c r="O916" s="18" t="s">
        <v>126</v>
      </c>
      <c r="P916" s="18" t="s">
        <v>56</v>
      </c>
      <c r="Q916" s="18" t="s">
        <v>90</v>
      </c>
      <c r="R916" s="18" t="s">
        <v>143</v>
      </c>
      <c r="S916" s="18" t="s">
        <v>59</v>
      </c>
      <c r="T916" s="38">
        <v>2026.0</v>
      </c>
      <c r="U916" s="38">
        <v>5.0</v>
      </c>
      <c r="V916" s="38">
        <v>1.081523115E9</v>
      </c>
      <c r="W916" s="38">
        <v>1.081541185E9</v>
      </c>
      <c r="X916" s="18" t="s">
        <v>2199</v>
      </c>
      <c r="Y916" s="18" t="s">
        <v>2200</v>
      </c>
      <c r="Z916" s="38">
        <v>129276.28</v>
      </c>
      <c r="AA916" s="38">
        <v>129276.28</v>
      </c>
      <c r="AB916" s="38">
        <v>43092.1</v>
      </c>
      <c r="AC916" s="38">
        <v>253.0</v>
      </c>
      <c r="AD916" s="38">
        <v>0.0</v>
      </c>
      <c r="AE916" s="38">
        <v>0.0</v>
      </c>
      <c r="AF916" s="38">
        <v>0.0</v>
      </c>
      <c r="AG916" s="38">
        <v>0.0</v>
      </c>
      <c r="AH916" s="38">
        <v>0.0</v>
      </c>
      <c r="AI916" s="38">
        <v>129276.28</v>
      </c>
      <c r="AJ916" s="38">
        <v>129276.28</v>
      </c>
      <c r="AK916" s="38">
        <v>0.0</v>
      </c>
      <c r="AL916" s="38">
        <v>376.2</v>
      </c>
      <c r="AM916" s="38">
        <v>0.0</v>
      </c>
      <c r="AN916" s="34" t="s">
        <v>62</v>
      </c>
      <c r="AO916" s="34" t="s">
        <v>62</v>
      </c>
      <c r="AP916" s="34" t="s">
        <v>62</v>
      </c>
      <c r="AQ916" s="34" t="s">
        <v>62</v>
      </c>
      <c r="AR916" s="38">
        <v>0.0</v>
      </c>
      <c r="AS916" s="38" t="s">
        <v>2701</v>
      </c>
      <c r="AT916" s="38" t="s">
        <v>2275</v>
      </c>
      <c r="AU916" s="39" t="s">
        <v>2276</v>
      </c>
      <c r="AV916" s="40">
        <v>46163.0</v>
      </c>
    </row>
    <row r="917">
      <c r="A917" s="38">
        <v>511783.0</v>
      </c>
      <c r="B917" s="38">
        <v>461075.0</v>
      </c>
      <c r="C917" s="38">
        <v>489747.0</v>
      </c>
      <c r="D917" s="34" t="s">
        <v>62</v>
      </c>
      <c r="E917" s="34" t="s">
        <v>62</v>
      </c>
      <c r="F917" s="18" t="s">
        <v>1055</v>
      </c>
      <c r="G917" s="18" t="s">
        <v>1053</v>
      </c>
      <c r="H917" s="18" t="s">
        <v>3234</v>
      </c>
      <c r="I917" s="18" t="s">
        <v>991</v>
      </c>
      <c r="J917" s="18" t="s">
        <v>2700</v>
      </c>
      <c r="K917" s="18" t="s">
        <v>2700</v>
      </c>
      <c r="L917" s="18" t="s">
        <v>52</v>
      </c>
      <c r="M917" s="18" t="s">
        <v>89</v>
      </c>
      <c r="N917" s="18" t="s">
        <v>861</v>
      </c>
      <c r="O917" s="18" t="s">
        <v>126</v>
      </c>
      <c r="P917" s="18" t="s">
        <v>131</v>
      </c>
      <c r="Q917" s="18" t="s">
        <v>132</v>
      </c>
      <c r="R917" s="18" t="s">
        <v>133</v>
      </c>
      <c r="S917" s="18" t="s">
        <v>59</v>
      </c>
      <c r="T917" s="38">
        <v>2026.0</v>
      </c>
      <c r="U917" s="38">
        <v>5.0</v>
      </c>
      <c r="V917" s="38">
        <v>1.081523119E9</v>
      </c>
      <c r="W917" s="38">
        <v>1.081541189E9</v>
      </c>
      <c r="X917" s="18" t="s">
        <v>2199</v>
      </c>
      <c r="Y917" s="18" t="s">
        <v>2200</v>
      </c>
      <c r="Z917" s="38">
        <v>119614.03</v>
      </c>
      <c r="AA917" s="38">
        <v>119614.03</v>
      </c>
      <c r="AB917" s="38">
        <v>37970.5</v>
      </c>
      <c r="AC917" s="38">
        <v>0.0</v>
      </c>
      <c r="AD917" s="38">
        <v>5702.53</v>
      </c>
      <c r="AE917" s="38">
        <v>0.0</v>
      </c>
      <c r="AF917" s="38">
        <v>0.0</v>
      </c>
      <c r="AG917" s="38">
        <v>0.0</v>
      </c>
      <c r="AH917" s="38">
        <v>0.0</v>
      </c>
      <c r="AI917" s="38">
        <v>119614.03</v>
      </c>
      <c r="AJ917" s="38">
        <v>484870.05</v>
      </c>
      <c r="AK917" s="38">
        <v>5.0</v>
      </c>
      <c r="AL917" s="38">
        <v>376.2</v>
      </c>
      <c r="AM917" s="38">
        <v>0.0</v>
      </c>
      <c r="AN917" s="34" t="s">
        <v>62</v>
      </c>
      <c r="AO917" s="34" t="s">
        <v>62</v>
      </c>
      <c r="AP917" s="34" t="s">
        <v>62</v>
      </c>
      <c r="AQ917" s="34" t="s">
        <v>62</v>
      </c>
      <c r="AR917" s="38">
        <v>0.0</v>
      </c>
      <c r="AS917" s="38" t="s">
        <v>2701</v>
      </c>
      <c r="AT917" s="35" t="s">
        <v>2202</v>
      </c>
      <c r="AU917" s="39" t="s">
        <v>2203</v>
      </c>
      <c r="AV917" s="40">
        <v>46164.0</v>
      </c>
    </row>
    <row r="918">
      <c r="A918" s="38">
        <v>511837.0</v>
      </c>
      <c r="B918" s="38">
        <v>461095.0</v>
      </c>
      <c r="C918" s="38">
        <v>489788.0</v>
      </c>
      <c r="D918" s="34" t="s">
        <v>62</v>
      </c>
      <c r="E918" s="34" t="s">
        <v>62</v>
      </c>
      <c r="F918" s="18" t="s">
        <v>1057</v>
      </c>
      <c r="G918" s="18" t="s">
        <v>1058</v>
      </c>
      <c r="H918" s="18" t="s">
        <v>3235</v>
      </c>
      <c r="I918" s="18" t="s">
        <v>991</v>
      </c>
      <c r="J918" s="18" t="s">
        <v>2700</v>
      </c>
      <c r="K918" s="18" t="s">
        <v>2700</v>
      </c>
      <c r="L918" s="18" t="s">
        <v>52</v>
      </c>
      <c r="M918" s="18" t="s">
        <v>89</v>
      </c>
      <c r="N918" s="18" t="s">
        <v>861</v>
      </c>
      <c r="O918" s="18" t="s">
        <v>126</v>
      </c>
      <c r="P918" s="18" t="s">
        <v>131</v>
      </c>
      <c r="Q918" s="18" t="s">
        <v>132</v>
      </c>
      <c r="R918" s="18" t="s">
        <v>133</v>
      </c>
      <c r="S918" s="18" t="s">
        <v>163</v>
      </c>
      <c r="T918" s="38">
        <v>2026.0</v>
      </c>
      <c r="U918" s="38">
        <v>5.0</v>
      </c>
      <c r="V918" s="38">
        <v>1.081523124E9</v>
      </c>
      <c r="W918" s="38">
        <v>1.081541194E9</v>
      </c>
      <c r="X918" s="18" t="s">
        <v>2199</v>
      </c>
      <c r="Y918" s="18" t="s">
        <v>2200</v>
      </c>
      <c r="Z918" s="38">
        <v>57002.54</v>
      </c>
      <c r="AA918" s="38">
        <v>57002.54</v>
      </c>
      <c r="AB918" s="38">
        <v>18873.0</v>
      </c>
      <c r="AC918" s="38">
        <v>0.0</v>
      </c>
      <c r="AD918" s="38">
        <v>383.54</v>
      </c>
      <c r="AE918" s="38">
        <v>0.0</v>
      </c>
      <c r="AF918" s="38">
        <v>0.0</v>
      </c>
      <c r="AG918" s="38">
        <v>0.0</v>
      </c>
      <c r="AH918" s="38">
        <v>0.0</v>
      </c>
      <c r="AI918" s="38">
        <v>57002.54</v>
      </c>
      <c r="AJ918" s="38">
        <v>115779.76</v>
      </c>
      <c r="AK918" s="38">
        <v>1.0</v>
      </c>
      <c r="AL918" s="38">
        <v>376.2</v>
      </c>
      <c r="AM918" s="38">
        <v>0.0</v>
      </c>
      <c r="AN918" s="34" t="s">
        <v>62</v>
      </c>
      <c r="AO918" s="34" t="s">
        <v>62</v>
      </c>
      <c r="AP918" s="34" t="s">
        <v>62</v>
      </c>
      <c r="AQ918" s="34" t="s">
        <v>62</v>
      </c>
      <c r="AR918" s="38">
        <v>0.0</v>
      </c>
      <c r="AS918" s="38" t="s">
        <v>2701</v>
      </c>
      <c r="AT918" s="35" t="s">
        <v>2202</v>
      </c>
      <c r="AU918" s="39" t="s">
        <v>2203</v>
      </c>
      <c r="AV918" s="40">
        <v>46164.0</v>
      </c>
    </row>
    <row r="919">
      <c r="A919" s="38">
        <v>297.0</v>
      </c>
      <c r="B919" s="38">
        <v>462275.0</v>
      </c>
      <c r="C919" s="38">
        <v>491740.0</v>
      </c>
      <c r="D919" s="34" t="s">
        <v>62</v>
      </c>
      <c r="E919" s="34" t="s">
        <v>62</v>
      </c>
      <c r="F919" s="18" t="s">
        <v>135</v>
      </c>
      <c r="G919" s="18" t="s">
        <v>136</v>
      </c>
      <c r="H919" s="18" t="s">
        <v>2258</v>
      </c>
      <c r="I919" s="38">
        <v>0.0</v>
      </c>
      <c r="J919" s="18" t="s">
        <v>2205</v>
      </c>
      <c r="K919" s="18" t="s">
        <v>2259</v>
      </c>
      <c r="L919" s="18" t="s">
        <v>52</v>
      </c>
      <c r="M919" s="18" t="s">
        <v>1060</v>
      </c>
      <c r="N919" s="18" t="s">
        <v>861</v>
      </c>
      <c r="O919" s="18" t="s">
        <v>126</v>
      </c>
      <c r="P919" s="18" t="s">
        <v>131</v>
      </c>
      <c r="Q919" s="18" t="s">
        <v>151</v>
      </c>
      <c r="R919" s="18" t="s">
        <v>133</v>
      </c>
      <c r="S919" s="18" t="s">
        <v>59</v>
      </c>
      <c r="T919" s="38">
        <v>2026.0</v>
      </c>
      <c r="U919" s="38">
        <v>5.0</v>
      </c>
      <c r="V919" s="38">
        <v>1.081523128E9</v>
      </c>
      <c r="W919" s="38">
        <v>1.081541198E9</v>
      </c>
      <c r="X919" s="18" t="s">
        <v>2199</v>
      </c>
      <c r="Y919" s="18" t="s">
        <v>2200</v>
      </c>
      <c r="Z919" s="38">
        <v>41577.0</v>
      </c>
      <c r="AA919" s="38">
        <v>41577.0</v>
      </c>
      <c r="AB919" s="38">
        <v>0.0</v>
      </c>
      <c r="AC919" s="38">
        <v>0.0</v>
      </c>
      <c r="AD919" s="38">
        <v>0.0</v>
      </c>
      <c r="AE919" s="38">
        <v>0.0</v>
      </c>
      <c r="AF919" s="38">
        <v>0.0</v>
      </c>
      <c r="AG919" s="38">
        <v>0.0</v>
      </c>
      <c r="AH919" s="38">
        <v>0.0</v>
      </c>
      <c r="AI919" s="38">
        <v>41577.0</v>
      </c>
      <c r="AJ919" s="38">
        <v>41577.0</v>
      </c>
      <c r="AK919" s="38">
        <v>0.0</v>
      </c>
      <c r="AL919" s="38">
        <v>250.8</v>
      </c>
      <c r="AM919" s="38">
        <v>0.0</v>
      </c>
      <c r="AN919" s="34" t="s">
        <v>62</v>
      </c>
      <c r="AO919" s="34" t="s">
        <v>62</v>
      </c>
      <c r="AP919" s="34" t="s">
        <v>62</v>
      </c>
      <c r="AQ919" s="34" t="s">
        <v>62</v>
      </c>
      <c r="AR919" s="38">
        <v>0.0</v>
      </c>
      <c r="AS919" s="38" t="s">
        <v>2260</v>
      </c>
      <c r="AT919" s="35" t="s">
        <v>2202</v>
      </c>
      <c r="AU919" s="39" t="s">
        <v>2203</v>
      </c>
      <c r="AV919" s="40">
        <v>46164.0</v>
      </c>
    </row>
    <row r="920">
      <c r="A920" s="38">
        <v>515079.0</v>
      </c>
      <c r="B920" s="38">
        <v>462319.0</v>
      </c>
      <c r="C920" s="38">
        <v>492088.0</v>
      </c>
      <c r="D920" s="34" t="s">
        <v>62</v>
      </c>
      <c r="E920" s="34" t="s">
        <v>62</v>
      </c>
      <c r="F920" s="18" t="s">
        <v>1062</v>
      </c>
      <c r="G920" s="18" t="s">
        <v>1063</v>
      </c>
      <c r="H920" s="18" t="s">
        <v>3236</v>
      </c>
      <c r="I920" s="18" t="s">
        <v>991</v>
      </c>
      <c r="J920" s="18" t="s">
        <v>2691</v>
      </c>
      <c r="K920" s="18" t="s">
        <v>2691</v>
      </c>
      <c r="L920" s="18" t="s">
        <v>52</v>
      </c>
      <c r="M920" s="18" t="s">
        <v>89</v>
      </c>
      <c r="N920" s="18" t="s">
        <v>861</v>
      </c>
      <c r="O920" s="18" t="s">
        <v>126</v>
      </c>
      <c r="P920" s="18" t="s">
        <v>56</v>
      </c>
      <c r="Q920" s="18" t="s">
        <v>90</v>
      </c>
      <c r="R920" s="18" t="s">
        <v>143</v>
      </c>
      <c r="S920" s="18" t="s">
        <v>59</v>
      </c>
      <c r="T920" s="38">
        <v>2026.0</v>
      </c>
      <c r="U920" s="38">
        <v>5.0</v>
      </c>
      <c r="V920" s="38">
        <v>1.081523133E9</v>
      </c>
      <c r="W920" s="38">
        <v>1.081541203E9</v>
      </c>
      <c r="X920" s="18" t="s">
        <v>2199</v>
      </c>
      <c r="Y920" s="18" t="s">
        <v>2200</v>
      </c>
      <c r="Z920" s="38">
        <v>129276.28</v>
      </c>
      <c r="AA920" s="38">
        <v>129276.28</v>
      </c>
      <c r="AB920" s="38">
        <v>43092.1</v>
      </c>
      <c r="AC920" s="38">
        <v>253.0</v>
      </c>
      <c r="AD920" s="38">
        <v>0.0</v>
      </c>
      <c r="AE920" s="38">
        <v>0.0</v>
      </c>
      <c r="AF920" s="38">
        <v>0.0</v>
      </c>
      <c r="AG920" s="38">
        <v>0.0</v>
      </c>
      <c r="AH920" s="38">
        <v>0.0</v>
      </c>
      <c r="AI920" s="38">
        <v>129276.28</v>
      </c>
      <c r="AJ920" s="38">
        <v>129276.28</v>
      </c>
      <c r="AK920" s="38">
        <v>0.0</v>
      </c>
      <c r="AL920" s="38">
        <v>376.2</v>
      </c>
      <c r="AM920" s="38">
        <v>0.0</v>
      </c>
      <c r="AN920" s="34" t="s">
        <v>62</v>
      </c>
      <c r="AO920" s="34" t="s">
        <v>62</v>
      </c>
      <c r="AP920" s="34" t="s">
        <v>62</v>
      </c>
      <c r="AQ920" s="34" t="s">
        <v>62</v>
      </c>
      <c r="AR920" s="38">
        <v>0.0</v>
      </c>
      <c r="AS920" s="38" t="s">
        <v>3237</v>
      </c>
      <c r="AT920" s="38" t="s">
        <v>2275</v>
      </c>
      <c r="AU920" s="39" t="s">
        <v>2276</v>
      </c>
      <c r="AV920" s="40">
        <v>46163.0</v>
      </c>
    </row>
    <row r="921">
      <c r="A921" s="38">
        <v>515504.0</v>
      </c>
      <c r="B921" s="38">
        <v>462367.0</v>
      </c>
      <c r="C921" s="38">
        <v>492276.0</v>
      </c>
      <c r="D921" s="34" t="s">
        <v>62</v>
      </c>
      <c r="E921" s="34" t="s">
        <v>62</v>
      </c>
      <c r="F921" s="18" t="s">
        <v>1065</v>
      </c>
      <c r="G921" s="18" t="s">
        <v>1066</v>
      </c>
      <c r="H921" s="18" t="s">
        <v>3238</v>
      </c>
      <c r="I921" s="18" t="s">
        <v>991</v>
      </c>
      <c r="J921" s="18" t="s">
        <v>2691</v>
      </c>
      <c r="K921" s="18" t="s">
        <v>2691</v>
      </c>
      <c r="L921" s="18" t="s">
        <v>52</v>
      </c>
      <c r="M921" s="18" t="s">
        <v>89</v>
      </c>
      <c r="N921" s="18" t="s">
        <v>861</v>
      </c>
      <c r="O921" s="18" t="s">
        <v>126</v>
      </c>
      <c r="P921" s="18" t="s">
        <v>56</v>
      </c>
      <c r="Q921" s="18" t="s">
        <v>90</v>
      </c>
      <c r="R921" s="18" t="s">
        <v>143</v>
      </c>
      <c r="S921" s="18" t="s">
        <v>59</v>
      </c>
      <c r="T921" s="38">
        <v>2026.0</v>
      </c>
      <c r="U921" s="38">
        <v>5.0</v>
      </c>
      <c r="V921" s="38">
        <v>1.081523136E9</v>
      </c>
      <c r="W921" s="38">
        <v>1.081541206E9</v>
      </c>
      <c r="X921" s="18" t="s">
        <v>2199</v>
      </c>
      <c r="Y921" s="18" t="s">
        <v>2200</v>
      </c>
      <c r="Z921" s="38">
        <v>142440.59</v>
      </c>
      <c r="AA921" s="38">
        <v>142440.59</v>
      </c>
      <c r="AB921" s="38">
        <v>43092.1</v>
      </c>
      <c r="AC921" s="38">
        <v>253.0</v>
      </c>
      <c r="AD921" s="38">
        <v>13164.31</v>
      </c>
      <c r="AE921" s="38">
        <v>0.0</v>
      </c>
      <c r="AF921" s="38">
        <v>0.0</v>
      </c>
      <c r="AG921" s="38">
        <v>0.0</v>
      </c>
      <c r="AH921" s="38">
        <v>0.0</v>
      </c>
      <c r="AI921" s="38">
        <v>142440.59</v>
      </c>
      <c r="AJ921" s="38">
        <v>1005052.05</v>
      </c>
      <c r="AK921" s="38">
        <v>7.0</v>
      </c>
      <c r="AL921" s="38">
        <v>376.2</v>
      </c>
      <c r="AM921" s="38">
        <v>0.0</v>
      </c>
      <c r="AN921" s="34" t="s">
        <v>62</v>
      </c>
      <c r="AO921" s="34" t="s">
        <v>62</v>
      </c>
      <c r="AP921" s="34" t="s">
        <v>62</v>
      </c>
      <c r="AQ921" s="34" t="s">
        <v>62</v>
      </c>
      <c r="AR921" s="38">
        <v>0.0</v>
      </c>
      <c r="AS921" s="38" t="s">
        <v>3239</v>
      </c>
      <c r="AT921" s="38" t="s">
        <v>2275</v>
      </c>
      <c r="AU921" s="39" t="s">
        <v>2276</v>
      </c>
      <c r="AV921" s="40">
        <v>46163.0</v>
      </c>
    </row>
    <row r="922">
      <c r="A922" s="38">
        <v>464.0</v>
      </c>
      <c r="B922" s="38">
        <v>463.0</v>
      </c>
      <c r="C922" s="38">
        <v>463.0</v>
      </c>
      <c r="D922" s="38">
        <v>9.0257774E7</v>
      </c>
      <c r="E922" s="38">
        <v>9.0257774E7</v>
      </c>
      <c r="F922" s="38">
        <v>8.30037946E8</v>
      </c>
      <c r="G922" s="18" t="s">
        <v>1068</v>
      </c>
      <c r="H922" s="18" t="s">
        <v>3240</v>
      </c>
      <c r="I922" s="18" t="s">
        <v>982</v>
      </c>
      <c r="J922" s="18" t="s">
        <v>2205</v>
      </c>
      <c r="K922" s="18" t="s">
        <v>2205</v>
      </c>
      <c r="L922" s="18" t="s">
        <v>52</v>
      </c>
      <c r="M922" s="18" t="s">
        <v>89</v>
      </c>
      <c r="N922" s="18" t="s">
        <v>861</v>
      </c>
      <c r="O922" s="18" t="s">
        <v>126</v>
      </c>
      <c r="P922" s="18" t="s">
        <v>131</v>
      </c>
      <c r="Q922" s="18" t="s">
        <v>132</v>
      </c>
      <c r="R922" s="18" t="s">
        <v>133</v>
      </c>
      <c r="S922" s="18" t="s">
        <v>59</v>
      </c>
      <c r="T922" s="38">
        <v>2026.0</v>
      </c>
      <c r="U922" s="38">
        <v>5.0</v>
      </c>
      <c r="V922" s="38">
        <v>1.081522918E9</v>
      </c>
      <c r="W922" s="38">
        <v>1.081540988E9</v>
      </c>
      <c r="X922" s="18" t="s">
        <v>2199</v>
      </c>
      <c r="Y922" s="18" t="s">
        <v>2200</v>
      </c>
      <c r="Z922" s="38">
        <v>113911.5</v>
      </c>
      <c r="AA922" s="38">
        <v>113911.5</v>
      </c>
      <c r="AB922" s="38">
        <v>37970.5</v>
      </c>
      <c r="AC922" s="38">
        <v>0.0</v>
      </c>
      <c r="AD922" s="38">
        <v>0.0</v>
      </c>
      <c r="AE922" s="38">
        <v>0.0</v>
      </c>
      <c r="AF922" s="38">
        <v>0.0</v>
      </c>
      <c r="AG922" s="38">
        <v>0.0</v>
      </c>
      <c r="AH922" s="38">
        <v>0.0</v>
      </c>
      <c r="AI922" s="38">
        <v>113911.5</v>
      </c>
      <c r="AJ922" s="38">
        <v>113911.5</v>
      </c>
      <c r="AK922" s="38">
        <v>0.0</v>
      </c>
      <c r="AL922" s="38">
        <v>376.2</v>
      </c>
      <c r="AM922" s="38">
        <v>0.0</v>
      </c>
      <c r="AN922" s="34" t="s">
        <v>62</v>
      </c>
      <c r="AO922" s="34" t="s">
        <v>62</v>
      </c>
      <c r="AP922" s="34" t="s">
        <v>62</v>
      </c>
      <c r="AQ922" s="34" t="s">
        <v>62</v>
      </c>
      <c r="AR922" s="38">
        <v>0.0</v>
      </c>
      <c r="AS922" s="38" t="s">
        <v>3241</v>
      </c>
      <c r="AT922" s="35" t="s">
        <v>2202</v>
      </c>
      <c r="AU922" s="59" t="s">
        <v>2203</v>
      </c>
      <c r="AV922" s="40">
        <v>46171.0</v>
      </c>
    </row>
    <row r="923">
      <c r="A923" s="38">
        <v>518045.0</v>
      </c>
      <c r="B923" s="38">
        <v>463287.0</v>
      </c>
      <c r="C923" s="38">
        <v>494000.0</v>
      </c>
      <c r="D923" s="34" t="s">
        <v>62</v>
      </c>
      <c r="E923" s="34" t="s">
        <v>62</v>
      </c>
      <c r="F923" s="38">
        <v>1.034304681E9</v>
      </c>
      <c r="G923" s="18" t="s">
        <v>1070</v>
      </c>
      <c r="H923" s="18" t="s">
        <v>3242</v>
      </c>
      <c r="I923" s="18" t="s">
        <v>991</v>
      </c>
      <c r="J923" s="18" t="s">
        <v>2691</v>
      </c>
      <c r="K923" s="18" t="s">
        <v>2691</v>
      </c>
      <c r="L923" s="18" t="s">
        <v>52</v>
      </c>
      <c r="M923" s="18" t="s">
        <v>53</v>
      </c>
      <c r="N923" s="18" t="s">
        <v>861</v>
      </c>
      <c r="O923" s="18" t="s">
        <v>126</v>
      </c>
      <c r="P923" s="18" t="s">
        <v>56</v>
      </c>
      <c r="Q923" s="18" t="s">
        <v>90</v>
      </c>
      <c r="R923" s="18" t="s">
        <v>143</v>
      </c>
      <c r="S923" s="18" t="s">
        <v>59</v>
      </c>
      <c r="T923" s="38">
        <v>2026.0</v>
      </c>
      <c r="U923" s="38">
        <v>5.0</v>
      </c>
      <c r="V923" s="38">
        <v>1.08152314E9</v>
      </c>
      <c r="W923" s="38">
        <v>1.08154121E9</v>
      </c>
      <c r="X923" s="18" t="s">
        <v>2199</v>
      </c>
      <c r="Y923" s="18" t="s">
        <v>2200</v>
      </c>
      <c r="Z923" s="38">
        <v>129276.28</v>
      </c>
      <c r="AA923" s="38">
        <v>129276.28</v>
      </c>
      <c r="AB923" s="38">
        <v>43092.1</v>
      </c>
      <c r="AC923" s="38">
        <v>253.0</v>
      </c>
      <c r="AD923" s="38">
        <v>0.0</v>
      </c>
      <c r="AE923" s="38">
        <v>0.0</v>
      </c>
      <c r="AF923" s="38">
        <v>0.0</v>
      </c>
      <c r="AG923" s="38">
        <v>0.0</v>
      </c>
      <c r="AH923" s="38">
        <v>0.0</v>
      </c>
      <c r="AI923" s="38">
        <v>129276.28</v>
      </c>
      <c r="AJ923" s="38">
        <v>129276.28</v>
      </c>
      <c r="AK923" s="38">
        <v>0.0</v>
      </c>
      <c r="AL923" s="38">
        <v>376.2</v>
      </c>
      <c r="AM923" s="38">
        <v>0.0</v>
      </c>
      <c r="AN923" s="34" t="s">
        <v>62</v>
      </c>
      <c r="AO923" s="34" t="s">
        <v>62</v>
      </c>
      <c r="AP923" s="34" t="s">
        <v>62</v>
      </c>
      <c r="AQ923" s="34" t="s">
        <v>62</v>
      </c>
      <c r="AR923" s="38">
        <v>0.0</v>
      </c>
      <c r="AS923" s="38" t="s">
        <v>3243</v>
      </c>
      <c r="AT923" s="38" t="s">
        <v>2275</v>
      </c>
      <c r="AU923" s="39" t="s">
        <v>2276</v>
      </c>
      <c r="AV923" s="40">
        <v>46163.0</v>
      </c>
    </row>
    <row r="924">
      <c r="A924" s="38">
        <v>699.0</v>
      </c>
      <c r="B924" s="38">
        <v>463835.0</v>
      </c>
      <c r="C924" s="38">
        <v>494832.0</v>
      </c>
      <c r="D924" s="38">
        <v>1108451.0</v>
      </c>
      <c r="E924" s="38">
        <v>1108451.0</v>
      </c>
      <c r="F924" s="38">
        <v>9.00480569E8</v>
      </c>
      <c r="G924" s="18" t="s">
        <v>141</v>
      </c>
      <c r="H924" s="18" t="s">
        <v>2255</v>
      </c>
      <c r="I924" s="18" t="s">
        <v>877</v>
      </c>
      <c r="J924" s="18" t="s">
        <v>2205</v>
      </c>
      <c r="K924" s="18" t="s">
        <v>2256</v>
      </c>
      <c r="L924" s="18" t="s">
        <v>52</v>
      </c>
      <c r="M924" s="18" t="s">
        <v>53</v>
      </c>
      <c r="N924" s="18" t="s">
        <v>861</v>
      </c>
      <c r="O924" s="18" t="s">
        <v>126</v>
      </c>
      <c r="P924" s="18" t="s">
        <v>56</v>
      </c>
      <c r="Q924" s="18" t="s">
        <v>90</v>
      </c>
      <c r="R924" s="18" t="s">
        <v>143</v>
      </c>
      <c r="S924" s="18" t="s">
        <v>59</v>
      </c>
      <c r="T924" s="38">
        <v>2026.0</v>
      </c>
      <c r="U924" s="38">
        <v>5.0</v>
      </c>
      <c r="V924" s="38">
        <v>1.081523144E9</v>
      </c>
      <c r="W924" s="38">
        <v>1.081541214E9</v>
      </c>
      <c r="X924" s="18" t="s">
        <v>2199</v>
      </c>
      <c r="Y924" s="18" t="s">
        <v>2200</v>
      </c>
      <c r="Z924" s="38">
        <v>823130.39</v>
      </c>
      <c r="AA924" s="38">
        <v>823130.39</v>
      </c>
      <c r="AB924" s="38">
        <v>274376.8</v>
      </c>
      <c r="AC924" s="38">
        <v>2690.0</v>
      </c>
      <c r="AD924" s="38">
        <v>0.0</v>
      </c>
      <c r="AE924" s="38">
        <v>0.0</v>
      </c>
      <c r="AF924" s="38">
        <v>0.0</v>
      </c>
      <c r="AG924" s="38">
        <v>0.0</v>
      </c>
      <c r="AH924" s="38">
        <v>0.0</v>
      </c>
      <c r="AI924" s="38">
        <v>823130.39</v>
      </c>
      <c r="AJ924" s="38">
        <v>823130.39</v>
      </c>
      <c r="AK924" s="38">
        <v>0.0</v>
      </c>
      <c r="AL924" s="38">
        <v>376.2</v>
      </c>
      <c r="AM924" s="38">
        <v>0.0</v>
      </c>
      <c r="AN924" s="34" t="s">
        <v>62</v>
      </c>
      <c r="AO924" s="34" t="s">
        <v>62</v>
      </c>
      <c r="AP924" s="34" t="s">
        <v>62</v>
      </c>
      <c r="AQ924" s="34" t="s">
        <v>62</v>
      </c>
      <c r="AR924" s="38">
        <v>0.0</v>
      </c>
      <c r="AS924" s="38" t="s">
        <v>2257</v>
      </c>
      <c r="AT924" s="35" t="s">
        <v>2202</v>
      </c>
      <c r="AU924" s="39" t="s">
        <v>2203</v>
      </c>
      <c r="AV924" s="40">
        <v>46163.0</v>
      </c>
    </row>
    <row r="925">
      <c r="A925" s="38">
        <v>341408.0</v>
      </c>
      <c r="B925" s="38">
        <v>470135.0</v>
      </c>
      <c r="C925" s="38">
        <v>505285.0</v>
      </c>
      <c r="D925" s="38">
        <v>1118616.0</v>
      </c>
      <c r="E925" s="38">
        <v>1118616.0</v>
      </c>
      <c r="F925" s="38">
        <v>8.30129327E8</v>
      </c>
      <c r="G925" s="18" t="s">
        <v>978</v>
      </c>
      <c r="H925" s="18" t="s">
        <v>2893</v>
      </c>
      <c r="I925" s="18" t="s">
        <v>1073</v>
      </c>
      <c r="J925" s="18" t="s">
        <v>2205</v>
      </c>
      <c r="K925" s="18" t="s">
        <v>2395</v>
      </c>
      <c r="L925" s="18" t="s">
        <v>52</v>
      </c>
      <c r="M925" s="18" t="s">
        <v>89</v>
      </c>
      <c r="N925" s="18" t="s">
        <v>861</v>
      </c>
      <c r="O925" s="18" t="s">
        <v>126</v>
      </c>
      <c r="P925" s="18" t="s">
        <v>131</v>
      </c>
      <c r="Q925" s="18" t="s">
        <v>132</v>
      </c>
      <c r="R925" s="18" t="s">
        <v>133</v>
      </c>
      <c r="S925" s="18" t="s">
        <v>59</v>
      </c>
      <c r="T925" s="38">
        <v>2026.0</v>
      </c>
      <c r="U925" s="38">
        <v>5.0</v>
      </c>
      <c r="V925" s="38">
        <v>1.081523146E9</v>
      </c>
      <c r="W925" s="38">
        <v>1.081541216E9</v>
      </c>
      <c r="X925" s="18" t="s">
        <v>2199</v>
      </c>
      <c r="Y925" s="18" t="s">
        <v>2200</v>
      </c>
      <c r="Z925" s="38">
        <v>114721.76</v>
      </c>
      <c r="AA925" s="38">
        <v>114721.76</v>
      </c>
      <c r="AB925" s="38">
        <v>37970.5</v>
      </c>
      <c r="AC925" s="38">
        <v>0.0</v>
      </c>
      <c r="AD925" s="38">
        <v>810.26</v>
      </c>
      <c r="AE925" s="38">
        <v>0.0</v>
      </c>
      <c r="AF925" s="38">
        <v>0.0</v>
      </c>
      <c r="AG925" s="38">
        <v>0.0</v>
      </c>
      <c r="AH925" s="38">
        <v>0.0</v>
      </c>
      <c r="AI925" s="38">
        <v>114721.76</v>
      </c>
      <c r="AJ925" s="38">
        <v>227211.59</v>
      </c>
      <c r="AK925" s="38">
        <v>1.0</v>
      </c>
      <c r="AL925" s="38">
        <v>376.2</v>
      </c>
      <c r="AM925" s="38">
        <v>0.0</v>
      </c>
      <c r="AN925" s="34" t="s">
        <v>62</v>
      </c>
      <c r="AO925" s="34" t="s">
        <v>62</v>
      </c>
      <c r="AP925" s="34" t="s">
        <v>62</v>
      </c>
      <c r="AQ925" s="34" t="s">
        <v>62</v>
      </c>
      <c r="AR925" s="38">
        <v>0.0</v>
      </c>
      <c r="AS925" s="38" t="s">
        <v>2396</v>
      </c>
      <c r="AT925" s="35" t="s">
        <v>2202</v>
      </c>
      <c r="AU925" s="39" t="s">
        <v>2203</v>
      </c>
      <c r="AV925" s="40">
        <v>46168.0</v>
      </c>
    </row>
    <row r="926">
      <c r="A926" s="38">
        <v>431.0</v>
      </c>
      <c r="B926" s="38">
        <v>471.0</v>
      </c>
      <c r="C926" s="38">
        <v>471.0</v>
      </c>
      <c r="D926" s="38">
        <v>9.0258443E7</v>
      </c>
      <c r="E926" s="38">
        <v>9.0258443E7</v>
      </c>
      <c r="F926" s="18" t="s">
        <v>620</v>
      </c>
      <c r="G926" s="18" t="s">
        <v>621</v>
      </c>
      <c r="H926" s="18" t="s">
        <v>2482</v>
      </c>
      <c r="I926" s="18" t="s">
        <v>1075</v>
      </c>
      <c r="J926" s="18" t="s">
        <v>2205</v>
      </c>
      <c r="K926" s="18" t="s">
        <v>2483</v>
      </c>
      <c r="L926" s="18" t="s">
        <v>52</v>
      </c>
      <c r="M926" s="18" t="s">
        <v>89</v>
      </c>
      <c r="N926" s="18" t="s">
        <v>861</v>
      </c>
      <c r="O926" s="18" t="s">
        <v>126</v>
      </c>
      <c r="P926" s="18" t="s">
        <v>56</v>
      </c>
      <c r="Q926" s="18" t="s">
        <v>90</v>
      </c>
      <c r="R926" s="18" t="s">
        <v>143</v>
      </c>
      <c r="S926" s="18" t="s">
        <v>59</v>
      </c>
      <c r="T926" s="38">
        <v>2026.0</v>
      </c>
      <c r="U926" s="38">
        <v>5.0</v>
      </c>
      <c r="V926" s="38">
        <v>1.081522921E9</v>
      </c>
      <c r="W926" s="38">
        <v>1.081540991E9</v>
      </c>
      <c r="X926" s="18" t="s">
        <v>2199</v>
      </c>
      <c r="Y926" s="18" t="s">
        <v>2200</v>
      </c>
      <c r="Z926" s="38">
        <v>177735.14</v>
      </c>
      <c r="AA926" s="38">
        <v>177735.14</v>
      </c>
      <c r="AB926" s="38">
        <v>58941.31</v>
      </c>
      <c r="AC926" s="38">
        <v>420.0</v>
      </c>
      <c r="AD926" s="38">
        <v>911.21</v>
      </c>
      <c r="AE926" s="38">
        <v>0.0</v>
      </c>
      <c r="AF926" s="38">
        <v>0.0</v>
      </c>
      <c r="AG926" s="38">
        <v>0.0</v>
      </c>
      <c r="AH926" s="38">
        <v>0.0</v>
      </c>
      <c r="AI926" s="38">
        <v>177735.03</v>
      </c>
      <c r="AJ926" s="38">
        <v>177735.03</v>
      </c>
      <c r="AK926" s="38">
        <v>0.0</v>
      </c>
      <c r="AL926" s="38">
        <v>376.2</v>
      </c>
      <c r="AM926" s="38">
        <v>0.0</v>
      </c>
      <c r="AN926" s="34" t="s">
        <v>62</v>
      </c>
      <c r="AO926" s="34" t="s">
        <v>62</v>
      </c>
      <c r="AP926" s="38">
        <v>0.11</v>
      </c>
      <c r="AQ926" s="34" t="s">
        <v>62</v>
      </c>
      <c r="AR926" s="38">
        <v>0.0</v>
      </c>
      <c r="AS926" s="38" t="s">
        <v>2484</v>
      </c>
      <c r="AT926" s="35" t="s">
        <v>2202</v>
      </c>
      <c r="AU926" s="39" t="s">
        <v>2203</v>
      </c>
      <c r="AV926" s="40">
        <v>46163.0</v>
      </c>
    </row>
    <row r="927">
      <c r="A927" s="38">
        <v>341408.0</v>
      </c>
      <c r="B927" s="38">
        <v>471411.0</v>
      </c>
      <c r="C927" s="38">
        <v>508214.0</v>
      </c>
      <c r="D927" s="38">
        <v>1123202.0</v>
      </c>
      <c r="E927" s="38">
        <v>1123202.0</v>
      </c>
      <c r="F927" s="38">
        <v>8.30129327E8</v>
      </c>
      <c r="G927" s="18" t="s">
        <v>978</v>
      </c>
      <c r="H927" s="18" t="s">
        <v>2893</v>
      </c>
      <c r="I927" s="18" t="s">
        <v>1000</v>
      </c>
      <c r="J927" s="18" t="s">
        <v>2205</v>
      </c>
      <c r="K927" s="18" t="s">
        <v>2395</v>
      </c>
      <c r="L927" s="18" t="s">
        <v>52</v>
      </c>
      <c r="M927" s="18" t="s">
        <v>89</v>
      </c>
      <c r="N927" s="18" t="s">
        <v>861</v>
      </c>
      <c r="O927" s="18" t="s">
        <v>126</v>
      </c>
      <c r="P927" s="18" t="s">
        <v>131</v>
      </c>
      <c r="Q927" s="18" t="s">
        <v>132</v>
      </c>
      <c r="R927" s="18" t="s">
        <v>133</v>
      </c>
      <c r="S927" s="18" t="s">
        <v>59</v>
      </c>
      <c r="T927" s="38">
        <v>2026.0</v>
      </c>
      <c r="U927" s="38">
        <v>5.0</v>
      </c>
      <c r="V927" s="38">
        <v>1.08152315E9</v>
      </c>
      <c r="W927" s="38">
        <v>1.08154122E9</v>
      </c>
      <c r="X927" s="18" t="s">
        <v>2199</v>
      </c>
      <c r="Y927" s="18" t="s">
        <v>2200</v>
      </c>
      <c r="Z927" s="38">
        <v>114721.76</v>
      </c>
      <c r="AA927" s="38">
        <v>114721.76</v>
      </c>
      <c r="AB927" s="38">
        <v>37970.5</v>
      </c>
      <c r="AC927" s="38">
        <v>0.0</v>
      </c>
      <c r="AD927" s="38">
        <v>810.26</v>
      </c>
      <c r="AE927" s="38">
        <v>0.0</v>
      </c>
      <c r="AF927" s="38">
        <v>0.0</v>
      </c>
      <c r="AG927" s="38">
        <v>0.0</v>
      </c>
      <c r="AH927" s="38">
        <v>0.0</v>
      </c>
      <c r="AI927" s="38">
        <v>114721.76</v>
      </c>
      <c r="AJ927" s="38">
        <v>227211.59</v>
      </c>
      <c r="AK927" s="38">
        <v>1.0</v>
      </c>
      <c r="AL927" s="38">
        <v>376.2</v>
      </c>
      <c r="AM927" s="38">
        <v>0.0</v>
      </c>
      <c r="AN927" s="34" t="s">
        <v>62</v>
      </c>
      <c r="AO927" s="34" t="s">
        <v>62</v>
      </c>
      <c r="AP927" s="34" t="s">
        <v>62</v>
      </c>
      <c r="AQ927" s="34" t="s">
        <v>62</v>
      </c>
      <c r="AR927" s="38">
        <v>0.0</v>
      </c>
      <c r="AS927" s="38" t="s">
        <v>2396</v>
      </c>
      <c r="AT927" s="35" t="s">
        <v>2202</v>
      </c>
      <c r="AU927" s="39" t="s">
        <v>2203</v>
      </c>
      <c r="AV927" s="40">
        <v>46168.0</v>
      </c>
    </row>
    <row r="928">
      <c r="A928" s="38">
        <v>550244.0</v>
      </c>
      <c r="B928" s="38">
        <v>475999.0</v>
      </c>
      <c r="C928" s="38">
        <v>516688.0</v>
      </c>
      <c r="D928" s="38">
        <v>1140408.0</v>
      </c>
      <c r="E928" s="38">
        <v>1140408.0</v>
      </c>
      <c r="F928" s="18" t="s">
        <v>1078</v>
      </c>
      <c r="G928" s="18" t="s">
        <v>1079</v>
      </c>
      <c r="H928" s="18" t="s">
        <v>3244</v>
      </c>
      <c r="I928" s="18" t="s">
        <v>942</v>
      </c>
      <c r="J928" s="18" t="s">
        <v>2205</v>
      </c>
      <c r="K928" s="18" t="s">
        <v>1079</v>
      </c>
      <c r="L928" s="18" t="s">
        <v>52</v>
      </c>
      <c r="M928" s="18" t="s">
        <v>89</v>
      </c>
      <c r="N928" s="18" t="s">
        <v>861</v>
      </c>
      <c r="O928" s="18" t="s">
        <v>126</v>
      </c>
      <c r="P928" s="18" t="s">
        <v>131</v>
      </c>
      <c r="Q928" s="18" t="s">
        <v>538</v>
      </c>
      <c r="R928" s="18" t="s">
        <v>133</v>
      </c>
      <c r="S928" s="18" t="s">
        <v>59</v>
      </c>
      <c r="T928" s="38">
        <v>2026.0</v>
      </c>
      <c r="U928" s="38">
        <v>5.0</v>
      </c>
      <c r="V928" s="38">
        <v>1.081523154E9</v>
      </c>
      <c r="W928" s="38">
        <v>1.081541224E9</v>
      </c>
      <c r="X928" s="18" t="s">
        <v>2199</v>
      </c>
      <c r="Y928" s="18" t="s">
        <v>2200</v>
      </c>
      <c r="Z928" s="38">
        <v>101204.38</v>
      </c>
      <c r="AA928" s="38">
        <v>101204.38</v>
      </c>
      <c r="AB928" s="38">
        <v>31676.0</v>
      </c>
      <c r="AC928" s="38">
        <v>0.0</v>
      </c>
      <c r="AD928" s="38">
        <v>6176.38</v>
      </c>
      <c r="AE928" s="38">
        <v>0.0</v>
      </c>
      <c r="AF928" s="38">
        <v>0.0</v>
      </c>
      <c r="AG928" s="38">
        <v>0.0</v>
      </c>
      <c r="AH928" s="38">
        <v>0.0</v>
      </c>
      <c r="AI928" s="38">
        <v>101204.38</v>
      </c>
      <c r="AJ928" s="38">
        <v>540971.04</v>
      </c>
      <c r="AK928" s="38">
        <v>5.0</v>
      </c>
      <c r="AL928" s="38">
        <v>376.2</v>
      </c>
      <c r="AM928" s="38">
        <v>0.0</v>
      </c>
      <c r="AN928" s="34" t="s">
        <v>62</v>
      </c>
      <c r="AO928" s="34" t="s">
        <v>62</v>
      </c>
      <c r="AP928" s="34" t="s">
        <v>62</v>
      </c>
      <c r="AQ928" s="34" t="s">
        <v>62</v>
      </c>
      <c r="AR928" s="38">
        <v>0.0</v>
      </c>
      <c r="AS928" s="38" t="s">
        <v>2913</v>
      </c>
      <c r="AT928" s="35" t="s">
        <v>2202</v>
      </c>
      <c r="AU928" s="39" t="s">
        <v>2203</v>
      </c>
      <c r="AV928" s="40">
        <v>46164.0</v>
      </c>
    </row>
    <row r="929">
      <c r="A929" s="38">
        <v>562694.0</v>
      </c>
      <c r="B929" s="38">
        <v>481223.0</v>
      </c>
      <c r="C929" s="38">
        <v>526035.0</v>
      </c>
      <c r="D929" s="34" t="s">
        <v>62</v>
      </c>
      <c r="E929" s="34" t="s">
        <v>62</v>
      </c>
      <c r="F929" s="18" t="s">
        <v>1082</v>
      </c>
      <c r="G929" s="18" t="s">
        <v>1083</v>
      </c>
      <c r="H929" s="18" t="s">
        <v>3245</v>
      </c>
      <c r="I929" s="18" t="s">
        <v>991</v>
      </c>
      <c r="J929" s="18" t="s">
        <v>2691</v>
      </c>
      <c r="K929" s="18" t="s">
        <v>2691</v>
      </c>
      <c r="L929" s="18" t="s">
        <v>52</v>
      </c>
      <c r="M929" s="18" t="s">
        <v>89</v>
      </c>
      <c r="N929" s="18" t="s">
        <v>861</v>
      </c>
      <c r="O929" s="18" t="s">
        <v>126</v>
      </c>
      <c r="P929" s="18" t="s">
        <v>56</v>
      </c>
      <c r="Q929" s="18" t="s">
        <v>90</v>
      </c>
      <c r="R929" s="18" t="s">
        <v>143</v>
      </c>
      <c r="S929" s="18" t="s">
        <v>59</v>
      </c>
      <c r="T929" s="38">
        <v>2026.0</v>
      </c>
      <c r="U929" s="38">
        <v>5.0</v>
      </c>
      <c r="V929" s="38">
        <v>1.08152316E9</v>
      </c>
      <c r="W929" s="38">
        <v>1.08154123E9</v>
      </c>
      <c r="X929" s="18" t="s">
        <v>2199</v>
      </c>
      <c r="Y929" s="18" t="s">
        <v>2200</v>
      </c>
      <c r="Z929" s="38">
        <v>129276.28</v>
      </c>
      <c r="AA929" s="38">
        <v>129276.28</v>
      </c>
      <c r="AB929" s="38">
        <v>43092.1</v>
      </c>
      <c r="AC929" s="38">
        <v>253.0</v>
      </c>
      <c r="AD929" s="38">
        <v>0.0</v>
      </c>
      <c r="AE929" s="38">
        <v>0.0</v>
      </c>
      <c r="AF929" s="38">
        <v>0.0</v>
      </c>
      <c r="AG929" s="38">
        <v>0.0</v>
      </c>
      <c r="AH929" s="38">
        <v>0.0</v>
      </c>
      <c r="AI929" s="38">
        <v>129276.28</v>
      </c>
      <c r="AJ929" s="38">
        <v>129276.28</v>
      </c>
      <c r="AK929" s="38">
        <v>0.0</v>
      </c>
      <c r="AL929" s="38">
        <v>376.2</v>
      </c>
      <c r="AM929" s="38">
        <v>0.0</v>
      </c>
      <c r="AN929" s="34" t="s">
        <v>62</v>
      </c>
      <c r="AO929" s="34" t="s">
        <v>62</v>
      </c>
      <c r="AP929" s="34" t="s">
        <v>62</v>
      </c>
      <c r="AQ929" s="34" t="s">
        <v>62</v>
      </c>
      <c r="AR929" s="38">
        <v>0.0</v>
      </c>
      <c r="AS929" s="38" t="s">
        <v>2701</v>
      </c>
      <c r="AT929" s="38" t="s">
        <v>2275</v>
      </c>
      <c r="AU929" s="39" t="s">
        <v>2276</v>
      </c>
      <c r="AV929" s="40">
        <v>46163.0</v>
      </c>
    </row>
    <row r="930">
      <c r="A930" s="38">
        <v>484.0</v>
      </c>
      <c r="B930" s="38">
        <v>483.0</v>
      </c>
      <c r="C930" s="38">
        <v>483.0</v>
      </c>
      <c r="D930" s="38">
        <v>9.0259607E7</v>
      </c>
      <c r="E930" s="38">
        <v>9.0259607E7</v>
      </c>
      <c r="F930" s="18" t="s">
        <v>1085</v>
      </c>
      <c r="G930" s="18" t="s">
        <v>1086</v>
      </c>
      <c r="H930" s="18" t="s">
        <v>3246</v>
      </c>
      <c r="I930" s="18" t="s">
        <v>863</v>
      </c>
      <c r="J930" s="18" t="s">
        <v>2205</v>
      </c>
      <c r="K930" s="18" t="s">
        <v>2205</v>
      </c>
      <c r="L930" s="18" t="s">
        <v>52</v>
      </c>
      <c r="M930" s="18" t="s">
        <v>89</v>
      </c>
      <c r="N930" s="18" t="s">
        <v>861</v>
      </c>
      <c r="O930" s="18" t="s">
        <v>126</v>
      </c>
      <c r="P930" s="18" t="s">
        <v>56</v>
      </c>
      <c r="Q930" s="18" t="s">
        <v>90</v>
      </c>
      <c r="R930" s="18" t="s">
        <v>58</v>
      </c>
      <c r="S930" s="18" t="s">
        <v>59</v>
      </c>
      <c r="T930" s="38">
        <v>2026.0</v>
      </c>
      <c r="U930" s="38">
        <v>5.0</v>
      </c>
      <c r="V930" s="38">
        <v>1.081522932E9</v>
      </c>
      <c r="W930" s="38">
        <v>1.081541002E9</v>
      </c>
      <c r="X930" s="18" t="s">
        <v>2199</v>
      </c>
      <c r="Y930" s="18" t="s">
        <v>2200</v>
      </c>
      <c r="Z930" s="38">
        <v>2567374.86</v>
      </c>
      <c r="AA930" s="38">
        <v>2567374.86</v>
      </c>
      <c r="AB930" s="38">
        <v>855791.63</v>
      </c>
      <c r="AC930" s="38">
        <v>8816.25</v>
      </c>
      <c r="AD930" s="38">
        <v>0.0</v>
      </c>
      <c r="AE930" s="38">
        <v>0.0</v>
      </c>
      <c r="AF930" s="38">
        <v>0.0</v>
      </c>
      <c r="AG930" s="38">
        <v>0.0</v>
      </c>
      <c r="AH930" s="38">
        <v>0.0</v>
      </c>
      <c r="AI930" s="38">
        <v>2567374.86</v>
      </c>
      <c r="AJ930" s="38">
        <v>2567374.86</v>
      </c>
      <c r="AK930" s="38">
        <v>0.0</v>
      </c>
      <c r="AL930" s="38">
        <v>376.2</v>
      </c>
      <c r="AM930" s="38">
        <v>0.0</v>
      </c>
      <c r="AN930" s="34" t="s">
        <v>62</v>
      </c>
      <c r="AO930" s="34" t="s">
        <v>62</v>
      </c>
      <c r="AP930" s="34" t="s">
        <v>62</v>
      </c>
      <c r="AQ930" s="34" t="s">
        <v>62</v>
      </c>
      <c r="AR930" s="38">
        <v>0.0</v>
      </c>
      <c r="AS930" s="38" t="s">
        <v>3247</v>
      </c>
      <c r="AT930" s="35" t="s">
        <v>2202</v>
      </c>
      <c r="AU930" s="59" t="s">
        <v>2203</v>
      </c>
      <c r="AV930" s="40">
        <v>46171.0</v>
      </c>
    </row>
    <row r="931">
      <c r="A931" s="38">
        <v>492.0</v>
      </c>
      <c r="B931" s="38">
        <v>491.0</v>
      </c>
      <c r="C931" s="38">
        <v>491.0</v>
      </c>
      <c r="D931" s="38">
        <v>9.0265378E7</v>
      </c>
      <c r="E931" s="38">
        <v>9.0265378E7</v>
      </c>
      <c r="F931" s="18" t="s">
        <v>1089</v>
      </c>
      <c r="G931" s="18" t="s">
        <v>1090</v>
      </c>
      <c r="H931" s="18" t="s">
        <v>3248</v>
      </c>
      <c r="I931" s="18" t="s">
        <v>1023</v>
      </c>
      <c r="J931" s="18" t="s">
        <v>2011</v>
      </c>
      <c r="K931" s="18" t="s">
        <v>2205</v>
      </c>
      <c r="L931" s="18" t="s">
        <v>52</v>
      </c>
      <c r="M931" s="18" t="s">
        <v>89</v>
      </c>
      <c r="N931" s="18" t="s">
        <v>861</v>
      </c>
      <c r="O931" s="18" t="s">
        <v>126</v>
      </c>
      <c r="P931" s="18" t="s">
        <v>131</v>
      </c>
      <c r="Q931" s="18" t="s">
        <v>132</v>
      </c>
      <c r="R931" s="18" t="s">
        <v>133</v>
      </c>
      <c r="S931" s="18" t="s">
        <v>59</v>
      </c>
      <c r="T931" s="38">
        <v>2026.0</v>
      </c>
      <c r="U931" s="38">
        <v>5.0</v>
      </c>
      <c r="V931" s="38">
        <v>1.081522936E9</v>
      </c>
      <c r="W931" s="38">
        <v>1.081541006E9</v>
      </c>
      <c r="X931" s="18" t="s">
        <v>2199</v>
      </c>
      <c r="Y931" s="18" t="s">
        <v>2200</v>
      </c>
      <c r="Z931" s="38">
        <v>113911.5</v>
      </c>
      <c r="AA931" s="38">
        <v>113911.5</v>
      </c>
      <c r="AB931" s="38">
        <v>37970.5</v>
      </c>
      <c r="AC931" s="38">
        <v>0.0</v>
      </c>
      <c r="AD931" s="38">
        <v>0.0</v>
      </c>
      <c r="AE931" s="38">
        <v>0.0</v>
      </c>
      <c r="AF931" s="38">
        <v>0.0</v>
      </c>
      <c r="AG931" s="38">
        <v>0.0</v>
      </c>
      <c r="AH931" s="38">
        <v>0.0</v>
      </c>
      <c r="AI931" s="38">
        <v>113911.5</v>
      </c>
      <c r="AJ931" s="38">
        <v>113911.5</v>
      </c>
      <c r="AK931" s="38">
        <v>0.0</v>
      </c>
      <c r="AL931" s="38">
        <v>376.2</v>
      </c>
      <c r="AM931" s="38">
        <v>0.0</v>
      </c>
      <c r="AN931" s="34" t="s">
        <v>62</v>
      </c>
      <c r="AO931" s="34" t="s">
        <v>62</v>
      </c>
      <c r="AP931" s="34" t="s">
        <v>62</v>
      </c>
      <c r="AQ931" s="34" t="s">
        <v>62</v>
      </c>
      <c r="AR931" s="38">
        <v>0.0</v>
      </c>
      <c r="AS931" s="38" t="s">
        <v>3249</v>
      </c>
      <c r="AT931" s="35" t="s">
        <v>2275</v>
      </c>
      <c r="AU931" s="39" t="s">
        <v>3250</v>
      </c>
      <c r="AV931" s="40">
        <v>46163.0</v>
      </c>
    </row>
    <row r="932">
      <c r="A932" s="38">
        <v>699.0</v>
      </c>
      <c r="B932" s="38">
        <v>49151.0</v>
      </c>
      <c r="C932" s="38">
        <v>49151.0</v>
      </c>
      <c r="D932" s="38">
        <v>16845.0</v>
      </c>
      <c r="E932" s="38">
        <v>16845.0</v>
      </c>
      <c r="F932" s="38">
        <v>9.00480569E8</v>
      </c>
      <c r="G932" s="18" t="s">
        <v>141</v>
      </c>
      <c r="H932" s="18" t="s">
        <v>2255</v>
      </c>
      <c r="I932" s="18" t="s">
        <v>343</v>
      </c>
      <c r="J932" s="18" t="s">
        <v>2205</v>
      </c>
      <c r="K932" s="18" t="s">
        <v>2256</v>
      </c>
      <c r="L932" s="18" t="s">
        <v>52</v>
      </c>
      <c r="M932" s="18" t="s">
        <v>53</v>
      </c>
      <c r="N932" s="18" t="s">
        <v>861</v>
      </c>
      <c r="O932" s="18" t="s">
        <v>126</v>
      </c>
      <c r="P932" s="18" t="s">
        <v>131</v>
      </c>
      <c r="Q932" s="18" t="s">
        <v>132</v>
      </c>
      <c r="R932" s="18" t="s">
        <v>133</v>
      </c>
      <c r="S932" s="18" t="s">
        <v>59</v>
      </c>
      <c r="T932" s="38">
        <v>2026.0</v>
      </c>
      <c r="U932" s="38">
        <v>5.0</v>
      </c>
      <c r="V932" s="38">
        <v>1.081523032E9</v>
      </c>
      <c r="W932" s="38">
        <v>1.081541102E9</v>
      </c>
      <c r="X932" s="18" t="s">
        <v>2199</v>
      </c>
      <c r="Y932" s="18" t="s">
        <v>2200</v>
      </c>
      <c r="Z932" s="38">
        <v>114069.51</v>
      </c>
      <c r="AA932" s="38">
        <v>114069.51</v>
      </c>
      <c r="AB932" s="38">
        <v>37970.5</v>
      </c>
      <c r="AC932" s="38">
        <v>0.0</v>
      </c>
      <c r="AD932" s="38">
        <v>158.01</v>
      </c>
      <c r="AE932" s="38">
        <v>0.0</v>
      </c>
      <c r="AF932" s="38">
        <v>0.0</v>
      </c>
      <c r="AG932" s="38">
        <v>0.0</v>
      </c>
      <c r="AH932" s="38">
        <v>0.0</v>
      </c>
      <c r="AI932" s="38">
        <v>114069.51</v>
      </c>
      <c r="AJ932" s="38">
        <v>239930.58</v>
      </c>
      <c r="AK932" s="38">
        <v>2.0</v>
      </c>
      <c r="AL932" s="38">
        <v>376.2</v>
      </c>
      <c r="AM932" s="38">
        <v>0.0</v>
      </c>
      <c r="AN932" s="34" t="s">
        <v>62</v>
      </c>
      <c r="AO932" s="34" t="s">
        <v>62</v>
      </c>
      <c r="AP932" s="34" t="s">
        <v>62</v>
      </c>
      <c r="AQ932" s="34" t="s">
        <v>62</v>
      </c>
      <c r="AR932" s="38">
        <v>0.0</v>
      </c>
      <c r="AS932" s="38" t="s">
        <v>2257</v>
      </c>
      <c r="AT932" s="35" t="s">
        <v>2202</v>
      </c>
      <c r="AU932" s="39" t="s">
        <v>2203</v>
      </c>
      <c r="AV932" s="40">
        <v>46163.0</v>
      </c>
    </row>
    <row r="933">
      <c r="A933" s="38">
        <v>49768.0</v>
      </c>
      <c r="B933" s="38">
        <v>49767.0</v>
      </c>
      <c r="C933" s="38">
        <v>49767.0</v>
      </c>
      <c r="D933" s="38">
        <v>19103.0</v>
      </c>
      <c r="E933" s="38">
        <v>19103.0</v>
      </c>
      <c r="F933" s="38">
        <v>9.01502579E8</v>
      </c>
      <c r="G933" s="18" t="s">
        <v>1092</v>
      </c>
      <c r="H933" s="18" t="s">
        <v>3251</v>
      </c>
      <c r="I933" s="18" t="s">
        <v>1093</v>
      </c>
      <c r="J933" s="18" t="s">
        <v>2205</v>
      </c>
      <c r="K933" s="18" t="s">
        <v>2205</v>
      </c>
      <c r="L933" s="18" t="s">
        <v>52</v>
      </c>
      <c r="M933" s="18" t="s">
        <v>89</v>
      </c>
      <c r="N933" s="18" t="s">
        <v>861</v>
      </c>
      <c r="O933" s="18" t="s">
        <v>126</v>
      </c>
      <c r="P933" s="18" t="s">
        <v>131</v>
      </c>
      <c r="Q933" s="18" t="s">
        <v>132</v>
      </c>
      <c r="R933" s="18" t="s">
        <v>133</v>
      </c>
      <c r="S933" s="18" t="s">
        <v>59</v>
      </c>
      <c r="T933" s="38">
        <v>2026.0</v>
      </c>
      <c r="U933" s="38">
        <v>5.0</v>
      </c>
      <c r="V933" s="38">
        <v>1.081523035E9</v>
      </c>
      <c r="W933" s="38">
        <v>1.081541105E9</v>
      </c>
      <c r="X933" s="18" t="s">
        <v>2199</v>
      </c>
      <c r="Y933" s="18" t="s">
        <v>2200</v>
      </c>
      <c r="Z933" s="38">
        <v>113911.5</v>
      </c>
      <c r="AA933" s="38">
        <v>113911.5</v>
      </c>
      <c r="AB933" s="38">
        <v>37970.5</v>
      </c>
      <c r="AC933" s="38">
        <v>0.0</v>
      </c>
      <c r="AD933" s="38">
        <v>0.0</v>
      </c>
      <c r="AE933" s="38">
        <v>0.0</v>
      </c>
      <c r="AF933" s="38">
        <v>0.0</v>
      </c>
      <c r="AG933" s="38">
        <v>0.0</v>
      </c>
      <c r="AH933" s="38">
        <v>0.0</v>
      </c>
      <c r="AI933" s="38">
        <v>113911.5</v>
      </c>
      <c r="AJ933" s="38">
        <v>113911.5</v>
      </c>
      <c r="AK933" s="38">
        <v>0.0</v>
      </c>
      <c r="AL933" s="38">
        <v>376.2</v>
      </c>
      <c r="AM933" s="38">
        <v>0.0</v>
      </c>
      <c r="AN933" s="34" t="s">
        <v>62</v>
      </c>
      <c r="AO933" s="34" t="s">
        <v>62</v>
      </c>
      <c r="AP933" s="34" t="s">
        <v>62</v>
      </c>
      <c r="AQ933" s="34" t="s">
        <v>62</v>
      </c>
      <c r="AR933" s="38">
        <v>0.0</v>
      </c>
      <c r="AS933" s="38" t="s">
        <v>3252</v>
      </c>
      <c r="AT933" s="35" t="s">
        <v>2202</v>
      </c>
      <c r="AU933" s="59" t="s">
        <v>2203</v>
      </c>
      <c r="AV933" s="40">
        <v>46171.0</v>
      </c>
    </row>
    <row r="934">
      <c r="A934" s="38">
        <v>593608.0</v>
      </c>
      <c r="B934" s="38">
        <v>497855.0</v>
      </c>
      <c r="C934" s="38">
        <v>550414.0</v>
      </c>
      <c r="D934" s="34" t="s">
        <v>62</v>
      </c>
      <c r="E934" s="34" t="s">
        <v>62</v>
      </c>
      <c r="F934" s="38">
        <v>8.00149695E8</v>
      </c>
      <c r="G934" s="18" t="s">
        <v>1095</v>
      </c>
      <c r="H934" s="18" t="s">
        <v>3253</v>
      </c>
      <c r="I934" s="18" t="s">
        <v>991</v>
      </c>
      <c r="J934" s="18" t="s">
        <v>2691</v>
      </c>
      <c r="K934" s="18" t="s">
        <v>2691</v>
      </c>
      <c r="L934" s="18" t="s">
        <v>52</v>
      </c>
      <c r="M934" s="18" t="s">
        <v>53</v>
      </c>
      <c r="N934" s="18" t="s">
        <v>861</v>
      </c>
      <c r="O934" s="18" t="s">
        <v>126</v>
      </c>
      <c r="P934" s="18" t="s">
        <v>131</v>
      </c>
      <c r="Q934" s="18" t="s">
        <v>363</v>
      </c>
      <c r="R934" s="18" t="s">
        <v>133</v>
      </c>
      <c r="S934" s="18" t="s">
        <v>59</v>
      </c>
      <c r="T934" s="38">
        <v>2026.0</v>
      </c>
      <c r="U934" s="38">
        <v>5.0</v>
      </c>
      <c r="V934" s="38">
        <v>1.081523164E9</v>
      </c>
      <c r="W934" s="38">
        <v>1.081541234E9</v>
      </c>
      <c r="X934" s="18" t="s">
        <v>2199</v>
      </c>
      <c r="Y934" s="18" t="s">
        <v>2200</v>
      </c>
      <c r="Z934" s="38">
        <v>80290.39</v>
      </c>
      <c r="AA934" s="38">
        <v>80290.39</v>
      </c>
      <c r="AB934" s="38">
        <v>25380.5</v>
      </c>
      <c r="AC934" s="38">
        <v>0.0</v>
      </c>
      <c r="AD934" s="38">
        <v>4148.89</v>
      </c>
      <c r="AE934" s="38">
        <v>0.0</v>
      </c>
      <c r="AF934" s="38">
        <v>0.0</v>
      </c>
      <c r="AG934" s="38">
        <v>0.0</v>
      </c>
      <c r="AH934" s="38">
        <v>0.0</v>
      </c>
      <c r="AI934" s="38">
        <v>80290.39</v>
      </c>
      <c r="AJ934" s="38">
        <v>80290.39</v>
      </c>
      <c r="AK934" s="38">
        <v>0.0</v>
      </c>
      <c r="AL934" s="38">
        <v>376.2</v>
      </c>
      <c r="AM934" s="38">
        <v>0.0</v>
      </c>
      <c r="AN934" s="34" t="s">
        <v>62</v>
      </c>
      <c r="AO934" s="34" t="s">
        <v>62</v>
      </c>
      <c r="AP934" s="34" t="s">
        <v>62</v>
      </c>
      <c r="AQ934" s="34" t="s">
        <v>62</v>
      </c>
      <c r="AR934" s="38">
        <v>0.0</v>
      </c>
      <c r="AS934" s="38" t="s">
        <v>3254</v>
      </c>
      <c r="AT934" s="38" t="s">
        <v>2275</v>
      </c>
      <c r="AU934" s="39" t="s">
        <v>2276</v>
      </c>
      <c r="AV934" s="40">
        <v>46163.0</v>
      </c>
    </row>
    <row r="935">
      <c r="A935" s="38">
        <v>593985.0</v>
      </c>
      <c r="B935" s="38">
        <v>497911.0</v>
      </c>
      <c r="C935" s="38">
        <v>550655.0</v>
      </c>
      <c r="D935" s="34" t="s">
        <v>62</v>
      </c>
      <c r="E935" s="34" t="s">
        <v>62</v>
      </c>
      <c r="F935" s="18" t="s">
        <v>1097</v>
      </c>
      <c r="G935" s="18" t="s">
        <v>1098</v>
      </c>
      <c r="H935" s="18" t="s">
        <v>3255</v>
      </c>
      <c r="I935" s="38">
        <v>0.0</v>
      </c>
      <c r="J935" s="18" t="s">
        <v>2691</v>
      </c>
      <c r="K935" s="18" t="s">
        <v>2691</v>
      </c>
      <c r="L935" s="18" t="s">
        <v>52</v>
      </c>
      <c r="M935" s="18" t="s">
        <v>89</v>
      </c>
      <c r="N935" s="18" t="s">
        <v>861</v>
      </c>
      <c r="O935" s="18" t="s">
        <v>126</v>
      </c>
      <c r="P935" s="18" t="s">
        <v>131</v>
      </c>
      <c r="Q935" s="18" t="s">
        <v>363</v>
      </c>
      <c r="R935" s="18" t="s">
        <v>143</v>
      </c>
      <c r="S935" s="18" t="s">
        <v>59</v>
      </c>
      <c r="T935" s="38">
        <v>2026.0</v>
      </c>
      <c r="U935" s="38">
        <v>5.0</v>
      </c>
      <c r="V935" s="38">
        <v>1.081523169E9</v>
      </c>
      <c r="W935" s="38">
        <v>1.081541239E9</v>
      </c>
      <c r="X935" s="18" t="s">
        <v>2199</v>
      </c>
      <c r="Y935" s="18" t="s">
        <v>2200</v>
      </c>
      <c r="Z935" s="38">
        <v>129276.28</v>
      </c>
      <c r="AA935" s="38">
        <v>129276.28</v>
      </c>
      <c r="AB935" s="38">
        <v>43092.1</v>
      </c>
      <c r="AC935" s="38">
        <v>253.0</v>
      </c>
      <c r="AD935" s="38">
        <v>0.0</v>
      </c>
      <c r="AE935" s="38">
        <v>0.0</v>
      </c>
      <c r="AF935" s="38">
        <v>0.0</v>
      </c>
      <c r="AG935" s="38">
        <v>0.0</v>
      </c>
      <c r="AH935" s="38">
        <v>0.0</v>
      </c>
      <c r="AI935" s="38">
        <v>129276.28</v>
      </c>
      <c r="AJ935" s="38">
        <v>256698.31</v>
      </c>
      <c r="AK935" s="38">
        <v>1.0</v>
      </c>
      <c r="AL935" s="38">
        <v>376.2</v>
      </c>
      <c r="AM935" s="38">
        <v>0.0</v>
      </c>
      <c r="AN935" s="34" t="s">
        <v>62</v>
      </c>
      <c r="AO935" s="34" t="s">
        <v>62</v>
      </c>
      <c r="AP935" s="34" t="s">
        <v>62</v>
      </c>
      <c r="AQ935" s="34" t="s">
        <v>62</v>
      </c>
      <c r="AR935" s="38">
        <v>0.0</v>
      </c>
      <c r="AS935" s="38" t="s">
        <v>3256</v>
      </c>
      <c r="AT935" s="38" t="s">
        <v>2275</v>
      </c>
      <c r="AU935" s="39" t="s">
        <v>2276</v>
      </c>
      <c r="AV935" s="40">
        <v>46163.0</v>
      </c>
    </row>
    <row r="936">
      <c r="A936" s="38">
        <v>594066.0</v>
      </c>
      <c r="B936" s="38">
        <v>497919.0</v>
      </c>
      <c r="C936" s="38">
        <v>550704.0</v>
      </c>
      <c r="D936" s="34" t="s">
        <v>62</v>
      </c>
      <c r="E936" s="34" t="s">
        <v>62</v>
      </c>
      <c r="F936" s="38">
        <v>9.00611019E8</v>
      </c>
      <c r="G936" s="18" t="s">
        <v>1100</v>
      </c>
      <c r="H936" s="18" t="s">
        <v>3257</v>
      </c>
      <c r="I936" s="18" t="s">
        <v>991</v>
      </c>
      <c r="J936" s="18" t="s">
        <v>2691</v>
      </c>
      <c r="K936" s="18" t="s">
        <v>2691</v>
      </c>
      <c r="L936" s="18" t="s">
        <v>52</v>
      </c>
      <c r="M936" s="18" t="s">
        <v>89</v>
      </c>
      <c r="N936" s="18" t="s">
        <v>861</v>
      </c>
      <c r="O936" s="18" t="s">
        <v>126</v>
      </c>
      <c r="P936" s="18" t="s">
        <v>131</v>
      </c>
      <c r="Q936" s="18" t="s">
        <v>363</v>
      </c>
      <c r="R936" s="18" t="s">
        <v>133</v>
      </c>
      <c r="S936" s="18" t="s">
        <v>59</v>
      </c>
      <c r="T936" s="38">
        <v>2026.0</v>
      </c>
      <c r="U936" s="38">
        <v>5.0</v>
      </c>
      <c r="V936" s="38">
        <v>1.081523174E9</v>
      </c>
      <c r="W936" s="38">
        <v>1.081541244E9</v>
      </c>
      <c r="X936" s="18" t="s">
        <v>2199</v>
      </c>
      <c r="Y936" s="18" t="s">
        <v>2200</v>
      </c>
      <c r="Z936" s="38">
        <v>79722.2</v>
      </c>
      <c r="AA936" s="38">
        <v>79722.2</v>
      </c>
      <c r="AB936" s="38">
        <v>25380.5</v>
      </c>
      <c r="AC936" s="38">
        <v>0.0</v>
      </c>
      <c r="AD936" s="38">
        <v>3580.7</v>
      </c>
      <c r="AE936" s="38">
        <v>0.0</v>
      </c>
      <c r="AF936" s="38">
        <v>0.0</v>
      </c>
      <c r="AG936" s="38">
        <v>0.0</v>
      </c>
      <c r="AH936" s="38">
        <v>0.0</v>
      </c>
      <c r="AI936" s="38">
        <v>79722.2</v>
      </c>
      <c r="AJ936" s="38">
        <v>364232.85</v>
      </c>
      <c r="AK936" s="38">
        <v>5.0</v>
      </c>
      <c r="AL936" s="38">
        <v>376.2</v>
      </c>
      <c r="AM936" s="38">
        <v>0.0</v>
      </c>
      <c r="AN936" s="34" t="s">
        <v>62</v>
      </c>
      <c r="AO936" s="34" t="s">
        <v>62</v>
      </c>
      <c r="AP936" s="34" t="s">
        <v>62</v>
      </c>
      <c r="AQ936" s="34" t="s">
        <v>62</v>
      </c>
      <c r="AR936" s="38">
        <v>0.0</v>
      </c>
      <c r="AS936" s="38" t="s">
        <v>3258</v>
      </c>
      <c r="AT936" s="38" t="s">
        <v>2275</v>
      </c>
      <c r="AU936" s="39" t="s">
        <v>2276</v>
      </c>
      <c r="AV936" s="40">
        <v>46163.0</v>
      </c>
    </row>
    <row r="937">
      <c r="A937" s="38">
        <v>504.0</v>
      </c>
      <c r="B937" s="38">
        <v>503.0</v>
      </c>
      <c r="C937" s="38">
        <v>503.0</v>
      </c>
      <c r="D937" s="38">
        <v>9.0268039E7</v>
      </c>
      <c r="E937" s="38">
        <v>9.0268039E7</v>
      </c>
      <c r="F937" s="18" t="s">
        <v>1102</v>
      </c>
      <c r="G937" s="18" t="s">
        <v>1103</v>
      </c>
      <c r="H937" s="18" t="s">
        <v>3259</v>
      </c>
      <c r="I937" s="18" t="s">
        <v>443</v>
      </c>
      <c r="J937" s="18" t="s">
        <v>2205</v>
      </c>
      <c r="K937" s="18" t="s">
        <v>2205</v>
      </c>
      <c r="L937" s="18" t="s">
        <v>52</v>
      </c>
      <c r="M937" s="18" t="s">
        <v>89</v>
      </c>
      <c r="N937" s="18" t="s">
        <v>861</v>
      </c>
      <c r="O937" s="18" t="s">
        <v>126</v>
      </c>
      <c r="P937" s="18" t="s">
        <v>131</v>
      </c>
      <c r="Q937" s="18" t="s">
        <v>132</v>
      </c>
      <c r="R937" s="18" t="s">
        <v>133</v>
      </c>
      <c r="S937" s="18" t="s">
        <v>59</v>
      </c>
      <c r="T937" s="38">
        <v>2026.0</v>
      </c>
      <c r="U937" s="38">
        <v>5.0</v>
      </c>
      <c r="V937" s="38">
        <v>1.081522939E9</v>
      </c>
      <c r="W937" s="38">
        <v>1.081541009E9</v>
      </c>
      <c r="X937" s="18" t="s">
        <v>2199</v>
      </c>
      <c r="Y937" s="18" t="s">
        <v>2200</v>
      </c>
      <c r="Z937" s="38">
        <v>113911.5</v>
      </c>
      <c r="AA937" s="38">
        <v>113911.5</v>
      </c>
      <c r="AB937" s="38">
        <v>37970.5</v>
      </c>
      <c r="AC937" s="38">
        <v>0.0</v>
      </c>
      <c r="AD937" s="38">
        <v>0.0</v>
      </c>
      <c r="AE937" s="38">
        <v>0.0</v>
      </c>
      <c r="AF937" s="38">
        <v>0.0</v>
      </c>
      <c r="AG937" s="38">
        <v>0.0</v>
      </c>
      <c r="AH937" s="38">
        <v>0.0</v>
      </c>
      <c r="AI937" s="38">
        <v>113911.5</v>
      </c>
      <c r="AJ937" s="38">
        <v>113911.5</v>
      </c>
      <c r="AK937" s="38">
        <v>0.0</v>
      </c>
      <c r="AL937" s="38">
        <v>376.2</v>
      </c>
      <c r="AM937" s="38">
        <v>0.0</v>
      </c>
      <c r="AN937" s="34" t="s">
        <v>62</v>
      </c>
      <c r="AO937" s="34" t="s">
        <v>62</v>
      </c>
      <c r="AP937" s="34" t="s">
        <v>62</v>
      </c>
      <c r="AQ937" s="34" t="s">
        <v>62</v>
      </c>
      <c r="AR937" s="38">
        <v>0.0</v>
      </c>
      <c r="AS937" s="38" t="s">
        <v>3260</v>
      </c>
      <c r="AT937" s="35" t="s">
        <v>2202</v>
      </c>
      <c r="AU937" s="39" t="s">
        <v>2203</v>
      </c>
      <c r="AV937" s="40">
        <v>46171.0</v>
      </c>
    </row>
    <row r="938">
      <c r="A938" s="38">
        <v>52440.0</v>
      </c>
      <c r="B938" s="38">
        <v>52439.0</v>
      </c>
      <c r="C938" s="38">
        <v>52439.0</v>
      </c>
      <c r="D938" s="38">
        <v>103170.0</v>
      </c>
      <c r="E938" s="38">
        <v>103170.0</v>
      </c>
      <c r="F938" s="18" t="s">
        <v>1105</v>
      </c>
      <c r="G938" s="18" t="s">
        <v>1106</v>
      </c>
      <c r="H938" s="18" t="s">
        <v>3261</v>
      </c>
      <c r="I938" s="18" t="s">
        <v>640</v>
      </c>
      <c r="J938" s="18" t="s">
        <v>2205</v>
      </c>
      <c r="K938" s="18" t="s">
        <v>2270</v>
      </c>
      <c r="L938" s="18" t="s">
        <v>52</v>
      </c>
      <c r="M938" s="18" t="s">
        <v>89</v>
      </c>
      <c r="N938" s="18" t="s">
        <v>861</v>
      </c>
      <c r="O938" s="18" t="s">
        <v>126</v>
      </c>
      <c r="P938" s="18" t="s">
        <v>131</v>
      </c>
      <c r="Q938" s="18" t="s">
        <v>132</v>
      </c>
      <c r="R938" s="18" t="s">
        <v>133</v>
      </c>
      <c r="S938" s="18" t="s">
        <v>59</v>
      </c>
      <c r="T938" s="38">
        <v>2026.0</v>
      </c>
      <c r="U938" s="38">
        <v>5.0</v>
      </c>
      <c r="V938" s="38">
        <v>1.081523041E9</v>
      </c>
      <c r="W938" s="38">
        <v>1.081541111E9</v>
      </c>
      <c r="X938" s="18" t="s">
        <v>2199</v>
      </c>
      <c r="Y938" s="18" t="s">
        <v>2200</v>
      </c>
      <c r="Z938" s="38">
        <v>113911.5</v>
      </c>
      <c r="AA938" s="38">
        <v>113911.5</v>
      </c>
      <c r="AB938" s="38">
        <v>37970.5</v>
      </c>
      <c r="AC938" s="38">
        <v>0.0</v>
      </c>
      <c r="AD938" s="38">
        <v>0.0</v>
      </c>
      <c r="AE938" s="38">
        <v>0.0</v>
      </c>
      <c r="AF938" s="38">
        <v>0.0</v>
      </c>
      <c r="AG938" s="38">
        <v>0.0</v>
      </c>
      <c r="AH938" s="38">
        <v>0.0</v>
      </c>
      <c r="AI938" s="38">
        <v>113911.5</v>
      </c>
      <c r="AJ938" s="38">
        <v>113911.5</v>
      </c>
      <c r="AK938" s="38">
        <v>0.0</v>
      </c>
      <c r="AL938" s="38">
        <v>376.2</v>
      </c>
      <c r="AM938" s="38">
        <v>0.0</v>
      </c>
      <c r="AN938" s="34" t="s">
        <v>62</v>
      </c>
      <c r="AO938" s="34" t="s">
        <v>62</v>
      </c>
      <c r="AP938" s="34" t="s">
        <v>62</v>
      </c>
      <c r="AQ938" s="34" t="s">
        <v>62</v>
      </c>
      <c r="AR938" s="38">
        <v>0.0</v>
      </c>
      <c r="AS938" s="38" t="s">
        <v>2271</v>
      </c>
      <c r="AT938" s="35" t="s">
        <v>2202</v>
      </c>
      <c r="AU938" s="39" t="s">
        <v>2203</v>
      </c>
      <c r="AV938" s="40">
        <v>46163.0</v>
      </c>
    </row>
    <row r="939">
      <c r="A939" s="38">
        <v>314877.0</v>
      </c>
      <c r="B939" s="38">
        <v>52447.0</v>
      </c>
      <c r="C939" s="38">
        <v>52447.0</v>
      </c>
      <c r="D939" s="38">
        <v>103149.0</v>
      </c>
      <c r="E939" s="38">
        <v>103149.0</v>
      </c>
      <c r="F939" s="38">
        <v>8.60503159E8</v>
      </c>
      <c r="G939" s="18" t="s">
        <v>371</v>
      </c>
      <c r="H939" s="18" t="s">
        <v>2279</v>
      </c>
      <c r="I939" s="18" t="s">
        <v>640</v>
      </c>
      <c r="J939" s="18" t="s">
        <v>2205</v>
      </c>
      <c r="K939" s="18" t="s">
        <v>2280</v>
      </c>
      <c r="L939" s="18" t="s">
        <v>52</v>
      </c>
      <c r="M939" s="18" t="s">
        <v>89</v>
      </c>
      <c r="N939" s="18" t="s">
        <v>861</v>
      </c>
      <c r="O939" s="18" t="s">
        <v>126</v>
      </c>
      <c r="P939" s="18" t="s">
        <v>131</v>
      </c>
      <c r="Q939" s="18" t="s">
        <v>132</v>
      </c>
      <c r="R939" s="18" t="s">
        <v>133</v>
      </c>
      <c r="S939" s="18" t="s">
        <v>59</v>
      </c>
      <c r="T939" s="38">
        <v>2026.0</v>
      </c>
      <c r="U939" s="38">
        <v>5.0</v>
      </c>
      <c r="V939" s="38">
        <v>1.081523045E9</v>
      </c>
      <c r="W939" s="38">
        <v>1.081541115E9</v>
      </c>
      <c r="X939" s="18" t="s">
        <v>2199</v>
      </c>
      <c r="Y939" s="18" t="s">
        <v>2200</v>
      </c>
      <c r="Z939" s="38">
        <v>113911.5</v>
      </c>
      <c r="AA939" s="38">
        <v>113911.5</v>
      </c>
      <c r="AB939" s="38">
        <v>37970.5</v>
      </c>
      <c r="AC939" s="38">
        <v>0.0</v>
      </c>
      <c r="AD939" s="38">
        <v>0.0</v>
      </c>
      <c r="AE939" s="38">
        <v>0.0</v>
      </c>
      <c r="AF939" s="38">
        <v>0.0</v>
      </c>
      <c r="AG939" s="38">
        <v>0.0</v>
      </c>
      <c r="AH939" s="38">
        <v>0.0</v>
      </c>
      <c r="AI939" s="38">
        <v>113911.5</v>
      </c>
      <c r="AJ939" s="38">
        <v>113911.5</v>
      </c>
      <c r="AK939" s="38">
        <v>0.0</v>
      </c>
      <c r="AL939" s="38">
        <v>376.2</v>
      </c>
      <c r="AM939" s="38">
        <v>0.0</v>
      </c>
      <c r="AN939" s="34" t="s">
        <v>62</v>
      </c>
      <c r="AO939" s="34" t="s">
        <v>62</v>
      </c>
      <c r="AP939" s="34" t="s">
        <v>62</v>
      </c>
      <c r="AQ939" s="34" t="s">
        <v>62</v>
      </c>
      <c r="AR939" s="38">
        <v>0.0</v>
      </c>
      <c r="AS939" s="38" t="s">
        <v>2281</v>
      </c>
      <c r="AT939" s="35" t="s">
        <v>2202</v>
      </c>
      <c r="AU939" s="39" t="s">
        <v>2203</v>
      </c>
      <c r="AV939" s="40">
        <v>46169.0</v>
      </c>
    </row>
    <row r="940">
      <c r="A940" s="38">
        <v>355.0</v>
      </c>
      <c r="B940" s="38">
        <v>571.0</v>
      </c>
      <c r="C940" s="38">
        <v>571.0</v>
      </c>
      <c r="D940" s="38">
        <v>9.0270118E7</v>
      </c>
      <c r="E940" s="38">
        <v>9.0270118E7</v>
      </c>
      <c r="F940" s="18" t="s">
        <v>964</v>
      </c>
      <c r="G940" s="18" t="s">
        <v>965</v>
      </c>
      <c r="H940" s="18" t="s">
        <v>2680</v>
      </c>
      <c r="I940" s="18" t="s">
        <v>919</v>
      </c>
      <c r="J940" s="18" t="s">
        <v>2205</v>
      </c>
      <c r="K940" s="18" t="s">
        <v>2681</v>
      </c>
      <c r="L940" s="18" t="s">
        <v>52</v>
      </c>
      <c r="M940" s="18" t="s">
        <v>89</v>
      </c>
      <c r="N940" s="18" t="s">
        <v>861</v>
      </c>
      <c r="O940" s="18" t="s">
        <v>126</v>
      </c>
      <c r="P940" s="18" t="s">
        <v>131</v>
      </c>
      <c r="Q940" s="18" t="s">
        <v>151</v>
      </c>
      <c r="R940" s="18" t="s">
        <v>133</v>
      </c>
      <c r="S940" s="18" t="s">
        <v>59</v>
      </c>
      <c r="T940" s="38">
        <v>2026.0</v>
      </c>
      <c r="U940" s="38">
        <v>5.0</v>
      </c>
      <c r="V940" s="38">
        <v>1.081522943E9</v>
      </c>
      <c r="W940" s="38">
        <v>1.081541013E9</v>
      </c>
      <c r="X940" s="18" t="s">
        <v>2199</v>
      </c>
      <c r="Y940" s="18" t="s">
        <v>2200</v>
      </c>
      <c r="Z940" s="38">
        <v>75941.0</v>
      </c>
      <c r="AA940" s="38">
        <v>75941.0</v>
      </c>
      <c r="AB940" s="38">
        <v>0.0</v>
      </c>
      <c r="AC940" s="38">
        <v>0.0</v>
      </c>
      <c r="AD940" s="38">
        <v>0.0</v>
      </c>
      <c r="AE940" s="38">
        <v>0.0</v>
      </c>
      <c r="AF940" s="38">
        <v>0.0</v>
      </c>
      <c r="AG940" s="38">
        <v>0.0</v>
      </c>
      <c r="AH940" s="38">
        <v>0.0</v>
      </c>
      <c r="AI940" s="38">
        <v>75941.0</v>
      </c>
      <c r="AJ940" s="38">
        <v>75941.0</v>
      </c>
      <c r="AK940" s="38">
        <v>0.0</v>
      </c>
      <c r="AL940" s="38">
        <v>250.8</v>
      </c>
      <c r="AM940" s="38">
        <v>0.0</v>
      </c>
      <c r="AN940" s="34" t="s">
        <v>62</v>
      </c>
      <c r="AO940" s="34" t="s">
        <v>62</v>
      </c>
      <c r="AP940" s="34" t="s">
        <v>62</v>
      </c>
      <c r="AQ940" s="34" t="s">
        <v>62</v>
      </c>
      <c r="AR940" s="38">
        <v>0.0</v>
      </c>
      <c r="AS940" s="38" t="s">
        <v>2682</v>
      </c>
      <c r="AT940" s="35" t="s">
        <v>2202</v>
      </c>
      <c r="AU940" s="39" t="s">
        <v>2203</v>
      </c>
      <c r="AV940" s="40">
        <v>46169.0</v>
      </c>
    </row>
    <row r="941">
      <c r="A941" s="38">
        <v>147.0</v>
      </c>
      <c r="B941" s="38">
        <v>575.0</v>
      </c>
      <c r="C941" s="38">
        <v>575.0</v>
      </c>
      <c r="D941" s="38">
        <v>9.0274083E7</v>
      </c>
      <c r="E941" s="38">
        <v>9.0274083E7</v>
      </c>
      <c r="F941" s="18" t="s">
        <v>179</v>
      </c>
      <c r="G941" s="18" t="s">
        <v>180</v>
      </c>
      <c r="H941" s="18" t="s">
        <v>2320</v>
      </c>
      <c r="I941" s="18" t="s">
        <v>1110</v>
      </c>
      <c r="J941" s="18" t="s">
        <v>2205</v>
      </c>
      <c r="K941" s="18" t="s">
        <v>2289</v>
      </c>
      <c r="L941" s="18" t="s">
        <v>52</v>
      </c>
      <c r="M941" s="18" t="s">
        <v>89</v>
      </c>
      <c r="N941" s="18" t="s">
        <v>861</v>
      </c>
      <c r="O941" s="18" t="s">
        <v>126</v>
      </c>
      <c r="P941" s="18" t="s">
        <v>131</v>
      </c>
      <c r="Q941" s="18" t="s">
        <v>1111</v>
      </c>
      <c r="R941" s="18" t="s">
        <v>133</v>
      </c>
      <c r="S941" s="18" t="s">
        <v>59</v>
      </c>
      <c r="T941" s="38">
        <v>2026.0</v>
      </c>
      <c r="U941" s="38">
        <v>5.0</v>
      </c>
      <c r="V941" s="38">
        <v>1.081522947E9</v>
      </c>
      <c r="W941" s="38">
        <v>1.081541017E9</v>
      </c>
      <c r="X941" s="18" t="s">
        <v>2199</v>
      </c>
      <c r="Y941" s="18" t="s">
        <v>2200</v>
      </c>
      <c r="Z941" s="38">
        <v>50761.0</v>
      </c>
      <c r="AA941" s="38">
        <v>50761.0</v>
      </c>
      <c r="AB941" s="38">
        <v>0.0</v>
      </c>
      <c r="AC941" s="38">
        <v>0.0</v>
      </c>
      <c r="AD941" s="38">
        <v>0.0</v>
      </c>
      <c r="AE941" s="38">
        <v>0.0</v>
      </c>
      <c r="AF941" s="38">
        <v>0.0</v>
      </c>
      <c r="AG941" s="38">
        <v>0.0</v>
      </c>
      <c r="AH941" s="38">
        <v>0.0</v>
      </c>
      <c r="AI941" s="38">
        <v>50761.0</v>
      </c>
      <c r="AJ941" s="38">
        <v>101136.0</v>
      </c>
      <c r="AK941" s="38">
        <v>1.0</v>
      </c>
      <c r="AL941" s="38">
        <v>250.8</v>
      </c>
      <c r="AM941" s="38">
        <v>0.0</v>
      </c>
      <c r="AN941" s="34" t="s">
        <v>62</v>
      </c>
      <c r="AO941" s="34" t="s">
        <v>62</v>
      </c>
      <c r="AP941" s="34" t="s">
        <v>62</v>
      </c>
      <c r="AQ941" s="34" t="s">
        <v>62</v>
      </c>
      <c r="AR941" s="38">
        <v>0.0</v>
      </c>
      <c r="AS941" s="38" t="s">
        <v>2321</v>
      </c>
      <c r="AT941" s="35" t="s">
        <v>2202</v>
      </c>
      <c r="AU941" s="39" t="s">
        <v>2203</v>
      </c>
      <c r="AV941" s="40">
        <v>46163.0</v>
      </c>
    </row>
    <row r="942">
      <c r="A942" s="38">
        <v>147.0</v>
      </c>
      <c r="B942" s="38">
        <v>579.0</v>
      </c>
      <c r="C942" s="38">
        <v>579.0</v>
      </c>
      <c r="D942" s="38">
        <v>9.0274087E7</v>
      </c>
      <c r="E942" s="38">
        <v>9.0274087E7</v>
      </c>
      <c r="F942" s="18" t="s">
        <v>179</v>
      </c>
      <c r="G942" s="18" t="s">
        <v>180</v>
      </c>
      <c r="H942" s="18" t="s">
        <v>2320</v>
      </c>
      <c r="I942" s="18" t="s">
        <v>982</v>
      </c>
      <c r="J942" s="18" t="s">
        <v>2205</v>
      </c>
      <c r="K942" s="18" t="s">
        <v>2289</v>
      </c>
      <c r="L942" s="18" t="s">
        <v>52</v>
      </c>
      <c r="M942" s="18" t="s">
        <v>89</v>
      </c>
      <c r="N942" s="18" t="s">
        <v>861</v>
      </c>
      <c r="O942" s="18" t="s">
        <v>126</v>
      </c>
      <c r="P942" s="18" t="s">
        <v>131</v>
      </c>
      <c r="Q942" s="18" t="s">
        <v>1111</v>
      </c>
      <c r="R942" s="18" t="s">
        <v>133</v>
      </c>
      <c r="S942" s="18" t="s">
        <v>59</v>
      </c>
      <c r="T942" s="38">
        <v>2026.0</v>
      </c>
      <c r="U942" s="38">
        <v>5.0</v>
      </c>
      <c r="V942" s="38">
        <v>1.081522951E9</v>
      </c>
      <c r="W942" s="38">
        <v>1.081541021E9</v>
      </c>
      <c r="X942" s="18" t="s">
        <v>2199</v>
      </c>
      <c r="Y942" s="18" t="s">
        <v>2200</v>
      </c>
      <c r="Z942" s="38">
        <v>50761.0</v>
      </c>
      <c r="AA942" s="38">
        <v>50761.0</v>
      </c>
      <c r="AB942" s="38">
        <v>0.0</v>
      </c>
      <c r="AC942" s="38">
        <v>0.0</v>
      </c>
      <c r="AD942" s="38">
        <v>0.0</v>
      </c>
      <c r="AE942" s="38">
        <v>0.0</v>
      </c>
      <c r="AF942" s="38">
        <v>0.0</v>
      </c>
      <c r="AG942" s="38">
        <v>0.0</v>
      </c>
      <c r="AH942" s="38">
        <v>0.0</v>
      </c>
      <c r="AI942" s="38">
        <v>50761.0</v>
      </c>
      <c r="AJ942" s="38">
        <v>101136.0</v>
      </c>
      <c r="AK942" s="38">
        <v>1.0</v>
      </c>
      <c r="AL942" s="38">
        <v>250.8</v>
      </c>
      <c r="AM942" s="38">
        <v>0.0</v>
      </c>
      <c r="AN942" s="34" t="s">
        <v>62</v>
      </c>
      <c r="AO942" s="34" t="s">
        <v>62</v>
      </c>
      <c r="AP942" s="34" t="s">
        <v>62</v>
      </c>
      <c r="AQ942" s="34" t="s">
        <v>62</v>
      </c>
      <c r="AR942" s="38">
        <v>0.0</v>
      </c>
      <c r="AS942" s="38" t="s">
        <v>2321</v>
      </c>
      <c r="AT942" s="35" t="s">
        <v>2202</v>
      </c>
      <c r="AU942" s="39" t="s">
        <v>2203</v>
      </c>
      <c r="AV942" s="40">
        <v>46163.0</v>
      </c>
    </row>
    <row r="943">
      <c r="A943" s="38">
        <v>699.0</v>
      </c>
      <c r="B943" s="38">
        <v>60071.0</v>
      </c>
      <c r="C943" s="38">
        <v>60071.0</v>
      </c>
      <c r="D943" s="38">
        <v>15766.0</v>
      </c>
      <c r="E943" s="38">
        <v>15766.0</v>
      </c>
      <c r="F943" s="38">
        <v>9.00480569E8</v>
      </c>
      <c r="G943" s="18" t="s">
        <v>141</v>
      </c>
      <c r="H943" s="18" t="s">
        <v>2255</v>
      </c>
      <c r="I943" s="18" t="s">
        <v>1114</v>
      </c>
      <c r="J943" s="18" t="s">
        <v>2205</v>
      </c>
      <c r="K943" s="18" t="s">
        <v>2256</v>
      </c>
      <c r="L943" s="18" t="s">
        <v>52</v>
      </c>
      <c r="M943" s="18" t="s">
        <v>53</v>
      </c>
      <c r="N943" s="18" t="s">
        <v>861</v>
      </c>
      <c r="O943" s="18" t="s">
        <v>126</v>
      </c>
      <c r="P943" s="18" t="s">
        <v>56</v>
      </c>
      <c r="Q943" s="18" t="s">
        <v>90</v>
      </c>
      <c r="R943" s="18" t="s">
        <v>143</v>
      </c>
      <c r="S943" s="18" t="s">
        <v>59</v>
      </c>
      <c r="T943" s="38">
        <v>2026.0</v>
      </c>
      <c r="U943" s="38">
        <v>5.0</v>
      </c>
      <c r="V943" s="38">
        <v>1.081523048E9</v>
      </c>
      <c r="W943" s="38">
        <v>1.081541118E9</v>
      </c>
      <c r="X943" s="18" t="s">
        <v>2199</v>
      </c>
      <c r="Y943" s="18" t="s">
        <v>2200</v>
      </c>
      <c r="Z943" s="38">
        <v>251032.22</v>
      </c>
      <c r="AA943" s="38">
        <v>251032.22</v>
      </c>
      <c r="AB943" s="38">
        <v>82667.69</v>
      </c>
      <c r="AC943" s="38">
        <v>670.0</v>
      </c>
      <c r="AD943" s="38">
        <v>3029.16</v>
      </c>
      <c r="AE943" s="38">
        <v>0.0</v>
      </c>
      <c r="AF943" s="38">
        <v>0.0</v>
      </c>
      <c r="AG943" s="38">
        <v>0.0</v>
      </c>
      <c r="AH943" s="38">
        <v>0.0</v>
      </c>
      <c r="AI943" s="38">
        <v>251032.22</v>
      </c>
      <c r="AJ943" s="38">
        <v>737689.31</v>
      </c>
      <c r="AK943" s="38">
        <v>2.0</v>
      </c>
      <c r="AL943" s="38">
        <v>376.2</v>
      </c>
      <c r="AM943" s="38">
        <v>0.0</v>
      </c>
      <c r="AN943" s="34" t="s">
        <v>62</v>
      </c>
      <c r="AO943" s="34" t="s">
        <v>62</v>
      </c>
      <c r="AP943" s="34" t="s">
        <v>62</v>
      </c>
      <c r="AQ943" s="34" t="s">
        <v>62</v>
      </c>
      <c r="AR943" s="38">
        <v>0.0</v>
      </c>
      <c r="AS943" s="38" t="s">
        <v>2257</v>
      </c>
      <c r="AT943" s="35" t="s">
        <v>2202</v>
      </c>
      <c r="AU943" s="39" t="s">
        <v>2203</v>
      </c>
      <c r="AV943" s="40">
        <v>46163.0</v>
      </c>
    </row>
    <row r="944">
      <c r="A944" s="38">
        <v>60076.0</v>
      </c>
      <c r="B944" s="38">
        <v>60075.0</v>
      </c>
      <c r="C944" s="38">
        <v>60075.0</v>
      </c>
      <c r="D944" s="38">
        <v>15762.0</v>
      </c>
      <c r="E944" s="38">
        <v>15762.0</v>
      </c>
      <c r="F944" s="38">
        <v>15762.0</v>
      </c>
      <c r="G944" s="18" t="s">
        <v>1116</v>
      </c>
      <c r="H944" s="18" t="s">
        <v>3262</v>
      </c>
      <c r="I944" s="18" t="s">
        <v>942</v>
      </c>
      <c r="J944" s="18" t="s">
        <v>2205</v>
      </c>
      <c r="K944" s="18" t="s">
        <v>2205</v>
      </c>
      <c r="L944" s="18" t="s">
        <v>52</v>
      </c>
      <c r="M944" s="18" t="s">
        <v>89</v>
      </c>
      <c r="N944" s="18" t="s">
        <v>861</v>
      </c>
      <c r="O944" s="18" t="s">
        <v>126</v>
      </c>
      <c r="P944" s="18" t="s">
        <v>218</v>
      </c>
      <c r="Q944" s="18" t="s">
        <v>943</v>
      </c>
      <c r="R944" s="18" t="s">
        <v>133</v>
      </c>
      <c r="S944" s="18" t="s">
        <v>59</v>
      </c>
      <c r="T944" s="38">
        <v>2026.0</v>
      </c>
      <c r="U944" s="38">
        <v>5.0</v>
      </c>
      <c r="V944" s="38">
        <v>1.08152305E9</v>
      </c>
      <c r="W944" s="38">
        <v>1.08154112E9</v>
      </c>
      <c r="X944" s="18" t="s">
        <v>2199</v>
      </c>
      <c r="Y944" s="18" t="s">
        <v>2200</v>
      </c>
      <c r="Z944" s="38">
        <v>85584.01</v>
      </c>
      <c r="AA944" s="38">
        <v>85584.01</v>
      </c>
      <c r="AB944" s="38">
        <v>28528.0</v>
      </c>
      <c r="AC944" s="38">
        <v>0.0</v>
      </c>
      <c r="AD944" s="38">
        <v>0.01</v>
      </c>
      <c r="AE944" s="38">
        <v>0.0</v>
      </c>
      <c r="AF944" s="38">
        <v>0.0</v>
      </c>
      <c r="AG944" s="38">
        <v>0.0</v>
      </c>
      <c r="AH944" s="38">
        <v>0.0</v>
      </c>
      <c r="AI944" s="38">
        <v>85584.01</v>
      </c>
      <c r="AJ944" s="38">
        <v>170977.91</v>
      </c>
      <c r="AK944" s="38">
        <v>2.0</v>
      </c>
      <c r="AL944" s="38">
        <v>376.2</v>
      </c>
      <c r="AM944" s="38">
        <v>0.0</v>
      </c>
      <c r="AN944" s="34" t="s">
        <v>62</v>
      </c>
      <c r="AO944" s="34" t="s">
        <v>62</v>
      </c>
      <c r="AP944" s="34" t="s">
        <v>62</v>
      </c>
      <c r="AQ944" s="34" t="s">
        <v>62</v>
      </c>
      <c r="AR944" s="38">
        <v>0.0</v>
      </c>
      <c r="AS944" s="38" t="s">
        <v>2608</v>
      </c>
      <c r="AT944" s="35" t="s">
        <v>2202</v>
      </c>
      <c r="AU944" s="39" t="s">
        <v>2203</v>
      </c>
      <c r="AV944" s="40">
        <v>46171.0</v>
      </c>
    </row>
    <row r="945">
      <c r="A945" s="38">
        <v>616.0</v>
      </c>
      <c r="B945" s="38">
        <v>615.0</v>
      </c>
      <c r="C945" s="38">
        <v>615.0</v>
      </c>
      <c r="D945" s="38">
        <v>9.0284641E7</v>
      </c>
      <c r="E945" s="38">
        <v>9.0284641E7</v>
      </c>
      <c r="F945" s="18" t="s">
        <v>1118</v>
      </c>
      <c r="G945" s="18" t="s">
        <v>1119</v>
      </c>
      <c r="H945" s="18" t="s">
        <v>3263</v>
      </c>
      <c r="I945" s="18" t="s">
        <v>76</v>
      </c>
      <c r="J945" s="18" t="s">
        <v>2205</v>
      </c>
      <c r="K945" s="18" t="s">
        <v>2205</v>
      </c>
      <c r="L945" s="18" t="s">
        <v>52</v>
      </c>
      <c r="M945" s="18" t="s">
        <v>89</v>
      </c>
      <c r="N945" s="18" t="s">
        <v>861</v>
      </c>
      <c r="O945" s="18" t="s">
        <v>126</v>
      </c>
      <c r="P945" s="18" t="s">
        <v>56</v>
      </c>
      <c r="Q945" s="18" t="s">
        <v>90</v>
      </c>
      <c r="R945" s="18" t="s">
        <v>143</v>
      </c>
      <c r="S945" s="18" t="s">
        <v>59</v>
      </c>
      <c r="T945" s="38">
        <v>2026.0</v>
      </c>
      <c r="U945" s="38">
        <v>5.0</v>
      </c>
      <c r="V945" s="38">
        <v>1.081522954E9</v>
      </c>
      <c r="W945" s="38">
        <v>1.081541024E9</v>
      </c>
      <c r="X945" s="18" t="s">
        <v>2199</v>
      </c>
      <c r="Y945" s="18" t="s">
        <v>2200</v>
      </c>
      <c r="Z945" s="38">
        <v>441841.56</v>
      </c>
      <c r="AA945" s="38">
        <v>441841.56</v>
      </c>
      <c r="AB945" s="38">
        <v>145969.66</v>
      </c>
      <c r="AC945" s="38">
        <v>1337.0</v>
      </c>
      <c r="AD945" s="38">
        <v>3932.59</v>
      </c>
      <c r="AE945" s="38">
        <v>0.0</v>
      </c>
      <c r="AF945" s="38">
        <v>0.0</v>
      </c>
      <c r="AG945" s="38">
        <v>0.0</v>
      </c>
      <c r="AH945" s="38">
        <v>0.0</v>
      </c>
      <c r="AI945" s="38">
        <v>441841.56</v>
      </c>
      <c r="AJ945" s="38">
        <v>872309.51</v>
      </c>
      <c r="AK945" s="38">
        <v>1.0</v>
      </c>
      <c r="AL945" s="38">
        <v>376.2</v>
      </c>
      <c r="AM945" s="38">
        <v>0.0</v>
      </c>
      <c r="AN945" s="34" t="s">
        <v>62</v>
      </c>
      <c r="AO945" s="34" t="s">
        <v>62</v>
      </c>
      <c r="AP945" s="34" t="s">
        <v>62</v>
      </c>
      <c r="AQ945" s="34" t="s">
        <v>62</v>
      </c>
      <c r="AR945" s="38">
        <v>0.0</v>
      </c>
      <c r="AS945" s="38" t="s">
        <v>3264</v>
      </c>
      <c r="AT945" s="35" t="s">
        <v>2202</v>
      </c>
      <c r="AU945" s="39" t="s">
        <v>2203</v>
      </c>
      <c r="AV945" s="40">
        <v>46174.0</v>
      </c>
    </row>
    <row r="946">
      <c r="A946" s="38">
        <v>632.0</v>
      </c>
      <c r="B946" s="38">
        <v>631.0</v>
      </c>
      <c r="C946" s="38">
        <v>631.0</v>
      </c>
      <c r="D946" s="38">
        <v>9.0290496E7</v>
      </c>
      <c r="E946" s="38">
        <v>9.0290496E7</v>
      </c>
      <c r="F946" s="38">
        <v>8.90107487E8</v>
      </c>
      <c r="G946" s="18" t="s">
        <v>1121</v>
      </c>
      <c r="H946" s="18" t="s">
        <v>2741</v>
      </c>
      <c r="I946" s="18" t="s">
        <v>923</v>
      </c>
      <c r="J946" s="18" t="s">
        <v>2205</v>
      </c>
      <c r="K946" s="18" t="s">
        <v>2742</v>
      </c>
      <c r="L946" s="18" t="s">
        <v>52</v>
      </c>
      <c r="M946" s="18" t="s">
        <v>53</v>
      </c>
      <c r="N946" s="18" t="s">
        <v>861</v>
      </c>
      <c r="O946" s="18" t="s">
        <v>126</v>
      </c>
      <c r="P946" s="18" t="s">
        <v>56</v>
      </c>
      <c r="Q946" s="18" t="s">
        <v>90</v>
      </c>
      <c r="R946" s="18" t="s">
        <v>143</v>
      </c>
      <c r="S946" s="18" t="s">
        <v>59</v>
      </c>
      <c r="T946" s="38">
        <v>2026.0</v>
      </c>
      <c r="U946" s="38">
        <v>5.0</v>
      </c>
      <c r="V946" s="38">
        <v>1.081522958E9</v>
      </c>
      <c r="W946" s="38">
        <v>1.081541028E9</v>
      </c>
      <c r="X946" s="18" t="s">
        <v>2199</v>
      </c>
      <c r="Y946" s="18" t="s">
        <v>2200</v>
      </c>
      <c r="Z946" s="38">
        <v>648029.76</v>
      </c>
      <c r="AA946" s="38">
        <v>648029.76</v>
      </c>
      <c r="AB946" s="38">
        <v>216009.93</v>
      </c>
      <c r="AC946" s="38">
        <v>2075.0</v>
      </c>
      <c r="AD946" s="38">
        <v>0.0</v>
      </c>
      <c r="AE946" s="38">
        <v>0.0</v>
      </c>
      <c r="AF946" s="38">
        <v>0.0</v>
      </c>
      <c r="AG946" s="38">
        <v>0.0</v>
      </c>
      <c r="AH946" s="38">
        <v>0.0</v>
      </c>
      <c r="AI946" s="38">
        <v>648029.76</v>
      </c>
      <c r="AJ946" s="38">
        <v>648029.76</v>
      </c>
      <c r="AK946" s="38">
        <v>0.0</v>
      </c>
      <c r="AL946" s="38">
        <v>376.2</v>
      </c>
      <c r="AM946" s="38">
        <v>0.0</v>
      </c>
      <c r="AN946" s="34" t="s">
        <v>62</v>
      </c>
      <c r="AO946" s="34" t="s">
        <v>62</v>
      </c>
      <c r="AP946" s="34" t="s">
        <v>62</v>
      </c>
      <c r="AQ946" s="34" t="s">
        <v>62</v>
      </c>
      <c r="AR946" s="38">
        <v>0.0</v>
      </c>
      <c r="AS946" s="38" t="s">
        <v>2743</v>
      </c>
      <c r="AT946" s="35" t="s">
        <v>2202</v>
      </c>
      <c r="AU946" s="39" t="s">
        <v>2203</v>
      </c>
      <c r="AV946" s="40">
        <v>46169.0</v>
      </c>
    </row>
    <row r="947">
      <c r="A947" s="38">
        <v>636.0</v>
      </c>
      <c r="B947" s="38">
        <v>635.0</v>
      </c>
      <c r="C947" s="38">
        <v>635.0</v>
      </c>
      <c r="D947" s="38">
        <v>9.0290679E7</v>
      </c>
      <c r="E947" s="38">
        <v>9.0290679E7</v>
      </c>
      <c r="F947" s="18" t="s">
        <v>1123</v>
      </c>
      <c r="G947" s="18" t="s">
        <v>1124</v>
      </c>
      <c r="H947" s="18" t="s">
        <v>3265</v>
      </c>
      <c r="I947" s="18" t="s">
        <v>991</v>
      </c>
      <c r="J947" s="18" t="s">
        <v>2691</v>
      </c>
      <c r="K947" s="18" t="s">
        <v>2691</v>
      </c>
      <c r="L947" s="18" t="s">
        <v>52</v>
      </c>
      <c r="M947" s="18" t="s">
        <v>89</v>
      </c>
      <c r="N947" s="18" t="s">
        <v>861</v>
      </c>
      <c r="O947" s="18" t="s">
        <v>126</v>
      </c>
      <c r="P947" s="18" t="s">
        <v>131</v>
      </c>
      <c r="Q947" s="18" t="s">
        <v>132</v>
      </c>
      <c r="R947" s="18" t="s">
        <v>133</v>
      </c>
      <c r="S947" s="18" t="s">
        <v>163</v>
      </c>
      <c r="T947" s="38">
        <v>2026.0</v>
      </c>
      <c r="U947" s="38">
        <v>5.0</v>
      </c>
      <c r="V947" s="38">
        <v>1.081522962E9</v>
      </c>
      <c r="W947" s="38">
        <v>1.081541032E9</v>
      </c>
      <c r="X947" s="18" t="s">
        <v>2199</v>
      </c>
      <c r="Y947" s="18" t="s">
        <v>2200</v>
      </c>
      <c r="Z947" s="38">
        <v>56619.0</v>
      </c>
      <c r="AA947" s="38">
        <v>56619.0</v>
      </c>
      <c r="AB947" s="38">
        <v>18873.0</v>
      </c>
      <c r="AC947" s="38">
        <v>0.0</v>
      </c>
      <c r="AD947" s="38">
        <v>0.0</v>
      </c>
      <c r="AE947" s="38">
        <v>0.0</v>
      </c>
      <c r="AF947" s="38">
        <v>0.0</v>
      </c>
      <c r="AG947" s="38">
        <v>0.0</v>
      </c>
      <c r="AH947" s="38">
        <v>0.0</v>
      </c>
      <c r="AI947" s="38">
        <v>56619.0</v>
      </c>
      <c r="AJ947" s="38">
        <v>56619.0</v>
      </c>
      <c r="AK947" s="38">
        <v>0.0</v>
      </c>
      <c r="AL947" s="38">
        <v>376.2</v>
      </c>
      <c r="AM947" s="38">
        <v>0.0</v>
      </c>
      <c r="AN947" s="34" t="s">
        <v>62</v>
      </c>
      <c r="AO947" s="34" t="s">
        <v>62</v>
      </c>
      <c r="AP947" s="34" t="s">
        <v>62</v>
      </c>
      <c r="AQ947" s="34" t="s">
        <v>62</v>
      </c>
      <c r="AR947" s="38">
        <v>0.0</v>
      </c>
      <c r="AS947" s="38" t="s">
        <v>3266</v>
      </c>
      <c r="AT947" s="38" t="s">
        <v>2275</v>
      </c>
      <c r="AU947" s="39" t="s">
        <v>2276</v>
      </c>
      <c r="AV947" s="40">
        <v>46163.0</v>
      </c>
    </row>
    <row r="948">
      <c r="A948" s="38">
        <v>640.0</v>
      </c>
      <c r="B948" s="38">
        <v>639.0</v>
      </c>
      <c r="C948" s="38">
        <v>639.0</v>
      </c>
      <c r="D948" s="38">
        <v>9.0290683E7</v>
      </c>
      <c r="E948" s="38">
        <v>9.0290683E7</v>
      </c>
      <c r="F948" s="38">
        <v>1.090496088E9</v>
      </c>
      <c r="G948" s="18" t="s">
        <v>1126</v>
      </c>
      <c r="H948" s="18" t="s">
        <v>3267</v>
      </c>
      <c r="I948" s="18" t="s">
        <v>991</v>
      </c>
      <c r="J948" s="18" t="s">
        <v>2691</v>
      </c>
      <c r="K948" s="18" t="s">
        <v>2691</v>
      </c>
      <c r="L948" s="18" t="s">
        <v>52</v>
      </c>
      <c r="M948" s="18" t="s">
        <v>89</v>
      </c>
      <c r="N948" s="18" t="s">
        <v>861</v>
      </c>
      <c r="O948" s="18" t="s">
        <v>126</v>
      </c>
      <c r="P948" s="18" t="s">
        <v>56</v>
      </c>
      <c r="Q948" s="18" t="s">
        <v>90</v>
      </c>
      <c r="R948" s="18" t="s">
        <v>143</v>
      </c>
      <c r="S948" s="18" t="s">
        <v>59</v>
      </c>
      <c r="T948" s="38">
        <v>2026.0</v>
      </c>
      <c r="U948" s="38">
        <v>5.0</v>
      </c>
      <c r="V948" s="38">
        <v>1.081522966E9</v>
      </c>
      <c r="W948" s="38">
        <v>1.081541036E9</v>
      </c>
      <c r="X948" s="18" t="s">
        <v>2199</v>
      </c>
      <c r="Y948" s="18" t="s">
        <v>2200</v>
      </c>
      <c r="Z948" s="38">
        <v>128422.13</v>
      </c>
      <c r="AA948" s="38">
        <v>128422.13</v>
      </c>
      <c r="AB948" s="38">
        <v>42807.38</v>
      </c>
      <c r="AC948" s="38">
        <v>250.0</v>
      </c>
      <c r="AD948" s="38">
        <v>0.0</v>
      </c>
      <c r="AE948" s="38">
        <v>0.0</v>
      </c>
      <c r="AF948" s="38">
        <v>0.0</v>
      </c>
      <c r="AG948" s="38">
        <v>0.0</v>
      </c>
      <c r="AH948" s="38">
        <v>0.0</v>
      </c>
      <c r="AI948" s="38">
        <v>128422.13</v>
      </c>
      <c r="AJ948" s="38">
        <v>128422.13</v>
      </c>
      <c r="AK948" s="38">
        <v>0.0</v>
      </c>
      <c r="AL948" s="38">
        <v>376.2</v>
      </c>
      <c r="AM948" s="38">
        <v>0.0</v>
      </c>
      <c r="AN948" s="34" t="s">
        <v>62</v>
      </c>
      <c r="AO948" s="34" t="s">
        <v>62</v>
      </c>
      <c r="AP948" s="34" t="s">
        <v>62</v>
      </c>
      <c r="AQ948" s="34" t="s">
        <v>62</v>
      </c>
      <c r="AR948" s="38">
        <v>0.0</v>
      </c>
      <c r="AS948" s="38" t="s">
        <v>3268</v>
      </c>
      <c r="AT948" s="38" t="s">
        <v>2275</v>
      </c>
      <c r="AU948" s="39" t="s">
        <v>2276</v>
      </c>
      <c r="AV948" s="40">
        <v>46163.0</v>
      </c>
    </row>
    <row r="949">
      <c r="A949" s="38">
        <v>644.0</v>
      </c>
      <c r="B949" s="38">
        <v>643.0</v>
      </c>
      <c r="C949" s="38">
        <v>643.0</v>
      </c>
      <c r="D949" s="38">
        <v>9.0290687E7</v>
      </c>
      <c r="E949" s="38">
        <v>9.0290687E7</v>
      </c>
      <c r="F949" s="18" t="s">
        <v>1128</v>
      </c>
      <c r="G949" s="18" t="s">
        <v>1129</v>
      </c>
      <c r="H949" s="18" t="s">
        <v>3269</v>
      </c>
      <c r="I949" s="18" t="s">
        <v>991</v>
      </c>
      <c r="J949" s="18" t="s">
        <v>2691</v>
      </c>
      <c r="K949" s="18" t="s">
        <v>2691</v>
      </c>
      <c r="L949" s="18" t="s">
        <v>52</v>
      </c>
      <c r="M949" s="18" t="s">
        <v>89</v>
      </c>
      <c r="N949" s="18" t="s">
        <v>861</v>
      </c>
      <c r="O949" s="18" t="s">
        <v>126</v>
      </c>
      <c r="P949" s="18" t="s">
        <v>56</v>
      </c>
      <c r="Q949" s="18" t="s">
        <v>90</v>
      </c>
      <c r="R949" s="18" t="s">
        <v>143</v>
      </c>
      <c r="S949" s="18" t="s">
        <v>59</v>
      </c>
      <c r="T949" s="38">
        <v>2026.0</v>
      </c>
      <c r="U949" s="38">
        <v>5.0</v>
      </c>
      <c r="V949" s="38">
        <v>1.081522969E9</v>
      </c>
      <c r="W949" s="38">
        <v>1.081541039E9</v>
      </c>
      <c r="X949" s="18" t="s">
        <v>2199</v>
      </c>
      <c r="Y949" s="18" t="s">
        <v>2200</v>
      </c>
      <c r="Z949" s="38">
        <v>139211.95</v>
      </c>
      <c r="AA949" s="38">
        <v>139211.95</v>
      </c>
      <c r="AB949" s="38">
        <v>42807.38</v>
      </c>
      <c r="AC949" s="38">
        <v>250.0</v>
      </c>
      <c r="AD949" s="38">
        <v>10789.82</v>
      </c>
      <c r="AE949" s="38">
        <v>0.0</v>
      </c>
      <c r="AF949" s="38">
        <v>0.0</v>
      </c>
      <c r="AG949" s="38">
        <v>0.0</v>
      </c>
      <c r="AH949" s="38">
        <v>0.0</v>
      </c>
      <c r="AI949" s="38">
        <v>139211.95</v>
      </c>
      <c r="AJ949" s="38">
        <v>873016.72</v>
      </c>
      <c r="AK949" s="38">
        <v>6.0</v>
      </c>
      <c r="AL949" s="38">
        <v>376.2</v>
      </c>
      <c r="AM949" s="38">
        <v>0.0</v>
      </c>
      <c r="AN949" s="34" t="s">
        <v>62</v>
      </c>
      <c r="AO949" s="34" t="s">
        <v>62</v>
      </c>
      <c r="AP949" s="34" t="s">
        <v>62</v>
      </c>
      <c r="AQ949" s="34" t="s">
        <v>62</v>
      </c>
      <c r="AR949" s="38">
        <v>0.0</v>
      </c>
      <c r="AS949" s="38" t="s">
        <v>3270</v>
      </c>
      <c r="AT949" s="38" t="s">
        <v>2275</v>
      </c>
      <c r="AU949" s="39" t="s">
        <v>2276</v>
      </c>
      <c r="AV949" s="40">
        <v>46163.0</v>
      </c>
    </row>
    <row r="950">
      <c r="A950" s="38">
        <v>648.0</v>
      </c>
      <c r="B950" s="38">
        <v>647.0</v>
      </c>
      <c r="C950" s="38">
        <v>647.0</v>
      </c>
      <c r="D950" s="38">
        <v>9.0290691E7</v>
      </c>
      <c r="E950" s="38">
        <v>9.0290691E7</v>
      </c>
      <c r="F950" s="18" t="s">
        <v>1131</v>
      </c>
      <c r="G950" s="18" t="s">
        <v>1132</v>
      </c>
      <c r="H950" s="18" t="s">
        <v>3271</v>
      </c>
      <c r="I950" s="18" t="s">
        <v>991</v>
      </c>
      <c r="J950" s="18" t="s">
        <v>2691</v>
      </c>
      <c r="K950" s="18" t="s">
        <v>2691</v>
      </c>
      <c r="L950" s="18" t="s">
        <v>52</v>
      </c>
      <c r="M950" s="18" t="s">
        <v>89</v>
      </c>
      <c r="N950" s="18" t="s">
        <v>861</v>
      </c>
      <c r="O950" s="18" t="s">
        <v>126</v>
      </c>
      <c r="P950" s="18" t="s">
        <v>56</v>
      </c>
      <c r="Q950" s="18" t="s">
        <v>90</v>
      </c>
      <c r="R950" s="18" t="s">
        <v>143</v>
      </c>
      <c r="S950" s="18" t="s">
        <v>59</v>
      </c>
      <c r="T950" s="38">
        <v>2026.0</v>
      </c>
      <c r="U950" s="38">
        <v>5.0</v>
      </c>
      <c r="V950" s="38">
        <v>1.081522972E9</v>
      </c>
      <c r="W950" s="38">
        <v>1.081541042E9</v>
      </c>
      <c r="X950" s="18" t="s">
        <v>2199</v>
      </c>
      <c r="Y950" s="18" t="s">
        <v>2200</v>
      </c>
      <c r="Z950" s="38">
        <v>128422.13</v>
      </c>
      <c r="AA950" s="38">
        <v>128422.13</v>
      </c>
      <c r="AB950" s="38">
        <v>42807.38</v>
      </c>
      <c r="AC950" s="38">
        <v>250.0</v>
      </c>
      <c r="AD950" s="38">
        <v>0.0</v>
      </c>
      <c r="AE950" s="38">
        <v>0.0</v>
      </c>
      <c r="AF950" s="38">
        <v>0.0</v>
      </c>
      <c r="AG950" s="38">
        <v>0.0</v>
      </c>
      <c r="AH950" s="38">
        <v>0.0</v>
      </c>
      <c r="AI950" s="38">
        <v>128422.13</v>
      </c>
      <c r="AJ950" s="38">
        <v>128422.13</v>
      </c>
      <c r="AK950" s="38">
        <v>0.0</v>
      </c>
      <c r="AL950" s="38">
        <v>376.2</v>
      </c>
      <c r="AM950" s="38">
        <v>0.0</v>
      </c>
      <c r="AN950" s="34" t="s">
        <v>62</v>
      </c>
      <c r="AO950" s="34" t="s">
        <v>62</v>
      </c>
      <c r="AP950" s="34" t="s">
        <v>62</v>
      </c>
      <c r="AQ950" s="34" t="s">
        <v>62</v>
      </c>
      <c r="AR950" s="38">
        <v>0.0</v>
      </c>
      <c r="AS950" s="38" t="s">
        <v>3126</v>
      </c>
      <c r="AT950" s="38" t="s">
        <v>2275</v>
      </c>
      <c r="AU950" s="39" t="s">
        <v>2276</v>
      </c>
      <c r="AV950" s="40">
        <v>46163.0</v>
      </c>
    </row>
    <row r="951">
      <c r="A951" s="38">
        <v>684.0</v>
      </c>
      <c r="B951" s="38">
        <v>651.0</v>
      </c>
      <c r="C951" s="38">
        <v>651.0</v>
      </c>
      <c r="D951" s="38">
        <v>9.0290695E7</v>
      </c>
      <c r="E951" s="38">
        <v>9.0290695E7</v>
      </c>
      <c r="F951" s="18" t="s">
        <v>1052</v>
      </c>
      <c r="G951" s="18" t="s">
        <v>1053</v>
      </c>
      <c r="H951" s="18" t="s">
        <v>2699</v>
      </c>
      <c r="I951" s="18" t="s">
        <v>991</v>
      </c>
      <c r="J951" s="18" t="s">
        <v>2700</v>
      </c>
      <c r="K951" s="18" t="s">
        <v>2700</v>
      </c>
      <c r="L951" s="18" t="s">
        <v>52</v>
      </c>
      <c r="M951" s="18" t="s">
        <v>89</v>
      </c>
      <c r="N951" s="18" t="s">
        <v>861</v>
      </c>
      <c r="O951" s="18" t="s">
        <v>126</v>
      </c>
      <c r="P951" s="18" t="s">
        <v>56</v>
      </c>
      <c r="Q951" s="18" t="s">
        <v>90</v>
      </c>
      <c r="R951" s="18" t="s">
        <v>143</v>
      </c>
      <c r="S951" s="18" t="s">
        <v>59</v>
      </c>
      <c r="T951" s="38">
        <v>2026.0</v>
      </c>
      <c r="U951" s="38">
        <v>5.0</v>
      </c>
      <c r="V951" s="38">
        <v>1.081522976E9</v>
      </c>
      <c r="W951" s="38">
        <v>1.081541046E9</v>
      </c>
      <c r="X951" s="18" t="s">
        <v>2199</v>
      </c>
      <c r="Y951" s="18" t="s">
        <v>2200</v>
      </c>
      <c r="Z951" s="38">
        <v>4269079.4</v>
      </c>
      <c r="AA951" s="38">
        <v>4269079.4</v>
      </c>
      <c r="AB951" s="38">
        <v>1405935.08</v>
      </c>
      <c r="AC951" s="38">
        <v>14613.0</v>
      </c>
      <c r="AD951" s="38">
        <v>51274.18</v>
      </c>
      <c r="AE951" s="38">
        <v>0.0</v>
      </c>
      <c r="AF951" s="38">
        <v>0.0</v>
      </c>
      <c r="AG951" s="38">
        <v>0.0</v>
      </c>
      <c r="AH951" s="38">
        <v>0.0</v>
      </c>
      <c r="AI951" s="38">
        <v>4269079.4</v>
      </c>
      <c r="AJ951" s="38">
        <v>8389374.82</v>
      </c>
      <c r="AK951" s="38">
        <v>2.0</v>
      </c>
      <c r="AL951" s="38">
        <v>376.2</v>
      </c>
      <c r="AM951" s="38">
        <v>0.0</v>
      </c>
      <c r="AN951" s="34" t="s">
        <v>62</v>
      </c>
      <c r="AO951" s="34" t="s">
        <v>62</v>
      </c>
      <c r="AP951" s="34" t="s">
        <v>62</v>
      </c>
      <c r="AQ951" s="34" t="s">
        <v>62</v>
      </c>
      <c r="AR951" s="38">
        <v>0.0</v>
      </c>
      <c r="AS951" s="38" t="s">
        <v>2701</v>
      </c>
      <c r="AT951" s="35" t="s">
        <v>2202</v>
      </c>
      <c r="AU951" s="39" t="s">
        <v>2203</v>
      </c>
      <c r="AV951" s="40">
        <v>46164.0</v>
      </c>
    </row>
    <row r="952">
      <c r="A952" s="38">
        <v>656.0</v>
      </c>
      <c r="B952" s="38">
        <v>655.0</v>
      </c>
      <c r="C952" s="38">
        <v>655.0</v>
      </c>
      <c r="D952" s="38">
        <v>9.0290699E7</v>
      </c>
      <c r="E952" s="38">
        <v>9.0290699E7</v>
      </c>
      <c r="F952" s="18" t="s">
        <v>1135</v>
      </c>
      <c r="G952" s="18" t="s">
        <v>1136</v>
      </c>
      <c r="H952" s="18" t="s">
        <v>3272</v>
      </c>
      <c r="I952" s="18" t="s">
        <v>991</v>
      </c>
      <c r="J952" s="18" t="s">
        <v>2691</v>
      </c>
      <c r="K952" s="18" t="s">
        <v>2395</v>
      </c>
      <c r="L952" s="18" t="s">
        <v>52</v>
      </c>
      <c r="M952" s="18" t="s">
        <v>89</v>
      </c>
      <c r="N952" s="18" t="s">
        <v>861</v>
      </c>
      <c r="O952" s="18" t="s">
        <v>126</v>
      </c>
      <c r="P952" s="18" t="s">
        <v>56</v>
      </c>
      <c r="Q952" s="18" t="s">
        <v>90</v>
      </c>
      <c r="R952" s="18" t="s">
        <v>143</v>
      </c>
      <c r="S952" s="18" t="s">
        <v>59</v>
      </c>
      <c r="T952" s="38">
        <v>2026.0</v>
      </c>
      <c r="U952" s="38">
        <v>5.0</v>
      </c>
      <c r="V952" s="38">
        <v>1.08152298E9</v>
      </c>
      <c r="W952" s="38">
        <v>1.08154105E9</v>
      </c>
      <c r="X952" s="18" t="s">
        <v>2199</v>
      </c>
      <c r="Y952" s="18" t="s">
        <v>2200</v>
      </c>
      <c r="Z952" s="38">
        <v>179671.1</v>
      </c>
      <c r="AA952" s="38">
        <v>179671.1</v>
      </c>
      <c r="AB952" s="38">
        <v>59890.37</v>
      </c>
      <c r="AC952" s="38">
        <v>430.0</v>
      </c>
      <c r="AD952" s="38">
        <v>0.0</v>
      </c>
      <c r="AE952" s="38">
        <v>0.0</v>
      </c>
      <c r="AF952" s="38">
        <v>0.0</v>
      </c>
      <c r="AG952" s="38">
        <v>0.0</v>
      </c>
      <c r="AH952" s="38">
        <v>0.0</v>
      </c>
      <c r="AI952" s="38">
        <v>179671.1</v>
      </c>
      <c r="AJ952" s="38">
        <v>179671.1</v>
      </c>
      <c r="AK952" s="38">
        <v>0.0</v>
      </c>
      <c r="AL952" s="38">
        <v>376.2</v>
      </c>
      <c r="AM952" s="38">
        <v>0.0</v>
      </c>
      <c r="AN952" s="34" t="s">
        <v>62</v>
      </c>
      <c r="AO952" s="34" t="s">
        <v>62</v>
      </c>
      <c r="AP952" s="34" t="s">
        <v>62</v>
      </c>
      <c r="AQ952" s="34" t="s">
        <v>62</v>
      </c>
      <c r="AR952" s="38">
        <v>0.0</v>
      </c>
      <c r="AS952" s="38" t="s">
        <v>2396</v>
      </c>
      <c r="AT952" s="38" t="s">
        <v>2275</v>
      </c>
      <c r="AU952" s="39" t="s">
        <v>2276</v>
      </c>
      <c r="AV952" s="40">
        <v>46163.0</v>
      </c>
    </row>
    <row r="953">
      <c r="A953" s="38">
        <v>684.0</v>
      </c>
      <c r="B953" s="38">
        <v>659.0</v>
      </c>
      <c r="C953" s="38">
        <v>659.0</v>
      </c>
      <c r="D953" s="38">
        <v>9.0290703E7</v>
      </c>
      <c r="E953" s="38">
        <v>9.0290703E7</v>
      </c>
      <c r="F953" s="18" t="s">
        <v>1052</v>
      </c>
      <c r="G953" s="18" t="s">
        <v>1053</v>
      </c>
      <c r="H953" s="18" t="s">
        <v>2699</v>
      </c>
      <c r="I953" s="18" t="s">
        <v>991</v>
      </c>
      <c r="J953" s="18" t="s">
        <v>2691</v>
      </c>
      <c r="K953" s="18" t="s">
        <v>2691</v>
      </c>
      <c r="L953" s="18" t="s">
        <v>52</v>
      </c>
      <c r="M953" s="18" t="s">
        <v>89</v>
      </c>
      <c r="N953" s="18" t="s">
        <v>861</v>
      </c>
      <c r="O953" s="18" t="s">
        <v>126</v>
      </c>
      <c r="P953" s="18" t="s">
        <v>131</v>
      </c>
      <c r="Q953" s="18" t="s">
        <v>132</v>
      </c>
      <c r="R953" s="18" t="s">
        <v>133</v>
      </c>
      <c r="S953" s="18" t="s">
        <v>59</v>
      </c>
      <c r="T953" s="38">
        <v>2026.0</v>
      </c>
      <c r="U953" s="38">
        <v>5.0</v>
      </c>
      <c r="V953" s="38">
        <v>1.081522984E9</v>
      </c>
      <c r="W953" s="38">
        <v>1.081541054E9</v>
      </c>
      <c r="X953" s="18" t="s">
        <v>2199</v>
      </c>
      <c r="Y953" s="18" t="s">
        <v>2200</v>
      </c>
      <c r="Z953" s="38">
        <v>113911.5</v>
      </c>
      <c r="AA953" s="38">
        <v>113911.5</v>
      </c>
      <c r="AB953" s="38">
        <v>37970.5</v>
      </c>
      <c r="AC953" s="38">
        <v>0.0</v>
      </c>
      <c r="AD953" s="38">
        <v>0.0</v>
      </c>
      <c r="AE953" s="38">
        <v>0.0</v>
      </c>
      <c r="AF953" s="38">
        <v>0.0</v>
      </c>
      <c r="AG953" s="38">
        <v>0.0</v>
      </c>
      <c r="AH953" s="38">
        <v>0.0</v>
      </c>
      <c r="AI953" s="38">
        <v>113911.5</v>
      </c>
      <c r="AJ953" s="38">
        <v>113911.5</v>
      </c>
      <c r="AK953" s="38">
        <v>0.0</v>
      </c>
      <c r="AL953" s="38">
        <v>376.2</v>
      </c>
      <c r="AM953" s="38">
        <v>0.0</v>
      </c>
      <c r="AN953" s="34" t="s">
        <v>62</v>
      </c>
      <c r="AO953" s="34" t="s">
        <v>62</v>
      </c>
      <c r="AP953" s="34" t="s">
        <v>62</v>
      </c>
      <c r="AQ953" s="34" t="s">
        <v>62</v>
      </c>
      <c r="AR953" s="38">
        <v>0.0</v>
      </c>
      <c r="AS953" s="38" t="s">
        <v>2701</v>
      </c>
      <c r="AT953" s="38" t="s">
        <v>2275</v>
      </c>
      <c r="AU953" s="39" t="s">
        <v>2276</v>
      </c>
      <c r="AV953" s="40">
        <v>46163.0</v>
      </c>
    </row>
    <row r="954">
      <c r="A954" s="38">
        <v>664.0</v>
      </c>
      <c r="B954" s="38">
        <v>663.0</v>
      </c>
      <c r="C954" s="38">
        <v>663.0</v>
      </c>
      <c r="D954" s="38">
        <v>9.0290707E7</v>
      </c>
      <c r="E954" s="38">
        <v>9.0290707E7</v>
      </c>
      <c r="F954" s="38">
        <v>8.8283692E7</v>
      </c>
      <c r="G954" s="18" t="s">
        <v>1139</v>
      </c>
      <c r="H954" s="18" t="s">
        <v>3273</v>
      </c>
      <c r="I954" s="18" t="s">
        <v>991</v>
      </c>
      <c r="J954" s="18" t="s">
        <v>2691</v>
      </c>
      <c r="K954" s="18" t="s">
        <v>2691</v>
      </c>
      <c r="L954" s="18" t="s">
        <v>52</v>
      </c>
      <c r="M954" s="18" t="s">
        <v>89</v>
      </c>
      <c r="N954" s="18" t="s">
        <v>861</v>
      </c>
      <c r="O954" s="18" t="s">
        <v>126</v>
      </c>
      <c r="P954" s="18" t="s">
        <v>56</v>
      </c>
      <c r="Q954" s="18" t="s">
        <v>90</v>
      </c>
      <c r="R954" s="18" t="s">
        <v>143</v>
      </c>
      <c r="S954" s="18" t="s">
        <v>59</v>
      </c>
      <c r="T954" s="38">
        <v>2026.0</v>
      </c>
      <c r="U954" s="38">
        <v>5.0</v>
      </c>
      <c r="V954" s="38">
        <v>1.081522987E9</v>
      </c>
      <c r="W954" s="38">
        <v>1.081541057E9</v>
      </c>
      <c r="X954" s="18" t="s">
        <v>2199</v>
      </c>
      <c r="Y954" s="18" t="s">
        <v>2200</v>
      </c>
      <c r="Z954" s="38">
        <v>128422.13</v>
      </c>
      <c r="AA954" s="38">
        <v>128422.13</v>
      </c>
      <c r="AB954" s="38">
        <v>42807.38</v>
      </c>
      <c r="AC954" s="38">
        <v>250.0</v>
      </c>
      <c r="AD954" s="38">
        <v>0.0</v>
      </c>
      <c r="AE954" s="38">
        <v>0.0</v>
      </c>
      <c r="AF954" s="38">
        <v>0.0</v>
      </c>
      <c r="AG954" s="38">
        <v>0.0</v>
      </c>
      <c r="AH954" s="38">
        <v>0.0</v>
      </c>
      <c r="AI954" s="38">
        <v>128422.13</v>
      </c>
      <c r="AJ954" s="38">
        <v>128422.13</v>
      </c>
      <c r="AK954" s="38">
        <v>0.0</v>
      </c>
      <c r="AL954" s="38">
        <v>376.2</v>
      </c>
      <c r="AM954" s="38">
        <v>0.0</v>
      </c>
      <c r="AN954" s="34" t="s">
        <v>62</v>
      </c>
      <c r="AO954" s="34" t="s">
        <v>62</v>
      </c>
      <c r="AP954" s="34" t="s">
        <v>62</v>
      </c>
      <c r="AQ954" s="34" t="s">
        <v>62</v>
      </c>
      <c r="AR954" s="38">
        <v>0.0</v>
      </c>
      <c r="AS954" s="38" t="s">
        <v>3274</v>
      </c>
      <c r="AT954" s="38" t="s">
        <v>2275</v>
      </c>
      <c r="AU954" s="39" t="s">
        <v>2276</v>
      </c>
      <c r="AV954" s="40">
        <v>46163.0</v>
      </c>
    </row>
    <row r="955">
      <c r="A955" s="38">
        <v>684.0</v>
      </c>
      <c r="B955" s="38">
        <v>667.0</v>
      </c>
      <c r="C955" s="38">
        <v>667.0</v>
      </c>
      <c r="D955" s="38">
        <v>9.0290711E7</v>
      </c>
      <c r="E955" s="38">
        <v>9.0290711E7</v>
      </c>
      <c r="F955" s="18" t="s">
        <v>1052</v>
      </c>
      <c r="G955" s="18" t="s">
        <v>1053</v>
      </c>
      <c r="H955" s="18" t="s">
        <v>2699</v>
      </c>
      <c r="I955" s="18" t="s">
        <v>991</v>
      </c>
      <c r="J955" s="18" t="s">
        <v>2700</v>
      </c>
      <c r="K955" s="18" t="s">
        <v>2700</v>
      </c>
      <c r="L955" s="18" t="s">
        <v>52</v>
      </c>
      <c r="M955" s="18" t="s">
        <v>89</v>
      </c>
      <c r="N955" s="18" t="s">
        <v>861</v>
      </c>
      <c r="O955" s="18" t="s">
        <v>126</v>
      </c>
      <c r="P955" s="18" t="s">
        <v>131</v>
      </c>
      <c r="Q955" s="18" t="s">
        <v>132</v>
      </c>
      <c r="R955" s="18" t="s">
        <v>133</v>
      </c>
      <c r="S955" s="18" t="s">
        <v>163</v>
      </c>
      <c r="T955" s="38">
        <v>2026.0</v>
      </c>
      <c r="U955" s="38">
        <v>5.0</v>
      </c>
      <c r="V955" s="38">
        <v>1.081522991E9</v>
      </c>
      <c r="W955" s="38">
        <v>1.081541061E9</v>
      </c>
      <c r="X955" s="18" t="s">
        <v>2199</v>
      </c>
      <c r="Y955" s="18" t="s">
        <v>2200</v>
      </c>
      <c r="Z955" s="38">
        <v>57002.54</v>
      </c>
      <c r="AA955" s="38">
        <v>57002.54</v>
      </c>
      <c r="AB955" s="38">
        <v>18873.0</v>
      </c>
      <c r="AC955" s="38">
        <v>0.0</v>
      </c>
      <c r="AD955" s="38">
        <v>383.54</v>
      </c>
      <c r="AE955" s="38">
        <v>0.0</v>
      </c>
      <c r="AF955" s="38">
        <v>0.0</v>
      </c>
      <c r="AG955" s="38">
        <v>0.0</v>
      </c>
      <c r="AH955" s="38">
        <v>0.0</v>
      </c>
      <c r="AI955" s="38">
        <v>57002.54</v>
      </c>
      <c r="AJ955" s="38">
        <v>115779.76</v>
      </c>
      <c r="AK955" s="38">
        <v>1.0</v>
      </c>
      <c r="AL955" s="38">
        <v>376.2</v>
      </c>
      <c r="AM955" s="38">
        <v>0.0</v>
      </c>
      <c r="AN955" s="34" t="s">
        <v>62</v>
      </c>
      <c r="AO955" s="34" t="s">
        <v>62</v>
      </c>
      <c r="AP955" s="34" t="s">
        <v>62</v>
      </c>
      <c r="AQ955" s="34" t="s">
        <v>62</v>
      </c>
      <c r="AR955" s="38">
        <v>0.0</v>
      </c>
      <c r="AS955" s="38" t="s">
        <v>2701</v>
      </c>
      <c r="AT955" s="35" t="s">
        <v>2202</v>
      </c>
      <c r="AU955" s="39" t="s">
        <v>2203</v>
      </c>
      <c r="AV955" s="40">
        <v>46164.0</v>
      </c>
    </row>
    <row r="956">
      <c r="A956" s="38">
        <v>672.0</v>
      </c>
      <c r="B956" s="38">
        <v>671.0</v>
      </c>
      <c r="C956" s="38">
        <v>671.0</v>
      </c>
      <c r="D956" s="38">
        <v>9.0290715E7</v>
      </c>
      <c r="E956" s="38">
        <v>9.0290715E7</v>
      </c>
      <c r="F956" s="18" t="s">
        <v>1142</v>
      </c>
      <c r="G956" s="18" t="s">
        <v>1143</v>
      </c>
      <c r="H956" s="18" t="s">
        <v>3275</v>
      </c>
      <c r="I956" s="18" t="s">
        <v>991</v>
      </c>
      <c r="J956" s="18" t="s">
        <v>2691</v>
      </c>
      <c r="K956" s="18" t="s">
        <v>2691</v>
      </c>
      <c r="L956" s="18" t="s">
        <v>52</v>
      </c>
      <c r="M956" s="18" t="s">
        <v>89</v>
      </c>
      <c r="N956" s="18" t="s">
        <v>861</v>
      </c>
      <c r="O956" s="18" t="s">
        <v>126</v>
      </c>
      <c r="P956" s="18" t="s">
        <v>56</v>
      </c>
      <c r="Q956" s="18" t="s">
        <v>90</v>
      </c>
      <c r="R956" s="18" t="s">
        <v>143</v>
      </c>
      <c r="S956" s="18" t="s">
        <v>59</v>
      </c>
      <c r="T956" s="38">
        <v>2026.0</v>
      </c>
      <c r="U956" s="38">
        <v>5.0</v>
      </c>
      <c r="V956" s="38">
        <v>1.081522995E9</v>
      </c>
      <c r="W956" s="38">
        <v>1.081541065E9</v>
      </c>
      <c r="X956" s="18" t="s">
        <v>2199</v>
      </c>
      <c r="Y956" s="18" t="s">
        <v>2200</v>
      </c>
      <c r="Z956" s="38">
        <v>204203.53</v>
      </c>
      <c r="AA956" s="38">
        <v>204203.53</v>
      </c>
      <c r="AB956" s="38">
        <v>67245.56</v>
      </c>
      <c r="AC956" s="38">
        <v>507.5</v>
      </c>
      <c r="AD956" s="38">
        <v>2466.88</v>
      </c>
      <c r="AE956" s="38">
        <v>0.0</v>
      </c>
      <c r="AF956" s="38">
        <v>0.0</v>
      </c>
      <c r="AG956" s="38">
        <v>0.0</v>
      </c>
      <c r="AH956" s="38">
        <v>0.0</v>
      </c>
      <c r="AI956" s="38">
        <v>204203.53</v>
      </c>
      <c r="AJ956" s="38">
        <v>584166.08</v>
      </c>
      <c r="AK956" s="38">
        <v>2.0</v>
      </c>
      <c r="AL956" s="38">
        <v>376.2</v>
      </c>
      <c r="AM956" s="38">
        <v>0.0</v>
      </c>
      <c r="AN956" s="34" t="s">
        <v>62</v>
      </c>
      <c r="AO956" s="34" t="s">
        <v>62</v>
      </c>
      <c r="AP956" s="34" t="s">
        <v>62</v>
      </c>
      <c r="AQ956" s="34" t="s">
        <v>62</v>
      </c>
      <c r="AR956" s="38">
        <v>0.0</v>
      </c>
      <c r="AS956" s="38" t="s">
        <v>3276</v>
      </c>
      <c r="AT956" s="38" t="s">
        <v>2275</v>
      </c>
      <c r="AU956" s="39" t="s">
        <v>2276</v>
      </c>
      <c r="AV956" s="40">
        <v>46163.0</v>
      </c>
    </row>
    <row r="957">
      <c r="A957" s="38">
        <v>680.0</v>
      </c>
      <c r="B957" s="38">
        <v>679.0</v>
      </c>
      <c r="C957" s="38">
        <v>679.0</v>
      </c>
      <c r="D957" s="38">
        <v>9.0290746E7</v>
      </c>
      <c r="E957" s="38">
        <v>9.0290746E7</v>
      </c>
      <c r="F957" s="18" t="s">
        <v>1145</v>
      </c>
      <c r="G957" s="18" t="s">
        <v>1146</v>
      </c>
      <c r="H957" s="18" t="s">
        <v>3277</v>
      </c>
      <c r="I957" s="18" t="s">
        <v>991</v>
      </c>
      <c r="J957" s="18" t="s">
        <v>2691</v>
      </c>
      <c r="K957" s="18" t="s">
        <v>2691</v>
      </c>
      <c r="L957" s="18" t="s">
        <v>52</v>
      </c>
      <c r="M957" s="18" t="s">
        <v>89</v>
      </c>
      <c r="N957" s="18" t="s">
        <v>861</v>
      </c>
      <c r="O957" s="18" t="s">
        <v>126</v>
      </c>
      <c r="P957" s="18" t="s">
        <v>56</v>
      </c>
      <c r="Q957" s="18" t="s">
        <v>90</v>
      </c>
      <c r="R957" s="18" t="s">
        <v>143</v>
      </c>
      <c r="S957" s="18" t="s">
        <v>59</v>
      </c>
      <c r="T957" s="38">
        <v>2026.0</v>
      </c>
      <c r="U957" s="38">
        <v>5.0</v>
      </c>
      <c r="V957" s="38">
        <v>1.081522999E9</v>
      </c>
      <c r="W957" s="38">
        <v>1.081541069E9</v>
      </c>
      <c r="X957" s="18" t="s">
        <v>2199</v>
      </c>
      <c r="Y957" s="18" t="s">
        <v>2200</v>
      </c>
      <c r="Z957" s="38">
        <v>128422.13</v>
      </c>
      <c r="AA957" s="38">
        <v>128422.13</v>
      </c>
      <c r="AB957" s="38">
        <v>42807.38</v>
      </c>
      <c r="AC957" s="38">
        <v>250.0</v>
      </c>
      <c r="AD957" s="38">
        <v>0.0</v>
      </c>
      <c r="AE957" s="38">
        <v>0.0</v>
      </c>
      <c r="AF957" s="38">
        <v>0.0</v>
      </c>
      <c r="AG957" s="38">
        <v>0.0</v>
      </c>
      <c r="AH957" s="38">
        <v>0.0</v>
      </c>
      <c r="AI957" s="38">
        <v>128422.13</v>
      </c>
      <c r="AJ957" s="38">
        <v>128422.13</v>
      </c>
      <c r="AK957" s="38">
        <v>0.0</v>
      </c>
      <c r="AL957" s="38">
        <v>376.2</v>
      </c>
      <c r="AM957" s="38">
        <v>0.0</v>
      </c>
      <c r="AN957" s="34" t="s">
        <v>62</v>
      </c>
      <c r="AO957" s="34" t="s">
        <v>62</v>
      </c>
      <c r="AP957" s="34" t="s">
        <v>62</v>
      </c>
      <c r="AQ957" s="34" t="s">
        <v>62</v>
      </c>
      <c r="AR957" s="38">
        <v>0.0</v>
      </c>
      <c r="AS957" s="38" t="s">
        <v>3278</v>
      </c>
      <c r="AT957" s="38" t="s">
        <v>3279</v>
      </c>
      <c r="AU957" s="39" t="s">
        <v>2276</v>
      </c>
      <c r="AV957" s="40">
        <v>46163.0</v>
      </c>
    </row>
    <row r="958">
      <c r="A958" s="38">
        <v>684.0</v>
      </c>
      <c r="B958" s="38">
        <v>683.0</v>
      </c>
      <c r="C958" s="38">
        <v>683.0</v>
      </c>
      <c r="D958" s="38">
        <v>9.0290763E7</v>
      </c>
      <c r="E958" s="38">
        <v>9.0290763E7</v>
      </c>
      <c r="F958" s="18" t="s">
        <v>1052</v>
      </c>
      <c r="G958" s="18" t="s">
        <v>1053</v>
      </c>
      <c r="H958" s="18" t="s">
        <v>2699</v>
      </c>
      <c r="I958" s="18" t="s">
        <v>76</v>
      </c>
      <c r="J958" s="18" t="s">
        <v>2691</v>
      </c>
      <c r="K958" s="18" t="s">
        <v>2691</v>
      </c>
      <c r="L958" s="18" t="s">
        <v>52</v>
      </c>
      <c r="M958" s="18" t="s">
        <v>89</v>
      </c>
      <c r="N958" s="18" t="s">
        <v>861</v>
      </c>
      <c r="O958" s="18" t="s">
        <v>126</v>
      </c>
      <c r="P958" s="18" t="s">
        <v>131</v>
      </c>
      <c r="Q958" s="18" t="s">
        <v>132</v>
      </c>
      <c r="R958" s="18" t="s">
        <v>133</v>
      </c>
      <c r="S958" s="18" t="s">
        <v>59</v>
      </c>
      <c r="T958" s="38">
        <v>2026.0</v>
      </c>
      <c r="U958" s="38">
        <v>5.0</v>
      </c>
      <c r="V958" s="38">
        <v>1.081523003E9</v>
      </c>
      <c r="W958" s="38">
        <v>1.081541073E9</v>
      </c>
      <c r="X958" s="18" t="s">
        <v>2199</v>
      </c>
      <c r="Y958" s="18" t="s">
        <v>2200</v>
      </c>
      <c r="Z958" s="38">
        <v>113911.5</v>
      </c>
      <c r="AA958" s="38">
        <v>113911.5</v>
      </c>
      <c r="AB958" s="38">
        <v>37970.5</v>
      </c>
      <c r="AC958" s="38">
        <v>0.0</v>
      </c>
      <c r="AD958" s="38">
        <v>0.0</v>
      </c>
      <c r="AE958" s="38">
        <v>0.0</v>
      </c>
      <c r="AF958" s="38">
        <v>0.0</v>
      </c>
      <c r="AG958" s="38">
        <v>0.0</v>
      </c>
      <c r="AH958" s="38">
        <v>0.0</v>
      </c>
      <c r="AI958" s="38">
        <v>113911.5</v>
      </c>
      <c r="AJ958" s="38">
        <v>113911.5</v>
      </c>
      <c r="AK958" s="38">
        <v>0.0</v>
      </c>
      <c r="AL958" s="38">
        <v>376.2</v>
      </c>
      <c r="AM958" s="38">
        <v>0.0</v>
      </c>
      <c r="AN958" s="34" t="s">
        <v>62</v>
      </c>
      <c r="AO958" s="34" t="s">
        <v>62</v>
      </c>
      <c r="AP958" s="34" t="s">
        <v>62</v>
      </c>
      <c r="AQ958" s="34" t="s">
        <v>62</v>
      </c>
      <c r="AR958" s="38">
        <v>0.0</v>
      </c>
      <c r="AS958" s="38" t="s">
        <v>3280</v>
      </c>
      <c r="AT958" s="38" t="s">
        <v>2275</v>
      </c>
      <c r="AU958" s="39" t="s">
        <v>2276</v>
      </c>
      <c r="AV958" s="40">
        <v>46163.0</v>
      </c>
    </row>
    <row r="959">
      <c r="A959" s="38">
        <v>688.0</v>
      </c>
      <c r="B959" s="38">
        <v>687.0</v>
      </c>
      <c r="C959" s="38">
        <v>687.0</v>
      </c>
      <c r="D959" s="38">
        <v>9.0290847E7</v>
      </c>
      <c r="E959" s="38">
        <v>9.0290847E7</v>
      </c>
      <c r="F959" s="38">
        <v>9.0290847E7</v>
      </c>
      <c r="G959" s="18" t="s">
        <v>1149</v>
      </c>
      <c r="H959" s="18" t="s">
        <v>3281</v>
      </c>
      <c r="I959" s="18" t="s">
        <v>991</v>
      </c>
      <c r="J959" s="18" t="s">
        <v>2691</v>
      </c>
      <c r="K959" s="18" t="s">
        <v>2691</v>
      </c>
      <c r="L959" s="18" t="s">
        <v>52</v>
      </c>
      <c r="M959" s="18" t="s">
        <v>89</v>
      </c>
      <c r="N959" s="18" t="s">
        <v>861</v>
      </c>
      <c r="O959" s="18" t="s">
        <v>126</v>
      </c>
      <c r="P959" s="18" t="s">
        <v>56</v>
      </c>
      <c r="Q959" s="18" t="s">
        <v>90</v>
      </c>
      <c r="R959" s="18" t="s">
        <v>143</v>
      </c>
      <c r="S959" s="18" t="s">
        <v>59</v>
      </c>
      <c r="T959" s="38">
        <v>2026.0</v>
      </c>
      <c r="U959" s="38">
        <v>5.0</v>
      </c>
      <c r="V959" s="38">
        <v>1.081523007E9</v>
      </c>
      <c r="W959" s="38">
        <v>1.081541077E9</v>
      </c>
      <c r="X959" s="18" t="s">
        <v>2199</v>
      </c>
      <c r="Y959" s="18" t="s">
        <v>2200</v>
      </c>
      <c r="Z959" s="38">
        <v>128422.13</v>
      </c>
      <c r="AA959" s="38">
        <v>128422.13</v>
      </c>
      <c r="AB959" s="38">
        <v>42807.38</v>
      </c>
      <c r="AC959" s="38">
        <v>250.0</v>
      </c>
      <c r="AD959" s="38">
        <v>0.0</v>
      </c>
      <c r="AE959" s="38">
        <v>0.0</v>
      </c>
      <c r="AF959" s="38">
        <v>0.0</v>
      </c>
      <c r="AG959" s="38">
        <v>0.0</v>
      </c>
      <c r="AH959" s="38">
        <v>0.0</v>
      </c>
      <c r="AI959" s="38">
        <v>128422.13</v>
      </c>
      <c r="AJ959" s="38">
        <v>128422.13</v>
      </c>
      <c r="AK959" s="38">
        <v>0.0</v>
      </c>
      <c r="AL959" s="38">
        <v>376.2</v>
      </c>
      <c r="AM959" s="38">
        <v>0.0</v>
      </c>
      <c r="AN959" s="34" t="s">
        <v>62</v>
      </c>
      <c r="AO959" s="34" t="s">
        <v>62</v>
      </c>
      <c r="AP959" s="34" t="s">
        <v>62</v>
      </c>
      <c r="AQ959" s="34" t="s">
        <v>62</v>
      </c>
      <c r="AR959" s="38">
        <v>0.0</v>
      </c>
      <c r="AS959" s="38" t="s">
        <v>2872</v>
      </c>
      <c r="AT959" s="38" t="s">
        <v>2275</v>
      </c>
      <c r="AU959" s="39" t="s">
        <v>2276</v>
      </c>
      <c r="AV959" s="40">
        <v>46163.0</v>
      </c>
    </row>
    <row r="960">
      <c r="A960" s="38">
        <v>692.0</v>
      </c>
      <c r="B960" s="38">
        <v>691.0</v>
      </c>
      <c r="C960" s="38">
        <v>691.0</v>
      </c>
      <c r="D960" s="38">
        <v>9.0290851E7</v>
      </c>
      <c r="E960" s="38">
        <v>9.0290851E7</v>
      </c>
      <c r="F960" s="38">
        <v>9.01095463E8</v>
      </c>
      <c r="G960" s="18" t="s">
        <v>1151</v>
      </c>
      <c r="H960" s="18" t="s">
        <v>3282</v>
      </c>
      <c r="I960" s="18" t="s">
        <v>991</v>
      </c>
      <c r="J960" s="18" t="s">
        <v>2691</v>
      </c>
      <c r="K960" s="18" t="s">
        <v>2691</v>
      </c>
      <c r="L960" s="18" t="s">
        <v>52</v>
      </c>
      <c r="M960" s="18" t="s">
        <v>89</v>
      </c>
      <c r="N960" s="18" t="s">
        <v>861</v>
      </c>
      <c r="O960" s="18" t="s">
        <v>126</v>
      </c>
      <c r="P960" s="18" t="s">
        <v>56</v>
      </c>
      <c r="Q960" s="18" t="s">
        <v>90</v>
      </c>
      <c r="R960" s="18" t="s">
        <v>143</v>
      </c>
      <c r="S960" s="18" t="s">
        <v>59</v>
      </c>
      <c r="T960" s="38">
        <v>2026.0</v>
      </c>
      <c r="U960" s="38">
        <v>5.0</v>
      </c>
      <c r="V960" s="38">
        <v>1.081523011E9</v>
      </c>
      <c r="W960" s="38">
        <v>1.081541081E9</v>
      </c>
      <c r="X960" s="18" t="s">
        <v>2199</v>
      </c>
      <c r="Y960" s="18" t="s">
        <v>2200</v>
      </c>
      <c r="Z960" s="38">
        <v>128422.13</v>
      </c>
      <c r="AA960" s="38">
        <v>128422.13</v>
      </c>
      <c r="AB960" s="38">
        <v>42807.38</v>
      </c>
      <c r="AC960" s="38">
        <v>250.0</v>
      </c>
      <c r="AD960" s="38">
        <v>0.0</v>
      </c>
      <c r="AE960" s="38">
        <v>0.0</v>
      </c>
      <c r="AF960" s="38">
        <v>0.0</v>
      </c>
      <c r="AG960" s="38">
        <v>0.0</v>
      </c>
      <c r="AH960" s="38">
        <v>0.0</v>
      </c>
      <c r="AI960" s="38">
        <v>128422.13</v>
      </c>
      <c r="AJ960" s="38">
        <v>128422.13</v>
      </c>
      <c r="AK960" s="38">
        <v>0.0</v>
      </c>
      <c r="AL960" s="38">
        <v>376.2</v>
      </c>
      <c r="AM960" s="38">
        <v>0.0</v>
      </c>
      <c r="AN960" s="34" t="s">
        <v>62</v>
      </c>
      <c r="AO960" s="34" t="s">
        <v>62</v>
      </c>
      <c r="AP960" s="34" t="s">
        <v>62</v>
      </c>
      <c r="AQ960" s="34" t="s">
        <v>62</v>
      </c>
      <c r="AR960" s="38">
        <v>0.0</v>
      </c>
      <c r="AS960" s="38" t="s">
        <v>3283</v>
      </c>
      <c r="AT960" s="38" t="s">
        <v>2275</v>
      </c>
      <c r="AU960" s="39" t="s">
        <v>2276</v>
      </c>
      <c r="AV960" s="40">
        <v>46163.0</v>
      </c>
    </row>
    <row r="961">
      <c r="A961" s="38">
        <v>696.0</v>
      </c>
      <c r="B961" s="38">
        <v>695.0</v>
      </c>
      <c r="C961" s="38">
        <v>695.0</v>
      </c>
      <c r="D961" s="38">
        <v>9.0290855E7</v>
      </c>
      <c r="E961" s="38">
        <v>9.0290855E7</v>
      </c>
      <c r="F961" s="38">
        <v>9.00914444E8</v>
      </c>
      <c r="G961" s="18" t="s">
        <v>1153</v>
      </c>
      <c r="H961" s="18" t="s">
        <v>3284</v>
      </c>
      <c r="I961" s="18" t="s">
        <v>991</v>
      </c>
      <c r="J961" s="18" t="s">
        <v>2691</v>
      </c>
      <c r="K961" s="18" t="s">
        <v>2691</v>
      </c>
      <c r="L961" s="18" t="s">
        <v>52</v>
      </c>
      <c r="M961" s="18" t="s">
        <v>89</v>
      </c>
      <c r="N961" s="18" t="s">
        <v>861</v>
      </c>
      <c r="O961" s="18" t="s">
        <v>126</v>
      </c>
      <c r="P961" s="18" t="s">
        <v>56</v>
      </c>
      <c r="Q961" s="18" t="s">
        <v>90</v>
      </c>
      <c r="R961" s="18" t="s">
        <v>143</v>
      </c>
      <c r="S961" s="18" t="s">
        <v>59</v>
      </c>
      <c r="T961" s="38">
        <v>2026.0</v>
      </c>
      <c r="U961" s="38">
        <v>5.0</v>
      </c>
      <c r="V961" s="38">
        <v>1.081523015E9</v>
      </c>
      <c r="W961" s="38">
        <v>1.081541085E9</v>
      </c>
      <c r="X961" s="18" t="s">
        <v>2199</v>
      </c>
      <c r="Y961" s="18" t="s">
        <v>2200</v>
      </c>
      <c r="Z961" s="38">
        <v>128422.13</v>
      </c>
      <c r="AA961" s="38">
        <v>128422.13</v>
      </c>
      <c r="AB961" s="38">
        <v>42807.38</v>
      </c>
      <c r="AC961" s="38">
        <v>250.0</v>
      </c>
      <c r="AD961" s="38">
        <v>0.0</v>
      </c>
      <c r="AE961" s="38">
        <v>0.0</v>
      </c>
      <c r="AF961" s="38">
        <v>0.0</v>
      </c>
      <c r="AG961" s="38">
        <v>0.0</v>
      </c>
      <c r="AH961" s="38">
        <v>0.0</v>
      </c>
      <c r="AI961" s="38">
        <v>128422.13</v>
      </c>
      <c r="AJ961" s="38">
        <v>255010.51</v>
      </c>
      <c r="AK961" s="38">
        <v>1.0</v>
      </c>
      <c r="AL961" s="38">
        <v>376.2</v>
      </c>
      <c r="AM961" s="38">
        <v>0.0</v>
      </c>
      <c r="AN961" s="34" t="s">
        <v>62</v>
      </c>
      <c r="AO961" s="34" t="s">
        <v>62</v>
      </c>
      <c r="AP961" s="34" t="s">
        <v>62</v>
      </c>
      <c r="AQ961" s="34" t="s">
        <v>62</v>
      </c>
      <c r="AR961" s="38">
        <v>0.0</v>
      </c>
      <c r="AS961" s="38" t="s">
        <v>3285</v>
      </c>
      <c r="AT961" s="38" t="s">
        <v>2275</v>
      </c>
      <c r="AU961" s="39" t="s">
        <v>2276</v>
      </c>
      <c r="AV961" s="40">
        <v>46163.0</v>
      </c>
    </row>
    <row r="962">
      <c r="A962" s="38">
        <v>704.0</v>
      </c>
      <c r="B962" s="38">
        <v>703.0</v>
      </c>
      <c r="C962" s="38">
        <v>703.0</v>
      </c>
      <c r="D962" s="38">
        <v>9.0291876E7</v>
      </c>
      <c r="E962" s="38">
        <v>9.0291876E7</v>
      </c>
      <c r="F962" s="38">
        <v>9.00641079E8</v>
      </c>
      <c r="G962" s="18" t="s">
        <v>1155</v>
      </c>
      <c r="H962" s="18" t="s">
        <v>3286</v>
      </c>
      <c r="I962" s="18" t="s">
        <v>991</v>
      </c>
      <c r="J962" s="18" t="s">
        <v>2691</v>
      </c>
      <c r="K962" s="18" t="s">
        <v>2691</v>
      </c>
      <c r="L962" s="18" t="s">
        <v>52</v>
      </c>
      <c r="M962" s="18" t="s">
        <v>89</v>
      </c>
      <c r="N962" s="18" t="s">
        <v>861</v>
      </c>
      <c r="O962" s="18" t="s">
        <v>126</v>
      </c>
      <c r="P962" s="18" t="s">
        <v>56</v>
      </c>
      <c r="Q962" s="18" t="s">
        <v>90</v>
      </c>
      <c r="R962" s="18" t="s">
        <v>143</v>
      </c>
      <c r="S962" s="18" t="s">
        <v>59</v>
      </c>
      <c r="T962" s="38">
        <v>2026.0</v>
      </c>
      <c r="U962" s="38">
        <v>5.0</v>
      </c>
      <c r="V962" s="38">
        <v>1.081523018E9</v>
      </c>
      <c r="W962" s="38">
        <v>1.081541088E9</v>
      </c>
      <c r="X962" s="18" t="s">
        <v>2199</v>
      </c>
      <c r="Y962" s="18" t="s">
        <v>2200</v>
      </c>
      <c r="Z962" s="38">
        <v>128422.13</v>
      </c>
      <c r="AA962" s="38">
        <v>128422.13</v>
      </c>
      <c r="AB962" s="38">
        <v>42807.38</v>
      </c>
      <c r="AC962" s="38">
        <v>250.0</v>
      </c>
      <c r="AD962" s="38">
        <v>0.0</v>
      </c>
      <c r="AE962" s="38">
        <v>0.0</v>
      </c>
      <c r="AF962" s="38">
        <v>0.0</v>
      </c>
      <c r="AG962" s="38">
        <v>0.0</v>
      </c>
      <c r="AH962" s="38">
        <v>0.0</v>
      </c>
      <c r="AI962" s="38">
        <v>128422.13</v>
      </c>
      <c r="AJ962" s="38">
        <v>128422.13</v>
      </c>
      <c r="AK962" s="38">
        <v>0.0</v>
      </c>
      <c r="AL962" s="38">
        <v>376.2</v>
      </c>
      <c r="AM962" s="38">
        <v>0.0</v>
      </c>
      <c r="AN962" s="34" t="s">
        <v>62</v>
      </c>
      <c r="AO962" s="34" t="s">
        <v>62</v>
      </c>
      <c r="AP962" s="34" t="s">
        <v>62</v>
      </c>
      <c r="AQ962" s="34" t="s">
        <v>62</v>
      </c>
      <c r="AR962" s="38">
        <v>0.0</v>
      </c>
      <c r="AS962" s="38" t="s">
        <v>3287</v>
      </c>
      <c r="AT962" s="38" t="s">
        <v>2275</v>
      </c>
      <c r="AU962" s="39" t="s">
        <v>2276</v>
      </c>
      <c r="AV962" s="40">
        <v>46163.0</v>
      </c>
    </row>
    <row r="963">
      <c r="A963" s="38">
        <v>92044.0</v>
      </c>
      <c r="B963" s="38">
        <v>92043.0</v>
      </c>
      <c r="C963" s="38">
        <v>92043.0</v>
      </c>
      <c r="D963" s="38">
        <v>452330.0</v>
      </c>
      <c r="E963" s="38">
        <v>452330.0</v>
      </c>
      <c r="F963" s="38">
        <v>1.3171773E7</v>
      </c>
      <c r="G963" s="18" t="s">
        <v>1157</v>
      </c>
      <c r="H963" s="18" t="s">
        <v>3288</v>
      </c>
      <c r="I963" s="18" t="s">
        <v>1158</v>
      </c>
      <c r="J963" s="18" t="s">
        <v>2273</v>
      </c>
      <c r="K963" s="18" t="s">
        <v>2205</v>
      </c>
      <c r="L963" s="18" t="s">
        <v>52</v>
      </c>
      <c r="M963" s="18" t="s">
        <v>89</v>
      </c>
      <c r="N963" s="18" t="s">
        <v>861</v>
      </c>
      <c r="O963" s="18" t="s">
        <v>126</v>
      </c>
      <c r="P963" s="18" t="s">
        <v>131</v>
      </c>
      <c r="Q963" s="18" t="s">
        <v>132</v>
      </c>
      <c r="R963" s="18" t="s">
        <v>133</v>
      </c>
      <c r="S963" s="18" t="s">
        <v>59</v>
      </c>
      <c r="T963" s="38">
        <v>2026.0</v>
      </c>
      <c r="U963" s="38">
        <v>5.0</v>
      </c>
      <c r="V963" s="38">
        <v>1.081523054E9</v>
      </c>
      <c r="W963" s="38">
        <v>1.081541124E9</v>
      </c>
      <c r="X963" s="18" t="s">
        <v>2199</v>
      </c>
      <c r="Y963" s="18" t="s">
        <v>2200</v>
      </c>
      <c r="Z963" s="38">
        <v>113911.5</v>
      </c>
      <c r="AA963" s="38">
        <v>113911.5</v>
      </c>
      <c r="AB963" s="38">
        <v>37970.5</v>
      </c>
      <c r="AC963" s="38">
        <v>0.0</v>
      </c>
      <c r="AD963" s="38">
        <v>0.0</v>
      </c>
      <c r="AE963" s="38">
        <v>0.0</v>
      </c>
      <c r="AF963" s="38">
        <v>0.0</v>
      </c>
      <c r="AG963" s="38">
        <v>0.0</v>
      </c>
      <c r="AH963" s="38">
        <v>0.0</v>
      </c>
      <c r="AI963" s="38">
        <v>113911.5</v>
      </c>
      <c r="AJ963" s="38">
        <v>226336.5</v>
      </c>
      <c r="AK963" s="38">
        <v>1.0</v>
      </c>
      <c r="AL963" s="38">
        <v>376.2</v>
      </c>
      <c r="AM963" s="38">
        <v>0.0</v>
      </c>
      <c r="AN963" s="34" t="s">
        <v>62</v>
      </c>
      <c r="AO963" s="34" t="s">
        <v>62</v>
      </c>
      <c r="AP963" s="34" t="s">
        <v>62</v>
      </c>
      <c r="AQ963" s="34" t="s">
        <v>62</v>
      </c>
      <c r="AR963" s="38">
        <v>0.0</v>
      </c>
      <c r="AS963" s="38" t="s">
        <v>3289</v>
      </c>
      <c r="AT963" s="35" t="s">
        <v>2275</v>
      </c>
      <c r="AU963" s="39" t="s">
        <v>2276</v>
      </c>
      <c r="AV963" s="40">
        <v>46163.0</v>
      </c>
    </row>
    <row r="964">
      <c r="A964" s="43">
        <v>314877.0</v>
      </c>
      <c r="B964" s="43">
        <v>95907.0</v>
      </c>
      <c r="C964" s="43">
        <v>95907.0</v>
      </c>
      <c r="D964" s="43">
        <v>457575.0</v>
      </c>
      <c r="E964" s="43">
        <v>457575.0</v>
      </c>
      <c r="F964" s="43">
        <v>8.60503159E8</v>
      </c>
      <c r="G964" s="44" t="s">
        <v>371</v>
      </c>
      <c r="H964" s="44" t="s">
        <v>2279</v>
      </c>
      <c r="I964" s="44" t="s">
        <v>942</v>
      </c>
      <c r="J964" s="44" t="s">
        <v>982</v>
      </c>
      <c r="K964" s="44" t="s">
        <v>2280</v>
      </c>
      <c r="L964" s="44" t="s">
        <v>52</v>
      </c>
      <c r="M964" s="44" t="s">
        <v>89</v>
      </c>
      <c r="N964" s="44" t="s">
        <v>861</v>
      </c>
      <c r="O964" s="44" t="s">
        <v>126</v>
      </c>
      <c r="P964" s="44" t="s">
        <v>131</v>
      </c>
      <c r="Q964" s="44" t="s">
        <v>132</v>
      </c>
      <c r="R964" s="44" t="s">
        <v>133</v>
      </c>
      <c r="S964" s="44" t="s">
        <v>59</v>
      </c>
      <c r="T964" s="43">
        <v>2026.0</v>
      </c>
      <c r="U964" s="43">
        <v>5.0</v>
      </c>
      <c r="V964" s="43">
        <v>1.081523058E9</v>
      </c>
      <c r="W964" s="43">
        <v>1.081541128E9</v>
      </c>
      <c r="X964" s="44" t="s">
        <v>2199</v>
      </c>
      <c r="Y964" s="44" t="s">
        <v>2200</v>
      </c>
      <c r="Z964" s="43">
        <v>113911.5</v>
      </c>
      <c r="AA964" s="43">
        <v>113911.5</v>
      </c>
      <c r="AB964" s="43">
        <v>37970.5</v>
      </c>
      <c r="AC964" s="43">
        <v>0.0</v>
      </c>
      <c r="AD964" s="43">
        <v>0.0</v>
      </c>
      <c r="AE964" s="43">
        <v>0.0</v>
      </c>
      <c r="AF964" s="43">
        <v>0.0</v>
      </c>
      <c r="AG964" s="43">
        <v>0.0</v>
      </c>
      <c r="AH964" s="43">
        <v>0.0</v>
      </c>
      <c r="AI964" s="43">
        <v>113911.5</v>
      </c>
      <c r="AJ964" s="43">
        <v>113911.5</v>
      </c>
      <c r="AK964" s="43">
        <v>0.0</v>
      </c>
      <c r="AL964" s="43">
        <v>376.2</v>
      </c>
      <c r="AM964" s="43">
        <v>0.0</v>
      </c>
      <c r="AN964" s="45" t="s">
        <v>62</v>
      </c>
      <c r="AO964" s="45" t="s">
        <v>62</v>
      </c>
      <c r="AP964" s="45" t="s">
        <v>62</v>
      </c>
      <c r="AQ964" s="45" t="s">
        <v>62</v>
      </c>
      <c r="AR964" s="43">
        <v>0.0</v>
      </c>
      <c r="AS964" s="43" t="s">
        <v>2281</v>
      </c>
      <c r="AT964" s="48" t="s">
        <v>2275</v>
      </c>
      <c r="AU964" s="46" t="s">
        <v>2475</v>
      </c>
      <c r="AV964" s="40">
        <v>46163.0</v>
      </c>
    </row>
    <row r="965">
      <c r="A965" s="43">
        <v>147.0</v>
      </c>
      <c r="B965" s="43">
        <v>100.0</v>
      </c>
      <c r="C965" s="43">
        <v>100.0</v>
      </c>
      <c r="D965" s="43">
        <v>9.0319768E7</v>
      </c>
      <c r="E965" s="43">
        <v>9.0319768E7</v>
      </c>
      <c r="F965" s="44" t="s">
        <v>179</v>
      </c>
      <c r="G965" s="44" t="s">
        <v>180</v>
      </c>
      <c r="H965" s="44" t="s">
        <v>2320</v>
      </c>
      <c r="I965" s="44" t="s">
        <v>76</v>
      </c>
      <c r="J965" s="44" t="s">
        <v>2205</v>
      </c>
      <c r="K965" s="44" t="s">
        <v>2289</v>
      </c>
      <c r="L965" s="44" t="s">
        <v>2087</v>
      </c>
      <c r="M965" s="44" t="s">
        <v>2088</v>
      </c>
      <c r="N965" s="44" t="s">
        <v>2089</v>
      </c>
      <c r="O965" s="44" t="s">
        <v>126</v>
      </c>
      <c r="P965" s="44" t="s">
        <v>131</v>
      </c>
      <c r="Q965" s="44" t="s">
        <v>1111</v>
      </c>
      <c r="R965" s="44" t="s">
        <v>133</v>
      </c>
      <c r="S965" s="44" t="s">
        <v>59</v>
      </c>
      <c r="T965" s="43">
        <v>2026.0</v>
      </c>
      <c r="U965" s="43">
        <v>5.0</v>
      </c>
      <c r="V965" s="43">
        <v>1.081522264E9</v>
      </c>
      <c r="W965" s="43">
        <v>1.081540334E9</v>
      </c>
      <c r="X965" s="44" t="s">
        <v>2199</v>
      </c>
      <c r="Y965" s="44" t="s">
        <v>2200</v>
      </c>
      <c r="Z965" s="43">
        <v>33954.0</v>
      </c>
      <c r="AA965" s="43">
        <v>33954.0</v>
      </c>
      <c r="AB965" s="43">
        <v>0.0</v>
      </c>
      <c r="AC965" s="43">
        <v>0.0</v>
      </c>
      <c r="AD965" s="43">
        <v>0.0</v>
      </c>
      <c r="AE965" s="43">
        <v>0.0</v>
      </c>
      <c r="AF965" s="43">
        <v>0.0</v>
      </c>
      <c r="AG965" s="43">
        <v>0.0</v>
      </c>
      <c r="AH965" s="43">
        <v>0.0</v>
      </c>
      <c r="AI965" s="43">
        <v>33954.0</v>
      </c>
      <c r="AJ965" s="43">
        <v>67514.0</v>
      </c>
      <c r="AK965" s="43">
        <v>1.0</v>
      </c>
      <c r="AL965" s="43">
        <v>277.78</v>
      </c>
      <c r="AM965" s="43">
        <v>0.0</v>
      </c>
      <c r="AN965" s="45" t="s">
        <v>62</v>
      </c>
      <c r="AO965" s="45" t="s">
        <v>62</v>
      </c>
      <c r="AP965" s="45" t="s">
        <v>62</v>
      </c>
      <c r="AQ965" s="45" t="s">
        <v>62</v>
      </c>
      <c r="AR965" s="43">
        <v>0.0</v>
      </c>
      <c r="AS965" s="43" t="s">
        <v>2321</v>
      </c>
      <c r="AT965" s="48" t="s">
        <v>2202</v>
      </c>
      <c r="AU965" s="46" t="s">
        <v>2203</v>
      </c>
      <c r="AV965" s="40">
        <v>46163.0</v>
      </c>
    </row>
    <row r="966">
      <c r="A966" s="38">
        <v>13.0</v>
      </c>
      <c r="B966" s="38">
        <v>12.0</v>
      </c>
      <c r="C966" s="38">
        <v>12.0</v>
      </c>
      <c r="D966" s="38">
        <v>9.0300048E7</v>
      </c>
      <c r="E966" s="38">
        <v>9.0300048E7</v>
      </c>
      <c r="F966" s="38">
        <v>9.00409853E8</v>
      </c>
      <c r="G966" s="18" t="s">
        <v>2086</v>
      </c>
      <c r="H966" s="18" t="s">
        <v>3290</v>
      </c>
      <c r="I966" s="18" t="s">
        <v>3291</v>
      </c>
      <c r="J966" s="18" t="s">
        <v>2086</v>
      </c>
      <c r="K966" s="18" t="s">
        <v>2086</v>
      </c>
      <c r="L966" s="18" t="s">
        <v>2087</v>
      </c>
      <c r="M966" s="18" t="s">
        <v>2088</v>
      </c>
      <c r="N966" s="18" t="s">
        <v>2089</v>
      </c>
      <c r="O966" s="18" t="s">
        <v>126</v>
      </c>
      <c r="P966" s="18" t="s">
        <v>218</v>
      </c>
      <c r="Q966" s="18" t="s">
        <v>943</v>
      </c>
      <c r="R966" s="18" t="s">
        <v>133</v>
      </c>
      <c r="S966" s="18" t="s">
        <v>59</v>
      </c>
      <c r="T966" s="38">
        <v>2026.0</v>
      </c>
      <c r="U966" s="38">
        <v>5.0</v>
      </c>
      <c r="V966" s="38">
        <v>1.08152223E9</v>
      </c>
      <c r="W966" s="38">
        <v>1.0815403E9</v>
      </c>
      <c r="X966" s="18" t="s">
        <v>2199</v>
      </c>
      <c r="Y966" s="18" t="s">
        <v>2200</v>
      </c>
      <c r="Z966" s="38">
        <v>57695.73</v>
      </c>
      <c r="AA966" s="38">
        <v>57695.73</v>
      </c>
      <c r="AB966" s="38">
        <v>18825.5</v>
      </c>
      <c r="AC966" s="38">
        <v>0.0</v>
      </c>
      <c r="AD966" s="38">
        <v>1219.23</v>
      </c>
      <c r="AE966" s="38">
        <v>0.0</v>
      </c>
      <c r="AF966" s="38">
        <v>0.0</v>
      </c>
      <c r="AG966" s="38">
        <v>0.0</v>
      </c>
      <c r="AH966" s="38">
        <v>0.0</v>
      </c>
      <c r="AI966" s="38">
        <v>57695.73</v>
      </c>
      <c r="AJ966" s="38">
        <v>113438.0</v>
      </c>
      <c r="AK966" s="38">
        <v>2.0</v>
      </c>
      <c r="AL966" s="38">
        <v>416.67</v>
      </c>
      <c r="AM966" s="38">
        <v>0.0</v>
      </c>
      <c r="AN966" s="34" t="s">
        <v>62</v>
      </c>
      <c r="AO966" s="34" t="s">
        <v>62</v>
      </c>
      <c r="AP966" s="34" t="s">
        <v>62</v>
      </c>
      <c r="AQ966" s="34" t="s">
        <v>62</v>
      </c>
      <c r="AR966" s="38">
        <v>0.0</v>
      </c>
      <c r="AS966" s="38" t="s">
        <v>3292</v>
      </c>
      <c r="AT966" s="35" t="s">
        <v>2275</v>
      </c>
      <c r="AU966" s="39" t="s">
        <v>3250</v>
      </c>
      <c r="AV966" s="40">
        <v>46163.0</v>
      </c>
    </row>
    <row r="967">
      <c r="A967" s="38">
        <v>4.0</v>
      </c>
      <c r="B967" s="38">
        <v>16.0</v>
      </c>
      <c r="C967" s="38">
        <v>16.0</v>
      </c>
      <c r="D967" s="38">
        <v>9.0300052E7</v>
      </c>
      <c r="E967" s="38">
        <v>9.0300052E7</v>
      </c>
      <c r="F967" s="38">
        <v>8.90505256E8</v>
      </c>
      <c r="G967" s="18" t="s">
        <v>2086</v>
      </c>
      <c r="H967" s="18" t="s">
        <v>3293</v>
      </c>
      <c r="I967" s="18" t="s">
        <v>3291</v>
      </c>
      <c r="J967" s="18" t="s">
        <v>2086</v>
      </c>
      <c r="K967" s="18" t="s">
        <v>2086</v>
      </c>
      <c r="L967" s="18" t="s">
        <v>2087</v>
      </c>
      <c r="M967" s="18" t="s">
        <v>2091</v>
      </c>
      <c r="N967" s="18" t="s">
        <v>2089</v>
      </c>
      <c r="O967" s="18" t="s">
        <v>126</v>
      </c>
      <c r="P967" s="18" t="s">
        <v>218</v>
      </c>
      <c r="Q967" s="18" t="s">
        <v>943</v>
      </c>
      <c r="R967" s="18" t="s">
        <v>133</v>
      </c>
      <c r="S967" s="18" t="s">
        <v>59</v>
      </c>
      <c r="T967" s="38">
        <v>2026.0</v>
      </c>
      <c r="U967" s="38">
        <v>5.0</v>
      </c>
      <c r="V967" s="38">
        <v>1.081522234E9</v>
      </c>
      <c r="W967" s="38">
        <v>1.081540304E9</v>
      </c>
      <c r="X967" s="18" t="s">
        <v>2199</v>
      </c>
      <c r="Y967" s="18" t="s">
        <v>2200</v>
      </c>
      <c r="Z967" s="38">
        <v>56476.5</v>
      </c>
      <c r="AA967" s="38">
        <v>56476.5</v>
      </c>
      <c r="AB967" s="38">
        <v>18825.5</v>
      </c>
      <c r="AC967" s="38">
        <v>0.0</v>
      </c>
      <c r="AD967" s="38">
        <v>0.0</v>
      </c>
      <c r="AE967" s="38">
        <v>0.0</v>
      </c>
      <c r="AF967" s="38">
        <v>0.0</v>
      </c>
      <c r="AG967" s="38">
        <v>0.0</v>
      </c>
      <c r="AH967" s="38">
        <v>0.0</v>
      </c>
      <c r="AI967" s="38">
        <v>56476.5</v>
      </c>
      <c r="AJ967" s="38">
        <v>112572.66</v>
      </c>
      <c r="AK967" s="38">
        <v>1.0</v>
      </c>
      <c r="AL967" s="38">
        <v>416.67</v>
      </c>
      <c r="AM967" s="38">
        <v>0.0</v>
      </c>
      <c r="AN967" s="34" t="s">
        <v>62</v>
      </c>
      <c r="AO967" s="34" t="s">
        <v>62</v>
      </c>
      <c r="AP967" s="34" t="s">
        <v>62</v>
      </c>
      <c r="AQ967" s="34" t="s">
        <v>62</v>
      </c>
      <c r="AR967" s="38">
        <v>0.0</v>
      </c>
      <c r="AS967" s="38" t="s">
        <v>3294</v>
      </c>
      <c r="AT967" s="35" t="s">
        <v>2275</v>
      </c>
      <c r="AU967" s="39" t="s">
        <v>3250</v>
      </c>
      <c r="AV967" s="40">
        <v>46163.0</v>
      </c>
    </row>
    <row r="968">
      <c r="A968" s="38">
        <v>21.0</v>
      </c>
      <c r="B968" s="38">
        <v>20.0</v>
      </c>
      <c r="C968" s="38">
        <v>20.0</v>
      </c>
      <c r="D968" s="38">
        <v>9.0300056E7</v>
      </c>
      <c r="E968" s="38">
        <v>9.0300056E7</v>
      </c>
      <c r="F968" s="38">
        <v>9.01381278E8</v>
      </c>
      <c r="G968" s="18" t="s">
        <v>2086</v>
      </c>
      <c r="H968" s="18" t="s">
        <v>3295</v>
      </c>
      <c r="I968" s="18" t="s">
        <v>3291</v>
      </c>
      <c r="J968" s="18" t="s">
        <v>2086</v>
      </c>
      <c r="K968" s="18" t="s">
        <v>2086</v>
      </c>
      <c r="L968" s="18" t="s">
        <v>2087</v>
      </c>
      <c r="M968" s="18" t="s">
        <v>2088</v>
      </c>
      <c r="N968" s="18" t="s">
        <v>2089</v>
      </c>
      <c r="O968" s="18" t="s">
        <v>126</v>
      </c>
      <c r="P968" s="18" t="s">
        <v>218</v>
      </c>
      <c r="Q968" s="18" t="s">
        <v>943</v>
      </c>
      <c r="R968" s="18" t="s">
        <v>133</v>
      </c>
      <c r="S968" s="18" t="s">
        <v>59</v>
      </c>
      <c r="T968" s="38">
        <v>2026.0</v>
      </c>
      <c r="U968" s="38">
        <v>5.0</v>
      </c>
      <c r="V968" s="38">
        <v>1.081522238E9</v>
      </c>
      <c r="W968" s="38">
        <v>1.081540308E9</v>
      </c>
      <c r="X968" s="18" t="s">
        <v>2199</v>
      </c>
      <c r="Y968" s="18" t="s">
        <v>2200</v>
      </c>
      <c r="Z968" s="38">
        <v>56476.5</v>
      </c>
      <c r="AA968" s="38">
        <v>56476.5</v>
      </c>
      <c r="AB968" s="38">
        <v>18825.5</v>
      </c>
      <c r="AC968" s="38">
        <v>0.0</v>
      </c>
      <c r="AD968" s="38">
        <v>0.0</v>
      </c>
      <c r="AE968" s="38">
        <v>0.0</v>
      </c>
      <c r="AF968" s="38">
        <v>0.0</v>
      </c>
      <c r="AG968" s="38">
        <v>0.0</v>
      </c>
      <c r="AH968" s="38">
        <v>0.0</v>
      </c>
      <c r="AI968" s="38">
        <v>56476.5</v>
      </c>
      <c r="AJ968" s="38">
        <v>56476.5</v>
      </c>
      <c r="AK968" s="38">
        <v>0.0</v>
      </c>
      <c r="AL968" s="38">
        <v>416.67</v>
      </c>
      <c r="AM968" s="38">
        <v>0.0</v>
      </c>
      <c r="AN968" s="34" t="s">
        <v>62</v>
      </c>
      <c r="AO968" s="34" t="s">
        <v>62</v>
      </c>
      <c r="AP968" s="34" t="s">
        <v>62</v>
      </c>
      <c r="AQ968" s="34" t="s">
        <v>62</v>
      </c>
      <c r="AR968" s="38">
        <v>0.0</v>
      </c>
      <c r="AS968" s="38" t="s">
        <v>3296</v>
      </c>
      <c r="AT968" s="35" t="s">
        <v>2275</v>
      </c>
      <c r="AU968" s="39" t="s">
        <v>3250</v>
      </c>
      <c r="AV968" s="40">
        <v>46163.0</v>
      </c>
    </row>
    <row r="969">
      <c r="A969" s="38">
        <v>25.0</v>
      </c>
      <c r="B969" s="38">
        <v>24.0</v>
      </c>
      <c r="C969" s="38">
        <v>24.0</v>
      </c>
      <c r="D969" s="38">
        <v>9.030006E7</v>
      </c>
      <c r="E969" s="38">
        <v>9.030006E7</v>
      </c>
      <c r="F969" s="38">
        <v>9.030006E7</v>
      </c>
      <c r="G969" s="18" t="s">
        <v>2097</v>
      </c>
      <c r="H969" s="18" t="s">
        <v>3297</v>
      </c>
      <c r="I969" s="18" t="s">
        <v>3291</v>
      </c>
      <c r="J969" s="18" t="s">
        <v>2205</v>
      </c>
      <c r="K969" s="18" t="s">
        <v>2097</v>
      </c>
      <c r="L969" s="18" t="s">
        <v>2087</v>
      </c>
      <c r="M969" s="18" t="s">
        <v>2088</v>
      </c>
      <c r="N969" s="18" t="s">
        <v>2089</v>
      </c>
      <c r="O969" s="18" t="s">
        <v>126</v>
      </c>
      <c r="P969" s="18" t="s">
        <v>218</v>
      </c>
      <c r="Q969" s="18" t="s">
        <v>943</v>
      </c>
      <c r="R969" s="18" t="s">
        <v>133</v>
      </c>
      <c r="S969" s="18" t="s">
        <v>59</v>
      </c>
      <c r="T969" s="38">
        <v>2026.0</v>
      </c>
      <c r="U969" s="38">
        <v>5.0</v>
      </c>
      <c r="V969" s="38">
        <v>1.08152224E9</v>
      </c>
      <c r="W969" s="38">
        <v>1.08154031E9</v>
      </c>
      <c r="X969" s="18" t="s">
        <v>2199</v>
      </c>
      <c r="Y969" s="18" t="s">
        <v>2200</v>
      </c>
      <c r="Z969" s="38">
        <v>56476.5</v>
      </c>
      <c r="AA969" s="38">
        <v>56476.5</v>
      </c>
      <c r="AB969" s="38">
        <v>18825.5</v>
      </c>
      <c r="AC969" s="38">
        <v>0.0</v>
      </c>
      <c r="AD969" s="38">
        <v>0.0</v>
      </c>
      <c r="AE969" s="38">
        <v>0.0</v>
      </c>
      <c r="AF969" s="38">
        <v>0.0</v>
      </c>
      <c r="AG969" s="38">
        <v>0.0</v>
      </c>
      <c r="AH969" s="38">
        <v>0.0</v>
      </c>
      <c r="AI969" s="38">
        <v>56476.5</v>
      </c>
      <c r="AJ969" s="38">
        <v>112218.0</v>
      </c>
      <c r="AK969" s="38">
        <v>1.0</v>
      </c>
      <c r="AL969" s="38">
        <v>416.67</v>
      </c>
      <c r="AM969" s="38">
        <v>0.0</v>
      </c>
      <c r="AN969" s="34" t="s">
        <v>62</v>
      </c>
      <c r="AO969" s="34" t="s">
        <v>62</v>
      </c>
      <c r="AP969" s="34" t="s">
        <v>62</v>
      </c>
      <c r="AQ969" s="34" t="s">
        <v>62</v>
      </c>
      <c r="AR969" s="38">
        <v>0.0</v>
      </c>
      <c r="AS969" s="34"/>
      <c r="AT969" s="35" t="s">
        <v>2275</v>
      </c>
      <c r="AU969" s="39" t="s">
        <v>3250</v>
      </c>
      <c r="AV969" s="40">
        <v>46163.0</v>
      </c>
    </row>
    <row r="970">
      <c r="A970" s="38">
        <v>29.0</v>
      </c>
      <c r="B970" s="38">
        <v>28.0</v>
      </c>
      <c r="C970" s="38">
        <v>28.0</v>
      </c>
      <c r="D970" s="38">
        <v>9.0300067E7</v>
      </c>
      <c r="E970" s="38">
        <v>9.0300067E7</v>
      </c>
      <c r="F970" s="38">
        <v>9.0300067E7</v>
      </c>
      <c r="G970" s="18" t="s">
        <v>2097</v>
      </c>
      <c r="H970" s="18" t="s">
        <v>3298</v>
      </c>
      <c r="I970" s="18" t="s">
        <v>3291</v>
      </c>
      <c r="J970" s="18" t="s">
        <v>2205</v>
      </c>
      <c r="K970" s="18" t="s">
        <v>2097</v>
      </c>
      <c r="L970" s="18" t="s">
        <v>2087</v>
      </c>
      <c r="M970" s="18" t="s">
        <v>2088</v>
      </c>
      <c r="N970" s="18" t="s">
        <v>2089</v>
      </c>
      <c r="O970" s="18" t="s">
        <v>126</v>
      </c>
      <c r="P970" s="18" t="s">
        <v>218</v>
      </c>
      <c r="Q970" s="18" t="s">
        <v>943</v>
      </c>
      <c r="R970" s="18" t="s">
        <v>133</v>
      </c>
      <c r="S970" s="18" t="s">
        <v>59</v>
      </c>
      <c r="T970" s="38">
        <v>2026.0</v>
      </c>
      <c r="U970" s="38">
        <v>5.0</v>
      </c>
      <c r="V970" s="38">
        <v>1.081522245E9</v>
      </c>
      <c r="W970" s="38">
        <v>1.081540315E9</v>
      </c>
      <c r="X970" s="18" t="s">
        <v>2199</v>
      </c>
      <c r="Y970" s="18" t="s">
        <v>2200</v>
      </c>
      <c r="Z970" s="38">
        <v>56476.5</v>
      </c>
      <c r="AA970" s="38">
        <v>56476.5</v>
      </c>
      <c r="AB970" s="38">
        <v>18825.5</v>
      </c>
      <c r="AC970" s="38">
        <v>0.0</v>
      </c>
      <c r="AD970" s="38">
        <v>0.0</v>
      </c>
      <c r="AE970" s="38">
        <v>0.0</v>
      </c>
      <c r="AF970" s="38">
        <v>0.0</v>
      </c>
      <c r="AG970" s="38">
        <v>0.0</v>
      </c>
      <c r="AH970" s="38">
        <v>0.0</v>
      </c>
      <c r="AI970" s="38">
        <v>56476.5</v>
      </c>
      <c r="AJ970" s="38">
        <v>56476.5</v>
      </c>
      <c r="AK970" s="38">
        <v>0.0</v>
      </c>
      <c r="AL970" s="38">
        <v>416.67</v>
      </c>
      <c r="AM970" s="38">
        <v>0.0</v>
      </c>
      <c r="AN970" s="34" t="s">
        <v>62</v>
      </c>
      <c r="AO970" s="34" t="s">
        <v>62</v>
      </c>
      <c r="AP970" s="34" t="s">
        <v>62</v>
      </c>
      <c r="AQ970" s="34" t="s">
        <v>62</v>
      </c>
      <c r="AR970" s="38">
        <v>0.0</v>
      </c>
      <c r="AS970" s="38" t="s">
        <v>3299</v>
      </c>
      <c r="AT970" s="35" t="s">
        <v>2275</v>
      </c>
      <c r="AU970" s="39" t="s">
        <v>3250</v>
      </c>
      <c r="AV970" s="40">
        <v>46163.0</v>
      </c>
    </row>
    <row r="971">
      <c r="A971" s="38">
        <v>33.0</v>
      </c>
      <c r="B971" s="38">
        <v>32.0</v>
      </c>
      <c r="C971" s="38">
        <v>32.0</v>
      </c>
      <c r="D971" s="38">
        <v>9.0300072E7</v>
      </c>
      <c r="E971" s="38">
        <v>9.0300072E7</v>
      </c>
      <c r="F971" s="38">
        <v>9.0300072E7</v>
      </c>
      <c r="G971" s="18" t="s">
        <v>2097</v>
      </c>
      <c r="H971" s="18" t="s">
        <v>3300</v>
      </c>
      <c r="I971" s="18" t="s">
        <v>3291</v>
      </c>
      <c r="J971" s="18" t="s">
        <v>2205</v>
      </c>
      <c r="K971" s="18" t="s">
        <v>2097</v>
      </c>
      <c r="L971" s="18" t="s">
        <v>2087</v>
      </c>
      <c r="M971" s="18" t="s">
        <v>2088</v>
      </c>
      <c r="N971" s="18" t="s">
        <v>2089</v>
      </c>
      <c r="O971" s="18" t="s">
        <v>126</v>
      </c>
      <c r="P971" s="18" t="s">
        <v>218</v>
      </c>
      <c r="Q971" s="18" t="s">
        <v>943</v>
      </c>
      <c r="R971" s="18" t="s">
        <v>133</v>
      </c>
      <c r="S971" s="18" t="s">
        <v>59</v>
      </c>
      <c r="T971" s="38">
        <v>2026.0</v>
      </c>
      <c r="U971" s="38">
        <v>5.0</v>
      </c>
      <c r="V971" s="38">
        <v>1.081522248E9</v>
      </c>
      <c r="W971" s="38">
        <v>1.081540318E9</v>
      </c>
      <c r="X971" s="18" t="s">
        <v>2199</v>
      </c>
      <c r="Y971" s="18" t="s">
        <v>2200</v>
      </c>
      <c r="Z971" s="38">
        <v>59881.84</v>
      </c>
      <c r="AA971" s="38">
        <v>59881.84</v>
      </c>
      <c r="AB971" s="38">
        <v>18825.5</v>
      </c>
      <c r="AC971" s="38">
        <v>0.0</v>
      </c>
      <c r="AD971" s="38">
        <v>3405.34</v>
      </c>
      <c r="AE971" s="38">
        <v>0.0</v>
      </c>
      <c r="AF971" s="38">
        <v>0.0</v>
      </c>
      <c r="AG971" s="38">
        <v>0.0</v>
      </c>
      <c r="AH971" s="38">
        <v>0.0</v>
      </c>
      <c r="AI971" s="38">
        <v>59881.84</v>
      </c>
      <c r="AJ971" s="38">
        <v>242879.62</v>
      </c>
      <c r="AK971" s="38">
        <v>4.0</v>
      </c>
      <c r="AL971" s="38">
        <v>416.67</v>
      </c>
      <c r="AM971" s="38">
        <v>0.0</v>
      </c>
      <c r="AN971" s="34" t="s">
        <v>62</v>
      </c>
      <c r="AO971" s="34" t="s">
        <v>62</v>
      </c>
      <c r="AP971" s="34" t="s">
        <v>62</v>
      </c>
      <c r="AQ971" s="34" t="s">
        <v>62</v>
      </c>
      <c r="AR971" s="38">
        <v>0.0</v>
      </c>
      <c r="AS971" s="34"/>
      <c r="AT971" s="35" t="s">
        <v>2275</v>
      </c>
      <c r="AU971" s="39" t="s">
        <v>3250</v>
      </c>
      <c r="AV971" s="40">
        <v>46163.0</v>
      </c>
    </row>
    <row r="972">
      <c r="A972" s="38">
        <v>350.0</v>
      </c>
      <c r="B972" s="38">
        <v>335792.0</v>
      </c>
      <c r="C972" s="38">
        <v>335792.0</v>
      </c>
      <c r="D972" s="38">
        <v>4098.0</v>
      </c>
      <c r="E972" s="38">
        <v>4098.0</v>
      </c>
      <c r="F972" s="38">
        <v>9.00603041E8</v>
      </c>
      <c r="G972" s="18" t="s">
        <v>400</v>
      </c>
      <c r="H972" s="18" t="s">
        <v>2304</v>
      </c>
      <c r="I972" s="18" t="s">
        <v>3301</v>
      </c>
      <c r="J972" s="18" t="s">
        <v>2205</v>
      </c>
      <c r="K972" s="18" t="s">
        <v>2305</v>
      </c>
      <c r="L972" s="18" t="s">
        <v>2087</v>
      </c>
      <c r="M972" s="18" t="s">
        <v>2088</v>
      </c>
      <c r="N972" s="18" t="s">
        <v>2089</v>
      </c>
      <c r="O972" s="18" t="s">
        <v>126</v>
      </c>
      <c r="P972" s="18" t="s">
        <v>56</v>
      </c>
      <c r="Q972" s="18" t="s">
        <v>90</v>
      </c>
      <c r="R972" s="18" t="s">
        <v>143</v>
      </c>
      <c r="S972" s="18" t="s">
        <v>59</v>
      </c>
      <c r="T972" s="38">
        <v>2026.0</v>
      </c>
      <c r="U972" s="38">
        <v>5.0</v>
      </c>
      <c r="V972" s="38">
        <v>1.081522279E9</v>
      </c>
      <c r="W972" s="38">
        <v>1.081540349E9</v>
      </c>
      <c r="X972" s="18" t="s">
        <v>2199</v>
      </c>
      <c r="Y972" s="18" t="s">
        <v>2200</v>
      </c>
      <c r="Z972" s="38">
        <v>99291.75</v>
      </c>
      <c r="AA972" s="38">
        <v>99291.75</v>
      </c>
      <c r="AB972" s="38">
        <v>33097.25</v>
      </c>
      <c r="AC972" s="38">
        <v>250.0</v>
      </c>
      <c r="AD972" s="38">
        <v>0.0</v>
      </c>
      <c r="AE972" s="38">
        <v>0.0</v>
      </c>
      <c r="AF972" s="38">
        <v>0.0</v>
      </c>
      <c r="AG972" s="38">
        <v>0.0</v>
      </c>
      <c r="AH972" s="38">
        <v>0.0</v>
      </c>
      <c r="AI972" s="38">
        <v>99291.75</v>
      </c>
      <c r="AJ972" s="38">
        <v>99291.75</v>
      </c>
      <c r="AK972" s="38">
        <v>0.0</v>
      </c>
      <c r="AL972" s="38">
        <v>416.67</v>
      </c>
      <c r="AM972" s="38">
        <v>0.0</v>
      </c>
      <c r="AN972" s="34" t="s">
        <v>62</v>
      </c>
      <c r="AO972" s="34" t="s">
        <v>62</v>
      </c>
      <c r="AP972" s="34" t="s">
        <v>62</v>
      </c>
      <c r="AQ972" s="34" t="s">
        <v>62</v>
      </c>
      <c r="AR972" s="38">
        <v>0.0</v>
      </c>
      <c r="AS972" s="38" t="s">
        <v>2306</v>
      </c>
      <c r="AT972" s="35" t="s">
        <v>2202</v>
      </c>
      <c r="AU972" s="39" t="s">
        <v>2203</v>
      </c>
      <c r="AV972" s="40">
        <v>46164.0</v>
      </c>
    </row>
    <row r="973">
      <c r="A973" s="38">
        <v>37.0</v>
      </c>
      <c r="B973" s="38">
        <v>36.0</v>
      </c>
      <c r="C973" s="38">
        <v>36.0</v>
      </c>
      <c r="D973" s="38">
        <v>9.0300076E7</v>
      </c>
      <c r="E973" s="38">
        <v>9.0300076E7</v>
      </c>
      <c r="F973" s="38">
        <v>9.0300076E7</v>
      </c>
      <c r="G973" s="18" t="s">
        <v>2097</v>
      </c>
      <c r="H973" s="18" t="s">
        <v>3302</v>
      </c>
      <c r="I973" s="18" t="s">
        <v>3291</v>
      </c>
      <c r="J973" s="18" t="s">
        <v>2205</v>
      </c>
      <c r="K973" s="18" t="s">
        <v>2097</v>
      </c>
      <c r="L973" s="18" t="s">
        <v>2087</v>
      </c>
      <c r="M973" s="18" t="s">
        <v>2088</v>
      </c>
      <c r="N973" s="18" t="s">
        <v>2089</v>
      </c>
      <c r="O973" s="18" t="s">
        <v>126</v>
      </c>
      <c r="P973" s="18" t="s">
        <v>218</v>
      </c>
      <c r="Q973" s="18" t="s">
        <v>943</v>
      </c>
      <c r="R973" s="18" t="s">
        <v>133</v>
      </c>
      <c r="S973" s="18" t="s">
        <v>59</v>
      </c>
      <c r="T973" s="38">
        <v>2026.0</v>
      </c>
      <c r="U973" s="38">
        <v>5.0</v>
      </c>
      <c r="V973" s="38">
        <v>1.081522254E9</v>
      </c>
      <c r="W973" s="38">
        <v>1.081540324E9</v>
      </c>
      <c r="X973" s="18" t="s">
        <v>2199</v>
      </c>
      <c r="Y973" s="18" t="s">
        <v>2200</v>
      </c>
      <c r="Z973" s="38">
        <v>56476.5</v>
      </c>
      <c r="AA973" s="38">
        <v>56476.5</v>
      </c>
      <c r="AB973" s="38">
        <v>18825.5</v>
      </c>
      <c r="AC973" s="38">
        <v>0.0</v>
      </c>
      <c r="AD973" s="38">
        <v>0.0</v>
      </c>
      <c r="AE973" s="38">
        <v>0.0</v>
      </c>
      <c r="AF973" s="38">
        <v>0.0</v>
      </c>
      <c r="AG973" s="38">
        <v>0.0</v>
      </c>
      <c r="AH973" s="38">
        <v>0.0</v>
      </c>
      <c r="AI973" s="38">
        <v>56476.5</v>
      </c>
      <c r="AJ973" s="38">
        <v>56476.5</v>
      </c>
      <c r="AK973" s="38">
        <v>0.0</v>
      </c>
      <c r="AL973" s="38">
        <v>416.67</v>
      </c>
      <c r="AM973" s="38">
        <v>0.0</v>
      </c>
      <c r="AN973" s="34" t="s">
        <v>62</v>
      </c>
      <c r="AO973" s="34" t="s">
        <v>62</v>
      </c>
      <c r="AP973" s="34" t="s">
        <v>62</v>
      </c>
      <c r="AQ973" s="34" t="s">
        <v>62</v>
      </c>
      <c r="AR973" s="38">
        <v>0.0</v>
      </c>
      <c r="AS973" s="34"/>
      <c r="AT973" s="35" t="s">
        <v>2275</v>
      </c>
      <c r="AU973" s="39" t="s">
        <v>3250</v>
      </c>
      <c r="AV973" s="40">
        <v>46163.0</v>
      </c>
    </row>
    <row r="974">
      <c r="A974" s="38">
        <v>5.0</v>
      </c>
      <c r="B974" s="38">
        <v>4.0</v>
      </c>
      <c r="C974" s="38">
        <v>4.0</v>
      </c>
      <c r="D974" s="38">
        <v>9.030004E7</v>
      </c>
      <c r="E974" s="38">
        <v>9.030004E7</v>
      </c>
      <c r="F974" s="38">
        <v>4.1612756E7</v>
      </c>
      <c r="G974" s="18" t="s">
        <v>2086</v>
      </c>
      <c r="H974" s="18" t="s">
        <v>3303</v>
      </c>
      <c r="I974" s="18" t="s">
        <v>3291</v>
      </c>
      <c r="J974" s="18" t="s">
        <v>2086</v>
      </c>
      <c r="K974" s="18" t="s">
        <v>2086</v>
      </c>
      <c r="L974" s="18" t="s">
        <v>2087</v>
      </c>
      <c r="M974" s="18" t="s">
        <v>2088</v>
      </c>
      <c r="N974" s="18" t="s">
        <v>2089</v>
      </c>
      <c r="O974" s="18" t="s">
        <v>126</v>
      </c>
      <c r="P974" s="18" t="s">
        <v>218</v>
      </c>
      <c r="Q974" s="18" t="s">
        <v>943</v>
      </c>
      <c r="R974" s="18" t="s">
        <v>133</v>
      </c>
      <c r="S974" s="18" t="s">
        <v>59</v>
      </c>
      <c r="T974" s="38">
        <v>2026.0</v>
      </c>
      <c r="U974" s="38">
        <v>5.0</v>
      </c>
      <c r="V974" s="38">
        <v>1.08152222E9</v>
      </c>
      <c r="W974" s="38">
        <v>1.08154029E9</v>
      </c>
      <c r="X974" s="18" t="s">
        <v>2199</v>
      </c>
      <c r="Y974" s="18" t="s">
        <v>2200</v>
      </c>
      <c r="Z974" s="38">
        <v>56476.5</v>
      </c>
      <c r="AA974" s="38">
        <v>56476.5</v>
      </c>
      <c r="AB974" s="38">
        <v>18825.5</v>
      </c>
      <c r="AC974" s="38">
        <v>0.0</v>
      </c>
      <c r="AD974" s="38">
        <v>0.0</v>
      </c>
      <c r="AE974" s="38">
        <v>0.0</v>
      </c>
      <c r="AF974" s="38">
        <v>0.0</v>
      </c>
      <c r="AG974" s="38">
        <v>0.0</v>
      </c>
      <c r="AH974" s="38">
        <v>0.0</v>
      </c>
      <c r="AI974" s="38">
        <v>56476.5</v>
      </c>
      <c r="AJ974" s="38">
        <v>56476.5</v>
      </c>
      <c r="AK974" s="38">
        <v>0.0</v>
      </c>
      <c r="AL974" s="38">
        <v>416.67</v>
      </c>
      <c r="AM974" s="38">
        <v>0.0</v>
      </c>
      <c r="AN974" s="34" t="s">
        <v>62</v>
      </c>
      <c r="AO974" s="34" t="s">
        <v>62</v>
      </c>
      <c r="AP974" s="34" t="s">
        <v>62</v>
      </c>
      <c r="AQ974" s="34" t="s">
        <v>62</v>
      </c>
      <c r="AR974" s="38">
        <v>0.0</v>
      </c>
      <c r="AS974" s="38" t="s">
        <v>3304</v>
      </c>
      <c r="AT974" s="35" t="s">
        <v>2275</v>
      </c>
      <c r="AU974" s="39" t="s">
        <v>3250</v>
      </c>
      <c r="AV974" s="40">
        <v>46163.0</v>
      </c>
    </row>
    <row r="975">
      <c r="A975" s="38">
        <v>441.0</v>
      </c>
      <c r="B975" s="38">
        <v>40.0</v>
      </c>
      <c r="C975" s="38">
        <v>40.0</v>
      </c>
      <c r="D975" s="38">
        <v>9.0310046E7</v>
      </c>
      <c r="E975" s="38">
        <v>9.0310046E7</v>
      </c>
      <c r="F975" s="18" t="s">
        <v>1590</v>
      </c>
      <c r="G975" s="18" t="s">
        <v>1591</v>
      </c>
      <c r="H975" s="18" t="s">
        <v>3059</v>
      </c>
      <c r="I975" s="18" t="s">
        <v>3305</v>
      </c>
      <c r="J975" s="18" t="s">
        <v>2205</v>
      </c>
      <c r="K975" s="18" t="s">
        <v>3060</v>
      </c>
      <c r="L975" s="18" t="s">
        <v>2087</v>
      </c>
      <c r="M975" s="18" t="s">
        <v>2088</v>
      </c>
      <c r="N975" s="18" t="s">
        <v>2089</v>
      </c>
      <c r="O975" s="18" t="s">
        <v>126</v>
      </c>
      <c r="P975" s="18" t="s">
        <v>56</v>
      </c>
      <c r="Q975" s="18" t="s">
        <v>90</v>
      </c>
      <c r="R975" s="18" t="s">
        <v>143</v>
      </c>
      <c r="S975" s="18" t="s">
        <v>59</v>
      </c>
      <c r="T975" s="38">
        <v>2026.0</v>
      </c>
      <c r="U975" s="38">
        <v>5.0</v>
      </c>
      <c r="V975" s="38">
        <v>1.081522257E9</v>
      </c>
      <c r="W975" s="38">
        <v>1.081540327E9</v>
      </c>
      <c r="X975" s="18" t="s">
        <v>2199</v>
      </c>
      <c r="Y975" s="18" t="s">
        <v>2200</v>
      </c>
      <c r="Z975" s="38">
        <v>572432.08</v>
      </c>
      <c r="AA975" s="38">
        <v>572432.08</v>
      </c>
      <c r="AB975" s="38">
        <v>190810.7</v>
      </c>
      <c r="AC975" s="38">
        <v>1857.5</v>
      </c>
      <c r="AD975" s="38">
        <v>0.0</v>
      </c>
      <c r="AE975" s="38">
        <v>0.0</v>
      </c>
      <c r="AF975" s="38">
        <v>0.0</v>
      </c>
      <c r="AG975" s="38">
        <v>0.0</v>
      </c>
      <c r="AH975" s="38">
        <v>0.0</v>
      </c>
      <c r="AI975" s="38">
        <v>572432.08</v>
      </c>
      <c r="AJ975" s="38">
        <v>572432.5</v>
      </c>
      <c r="AK975" s="38">
        <v>1.0</v>
      </c>
      <c r="AL975" s="38">
        <v>416.67</v>
      </c>
      <c r="AM975" s="38">
        <v>0.0</v>
      </c>
      <c r="AN975" s="34" t="s">
        <v>62</v>
      </c>
      <c r="AO975" s="34" t="s">
        <v>62</v>
      </c>
      <c r="AP975" s="34" t="s">
        <v>62</v>
      </c>
      <c r="AQ975" s="34" t="s">
        <v>62</v>
      </c>
      <c r="AR975" s="38">
        <v>0.0</v>
      </c>
      <c r="AS975" s="38" t="s">
        <v>3061</v>
      </c>
      <c r="AT975" s="35" t="s">
        <v>2202</v>
      </c>
      <c r="AU975" s="39" t="s">
        <v>2203</v>
      </c>
      <c r="AV975" s="40">
        <v>46169.0</v>
      </c>
    </row>
    <row r="976">
      <c r="A976" s="38">
        <v>699.0</v>
      </c>
      <c r="B976" s="38">
        <v>454844.0</v>
      </c>
      <c r="C976" s="38">
        <v>479376.0</v>
      </c>
      <c r="D976" s="38">
        <v>1058049.0</v>
      </c>
      <c r="E976" s="38">
        <v>1058049.0</v>
      </c>
      <c r="F976" s="38">
        <v>9.00480569E8</v>
      </c>
      <c r="G976" s="18" t="s">
        <v>141</v>
      </c>
      <c r="H976" s="18" t="s">
        <v>2255</v>
      </c>
      <c r="I976" s="18" t="s">
        <v>3291</v>
      </c>
      <c r="J976" s="18" t="s">
        <v>2091</v>
      </c>
      <c r="K976" s="18" t="s">
        <v>3306</v>
      </c>
      <c r="L976" s="18" t="s">
        <v>2087</v>
      </c>
      <c r="M976" s="18" t="s">
        <v>2091</v>
      </c>
      <c r="N976" s="18" t="s">
        <v>2089</v>
      </c>
      <c r="O976" s="18" t="s">
        <v>126</v>
      </c>
      <c r="P976" s="18" t="s">
        <v>56</v>
      </c>
      <c r="Q976" s="18" t="s">
        <v>90</v>
      </c>
      <c r="R976" s="18" t="s">
        <v>143</v>
      </c>
      <c r="S976" s="18" t="s">
        <v>59</v>
      </c>
      <c r="T976" s="38">
        <v>2026.0</v>
      </c>
      <c r="U976" s="38">
        <v>5.0</v>
      </c>
      <c r="V976" s="38">
        <v>1.081522282E9</v>
      </c>
      <c r="W976" s="38">
        <v>1.081540352E9</v>
      </c>
      <c r="X976" s="18" t="s">
        <v>2199</v>
      </c>
      <c r="Y976" s="18" t="s">
        <v>2200</v>
      </c>
      <c r="Z976" s="38">
        <v>1874327.45</v>
      </c>
      <c r="AA976" s="38">
        <v>1874327.45</v>
      </c>
      <c r="AB976" s="38">
        <v>523652.25</v>
      </c>
      <c r="AC976" s="38">
        <v>5250.0</v>
      </c>
      <c r="AD976" s="38">
        <v>303370.7</v>
      </c>
      <c r="AE976" s="38">
        <v>0.0</v>
      </c>
      <c r="AF976" s="38">
        <v>0.0</v>
      </c>
      <c r="AG976" s="38">
        <v>0.0</v>
      </c>
      <c r="AH976" s="38">
        <v>0.0</v>
      </c>
      <c r="AI976" s="38">
        <v>1874327.45</v>
      </c>
      <c r="AJ976" s="38">
        <v>2.094521128E7</v>
      </c>
      <c r="AK976" s="38">
        <v>7.0</v>
      </c>
      <c r="AL976" s="38">
        <v>416.67</v>
      </c>
      <c r="AM976" s="38">
        <v>0.0</v>
      </c>
      <c r="AN976" s="34" t="s">
        <v>62</v>
      </c>
      <c r="AO976" s="34" t="s">
        <v>62</v>
      </c>
      <c r="AP976" s="34" t="s">
        <v>62</v>
      </c>
      <c r="AQ976" s="34" t="s">
        <v>62</v>
      </c>
      <c r="AR976" s="38">
        <v>0.0</v>
      </c>
      <c r="AS976" s="38" t="s">
        <v>3307</v>
      </c>
      <c r="AT976" s="35" t="s">
        <v>2202</v>
      </c>
      <c r="AU976" s="39" t="s">
        <v>3250</v>
      </c>
      <c r="AV976" s="40">
        <v>46163.0</v>
      </c>
    </row>
    <row r="977">
      <c r="A977" s="38">
        <v>285191.0</v>
      </c>
      <c r="B977" s="38">
        <v>461780.0</v>
      </c>
      <c r="C977" s="38">
        <v>490746.0</v>
      </c>
      <c r="D977" s="38">
        <v>1092456.0</v>
      </c>
      <c r="E977" s="38">
        <v>1092456.0</v>
      </c>
      <c r="F977" s="38">
        <v>9.00276962E8</v>
      </c>
      <c r="G977" s="18" t="s">
        <v>128</v>
      </c>
      <c r="H977" s="18" t="s">
        <v>2269</v>
      </c>
      <c r="I977" s="18" t="s">
        <v>991</v>
      </c>
      <c r="J977" s="18" t="s">
        <v>2205</v>
      </c>
      <c r="K977" s="18" t="s">
        <v>2270</v>
      </c>
      <c r="L977" s="18" t="s">
        <v>2087</v>
      </c>
      <c r="M977" s="18" t="s">
        <v>2088</v>
      </c>
      <c r="N977" s="18" t="s">
        <v>2089</v>
      </c>
      <c r="O977" s="18" t="s">
        <v>126</v>
      </c>
      <c r="P977" s="18" t="s">
        <v>131</v>
      </c>
      <c r="Q977" s="18" t="s">
        <v>132</v>
      </c>
      <c r="R977" s="18" t="s">
        <v>133</v>
      </c>
      <c r="S977" s="18" t="s">
        <v>59</v>
      </c>
      <c r="T977" s="38">
        <v>2026.0</v>
      </c>
      <c r="U977" s="38">
        <v>5.0</v>
      </c>
      <c r="V977" s="38">
        <v>1.081522285E9</v>
      </c>
      <c r="W977" s="38">
        <v>1.081540355E9</v>
      </c>
      <c r="X977" s="18" t="s">
        <v>2199</v>
      </c>
      <c r="Y977" s="18" t="s">
        <v>2200</v>
      </c>
      <c r="Z977" s="38">
        <v>98083.94</v>
      </c>
      <c r="AA977" s="38">
        <v>98083.94</v>
      </c>
      <c r="AB977" s="38">
        <v>29075.5</v>
      </c>
      <c r="AC977" s="38">
        <v>0.0</v>
      </c>
      <c r="AD977" s="38">
        <v>10857.44</v>
      </c>
      <c r="AE977" s="38">
        <v>0.0</v>
      </c>
      <c r="AF977" s="38">
        <v>0.0</v>
      </c>
      <c r="AG977" s="38">
        <v>0.0</v>
      </c>
      <c r="AH977" s="38">
        <v>0.0</v>
      </c>
      <c r="AI977" s="38">
        <v>98083.94</v>
      </c>
      <c r="AJ977" s="38">
        <v>772177.05</v>
      </c>
      <c r="AK977" s="38">
        <v>8.0</v>
      </c>
      <c r="AL977" s="38">
        <v>416.67</v>
      </c>
      <c r="AM977" s="38">
        <v>0.0</v>
      </c>
      <c r="AN977" s="34" t="s">
        <v>62</v>
      </c>
      <c r="AO977" s="34" t="s">
        <v>62</v>
      </c>
      <c r="AP977" s="34" t="s">
        <v>62</v>
      </c>
      <c r="AQ977" s="34" t="s">
        <v>62</v>
      </c>
      <c r="AR977" s="38">
        <v>0.0</v>
      </c>
      <c r="AS977" s="38" t="s">
        <v>2271</v>
      </c>
      <c r="AT977" s="35" t="s">
        <v>2202</v>
      </c>
      <c r="AU977" s="39" t="s">
        <v>2203</v>
      </c>
      <c r="AV977" s="40">
        <v>46163.0</v>
      </c>
    </row>
    <row r="978">
      <c r="A978" s="38">
        <v>587567.0</v>
      </c>
      <c r="B978" s="38">
        <v>495824.0</v>
      </c>
      <c r="C978" s="38">
        <v>546119.0</v>
      </c>
      <c r="D978" s="38">
        <v>1125343.0</v>
      </c>
      <c r="E978" s="38">
        <v>1125343.0</v>
      </c>
      <c r="F978" s="38">
        <v>1125343.0</v>
      </c>
      <c r="G978" s="18" t="s">
        <v>2132</v>
      </c>
      <c r="H978" s="18" t="s">
        <v>3308</v>
      </c>
      <c r="I978" s="18" t="s">
        <v>3309</v>
      </c>
      <c r="J978" s="18" t="s">
        <v>2205</v>
      </c>
      <c r="K978" s="18" t="s">
        <v>2270</v>
      </c>
      <c r="L978" s="18" t="s">
        <v>2087</v>
      </c>
      <c r="M978" s="18" t="s">
        <v>2091</v>
      </c>
      <c r="N978" s="18" t="s">
        <v>2089</v>
      </c>
      <c r="O978" s="18" t="s">
        <v>126</v>
      </c>
      <c r="P978" s="18" t="s">
        <v>131</v>
      </c>
      <c r="Q978" s="18" t="s">
        <v>132</v>
      </c>
      <c r="R978" s="18" t="s">
        <v>133</v>
      </c>
      <c r="S978" s="18" t="s">
        <v>59</v>
      </c>
      <c r="T978" s="38">
        <v>2026.0</v>
      </c>
      <c r="U978" s="38">
        <v>5.0</v>
      </c>
      <c r="V978" s="38">
        <v>1.081522288E9</v>
      </c>
      <c r="W978" s="38">
        <v>1.081540358E9</v>
      </c>
      <c r="X978" s="18" t="s">
        <v>2199</v>
      </c>
      <c r="Y978" s="18" t="s">
        <v>2200</v>
      </c>
      <c r="Z978" s="38">
        <v>188785.5</v>
      </c>
      <c r="AA978" s="38">
        <v>188785.5</v>
      </c>
      <c r="AB978" s="38">
        <v>29777.5</v>
      </c>
      <c r="AC978" s="38">
        <v>0.0</v>
      </c>
      <c r="AD978" s="38">
        <v>0.0</v>
      </c>
      <c r="AE978" s="38">
        <v>0.0</v>
      </c>
      <c r="AF978" s="38">
        <v>0.0</v>
      </c>
      <c r="AG978" s="38">
        <v>0.0</v>
      </c>
      <c r="AH978" s="38">
        <v>0.0</v>
      </c>
      <c r="AI978" s="38">
        <v>188785.5</v>
      </c>
      <c r="AJ978" s="38">
        <v>241231.5</v>
      </c>
      <c r="AK978" s="38">
        <v>1.0</v>
      </c>
      <c r="AL978" s="38">
        <v>106311.0</v>
      </c>
      <c r="AM978" s="38">
        <v>0.0</v>
      </c>
      <c r="AN978" s="34" t="s">
        <v>62</v>
      </c>
      <c r="AO978" s="34" t="s">
        <v>62</v>
      </c>
      <c r="AP978" s="34" t="s">
        <v>62</v>
      </c>
      <c r="AQ978" s="34" t="s">
        <v>62</v>
      </c>
      <c r="AR978" s="38">
        <v>0.0</v>
      </c>
      <c r="AS978" s="38" t="s">
        <v>2271</v>
      </c>
      <c r="AT978" s="38" t="s">
        <v>2202</v>
      </c>
      <c r="AU978" s="39" t="s">
        <v>2203</v>
      </c>
      <c r="AV978" s="40">
        <v>46163.0</v>
      </c>
    </row>
    <row r="979">
      <c r="A979" s="38">
        <v>66293.0</v>
      </c>
      <c r="B979" s="38">
        <v>66292.0</v>
      </c>
      <c r="C979" s="38">
        <v>66292.0</v>
      </c>
      <c r="D979" s="38">
        <v>328144.0</v>
      </c>
      <c r="E979" s="38">
        <v>328144.0</v>
      </c>
      <c r="F979" s="38">
        <v>328144.0</v>
      </c>
      <c r="G979" s="18" t="s">
        <v>2134</v>
      </c>
      <c r="H979" s="18" t="s">
        <v>3310</v>
      </c>
      <c r="I979" s="18" t="s">
        <v>3311</v>
      </c>
      <c r="J979" s="18" t="s">
        <v>2091</v>
      </c>
      <c r="K979" s="18" t="s">
        <v>2205</v>
      </c>
      <c r="L979" s="18" t="s">
        <v>2087</v>
      </c>
      <c r="M979" s="18" t="s">
        <v>2088</v>
      </c>
      <c r="N979" s="18" t="s">
        <v>2089</v>
      </c>
      <c r="O979" s="18" t="s">
        <v>126</v>
      </c>
      <c r="P979" s="18" t="s">
        <v>56</v>
      </c>
      <c r="Q979" s="18" t="s">
        <v>90</v>
      </c>
      <c r="R979" s="18" t="s">
        <v>143</v>
      </c>
      <c r="S979" s="18" t="s">
        <v>59</v>
      </c>
      <c r="T979" s="38">
        <v>2026.0</v>
      </c>
      <c r="U979" s="38">
        <v>5.0</v>
      </c>
      <c r="V979" s="38">
        <v>1.081522268E9</v>
      </c>
      <c r="W979" s="38">
        <v>1.081540338E9</v>
      </c>
      <c r="X979" s="18" t="s">
        <v>2199</v>
      </c>
      <c r="Y979" s="18" t="s">
        <v>2200</v>
      </c>
      <c r="Z979" s="38">
        <v>598987.72</v>
      </c>
      <c r="AA979" s="38">
        <v>598987.72</v>
      </c>
      <c r="AB979" s="38">
        <v>111586.05</v>
      </c>
      <c r="AC979" s="38">
        <v>1050.0</v>
      </c>
      <c r="AD979" s="38">
        <v>264229.57</v>
      </c>
      <c r="AE979" s="38">
        <v>0.0</v>
      </c>
      <c r="AF979" s="38">
        <v>0.0</v>
      </c>
      <c r="AG979" s="38">
        <v>0.0</v>
      </c>
      <c r="AH979" s="38">
        <v>0.0</v>
      </c>
      <c r="AI979" s="38">
        <v>598987.72</v>
      </c>
      <c r="AJ979" s="38">
        <v>1.809744752E7</v>
      </c>
      <c r="AK979" s="38">
        <v>46.0</v>
      </c>
      <c r="AL979" s="38">
        <v>416.67</v>
      </c>
      <c r="AM979" s="38">
        <v>0.0</v>
      </c>
      <c r="AN979" s="34" t="s">
        <v>62</v>
      </c>
      <c r="AO979" s="34" t="s">
        <v>62</v>
      </c>
      <c r="AP979" s="34" t="s">
        <v>62</v>
      </c>
      <c r="AQ979" s="34" t="s">
        <v>62</v>
      </c>
      <c r="AR979" s="38">
        <v>0.0</v>
      </c>
      <c r="AS979" s="38" t="s">
        <v>3312</v>
      </c>
      <c r="AT979" s="38" t="s">
        <v>2275</v>
      </c>
      <c r="AU979" s="39" t="s">
        <v>3250</v>
      </c>
      <c r="AV979" s="40">
        <v>46163.0</v>
      </c>
    </row>
    <row r="980">
      <c r="A980" s="38">
        <v>699.0</v>
      </c>
      <c r="B980" s="38">
        <v>67296.0</v>
      </c>
      <c r="C980" s="38">
        <v>67296.0</v>
      </c>
      <c r="D980" s="38">
        <v>78087.0</v>
      </c>
      <c r="E980" s="38">
        <v>78087.0</v>
      </c>
      <c r="F980" s="38">
        <v>9.00480569E8</v>
      </c>
      <c r="G980" s="18" t="s">
        <v>141</v>
      </c>
      <c r="H980" s="18" t="s">
        <v>2255</v>
      </c>
      <c r="I980" s="18" t="s">
        <v>3313</v>
      </c>
      <c r="J980" s="18" t="s">
        <v>2205</v>
      </c>
      <c r="K980" s="18" t="s">
        <v>3306</v>
      </c>
      <c r="L980" s="18" t="s">
        <v>2087</v>
      </c>
      <c r="M980" s="18" t="s">
        <v>2091</v>
      </c>
      <c r="N980" s="18" t="s">
        <v>2089</v>
      </c>
      <c r="O980" s="18" t="s">
        <v>126</v>
      </c>
      <c r="P980" s="18" t="s">
        <v>56</v>
      </c>
      <c r="Q980" s="18" t="s">
        <v>90</v>
      </c>
      <c r="R980" s="18" t="s">
        <v>143</v>
      </c>
      <c r="S980" s="18" t="s">
        <v>59</v>
      </c>
      <c r="T980" s="38">
        <v>2026.0</v>
      </c>
      <c r="U980" s="38">
        <v>5.0</v>
      </c>
      <c r="V980" s="38">
        <v>1.081522274E9</v>
      </c>
      <c r="W980" s="38">
        <v>1.081540344E9</v>
      </c>
      <c r="X980" s="18" t="s">
        <v>2199</v>
      </c>
      <c r="Y980" s="18" t="s">
        <v>2200</v>
      </c>
      <c r="Z980" s="38">
        <v>724749.39</v>
      </c>
      <c r="AA980" s="38">
        <v>724749.39</v>
      </c>
      <c r="AB980" s="38">
        <v>241583.14</v>
      </c>
      <c r="AC980" s="38">
        <v>2375.0</v>
      </c>
      <c r="AD980" s="38">
        <v>0.0</v>
      </c>
      <c r="AE980" s="38">
        <v>0.0</v>
      </c>
      <c r="AF980" s="38">
        <v>0.0</v>
      </c>
      <c r="AG980" s="38">
        <v>0.0</v>
      </c>
      <c r="AH980" s="38">
        <v>0.0</v>
      </c>
      <c r="AI980" s="38">
        <v>724749.39</v>
      </c>
      <c r="AJ980" s="38">
        <v>1448180.74</v>
      </c>
      <c r="AK980" s="38">
        <v>2.0</v>
      </c>
      <c r="AL980" s="38">
        <v>416.67</v>
      </c>
      <c r="AM980" s="38">
        <v>0.0</v>
      </c>
      <c r="AN980" s="34" t="s">
        <v>62</v>
      </c>
      <c r="AO980" s="34" t="s">
        <v>62</v>
      </c>
      <c r="AP980" s="34" t="s">
        <v>62</v>
      </c>
      <c r="AQ980" s="34" t="s">
        <v>62</v>
      </c>
      <c r="AR980" s="38">
        <v>0.0</v>
      </c>
      <c r="AS980" s="38" t="s">
        <v>2257</v>
      </c>
      <c r="AT980" s="35" t="s">
        <v>2202</v>
      </c>
      <c r="AU980" s="39" t="s">
        <v>2203</v>
      </c>
      <c r="AV980" s="40">
        <v>46163.0</v>
      </c>
    </row>
    <row r="981">
      <c r="A981" s="38">
        <v>285191.0</v>
      </c>
      <c r="B981" s="38">
        <v>72672.0</v>
      </c>
      <c r="C981" s="38">
        <v>72672.0</v>
      </c>
      <c r="D981" s="38">
        <v>74864.0</v>
      </c>
      <c r="E981" s="38">
        <v>74864.0</v>
      </c>
      <c r="F981" s="38">
        <v>9.00276962E8</v>
      </c>
      <c r="G981" s="18" t="s">
        <v>128</v>
      </c>
      <c r="H981" s="18" t="s">
        <v>2269</v>
      </c>
      <c r="I981" s="18" t="s">
        <v>3314</v>
      </c>
      <c r="J981" s="18" t="s">
        <v>2205</v>
      </c>
      <c r="K981" s="18" t="s">
        <v>2270</v>
      </c>
      <c r="L981" s="18" t="s">
        <v>2087</v>
      </c>
      <c r="M981" s="18" t="s">
        <v>2088</v>
      </c>
      <c r="N981" s="18" t="s">
        <v>2089</v>
      </c>
      <c r="O981" s="18" t="s">
        <v>126</v>
      </c>
      <c r="P981" s="18" t="s">
        <v>131</v>
      </c>
      <c r="Q981" s="18" t="s">
        <v>132</v>
      </c>
      <c r="R981" s="18" t="s">
        <v>133</v>
      </c>
      <c r="S981" s="18" t="s">
        <v>59</v>
      </c>
      <c r="T981" s="38">
        <v>2026.0</v>
      </c>
      <c r="U981" s="38">
        <v>5.0</v>
      </c>
      <c r="V981" s="38">
        <v>1.081522277E9</v>
      </c>
      <c r="W981" s="38">
        <v>1.081540347E9</v>
      </c>
      <c r="X981" s="18" t="s">
        <v>2199</v>
      </c>
      <c r="Y981" s="18" t="s">
        <v>2200</v>
      </c>
      <c r="Z981" s="38">
        <v>87226.5</v>
      </c>
      <c r="AA981" s="38">
        <v>87226.5</v>
      </c>
      <c r="AB981" s="38">
        <v>29075.5</v>
      </c>
      <c r="AC981" s="38">
        <v>0.0</v>
      </c>
      <c r="AD981" s="38">
        <v>0.0</v>
      </c>
      <c r="AE981" s="38">
        <v>0.0</v>
      </c>
      <c r="AF981" s="38">
        <v>0.0</v>
      </c>
      <c r="AG981" s="38">
        <v>0.0</v>
      </c>
      <c r="AH981" s="38">
        <v>0.0</v>
      </c>
      <c r="AI981" s="38">
        <v>87226.5</v>
      </c>
      <c r="AJ981" s="38">
        <v>87226.5</v>
      </c>
      <c r="AK981" s="38">
        <v>0.0</v>
      </c>
      <c r="AL981" s="38">
        <v>416.67</v>
      </c>
      <c r="AM981" s="38">
        <v>0.0</v>
      </c>
      <c r="AN981" s="34" t="s">
        <v>62</v>
      </c>
      <c r="AO981" s="34" t="s">
        <v>62</v>
      </c>
      <c r="AP981" s="34" t="s">
        <v>62</v>
      </c>
      <c r="AQ981" s="34" t="s">
        <v>62</v>
      </c>
      <c r="AR981" s="38">
        <v>0.0</v>
      </c>
      <c r="AS981" s="38" t="s">
        <v>2271</v>
      </c>
      <c r="AT981" s="35" t="s">
        <v>2202</v>
      </c>
      <c r="AU981" s="39" t="s">
        <v>2203</v>
      </c>
      <c r="AV981" s="40">
        <v>46163.0</v>
      </c>
    </row>
    <row r="982">
      <c r="A982" s="38">
        <v>9.0</v>
      </c>
      <c r="B982" s="38">
        <v>8.0</v>
      </c>
      <c r="C982" s="38">
        <v>8.0</v>
      </c>
      <c r="D982" s="38">
        <v>9.0300044E7</v>
      </c>
      <c r="E982" s="38">
        <v>9.0300044E7</v>
      </c>
      <c r="F982" s="38">
        <v>1.3451942E7</v>
      </c>
      <c r="G982" s="18" t="s">
        <v>2086</v>
      </c>
      <c r="H982" s="18" t="s">
        <v>3315</v>
      </c>
      <c r="I982" s="18" t="s">
        <v>3291</v>
      </c>
      <c r="J982" s="18" t="s">
        <v>2086</v>
      </c>
      <c r="K982" s="18" t="s">
        <v>2086</v>
      </c>
      <c r="L982" s="18" t="s">
        <v>2087</v>
      </c>
      <c r="M982" s="18" t="s">
        <v>2088</v>
      </c>
      <c r="N982" s="18" t="s">
        <v>2089</v>
      </c>
      <c r="O982" s="18" t="s">
        <v>126</v>
      </c>
      <c r="P982" s="18" t="s">
        <v>218</v>
      </c>
      <c r="Q982" s="18" t="s">
        <v>943</v>
      </c>
      <c r="R982" s="18" t="s">
        <v>133</v>
      </c>
      <c r="S982" s="18" t="s">
        <v>59</v>
      </c>
      <c r="T982" s="38">
        <v>2026.0</v>
      </c>
      <c r="U982" s="38">
        <v>5.0</v>
      </c>
      <c r="V982" s="38">
        <v>1.081522222E9</v>
      </c>
      <c r="W982" s="38">
        <v>1.081540292E9</v>
      </c>
      <c r="X982" s="18" t="s">
        <v>2199</v>
      </c>
      <c r="Y982" s="18" t="s">
        <v>2200</v>
      </c>
      <c r="Z982" s="38">
        <v>128059.76</v>
      </c>
      <c r="AA982" s="38">
        <v>128059.76</v>
      </c>
      <c r="AB982" s="38">
        <v>18825.5</v>
      </c>
      <c r="AC982" s="38">
        <v>0.0</v>
      </c>
      <c r="AD982" s="38">
        <v>71583.26</v>
      </c>
      <c r="AE982" s="38">
        <v>0.0</v>
      </c>
      <c r="AF982" s="38">
        <v>0.0</v>
      </c>
      <c r="AG982" s="38">
        <v>0.0</v>
      </c>
      <c r="AH982" s="38">
        <v>0.0</v>
      </c>
      <c r="AI982" s="38">
        <v>128059.76</v>
      </c>
      <c r="AJ982" s="38">
        <v>6026936.72</v>
      </c>
      <c r="AK982" s="38">
        <v>56.0</v>
      </c>
      <c r="AL982" s="38">
        <v>416.67</v>
      </c>
      <c r="AM982" s="38">
        <v>0.0</v>
      </c>
      <c r="AN982" s="34" t="s">
        <v>62</v>
      </c>
      <c r="AO982" s="34" t="s">
        <v>62</v>
      </c>
      <c r="AP982" s="34" t="s">
        <v>62</v>
      </c>
      <c r="AQ982" s="34" t="s">
        <v>62</v>
      </c>
      <c r="AR982" s="38">
        <v>0.0</v>
      </c>
      <c r="AS982" s="38" t="s">
        <v>3316</v>
      </c>
      <c r="AT982" s="35" t="s">
        <v>2275</v>
      </c>
      <c r="AU982" s="39" t="s">
        <v>3250</v>
      </c>
      <c r="AV982" s="40">
        <v>46163.0</v>
      </c>
    </row>
    <row r="983">
      <c r="A983" s="38">
        <v>232.0</v>
      </c>
      <c r="B983" s="38">
        <v>96.0</v>
      </c>
      <c r="C983" s="38">
        <v>96.0</v>
      </c>
      <c r="D983" s="38">
        <v>9.0316973E7</v>
      </c>
      <c r="E983" s="38">
        <v>9.0316973E7</v>
      </c>
      <c r="F983" s="38">
        <v>8.30122566E8</v>
      </c>
      <c r="G983" s="18" t="s">
        <v>193</v>
      </c>
      <c r="H983" s="18" t="s">
        <v>2282</v>
      </c>
      <c r="I983" s="18" t="s">
        <v>76</v>
      </c>
      <c r="J983" s="18" t="s">
        <v>2205</v>
      </c>
      <c r="K983" s="18" t="s">
        <v>2283</v>
      </c>
      <c r="L983" s="18" t="s">
        <v>2087</v>
      </c>
      <c r="M983" s="18" t="s">
        <v>2091</v>
      </c>
      <c r="N983" s="18" t="s">
        <v>2089</v>
      </c>
      <c r="O983" s="18" t="s">
        <v>126</v>
      </c>
      <c r="P983" s="18" t="s">
        <v>131</v>
      </c>
      <c r="Q983" s="18" t="s">
        <v>363</v>
      </c>
      <c r="R983" s="18" t="s">
        <v>133</v>
      </c>
      <c r="S983" s="18" t="s">
        <v>59</v>
      </c>
      <c r="T983" s="38">
        <v>2026.0</v>
      </c>
      <c r="U983" s="38">
        <v>5.0</v>
      </c>
      <c r="V983" s="38">
        <v>1.08152226E9</v>
      </c>
      <c r="W983" s="38">
        <v>1.08154033E9</v>
      </c>
      <c r="X983" s="18" t="s">
        <v>2199</v>
      </c>
      <c r="Y983" s="18" t="s">
        <v>2200</v>
      </c>
      <c r="Z983" s="38">
        <v>51191.35</v>
      </c>
      <c r="AA983" s="38">
        <v>51191.35</v>
      </c>
      <c r="AB983" s="38">
        <v>16977.0</v>
      </c>
      <c r="AC983" s="38">
        <v>0.0</v>
      </c>
      <c r="AD983" s="38">
        <v>260.35</v>
      </c>
      <c r="AE983" s="38">
        <v>0.0</v>
      </c>
      <c r="AF983" s="38">
        <v>0.0</v>
      </c>
      <c r="AG983" s="38">
        <v>0.0</v>
      </c>
      <c r="AH983" s="38">
        <v>0.0</v>
      </c>
      <c r="AI983" s="38">
        <v>51191.35</v>
      </c>
      <c r="AJ983" s="38">
        <v>101531.37</v>
      </c>
      <c r="AK983" s="38">
        <v>1.0</v>
      </c>
      <c r="AL983" s="38">
        <v>416.67</v>
      </c>
      <c r="AM983" s="38">
        <v>0.0</v>
      </c>
      <c r="AN983" s="34" t="s">
        <v>62</v>
      </c>
      <c r="AO983" s="34" t="s">
        <v>62</v>
      </c>
      <c r="AP983" s="34" t="s">
        <v>62</v>
      </c>
      <c r="AQ983" s="34" t="s">
        <v>62</v>
      </c>
      <c r="AR983" s="38">
        <v>0.0</v>
      </c>
      <c r="AS983" s="38" t="s">
        <v>2284</v>
      </c>
      <c r="AT983" s="35" t="s">
        <v>2202</v>
      </c>
      <c r="AU983" s="39" t="s">
        <v>2203</v>
      </c>
      <c r="AV983" s="40">
        <v>46164.0</v>
      </c>
    </row>
    <row r="984">
      <c r="A984" s="38">
        <v>2.0</v>
      </c>
      <c r="B984" s="38">
        <v>1.0</v>
      </c>
      <c r="C984" s="38">
        <v>1.0</v>
      </c>
      <c r="D984" s="38">
        <v>9.0300063E7</v>
      </c>
      <c r="E984" s="38">
        <v>9.0300063E7</v>
      </c>
      <c r="F984" s="38">
        <v>9.0300063E7</v>
      </c>
      <c r="G984" s="18" t="s">
        <v>2097</v>
      </c>
      <c r="H984" s="18" t="s">
        <v>3317</v>
      </c>
      <c r="I984" s="18" t="s">
        <v>3291</v>
      </c>
      <c r="J984" s="18" t="s">
        <v>2205</v>
      </c>
      <c r="K984" s="18" t="s">
        <v>2097</v>
      </c>
      <c r="L984" s="18" t="s">
        <v>2087</v>
      </c>
      <c r="M984" s="18" t="s">
        <v>2088</v>
      </c>
      <c r="N984" s="18" t="s">
        <v>2089</v>
      </c>
      <c r="O984" s="18" t="s">
        <v>126</v>
      </c>
      <c r="P984" s="18" t="s">
        <v>218</v>
      </c>
      <c r="Q984" s="18" t="s">
        <v>943</v>
      </c>
      <c r="R984" s="18" t="s">
        <v>133</v>
      </c>
      <c r="S984" s="18" t="s">
        <v>59</v>
      </c>
      <c r="T984" s="38">
        <v>2026.0</v>
      </c>
      <c r="U984" s="38">
        <v>5.0</v>
      </c>
      <c r="V984" s="38">
        <v>1.081522217E9</v>
      </c>
      <c r="W984" s="38">
        <v>1.081540287E9</v>
      </c>
      <c r="X984" s="18" t="s">
        <v>2199</v>
      </c>
      <c r="Y984" s="18" t="s">
        <v>2200</v>
      </c>
      <c r="Z984" s="38">
        <v>57815.81</v>
      </c>
      <c r="AA984" s="38">
        <v>57815.81</v>
      </c>
      <c r="AB984" s="38">
        <v>18825.5</v>
      </c>
      <c r="AC984" s="38">
        <v>0.0</v>
      </c>
      <c r="AD984" s="38">
        <v>1339.31</v>
      </c>
      <c r="AE984" s="38">
        <v>0.0</v>
      </c>
      <c r="AF984" s="38">
        <v>0.0</v>
      </c>
      <c r="AG984" s="38">
        <v>0.0</v>
      </c>
      <c r="AH984" s="38">
        <v>0.0</v>
      </c>
      <c r="AI984" s="38">
        <v>57815.81</v>
      </c>
      <c r="AJ984" s="38">
        <v>113557.31</v>
      </c>
      <c r="AK984" s="38">
        <v>1.0</v>
      </c>
      <c r="AL984" s="38">
        <v>416.67</v>
      </c>
      <c r="AM984" s="38">
        <v>0.0</v>
      </c>
      <c r="AN984" s="34" t="s">
        <v>62</v>
      </c>
      <c r="AO984" s="34" t="s">
        <v>62</v>
      </c>
      <c r="AP984" s="34" t="s">
        <v>62</v>
      </c>
      <c r="AQ984" s="34" t="s">
        <v>62</v>
      </c>
      <c r="AR984" s="38">
        <v>0.0</v>
      </c>
      <c r="AS984" s="34"/>
      <c r="AT984" s="35" t="s">
        <v>2275</v>
      </c>
      <c r="AU984" s="39" t="s">
        <v>3250</v>
      </c>
      <c r="AV984" s="40">
        <v>46163.0</v>
      </c>
    </row>
    <row r="985">
      <c r="A985" s="38">
        <v>102.0</v>
      </c>
      <c r="B985" s="38">
        <v>101.0</v>
      </c>
      <c r="C985" s="38">
        <v>101.0</v>
      </c>
      <c r="D985" s="38">
        <v>9.032293E7</v>
      </c>
      <c r="E985" s="38">
        <v>9.032293E7</v>
      </c>
      <c r="F985" s="18" t="s">
        <v>2141</v>
      </c>
      <c r="G985" s="18" t="s">
        <v>2142</v>
      </c>
      <c r="H985" s="18" t="s">
        <v>3318</v>
      </c>
      <c r="I985" s="18" t="s">
        <v>3319</v>
      </c>
      <c r="J985" s="18" t="s">
        <v>2091</v>
      </c>
      <c r="K985" s="18" t="s">
        <v>2205</v>
      </c>
      <c r="L985" s="18" t="s">
        <v>2087</v>
      </c>
      <c r="M985" s="18" t="s">
        <v>2088</v>
      </c>
      <c r="N985" s="18" t="s">
        <v>2089</v>
      </c>
      <c r="O985" s="18" t="s">
        <v>126</v>
      </c>
      <c r="P985" s="18" t="s">
        <v>56</v>
      </c>
      <c r="Q985" s="18" t="s">
        <v>90</v>
      </c>
      <c r="R985" s="18" t="s">
        <v>143</v>
      </c>
      <c r="S985" s="18" t="s">
        <v>59</v>
      </c>
      <c r="T985" s="38">
        <v>2026.0</v>
      </c>
      <c r="U985" s="38">
        <v>5.0</v>
      </c>
      <c r="V985" s="38">
        <v>1.081522266E9</v>
      </c>
      <c r="W985" s="38">
        <v>1.081540336E9</v>
      </c>
      <c r="X985" s="18" t="s">
        <v>2199</v>
      </c>
      <c r="Y985" s="18" t="s">
        <v>2200</v>
      </c>
      <c r="Z985" s="38">
        <v>1644540.0</v>
      </c>
      <c r="AA985" s="38">
        <v>1644540.0</v>
      </c>
      <c r="AB985" s="38">
        <v>548180.0</v>
      </c>
      <c r="AC985" s="38">
        <v>5500.0</v>
      </c>
      <c r="AD985" s="38">
        <v>0.0</v>
      </c>
      <c r="AE985" s="38">
        <v>0.0</v>
      </c>
      <c r="AF985" s="38">
        <v>0.0</v>
      </c>
      <c r="AG985" s="38">
        <v>0.0</v>
      </c>
      <c r="AH985" s="38">
        <v>0.0</v>
      </c>
      <c r="AI985" s="38">
        <v>1644540.0</v>
      </c>
      <c r="AJ985" s="38">
        <v>1652070.0</v>
      </c>
      <c r="AK985" s="38">
        <v>1.0</v>
      </c>
      <c r="AL985" s="38">
        <v>416.67</v>
      </c>
      <c r="AM985" s="38">
        <v>0.0</v>
      </c>
      <c r="AN985" s="34" t="s">
        <v>62</v>
      </c>
      <c r="AO985" s="34" t="s">
        <v>62</v>
      </c>
      <c r="AP985" s="34" t="s">
        <v>62</v>
      </c>
      <c r="AQ985" s="34" t="s">
        <v>62</v>
      </c>
      <c r="AR985" s="38">
        <v>0.0</v>
      </c>
      <c r="AS985" s="38" t="s">
        <v>3320</v>
      </c>
      <c r="AT985" s="38" t="s">
        <v>2275</v>
      </c>
      <c r="AU985" s="39" t="s">
        <v>3250</v>
      </c>
      <c r="AV985" s="40">
        <v>46163.0</v>
      </c>
    </row>
    <row r="986">
      <c r="A986" s="38">
        <v>285191.0</v>
      </c>
      <c r="B986" s="38">
        <v>129745.0</v>
      </c>
      <c r="C986" s="38">
        <v>129745.0</v>
      </c>
      <c r="D986" s="38">
        <v>564115.0</v>
      </c>
      <c r="E986" s="38">
        <v>564115.0</v>
      </c>
      <c r="F986" s="38">
        <v>9.00276962E8</v>
      </c>
      <c r="G986" s="18" t="s">
        <v>128</v>
      </c>
      <c r="H986" s="18" t="s">
        <v>2269</v>
      </c>
      <c r="I986" s="18" t="s">
        <v>3301</v>
      </c>
      <c r="J986" s="18" t="s">
        <v>2205</v>
      </c>
      <c r="K986" s="18" t="s">
        <v>2270</v>
      </c>
      <c r="L986" s="18" t="s">
        <v>2087</v>
      </c>
      <c r="M986" s="18" t="s">
        <v>2088</v>
      </c>
      <c r="N986" s="18" t="s">
        <v>2089</v>
      </c>
      <c r="O986" s="18" t="s">
        <v>126</v>
      </c>
      <c r="P986" s="18" t="s">
        <v>131</v>
      </c>
      <c r="Q986" s="18" t="s">
        <v>132</v>
      </c>
      <c r="R986" s="18" t="s">
        <v>133</v>
      </c>
      <c r="S986" s="18" t="s">
        <v>59</v>
      </c>
      <c r="T986" s="38">
        <v>2026.0</v>
      </c>
      <c r="U986" s="38">
        <v>5.0</v>
      </c>
      <c r="V986" s="38">
        <v>1.081522281E9</v>
      </c>
      <c r="W986" s="38">
        <v>1.081540351E9</v>
      </c>
      <c r="X986" s="18" t="s">
        <v>2199</v>
      </c>
      <c r="Y986" s="18" t="s">
        <v>2200</v>
      </c>
      <c r="Z986" s="38">
        <v>87226.5</v>
      </c>
      <c r="AA986" s="38">
        <v>87226.5</v>
      </c>
      <c r="AB986" s="38">
        <v>29075.5</v>
      </c>
      <c r="AC986" s="38">
        <v>0.0</v>
      </c>
      <c r="AD986" s="38">
        <v>0.0</v>
      </c>
      <c r="AE986" s="38">
        <v>0.0</v>
      </c>
      <c r="AF986" s="38">
        <v>0.0</v>
      </c>
      <c r="AG986" s="38">
        <v>0.0</v>
      </c>
      <c r="AH986" s="38">
        <v>0.0</v>
      </c>
      <c r="AI986" s="38">
        <v>87226.5</v>
      </c>
      <c r="AJ986" s="38">
        <v>87226.5</v>
      </c>
      <c r="AK986" s="38">
        <v>0.0</v>
      </c>
      <c r="AL986" s="38">
        <v>416.67</v>
      </c>
      <c r="AM986" s="38">
        <v>0.0</v>
      </c>
      <c r="AN986" s="34" t="s">
        <v>62</v>
      </c>
      <c r="AO986" s="34" t="s">
        <v>62</v>
      </c>
      <c r="AP986" s="34" t="s">
        <v>62</v>
      </c>
      <c r="AQ986" s="34" t="s">
        <v>62</v>
      </c>
      <c r="AR986" s="38">
        <v>0.0</v>
      </c>
      <c r="AS986" s="38" t="s">
        <v>2271</v>
      </c>
      <c r="AT986" s="35" t="s">
        <v>2202</v>
      </c>
      <c r="AU986" s="39" t="s">
        <v>2203</v>
      </c>
      <c r="AV986" s="40">
        <v>46163.0</v>
      </c>
    </row>
    <row r="987">
      <c r="A987" s="38">
        <v>14.0</v>
      </c>
      <c r="B987" s="38">
        <v>13.0</v>
      </c>
      <c r="C987" s="38">
        <v>13.0</v>
      </c>
      <c r="D987" s="38">
        <v>9.0300049E7</v>
      </c>
      <c r="E987" s="38">
        <v>9.0300049E7</v>
      </c>
      <c r="F987" s="38">
        <v>9.0300049E7</v>
      </c>
      <c r="G987" s="18" t="s">
        <v>2086</v>
      </c>
      <c r="H987" s="18" t="s">
        <v>3321</v>
      </c>
      <c r="I987" s="18" t="s">
        <v>3291</v>
      </c>
      <c r="J987" s="18" t="s">
        <v>2086</v>
      </c>
      <c r="K987" s="18" t="s">
        <v>2086</v>
      </c>
      <c r="L987" s="18" t="s">
        <v>2087</v>
      </c>
      <c r="M987" s="18" t="s">
        <v>2088</v>
      </c>
      <c r="N987" s="18" t="s">
        <v>2089</v>
      </c>
      <c r="O987" s="18" t="s">
        <v>126</v>
      </c>
      <c r="P987" s="18" t="s">
        <v>218</v>
      </c>
      <c r="Q987" s="18" t="s">
        <v>943</v>
      </c>
      <c r="R987" s="18" t="s">
        <v>133</v>
      </c>
      <c r="S987" s="18" t="s">
        <v>59</v>
      </c>
      <c r="T987" s="38">
        <v>2026.0</v>
      </c>
      <c r="U987" s="38">
        <v>5.0</v>
      </c>
      <c r="V987" s="38">
        <v>1.081522229E9</v>
      </c>
      <c r="W987" s="38">
        <v>1.081540299E9</v>
      </c>
      <c r="X987" s="18" t="s">
        <v>2199</v>
      </c>
      <c r="Y987" s="18" t="s">
        <v>2200</v>
      </c>
      <c r="Z987" s="38">
        <v>56476.5</v>
      </c>
      <c r="AA987" s="38">
        <v>56476.5</v>
      </c>
      <c r="AB987" s="38">
        <v>18825.5</v>
      </c>
      <c r="AC987" s="38">
        <v>0.0</v>
      </c>
      <c r="AD987" s="38">
        <v>0.0</v>
      </c>
      <c r="AE987" s="38">
        <v>0.0</v>
      </c>
      <c r="AF987" s="38">
        <v>0.0</v>
      </c>
      <c r="AG987" s="38">
        <v>0.0</v>
      </c>
      <c r="AH987" s="38">
        <v>0.0</v>
      </c>
      <c r="AI987" s="38">
        <v>56476.5</v>
      </c>
      <c r="AJ987" s="38">
        <v>112218.0</v>
      </c>
      <c r="AK987" s="38">
        <v>1.0</v>
      </c>
      <c r="AL987" s="38">
        <v>416.67</v>
      </c>
      <c r="AM987" s="38">
        <v>0.0</v>
      </c>
      <c r="AN987" s="34" t="s">
        <v>62</v>
      </c>
      <c r="AO987" s="34" t="s">
        <v>62</v>
      </c>
      <c r="AP987" s="34" t="s">
        <v>62</v>
      </c>
      <c r="AQ987" s="34" t="s">
        <v>62</v>
      </c>
      <c r="AR987" s="38">
        <v>0.0</v>
      </c>
      <c r="AS987" s="38" t="s">
        <v>3322</v>
      </c>
      <c r="AT987" s="35" t="s">
        <v>2275</v>
      </c>
      <c r="AU987" s="39" t="s">
        <v>3250</v>
      </c>
      <c r="AV987" s="40">
        <v>46163.0</v>
      </c>
    </row>
    <row r="988">
      <c r="A988" s="38">
        <v>18.0</v>
      </c>
      <c r="B988" s="38">
        <v>17.0</v>
      </c>
      <c r="C988" s="38">
        <v>17.0</v>
      </c>
      <c r="D988" s="38">
        <v>9.0300053E7</v>
      </c>
      <c r="E988" s="38">
        <v>9.0300053E7</v>
      </c>
      <c r="F988" s="38">
        <v>9.0300053E7</v>
      </c>
      <c r="G988" s="18" t="s">
        <v>2094</v>
      </c>
      <c r="H988" s="18" t="s">
        <v>3323</v>
      </c>
      <c r="I988" s="18" t="s">
        <v>3291</v>
      </c>
      <c r="J988" s="18" t="s">
        <v>2086</v>
      </c>
      <c r="K988" s="18" t="s">
        <v>2086</v>
      </c>
      <c r="L988" s="18" t="s">
        <v>2087</v>
      </c>
      <c r="M988" s="18" t="s">
        <v>2088</v>
      </c>
      <c r="N988" s="18" t="s">
        <v>2089</v>
      </c>
      <c r="O988" s="18" t="s">
        <v>126</v>
      </c>
      <c r="P988" s="18" t="s">
        <v>218</v>
      </c>
      <c r="Q988" s="18" t="s">
        <v>943</v>
      </c>
      <c r="R988" s="18" t="s">
        <v>133</v>
      </c>
      <c r="S988" s="18" t="s">
        <v>59</v>
      </c>
      <c r="T988" s="38">
        <v>2026.0</v>
      </c>
      <c r="U988" s="38">
        <v>5.0</v>
      </c>
      <c r="V988" s="38">
        <v>1.081522233E9</v>
      </c>
      <c r="W988" s="38">
        <v>1.081540303E9</v>
      </c>
      <c r="X988" s="18" t="s">
        <v>2199</v>
      </c>
      <c r="Y988" s="18" t="s">
        <v>2200</v>
      </c>
      <c r="Z988" s="38">
        <v>56476.51</v>
      </c>
      <c r="AA988" s="38">
        <v>56476.51</v>
      </c>
      <c r="AB988" s="38">
        <v>18825.5</v>
      </c>
      <c r="AC988" s="38">
        <v>0.0</v>
      </c>
      <c r="AD988" s="38">
        <v>0.01</v>
      </c>
      <c r="AE988" s="38">
        <v>0.0</v>
      </c>
      <c r="AF988" s="38">
        <v>0.0</v>
      </c>
      <c r="AG988" s="38">
        <v>0.0</v>
      </c>
      <c r="AH988" s="38">
        <v>0.0</v>
      </c>
      <c r="AI988" s="38">
        <v>56476.51</v>
      </c>
      <c r="AJ988" s="38">
        <v>112411.78</v>
      </c>
      <c r="AK988" s="38">
        <v>2.0</v>
      </c>
      <c r="AL988" s="38">
        <v>416.67</v>
      </c>
      <c r="AM988" s="38">
        <v>0.0</v>
      </c>
      <c r="AN988" s="34" t="s">
        <v>62</v>
      </c>
      <c r="AO988" s="34" t="s">
        <v>62</v>
      </c>
      <c r="AP988" s="34" t="s">
        <v>62</v>
      </c>
      <c r="AQ988" s="34" t="s">
        <v>62</v>
      </c>
      <c r="AR988" s="38">
        <v>0.0</v>
      </c>
      <c r="AS988" s="34"/>
      <c r="AT988" s="35" t="s">
        <v>2275</v>
      </c>
      <c r="AU988" s="39" t="s">
        <v>3250</v>
      </c>
      <c r="AV988" s="40">
        <v>46163.0</v>
      </c>
    </row>
    <row r="989">
      <c r="A989" s="38">
        <v>22.0</v>
      </c>
      <c r="B989" s="38">
        <v>21.0</v>
      </c>
      <c r="C989" s="38">
        <v>21.0</v>
      </c>
      <c r="D989" s="38">
        <v>9.0300057E7</v>
      </c>
      <c r="E989" s="38">
        <v>9.0300057E7</v>
      </c>
      <c r="F989" s="38">
        <v>3.7213317E7</v>
      </c>
      <c r="G989" s="18" t="s">
        <v>2086</v>
      </c>
      <c r="H989" s="18" t="s">
        <v>3324</v>
      </c>
      <c r="I989" s="18" t="s">
        <v>3291</v>
      </c>
      <c r="J989" s="18" t="s">
        <v>2086</v>
      </c>
      <c r="K989" s="18" t="s">
        <v>2086</v>
      </c>
      <c r="L989" s="18" t="s">
        <v>2087</v>
      </c>
      <c r="M989" s="18" t="s">
        <v>2088</v>
      </c>
      <c r="N989" s="18" t="s">
        <v>2089</v>
      </c>
      <c r="O989" s="18" t="s">
        <v>126</v>
      </c>
      <c r="P989" s="18" t="s">
        <v>218</v>
      </c>
      <c r="Q989" s="18" t="s">
        <v>943</v>
      </c>
      <c r="R989" s="18" t="s">
        <v>133</v>
      </c>
      <c r="S989" s="18" t="s">
        <v>163</v>
      </c>
      <c r="T989" s="38">
        <v>2026.0</v>
      </c>
      <c r="U989" s="38">
        <v>5.0</v>
      </c>
      <c r="V989" s="38">
        <v>1.081522237E9</v>
      </c>
      <c r="W989" s="38">
        <v>1.081540307E9</v>
      </c>
      <c r="X989" s="18" t="s">
        <v>2199</v>
      </c>
      <c r="Y989" s="18" t="s">
        <v>2200</v>
      </c>
      <c r="Z989" s="38">
        <v>24772.51</v>
      </c>
      <c r="AA989" s="38">
        <v>24772.51</v>
      </c>
      <c r="AB989" s="38">
        <v>8257.5</v>
      </c>
      <c r="AC989" s="38">
        <v>0.0</v>
      </c>
      <c r="AD989" s="38">
        <v>0.01</v>
      </c>
      <c r="AE989" s="38">
        <v>0.0</v>
      </c>
      <c r="AF989" s="38">
        <v>0.0</v>
      </c>
      <c r="AG989" s="38">
        <v>0.0</v>
      </c>
      <c r="AH989" s="38">
        <v>0.0</v>
      </c>
      <c r="AI989" s="38">
        <v>24772.51</v>
      </c>
      <c r="AJ989" s="38">
        <v>50133.98</v>
      </c>
      <c r="AK989" s="38">
        <v>2.0</v>
      </c>
      <c r="AL989" s="38">
        <v>416.67</v>
      </c>
      <c r="AM989" s="38">
        <v>0.0</v>
      </c>
      <c r="AN989" s="34" t="s">
        <v>62</v>
      </c>
      <c r="AO989" s="34" t="s">
        <v>62</v>
      </c>
      <c r="AP989" s="34" t="s">
        <v>62</v>
      </c>
      <c r="AQ989" s="34" t="s">
        <v>62</v>
      </c>
      <c r="AR989" s="38">
        <v>0.0</v>
      </c>
      <c r="AS989" s="38" t="s">
        <v>3325</v>
      </c>
      <c r="AT989" s="35" t="s">
        <v>2275</v>
      </c>
      <c r="AU989" s="39" t="s">
        <v>3250</v>
      </c>
      <c r="AV989" s="40">
        <v>46163.0</v>
      </c>
    </row>
    <row r="990">
      <c r="A990" s="38">
        <v>26.0</v>
      </c>
      <c r="B990" s="38">
        <v>25.0</v>
      </c>
      <c r="C990" s="38">
        <v>25.0</v>
      </c>
      <c r="D990" s="38">
        <v>9.0300061E7</v>
      </c>
      <c r="E990" s="38">
        <v>9.0300061E7</v>
      </c>
      <c r="F990" s="38">
        <v>9.0300061E7</v>
      </c>
      <c r="G990" s="18" t="s">
        <v>2097</v>
      </c>
      <c r="H990" s="18" t="s">
        <v>3326</v>
      </c>
      <c r="I990" s="18" t="s">
        <v>3291</v>
      </c>
      <c r="J990" s="18" t="s">
        <v>2205</v>
      </c>
      <c r="K990" s="18" t="s">
        <v>2097</v>
      </c>
      <c r="L990" s="18" t="s">
        <v>2087</v>
      </c>
      <c r="M990" s="18" t="s">
        <v>2088</v>
      </c>
      <c r="N990" s="18" t="s">
        <v>2089</v>
      </c>
      <c r="O990" s="18" t="s">
        <v>126</v>
      </c>
      <c r="P990" s="18" t="s">
        <v>218</v>
      </c>
      <c r="Q990" s="18" t="s">
        <v>943</v>
      </c>
      <c r="R990" s="18" t="s">
        <v>133</v>
      </c>
      <c r="S990" s="18" t="s">
        <v>59</v>
      </c>
      <c r="T990" s="38">
        <v>2026.0</v>
      </c>
      <c r="U990" s="38">
        <v>5.0</v>
      </c>
      <c r="V990" s="38">
        <v>1.081522241E9</v>
      </c>
      <c r="W990" s="38">
        <v>1.081540311E9</v>
      </c>
      <c r="X990" s="18" t="s">
        <v>2199</v>
      </c>
      <c r="Y990" s="18" t="s">
        <v>2200</v>
      </c>
      <c r="Z990" s="38">
        <v>56476.5</v>
      </c>
      <c r="AA990" s="38">
        <v>56476.5</v>
      </c>
      <c r="AB990" s="38">
        <v>18825.5</v>
      </c>
      <c r="AC990" s="38">
        <v>0.0</v>
      </c>
      <c r="AD990" s="38">
        <v>0.0</v>
      </c>
      <c r="AE990" s="38">
        <v>0.0</v>
      </c>
      <c r="AF990" s="38">
        <v>0.0</v>
      </c>
      <c r="AG990" s="38">
        <v>0.0</v>
      </c>
      <c r="AH990" s="38">
        <v>0.0</v>
      </c>
      <c r="AI990" s="38">
        <v>56476.5</v>
      </c>
      <c r="AJ990" s="38">
        <v>112218.0</v>
      </c>
      <c r="AK990" s="38">
        <v>1.0</v>
      </c>
      <c r="AL990" s="38">
        <v>416.67</v>
      </c>
      <c r="AM990" s="38">
        <v>0.0</v>
      </c>
      <c r="AN990" s="34" t="s">
        <v>62</v>
      </c>
      <c r="AO990" s="34" t="s">
        <v>62</v>
      </c>
      <c r="AP990" s="34" t="s">
        <v>62</v>
      </c>
      <c r="AQ990" s="34" t="s">
        <v>62</v>
      </c>
      <c r="AR990" s="38">
        <v>0.0</v>
      </c>
      <c r="AS990" s="38" t="s">
        <v>3327</v>
      </c>
      <c r="AT990" s="35" t="s">
        <v>2275</v>
      </c>
      <c r="AU990" s="39" t="s">
        <v>3250</v>
      </c>
      <c r="AV990" s="40">
        <v>46163.0</v>
      </c>
    </row>
    <row r="991">
      <c r="A991" s="38">
        <v>30.0</v>
      </c>
      <c r="B991" s="38">
        <v>29.0</v>
      </c>
      <c r="C991" s="38">
        <v>29.0</v>
      </c>
      <c r="D991" s="38">
        <v>9.0300068E7</v>
      </c>
      <c r="E991" s="38">
        <v>9.0300068E7</v>
      </c>
      <c r="F991" s="38">
        <v>1.9365474E7</v>
      </c>
      <c r="G991" s="18" t="s">
        <v>2097</v>
      </c>
      <c r="H991" s="18" t="s">
        <v>3328</v>
      </c>
      <c r="I991" s="18" t="s">
        <v>3291</v>
      </c>
      <c r="J991" s="18" t="s">
        <v>2205</v>
      </c>
      <c r="K991" s="18" t="s">
        <v>2097</v>
      </c>
      <c r="L991" s="18" t="s">
        <v>2087</v>
      </c>
      <c r="M991" s="18" t="s">
        <v>2088</v>
      </c>
      <c r="N991" s="18" t="s">
        <v>2089</v>
      </c>
      <c r="O991" s="18" t="s">
        <v>126</v>
      </c>
      <c r="P991" s="18" t="s">
        <v>218</v>
      </c>
      <c r="Q991" s="18" t="s">
        <v>943</v>
      </c>
      <c r="R991" s="18" t="s">
        <v>133</v>
      </c>
      <c r="S991" s="18" t="s">
        <v>59</v>
      </c>
      <c r="T991" s="38">
        <v>2026.0</v>
      </c>
      <c r="U991" s="38">
        <v>5.0</v>
      </c>
      <c r="V991" s="38">
        <v>1.081522244E9</v>
      </c>
      <c r="W991" s="38">
        <v>1.081540314E9</v>
      </c>
      <c r="X991" s="18" t="s">
        <v>2199</v>
      </c>
      <c r="Y991" s="18" t="s">
        <v>2200</v>
      </c>
      <c r="Z991" s="38">
        <v>63364.68</v>
      </c>
      <c r="AA991" s="38">
        <v>63364.68</v>
      </c>
      <c r="AB991" s="38">
        <v>18825.5</v>
      </c>
      <c r="AC991" s="38">
        <v>0.0</v>
      </c>
      <c r="AD991" s="38">
        <v>6888.18</v>
      </c>
      <c r="AE991" s="38">
        <v>0.0</v>
      </c>
      <c r="AF991" s="38">
        <v>0.0</v>
      </c>
      <c r="AG991" s="38">
        <v>0.0</v>
      </c>
      <c r="AH991" s="38">
        <v>0.0</v>
      </c>
      <c r="AI991" s="38">
        <v>63364.68</v>
      </c>
      <c r="AJ991" s="38">
        <v>492569.28</v>
      </c>
      <c r="AK991" s="38">
        <v>8.0</v>
      </c>
      <c r="AL991" s="38">
        <v>416.67</v>
      </c>
      <c r="AM991" s="38">
        <v>0.0</v>
      </c>
      <c r="AN991" s="34" t="s">
        <v>62</v>
      </c>
      <c r="AO991" s="34" t="s">
        <v>62</v>
      </c>
      <c r="AP991" s="34" t="s">
        <v>62</v>
      </c>
      <c r="AQ991" s="34" t="s">
        <v>62</v>
      </c>
      <c r="AR991" s="38">
        <v>0.0</v>
      </c>
      <c r="AS991" s="38" t="s">
        <v>3329</v>
      </c>
      <c r="AT991" s="35" t="s">
        <v>2275</v>
      </c>
      <c r="AU991" s="39" t="s">
        <v>3250</v>
      </c>
      <c r="AV991" s="40">
        <v>46163.0</v>
      </c>
    </row>
    <row r="992">
      <c r="A992" s="38">
        <v>34.0</v>
      </c>
      <c r="B992" s="38">
        <v>33.0</v>
      </c>
      <c r="C992" s="38">
        <v>33.0</v>
      </c>
      <c r="D992" s="38">
        <v>9.0300073E7</v>
      </c>
      <c r="E992" s="38">
        <v>9.0300073E7</v>
      </c>
      <c r="F992" s="38">
        <v>9.0300073E7</v>
      </c>
      <c r="G992" s="18" t="s">
        <v>2097</v>
      </c>
      <c r="H992" s="18" t="s">
        <v>3330</v>
      </c>
      <c r="I992" s="18" t="s">
        <v>3291</v>
      </c>
      <c r="J992" s="18" t="s">
        <v>2205</v>
      </c>
      <c r="K992" s="18" t="s">
        <v>2097</v>
      </c>
      <c r="L992" s="18" t="s">
        <v>2087</v>
      </c>
      <c r="M992" s="18" t="s">
        <v>2088</v>
      </c>
      <c r="N992" s="18" t="s">
        <v>2089</v>
      </c>
      <c r="O992" s="18" t="s">
        <v>126</v>
      </c>
      <c r="P992" s="18" t="s">
        <v>218</v>
      </c>
      <c r="Q992" s="18" t="s">
        <v>943</v>
      </c>
      <c r="R992" s="18" t="s">
        <v>133</v>
      </c>
      <c r="S992" s="18" t="s">
        <v>59</v>
      </c>
      <c r="T992" s="38">
        <v>2026.0</v>
      </c>
      <c r="U992" s="38">
        <v>5.0</v>
      </c>
      <c r="V992" s="38">
        <v>1.08152225E9</v>
      </c>
      <c r="W992" s="38">
        <v>1.08154032E9</v>
      </c>
      <c r="X992" s="18" t="s">
        <v>2199</v>
      </c>
      <c r="Y992" s="18" t="s">
        <v>2200</v>
      </c>
      <c r="Z992" s="38">
        <v>56476.5</v>
      </c>
      <c r="AA992" s="38">
        <v>56476.5</v>
      </c>
      <c r="AB992" s="38">
        <v>18825.5</v>
      </c>
      <c r="AC992" s="38">
        <v>0.0</v>
      </c>
      <c r="AD992" s="38">
        <v>0.0</v>
      </c>
      <c r="AE992" s="38">
        <v>0.0</v>
      </c>
      <c r="AF992" s="38">
        <v>0.0</v>
      </c>
      <c r="AG992" s="38">
        <v>0.0</v>
      </c>
      <c r="AH992" s="38">
        <v>0.0</v>
      </c>
      <c r="AI992" s="38">
        <v>56476.5</v>
      </c>
      <c r="AJ992" s="38">
        <v>56476.5</v>
      </c>
      <c r="AK992" s="38">
        <v>0.0</v>
      </c>
      <c r="AL992" s="38">
        <v>416.67</v>
      </c>
      <c r="AM992" s="38">
        <v>0.0</v>
      </c>
      <c r="AN992" s="34" t="s">
        <v>62</v>
      </c>
      <c r="AO992" s="34" t="s">
        <v>62</v>
      </c>
      <c r="AP992" s="34" t="s">
        <v>62</v>
      </c>
      <c r="AQ992" s="34" t="s">
        <v>62</v>
      </c>
      <c r="AR992" s="38">
        <v>0.0</v>
      </c>
      <c r="AS992" s="34"/>
      <c r="AT992" s="35" t="s">
        <v>2275</v>
      </c>
      <c r="AU992" s="39" t="s">
        <v>3250</v>
      </c>
      <c r="AV992" s="40">
        <v>46163.0</v>
      </c>
    </row>
    <row r="993">
      <c r="A993" s="43">
        <v>341190.0</v>
      </c>
      <c r="B993" s="43">
        <v>341189.0</v>
      </c>
      <c r="C993" s="43">
        <v>341189.0</v>
      </c>
      <c r="D993" s="43">
        <v>389.0</v>
      </c>
      <c r="E993" s="43">
        <v>389.0</v>
      </c>
      <c r="F993" s="43">
        <v>389.0</v>
      </c>
      <c r="G993" s="44" t="s">
        <v>2151</v>
      </c>
      <c r="H993" s="44" t="s">
        <v>3331</v>
      </c>
      <c r="I993" s="43">
        <v>0.0</v>
      </c>
      <c r="J993" s="44" t="s">
        <v>2205</v>
      </c>
      <c r="K993" s="44" t="s">
        <v>2205</v>
      </c>
      <c r="L993" s="44" t="s">
        <v>2087</v>
      </c>
      <c r="M993" s="44" t="s">
        <v>2107</v>
      </c>
      <c r="N993" s="44" t="s">
        <v>2089</v>
      </c>
      <c r="O993" s="44" t="s">
        <v>126</v>
      </c>
      <c r="P993" s="44" t="s">
        <v>131</v>
      </c>
      <c r="Q993" s="44" t="s">
        <v>132</v>
      </c>
      <c r="R993" s="44" t="s">
        <v>133</v>
      </c>
      <c r="S993" s="44" t="s">
        <v>59</v>
      </c>
      <c r="T993" s="43">
        <v>2026.0</v>
      </c>
      <c r="U993" s="43">
        <v>5.0</v>
      </c>
      <c r="V993" s="43">
        <v>1.081522284E9</v>
      </c>
      <c r="W993" s="43">
        <v>1.081540354E9</v>
      </c>
      <c r="X993" s="44" t="s">
        <v>2199</v>
      </c>
      <c r="Y993" s="44" t="s">
        <v>2200</v>
      </c>
      <c r="Z993" s="43">
        <v>68299.5</v>
      </c>
      <c r="AA993" s="43">
        <v>68299.5</v>
      </c>
      <c r="AB993" s="43">
        <v>22766.5</v>
      </c>
      <c r="AC993" s="43">
        <v>0.0</v>
      </c>
      <c r="AD993" s="43">
        <v>0.0</v>
      </c>
      <c r="AE993" s="43">
        <v>0.0</v>
      </c>
      <c r="AF993" s="43">
        <v>0.0</v>
      </c>
      <c r="AG993" s="43">
        <v>0.0</v>
      </c>
      <c r="AH993" s="43">
        <v>0.0</v>
      </c>
      <c r="AI993" s="43">
        <v>68299.5</v>
      </c>
      <c r="AJ993" s="43">
        <v>68299.5</v>
      </c>
      <c r="AK993" s="43">
        <v>0.0</v>
      </c>
      <c r="AL993" s="43">
        <v>416.67</v>
      </c>
      <c r="AM993" s="43">
        <v>0.0</v>
      </c>
      <c r="AN993" s="45" t="s">
        <v>62</v>
      </c>
      <c r="AO993" s="45" t="s">
        <v>62</v>
      </c>
      <c r="AP993" s="45" t="s">
        <v>62</v>
      </c>
      <c r="AQ993" s="45" t="s">
        <v>62</v>
      </c>
      <c r="AR993" s="43">
        <v>0.0</v>
      </c>
      <c r="AS993" s="43" t="s">
        <v>3332</v>
      </c>
      <c r="AT993" s="48" t="s">
        <v>2202</v>
      </c>
      <c r="AU993" s="46" t="s">
        <v>2203</v>
      </c>
      <c r="AV993" s="40">
        <v>46174.0</v>
      </c>
    </row>
    <row r="994">
      <c r="A994" s="38">
        <v>38.0</v>
      </c>
      <c r="B994" s="38">
        <v>37.0</v>
      </c>
      <c r="C994" s="38">
        <v>37.0</v>
      </c>
      <c r="D994" s="38">
        <v>9.0300077E7</v>
      </c>
      <c r="E994" s="38">
        <v>9.0300077E7</v>
      </c>
      <c r="F994" s="38">
        <v>9.0300077E7</v>
      </c>
      <c r="G994" s="18" t="s">
        <v>2097</v>
      </c>
      <c r="H994" s="18" t="s">
        <v>3333</v>
      </c>
      <c r="I994" s="18" t="s">
        <v>3291</v>
      </c>
      <c r="J994" s="18" t="s">
        <v>2205</v>
      </c>
      <c r="K994" s="18" t="s">
        <v>2097</v>
      </c>
      <c r="L994" s="18" t="s">
        <v>2087</v>
      </c>
      <c r="M994" s="18" t="s">
        <v>2088</v>
      </c>
      <c r="N994" s="18" t="s">
        <v>2089</v>
      </c>
      <c r="O994" s="18" t="s">
        <v>126</v>
      </c>
      <c r="P994" s="18" t="s">
        <v>218</v>
      </c>
      <c r="Q994" s="18" t="s">
        <v>943</v>
      </c>
      <c r="R994" s="18" t="s">
        <v>133</v>
      </c>
      <c r="S994" s="18" t="s">
        <v>59</v>
      </c>
      <c r="T994" s="38">
        <v>2026.0</v>
      </c>
      <c r="U994" s="38">
        <v>5.0</v>
      </c>
      <c r="V994" s="38">
        <v>1.081522251E9</v>
      </c>
      <c r="W994" s="38">
        <v>1.081540321E9</v>
      </c>
      <c r="X994" s="18" t="s">
        <v>2199</v>
      </c>
      <c r="Y994" s="18" t="s">
        <v>2200</v>
      </c>
      <c r="Z994" s="38">
        <v>56476.5</v>
      </c>
      <c r="AA994" s="38">
        <v>56476.5</v>
      </c>
      <c r="AB994" s="38">
        <v>18825.5</v>
      </c>
      <c r="AC994" s="38">
        <v>0.0</v>
      </c>
      <c r="AD994" s="38">
        <v>0.0</v>
      </c>
      <c r="AE994" s="38">
        <v>0.0</v>
      </c>
      <c r="AF994" s="38">
        <v>0.0</v>
      </c>
      <c r="AG994" s="38">
        <v>0.0</v>
      </c>
      <c r="AH994" s="38">
        <v>0.0</v>
      </c>
      <c r="AI994" s="38">
        <v>56476.5</v>
      </c>
      <c r="AJ994" s="38">
        <v>56476.5</v>
      </c>
      <c r="AK994" s="38">
        <v>0.0</v>
      </c>
      <c r="AL994" s="38">
        <v>416.67</v>
      </c>
      <c r="AM994" s="38">
        <v>0.0</v>
      </c>
      <c r="AN994" s="34" t="s">
        <v>62</v>
      </c>
      <c r="AO994" s="34" t="s">
        <v>62</v>
      </c>
      <c r="AP994" s="34" t="s">
        <v>62</v>
      </c>
      <c r="AQ994" s="34" t="s">
        <v>62</v>
      </c>
      <c r="AR994" s="38">
        <v>0.0</v>
      </c>
      <c r="AS994" s="34"/>
      <c r="AT994" s="35" t="s">
        <v>2275</v>
      </c>
      <c r="AU994" s="39" t="s">
        <v>3250</v>
      </c>
      <c r="AV994" s="40">
        <v>46163.0</v>
      </c>
    </row>
    <row r="995">
      <c r="A995" s="38">
        <v>42.0</v>
      </c>
      <c r="B995" s="38">
        <v>41.0</v>
      </c>
      <c r="C995" s="38">
        <v>41.0</v>
      </c>
      <c r="D995" s="38">
        <v>9.0310087E7</v>
      </c>
      <c r="E995" s="38">
        <v>9.0310087E7</v>
      </c>
      <c r="F995" s="18" t="s">
        <v>2154</v>
      </c>
      <c r="G995" s="18" t="s">
        <v>2155</v>
      </c>
      <c r="H995" s="18" t="s">
        <v>3334</v>
      </c>
      <c r="I995" s="18" t="s">
        <v>3291</v>
      </c>
      <c r="J995" s="18" t="s">
        <v>2091</v>
      </c>
      <c r="K995" s="18" t="s">
        <v>2205</v>
      </c>
      <c r="L995" s="18" t="s">
        <v>2087</v>
      </c>
      <c r="M995" s="18" t="s">
        <v>2088</v>
      </c>
      <c r="N995" s="18" t="s">
        <v>2089</v>
      </c>
      <c r="O995" s="18" t="s">
        <v>126</v>
      </c>
      <c r="P995" s="18" t="s">
        <v>56</v>
      </c>
      <c r="Q995" s="18" t="s">
        <v>90</v>
      </c>
      <c r="R995" s="18" t="s">
        <v>143</v>
      </c>
      <c r="S995" s="18" t="s">
        <v>59</v>
      </c>
      <c r="T995" s="38">
        <v>2026.0</v>
      </c>
      <c r="U995" s="38">
        <v>5.0</v>
      </c>
      <c r="V995" s="38">
        <v>1.081522256E9</v>
      </c>
      <c r="W995" s="38">
        <v>1.081540326E9</v>
      </c>
      <c r="X995" s="18" t="s">
        <v>2199</v>
      </c>
      <c r="Y995" s="18" t="s">
        <v>2200</v>
      </c>
      <c r="Z995" s="38">
        <v>257495.77</v>
      </c>
      <c r="AA995" s="38">
        <v>257495.77</v>
      </c>
      <c r="AB995" s="38">
        <v>85831.93</v>
      </c>
      <c r="AC995" s="38">
        <v>787.5</v>
      </c>
      <c r="AD995" s="38">
        <v>0.0</v>
      </c>
      <c r="AE995" s="38">
        <v>0.0</v>
      </c>
      <c r="AF995" s="38">
        <v>0.0</v>
      </c>
      <c r="AG995" s="38">
        <v>0.0</v>
      </c>
      <c r="AH995" s="38">
        <v>0.0</v>
      </c>
      <c r="AI995" s="38">
        <v>257495.77</v>
      </c>
      <c r="AJ995" s="38">
        <v>257495.77</v>
      </c>
      <c r="AK995" s="38">
        <v>0.0</v>
      </c>
      <c r="AL995" s="38">
        <v>416.67</v>
      </c>
      <c r="AM995" s="38">
        <v>0.0</v>
      </c>
      <c r="AN995" s="34" t="s">
        <v>62</v>
      </c>
      <c r="AO995" s="34" t="s">
        <v>62</v>
      </c>
      <c r="AP995" s="34" t="s">
        <v>62</v>
      </c>
      <c r="AQ995" s="34" t="s">
        <v>62</v>
      </c>
      <c r="AR995" s="38">
        <v>0.0</v>
      </c>
      <c r="AS995" s="38" t="s">
        <v>3335</v>
      </c>
      <c r="AT995" s="38" t="s">
        <v>2275</v>
      </c>
      <c r="AU995" s="39" t="s">
        <v>3250</v>
      </c>
      <c r="AV995" s="40">
        <v>46163.0</v>
      </c>
    </row>
    <row r="996">
      <c r="A996" s="38">
        <v>699.0</v>
      </c>
      <c r="B996" s="38">
        <v>426385.0</v>
      </c>
      <c r="C996" s="38">
        <v>443306.0</v>
      </c>
      <c r="D996" s="38">
        <v>1068665.0</v>
      </c>
      <c r="E996" s="38">
        <v>1068665.0</v>
      </c>
      <c r="F996" s="38">
        <v>9.00480569E8</v>
      </c>
      <c r="G996" s="18" t="s">
        <v>141</v>
      </c>
      <c r="H996" s="18" t="s">
        <v>2255</v>
      </c>
      <c r="I996" s="18" t="s">
        <v>3336</v>
      </c>
      <c r="J996" s="18" t="s">
        <v>2205</v>
      </c>
      <c r="K996" s="18" t="s">
        <v>3306</v>
      </c>
      <c r="L996" s="18" t="s">
        <v>2087</v>
      </c>
      <c r="M996" s="18" t="s">
        <v>2091</v>
      </c>
      <c r="N996" s="18" t="s">
        <v>2089</v>
      </c>
      <c r="O996" s="18" t="s">
        <v>126</v>
      </c>
      <c r="P996" s="18" t="s">
        <v>56</v>
      </c>
      <c r="Q996" s="18" t="s">
        <v>90</v>
      </c>
      <c r="R996" s="18" t="s">
        <v>143</v>
      </c>
      <c r="S996" s="18" t="s">
        <v>59</v>
      </c>
      <c r="T996" s="38">
        <v>2026.0</v>
      </c>
      <c r="U996" s="38">
        <v>5.0</v>
      </c>
      <c r="V996" s="38">
        <v>1.081522287E9</v>
      </c>
      <c r="W996" s="38">
        <v>1.081540357E9</v>
      </c>
      <c r="X996" s="18" t="s">
        <v>2199</v>
      </c>
      <c r="Y996" s="18" t="s">
        <v>2200</v>
      </c>
      <c r="Z996" s="38">
        <v>877130.59</v>
      </c>
      <c r="AA996" s="38">
        <v>877130.59</v>
      </c>
      <c r="AB996" s="38">
        <v>255809.22</v>
      </c>
      <c r="AC996" s="38">
        <v>2520.0</v>
      </c>
      <c r="AD996" s="38">
        <v>109702.93</v>
      </c>
      <c r="AE996" s="38">
        <v>0.0</v>
      </c>
      <c r="AF996" s="38">
        <v>0.0</v>
      </c>
      <c r="AG996" s="38">
        <v>0.0</v>
      </c>
      <c r="AH996" s="38">
        <v>0.0</v>
      </c>
      <c r="AI996" s="38">
        <v>877130.59</v>
      </c>
      <c r="AJ996" s="38">
        <v>1711000.7</v>
      </c>
      <c r="AK996" s="38">
        <v>1.0</v>
      </c>
      <c r="AL996" s="38">
        <v>416.67</v>
      </c>
      <c r="AM996" s="38">
        <v>0.0</v>
      </c>
      <c r="AN996" s="34" t="s">
        <v>62</v>
      </c>
      <c r="AO996" s="34" t="s">
        <v>62</v>
      </c>
      <c r="AP996" s="34" t="s">
        <v>62</v>
      </c>
      <c r="AQ996" s="34" t="s">
        <v>62</v>
      </c>
      <c r="AR996" s="38">
        <v>0.0</v>
      </c>
      <c r="AS996" s="38" t="s">
        <v>2257</v>
      </c>
      <c r="AT996" s="35" t="s">
        <v>2202</v>
      </c>
      <c r="AU996" s="39" t="s">
        <v>2203</v>
      </c>
      <c r="AV996" s="40">
        <v>46163.0</v>
      </c>
    </row>
    <row r="997">
      <c r="A997" s="38">
        <v>699.0</v>
      </c>
      <c r="B997" s="38">
        <v>437289.0</v>
      </c>
      <c r="C997" s="38">
        <v>460743.0</v>
      </c>
      <c r="D997" s="38">
        <v>324862.0</v>
      </c>
      <c r="E997" s="38">
        <v>324862.0</v>
      </c>
      <c r="F997" s="38">
        <v>9.00480569E8</v>
      </c>
      <c r="G997" s="18" t="s">
        <v>141</v>
      </c>
      <c r="H997" s="18" t="s">
        <v>2255</v>
      </c>
      <c r="I997" s="18" t="s">
        <v>3319</v>
      </c>
      <c r="J997" s="18" t="s">
        <v>2205</v>
      </c>
      <c r="K997" s="18" t="s">
        <v>3306</v>
      </c>
      <c r="L997" s="18" t="s">
        <v>2087</v>
      </c>
      <c r="M997" s="18" t="s">
        <v>2091</v>
      </c>
      <c r="N997" s="18" t="s">
        <v>2089</v>
      </c>
      <c r="O997" s="18" t="s">
        <v>126</v>
      </c>
      <c r="P997" s="18" t="s">
        <v>56</v>
      </c>
      <c r="Q997" s="18" t="s">
        <v>90</v>
      </c>
      <c r="R997" s="18" t="s">
        <v>143</v>
      </c>
      <c r="S997" s="18" t="s">
        <v>59</v>
      </c>
      <c r="T997" s="38">
        <v>2026.0</v>
      </c>
      <c r="U997" s="38">
        <v>5.0</v>
      </c>
      <c r="V997" s="38">
        <v>1.08152229E9</v>
      </c>
      <c r="W997" s="38">
        <v>1.08154036E9</v>
      </c>
      <c r="X997" s="18" t="s">
        <v>2199</v>
      </c>
      <c r="Y997" s="18" t="s">
        <v>2200</v>
      </c>
      <c r="Z997" s="38">
        <v>885160.86</v>
      </c>
      <c r="AA997" s="38">
        <v>885160.86</v>
      </c>
      <c r="AB997" s="38">
        <v>295053.62</v>
      </c>
      <c r="AC997" s="38">
        <v>2920.0</v>
      </c>
      <c r="AD997" s="38">
        <v>0.0</v>
      </c>
      <c r="AE997" s="38">
        <v>0.0</v>
      </c>
      <c r="AF997" s="38">
        <v>0.0</v>
      </c>
      <c r="AG997" s="38">
        <v>0.0</v>
      </c>
      <c r="AH997" s="38">
        <v>0.0</v>
      </c>
      <c r="AI997" s="38">
        <v>885160.86</v>
      </c>
      <c r="AJ997" s="38">
        <v>1752907.46</v>
      </c>
      <c r="AK997" s="38">
        <v>1.0</v>
      </c>
      <c r="AL997" s="38">
        <v>416.67</v>
      </c>
      <c r="AM997" s="38">
        <v>0.0</v>
      </c>
      <c r="AN997" s="34" t="s">
        <v>62</v>
      </c>
      <c r="AO997" s="34" t="s">
        <v>62</v>
      </c>
      <c r="AP997" s="34" t="s">
        <v>62</v>
      </c>
      <c r="AQ997" s="34" t="s">
        <v>62</v>
      </c>
      <c r="AR997" s="38">
        <v>0.0</v>
      </c>
      <c r="AS997" s="38" t="s">
        <v>2257</v>
      </c>
      <c r="AT997" s="35" t="s">
        <v>2202</v>
      </c>
      <c r="AU997" s="39" t="s">
        <v>2203</v>
      </c>
      <c r="AV997" s="40">
        <v>46163.0</v>
      </c>
    </row>
    <row r="998">
      <c r="A998" s="38">
        <v>511422.0</v>
      </c>
      <c r="B998" s="38">
        <v>461009.0</v>
      </c>
      <c r="C998" s="38">
        <v>489492.0</v>
      </c>
      <c r="D998" s="34" t="s">
        <v>62</v>
      </c>
      <c r="E998" s="34" t="s">
        <v>62</v>
      </c>
      <c r="F998" s="38">
        <v>8.90209174E8</v>
      </c>
      <c r="G998" s="18" t="s">
        <v>2159</v>
      </c>
      <c r="H998" s="18" t="s">
        <v>3337</v>
      </c>
      <c r="I998" s="18" t="s">
        <v>3338</v>
      </c>
      <c r="J998" s="18" t="s">
        <v>2205</v>
      </c>
      <c r="K998" s="18" t="s">
        <v>2205</v>
      </c>
      <c r="L998" s="18" t="s">
        <v>2087</v>
      </c>
      <c r="M998" s="18" t="s">
        <v>2088</v>
      </c>
      <c r="N998" s="18" t="s">
        <v>2089</v>
      </c>
      <c r="O998" s="18" t="s">
        <v>126</v>
      </c>
      <c r="P998" s="18" t="s">
        <v>131</v>
      </c>
      <c r="Q998" s="18" t="s">
        <v>132</v>
      </c>
      <c r="R998" s="18" t="s">
        <v>133</v>
      </c>
      <c r="S998" s="18" t="s">
        <v>59</v>
      </c>
      <c r="T998" s="38">
        <v>2026.0</v>
      </c>
      <c r="U998" s="38">
        <v>5.0</v>
      </c>
      <c r="V998" s="38">
        <v>1.081522292E9</v>
      </c>
      <c r="W998" s="38">
        <v>1.081540362E9</v>
      </c>
      <c r="X998" s="18" t="s">
        <v>2199</v>
      </c>
      <c r="Y998" s="18" t="s">
        <v>2200</v>
      </c>
      <c r="Z998" s="38">
        <v>87226.5</v>
      </c>
      <c r="AA998" s="38">
        <v>87226.5</v>
      </c>
      <c r="AB998" s="38">
        <v>29075.5</v>
      </c>
      <c r="AC998" s="38">
        <v>0.0</v>
      </c>
      <c r="AD998" s="38">
        <v>0.0</v>
      </c>
      <c r="AE998" s="38">
        <v>0.0</v>
      </c>
      <c r="AF998" s="38">
        <v>0.0</v>
      </c>
      <c r="AG998" s="38">
        <v>0.0</v>
      </c>
      <c r="AH998" s="38">
        <v>0.0</v>
      </c>
      <c r="AI998" s="38">
        <v>87226.5</v>
      </c>
      <c r="AJ998" s="38">
        <v>87226.5</v>
      </c>
      <c r="AK998" s="38">
        <v>0.0</v>
      </c>
      <c r="AL998" s="38">
        <v>416.67</v>
      </c>
      <c r="AM998" s="38">
        <v>0.0</v>
      </c>
      <c r="AN998" s="34" t="s">
        <v>62</v>
      </c>
      <c r="AO998" s="34" t="s">
        <v>62</v>
      </c>
      <c r="AP998" s="34" t="s">
        <v>62</v>
      </c>
      <c r="AQ998" s="34" t="s">
        <v>62</v>
      </c>
      <c r="AR998" s="38">
        <v>0.0</v>
      </c>
      <c r="AS998" s="38" t="s">
        <v>3339</v>
      </c>
      <c r="AT998" s="35" t="s">
        <v>2202</v>
      </c>
      <c r="AU998" s="39" t="s">
        <v>2203</v>
      </c>
      <c r="AV998" s="40">
        <v>46174.0</v>
      </c>
    </row>
    <row r="999">
      <c r="A999" s="38">
        <v>549212.0</v>
      </c>
      <c r="B999" s="38">
        <v>475429.0</v>
      </c>
      <c r="C999" s="38">
        <v>515883.0</v>
      </c>
      <c r="D999" s="34" t="s">
        <v>62</v>
      </c>
      <c r="E999" s="34" t="s">
        <v>62</v>
      </c>
      <c r="F999" s="38">
        <v>9.00114676E8</v>
      </c>
      <c r="G999" s="18" t="s">
        <v>2161</v>
      </c>
      <c r="H999" s="18" t="s">
        <v>3340</v>
      </c>
      <c r="I999" s="18" t="s">
        <v>76</v>
      </c>
      <c r="J999" s="18" t="s">
        <v>2648</v>
      </c>
      <c r="K999" s="18" t="s">
        <v>982</v>
      </c>
      <c r="L999" s="18" t="s">
        <v>2087</v>
      </c>
      <c r="M999" s="18" t="s">
        <v>2091</v>
      </c>
      <c r="N999" s="18" t="s">
        <v>2089</v>
      </c>
      <c r="O999" s="18" t="s">
        <v>126</v>
      </c>
      <c r="P999" s="18" t="s">
        <v>56</v>
      </c>
      <c r="Q999" s="18" t="s">
        <v>90</v>
      </c>
      <c r="R999" s="18" t="s">
        <v>143</v>
      </c>
      <c r="S999" s="18" t="s">
        <v>59</v>
      </c>
      <c r="T999" s="38">
        <v>2026.0</v>
      </c>
      <c r="U999" s="38">
        <v>5.0</v>
      </c>
      <c r="V999" s="38">
        <v>1.081522293E9</v>
      </c>
      <c r="W999" s="38">
        <v>1.081540363E9</v>
      </c>
      <c r="X999" s="18" t="s">
        <v>2199</v>
      </c>
      <c r="Y999" s="18" t="s">
        <v>2200</v>
      </c>
      <c r="Z999" s="38">
        <v>99324.2</v>
      </c>
      <c r="AA999" s="38">
        <v>99324.2</v>
      </c>
      <c r="AB999" s="38">
        <v>33097.25</v>
      </c>
      <c r="AC999" s="38">
        <v>250.0</v>
      </c>
      <c r="AD999" s="38">
        <v>32.45</v>
      </c>
      <c r="AE999" s="38">
        <v>0.0</v>
      </c>
      <c r="AF999" s="38">
        <v>0.0</v>
      </c>
      <c r="AG999" s="38">
        <v>0.0</v>
      </c>
      <c r="AH999" s="38">
        <v>0.0</v>
      </c>
      <c r="AI999" s="38">
        <v>99324.2</v>
      </c>
      <c r="AJ999" s="38">
        <v>199368.98</v>
      </c>
      <c r="AK999" s="38">
        <v>2.0</v>
      </c>
      <c r="AL999" s="38">
        <v>416.67</v>
      </c>
      <c r="AM999" s="38">
        <v>0.0</v>
      </c>
      <c r="AN999" s="34" t="s">
        <v>62</v>
      </c>
      <c r="AO999" s="34" t="s">
        <v>62</v>
      </c>
      <c r="AP999" s="34" t="s">
        <v>62</v>
      </c>
      <c r="AQ999" s="34" t="s">
        <v>62</v>
      </c>
      <c r="AR999" s="38">
        <v>0.0</v>
      </c>
      <c r="AS999" s="38" t="s">
        <v>3341</v>
      </c>
      <c r="AT999" s="35" t="s">
        <v>2275</v>
      </c>
      <c r="AU999" s="39" t="s">
        <v>2326</v>
      </c>
      <c r="AV999" s="40">
        <v>46163.0</v>
      </c>
    </row>
    <row r="1000">
      <c r="A1000" s="38">
        <v>572861.0</v>
      </c>
      <c r="B1000" s="38">
        <v>484925.0</v>
      </c>
      <c r="C1000" s="38">
        <v>533347.0</v>
      </c>
      <c r="D1000" s="38">
        <v>312745.0</v>
      </c>
      <c r="E1000" s="38">
        <v>312745.0</v>
      </c>
      <c r="F1000" s="38">
        <v>1.3451448E7</v>
      </c>
      <c r="G1000" s="18" t="s">
        <v>2163</v>
      </c>
      <c r="H1000" s="18" t="s">
        <v>3342</v>
      </c>
      <c r="I1000" s="18" t="s">
        <v>3343</v>
      </c>
      <c r="J1000" s="18" t="s">
        <v>2205</v>
      </c>
      <c r="K1000" s="18" t="s">
        <v>2205</v>
      </c>
      <c r="L1000" s="18" t="s">
        <v>2087</v>
      </c>
      <c r="M1000" s="18" t="s">
        <v>2088</v>
      </c>
      <c r="N1000" s="18" t="s">
        <v>2089</v>
      </c>
      <c r="O1000" s="18" t="s">
        <v>126</v>
      </c>
      <c r="P1000" s="18" t="s">
        <v>56</v>
      </c>
      <c r="Q1000" s="18" t="s">
        <v>90</v>
      </c>
      <c r="R1000" s="18" t="s">
        <v>143</v>
      </c>
      <c r="S1000" s="18" t="s">
        <v>59</v>
      </c>
      <c r="T1000" s="38">
        <v>2026.0</v>
      </c>
      <c r="U1000" s="38">
        <v>5.0</v>
      </c>
      <c r="V1000" s="38">
        <v>1.081522294E9</v>
      </c>
      <c r="W1000" s="38">
        <v>1.081540364E9</v>
      </c>
      <c r="X1000" s="18" t="s">
        <v>2199</v>
      </c>
      <c r="Y1000" s="18" t="s">
        <v>2200</v>
      </c>
      <c r="Z1000" s="38">
        <v>444551.71</v>
      </c>
      <c r="AA1000" s="38">
        <v>444551.71</v>
      </c>
      <c r="AB1000" s="38">
        <v>133464.81</v>
      </c>
      <c r="AC1000" s="38">
        <v>1273.0</v>
      </c>
      <c r="AD1000" s="38">
        <v>44157.3</v>
      </c>
      <c r="AE1000" s="38">
        <v>0.0</v>
      </c>
      <c r="AF1000" s="38">
        <v>0.0</v>
      </c>
      <c r="AG1000" s="38">
        <v>0.0</v>
      </c>
      <c r="AH1000" s="38">
        <v>0.0</v>
      </c>
      <c r="AI1000" s="38">
        <v>444551.71</v>
      </c>
      <c r="AJ1000" s="38">
        <v>3226791.24</v>
      </c>
      <c r="AK1000" s="38">
        <v>7.0</v>
      </c>
      <c r="AL1000" s="38">
        <v>416.67</v>
      </c>
      <c r="AM1000" s="38">
        <v>0.0</v>
      </c>
      <c r="AN1000" s="34" t="s">
        <v>62</v>
      </c>
      <c r="AO1000" s="34" t="s">
        <v>62</v>
      </c>
      <c r="AP1000" s="34" t="s">
        <v>62</v>
      </c>
      <c r="AQ1000" s="34" t="s">
        <v>62</v>
      </c>
      <c r="AR1000" s="38">
        <v>0.0</v>
      </c>
      <c r="AS1000" s="38" t="s">
        <v>3344</v>
      </c>
      <c r="AT1000" s="35" t="s">
        <v>2202</v>
      </c>
      <c r="AU1000" s="39" t="s">
        <v>2203</v>
      </c>
      <c r="AV1000" s="40">
        <v>46174.0</v>
      </c>
    </row>
    <row r="1001">
      <c r="A1001" s="38">
        <v>6.0</v>
      </c>
      <c r="B1001" s="38">
        <v>5.0</v>
      </c>
      <c r="C1001" s="38">
        <v>5.0</v>
      </c>
      <c r="D1001" s="38">
        <v>9.0300041E7</v>
      </c>
      <c r="E1001" s="38">
        <v>9.0300041E7</v>
      </c>
      <c r="F1001" s="38">
        <v>3.7238382E7</v>
      </c>
      <c r="G1001" s="18" t="s">
        <v>2086</v>
      </c>
      <c r="H1001" s="18" t="s">
        <v>3345</v>
      </c>
      <c r="I1001" s="18" t="s">
        <v>3291</v>
      </c>
      <c r="J1001" s="18" t="s">
        <v>2086</v>
      </c>
      <c r="K1001" s="18" t="s">
        <v>2086</v>
      </c>
      <c r="L1001" s="18" t="s">
        <v>2087</v>
      </c>
      <c r="M1001" s="18" t="s">
        <v>2088</v>
      </c>
      <c r="N1001" s="18" t="s">
        <v>2089</v>
      </c>
      <c r="O1001" s="18" t="s">
        <v>126</v>
      </c>
      <c r="P1001" s="18" t="s">
        <v>218</v>
      </c>
      <c r="Q1001" s="18" t="s">
        <v>943</v>
      </c>
      <c r="R1001" s="18" t="s">
        <v>133</v>
      </c>
      <c r="S1001" s="18" t="s">
        <v>59</v>
      </c>
      <c r="T1001" s="38">
        <v>2026.0</v>
      </c>
      <c r="U1001" s="38">
        <v>5.0</v>
      </c>
      <c r="V1001" s="38">
        <v>1.081522224E9</v>
      </c>
      <c r="W1001" s="38">
        <v>1.081540294E9</v>
      </c>
      <c r="X1001" s="18" t="s">
        <v>2199</v>
      </c>
      <c r="Y1001" s="18" t="s">
        <v>2200</v>
      </c>
      <c r="Z1001" s="38">
        <v>56476.5</v>
      </c>
      <c r="AA1001" s="38">
        <v>56476.5</v>
      </c>
      <c r="AB1001" s="38">
        <v>18825.5</v>
      </c>
      <c r="AC1001" s="38">
        <v>0.0</v>
      </c>
      <c r="AD1001" s="38">
        <v>0.0</v>
      </c>
      <c r="AE1001" s="38">
        <v>0.0</v>
      </c>
      <c r="AF1001" s="38">
        <v>0.0</v>
      </c>
      <c r="AG1001" s="38">
        <v>0.0</v>
      </c>
      <c r="AH1001" s="38">
        <v>0.0</v>
      </c>
      <c r="AI1001" s="38">
        <v>56476.5</v>
      </c>
      <c r="AJ1001" s="38">
        <v>56476.5</v>
      </c>
      <c r="AK1001" s="38">
        <v>0.0</v>
      </c>
      <c r="AL1001" s="38">
        <v>416.67</v>
      </c>
      <c r="AM1001" s="38">
        <v>0.0</v>
      </c>
      <c r="AN1001" s="34" t="s">
        <v>62</v>
      </c>
      <c r="AO1001" s="34" t="s">
        <v>62</v>
      </c>
      <c r="AP1001" s="34" t="s">
        <v>62</v>
      </c>
      <c r="AQ1001" s="34" t="s">
        <v>62</v>
      </c>
      <c r="AR1001" s="38">
        <v>0.0</v>
      </c>
      <c r="AS1001" s="38" t="s">
        <v>3304</v>
      </c>
      <c r="AT1001" s="35" t="s">
        <v>2275</v>
      </c>
      <c r="AU1001" s="39" t="s">
        <v>3250</v>
      </c>
      <c r="AV1001" s="40">
        <v>46163.0</v>
      </c>
    </row>
    <row r="1002">
      <c r="A1002" s="38">
        <v>63966.0</v>
      </c>
      <c r="B1002" s="38">
        <v>63965.0</v>
      </c>
      <c r="C1002" s="38">
        <v>63965.0</v>
      </c>
      <c r="D1002" s="38">
        <v>82501.0</v>
      </c>
      <c r="E1002" s="38">
        <v>82501.0</v>
      </c>
      <c r="F1002" s="38">
        <v>9.00928406E8</v>
      </c>
      <c r="G1002" s="18" t="s">
        <v>2166</v>
      </c>
      <c r="H1002" s="18" t="s">
        <v>3346</v>
      </c>
      <c r="I1002" s="18" t="s">
        <v>3347</v>
      </c>
      <c r="J1002" s="18" t="s">
        <v>2091</v>
      </c>
      <c r="K1002" s="18" t="s">
        <v>2205</v>
      </c>
      <c r="L1002" s="18" t="s">
        <v>2087</v>
      </c>
      <c r="M1002" s="18" t="s">
        <v>2088</v>
      </c>
      <c r="N1002" s="18" t="s">
        <v>2089</v>
      </c>
      <c r="O1002" s="18" t="s">
        <v>126</v>
      </c>
      <c r="P1002" s="18" t="s">
        <v>131</v>
      </c>
      <c r="Q1002" s="18" t="s">
        <v>132</v>
      </c>
      <c r="R1002" s="18" t="s">
        <v>133</v>
      </c>
      <c r="S1002" s="18" t="s">
        <v>59</v>
      </c>
      <c r="T1002" s="38">
        <v>2026.0</v>
      </c>
      <c r="U1002" s="38">
        <v>5.0</v>
      </c>
      <c r="V1002" s="38">
        <v>1.081522269E9</v>
      </c>
      <c r="W1002" s="38">
        <v>1.081540339E9</v>
      </c>
      <c r="X1002" s="18" t="s">
        <v>2199</v>
      </c>
      <c r="Y1002" s="18" t="s">
        <v>2200</v>
      </c>
      <c r="Z1002" s="38">
        <v>87226.5</v>
      </c>
      <c r="AA1002" s="38">
        <v>87226.5</v>
      </c>
      <c r="AB1002" s="38">
        <v>29075.5</v>
      </c>
      <c r="AC1002" s="38">
        <v>0.0</v>
      </c>
      <c r="AD1002" s="38">
        <v>0.0</v>
      </c>
      <c r="AE1002" s="38">
        <v>0.0</v>
      </c>
      <c r="AF1002" s="38">
        <v>0.0</v>
      </c>
      <c r="AG1002" s="38">
        <v>0.0</v>
      </c>
      <c r="AH1002" s="38">
        <v>0.0</v>
      </c>
      <c r="AI1002" s="38">
        <v>87226.5</v>
      </c>
      <c r="AJ1002" s="38">
        <v>87226.5</v>
      </c>
      <c r="AK1002" s="38">
        <v>0.0</v>
      </c>
      <c r="AL1002" s="38">
        <v>416.67</v>
      </c>
      <c r="AM1002" s="38">
        <v>0.0</v>
      </c>
      <c r="AN1002" s="34" t="s">
        <v>62</v>
      </c>
      <c r="AO1002" s="34" t="s">
        <v>62</v>
      </c>
      <c r="AP1002" s="34" t="s">
        <v>62</v>
      </c>
      <c r="AQ1002" s="34" t="s">
        <v>62</v>
      </c>
      <c r="AR1002" s="38">
        <v>0.0</v>
      </c>
      <c r="AS1002" s="38" t="s">
        <v>3348</v>
      </c>
      <c r="AT1002" s="38" t="s">
        <v>2275</v>
      </c>
      <c r="AU1002" s="39" t="s">
        <v>3250</v>
      </c>
      <c r="AV1002" s="40">
        <v>46163.0</v>
      </c>
    </row>
    <row r="1003">
      <c r="A1003" s="38">
        <v>404633.0</v>
      </c>
      <c r="B1003" s="38">
        <v>71613.0</v>
      </c>
      <c r="C1003" s="38">
        <v>71613.0</v>
      </c>
      <c r="D1003" s="38">
        <v>74167.0</v>
      </c>
      <c r="E1003" s="38">
        <v>74167.0</v>
      </c>
      <c r="F1003" s="38">
        <v>8.60002964E8</v>
      </c>
      <c r="G1003" s="18" t="s">
        <v>705</v>
      </c>
      <c r="H1003" s="18" t="s">
        <v>2526</v>
      </c>
      <c r="I1003" s="18" t="s">
        <v>3314</v>
      </c>
      <c r="J1003" s="18" t="s">
        <v>2205</v>
      </c>
      <c r="K1003" s="18" t="s">
        <v>2527</v>
      </c>
      <c r="L1003" s="18" t="s">
        <v>2087</v>
      </c>
      <c r="M1003" s="18" t="s">
        <v>2091</v>
      </c>
      <c r="N1003" s="18" t="s">
        <v>2089</v>
      </c>
      <c r="O1003" s="18" t="s">
        <v>126</v>
      </c>
      <c r="P1003" s="18" t="s">
        <v>131</v>
      </c>
      <c r="Q1003" s="18" t="s">
        <v>363</v>
      </c>
      <c r="R1003" s="18" t="s">
        <v>133</v>
      </c>
      <c r="S1003" s="18" t="s">
        <v>59</v>
      </c>
      <c r="T1003" s="38">
        <v>2026.0</v>
      </c>
      <c r="U1003" s="38">
        <v>5.0</v>
      </c>
      <c r="V1003" s="38">
        <v>1.081522272E9</v>
      </c>
      <c r="W1003" s="38">
        <v>1.081540342E9</v>
      </c>
      <c r="X1003" s="18" t="s">
        <v>2199</v>
      </c>
      <c r="Y1003" s="18" t="s">
        <v>2200</v>
      </c>
      <c r="Z1003" s="38">
        <v>50931.0</v>
      </c>
      <c r="AA1003" s="38">
        <v>50931.0</v>
      </c>
      <c r="AB1003" s="38">
        <v>16977.0</v>
      </c>
      <c r="AC1003" s="38">
        <v>0.0</v>
      </c>
      <c r="AD1003" s="38">
        <v>0.0</v>
      </c>
      <c r="AE1003" s="38">
        <v>0.0</v>
      </c>
      <c r="AF1003" s="38">
        <v>0.0</v>
      </c>
      <c r="AG1003" s="38">
        <v>0.0</v>
      </c>
      <c r="AH1003" s="38">
        <v>0.0</v>
      </c>
      <c r="AI1003" s="38">
        <v>50931.0</v>
      </c>
      <c r="AJ1003" s="38">
        <v>50931.0</v>
      </c>
      <c r="AK1003" s="38">
        <v>0.0</v>
      </c>
      <c r="AL1003" s="38">
        <v>416.67</v>
      </c>
      <c r="AM1003" s="38">
        <v>0.0</v>
      </c>
      <c r="AN1003" s="34" t="s">
        <v>62</v>
      </c>
      <c r="AO1003" s="34" t="s">
        <v>62</v>
      </c>
      <c r="AP1003" s="34" t="s">
        <v>62</v>
      </c>
      <c r="AQ1003" s="34" t="s">
        <v>62</v>
      </c>
      <c r="AR1003" s="38">
        <v>0.0</v>
      </c>
      <c r="AS1003" s="38" t="s">
        <v>2528</v>
      </c>
      <c r="AT1003" s="35" t="s">
        <v>2202</v>
      </c>
      <c r="AU1003" s="39" t="s">
        <v>2203</v>
      </c>
      <c r="AV1003" s="40">
        <v>46163.0</v>
      </c>
    </row>
    <row r="1004">
      <c r="A1004" s="38">
        <v>699.0</v>
      </c>
      <c r="B1004" s="38">
        <v>72129.0</v>
      </c>
      <c r="C1004" s="38">
        <v>72129.0</v>
      </c>
      <c r="D1004" s="38">
        <v>74652.0</v>
      </c>
      <c r="E1004" s="38">
        <v>74652.0</v>
      </c>
      <c r="F1004" s="38">
        <v>9.00480569E8</v>
      </c>
      <c r="G1004" s="18" t="s">
        <v>141</v>
      </c>
      <c r="H1004" s="18" t="s">
        <v>2255</v>
      </c>
      <c r="I1004" s="18" t="s">
        <v>3309</v>
      </c>
      <c r="J1004" s="18" t="s">
        <v>2205</v>
      </c>
      <c r="K1004" s="18" t="s">
        <v>3306</v>
      </c>
      <c r="L1004" s="18" t="s">
        <v>2087</v>
      </c>
      <c r="M1004" s="18" t="s">
        <v>2091</v>
      </c>
      <c r="N1004" s="18" t="s">
        <v>2089</v>
      </c>
      <c r="O1004" s="18" t="s">
        <v>126</v>
      </c>
      <c r="P1004" s="18" t="s">
        <v>56</v>
      </c>
      <c r="Q1004" s="18" t="s">
        <v>90</v>
      </c>
      <c r="R1004" s="18" t="s">
        <v>143</v>
      </c>
      <c r="S1004" s="18" t="s">
        <v>59</v>
      </c>
      <c r="T1004" s="38">
        <v>2026.0</v>
      </c>
      <c r="U1004" s="38">
        <v>5.0</v>
      </c>
      <c r="V1004" s="38">
        <v>1.081522275E9</v>
      </c>
      <c r="W1004" s="38">
        <v>1.081540345E9</v>
      </c>
      <c r="X1004" s="18" t="s">
        <v>2199</v>
      </c>
      <c r="Y1004" s="18" t="s">
        <v>2200</v>
      </c>
      <c r="Z1004" s="38">
        <v>758158.08</v>
      </c>
      <c r="AA1004" s="38">
        <v>758158.08</v>
      </c>
      <c r="AB1004" s="38">
        <v>247273.57</v>
      </c>
      <c r="AC1004" s="38">
        <v>2433.0</v>
      </c>
      <c r="AD1004" s="38">
        <v>16337.39</v>
      </c>
      <c r="AE1004" s="38">
        <v>0.0</v>
      </c>
      <c r="AF1004" s="38">
        <v>0.0</v>
      </c>
      <c r="AG1004" s="38">
        <v>0.0</v>
      </c>
      <c r="AH1004" s="38">
        <v>0.0</v>
      </c>
      <c r="AI1004" s="38">
        <v>758158.08</v>
      </c>
      <c r="AJ1004" s="38">
        <v>1481431.35</v>
      </c>
      <c r="AK1004" s="38">
        <v>2.0</v>
      </c>
      <c r="AL1004" s="38">
        <v>416.67</v>
      </c>
      <c r="AM1004" s="38">
        <v>0.0</v>
      </c>
      <c r="AN1004" s="34" t="s">
        <v>62</v>
      </c>
      <c r="AO1004" s="34" t="s">
        <v>62</v>
      </c>
      <c r="AP1004" s="34" t="s">
        <v>62</v>
      </c>
      <c r="AQ1004" s="34" t="s">
        <v>62</v>
      </c>
      <c r="AR1004" s="38">
        <v>0.0</v>
      </c>
      <c r="AS1004" s="38" t="s">
        <v>2257</v>
      </c>
      <c r="AT1004" s="35" t="s">
        <v>2202</v>
      </c>
      <c r="AU1004" s="39" t="s">
        <v>2203</v>
      </c>
      <c r="AV1004" s="40">
        <v>46163.0</v>
      </c>
    </row>
    <row r="1005">
      <c r="A1005" s="38">
        <v>82.0</v>
      </c>
      <c r="B1005" s="38">
        <v>81.0</v>
      </c>
      <c r="C1005" s="38">
        <v>81.0</v>
      </c>
      <c r="D1005" s="38">
        <v>9.0314217E7</v>
      </c>
      <c r="E1005" s="38">
        <v>9.0314217E7</v>
      </c>
      <c r="F1005" s="38">
        <v>9.0314217E7</v>
      </c>
      <c r="G1005" s="18" t="s">
        <v>2170</v>
      </c>
      <c r="H1005" s="18" t="s">
        <v>3349</v>
      </c>
      <c r="I1005" s="18" t="s">
        <v>3291</v>
      </c>
      <c r="J1005" s="18" t="s">
        <v>2205</v>
      </c>
      <c r="K1005" s="18" t="s">
        <v>2097</v>
      </c>
      <c r="L1005" s="18" t="s">
        <v>2087</v>
      </c>
      <c r="M1005" s="18" t="s">
        <v>2088</v>
      </c>
      <c r="N1005" s="18" t="s">
        <v>2089</v>
      </c>
      <c r="O1005" s="18" t="s">
        <v>126</v>
      </c>
      <c r="P1005" s="18" t="s">
        <v>218</v>
      </c>
      <c r="Q1005" s="18" t="s">
        <v>943</v>
      </c>
      <c r="R1005" s="18" t="s">
        <v>133</v>
      </c>
      <c r="S1005" s="18" t="s">
        <v>59</v>
      </c>
      <c r="T1005" s="38">
        <v>2026.0</v>
      </c>
      <c r="U1005" s="38">
        <v>5.0</v>
      </c>
      <c r="V1005" s="38">
        <v>1.081522259E9</v>
      </c>
      <c r="W1005" s="38">
        <v>1.081540329E9</v>
      </c>
      <c r="X1005" s="18" t="s">
        <v>2199</v>
      </c>
      <c r="Y1005" s="18" t="s">
        <v>2200</v>
      </c>
      <c r="Z1005" s="38">
        <v>56476.5</v>
      </c>
      <c r="AA1005" s="38">
        <v>56476.5</v>
      </c>
      <c r="AB1005" s="38">
        <v>18825.5</v>
      </c>
      <c r="AC1005" s="38">
        <v>0.0</v>
      </c>
      <c r="AD1005" s="38">
        <v>0.0</v>
      </c>
      <c r="AE1005" s="38">
        <v>0.0</v>
      </c>
      <c r="AF1005" s="38">
        <v>0.0</v>
      </c>
      <c r="AG1005" s="38">
        <v>0.0</v>
      </c>
      <c r="AH1005" s="38">
        <v>0.0</v>
      </c>
      <c r="AI1005" s="38">
        <v>56476.5</v>
      </c>
      <c r="AJ1005" s="38">
        <v>56476.5</v>
      </c>
      <c r="AK1005" s="38">
        <v>0.0</v>
      </c>
      <c r="AL1005" s="38">
        <v>416.67</v>
      </c>
      <c r="AM1005" s="38">
        <v>0.0</v>
      </c>
      <c r="AN1005" s="34" t="s">
        <v>62</v>
      </c>
      <c r="AO1005" s="34" t="s">
        <v>62</v>
      </c>
      <c r="AP1005" s="34" t="s">
        <v>62</v>
      </c>
      <c r="AQ1005" s="34" t="s">
        <v>62</v>
      </c>
      <c r="AR1005" s="38">
        <v>0.0</v>
      </c>
      <c r="AS1005" s="34"/>
      <c r="AT1005" s="35" t="s">
        <v>2275</v>
      </c>
      <c r="AU1005" s="39" t="s">
        <v>3250</v>
      </c>
      <c r="AV1005" s="40">
        <v>46163.0</v>
      </c>
    </row>
    <row r="1006">
      <c r="A1006" s="38">
        <v>10.0</v>
      </c>
      <c r="B1006" s="38">
        <v>9.0</v>
      </c>
      <c r="C1006" s="38">
        <v>9.0</v>
      </c>
      <c r="D1006" s="38">
        <v>9.0300045E7</v>
      </c>
      <c r="E1006" s="38">
        <v>9.0300045E7</v>
      </c>
      <c r="F1006" s="38">
        <v>8.8235008E7</v>
      </c>
      <c r="G1006" s="18" t="s">
        <v>2086</v>
      </c>
      <c r="H1006" s="18" t="s">
        <v>3350</v>
      </c>
      <c r="I1006" s="18" t="s">
        <v>3291</v>
      </c>
      <c r="J1006" s="18" t="s">
        <v>2086</v>
      </c>
      <c r="K1006" s="18" t="s">
        <v>2086</v>
      </c>
      <c r="L1006" s="18" t="s">
        <v>2087</v>
      </c>
      <c r="M1006" s="18" t="s">
        <v>2088</v>
      </c>
      <c r="N1006" s="18" t="s">
        <v>2089</v>
      </c>
      <c r="O1006" s="18" t="s">
        <v>126</v>
      </c>
      <c r="P1006" s="18" t="s">
        <v>218</v>
      </c>
      <c r="Q1006" s="18" t="s">
        <v>943</v>
      </c>
      <c r="R1006" s="18" t="s">
        <v>133</v>
      </c>
      <c r="S1006" s="18" t="s">
        <v>59</v>
      </c>
      <c r="T1006" s="38">
        <v>2026.0</v>
      </c>
      <c r="U1006" s="38">
        <v>5.0</v>
      </c>
      <c r="V1006" s="38">
        <v>1.081522226E9</v>
      </c>
      <c r="W1006" s="38">
        <v>1.081540296E9</v>
      </c>
      <c r="X1006" s="18" t="s">
        <v>2199</v>
      </c>
      <c r="Y1006" s="18" t="s">
        <v>2200</v>
      </c>
      <c r="Z1006" s="38">
        <v>56476.5</v>
      </c>
      <c r="AA1006" s="38">
        <v>56476.5</v>
      </c>
      <c r="AB1006" s="38">
        <v>18825.5</v>
      </c>
      <c r="AC1006" s="38">
        <v>0.0</v>
      </c>
      <c r="AD1006" s="38">
        <v>0.0</v>
      </c>
      <c r="AE1006" s="38">
        <v>0.0</v>
      </c>
      <c r="AF1006" s="38">
        <v>0.0</v>
      </c>
      <c r="AG1006" s="38">
        <v>0.0</v>
      </c>
      <c r="AH1006" s="38">
        <v>0.0</v>
      </c>
      <c r="AI1006" s="38">
        <v>56475.5</v>
      </c>
      <c r="AJ1006" s="38">
        <v>56475.5</v>
      </c>
      <c r="AK1006" s="38">
        <v>0.0</v>
      </c>
      <c r="AL1006" s="38">
        <v>416.67</v>
      </c>
      <c r="AM1006" s="38">
        <v>0.0</v>
      </c>
      <c r="AN1006" s="34" t="s">
        <v>62</v>
      </c>
      <c r="AO1006" s="34" t="s">
        <v>62</v>
      </c>
      <c r="AP1006" s="38">
        <v>1.0</v>
      </c>
      <c r="AQ1006" s="34" t="s">
        <v>62</v>
      </c>
      <c r="AR1006" s="38">
        <v>0.0</v>
      </c>
      <c r="AS1006" s="38" t="s">
        <v>3351</v>
      </c>
      <c r="AT1006" s="35" t="s">
        <v>2275</v>
      </c>
      <c r="AU1006" s="39" t="s">
        <v>3250</v>
      </c>
      <c r="AV1006" s="40">
        <v>46163.0</v>
      </c>
    </row>
    <row r="1007">
      <c r="A1007" s="38">
        <v>94570.0</v>
      </c>
      <c r="B1007" s="38">
        <v>94569.0</v>
      </c>
      <c r="C1007" s="38">
        <v>94569.0</v>
      </c>
      <c r="D1007" s="38">
        <v>440470.0</v>
      </c>
      <c r="E1007" s="38">
        <v>440470.0</v>
      </c>
      <c r="F1007" s="18" t="s">
        <v>3352</v>
      </c>
      <c r="G1007" s="18" t="s">
        <v>1080</v>
      </c>
      <c r="H1007" s="18" t="s">
        <v>3353</v>
      </c>
      <c r="I1007" s="18" t="s">
        <v>3313</v>
      </c>
      <c r="J1007" s="18" t="s">
        <v>2205</v>
      </c>
      <c r="K1007" s="18" t="s">
        <v>3354</v>
      </c>
      <c r="L1007" s="18" t="s">
        <v>2087</v>
      </c>
      <c r="M1007" s="18" t="s">
        <v>2088</v>
      </c>
      <c r="N1007" s="18" t="s">
        <v>2089</v>
      </c>
      <c r="O1007" s="18" t="s">
        <v>126</v>
      </c>
      <c r="P1007" s="18" t="s">
        <v>56</v>
      </c>
      <c r="Q1007" s="18" t="s">
        <v>90</v>
      </c>
      <c r="R1007" s="18" t="s">
        <v>143</v>
      </c>
      <c r="S1007" s="18" t="s">
        <v>59</v>
      </c>
      <c r="T1007" s="38">
        <v>2026.0</v>
      </c>
      <c r="U1007" s="38">
        <v>5.0</v>
      </c>
      <c r="V1007" s="38">
        <v>1.081522278E9</v>
      </c>
      <c r="W1007" s="38">
        <v>1.081540348E9</v>
      </c>
      <c r="X1007" s="18" t="s">
        <v>2199</v>
      </c>
      <c r="Y1007" s="18" t="s">
        <v>2200</v>
      </c>
      <c r="Z1007" s="38">
        <v>614657.19</v>
      </c>
      <c r="AA1007" s="38">
        <v>614657.19</v>
      </c>
      <c r="AB1007" s="38">
        <v>155736.0</v>
      </c>
      <c r="AC1007" s="38">
        <v>1500.0</v>
      </c>
      <c r="AD1007" s="38">
        <v>147449.19</v>
      </c>
      <c r="AE1007" s="38">
        <v>0.0</v>
      </c>
      <c r="AF1007" s="38">
        <v>0.0</v>
      </c>
      <c r="AG1007" s="38">
        <v>0.0</v>
      </c>
      <c r="AH1007" s="38">
        <v>0.0</v>
      </c>
      <c r="AI1007" s="38">
        <v>614657.19</v>
      </c>
      <c r="AJ1007" s="38">
        <v>9274283.5</v>
      </c>
      <c r="AK1007" s="38">
        <v>18.0</v>
      </c>
      <c r="AL1007" s="38">
        <v>416.67</v>
      </c>
      <c r="AM1007" s="38">
        <v>0.0</v>
      </c>
      <c r="AN1007" s="34" t="s">
        <v>62</v>
      </c>
      <c r="AO1007" s="34" t="s">
        <v>62</v>
      </c>
      <c r="AP1007" s="34" t="s">
        <v>62</v>
      </c>
      <c r="AQ1007" s="34" t="s">
        <v>62</v>
      </c>
      <c r="AR1007" s="38">
        <v>0.0</v>
      </c>
      <c r="AS1007" s="38" t="s">
        <v>3355</v>
      </c>
      <c r="AT1007" s="35" t="s">
        <v>2202</v>
      </c>
      <c r="AU1007" s="39" t="s">
        <v>2203</v>
      </c>
      <c r="AV1007" s="40">
        <v>46168.0</v>
      </c>
    </row>
    <row r="1008">
      <c r="A1008" s="38">
        <v>232.0</v>
      </c>
      <c r="B1008" s="38">
        <v>97.0</v>
      </c>
      <c r="C1008" s="38">
        <v>97.0</v>
      </c>
      <c r="D1008" s="38">
        <v>9.0316974E7</v>
      </c>
      <c r="E1008" s="38">
        <v>9.0316974E7</v>
      </c>
      <c r="F1008" s="38">
        <v>8.30122566E8</v>
      </c>
      <c r="G1008" s="18" t="s">
        <v>193</v>
      </c>
      <c r="H1008" s="18" t="s">
        <v>2282</v>
      </c>
      <c r="I1008" s="18" t="s">
        <v>76</v>
      </c>
      <c r="J1008" s="18" t="s">
        <v>2205</v>
      </c>
      <c r="K1008" s="18" t="s">
        <v>2283</v>
      </c>
      <c r="L1008" s="18" t="s">
        <v>2087</v>
      </c>
      <c r="M1008" s="18" t="s">
        <v>2091</v>
      </c>
      <c r="N1008" s="18" t="s">
        <v>2089</v>
      </c>
      <c r="O1008" s="18" t="s">
        <v>126</v>
      </c>
      <c r="P1008" s="18" t="s">
        <v>131</v>
      </c>
      <c r="Q1008" s="18" t="s">
        <v>363</v>
      </c>
      <c r="R1008" s="18" t="s">
        <v>133</v>
      </c>
      <c r="S1008" s="18" t="s">
        <v>59</v>
      </c>
      <c r="T1008" s="38">
        <v>2026.0</v>
      </c>
      <c r="U1008" s="38">
        <v>5.0</v>
      </c>
      <c r="V1008" s="38">
        <v>1.081522262E9</v>
      </c>
      <c r="W1008" s="38">
        <v>1.081540332E9</v>
      </c>
      <c r="X1008" s="18" t="s">
        <v>2199</v>
      </c>
      <c r="Y1008" s="18" t="s">
        <v>2200</v>
      </c>
      <c r="Z1008" s="38">
        <v>51230.71</v>
      </c>
      <c r="AA1008" s="38">
        <v>51230.71</v>
      </c>
      <c r="AB1008" s="38">
        <v>16977.0</v>
      </c>
      <c r="AC1008" s="38">
        <v>0.0</v>
      </c>
      <c r="AD1008" s="38">
        <v>299.71</v>
      </c>
      <c r="AE1008" s="38">
        <v>0.0</v>
      </c>
      <c r="AF1008" s="38">
        <v>0.0</v>
      </c>
      <c r="AG1008" s="38">
        <v>0.0</v>
      </c>
      <c r="AH1008" s="38">
        <v>0.0</v>
      </c>
      <c r="AI1008" s="38">
        <v>51230.71</v>
      </c>
      <c r="AJ1008" s="38">
        <v>101608.49</v>
      </c>
      <c r="AK1008" s="38">
        <v>1.0</v>
      </c>
      <c r="AL1008" s="38">
        <v>416.67</v>
      </c>
      <c r="AM1008" s="38">
        <v>0.0</v>
      </c>
      <c r="AN1008" s="34" t="s">
        <v>62</v>
      </c>
      <c r="AO1008" s="34" t="s">
        <v>62</v>
      </c>
      <c r="AP1008" s="34" t="s">
        <v>62</v>
      </c>
      <c r="AQ1008" s="34" t="s">
        <v>62</v>
      </c>
      <c r="AR1008" s="38">
        <v>0.0</v>
      </c>
      <c r="AS1008" s="38" t="s">
        <v>2284</v>
      </c>
      <c r="AT1008" s="35" t="s">
        <v>2202</v>
      </c>
      <c r="AU1008" s="39" t="s">
        <v>2203</v>
      </c>
      <c r="AV1008" s="40">
        <v>46164.0</v>
      </c>
    </row>
    <row r="1009">
      <c r="A1009" s="38">
        <v>12.0</v>
      </c>
      <c r="B1009" s="38">
        <v>11.0</v>
      </c>
      <c r="C1009" s="38">
        <v>11.0</v>
      </c>
      <c r="D1009" s="38">
        <v>9.0300047E7</v>
      </c>
      <c r="E1009" s="38">
        <v>9.0300047E7</v>
      </c>
      <c r="F1009" s="38">
        <v>2.7583326E7</v>
      </c>
      <c r="G1009" s="18" t="s">
        <v>2086</v>
      </c>
      <c r="H1009" s="18" t="s">
        <v>3356</v>
      </c>
      <c r="I1009" s="18" t="s">
        <v>3291</v>
      </c>
      <c r="J1009" s="18" t="s">
        <v>2086</v>
      </c>
      <c r="K1009" s="18" t="s">
        <v>2086</v>
      </c>
      <c r="L1009" s="18" t="s">
        <v>2087</v>
      </c>
      <c r="M1009" s="18" t="s">
        <v>2088</v>
      </c>
      <c r="N1009" s="18" t="s">
        <v>2089</v>
      </c>
      <c r="O1009" s="18" t="s">
        <v>126</v>
      </c>
      <c r="P1009" s="18" t="s">
        <v>218</v>
      </c>
      <c r="Q1009" s="18" t="s">
        <v>943</v>
      </c>
      <c r="R1009" s="18" t="s">
        <v>133</v>
      </c>
      <c r="S1009" s="18" t="s">
        <v>59</v>
      </c>
      <c r="T1009" s="38">
        <v>2026.0</v>
      </c>
      <c r="U1009" s="38">
        <v>5.0</v>
      </c>
      <c r="V1009" s="38">
        <v>1.081522228E9</v>
      </c>
      <c r="W1009" s="38">
        <v>1.081540298E9</v>
      </c>
      <c r="X1009" s="18" t="s">
        <v>2199</v>
      </c>
      <c r="Y1009" s="18" t="s">
        <v>2200</v>
      </c>
      <c r="Z1009" s="38">
        <v>59244.66</v>
      </c>
      <c r="AA1009" s="38">
        <v>59244.66</v>
      </c>
      <c r="AB1009" s="38">
        <v>18825.5</v>
      </c>
      <c r="AC1009" s="38">
        <v>0.0</v>
      </c>
      <c r="AD1009" s="38">
        <v>2768.16</v>
      </c>
      <c r="AE1009" s="38">
        <v>0.0</v>
      </c>
      <c r="AF1009" s="38">
        <v>0.0</v>
      </c>
      <c r="AG1009" s="38">
        <v>0.0</v>
      </c>
      <c r="AH1009" s="38">
        <v>0.0</v>
      </c>
      <c r="AI1009" s="38">
        <v>59244.66</v>
      </c>
      <c r="AJ1009" s="38">
        <v>274498.49</v>
      </c>
      <c r="AK1009" s="38">
        <v>4.0</v>
      </c>
      <c r="AL1009" s="38">
        <v>416.67</v>
      </c>
      <c r="AM1009" s="38">
        <v>0.0</v>
      </c>
      <c r="AN1009" s="34" t="s">
        <v>62</v>
      </c>
      <c r="AO1009" s="34" t="s">
        <v>62</v>
      </c>
      <c r="AP1009" s="34" t="s">
        <v>62</v>
      </c>
      <c r="AQ1009" s="34" t="s">
        <v>62</v>
      </c>
      <c r="AR1009" s="38">
        <v>0.0</v>
      </c>
      <c r="AS1009" s="38" t="s">
        <v>3357</v>
      </c>
      <c r="AT1009" s="35" t="s">
        <v>2275</v>
      </c>
      <c r="AU1009" s="39" t="s">
        <v>3250</v>
      </c>
      <c r="AV1009" s="40">
        <v>46163.0</v>
      </c>
    </row>
    <row r="1010">
      <c r="A1010" s="38">
        <v>699.0</v>
      </c>
      <c r="B1010" s="38">
        <v>127375.0</v>
      </c>
      <c r="C1010" s="38">
        <v>127375.0</v>
      </c>
      <c r="D1010" s="38">
        <v>513662.0</v>
      </c>
      <c r="E1010" s="38">
        <v>513662.0</v>
      </c>
      <c r="F1010" s="38">
        <v>9.00480569E8</v>
      </c>
      <c r="G1010" s="18" t="s">
        <v>141</v>
      </c>
      <c r="H1010" s="18" t="s">
        <v>2255</v>
      </c>
      <c r="I1010" s="18" t="s">
        <v>3358</v>
      </c>
      <c r="J1010" s="18" t="s">
        <v>2205</v>
      </c>
      <c r="K1010" s="18" t="s">
        <v>3306</v>
      </c>
      <c r="L1010" s="18" t="s">
        <v>2087</v>
      </c>
      <c r="M1010" s="18" t="s">
        <v>2091</v>
      </c>
      <c r="N1010" s="18" t="s">
        <v>2089</v>
      </c>
      <c r="O1010" s="18" t="s">
        <v>126</v>
      </c>
      <c r="P1010" s="18" t="s">
        <v>56</v>
      </c>
      <c r="Q1010" s="18" t="s">
        <v>90</v>
      </c>
      <c r="R1010" s="18" t="s">
        <v>143</v>
      </c>
      <c r="S1010" s="18" t="s">
        <v>59</v>
      </c>
      <c r="T1010" s="38">
        <v>2026.0</v>
      </c>
      <c r="U1010" s="38">
        <v>5.0</v>
      </c>
      <c r="V1010" s="38">
        <v>1.08152228E9</v>
      </c>
      <c r="W1010" s="38">
        <v>1.08154035E9</v>
      </c>
      <c r="X1010" s="18" t="s">
        <v>2199</v>
      </c>
      <c r="Y1010" s="18" t="s">
        <v>2200</v>
      </c>
      <c r="Z1010" s="38">
        <v>674712.78</v>
      </c>
      <c r="AA1010" s="38">
        <v>674712.78</v>
      </c>
      <c r="AB1010" s="38">
        <v>224904.27</v>
      </c>
      <c r="AC1010" s="38">
        <v>2205.0</v>
      </c>
      <c r="AD1010" s="38">
        <v>0.0</v>
      </c>
      <c r="AE1010" s="38">
        <v>0.0</v>
      </c>
      <c r="AF1010" s="38">
        <v>0.0</v>
      </c>
      <c r="AG1010" s="38">
        <v>0.0</v>
      </c>
      <c r="AH1010" s="38">
        <v>0.0</v>
      </c>
      <c r="AI1010" s="38">
        <v>674712.78</v>
      </c>
      <c r="AJ1010" s="38">
        <v>1342488.17</v>
      </c>
      <c r="AK1010" s="38">
        <v>1.0</v>
      </c>
      <c r="AL1010" s="38">
        <v>416.67</v>
      </c>
      <c r="AM1010" s="38">
        <v>0.0</v>
      </c>
      <c r="AN1010" s="34" t="s">
        <v>62</v>
      </c>
      <c r="AO1010" s="34" t="s">
        <v>62</v>
      </c>
      <c r="AP1010" s="34" t="s">
        <v>62</v>
      </c>
      <c r="AQ1010" s="34" t="s">
        <v>62</v>
      </c>
      <c r="AR1010" s="38">
        <v>0.0</v>
      </c>
      <c r="AS1010" s="38" t="s">
        <v>2257</v>
      </c>
      <c r="AT1010" s="35" t="s">
        <v>2202</v>
      </c>
      <c r="AU1010" s="39" t="s">
        <v>2203</v>
      </c>
      <c r="AV1010" s="40">
        <v>46163.0</v>
      </c>
    </row>
    <row r="1011">
      <c r="A1011" s="38">
        <v>141.0</v>
      </c>
      <c r="B1011" s="38">
        <v>137375.0</v>
      </c>
      <c r="C1011" s="38">
        <v>137375.0</v>
      </c>
      <c r="D1011" s="38">
        <v>532566.0</v>
      </c>
      <c r="E1011" s="38">
        <v>532566.0</v>
      </c>
      <c r="F1011" s="38">
        <v>8.90500514E8</v>
      </c>
      <c r="G1011" s="18" t="s">
        <v>145</v>
      </c>
      <c r="H1011" s="18" t="s">
        <v>2266</v>
      </c>
      <c r="I1011" s="18" t="s">
        <v>3359</v>
      </c>
      <c r="J1011" s="18" t="s">
        <v>2205</v>
      </c>
      <c r="K1011" s="18" t="s">
        <v>2267</v>
      </c>
      <c r="L1011" s="18" t="s">
        <v>2087</v>
      </c>
      <c r="M1011" s="18" t="s">
        <v>2091</v>
      </c>
      <c r="N1011" s="18" t="s">
        <v>2089</v>
      </c>
      <c r="O1011" s="18" t="s">
        <v>126</v>
      </c>
      <c r="P1011" s="18" t="s">
        <v>131</v>
      </c>
      <c r="Q1011" s="18" t="s">
        <v>363</v>
      </c>
      <c r="R1011" s="18" t="s">
        <v>133</v>
      </c>
      <c r="S1011" s="18" t="s">
        <v>59</v>
      </c>
      <c r="T1011" s="38">
        <v>2026.0</v>
      </c>
      <c r="U1011" s="38">
        <v>5.0</v>
      </c>
      <c r="V1011" s="38">
        <v>1.081522283E9</v>
      </c>
      <c r="W1011" s="38">
        <v>1.081540353E9</v>
      </c>
      <c r="X1011" s="18" t="s">
        <v>2199</v>
      </c>
      <c r="Y1011" s="18" t="s">
        <v>2200</v>
      </c>
      <c r="Z1011" s="38">
        <v>51020.65</v>
      </c>
      <c r="AA1011" s="38">
        <v>51020.65</v>
      </c>
      <c r="AB1011" s="38">
        <v>16977.0</v>
      </c>
      <c r="AC1011" s="38">
        <v>0.0</v>
      </c>
      <c r="AD1011" s="38">
        <v>89.65</v>
      </c>
      <c r="AE1011" s="38">
        <v>0.0</v>
      </c>
      <c r="AF1011" s="38">
        <v>0.0</v>
      </c>
      <c r="AG1011" s="38">
        <v>0.0</v>
      </c>
      <c r="AH1011" s="38">
        <v>0.0</v>
      </c>
      <c r="AI1011" s="38">
        <v>51020.65</v>
      </c>
      <c r="AJ1011" s="38">
        <v>96527.3</v>
      </c>
      <c r="AK1011" s="38">
        <v>1.0</v>
      </c>
      <c r="AL1011" s="38">
        <v>416.67</v>
      </c>
      <c r="AM1011" s="38">
        <v>0.0</v>
      </c>
      <c r="AN1011" s="34" t="s">
        <v>62</v>
      </c>
      <c r="AO1011" s="34" t="s">
        <v>62</v>
      </c>
      <c r="AP1011" s="34" t="s">
        <v>62</v>
      </c>
      <c r="AQ1011" s="34" t="s">
        <v>62</v>
      </c>
      <c r="AR1011" s="38">
        <v>0.0</v>
      </c>
      <c r="AS1011" s="38" t="s">
        <v>2268</v>
      </c>
      <c r="AT1011" s="35" t="s">
        <v>2202</v>
      </c>
      <c r="AU1011" s="39" t="s">
        <v>2203</v>
      </c>
      <c r="AV1011" s="40">
        <v>46163.0</v>
      </c>
    </row>
    <row r="1012">
      <c r="A1012" s="38">
        <v>16.0</v>
      </c>
      <c r="B1012" s="38">
        <v>15.0</v>
      </c>
      <c r="C1012" s="38">
        <v>15.0</v>
      </c>
      <c r="D1012" s="38">
        <v>9.0300051E7</v>
      </c>
      <c r="E1012" s="38">
        <v>9.0300051E7</v>
      </c>
      <c r="F1012" s="38">
        <v>1.3170175E7</v>
      </c>
      <c r="G1012" s="18" t="s">
        <v>2094</v>
      </c>
      <c r="H1012" s="18" t="s">
        <v>3360</v>
      </c>
      <c r="I1012" s="18" t="s">
        <v>3291</v>
      </c>
      <c r="J1012" s="18" t="s">
        <v>2086</v>
      </c>
      <c r="K1012" s="18" t="s">
        <v>2086</v>
      </c>
      <c r="L1012" s="18" t="s">
        <v>2087</v>
      </c>
      <c r="M1012" s="18" t="s">
        <v>2088</v>
      </c>
      <c r="N1012" s="18" t="s">
        <v>2089</v>
      </c>
      <c r="O1012" s="18" t="s">
        <v>126</v>
      </c>
      <c r="P1012" s="18" t="s">
        <v>218</v>
      </c>
      <c r="Q1012" s="18" t="s">
        <v>943</v>
      </c>
      <c r="R1012" s="18" t="s">
        <v>133</v>
      </c>
      <c r="S1012" s="18" t="s">
        <v>59</v>
      </c>
      <c r="T1012" s="38">
        <v>2026.0</v>
      </c>
      <c r="U1012" s="38">
        <v>5.0</v>
      </c>
      <c r="V1012" s="38">
        <v>1.081522232E9</v>
      </c>
      <c r="W1012" s="38">
        <v>1.081540302E9</v>
      </c>
      <c r="X1012" s="18" t="s">
        <v>2199</v>
      </c>
      <c r="Y1012" s="18" t="s">
        <v>2200</v>
      </c>
      <c r="Z1012" s="38">
        <v>79364.62</v>
      </c>
      <c r="AA1012" s="38">
        <v>79364.62</v>
      </c>
      <c r="AB1012" s="38">
        <v>18825.5</v>
      </c>
      <c r="AC1012" s="38">
        <v>0.0</v>
      </c>
      <c r="AD1012" s="38">
        <v>22888.12</v>
      </c>
      <c r="AE1012" s="38">
        <v>0.0</v>
      </c>
      <c r="AF1012" s="38">
        <v>0.0</v>
      </c>
      <c r="AG1012" s="38">
        <v>0.0</v>
      </c>
      <c r="AH1012" s="38">
        <v>0.0</v>
      </c>
      <c r="AI1012" s="38">
        <v>79364.62</v>
      </c>
      <c r="AJ1012" s="38">
        <v>1376581.38</v>
      </c>
      <c r="AK1012" s="38">
        <v>10.0</v>
      </c>
      <c r="AL1012" s="38">
        <v>416.67</v>
      </c>
      <c r="AM1012" s="38">
        <v>0.0</v>
      </c>
      <c r="AN1012" s="34" t="s">
        <v>62</v>
      </c>
      <c r="AO1012" s="34" t="s">
        <v>62</v>
      </c>
      <c r="AP1012" s="34" t="s">
        <v>62</v>
      </c>
      <c r="AQ1012" s="34" t="s">
        <v>62</v>
      </c>
      <c r="AR1012" s="38">
        <v>0.0</v>
      </c>
      <c r="AS1012" s="38" t="s">
        <v>3361</v>
      </c>
      <c r="AT1012" s="35" t="s">
        <v>2275</v>
      </c>
      <c r="AU1012" s="39" t="s">
        <v>3250</v>
      </c>
      <c r="AV1012" s="40">
        <v>46163.0</v>
      </c>
    </row>
    <row r="1013">
      <c r="A1013" s="38">
        <v>20.0</v>
      </c>
      <c r="B1013" s="38">
        <v>19.0</v>
      </c>
      <c r="C1013" s="38">
        <v>19.0</v>
      </c>
      <c r="D1013" s="38">
        <v>9.0300055E7</v>
      </c>
      <c r="E1013" s="38">
        <v>9.0300055E7</v>
      </c>
      <c r="F1013" s="38">
        <v>9.0300055E7</v>
      </c>
      <c r="G1013" s="18" t="s">
        <v>2086</v>
      </c>
      <c r="H1013" s="18" t="s">
        <v>3362</v>
      </c>
      <c r="I1013" s="18" t="s">
        <v>3291</v>
      </c>
      <c r="J1013" s="18" t="s">
        <v>2086</v>
      </c>
      <c r="K1013" s="18" t="s">
        <v>2086</v>
      </c>
      <c r="L1013" s="18" t="s">
        <v>2087</v>
      </c>
      <c r="M1013" s="18" t="s">
        <v>2088</v>
      </c>
      <c r="N1013" s="18" t="s">
        <v>2089</v>
      </c>
      <c r="O1013" s="18" t="s">
        <v>126</v>
      </c>
      <c r="P1013" s="18" t="s">
        <v>218</v>
      </c>
      <c r="Q1013" s="18" t="s">
        <v>943</v>
      </c>
      <c r="R1013" s="18" t="s">
        <v>133</v>
      </c>
      <c r="S1013" s="18" t="s">
        <v>59</v>
      </c>
      <c r="T1013" s="38">
        <v>2026.0</v>
      </c>
      <c r="U1013" s="38">
        <v>5.0</v>
      </c>
      <c r="V1013" s="38">
        <v>1.081522236E9</v>
      </c>
      <c r="W1013" s="38">
        <v>1.081540306E9</v>
      </c>
      <c r="X1013" s="18" t="s">
        <v>2199</v>
      </c>
      <c r="Y1013" s="18" t="s">
        <v>2200</v>
      </c>
      <c r="Z1013" s="38">
        <v>78720.63</v>
      </c>
      <c r="AA1013" s="38">
        <v>78720.63</v>
      </c>
      <c r="AB1013" s="38">
        <v>18825.5</v>
      </c>
      <c r="AC1013" s="38">
        <v>0.0</v>
      </c>
      <c r="AD1013" s="38">
        <v>22244.13</v>
      </c>
      <c r="AE1013" s="38">
        <v>0.0</v>
      </c>
      <c r="AF1013" s="38">
        <v>0.0</v>
      </c>
      <c r="AG1013" s="38">
        <v>0.0</v>
      </c>
      <c r="AH1013" s="38">
        <v>0.0</v>
      </c>
      <c r="AI1013" s="38">
        <v>78720.63</v>
      </c>
      <c r="AJ1013" s="38">
        <v>1417092.92</v>
      </c>
      <c r="AK1013" s="38">
        <v>24.0</v>
      </c>
      <c r="AL1013" s="38">
        <v>416.67</v>
      </c>
      <c r="AM1013" s="38">
        <v>0.0</v>
      </c>
      <c r="AN1013" s="34" t="s">
        <v>62</v>
      </c>
      <c r="AO1013" s="34" t="s">
        <v>62</v>
      </c>
      <c r="AP1013" s="34" t="s">
        <v>62</v>
      </c>
      <c r="AQ1013" s="34" t="s">
        <v>62</v>
      </c>
      <c r="AR1013" s="38">
        <v>0.0</v>
      </c>
      <c r="AS1013" s="34"/>
      <c r="AT1013" s="35" t="s">
        <v>2275</v>
      </c>
      <c r="AU1013" s="39" t="s">
        <v>3250</v>
      </c>
      <c r="AV1013" s="40">
        <v>46163.0</v>
      </c>
    </row>
    <row r="1014">
      <c r="A1014" s="38">
        <v>24.0</v>
      </c>
      <c r="B1014" s="38">
        <v>23.0</v>
      </c>
      <c r="C1014" s="38">
        <v>23.0</v>
      </c>
      <c r="D1014" s="38">
        <v>9.0300059E7</v>
      </c>
      <c r="E1014" s="38">
        <v>9.0300059E7</v>
      </c>
      <c r="F1014" s="38">
        <v>9.0300059E7</v>
      </c>
      <c r="G1014" s="18" t="s">
        <v>2097</v>
      </c>
      <c r="H1014" s="18" t="s">
        <v>3363</v>
      </c>
      <c r="I1014" s="18" t="s">
        <v>3291</v>
      </c>
      <c r="J1014" s="18" t="s">
        <v>2205</v>
      </c>
      <c r="K1014" s="18" t="s">
        <v>2097</v>
      </c>
      <c r="L1014" s="18" t="s">
        <v>2087</v>
      </c>
      <c r="M1014" s="18" t="s">
        <v>2088</v>
      </c>
      <c r="N1014" s="18" t="s">
        <v>2089</v>
      </c>
      <c r="O1014" s="18" t="s">
        <v>126</v>
      </c>
      <c r="P1014" s="18" t="s">
        <v>218</v>
      </c>
      <c r="Q1014" s="18" t="s">
        <v>943</v>
      </c>
      <c r="R1014" s="18" t="s">
        <v>133</v>
      </c>
      <c r="S1014" s="18" t="s">
        <v>59</v>
      </c>
      <c r="T1014" s="38">
        <v>2026.0</v>
      </c>
      <c r="U1014" s="38">
        <v>5.0</v>
      </c>
      <c r="V1014" s="38">
        <v>1.081522242E9</v>
      </c>
      <c r="W1014" s="38">
        <v>1.081540312E9</v>
      </c>
      <c r="X1014" s="18" t="s">
        <v>2199</v>
      </c>
      <c r="Y1014" s="18" t="s">
        <v>2200</v>
      </c>
      <c r="Z1014" s="38">
        <v>56476.5</v>
      </c>
      <c r="AA1014" s="38">
        <v>56476.5</v>
      </c>
      <c r="AB1014" s="38">
        <v>18825.5</v>
      </c>
      <c r="AC1014" s="38">
        <v>0.0</v>
      </c>
      <c r="AD1014" s="38">
        <v>0.0</v>
      </c>
      <c r="AE1014" s="38">
        <v>0.0</v>
      </c>
      <c r="AF1014" s="38">
        <v>0.0</v>
      </c>
      <c r="AG1014" s="38">
        <v>0.0</v>
      </c>
      <c r="AH1014" s="38">
        <v>0.0</v>
      </c>
      <c r="AI1014" s="38">
        <v>56476.5</v>
      </c>
      <c r="AJ1014" s="38">
        <v>56476.5</v>
      </c>
      <c r="AK1014" s="38">
        <v>0.0</v>
      </c>
      <c r="AL1014" s="38">
        <v>416.67</v>
      </c>
      <c r="AM1014" s="38">
        <v>0.0</v>
      </c>
      <c r="AN1014" s="34" t="s">
        <v>62</v>
      </c>
      <c r="AO1014" s="34" t="s">
        <v>62</v>
      </c>
      <c r="AP1014" s="34" t="s">
        <v>62</v>
      </c>
      <c r="AQ1014" s="34" t="s">
        <v>62</v>
      </c>
      <c r="AR1014" s="38">
        <v>0.0</v>
      </c>
      <c r="AS1014" s="34"/>
      <c r="AT1014" s="35" t="s">
        <v>2275</v>
      </c>
      <c r="AU1014" s="39" t="s">
        <v>3250</v>
      </c>
      <c r="AV1014" s="40">
        <v>46163.0</v>
      </c>
    </row>
    <row r="1015">
      <c r="A1015" s="38">
        <v>28.0</v>
      </c>
      <c r="B1015" s="38">
        <v>27.0</v>
      </c>
      <c r="C1015" s="38">
        <v>27.0</v>
      </c>
      <c r="D1015" s="38">
        <v>9.0300066E7</v>
      </c>
      <c r="E1015" s="38">
        <v>9.0300066E7</v>
      </c>
      <c r="F1015" s="38">
        <v>9.0300066E7</v>
      </c>
      <c r="G1015" s="18" t="s">
        <v>2097</v>
      </c>
      <c r="H1015" s="18" t="s">
        <v>3364</v>
      </c>
      <c r="I1015" s="18" t="s">
        <v>3291</v>
      </c>
      <c r="J1015" s="18" t="s">
        <v>2205</v>
      </c>
      <c r="K1015" s="18" t="s">
        <v>2097</v>
      </c>
      <c r="L1015" s="18" t="s">
        <v>2087</v>
      </c>
      <c r="M1015" s="18" t="s">
        <v>2088</v>
      </c>
      <c r="N1015" s="18" t="s">
        <v>2089</v>
      </c>
      <c r="O1015" s="18" t="s">
        <v>126</v>
      </c>
      <c r="P1015" s="18" t="s">
        <v>218</v>
      </c>
      <c r="Q1015" s="18" t="s">
        <v>943</v>
      </c>
      <c r="R1015" s="18" t="s">
        <v>133</v>
      </c>
      <c r="S1015" s="18" t="s">
        <v>59</v>
      </c>
      <c r="T1015" s="38">
        <v>2026.0</v>
      </c>
      <c r="U1015" s="38">
        <v>5.0</v>
      </c>
      <c r="V1015" s="38">
        <v>1.081522246E9</v>
      </c>
      <c r="W1015" s="38">
        <v>1.081540316E9</v>
      </c>
      <c r="X1015" s="18" t="s">
        <v>2199</v>
      </c>
      <c r="Y1015" s="18" t="s">
        <v>2200</v>
      </c>
      <c r="Z1015" s="38">
        <v>57162.05</v>
      </c>
      <c r="AA1015" s="38">
        <v>57162.05</v>
      </c>
      <c r="AB1015" s="38">
        <v>18825.5</v>
      </c>
      <c r="AC1015" s="38">
        <v>0.0</v>
      </c>
      <c r="AD1015" s="38">
        <v>685.55</v>
      </c>
      <c r="AE1015" s="38">
        <v>0.0</v>
      </c>
      <c r="AF1015" s="38">
        <v>0.0</v>
      </c>
      <c r="AG1015" s="38">
        <v>0.0</v>
      </c>
      <c r="AH1015" s="38">
        <v>0.0</v>
      </c>
      <c r="AI1015" s="38">
        <v>57162.05</v>
      </c>
      <c r="AJ1015" s="38">
        <v>167850.05</v>
      </c>
      <c r="AK1015" s="38">
        <v>2.0</v>
      </c>
      <c r="AL1015" s="38">
        <v>416.67</v>
      </c>
      <c r="AM1015" s="38">
        <v>0.0</v>
      </c>
      <c r="AN1015" s="34" t="s">
        <v>62</v>
      </c>
      <c r="AO1015" s="34" t="s">
        <v>62</v>
      </c>
      <c r="AP1015" s="34" t="s">
        <v>62</v>
      </c>
      <c r="AQ1015" s="34" t="s">
        <v>62</v>
      </c>
      <c r="AR1015" s="38">
        <v>0.0</v>
      </c>
      <c r="AS1015" s="34"/>
      <c r="AT1015" s="35" t="s">
        <v>2275</v>
      </c>
      <c r="AU1015" s="39" t="s">
        <v>3250</v>
      </c>
      <c r="AV1015" s="40">
        <v>46163.0</v>
      </c>
    </row>
    <row r="1016">
      <c r="A1016" s="38">
        <v>4.0</v>
      </c>
      <c r="B1016" s="38">
        <v>3.0</v>
      </c>
      <c r="C1016" s="38">
        <v>3.0</v>
      </c>
      <c r="D1016" s="38">
        <v>9.0300039E7</v>
      </c>
      <c r="E1016" s="38">
        <v>9.0300039E7</v>
      </c>
      <c r="F1016" s="38">
        <v>8.90505256E8</v>
      </c>
      <c r="G1016" s="18" t="s">
        <v>2086</v>
      </c>
      <c r="H1016" s="18" t="s">
        <v>3293</v>
      </c>
      <c r="I1016" s="18" t="s">
        <v>3291</v>
      </c>
      <c r="J1016" s="18" t="s">
        <v>2086</v>
      </c>
      <c r="K1016" s="18" t="s">
        <v>2086</v>
      </c>
      <c r="L1016" s="18" t="s">
        <v>2087</v>
      </c>
      <c r="M1016" s="18" t="s">
        <v>2088</v>
      </c>
      <c r="N1016" s="18" t="s">
        <v>2089</v>
      </c>
      <c r="O1016" s="18" t="s">
        <v>126</v>
      </c>
      <c r="P1016" s="18" t="s">
        <v>218</v>
      </c>
      <c r="Q1016" s="18" t="s">
        <v>943</v>
      </c>
      <c r="R1016" s="18" t="s">
        <v>133</v>
      </c>
      <c r="S1016" s="18" t="s">
        <v>59</v>
      </c>
      <c r="T1016" s="38">
        <v>2026.0</v>
      </c>
      <c r="U1016" s="38">
        <v>5.0</v>
      </c>
      <c r="V1016" s="38">
        <v>1.081522219E9</v>
      </c>
      <c r="W1016" s="38">
        <v>1.081540289E9</v>
      </c>
      <c r="X1016" s="18" t="s">
        <v>2199</v>
      </c>
      <c r="Y1016" s="18" t="s">
        <v>2200</v>
      </c>
      <c r="Z1016" s="38">
        <v>56476.5</v>
      </c>
      <c r="AA1016" s="38">
        <v>56476.5</v>
      </c>
      <c r="AB1016" s="38">
        <v>18825.5</v>
      </c>
      <c r="AC1016" s="38">
        <v>0.0</v>
      </c>
      <c r="AD1016" s="38">
        <v>0.0</v>
      </c>
      <c r="AE1016" s="38">
        <v>0.0</v>
      </c>
      <c r="AF1016" s="38">
        <v>0.0</v>
      </c>
      <c r="AG1016" s="38">
        <v>0.0</v>
      </c>
      <c r="AH1016" s="38">
        <v>0.0</v>
      </c>
      <c r="AI1016" s="38">
        <v>56476.5</v>
      </c>
      <c r="AJ1016" s="38">
        <v>56476.5</v>
      </c>
      <c r="AK1016" s="38">
        <v>0.0</v>
      </c>
      <c r="AL1016" s="38">
        <v>416.67</v>
      </c>
      <c r="AM1016" s="38">
        <v>0.0</v>
      </c>
      <c r="AN1016" s="34" t="s">
        <v>62</v>
      </c>
      <c r="AO1016" s="34" t="s">
        <v>62</v>
      </c>
      <c r="AP1016" s="34" t="s">
        <v>62</v>
      </c>
      <c r="AQ1016" s="34" t="s">
        <v>62</v>
      </c>
      <c r="AR1016" s="38">
        <v>0.0</v>
      </c>
      <c r="AS1016" s="38" t="s">
        <v>3294</v>
      </c>
      <c r="AT1016" s="35" t="s">
        <v>2275</v>
      </c>
      <c r="AU1016" s="39" t="s">
        <v>3250</v>
      </c>
      <c r="AV1016" s="40">
        <v>46163.0</v>
      </c>
    </row>
    <row r="1017">
      <c r="A1017" s="38">
        <v>32.0</v>
      </c>
      <c r="B1017" s="38">
        <v>31.0</v>
      </c>
      <c r="C1017" s="38">
        <v>31.0</v>
      </c>
      <c r="D1017" s="38">
        <v>9.0300071E7</v>
      </c>
      <c r="E1017" s="38">
        <v>9.0300071E7</v>
      </c>
      <c r="F1017" s="38">
        <v>9.0300071E7</v>
      </c>
      <c r="G1017" s="18" t="s">
        <v>2097</v>
      </c>
      <c r="H1017" s="18" t="s">
        <v>3365</v>
      </c>
      <c r="I1017" s="18" t="s">
        <v>3291</v>
      </c>
      <c r="J1017" s="18" t="s">
        <v>2205</v>
      </c>
      <c r="K1017" s="18" t="s">
        <v>2097</v>
      </c>
      <c r="L1017" s="18" t="s">
        <v>2087</v>
      </c>
      <c r="M1017" s="18" t="s">
        <v>2088</v>
      </c>
      <c r="N1017" s="18" t="s">
        <v>2089</v>
      </c>
      <c r="O1017" s="18" t="s">
        <v>126</v>
      </c>
      <c r="P1017" s="18" t="s">
        <v>218</v>
      </c>
      <c r="Q1017" s="18" t="s">
        <v>943</v>
      </c>
      <c r="R1017" s="18" t="s">
        <v>133</v>
      </c>
      <c r="S1017" s="18" t="s">
        <v>59</v>
      </c>
      <c r="T1017" s="38">
        <v>2026.0</v>
      </c>
      <c r="U1017" s="38">
        <v>5.0</v>
      </c>
      <c r="V1017" s="38">
        <v>1.081522249E9</v>
      </c>
      <c r="W1017" s="38">
        <v>1.081540319E9</v>
      </c>
      <c r="X1017" s="18" t="s">
        <v>2199</v>
      </c>
      <c r="Y1017" s="18" t="s">
        <v>2200</v>
      </c>
      <c r="Z1017" s="38">
        <v>56476.51</v>
      </c>
      <c r="AA1017" s="38">
        <v>56476.51</v>
      </c>
      <c r="AB1017" s="38">
        <v>18825.5</v>
      </c>
      <c r="AC1017" s="38">
        <v>0.0</v>
      </c>
      <c r="AD1017" s="38">
        <v>0.01</v>
      </c>
      <c r="AE1017" s="38">
        <v>0.0</v>
      </c>
      <c r="AF1017" s="38">
        <v>0.0</v>
      </c>
      <c r="AG1017" s="38">
        <v>0.0</v>
      </c>
      <c r="AH1017" s="38">
        <v>0.0</v>
      </c>
      <c r="AI1017" s="38">
        <v>56476.51</v>
      </c>
      <c r="AJ1017" s="38">
        <v>112218.51</v>
      </c>
      <c r="AK1017" s="38">
        <v>2.0</v>
      </c>
      <c r="AL1017" s="38">
        <v>416.67</v>
      </c>
      <c r="AM1017" s="38">
        <v>0.0</v>
      </c>
      <c r="AN1017" s="34" t="s">
        <v>62</v>
      </c>
      <c r="AO1017" s="34" t="s">
        <v>62</v>
      </c>
      <c r="AP1017" s="34" t="s">
        <v>62</v>
      </c>
      <c r="AQ1017" s="34" t="s">
        <v>62</v>
      </c>
      <c r="AR1017" s="38">
        <v>0.0</v>
      </c>
      <c r="AS1017" s="34"/>
      <c r="AT1017" s="35" t="s">
        <v>2275</v>
      </c>
      <c r="AU1017" s="39" t="s">
        <v>3250</v>
      </c>
      <c r="AV1017" s="40">
        <v>46163.0</v>
      </c>
    </row>
    <row r="1018">
      <c r="A1018" s="38">
        <v>36.0</v>
      </c>
      <c r="B1018" s="38">
        <v>35.0</v>
      </c>
      <c r="C1018" s="38">
        <v>35.0</v>
      </c>
      <c r="D1018" s="38">
        <v>9.0300075E7</v>
      </c>
      <c r="E1018" s="38">
        <v>9.0300075E7</v>
      </c>
      <c r="F1018" s="38">
        <v>9.0300075E7</v>
      </c>
      <c r="G1018" s="18" t="s">
        <v>2097</v>
      </c>
      <c r="H1018" s="18" t="s">
        <v>3366</v>
      </c>
      <c r="I1018" s="18" t="s">
        <v>3291</v>
      </c>
      <c r="J1018" s="18" t="s">
        <v>2205</v>
      </c>
      <c r="K1018" s="18" t="s">
        <v>2097</v>
      </c>
      <c r="L1018" s="18" t="s">
        <v>2087</v>
      </c>
      <c r="M1018" s="18" t="s">
        <v>2088</v>
      </c>
      <c r="N1018" s="18" t="s">
        <v>2089</v>
      </c>
      <c r="O1018" s="18" t="s">
        <v>126</v>
      </c>
      <c r="P1018" s="18" t="s">
        <v>218</v>
      </c>
      <c r="Q1018" s="18" t="s">
        <v>943</v>
      </c>
      <c r="R1018" s="18" t="s">
        <v>133</v>
      </c>
      <c r="S1018" s="18" t="s">
        <v>59</v>
      </c>
      <c r="T1018" s="38">
        <v>2026.0</v>
      </c>
      <c r="U1018" s="38">
        <v>5.0</v>
      </c>
      <c r="V1018" s="38">
        <v>1.081522252E9</v>
      </c>
      <c r="W1018" s="38">
        <v>1.081540322E9</v>
      </c>
      <c r="X1018" s="18" t="s">
        <v>2199</v>
      </c>
      <c r="Y1018" s="18" t="s">
        <v>2200</v>
      </c>
      <c r="Z1018" s="38">
        <v>58203.84</v>
      </c>
      <c r="AA1018" s="38">
        <v>58203.84</v>
      </c>
      <c r="AB1018" s="38">
        <v>18825.5</v>
      </c>
      <c r="AC1018" s="38">
        <v>0.0</v>
      </c>
      <c r="AD1018" s="38">
        <v>1727.34</v>
      </c>
      <c r="AE1018" s="38">
        <v>0.0</v>
      </c>
      <c r="AF1018" s="38">
        <v>0.0</v>
      </c>
      <c r="AG1018" s="38">
        <v>0.0</v>
      </c>
      <c r="AH1018" s="38">
        <v>0.0</v>
      </c>
      <c r="AI1018" s="38">
        <v>58203.84</v>
      </c>
      <c r="AJ1018" s="38">
        <v>222010.77</v>
      </c>
      <c r="AK1018" s="38">
        <v>3.0</v>
      </c>
      <c r="AL1018" s="38">
        <v>416.67</v>
      </c>
      <c r="AM1018" s="38">
        <v>0.0</v>
      </c>
      <c r="AN1018" s="34" t="s">
        <v>62</v>
      </c>
      <c r="AO1018" s="34" t="s">
        <v>62</v>
      </c>
      <c r="AP1018" s="34" t="s">
        <v>62</v>
      </c>
      <c r="AQ1018" s="34" t="s">
        <v>62</v>
      </c>
      <c r="AR1018" s="38">
        <v>0.0</v>
      </c>
      <c r="AS1018" s="34"/>
      <c r="AT1018" s="35" t="s">
        <v>2275</v>
      </c>
      <c r="AU1018" s="39" t="s">
        <v>3250</v>
      </c>
      <c r="AV1018" s="40">
        <v>46163.0</v>
      </c>
    </row>
    <row r="1019">
      <c r="A1019" s="38">
        <v>285191.0</v>
      </c>
      <c r="B1019" s="38">
        <v>362703.0</v>
      </c>
      <c r="C1019" s="38">
        <v>366024.0</v>
      </c>
      <c r="D1019" s="38">
        <v>1031824.0</v>
      </c>
      <c r="E1019" s="38">
        <v>1031824.0</v>
      </c>
      <c r="F1019" s="38">
        <v>9.00276962E8</v>
      </c>
      <c r="G1019" s="18" t="s">
        <v>128</v>
      </c>
      <c r="H1019" s="18" t="s">
        <v>2269</v>
      </c>
      <c r="I1019" s="18" t="s">
        <v>3319</v>
      </c>
      <c r="J1019" s="18" t="s">
        <v>2205</v>
      </c>
      <c r="K1019" s="18" t="s">
        <v>2270</v>
      </c>
      <c r="L1019" s="18" t="s">
        <v>2087</v>
      </c>
      <c r="M1019" s="18" t="s">
        <v>2088</v>
      </c>
      <c r="N1019" s="18" t="s">
        <v>2089</v>
      </c>
      <c r="O1019" s="18" t="s">
        <v>126</v>
      </c>
      <c r="P1019" s="18" t="s">
        <v>131</v>
      </c>
      <c r="Q1019" s="18" t="s">
        <v>132</v>
      </c>
      <c r="R1019" s="18" t="s">
        <v>133</v>
      </c>
      <c r="S1019" s="18" t="s">
        <v>59</v>
      </c>
      <c r="T1019" s="38">
        <v>2026.0</v>
      </c>
      <c r="U1019" s="38">
        <v>5.0</v>
      </c>
      <c r="V1019" s="38">
        <v>1.081522286E9</v>
      </c>
      <c r="W1019" s="38">
        <v>1.081540356E9</v>
      </c>
      <c r="X1019" s="18" t="s">
        <v>2199</v>
      </c>
      <c r="Y1019" s="18" t="s">
        <v>2200</v>
      </c>
      <c r="Z1019" s="38">
        <v>87226.5</v>
      </c>
      <c r="AA1019" s="38">
        <v>87226.5</v>
      </c>
      <c r="AB1019" s="38">
        <v>29075.5</v>
      </c>
      <c r="AC1019" s="38">
        <v>0.0</v>
      </c>
      <c r="AD1019" s="38">
        <v>0.0</v>
      </c>
      <c r="AE1019" s="38">
        <v>0.0</v>
      </c>
      <c r="AF1019" s="38">
        <v>0.0</v>
      </c>
      <c r="AG1019" s="38">
        <v>0.0</v>
      </c>
      <c r="AH1019" s="38">
        <v>0.0</v>
      </c>
      <c r="AI1019" s="38">
        <v>87226.5</v>
      </c>
      <c r="AJ1019" s="38">
        <v>87226.5</v>
      </c>
      <c r="AK1019" s="38">
        <v>0.0</v>
      </c>
      <c r="AL1019" s="38">
        <v>416.67</v>
      </c>
      <c r="AM1019" s="38">
        <v>0.0</v>
      </c>
      <c r="AN1019" s="34" t="s">
        <v>62</v>
      </c>
      <c r="AO1019" s="34" t="s">
        <v>62</v>
      </c>
      <c r="AP1019" s="34" t="s">
        <v>62</v>
      </c>
      <c r="AQ1019" s="34" t="s">
        <v>62</v>
      </c>
      <c r="AR1019" s="38">
        <v>0.0</v>
      </c>
      <c r="AS1019" s="38" t="s">
        <v>2271</v>
      </c>
      <c r="AT1019" s="35" t="s">
        <v>2202</v>
      </c>
      <c r="AU1019" s="39" t="s">
        <v>2203</v>
      </c>
      <c r="AV1019" s="40">
        <v>46163.0</v>
      </c>
    </row>
    <row r="1020">
      <c r="A1020" s="38">
        <v>40.0</v>
      </c>
      <c r="B1020" s="38">
        <v>39.0</v>
      </c>
      <c r="C1020" s="38">
        <v>39.0</v>
      </c>
      <c r="D1020" s="38">
        <v>9.0309272E7</v>
      </c>
      <c r="E1020" s="38">
        <v>9.0309272E7</v>
      </c>
      <c r="F1020" s="38">
        <v>9.0309272E7</v>
      </c>
      <c r="G1020" s="18" t="s">
        <v>2104</v>
      </c>
      <c r="H1020" s="18" t="s">
        <v>3367</v>
      </c>
      <c r="I1020" s="18" t="s">
        <v>3314</v>
      </c>
      <c r="J1020" s="18" t="s">
        <v>2091</v>
      </c>
      <c r="K1020" s="18" t="s">
        <v>2205</v>
      </c>
      <c r="L1020" s="18" t="s">
        <v>2087</v>
      </c>
      <c r="M1020" s="18" t="s">
        <v>2088</v>
      </c>
      <c r="N1020" s="18" t="s">
        <v>2089</v>
      </c>
      <c r="O1020" s="18" t="s">
        <v>126</v>
      </c>
      <c r="P1020" s="18" t="s">
        <v>131</v>
      </c>
      <c r="Q1020" s="18" t="s">
        <v>363</v>
      </c>
      <c r="R1020" s="18" t="s">
        <v>133</v>
      </c>
      <c r="S1020" s="18" t="s">
        <v>59</v>
      </c>
      <c r="T1020" s="38">
        <v>2026.0</v>
      </c>
      <c r="U1020" s="38">
        <v>5.0</v>
      </c>
      <c r="V1020" s="38">
        <v>1.081522255E9</v>
      </c>
      <c r="W1020" s="38">
        <v>1.081540325E9</v>
      </c>
      <c r="X1020" s="18" t="s">
        <v>2199</v>
      </c>
      <c r="Y1020" s="18" t="s">
        <v>2200</v>
      </c>
      <c r="Z1020" s="38">
        <v>51549.3</v>
      </c>
      <c r="AA1020" s="38">
        <v>51549.3</v>
      </c>
      <c r="AB1020" s="38">
        <v>16977.0</v>
      </c>
      <c r="AC1020" s="38">
        <v>0.0</v>
      </c>
      <c r="AD1020" s="38">
        <v>618.3</v>
      </c>
      <c r="AE1020" s="38">
        <v>0.0</v>
      </c>
      <c r="AF1020" s="38">
        <v>0.0</v>
      </c>
      <c r="AG1020" s="38">
        <v>0.0</v>
      </c>
      <c r="AH1020" s="38">
        <v>0.0</v>
      </c>
      <c r="AI1020" s="38">
        <v>51549.3</v>
      </c>
      <c r="AJ1020" s="38">
        <v>151835.02</v>
      </c>
      <c r="AK1020" s="38">
        <v>3.0</v>
      </c>
      <c r="AL1020" s="38">
        <v>416.67</v>
      </c>
      <c r="AM1020" s="38">
        <v>0.0</v>
      </c>
      <c r="AN1020" s="34" t="s">
        <v>62</v>
      </c>
      <c r="AO1020" s="34" t="s">
        <v>62</v>
      </c>
      <c r="AP1020" s="34" t="s">
        <v>62</v>
      </c>
      <c r="AQ1020" s="34" t="s">
        <v>62</v>
      </c>
      <c r="AR1020" s="38">
        <v>0.0</v>
      </c>
      <c r="AS1020" s="38" t="s">
        <v>3368</v>
      </c>
      <c r="AT1020" s="38" t="s">
        <v>2275</v>
      </c>
      <c r="AU1020" s="39" t="s">
        <v>3250</v>
      </c>
      <c r="AV1020" s="40">
        <v>46163.0</v>
      </c>
    </row>
    <row r="1021">
      <c r="A1021" s="38">
        <v>463249.0</v>
      </c>
      <c r="B1021" s="38">
        <v>428691.0</v>
      </c>
      <c r="C1021" s="38">
        <v>447193.0</v>
      </c>
      <c r="D1021" s="38">
        <v>1043000.0</v>
      </c>
      <c r="E1021" s="38">
        <v>1043000.0</v>
      </c>
      <c r="F1021" s="38">
        <v>9.01378925E8</v>
      </c>
      <c r="G1021" s="18" t="s">
        <v>2106</v>
      </c>
      <c r="H1021" s="18" t="s">
        <v>3369</v>
      </c>
      <c r="I1021" s="18" t="s">
        <v>3370</v>
      </c>
      <c r="J1021" s="18" t="s">
        <v>2205</v>
      </c>
      <c r="K1021" s="18" t="s">
        <v>2205</v>
      </c>
      <c r="L1021" s="18" t="s">
        <v>2087</v>
      </c>
      <c r="M1021" s="18" t="s">
        <v>2107</v>
      </c>
      <c r="N1021" s="18" t="s">
        <v>2089</v>
      </c>
      <c r="O1021" s="18" t="s">
        <v>126</v>
      </c>
      <c r="P1021" s="18" t="s">
        <v>56</v>
      </c>
      <c r="Q1021" s="18" t="s">
        <v>90</v>
      </c>
      <c r="R1021" s="18" t="s">
        <v>143</v>
      </c>
      <c r="S1021" s="18" t="s">
        <v>59</v>
      </c>
      <c r="T1021" s="38">
        <v>2026.0</v>
      </c>
      <c r="U1021" s="38">
        <v>5.0</v>
      </c>
      <c r="V1021" s="38">
        <v>1.081522289E9</v>
      </c>
      <c r="W1021" s="38">
        <v>1.081540359E9</v>
      </c>
      <c r="X1021" s="18" t="s">
        <v>2199</v>
      </c>
      <c r="Y1021" s="18" t="s">
        <v>2200</v>
      </c>
      <c r="Z1021" s="38">
        <v>82232.83</v>
      </c>
      <c r="AA1021" s="38">
        <v>82232.83</v>
      </c>
      <c r="AB1021" s="38">
        <v>27082.59</v>
      </c>
      <c r="AC1021" s="38">
        <v>253.0</v>
      </c>
      <c r="AD1021" s="38">
        <v>985.08</v>
      </c>
      <c r="AE1021" s="38">
        <v>0.0</v>
      </c>
      <c r="AF1021" s="38">
        <v>0.0</v>
      </c>
      <c r="AG1021" s="38">
        <v>0.0</v>
      </c>
      <c r="AH1021" s="38">
        <v>0.0</v>
      </c>
      <c r="AI1021" s="38">
        <v>82232.83</v>
      </c>
      <c r="AJ1021" s="38">
        <v>272379.83</v>
      </c>
      <c r="AK1021" s="38">
        <v>3.0</v>
      </c>
      <c r="AL1021" s="38">
        <v>416.67</v>
      </c>
      <c r="AM1021" s="38">
        <v>0.0</v>
      </c>
      <c r="AN1021" s="34" t="s">
        <v>62</v>
      </c>
      <c r="AO1021" s="34" t="s">
        <v>62</v>
      </c>
      <c r="AP1021" s="34" t="s">
        <v>62</v>
      </c>
      <c r="AQ1021" s="34" t="s">
        <v>62</v>
      </c>
      <c r="AR1021" s="38">
        <v>0.0</v>
      </c>
      <c r="AS1021" s="38" t="s">
        <v>3371</v>
      </c>
      <c r="AT1021" s="35" t="s">
        <v>2202</v>
      </c>
      <c r="AU1021" s="39" t="s">
        <v>2203</v>
      </c>
      <c r="AV1021" s="40">
        <v>46174.0</v>
      </c>
    </row>
    <row r="1022">
      <c r="A1022" s="38">
        <v>44.0</v>
      </c>
      <c r="B1022" s="38">
        <v>43.0</v>
      </c>
      <c r="C1022" s="38">
        <v>43.0</v>
      </c>
      <c r="D1022" s="38">
        <v>9.0313266E7</v>
      </c>
      <c r="E1022" s="38">
        <v>9.0313266E7</v>
      </c>
      <c r="F1022" s="38">
        <v>8.8308328E7</v>
      </c>
      <c r="G1022" s="18" t="s">
        <v>2109</v>
      </c>
      <c r="H1022" s="18" t="s">
        <v>3372</v>
      </c>
      <c r="I1022" s="18" t="s">
        <v>3373</v>
      </c>
      <c r="J1022" s="18" t="s">
        <v>2091</v>
      </c>
      <c r="K1022" s="18" t="s">
        <v>2205</v>
      </c>
      <c r="L1022" s="18" t="s">
        <v>2087</v>
      </c>
      <c r="M1022" s="18" t="s">
        <v>2088</v>
      </c>
      <c r="N1022" s="18" t="s">
        <v>2089</v>
      </c>
      <c r="O1022" s="18" t="s">
        <v>126</v>
      </c>
      <c r="P1022" s="18" t="s">
        <v>56</v>
      </c>
      <c r="Q1022" s="18" t="s">
        <v>90</v>
      </c>
      <c r="R1022" s="18" t="s">
        <v>143</v>
      </c>
      <c r="S1022" s="18" t="s">
        <v>59</v>
      </c>
      <c r="T1022" s="38">
        <v>2026.0</v>
      </c>
      <c r="U1022" s="38">
        <v>5.0</v>
      </c>
      <c r="V1022" s="38">
        <v>1.081522261E9</v>
      </c>
      <c r="W1022" s="38">
        <v>1.081540331E9</v>
      </c>
      <c r="X1022" s="18" t="s">
        <v>2199</v>
      </c>
      <c r="Y1022" s="18" t="s">
        <v>2200</v>
      </c>
      <c r="Z1022" s="38">
        <v>256895.71</v>
      </c>
      <c r="AA1022" s="38">
        <v>256895.71</v>
      </c>
      <c r="AB1022" s="38">
        <v>84605.54</v>
      </c>
      <c r="AC1022" s="38">
        <v>775.0</v>
      </c>
      <c r="AD1022" s="38">
        <v>3079.12</v>
      </c>
      <c r="AE1022" s="38">
        <v>0.0</v>
      </c>
      <c r="AF1022" s="38">
        <v>0.0</v>
      </c>
      <c r="AG1022" s="38">
        <v>0.0</v>
      </c>
      <c r="AH1022" s="38">
        <v>0.0</v>
      </c>
      <c r="AI1022" s="38">
        <v>256895.71</v>
      </c>
      <c r="AJ1022" s="38">
        <v>751638.42</v>
      </c>
      <c r="AK1022" s="38">
        <v>2.0</v>
      </c>
      <c r="AL1022" s="38">
        <v>416.67</v>
      </c>
      <c r="AM1022" s="38">
        <v>0.0</v>
      </c>
      <c r="AN1022" s="34" t="s">
        <v>62</v>
      </c>
      <c r="AO1022" s="34" t="s">
        <v>62</v>
      </c>
      <c r="AP1022" s="34" t="s">
        <v>62</v>
      </c>
      <c r="AQ1022" s="34" t="s">
        <v>62</v>
      </c>
      <c r="AR1022" s="38">
        <v>0.0</v>
      </c>
      <c r="AS1022" s="38" t="s">
        <v>3374</v>
      </c>
      <c r="AT1022" s="38" t="s">
        <v>2275</v>
      </c>
      <c r="AU1022" s="39" t="s">
        <v>3250</v>
      </c>
      <c r="AV1022" s="40">
        <v>46163.0</v>
      </c>
    </row>
    <row r="1023">
      <c r="A1023" s="38">
        <v>527955.0</v>
      </c>
      <c r="B1023" s="38">
        <v>467759.0</v>
      </c>
      <c r="C1023" s="38">
        <v>501196.0</v>
      </c>
      <c r="D1023" s="34" t="s">
        <v>62</v>
      </c>
      <c r="E1023" s="34" t="s">
        <v>62</v>
      </c>
      <c r="F1023" s="38">
        <v>8.00244387E8</v>
      </c>
      <c r="G1023" s="18" t="s">
        <v>2111</v>
      </c>
      <c r="H1023" s="18" t="s">
        <v>3375</v>
      </c>
      <c r="I1023" s="18" t="s">
        <v>3301</v>
      </c>
      <c r="J1023" s="18" t="s">
        <v>2205</v>
      </c>
      <c r="K1023" s="18" t="s">
        <v>2770</v>
      </c>
      <c r="L1023" s="18" t="s">
        <v>2087</v>
      </c>
      <c r="M1023" s="18" t="s">
        <v>2088</v>
      </c>
      <c r="N1023" s="18" t="s">
        <v>2089</v>
      </c>
      <c r="O1023" s="18" t="s">
        <v>126</v>
      </c>
      <c r="P1023" s="18" t="s">
        <v>56</v>
      </c>
      <c r="Q1023" s="18" t="s">
        <v>90</v>
      </c>
      <c r="R1023" s="18" t="s">
        <v>58</v>
      </c>
      <c r="S1023" s="18" t="s">
        <v>59</v>
      </c>
      <c r="T1023" s="38">
        <v>2026.0</v>
      </c>
      <c r="U1023" s="38">
        <v>5.0</v>
      </c>
      <c r="V1023" s="38">
        <v>1.081522291E9</v>
      </c>
      <c r="W1023" s="38">
        <v>1.081540361E9</v>
      </c>
      <c r="X1023" s="18" t="s">
        <v>2199</v>
      </c>
      <c r="Y1023" s="18" t="s">
        <v>2200</v>
      </c>
      <c r="Z1023" s="38">
        <v>2056606.2</v>
      </c>
      <c r="AA1023" s="38">
        <v>2056606.2</v>
      </c>
      <c r="AB1023" s="38">
        <v>685535.4</v>
      </c>
      <c r="AC1023" s="38">
        <v>6900.0</v>
      </c>
      <c r="AD1023" s="38">
        <v>0.0</v>
      </c>
      <c r="AE1023" s="38">
        <v>0.0</v>
      </c>
      <c r="AF1023" s="38">
        <v>0.0</v>
      </c>
      <c r="AG1023" s="38">
        <v>0.0</v>
      </c>
      <c r="AH1023" s="38">
        <v>0.0</v>
      </c>
      <c r="AI1023" s="38">
        <v>2055606.93</v>
      </c>
      <c r="AJ1023" s="38">
        <v>2055606.93</v>
      </c>
      <c r="AK1023" s="38">
        <v>0.0</v>
      </c>
      <c r="AL1023" s="38">
        <v>416.67</v>
      </c>
      <c r="AM1023" s="38">
        <v>0.0</v>
      </c>
      <c r="AN1023" s="34" t="s">
        <v>62</v>
      </c>
      <c r="AO1023" s="34" t="s">
        <v>62</v>
      </c>
      <c r="AP1023" s="38">
        <v>999.27</v>
      </c>
      <c r="AQ1023" s="34" t="s">
        <v>62</v>
      </c>
      <c r="AR1023" s="38">
        <v>0.0</v>
      </c>
      <c r="AS1023" s="38" t="s">
        <v>3376</v>
      </c>
      <c r="AT1023" s="35" t="s">
        <v>2202</v>
      </c>
      <c r="AU1023" s="39" t="s">
        <v>2203</v>
      </c>
      <c r="AV1023" s="40">
        <v>46169.0</v>
      </c>
    </row>
    <row r="1024">
      <c r="A1024" s="38">
        <v>280920.0</v>
      </c>
      <c r="B1024" s="38">
        <v>67247.0</v>
      </c>
      <c r="C1024" s="38">
        <v>67247.0</v>
      </c>
      <c r="D1024" s="38">
        <v>78040.0</v>
      </c>
      <c r="E1024" s="38">
        <v>78040.0</v>
      </c>
      <c r="F1024" s="38">
        <v>9.00576569E8</v>
      </c>
      <c r="G1024" s="18" t="s">
        <v>161</v>
      </c>
      <c r="H1024" s="18" t="s">
        <v>2261</v>
      </c>
      <c r="I1024" s="18" t="s">
        <v>3313</v>
      </c>
      <c r="J1024" s="18" t="s">
        <v>2205</v>
      </c>
      <c r="K1024" s="18" t="s">
        <v>2262</v>
      </c>
      <c r="L1024" s="18" t="s">
        <v>2087</v>
      </c>
      <c r="M1024" s="18" t="s">
        <v>2088</v>
      </c>
      <c r="N1024" s="18" t="s">
        <v>2089</v>
      </c>
      <c r="O1024" s="18" t="s">
        <v>126</v>
      </c>
      <c r="P1024" s="18" t="s">
        <v>56</v>
      </c>
      <c r="Q1024" s="18" t="s">
        <v>90</v>
      </c>
      <c r="R1024" s="18" t="s">
        <v>143</v>
      </c>
      <c r="S1024" s="18" t="s">
        <v>59</v>
      </c>
      <c r="T1024" s="38">
        <v>2026.0</v>
      </c>
      <c r="U1024" s="38">
        <v>5.0</v>
      </c>
      <c r="V1024" s="38">
        <v>1.08152227E9</v>
      </c>
      <c r="W1024" s="38">
        <v>1.08154034E9</v>
      </c>
      <c r="X1024" s="18" t="s">
        <v>2199</v>
      </c>
      <c r="Y1024" s="18" t="s">
        <v>2200</v>
      </c>
      <c r="Z1024" s="38">
        <v>377309.57</v>
      </c>
      <c r="AA1024" s="38">
        <v>377309.57</v>
      </c>
      <c r="AB1024" s="38">
        <v>113303.01</v>
      </c>
      <c r="AC1024" s="38">
        <v>1067.5</v>
      </c>
      <c r="AD1024" s="38">
        <v>37400.56</v>
      </c>
      <c r="AE1024" s="38">
        <v>0.0</v>
      </c>
      <c r="AF1024" s="38">
        <v>0.0</v>
      </c>
      <c r="AG1024" s="38">
        <v>0.0</v>
      </c>
      <c r="AH1024" s="38">
        <v>0.0</v>
      </c>
      <c r="AI1024" s="38">
        <v>377309.57</v>
      </c>
      <c r="AJ1024" s="38">
        <v>2763471.67</v>
      </c>
      <c r="AK1024" s="38">
        <v>7.0</v>
      </c>
      <c r="AL1024" s="38">
        <v>416.67</v>
      </c>
      <c r="AM1024" s="38">
        <v>0.0</v>
      </c>
      <c r="AN1024" s="34" t="s">
        <v>62</v>
      </c>
      <c r="AO1024" s="34" t="s">
        <v>62</v>
      </c>
      <c r="AP1024" s="34" t="s">
        <v>62</v>
      </c>
      <c r="AQ1024" s="34" t="s">
        <v>62</v>
      </c>
      <c r="AR1024" s="38">
        <v>0.0</v>
      </c>
      <c r="AS1024" s="38" t="s">
        <v>2263</v>
      </c>
      <c r="AT1024" s="35" t="s">
        <v>2202</v>
      </c>
      <c r="AU1024" s="39" t="s">
        <v>2203</v>
      </c>
      <c r="AV1024" s="40">
        <v>46163.0</v>
      </c>
    </row>
    <row r="1025">
      <c r="A1025" s="38">
        <v>67264.0</v>
      </c>
      <c r="B1025" s="38">
        <v>67263.0</v>
      </c>
      <c r="C1025" s="38">
        <v>67263.0</v>
      </c>
      <c r="D1025" s="38">
        <v>78060.0</v>
      </c>
      <c r="E1025" s="38">
        <v>78060.0</v>
      </c>
      <c r="F1025" s="38">
        <v>9.01429119E8</v>
      </c>
      <c r="G1025" s="18" t="s">
        <v>2114</v>
      </c>
      <c r="H1025" s="18" t="s">
        <v>3377</v>
      </c>
      <c r="I1025" s="18" t="s">
        <v>3313</v>
      </c>
      <c r="J1025" s="18" t="s">
        <v>2091</v>
      </c>
      <c r="K1025" s="18" t="s">
        <v>2205</v>
      </c>
      <c r="L1025" s="18" t="s">
        <v>2087</v>
      </c>
      <c r="M1025" s="18" t="s">
        <v>2088</v>
      </c>
      <c r="N1025" s="18" t="s">
        <v>2089</v>
      </c>
      <c r="O1025" s="18" t="s">
        <v>126</v>
      </c>
      <c r="P1025" s="18" t="s">
        <v>56</v>
      </c>
      <c r="Q1025" s="18" t="s">
        <v>90</v>
      </c>
      <c r="R1025" s="18" t="s">
        <v>143</v>
      </c>
      <c r="S1025" s="18" t="s">
        <v>59</v>
      </c>
      <c r="T1025" s="38">
        <v>2026.0</v>
      </c>
      <c r="U1025" s="38">
        <v>5.0</v>
      </c>
      <c r="V1025" s="38">
        <v>1.081522271E9</v>
      </c>
      <c r="W1025" s="38">
        <v>1.081540341E9</v>
      </c>
      <c r="X1025" s="18" t="s">
        <v>2199</v>
      </c>
      <c r="Y1025" s="18" t="s">
        <v>2200</v>
      </c>
      <c r="Z1025" s="38">
        <v>161101.68</v>
      </c>
      <c r="AA1025" s="38">
        <v>161101.68</v>
      </c>
      <c r="AB1025" s="38">
        <v>53700.56</v>
      </c>
      <c r="AC1025" s="38">
        <v>460.0</v>
      </c>
      <c r="AD1025" s="38">
        <v>0.0</v>
      </c>
      <c r="AE1025" s="38">
        <v>0.0</v>
      </c>
      <c r="AF1025" s="38">
        <v>0.0</v>
      </c>
      <c r="AG1025" s="38">
        <v>0.0</v>
      </c>
      <c r="AH1025" s="38">
        <v>0.0</v>
      </c>
      <c r="AI1025" s="38">
        <v>161101.68</v>
      </c>
      <c r="AJ1025" s="38">
        <v>161101.68</v>
      </c>
      <c r="AK1025" s="38">
        <v>0.0</v>
      </c>
      <c r="AL1025" s="38">
        <v>416.67</v>
      </c>
      <c r="AM1025" s="38">
        <v>0.0</v>
      </c>
      <c r="AN1025" s="34" t="s">
        <v>62</v>
      </c>
      <c r="AO1025" s="34" t="s">
        <v>62</v>
      </c>
      <c r="AP1025" s="34" t="s">
        <v>62</v>
      </c>
      <c r="AQ1025" s="34" t="s">
        <v>62</v>
      </c>
      <c r="AR1025" s="38">
        <v>0.0</v>
      </c>
      <c r="AS1025" s="38" t="s">
        <v>3378</v>
      </c>
      <c r="AT1025" s="38" t="s">
        <v>2275</v>
      </c>
      <c r="AU1025" s="39" t="s">
        <v>3250</v>
      </c>
      <c r="AV1025" s="40">
        <v>46163.0</v>
      </c>
    </row>
    <row r="1026">
      <c r="A1026" s="38">
        <v>8.0</v>
      </c>
      <c r="B1026" s="38">
        <v>7.0</v>
      </c>
      <c r="C1026" s="38">
        <v>7.0</v>
      </c>
      <c r="D1026" s="38">
        <v>9.0300043E7</v>
      </c>
      <c r="E1026" s="38">
        <v>9.0300043E7</v>
      </c>
      <c r="F1026" s="38">
        <v>9.0300043E7</v>
      </c>
      <c r="G1026" s="18" t="s">
        <v>2086</v>
      </c>
      <c r="H1026" s="18" t="s">
        <v>3379</v>
      </c>
      <c r="I1026" s="18" t="s">
        <v>3291</v>
      </c>
      <c r="J1026" s="18" t="s">
        <v>2086</v>
      </c>
      <c r="K1026" s="18" t="s">
        <v>2086</v>
      </c>
      <c r="L1026" s="18" t="s">
        <v>2087</v>
      </c>
      <c r="M1026" s="18" t="s">
        <v>2088</v>
      </c>
      <c r="N1026" s="18" t="s">
        <v>2089</v>
      </c>
      <c r="O1026" s="18" t="s">
        <v>126</v>
      </c>
      <c r="P1026" s="18" t="s">
        <v>218</v>
      </c>
      <c r="Q1026" s="18" t="s">
        <v>943</v>
      </c>
      <c r="R1026" s="18" t="s">
        <v>133</v>
      </c>
      <c r="S1026" s="18" t="s">
        <v>59</v>
      </c>
      <c r="T1026" s="38">
        <v>2026.0</v>
      </c>
      <c r="U1026" s="38">
        <v>5.0</v>
      </c>
      <c r="V1026" s="38">
        <v>1.081522225E9</v>
      </c>
      <c r="W1026" s="38">
        <v>1.081540295E9</v>
      </c>
      <c r="X1026" s="18" t="s">
        <v>2199</v>
      </c>
      <c r="Y1026" s="18" t="s">
        <v>2200</v>
      </c>
      <c r="Z1026" s="38">
        <v>57367.59</v>
      </c>
      <c r="AA1026" s="38">
        <v>57367.59</v>
      </c>
      <c r="AB1026" s="38">
        <v>18825.5</v>
      </c>
      <c r="AC1026" s="38">
        <v>0.0</v>
      </c>
      <c r="AD1026" s="38">
        <v>891.09</v>
      </c>
      <c r="AE1026" s="38">
        <v>0.0</v>
      </c>
      <c r="AF1026" s="38">
        <v>0.0</v>
      </c>
      <c r="AG1026" s="38">
        <v>0.0</v>
      </c>
      <c r="AH1026" s="38">
        <v>0.0</v>
      </c>
      <c r="AI1026" s="38">
        <v>57367.59</v>
      </c>
      <c r="AJ1026" s="38">
        <v>57367.59</v>
      </c>
      <c r="AK1026" s="38">
        <v>0.0</v>
      </c>
      <c r="AL1026" s="38">
        <v>416.67</v>
      </c>
      <c r="AM1026" s="38">
        <v>0.0</v>
      </c>
      <c r="AN1026" s="34" t="s">
        <v>62</v>
      </c>
      <c r="AO1026" s="34" t="s">
        <v>62</v>
      </c>
      <c r="AP1026" s="34" t="s">
        <v>62</v>
      </c>
      <c r="AQ1026" s="34" t="s">
        <v>62</v>
      </c>
      <c r="AR1026" s="38">
        <v>0.0</v>
      </c>
      <c r="AS1026" s="34"/>
      <c r="AT1026" s="35" t="s">
        <v>2275</v>
      </c>
      <c r="AU1026" s="39" t="s">
        <v>3250</v>
      </c>
      <c r="AV1026" s="40">
        <v>46163.0</v>
      </c>
    </row>
    <row r="1027">
      <c r="A1027" s="38">
        <v>285191.0</v>
      </c>
      <c r="B1027" s="38">
        <v>70763.0</v>
      </c>
      <c r="C1027" s="38">
        <v>70763.0</v>
      </c>
      <c r="D1027" s="38">
        <v>82025.0</v>
      </c>
      <c r="E1027" s="38">
        <v>82025.0</v>
      </c>
      <c r="F1027" s="38">
        <v>9.00276962E8</v>
      </c>
      <c r="G1027" s="18" t="s">
        <v>128</v>
      </c>
      <c r="H1027" s="18" t="s">
        <v>2269</v>
      </c>
      <c r="I1027" s="18" t="s">
        <v>3314</v>
      </c>
      <c r="J1027" s="18" t="s">
        <v>2205</v>
      </c>
      <c r="K1027" s="18" t="s">
        <v>2270</v>
      </c>
      <c r="L1027" s="18" t="s">
        <v>2087</v>
      </c>
      <c r="M1027" s="18" t="s">
        <v>2088</v>
      </c>
      <c r="N1027" s="18" t="s">
        <v>2089</v>
      </c>
      <c r="O1027" s="18" t="s">
        <v>126</v>
      </c>
      <c r="P1027" s="18" t="s">
        <v>131</v>
      </c>
      <c r="Q1027" s="18" t="s">
        <v>132</v>
      </c>
      <c r="R1027" s="18" t="s">
        <v>133</v>
      </c>
      <c r="S1027" s="18" t="s">
        <v>59</v>
      </c>
      <c r="T1027" s="38">
        <v>2026.0</v>
      </c>
      <c r="U1027" s="38">
        <v>5.0</v>
      </c>
      <c r="V1027" s="38">
        <v>1.081522276E9</v>
      </c>
      <c r="W1027" s="38">
        <v>1.081540346E9</v>
      </c>
      <c r="X1027" s="18" t="s">
        <v>2199</v>
      </c>
      <c r="Y1027" s="18" t="s">
        <v>2200</v>
      </c>
      <c r="Z1027" s="38">
        <v>87226.5</v>
      </c>
      <c r="AA1027" s="38">
        <v>87226.5</v>
      </c>
      <c r="AB1027" s="38">
        <v>29075.5</v>
      </c>
      <c r="AC1027" s="38">
        <v>0.0</v>
      </c>
      <c r="AD1027" s="38">
        <v>0.0</v>
      </c>
      <c r="AE1027" s="38">
        <v>0.0</v>
      </c>
      <c r="AF1027" s="38">
        <v>0.0</v>
      </c>
      <c r="AG1027" s="38">
        <v>0.0</v>
      </c>
      <c r="AH1027" s="38">
        <v>0.0</v>
      </c>
      <c r="AI1027" s="38">
        <v>87226.5</v>
      </c>
      <c r="AJ1027" s="38">
        <v>87226.5</v>
      </c>
      <c r="AK1027" s="38">
        <v>0.0</v>
      </c>
      <c r="AL1027" s="38">
        <v>416.67</v>
      </c>
      <c r="AM1027" s="38">
        <v>0.0</v>
      </c>
      <c r="AN1027" s="34" t="s">
        <v>62</v>
      </c>
      <c r="AO1027" s="34" t="s">
        <v>62</v>
      </c>
      <c r="AP1027" s="34" t="s">
        <v>62</v>
      </c>
      <c r="AQ1027" s="34" t="s">
        <v>62</v>
      </c>
      <c r="AR1027" s="38">
        <v>0.0</v>
      </c>
      <c r="AS1027" s="38" t="s">
        <v>2271</v>
      </c>
      <c r="AT1027" s="35" t="s">
        <v>2202</v>
      </c>
      <c r="AU1027" s="39" t="s">
        <v>2203</v>
      </c>
      <c r="AV1027" s="40">
        <v>46163.0</v>
      </c>
    </row>
    <row r="1028">
      <c r="A1028" s="38">
        <v>147.0</v>
      </c>
      <c r="B1028" s="38">
        <v>99.0</v>
      </c>
      <c r="C1028" s="38">
        <v>99.0</v>
      </c>
      <c r="D1028" s="38">
        <v>9.0319766E7</v>
      </c>
      <c r="E1028" s="38">
        <v>9.0319766E7</v>
      </c>
      <c r="F1028" s="18" t="s">
        <v>179</v>
      </c>
      <c r="G1028" s="18" t="s">
        <v>180</v>
      </c>
      <c r="H1028" s="18" t="s">
        <v>2320</v>
      </c>
      <c r="I1028" s="18" t="s">
        <v>3380</v>
      </c>
      <c r="J1028" s="18" t="s">
        <v>2205</v>
      </c>
      <c r="K1028" s="18" t="s">
        <v>2289</v>
      </c>
      <c r="L1028" s="18" t="s">
        <v>2087</v>
      </c>
      <c r="M1028" s="18" t="s">
        <v>2088</v>
      </c>
      <c r="N1028" s="18" t="s">
        <v>2089</v>
      </c>
      <c r="O1028" s="18" t="s">
        <v>126</v>
      </c>
      <c r="P1028" s="18" t="s">
        <v>56</v>
      </c>
      <c r="Q1028" s="18" t="s">
        <v>57</v>
      </c>
      <c r="R1028" s="18" t="s">
        <v>143</v>
      </c>
      <c r="S1028" s="18" t="s">
        <v>59</v>
      </c>
      <c r="T1028" s="38">
        <v>2026.0</v>
      </c>
      <c r="U1028" s="38">
        <v>5.0</v>
      </c>
      <c r="V1028" s="38">
        <v>1.081522265E9</v>
      </c>
      <c r="W1028" s="38">
        <v>1.081540335E9</v>
      </c>
      <c r="X1028" s="18" t="s">
        <v>2199</v>
      </c>
      <c r="Y1028" s="18" t="s">
        <v>2200</v>
      </c>
      <c r="Z1028" s="38">
        <v>134872.2</v>
      </c>
      <c r="AA1028" s="38">
        <v>134872.2</v>
      </c>
      <c r="AB1028" s="38">
        <v>0.0</v>
      </c>
      <c r="AC1028" s="38">
        <v>600.0</v>
      </c>
      <c r="AD1028" s="38">
        <v>0.0</v>
      </c>
      <c r="AE1028" s="38">
        <v>0.0</v>
      </c>
      <c r="AF1028" s="38">
        <v>0.0</v>
      </c>
      <c r="AG1028" s="38">
        <v>0.0</v>
      </c>
      <c r="AH1028" s="38">
        <v>0.0</v>
      </c>
      <c r="AI1028" s="38">
        <v>134872.2</v>
      </c>
      <c r="AJ1028" s="38">
        <v>266727.4</v>
      </c>
      <c r="AK1028" s="38">
        <v>1.0</v>
      </c>
      <c r="AL1028" s="38">
        <v>277.78</v>
      </c>
      <c r="AM1028" s="38">
        <v>0.0</v>
      </c>
      <c r="AN1028" s="34" t="s">
        <v>62</v>
      </c>
      <c r="AO1028" s="34" t="s">
        <v>62</v>
      </c>
      <c r="AP1028" s="34" t="s">
        <v>62</v>
      </c>
      <c r="AQ1028" s="34" t="s">
        <v>62</v>
      </c>
      <c r="AR1028" s="38">
        <v>0.0</v>
      </c>
      <c r="AS1028" s="38" t="s">
        <v>2321</v>
      </c>
      <c r="AT1028" s="35" t="s">
        <v>2202</v>
      </c>
      <c r="AU1028" s="39" t="s">
        <v>2203</v>
      </c>
      <c r="AV1028" s="40">
        <v>46163.0</v>
      </c>
    </row>
    <row r="1029">
      <c r="A1029" s="38">
        <v>11.0</v>
      </c>
      <c r="B1029" s="38">
        <v>10.0</v>
      </c>
      <c r="C1029" s="38">
        <v>10.0</v>
      </c>
      <c r="D1029" s="38">
        <v>9.0300046E7</v>
      </c>
      <c r="E1029" s="38">
        <v>9.0300046E7</v>
      </c>
      <c r="F1029" s="38">
        <v>2.7681217E7</v>
      </c>
      <c r="G1029" s="18" t="s">
        <v>2086</v>
      </c>
      <c r="H1029" s="18" t="s">
        <v>3381</v>
      </c>
      <c r="I1029" s="18" t="s">
        <v>3291</v>
      </c>
      <c r="J1029" s="18" t="s">
        <v>2086</v>
      </c>
      <c r="K1029" s="18" t="s">
        <v>2086</v>
      </c>
      <c r="L1029" s="18" t="s">
        <v>2087</v>
      </c>
      <c r="M1029" s="18" t="s">
        <v>2088</v>
      </c>
      <c r="N1029" s="18" t="s">
        <v>2089</v>
      </c>
      <c r="O1029" s="18" t="s">
        <v>126</v>
      </c>
      <c r="P1029" s="18" t="s">
        <v>218</v>
      </c>
      <c r="Q1029" s="18" t="s">
        <v>943</v>
      </c>
      <c r="R1029" s="18" t="s">
        <v>133</v>
      </c>
      <c r="S1029" s="18" t="s">
        <v>59</v>
      </c>
      <c r="T1029" s="38">
        <v>2026.0</v>
      </c>
      <c r="U1029" s="38">
        <v>5.0</v>
      </c>
      <c r="V1029" s="38">
        <v>1.081522223E9</v>
      </c>
      <c r="W1029" s="38">
        <v>1.081540293E9</v>
      </c>
      <c r="X1029" s="18" t="s">
        <v>2199</v>
      </c>
      <c r="Y1029" s="18" t="s">
        <v>2200</v>
      </c>
      <c r="Z1029" s="38">
        <v>56476.5</v>
      </c>
      <c r="AA1029" s="38">
        <v>56476.5</v>
      </c>
      <c r="AB1029" s="38">
        <v>18825.5</v>
      </c>
      <c r="AC1029" s="38">
        <v>0.0</v>
      </c>
      <c r="AD1029" s="38">
        <v>0.0</v>
      </c>
      <c r="AE1029" s="38">
        <v>0.0</v>
      </c>
      <c r="AF1029" s="38">
        <v>0.0</v>
      </c>
      <c r="AG1029" s="38">
        <v>0.0</v>
      </c>
      <c r="AH1029" s="38">
        <v>0.0</v>
      </c>
      <c r="AI1029" s="38">
        <v>56476.5</v>
      </c>
      <c r="AJ1029" s="38">
        <v>56477.0</v>
      </c>
      <c r="AK1029" s="38">
        <v>1.0</v>
      </c>
      <c r="AL1029" s="38">
        <v>416.67</v>
      </c>
      <c r="AM1029" s="38">
        <v>0.0</v>
      </c>
      <c r="AN1029" s="34" t="s">
        <v>62</v>
      </c>
      <c r="AO1029" s="34" t="s">
        <v>62</v>
      </c>
      <c r="AP1029" s="34" t="s">
        <v>62</v>
      </c>
      <c r="AQ1029" s="34" t="s">
        <v>62</v>
      </c>
      <c r="AR1029" s="38">
        <v>0.0</v>
      </c>
      <c r="AS1029" s="38" t="s">
        <v>3382</v>
      </c>
      <c r="AT1029" s="35" t="s">
        <v>2275</v>
      </c>
      <c r="AU1029" s="39" t="s">
        <v>3250</v>
      </c>
      <c r="AV1029" s="40">
        <v>46163.0</v>
      </c>
    </row>
    <row r="1030">
      <c r="A1030" s="38">
        <v>350.0</v>
      </c>
      <c r="B1030" s="38">
        <v>102.0</v>
      </c>
      <c r="C1030" s="38">
        <v>102.0</v>
      </c>
      <c r="D1030" s="38">
        <v>9.0323582E7</v>
      </c>
      <c r="E1030" s="38">
        <v>9.0323582E7</v>
      </c>
      <c r="F1030" s="38">
        <v>9.00603041E8</v>
      </c>
      <c r="G1030" s="18" t="s">
        <v>400</v>
      </c>
      <c r="H1030" s="18" t="s">
        <v>2304</v>
      </c>
      <c r="I1030" s="18" t="s">
        <v>3383</v>
      </c>
      <c r="J1030" s="18" t="s">
        <v>2205</v>
      </c>
      <c r="K1030" s="18" t="s">
        <v>2305</v>
      </c>
      <c r="L1030" s="18" t="s">
        <v>2087</v>
      </c>
      <c r="M1030" s="18" t="s">
        <v>2088</v>
      </c>
      <c r="N1030" s="18" t="s">
        <v>2089</v>
      </c>
      <c r="O1030" s="18" t="s">
        <v>126</v>
      </c>
      <c r="P1030" s="18" t="s">
        <v>56</v>
      </c>
      <c r="Q1030" s="18" t="s">
        <v>90</v>
      </c>
      <c r="R1030" s="18" t="s">
        <v>143</v>
      </c>
      <c r="S1030" s="18" t="s">
        <v>59</v>
      </c>
      <c r="T1030" s="38">
        <v>2026.0</v>
      </c>
      <c r="U1030" s="38">
        <v>5.0</v>
      </c>
      <c r="V1030" s="38">
        <v>1.081522253E9</v>
      </c>
      <c r="W1030" s="38">
        <v>1.081540323E9</v>
      </c>
      <c r="X1030" s="18" t="s">
        <v>2199</v>
      </c>
      <c r="Y1030" s="18" t="s">
        <v>2200</v>
      </c>
      <c r="Z1030" s="38">
        <v>1005881.32</v>
      </c>
      <c r="AA1030" s="38">
        <v>1005881.32</v>
      </c>
      <c r="AB1030" s="38">
        <v>335279.13</v>
      </c>
      <c r="AC1030" s="38">
        <v>3330.0</v>
      </c>
      <c r="AD1030" s="38">
        <v>43.93</v>
      </c>
      <c r="AE1030" s="38">
        <v>0.0</v>
      </c>
      <c r="AF1030" s="38">
        <v>0.0</v>
      </c>
      <c r="AG1030" s="38">
        <v>0.0</v>
      </c>
      <c r="AH1030" s="38">
        <v>0.0</v>
      </c>
      <c r="AI1030" s="38">
        <v>1005881.32</v>
      </c>
      <c r="AJ1030" s="38">
        <v>1013115.38</v>
      </c>
      <c r="AK1030" s="38">
        <v>1.0</v>
      </c>
      <c r="AL1030" s="38">
        <v>416.67</v>
      </c>
      <c r="AM1030" s="38">
        <v>0.0</v>
      </c>
      <c r="AN1030" s="34" t="s">
        <v>62</v>
      </c>
      <c r="AO1030" s="34" t="s">
        <v>62</v>
      </c>
      <c r="AP1030" s="34" t="s">
        <v>62</v>
      </c>
      <c r="AQ1030" s="34" t="s">
        <v>62</v>
      </c>
      <c r="AR1030" s="38">
        <v>0.0</v>
      </c>
      <c r="AS1030" s="38" t="s">
        <v>2306</v>
      </c>
      <c r="AT1030" s="35" t="s">
        <v>2202</v>
      </c>
      <c r="AU1030" s="39" t="s">
        <v>2203</v>
      </c>
      <c r="AV1030" s="40">
        <v>46164.0</v>
      </c>
    </row>
    <row r="1031">
      <c r="A1031" s="38">
        <v>107.0</v>
      </c>
      <c r="B1031" s="38">
        <v>106.0</v>
      </c>
      <c r="C1031" s="38">
        <v>106.0</v>
      </c>
      <c r="D1031" s="38">
        <v>9.0325591E7</v>
      </c>
      <c r="E1031" s="38">
        <v>9.0325591E7</v>
      </c>
      <c r="F1031" s="38">
        <v>8.07007098E8</v>
      </c>
      <c r="G1031" s="18" t="s">
        <v>2177</v>
      </c>
      <c r="H1031" s="18" t="s">
        <v>3384</v>
      </c>
      <c r="I1031" s="18" t="s">
        <v>76</v>
      </c>
      <c r="J1031" s="18" t="s">
        <v>2091</v>
      </c>
      <c r="K1031" s="18" t="s">
        <v>2205</v>
      </c>
      <c r="L1031" s="18" t="s">
        <v>2087</v>
      </c>
      <c r="M1031" s="18" t="s">
        <v>2107</v>
      </c>
      <c r="N1031" s="18" t="s">
        <v>2089</v>
      </c>
      <c r="O1031" s="18" t="s">
        <v>126</v>
      </c>
      <c r="P1031" s="18" t="s">
        <v>56</v>
      </c>
      <c r="Q1031" s="18" t="s">
        <v>90</v>
      </c>
      <c r="R1031" s="18" t="s">
        <v>143</v>
      </c>
      <c r="S1031" s="18" t="s">
        <v>59</v>
      </c>
      <c r="T1031" s="38">
        <v>2026.0</v>
      </c>
      <c r="U1031" s="38">
        <v>5.0</v>
      </c>
      <c r="V1031" s="38">
        <v>1.081522258E9</v>
      </c>
      <c r="W1031" s="38">
        <v>1.081540328E9</v>
      </c>
      <c r="X1031" s="18" t="s">
        <v>2199</v>
      </c>
      <c r="Y1031" s="18" t="s">
        <v>2200</v>
      </c>
      <c r="Z1031" s="38">
        <v>153948.0</v>
      </c>
      <c r="AA1031" s="38">
        <v>153948.0</v>
      </c>
      <c r="AB1031" s="38">
        <v>51316.0</v>
      </c>
      <c r="AC1031" s="38">
        <v>500.0</v>
      </c>
      <c r="AD1031" s="38">
        <v>0.0</v>
      </c>
      <c r="AE1031" s="38">
        <v>0.0</v>
      </c>
      <c r="AF1031" s="38">
        <v>0.0</v>
      </c>
      <c r="AG1031" s="38">
        <v>0.0</v>
      </c>
      <c r="AH1031" s="38">
        <v>0.0</v>
      </c>
      <c r="AI1031" s="38">
        <v>153948.0</v>
      </c>
      <c r="AJ1031" s="38">
        <v>304041.54</v>
      </c>
      <c r="AK1031" s="38">
        <v>4.0</v>
      </c>
      <c r="AL1031" s="38">
        <v>416.67</v>
      </c>
      <c r="AM1031" s="38">
        <v>0.0</v>
      </c>
      <c r="AN1031" s="34" t="s">
        <v>62</v>
      </c>
      <c r="AO1031" s="34" t="s">
        <v>62</v>
      </c>
      <c r="AP1031" s="34" t="s">
        <v>62</v>
      </c>
      <c r="AQ1031" s="34" t="s">
        <v>62</v>
      </c>
      <c r="AR1031" s="38">
        <v>0.0</v>
      </c>
      <c r="AS1031" s="38" t="s">
        <v>3385</v>
      </c>
      <c r="AT1031" s="38" t="s">
        <v>2275</v>
      </c>
      <c r="AU1031" s="39" t="s">
        <v>3250</v>
      </c>
      <c r="AV1031" s="40">
        <v>46163.0</v>
      </c>
    </row>
    <row r="1032">
      <c r="A1032" s="38">
        <v>280920.0</v>
      </c>
      <c r="B1032" s="38">
        <v>137226.0</v>
      </c>
      <c r="C1032" s="38">
        <v>137226.0</v>
      </c>
      <c r="D1032" s="38">
        <v>1015202.0</v>
      </c>
      <c r="E1032" s="38">
        <v>1015202.0</v>
      </c>
      <c r="F1032" s="38">
        <v>9.00576569E8</v>
      </c>
      <c r="G1032" s="18" t="s">
        <v>161</v>
      </c>
      <c r="H1032" s="18" t="s">
        <v>2261</v>
      </c>
      <c r="I1032" s="18" t="s">
        <v>3386</v>
      </c>
      <c r="J1032" s="18" t="s">
        <v>2205</v>
      </c>
      <c r="K1032" s="18" t="s">
        <v>2262</v>
      </c>
      <c r="L1032" s="18" t="s">
        <v>2087</v>
      </c>
      <c r="M1032" s="18" t="s">
        <v>2088</v>
      </c>
      <c r="N1032" s="18" t="s">
        <v>2089</v>
      </c>
      <c r="O1032" s="18" t="s">
        <v>126</v>
      </c>
      <c r="P1032" s="18" t="s">
        <v>56</v>
      </c>
      <c r="Q1032" s="18" t="s">
        <v>90</v>
      </c>
      <c r="R1032" s="18" t="s">
        <v>143</v>
      </c>
      <c r="S1032" s="18" t="s">
        <v>59</v>
      </c>
      <c r="T1032" s="38">
        <v>2026.0</v>
      </c>
      <c r="U1032" s="38">
        <v>5.0</v>
      </c>
      <c r="V1032" s="38">
        <v>1.081522263E9</v>
      </c>
      <c r="W1032" s="38">
        <v>1.081540333E9</v>
      </c>
      <c r="X1032" s="18" t="s">
        <v>2199</v>
      </c>
      <c r="Y1032" s="18" t="s">
        <v>2200</v>
      </c>
      <c r="Z1032" s="38">
        <v>607038.58</v>
      </c>
      <c r="AA1032" s="38">
        <v>607038.58</v>
      </c>
      <c r="AB1032" s="38">
        <v>182225.97</v>
      </c>
      <c r="AC1032" s="38">
        <v>1770.0</v>
      </c>
      <c r="AD1032" s="38">
        <v>60360.67</v>
      </c>
      <c r="AE1032" s="38">
        <v>0.0</v>
      </c>
      <c r="AF1032" s="38">
        <v>0.0</v>
      </c>
      <c r="AG1032" s="38">
        <v>0.0</v>
      </c>
      <c r="AH1032" s="38">
        <v>0.0</v>
      </c>
      <c r="AI1032" s="38">
        <v>607038.58</v>
      </c>
      <c r="AJ1032" s="38">
        <v>4443448.88</v>
      </c>
      <c r="AK1032" s="38">
        <v>7.0</v>
      </c>
      <c r="AL1032" s="38">
        <v>416.67</v>
      </c>
      <c r="AM1032" s="38">
        <v>0.0</v>
      </c>
      <c r="AN1032" s="34" t="s">
        <v>62</v>
      </c>
      <c r="AO1032" s="34" t="s">
        <v>62</v>
      </c>
      <c r="AP1032" s="34" t="s">
        <v>62</v>
      </c>
      <c r="AQ1032" s="34" t="s">
        <v>62</v>
      </c>
      <c r="AR1032" s="38">
        <v>0.0</v>
      </c>
      <c r="AS1032" s="38" t="s">
        <v>2263</v>
      </c>
      <c r="AT1032" s="35" t="s">
        <v>2202</v>
      </c>
      <c r="AU1032" s="39" t="s">
        <v>2203</v>
      </c>
      <c r="AV1032" s="40">
        <v>46163.0</v>
      </c>
    </row>
    <row r="1033">
      <c r="A1033" s="38">
        <v>15.0</v>
      </c>
      <c r="B1033" s="38">
        <v>14.0</v>
      </c>
      <c r="C1033" s="38">
        <v>14.0</v>
      </c>
      <c r="D1033" s="38">
        <v>9.030005E7</v>
      </c>
      <c r="E1033" s="38">
        <v>9.030005E7</v>
      </c>
      <c r="F1033" s="38">
        <v>1.050310032E9</v>
      </c>
      <c r="G1033" s="18" t="s">
        <v>2086</v>
      </c>
      <c r="H1033" s="18" t="s">
        <v>3387</v>
      </c>
      <c r="I1033" s="18" t="s">
        <v>3291</v>
      </c>
      <c r="J1033" s="18" t="s">
        <v>2086</v>
      </c>
      <c r="K1033" s="18" t="s">
        <v>2086</v>
      </c>
      <c r="L1033" s="18" t="s">
        <v>2087</v>
      </c>
      <c r="M1033" s="18" t="s">
        <v>2088</v>
      </c>
      <c r="N1033" s="18" t="s">
        <v>2089</v>
      </c>
      <c r="O1033" s="18" t="s">
        <v>126</v>
      </c>
      <c r="P1033" s="18" t="s">
        <v>218</v>
      </c>
      <c r="Q1033" s="18" t="s">
        <v>943</v>
      </c>
      <c r="R1033" s="18" t="s">
        <v>133</v>
      </c>
      <c r="S1033" s="18" t="s">
        <v>59</v>
      </c>
      <c r="T1033" s="38">
        <v>2026.0</v>
      </c>
      <c r="U1033" s="38">
        <v>5.0</v>
      </c>
      <c r="V1033" s="38">
        <v>1.081522227E9</v>
      </c>
      <c r="W1033" s="38">
        <v>1.081540297E9</v>
      </c>
      <c r="X1033" s="18" t="s">
        <v>2199</v>
      </c>
      <c r="Y1033" s="18" t="s">
        <v>2200</v>
      </c>
      <c r="Z1033" s="38">
        <v>56476.5</v>
      </c>
      <c r="AA1033" s="38">
        <v>56476.5</v>
      </c>
      <c r="AB1033" s="38">
        <v>18825.5</v>
      </c>
      <c r="AC1033" s="38">
        <v>0.0</v>
      </c>
      <c r="AD1033" s="38">
        <v>0.0</v>
      </c>
      <c r="AE1033" s="38">
        <v>0.0</v>
      </c>
      <c r="AF1033" s="38">
        <v>0.0</v>
      </c>
      <c r="AG1033" s="38">
        <v>0.0</v>
      </c>
      <c r="AH1033" s="38">
        <v>0.0</v>
      </c>
      <c r="AI1033" s="38">
        <v>56476.5</v>
      </c>
      <c r="AJ1033" s="38">
        <v>56476.5</v>
      </c>
      <c r="AK1033" s="38">
        <v>0.0</v>
      </c>
      <c r="AL1033" s="38">
        <v>416.67</v>
      </c>
      <c r="AM1033" s="38">
        <v>0.0</v>
      </c>
      <c r="AN1033" s="34" t="s">
        <v>62</v>
      </c>
      <c r="AO1033" s="34" t="s">
        <v>62</v>
      </c>
      <c r="AP1033" s="34" t="s">
        <v>62</v>
      </c>
      <c r="AQ1033" s="34" t="s">
        <v>62</v>
      </c>
      <c r="AR1033" s="38">
        <v>0.0</v>
      </c>
      <c r="AS1033" s="38" t="s">
        <v>3388</v>
      </c>
      <c r="AT1033" s="35" t="s">
        <v>2275</v>
      </c>
      <c r="AU1033" s="39" t="s">
        <v>3250</v>
      </c>
      <c r="AV1033" s="40">
        <v>46163.0</v>
      </c>
    </row>
    <row r="1034">
      <c r="A1034" s="38">
        <v>19.0</v>
      </c>
      <c r="B1034" s="38">
        <v>18.0</v>
      </c>
      <c r="C1034" s="38">
        <v>18.0</v>
      </c>
      <c r="D1034" s="38">
        <v>9.0300054E7</v>
      </c>
      <c r="E1034" s="38">
        <v>9.0300054E7</v>
      </c>
      <c r="F1034" s="38">
        <v>7.9263577E7</v>
      </c>
      <c r="G1034" s="18" t="s">
        <v>2094</v>
      </c>
      <c r="H1034" s="18" t="s">
        <v>3389</v>
      </c>
      <c r="I1034" s="18" t="s">
        <v>3291</v>
      </c>
      <c r="J1034" s="18" t="s">
        <v>2086</v>
      </c>
      <c r="K1034" s="18" t="s">
        <v>2086</v>
      </c>
      <c r="L1034" s="18" t="s">
        <v>2087</v>
      </c>
      <c r="M1034" s="18" t="s">
        <v>2088</v>
      </c>
      <c r="N1034" s="18" t="s">
        <v>2089</v>
      </c>
      <c r="O1034" s="18" t="s">
        <v>126</v>
      </c>
      <c r="P1034" s="18" t="s">
        <v>218</v>
      </c>
      <c r="Q1034" s="18" t="s">
        <v>943</v>
      </c>
      <c r="R1034" s="18" t="s">
        <v>133</v>
      </c>
      <c r="S1034" s="18" t="s">
        <v>59</v>
      </c>
      <c r="T1034" s="38">
        <v>2026.0</v>
      </c>
      <c r="U1034" s="38">
        <v>5.0</v>
      </c>
      <c r="V1034" s="38">
        <v>1.081522231E9</v>
      </c>
      <c r="W1034" s="38">
        <v>1.081540301E9</v>
      </c>
      <c r="X1034" s="18" t="s">
        <v>2199</v>
      </c>
      <c r="Y1034" s="18" t="s">
        <v>2200</v>
      </c>
      <c r="Z1034" s="38">
        <v>58203.84</v>
      </c>
      <c r="AA1034" s="38">
        <v>58203.84</v>
      </c>
      <c r="AB1034" s="38">
        <v>18825.5</v>
      </c>
      <c r="AC1034" s="38">
        <v>0.0</v>
      </c>
      <c r="AD1034" s="38">
        <v>1727.34</v>
      </c>
      <c r="AE1034" s="38">
        <v>0.0</v>
      </c>
      <c r="AF1034" s="38">
        <v>0.0</v>
      </c>
      <c r="AG1034" s="38">
        <v>0.0</v>
      </c>
      <c r="AH1034" s="38">
        <v>0.0</v>
      </c>
      <c r="AI1034" s="38">
        <v>58203.84</v>
      </c>
      <c r="AJ1034" s="38">
        <v>221110.85</v>
      </c>
      <c r="AK1034" s="38">
        <v>3.0</v>
      </c>
      <c r="AL1034" s="38">
        <v>416.67</v>
      </c>
      <c r="AM1034" s="38">
        <v>0.0</v>
      </c>
      <c r="AN1034" s="34" t="s">
        <v>62</v>
      </c>
      <c r="AO1034" s="34" t="s">
        <v>62</v>
      </c>
      <c r="AP1034" s="34" t="s">
        <v>62</v>
      </c>
      <c r="AQ1034" s="34" t="s">
        <v>62</v>
      </c>
      <c r="AR1034" s="38">
        <v>0.0</v>
      </c>
      <c r="AS1034" s="38" t="s">
        <v>3390</v>
      </c>
      <c r="AT1034" s="35" t="s">
        <v>2275</v>
      </c>
      <c r="AU1034" s="39" t="s">
        <v>3250</v>
      </c>
      <c r="AV1034" s="40">
        <v>46163.0</v>
      </c>
    </row>
    <row r="1035">
      <c r="A1035" s="38">
        <v>3.0</v>
      </c>
      <c r="B1035" s="38">
        <v>2.0</v>
      </c>
      <c r="C1035" s="38">
        <v>2.0</v>
      </c>
      <c r="D1035" s="38">
        <v>9.0300065E7</v>
      </c>
      <c r="E1035" s="38">
        <v>9.0300065E7</v>
      </c>
      <c r="F1035" s="38">
        <v>6.1744151992E10</v>
      </c>
      <c r="G1035" s="18" t="s">
        <v>2097</v>
      </c>
      <c r="H1035" s="18" t="s">
        <v>3391</v>
      </c>
      <c r="I1035" s="18" t="s">
        <v>3291</v>
      </c>
      <c r="J1035" s="18" t="s">
        <v>2205</v>
      </c>
      <c r="K1035" s="18" t="s">
        <v>2097</v>
      </c>
      <c r="L1035" s="18" t="s">
        <v>2087</v>
      </c>
      <c r="M1035" s="18" t="s">
        <v>2088</v>
      </c>
      <c r="N1035" s="18" t="s">
        <v>2089</v>
      </c>
      <c r="O1035" s="18" t="s">
        <v>126</v>
      </c>
      <c r="P1035" s="18" t="s">
        <v>218</v>
      </c>
      <c r="Q1035" s="18" t="s">
        <v>943</v>
      </c>
      <c r="R1035" s="18" t="s">
        <v>133</v>
      </c>
      <c r="S1035" s="18" t="s">
        <v>59</v>
      </c>
      <c r="T1035" s="38">
        <v>2026.0</v>
      </c>
      <c r="U1035" s="38">
        <v>5.0</v>
      </c>
      <c r="V1035" s="38">
        <v>1.081522218E9</v>
      </c>
      <c r="W1035" s="38">
        <v>1.081540288E9</v>
      </c>
      <c r="X1035" s="18" t="s">
        <v>2199</v>
      </c>
      <c r="Y1035" s="18" t="s">
        <v>2200</v>
      </c>
      <c r="Z1035" s="38">
        <v>56476.5</v>
      </c>
      <c r="AA1035" s="38">
        <v>56476.5</v>
      </c>
      <c r="AB1035" s="38">
        <v>18825.5</v>
      </c>
      <c r="AC1035" s="38">
        <v>0.0</v>
      </c>
      <c r="AD1035" s="38">
        <v>0.0</v>
      </c>
      <c r="AE1035" s="38">
        <v>0.0</v>
      </c>
      <c r="AF1035" s="38">
        <v>0.0</v>
      </c>
      <c r="AG1035" s="38">
        <v>0.0</v>
      </c>
      <c r="AH1035" s="38">
        <v>0.0</v>
      </c>
      <c r="AI1035" s="38">
        <v>56476.5</v>
      </c>
      <c r="AJ1035" s="38">
        <v>56476.5</v>
      </c>
      <c r="AK1035" s="38">
        <v>0.0</v>
      </c>
      <c r="AL1035" s="38">
        <v>416.67</v>
      </c>
      <c r="AM1035" s="38">
        <v>0.0</v>
      </c>
      <c r="AN1035" s="34" t="s">
        <v>62</v>
      </c>
      <c r="AO1035" s="34" t="s">
        <v>62</v>
      </c>
      <c r="AP1035" s="34" t="s">
        <v>62</v>
      </c>
      <c r="AQ1035" s="34" t="s">
        <v>62</v>
      </c>
      <c r="AR1035" s="38">
        <v>0.0</v>
      </c>
      <c r="AS1035" s="34"/>
      <c r="AT1035" s="35" t="s">
        <v>2275</v>
      </c>
      <c r="AU1035" s="39" t="s">
        <v>3250</v>
      </c>
      <c r="AV1035" s="40">
        <v>46163.0</v>
      </c>
    </row>
    <row r="1036">
      <c r="A1036" s="38">
        <v>23.0</v>
      </c>
      <c r="B1036" s="38">
        <v>22.0</v>
      </c>
      <c r="C1036" s="38">
        <v>22.0</v>
      </c>
      <c r="D1036" s="38">
        <v>9.0300058E7</v>
      </c>
      <c r="E1036" s="38">
        <v>9.0300058E7</v>
      </c>
      <c r="F1036" s="38">
        <v>9.0300058E7</v>
      </c>
      <c r="G1036" s="18" t="s">
        <v>2097</v>
      </c>
      <c r="H1036" s="18" t="s">
        <v>3392</v>
      </c>
      <c r="I1036" s="18" t="s">
        <v>3291</v>
      </c>
      <c r="J1036" s="18" t="s">
        <v>2205</v>
      </c>
      <c r="K1036" s="18" t="s">
        <v>2097</v>
      </c>
      <c r="L1036" s="18" t="s">
        <v>2087</v>
      </c>
      <c r="M1036" s="18" t="s">
        <v>2088</v>
      </c>
      <c r="N1036" s="18" t="s">
        <v>2089</v>
      </c>
      <c r="O1036" s="18" t="s">
        <v>126</v>
      </c>
      <c r="P1036" s="18" t="s">
        <v>218</v>
      </c>
      <c r="Q1036" s="18" t="s">
        <v>943</v>
      </c>
      <c r="R1036" s="18" t="s">
        <v>133</v>
      </c>
      <c r="S1036" s="18" t="s">
        <v>59</v>
      </c>
      <c r="T1036" s="38">
        <v>2026.0</v>
      </c>
      <c r="U1036" s="38">
        <v>5.0</v>
      </c>
      <c r="V1036" s="38">
        <v>1.081522235E9</v>
      </c>
      <c r="W1036" s="38">
        <v>1.081540305E9</v>
      </c>
      <c r="X1036" s="18" t="s">
        <v>2199</v>
      </c>
      <c r="Y1036" s="18" t="s">
        <v>2200</v>
      </c>
      <c r="Z1036" s="38">
        <v>56510.66</v>
      </c>
      <c r="AA1036" s="38">
        <v>56510.66</v>
      </c>
      <c r="AB1036" s="38">
        <v>18825.5</v>
      </c>
      <c r="AC1036" s="38">
        <v>0.0</v>
      </c>
      <c r="AD1036" s="38">
        <v>34.16</v>
      </c>
      <c r="AE1036" s="38">
        <v>0.0</v>
      </c>
      <c r="AF1036" s="38">
        <v>0.0</v>
      </c>
      <c r="AG1036" s="38">
        <v>0.0</v>
      </c>
      <c r="AH1036" s="38">
        <v>0.0</v>
      </c>
      <c r="AI1036" s="38">
        <v>56510.66</v>
      </c>
      <c r="AJ1036" s="38">
        <v>115013.35</v>
      </c>
      <c r="AK1036" s="38">
        <v>2.0</v>
      </c>
      <c r="AL1036" s="38">
        <v>416.67</v>
      </c>
      <c r="AM1036" s="38">
        <v>0.0</v>
      </c>
      <c r="AN1036" s="34" t="s">
        <v>62</v>
      </c>
      <c r="AO1036" s="34" t="s">
        <v>62</v>
      </c>
      <c r="AP1036" s="34" t="s">
        <v>62</v>
      </c>
      <c r="AQ1036" s="34" t="s">
        <v>62</v>
      </c>
      <c r="AR1036" s="38">
        <v>0.0</v>
      </c>
      <c r="AS1036" s="38" t="s">
        <v>3393</v>
      </c>
      <c r="AT1036" s="35" t="s">
        <v>2275</v>
      </c>
      <c r="AU1036" s="39" t="s">
        <v>3250</v>
      </c>
      <c r="AV1036" s="40">
        <v>46163.0</v>
      </c>
    </row>
    <row r="1037">
      <c r="A1037" s="38">
        <v>27.0</v>
      </c>
      <c r="B1037" s="38">
        <v>26.0</v>
      </c>
      <c r="C1037" s="38">
        <v>26.0</v>
      </c>
      <c r="D1037" s="38">
        <v>9.0300062E7</v>
      </c>
      <c r="E1037" s="38">
        <v>9.0300062E7</v>
      </c>
      <c r="F1037" s="38">
        <v>1.3499739E7</v>
      </c>
      <c r="G1037" s="18" t="s">
        <v>2097</v>
      </c>
      <c r="H1037" s="18" t="s">
        <v>3394</v>
      </c>
      <c r="I1037" s="18" t="s">
        <v>3291</v>
      </c>
      <c r="J1037" s="18" t="s">
        <v>2205</v>
      </c>
      <c r="K1037" s="18" t="s">
        <v>2097</v>
      </c>
      <c r="L1037" s="18" t="s">
        <v>2087</v>
      </c>
      <c r="M1037" s="18" t="s">
        <v>2088</v>
      </c>
      <c r="N1037" s="18" t="s">
        <v>2089</v>
      </c>
      <c r="O1037" s="18" t="s">
        <v>126</v>
      </c>
      <c r="P1037" s="18" t="s">
        <v>218</v>
      </c>
      <c r="Q1037" s="18" t="s">
        <v>943</v>
      </c>
      <c r="R1037" s="18" t="s">
        <v>133</v>
      </c>
      <c r="S1037" s="18" t="s">
        <v>59</v>
      </c>
      <c r="T1037" s="38">
        <v>2026.0</v>
      </c>
      <c r="U1037" s="38">
        <v>5.0</v>
      </c>
      <c r="V1037" s="38">
        <v>1.081522239E9</v>
      </c>
      <c r="W1037" s="38">
        <v>1.081540309E9</v>
      </c>
      <c r="X1037" s="18" t="s">
        <v>2199</v>
      </c>
      <c r="Y1037" s="18" t="s">
        <v>2200</v>
      </c>
      <c r="Z1037" s="38">
        <v>56476.5</v>
      </c>
      <c r="AA1037" s="38">
        <v>56476.5</v>
      </c>
      <c r="AB1037" s="38">
        <v>18825.5</v>
      </c>
      <c r="AC1037" s="38">
        <v>0.0</v>
      </c>
      <c r="AD1037" s="38">
        <v>0.0</v>
      </c>
      <c r="AE1037" s="38">
        <v>0.0</v>
      </c>
      <c r="AF1037" s="38">
        <v>0.0</v>
      </c>
      <c r="AG1037" s="38">
        <v>0.0</v>
      </c>
      <c r="AH1037" s="38">
        <v>0.0</v>
      </c>
      <c r="AI1037" s="38">
        <v>56476.5</v>
      </c>
      <c r="AJ1037" s="38">
        <v>56476.5</v>
      </c>
      <c r="AK1037" s="38">
        <v>0.0</v>
      </c>
      <c r="AL1037" s="38">
        <v>416.67</v>
      </c>
      <c r="AM1037" s="38">
        <v>0.0</v>
      </c>
      <c r="AN1037" s="34" t="s">
        <v>62</v>
      </c>
      <c r="AO1037" s="34" t="s">
        <v>62</v>
      </c>
      <c r="AP1037" s="34" t="s">
        <v>62</v>
      </c>
      <c r="AQ1037" s="34" t="s">
        <v>62</v>
      </c>
      <c r="AR1037" s="38">
        <v>0.0</v>
      </c>
      <c r="AS1037" s="38" t="s">
        <v>3002</v>
      </c>
      <c r="AT1037" s="35" t="s">
        <v>2275</v>
      </c>
      <c r="AU1037" s="39" t="s">
        <v>3250</v>
      </c>
      <c r="AV1037" s="40">
        <v>46163.0</v>
      </c>
    </row>
    <row r="1038">
      <c r="A1038" s="38">
        <v>31.0</v>
      </c>
      <c r="B1038" s="38">
        <v>30.0</v>
      </c>
      <c r="C1038" s="38">
        <v>30.0</v>
      </c>
      <c r="D1038" s="38">
        <v>9.0300069E7</v>
      </c>
      <c r="E1038" s="38">
        <v>9.0300069E7</v>
      </c>
      <c r="F1038" s="38">
        <v>9.00232107E8</v>
      </c>
      <c r="G1038" s="18" t="s">
        <v>2097</v>
      </c>
      <c r="H1038" s="18" t="s">
        <v>3395</v>
      </c>
      <c r="I1038" s="18" t="s">
        <v>3291</v>
      </c>
      <c r="J1038" s="18" t="s">
        <v>2205</v>
      </c>
      <c r="K1038" s="18" t="s">
        <v>2097</v>
      </c>
      <c r="L1038" s="18" t="s">
        <v>2087</v>
      </c>
      <c r="M1038" s="18" t="s">
        <v>2088</v>
      </c>
      <c r="N1038" s="18" t="s">
        <v>2089</v>
      </c>
      <c r="O1038" s="18" t="s">
        <v>126</v>
      </c>
      <c r="P1038" s="18" t="s">
        <v>218</v>
      </c>
      <c r="Q1038" s="18" t="s">
        <v>943</v>
      </c>
      <c r="R1038" s="18" t="s">
        <v>133</v>
      </c>
      <c r="S1038" s="18" t="s">
        <v>59</v>
      </c>
      <c r="T1038" s="38">
        <v>2026.0</v>
      </c>
      <c r="U1038" s="38">
        <v>5.0</v>
      </c>
      <c r="V1038" s="38">
        <v>1.081522243E9</v>
      </c>
      <c r="W1038" s="38">
        <v>1.081540313E9</v>
      </c>
      <c r="X1038" s="18" t="s">
        <v>2199</v>
      </c>
      <c r="Y1038" s="18" t="s">
        <v>2200</v>
      </c>
      <c r="Z1038" s="38">
        <v>67405.95</v>
      </c>
      <c r="AA1038" s="38">
        <v>67405.95</v>
      </c>
      <c r="AB1038" s="38">
        <v>18825.5</v>
      </c>
      <c r="AC1038" s="38">
        <v>0.0</v>
      </c>
      <c r="AD1038" s="38">
        <v>10929.45</v>
      </c>
      <c r="AE1038" s="38">
        <v>0.0</v>
      </c>
      <c r="AF1038" s="38">
        <v>0.0</v>
      </c>
      <c r="AG1038" s="38">
        <v>0.0</v>
      </c>
      <c r="AH1038" s="38">
        <v>0.0</v>
      </c>
      <c r="AI1038" s="38">
        <v>67405.95</v>
      </c>
      <c r="AJ1038" s="38">
        <v>718386.19</v>
      </c>
      <c r="AK1038" s="38">
        <v>12.0</v>
      </c>
      <c r="AL1038" s="38">
        <v>416.67</v>
      </c>
      <c r="AM1038" s="38">
        <v>0.0</v>
      </c>
      <c r="AN1038" s="34" t="s">
        <v>62</v>
      </c>
      <c r="AO1038" s="34" t="s">
        <v>62</v>
      </c>
      <c r="AP1038" s="34" t="s">
        <v>62</v>
      </c>
      <c r="AQ1038" s="34" t="s">
        <v>62</v>
      </c>
      <c r="AR1038" s="38">
        <v>0.0</v>
      </c>
      <c r="AS1038" s="38" t="s">
        <v>3396</v>
      </c>
      <c r="AT1038" s="35" t="s">
        <v>2275</v>
      </c>
      <c r="AU1038" s="39" t="s">
        <v>3250</v>
      </c>
      <c r="AV1038" s="40">
        <v>46163.0</v>
      </c>
    </row>
    <row r="1039">
      <c r="A1039" s="38">
        <v>35.0</v>
      </c>
      <c r="B1039" s="38">
        <v>34.0</v>
      </c>
      <c r="C1039" s="38">
        <v>34.0</v>
      </c>
      <c r="D1039" s="38">
        <v>9.0300074E7</v>
      </c>
      <c r="E1039" s="38">
        <v>9.0300074E7</v>
      </c>
      <c r="F1039" s="38">
        <v>9.0300074E7</v>
      </c>
      <c r="G1039" s="18" t="s">
        <v>2097</v>
      </c>
      <c r="H1039" s="18" t="s">
        <v>3397</v>
      </c>
      <c r="I1039" s="18" t="s">
        <v>3291</v>
      </c>
      <c r="J1039" s="18" t="s">
        <v>2205</v>
      </c>
      <c r="K1039" s="18" t="s">
        <v>2097</v>
      </c>
      <c r="L1039" s="18" t="s">
        <v>2087</v>
      </c>
      <c r="M1039" s="18" t="s">
        <v>2088</v>
      </c>
      <c r="N1039" s="18" t="s">
        <v>2089</v>
      </c>
      <c r="O1039" s="18" t="s">
        <v>126</v>
      </c>
      <c r="P1039" s="18" t="s">
        <v>218</v>
      </c>
      <c r="Q1039" s="18" t="s">
        <v>943</v>
      </c>
      <c r="R1039" s="18" t="s">
        <v>133</v>
      </c>
      <c r="S1039" s="18" t="s">
        <v>59</v>
      </c>
      <c r="T1039" s="38">
        <v>2026.0</v>
      </c>
      <c r="U1039" s="38">
        <v>5.0</v>
      </c>
      <c r="V1039" s="38">
        <v>1.081522247E9</v>
      </c>
      <c r="W1039" s="38">
        <v>1.081540317E9</v>
      </c>
      <c r="X1039" s="18" t="s">
        <v>2199</v>
      </c>
      <c r="Y1039" s="18" t="s">
        <v>2200</v>
      </c>
      <c r="Z1039" s="38">
        <v>56879.6</v>
      </c>
      <c r="AA1039" s="38">
        <v>56879.6</v>
      </c>
      <c r="AB1039" s="38">
        <v>18825.5</v>
      </c>
      <c r="AC1039" s="38">
        <v>0.0</v>
      </c>
      <c r="AD1039" s="38">
        <v>403.1</v>
      </c>
      <c r="AE1039" s="38">
        <v>0.0</v>
      </c>
      <c r="AF1039" s="38">
        <v>0.0</v>
      </c>
      <c r="AG1039" s="38">
        <v>0.0</v>
      </c>
      <c r="AH1039" s="38">
        <v>0.0</v>
      </c>
      <c r="AI1039" s="38">
        <v>56879.6</v>
      </c>
      <c r="AJ1039" s="38">
        <v>112621.68</v>
      </c>
      <c r="AK1039" s="38">
        <v>2.0</v>
      </c>
      <c r="AL1039" s="38">
        <v>416.67</v>
      </c>
      <c r="AM1039" s="38">
        <v>0.0</v>
      </c>
      <c r="AN1039" s="34" t="s">
        <v>62</v>
      </c>
      <c r="AO1039" s="34" t="s">
        <v>62</v>
      </c>
      <c r="AP1039" s="34" t="s">
        <v>62</v>
      </c>
      <c r="AQ1039" s="34" t="s">
        <v>62</v>
      </c>
      <c r="AR1039" s="38">
        <v>0.0</v>
      </c>
      <c r="AS1039" s="34"/>
      <c r="AT1039" s="35" t="s">
        <v>2275</v>
      </c>
      <c r="AU1039" s="39" t="s">
        <v>3250</v>
      </c>
      <c r="AV1039" s="40">
        <v>46163.0</v>
      </c>
    </row>
    <row r="1040">
      <c r="A1040" s="38">
        <v>460692.0</v>
      </c>
      <c r="B1040" s="38">
        <v>427314.0</v>
      </c>
      <c r="C1040" s="38">
        <v>444969.0</v>
      </c>
      <c r="D1040" s="38">
        <v>1045221.0</v>
      </c>
      <c r="E1040" s="38">
        <v>1045221.0</v>
      </c>
      <c r="F1040" s="38">
        <v>1.098728054E9</v>
      </c>
      <c r="G1040" s="18" t="s">
        <v>2187</v>
      </c>
      <c r="H1040" s="18" t="s">
        <v>3398</v>
      </c>
      <c r="I1040" s="18" t="s">
        <v>3338</v>
      </c>
      <c r="J1040" s="18" t="s">
        <v>2205</v>
      </c>
      <c r="K1040" s="18" t="s">
        <v>2205</v>
      </c>
      <c r="L1040" s="18" t="s">
        <v>2087</v>
      </c>
      <c r="M1040" s="18" t="s">
        <v>2107</v>
      </c>
      <c r="N1040" s="18" t="s">
        <v>2089</v>
      </c>
      <c r="O1040" s="18" t="s">
        <v>126</v>
      </c>
      <c r="P1040" s="18" t="s">
        <v>218</v>
      </c>
      <c r="Q1040" s="18" t="s">
        <v>2017</v>
      </c>
      <c r="R1040" s="18" t="s">
        <v>133</v>
      </c>
      <c r="S1040" s="18" t="s">
        <v>59</v>
      </c>
      <c r="T1040" s="38">
        <v>2026.0</v>
      </c>
      <c r="U1040" s="38">
        <v>5.0</v>
      </c>
      <c r="V1040" s="38">
        <v>1.081522267E9</v>
      </c>
      <c r="W1040" s="38">
        <v>1.081540337E9</v>
      </c>
      <c r="X1040" s="18" t="s">
        <v>2199</v>
      </c>
      <c r="Y1040" s="18" t="s">
        <v>2200</v>
      </c>
      <c r="Z1040" s="38">
        <v>31598.61</v>
      </c>
      <c r="AA1040" s="38">
        <v>31598.61</v>
      </c>
      <c r="AB1040" s="38">
        <v>-1328.95</v>
      </c>
      <c r="AC1040" s="38">
        <v>0.0</v>
      </c>
      <c r="AD1040" s="38">
        <v>13942.56</v>
      </c>
      <c r="AE1040" s="38">
        <v>0.0</v>
      </c>
      <c r="AF1040" s="38">
        <v>0.0</v>
      </c>
      <c r="AG1040" s="38">
        <v>0.0</v>
      </c>
      <c r="AH1040" s="38">
        <v>0.0</v>
      </c>
      <c r="AI1040" s="38">
        <v>31598.61</v>
      </c>
      <c r="AJ1040" s="38">
        <v>1027887.7</v>
      </c>
      <c r="AK1040" s="38">
        <v>42.0</v>
      </c>
      <c r="AL1040" s="38">
        <v>258.34</v>
      </c>
      <c r="AM1040" s="38">
        <v>0.0</v>
      </c>
      <c r="AN1040" s="34" t="s">
        <v>62</v>
      </c>
      <c r="AO1040" s="34" t="s">
        <v>62</v>
      </c>
      <c r="AP1040" s="34" t="s">
        <v>62</v>
      </c>
      <c r="AQ1040" s="34" t="s">
        <v>62</v>
      </c>
      <c r="AR1040" s="38">
        <v>0.0</v>
      </c>
      <c r="AS1040" s="38" t="s">
        <v>3399</v>
      </c>
      <c r="AT1040" s="35" t="s">
        <v>2202</v>
      </c>
      <c r="AU1040" s="39" t="s">
        <v>2203</v>
      </c>
      <c r="AV1040" s="40">
        <v>46174.0</v>
      </c>
    </row>
    <row r="1041">
      <c r="A1041" s="38">
        <v>581946.0</v>
      </c>
      <c r="B1041" s="38">
        <v>492694.0</v>
      </c>
      <c r="C1041" s="38">
        <v>541735.0</v>
      </c>
      <c r="D1041" s="38">
        <v>273001.0</v>
      </c>
      <c r="E1041" s="38">
        <v>273001.0</v>
      </c>
      <c r="F1041" s="38">
        <v>273001.0</v>
      </c>
      <c r="G1041" s="18" t="s">
        <v>2190</v>
      </c>
      <c r="H1041" s="18" t="s">
        <v>3400</v>
      </c>
      <c r="I1041" s="18" t="s">
        <v>3370</v>
      </c>
      <c r="J1041" s="18" t="s">
        <v>2205</v>
      </c>
      <c r="K1041" s="18" t="s">
        <v>2205</v>
      </c>
      <c r="L1041" s="18" t="s">
        <v>2087</v>
      </c>
      <c r="M1041" s="18" t="s">
        <v>2191</v>
      </c>
      <c r="N1041" s="18" t="s">
        <v>2089</v>
      </c>
      <c r="O1041" s="18" t="s">
        <v>2024</v>
      </c>
      <c r="P1041" s="18" t="s">
        <v>218</v>
      </c>
      <c r="Q1041" s="18" t="s">
        <v>457</v>
      </c>
      <c r="R1041" s="18" t="s">
        <v>133</v>
      </c>
      <c r="S1041" s="18" t="s">
        <v>59</v>
      </c>
      <c r="T1041" s="38">
        <v>2026.0</v>
      </c>
      <c r="U1041" s="38">
        <v>5.0</v>
      </c>
      <c r="V1041" s="38">
        <v>1.081522273E9</v>
      </c>
      <c r="W1041" s="38">
        <v>1.081540343E9</v>
      </c>
      <c r="X1041" s="18" t="s">
        <v>2199</v>
      </c>
      <c r="Y1041" s="18" t="s">
        <v>2200</v>
      </c>
      <c r="Z1041" s="38">
        <v>7984.5</v>
      </c>
      <c r="AA1041" s="38">
        <v>7984.5</v>
      </c>
      <c r="AB1041" s="38">
        <v>-10162.1</v>
      </c>
      <c r="AC1041" s="38">
        <v>0.0</v>
      </c>
      <c r="AD1041" s="38">
        <v>0.0</v>
      </c>
      <c r="AE1041" s="38">
        <v>0.0</v>
      </c>
      <c r="AF1041" s="38">
        <v>0.0</v>
      </c>
      <c r="AG1041" s="38">
        <v>0.0</v>
      </c>
      <c r="AH1041" s="38">
        <v>0.0</v>
      </c>
      <c r="AI1041" s="38">
        <v>7984.5</v>
      </c>
      <c r="AJ1041" s="38">
        <v>7984.86</v>
      </c>
      <c r="AK1041" s="38">
        <v>1.0</v>
      </c>
      <c r="AL1041" s="38">
        <v>2608.3</v>
      </c>
      <c r="AM1041" s="38">
        <v>0.0</v>
      </c>
      <c r="AN1041" s="34" t="s">
        <v>62</v>
      </c>
      <c r="AO1041" s="34" t="s">
        <v>62</v>
      </c>
      <c r="AP1041" s="34" t="s">
        <v>62</v>
      </c>
      <c r="AQ1041" s="34" t="s">
        <v>62</v>
      </c>
      <c r="AR1041" s="38">
        <v>0.0</v>
      </c>
      <c r="AS1041" s="39" t="s">
        <v>3401</v>
      </c>
      <c r="AT1041" s="35" t="s">
        <v>2202</v>
      </c>
      <c r="AU1041" s="39" t="s">
        <v>2203</v>
      </c>
      <c r="AV1041" s="40">
        <v>46174.0</v>
      </c>
    </row>
    <row r="1042">
      <c r="A1042" s="38">
        <v>7.0</v>
      </c>
      <c r="B1042" s="38">
        <v>6.0</v>
      </c>
      <c r="C1042" s="38">
        <v>6.0</v>
      </c>
      <c r="D1042" s="38">
        <v>9.0300042E7</v>
      </c>
      <c r="E1042" s="38">
        <v>9.0300042E7</v>
      </c>
      <c r="F1042" s="38">
        <v>9.0300042E7</v>
      </c>
      <c r="G1042" s="18" t="s">
        <v>2086</v>
      </c>
      <c r="H1042" s="18" t="s">
        <v>3402</v>
      </c>
      <c r="I1042" s="18" t="s">
        <v>3291</v>
      </c>
      <c r="J1042" s="18" t="s">
        <v>2086</v>
      </c>
      <c r="K1042" s="18" t="s">
        <v>2086</v>
      </c>
      <c r="L1042" s="18" t="s">
        <v>2087</v>
      </c>
      <c r="M1042" s="18" t="s">
        <v>2088</v>
      </c>
      <c r="N1042" s="18" t="s">
        <v>2089</v>
      </c>
      <c r="O1042" s="18" t="s">
        <v>126</v>
      </c>
      <c r="P1042" s="18" t="s">
        <v>218</v>
      </c>
      <c r="Q1042" s="18" t="s">
        <v>943</v>
      </c>
      <c r="R1042" s="18" t="s">
        <v>133</v>
      </c>
      <c r="S1042" s="18" t="s">
        <v>59</v>
      </c>
      <c r="T1042" s="38">
        <v>2026.0</v>
      </c>
      <c r="U1042" s="38">
        <v>5.0</v>
      </c>
      <c r="V1042" s="38">
        <v>1.081522221E9</v>
      </c>
      <c r="W1042" s="38">
        <v>1.081540291E9</v>
      </c>
      <c r="X1042" s="18" t="s">
        <v>2199</v>
      </c>
      <c r="Y1042" s="18" t="s">
        <v>2200</v>
      </c>
      <c r="Z1042" s="38">
        <v>56476.5</v>
      </c>
      <c r="AA1042" s="38">
        <v>56476.5</v>
      </c>
      <c r="AB1042" s="38">
        <v>18825.5</v>
      </c>
      <c r="AC1042" s="38">
        <v>0.0</v>
      </c>
      <c r="AD1042" s="38">
        <v>0.0</v>
      </c>
      <c r="AE1042" s="38">
        <v>0.0</v>
      </c>
      <c r="AF1042" s="38">
        <v>0.0</v>
      </c>
      <c r="AG1042" s="38">
        <v>0.0</v>
      </c>
      <c r="AH1042" s="38">
        <v>0.0</v>
      </c>
      <c r="AI1042" s="38">
        <v>56476.5</v>
      </c>
      <c r="AJ1042" s="38">
        <v>56476.5</v>
      </c>
      <c r="AK1042" s="38">
        <v>0.0</v>
      </c>
      <c r="AL1042" s="38">
        <v>416.67</v>
      </c>
      <c r="AM1042" s="38">
        <v>0.0</v>
      </c>
      <c r="AN1042" s="34" t="s">
        <v>62</v>
      </c>
      <c r="AO1042" s="34" t="s">
        <v>62</v>
      </c>
      <c r="AP1042" s="34" t="s">
        <v>62</v>
      </c>
      <c r="AQ1042" s="34" t="s">
        <v>62</v>
      </c>
      <c r="AR1042" s="38">
        <v>0.0</v>
      </c>
      <c r="AS1042" s="34"/>
      <c r="AT1042" s="35" t="s">
        <v>2275</v>
      </c>
      <c r="AU1042" s="39" t="s">
        <v>3250</v>
      </c>
      <c r="AV1042" s="40">
        <v>46163.0</v>
      </c>
    </row>
    <row r="1043">
      <c r="A1043" s="38">
        <v>285191.0</v>
      </c>
      <c r="B1043" s="38">
        <v>137998.0</v>
      </c>
      <c r="C1043" s="38">
        <v>137998.0</v>
      </c>
      <c r="D1043" s="38">
        <v>465119.0</v>
      </c>
      <c r="E1043" s="38">
        <v>465119.0</v>
      </c>
      <c r="F1043" s="38">
        <v>9.00276962E8</v>
      </c>
      <c r="G1043" s="18" t="s">
        <v>128</v>
      </c>
      <c r="H1043" s="18" t="s">
        <v>2269</v>
      </c>
      <c r="I1043" s="18" t="s">
        <v>1997</v>
      </c>
      <c r="J1043" s="18" t="s">
        <v>2205</v>
      </c>
      <c r="K1043" s="18" t="s">
        <v>2270</v>
      </c>
      <c r="L1043" s="18" t="s">
        <v>1998</v>
      </c>
      <c r="M1043" s="18" t="s">
        <v>1999</v>
      </c>
      <c r="N1043" s="18" t="s">
        <v>2000</v>
      </c>
      <c r="O1043" s="18" t="s">
        <v>126</v>
      </c>
      <c r="P1043" s="18" t="s">
        <v>131</v>
      </c>
      <c r="Q1043" s="18" t="s">
        <v>132</v>
      </c>
      <c r="R1043" s="18" t="s">
        <v>133</v>
      </c>
      <c r="S1043" s="18" t="s">
        <v>59</v>
      </c>
      <c r="T1043" s="38">
        <v>2026.0</v>
      </c>
      <c r="U1043" s="38">
        <v>5.0</v>
      </c>
      <c r="V1043" s="38">
        <v>1.081522204E9</v>
      </c>
      <c r="W1043" s="38">
        <v>1.081540274E9</v>
      </c>
      <c r="X1043" s="18" t="s">
        <v>2199</v>
      </c>
      <c r="Y1043" s="18" t="s">
        <v>2200</v>
      </c>
      <c r="Z1043" s="38">
        <v>90798.0</v>
      </c>
      <c r="AA1043" s="38">
        <v>90798.0</v>
      </c>
      <c r="AB1043" s="38">
        <v>30266.0</v>
      </c>
      <c r="AC1043" s="38">
        <v>0.0</v>
      </c>
      <c r="AD1043" s="38">
        <v>0.0</v>
      </c>
      <c r="AE1043" s="38">
        <v>0.0</v>
      </c>
      <c r="AF1043" s="38">
        <v>0.0</v>
      </c>
      <c r="AG1043" s="38">
        <v>0.0</v>
      </c>
      <c r="AH1043" s="38">
        <v>0.0</v>
      </c>
      <c r="AI1043" s="38">
        <v>90798.0</v>
      </c>
      <c r="AJ1043" s="38">
        <v>90798.0</v>
      </c>
      <c r="AK1043" s="38">
        <v>0.0</v>
      </c>
      <c r="AL1043" s="38">
        <v>416.67</v>
      </c>
      <c r="AM1043" s="38">
        <v>0.0</v>
      </c>
      <c r="AN1043" s="34" t="s">
        <v>62</v>
      </c>
      <c r="AO1043" s="34" t="s">
        <v>62</v>
      </c>
      <c r="AP1043" s="34" t="s">
        <v>62</v>
      </c>
      <c r="AQ1043" s="34" t="s">
        <v>62</v>
      </c>
      <c r="AR1043" s="38">
        <v>0.0</v>
      </c>
      <c r="AS1043" s="38" t="s">
        <v>2271</v>
      </c>
      <c r="AT1043" s="35" t="s">
        <v>2202</v>
      </c>
      <c r="AU1043" s="39" t="s">
        <v>2203</v>
      </c>
      <c r="AV1043" s="40">
        <v>46163.0</v>
      </c>
    </row>
    <row r="1044">
      <c r="A1044" s="38">
        <v>344.0</v>
      </c>
      <c r="B1044" s="38">
        <v>2122.0</v>
      </c>
      <c r="C1044" s="38">
        <v>2122.0</v>
      </c>
      <c r="D1044" s="38">
        <v>9.0404892E7</v>
      </c>
      <c r="E1044" s="38">
        <v>9.0404892E7</v>
      </c>
      <c r="F1044" s="18" t="s">
        <v>1228</v>
      </c>
      <c r="G1044" s="18" t="s">
        <v>2002</v>
      </c>
      <c r="H1044" s="18" t="s">
        <v>3403</v>
      </c>
      <c r="I1044" s="18" t="s">
        <v>2003</v>
      </c>
      <c r="J1044" s="18" t="s">
        <v>2205</v>
      </c>
      <c r="K1044" s="18" t="s">
        <v>2783</v>
      </c>
      <c r="L1044" s="18" t="s">
        <v>1998</v>
      </c>
      <c r="M1044" s="18" t="s">
        <v>1999</v>
      </c>
      <c r="N1044" s="18" t="s">
        <v>2000</v>
      </c>
      <c r="O1044" s="18" t="s">
        <v>126</v>
      </c>
      <c r="P1044" s="18" t="s">
        <v>131</v>
      </c>
      <c r="Q1044" s="18" t="s">
        <v>151</v>
      </c>
      <c r="R1044" s="18" t="s">
        <v>133</v>
      </c>
      <c r="S1044" s="18" t="s">
        <v>59</v>
      </c>
      <c r="T1044" s="38">
        <v>2026.0</v>
      </c>
      <c r="U1044" s="38">
        <v>5.0</v>
      </c>
      <c r="V1044" s="38">
        <v>1.081522172E9</v>
      </c>
      <c r="W1044" s="38">
        <v>1.081540242E9</v>
      </c>
      <c r="X1044" s="18" t="s">
        <v>2199</v>
      </c>
      <c r="Y1044" s="18" t="s">
        <v>2200</v>
      </c>
      <c r="Z1044" s="38">
        <v>60532.0</v>
      </c>
      <c r="AA1044" s="38">
        <v>60532.0</v>
      </c>
      <c r="AB1044" s="38">
        <v>0.0</v>
      </c>
      <c r="AC1044" s="38">
        <v>0.0</v>
      </c>
      <c r="AD1044" s="38">
        <v>0.0</v>
      </c>
      <c r="AE1044" s="38">
        <v>0.0</v>
      </c>
      <c r="AF1044" s="38">
        <v>0.0</v>
      </c>
      <c r="AG1044" s="38">
        <v>0.0</v>
      </c>
      <c r="AH1044" s="38">
        <v>0.0</v>
      </c>
      <c r="AI1044" s="38">
        <v>60532.0</v>
      </c>
      <c r="AJ1044" s="38">
        <v>60532.0</v>
      </c>
      <c r="AK1044" s="38">
        <v>0.0</v>
      </c>
      <c r="AL1044" s="38">
        <v>277.78</v>
      </c>
      <c r="AM1044" s="38">
        <v>0.0</v>
      </c>
      <c r="AN1044" s="34" t="s">
        <v>62</v>
      </c>
      <c r="AO1044" s="34" t="s">
        <v>62</v>
      </c>
      <c r="AP1044" s="34" t="s">
        <v>62</v>
      </c>
      <c r="AQ1044" s="34" t="s">
        <v>62</v>
      </c>
      <c r="AR1044" s="38">
        <v>0.0</v>
      </c>
      <c r="AS1044" s="38" t="s">
        <v>3404</v>
      </c>
      <c r="AT1044" s="35" t="s">
        <v>2202</v>
      </c>
      <c r="AU1044" s="39" t="s">
        <v>2203</v>
      </c>
      <c r="AV1044" s="40">
        <v>46169.0</v>
      </c>
    </row>
    <row r="1045">
      <c r="A1045" s="43">
        <v>2127.0</v>
      </c>
      <c r="B1045" s="43">
        <v>2126.0</v>
      </c>
      <c r="C1045" s="43">
        <v>2126.0</v>
      </c>
      <c r="D1045" s="43">
        <v>9.041061E7</v>
      </c>
      <c r="E1045" s="43">
        <v>9.041061E7</v>
      </c>
      <c r="F1045" s="43">
        <v>9.01479445E8</v>
      </c>
      <c r="G1045" s="44" t="s">
        <v>2005</v>
      </c>
      <c r="H1045" s="44" t="s">
        <v>3405</v>
      </c>
      <c r="I1045" s="44" t="s">
        <v>2006</v>
      </c>
      <c r="J1045" s="44" t="s">
        <v>2205</v>
      </c>
      <c r="K1045" s="44" t="s">
        <v>2205</v>
      </c>
      <c r="L1045" s="44" t="s">
        <v>1998</v>
      </c>
      <c r="M1045" s="44" t="s">
        <v>1999</v>
      </c>
      <c r="N1045" s="44" t="s">
        <v>2000</v>
      </c>
      <c r="O1045" s="44" t="s">
        <v>126</v>
      </c>
      <c r="P1045" s="44" t="s">
        <v>131</v>
      </c>
      <c r="Q1045" s="44" t="s">
        <v>132</v>
      </c>
      <c r="R1045" s="44" t="s">
        <v>133</v>
      </c>
      <c r="S1045" s="44" t="s">
        <v>59</v>
      </c>
      <c r="T1045" s="43">
        <v>2026.0</v>
      </c>
      <c r="U1045" s="43">
        <v>5.0</v>
      </c>
      <c r="V1045" s="43">
        <v>1.081522174E9</v>
      </c>
      <c r="W1045" s="43">
        <v>1.081540244E9</v>
      </c>
      <c r="X1045" s="44" t="s">
        <v>2199</v>
      </c>
      <c r="Y1045" s="44" t="s">
        <v>2200</v>
      </c>
      <c r="Z1045" s="43">
        <v>90798.01</v>
      </c>
      <c r="AA1045" s="43">
        <v>90798.01</v>
      </c>
      <c r="AB1045" s="43">
        <v>30266.0</v>
      </c>
      <c r="AC1045" s="43">
        <v>0.0</v>
      </c>
      <c r="AD1045" s="43">
        <v>0.01</v>
      </c>
      <c r="AE1045" s="43">
        <v>0.0</v>
      </c>
      <c r="AF1045" s="43">
        <v>0.0</v>
      </c>
      <c r="AG1045" s="43">
        <v>0.0</v>
      </c>
      <c r="AH1045" s="43">
        <v>0.0</v>
      </c>
      <c r="AI1045" s="43">
        <v>90798.01</v>
      </c>
      <c r="AJ1045" s="43">
        <v>90798.61</v>
      </c>
      <c r="AK1045" s="43">
        <v>1.0</v>
      </c>
      <c r="AL1045" s="43">
        <v>416.67</v>
      </c>
      <c r="AM1045" s="43">
        <v>0.0</v>
      </c>
      <c r="AN1045" s="45" t="s">
        <v>62</v>
      </c>
      <c r="AO1045" s="45" t="s">
        <v>62</v>
      </c>
      <c r="AP1045" s="45" t="s">
        <v>62</v>
      </c>
      <c r="AQ1045" s="45" t="s">
        <v>62</v>
      </c>
      <c r="AR1045" s="43">
        <v>0.0</v>
      </c>
      <c r="AS1045" s="43" t="s">
        <v>3406</v>
      </c>
      <c r="AT1045" s="48" t="s">
        <v>2202</v>
      </c>
      <c r="AU1045" s="46" t="s">
        <v>2203</v>
      </c>
      <c r="AV1045" s="47">
        <v>46174.0</v>
      </c>
    </row>
    <row r="1046">
      <c r="A1046" s="38">
        <v>2151.0</v>
      </c>
      <c r="B1046" s="38">
        <v>2150.0</v>
      </c>
      <c r="C1046" s="38">
        <v>2150.0</v>
      </c>
      <c r="D1046" s="38">
        <v>9.0415964E7</v>
      </c>
      <c r="E1046" s="38">
        <v>9.0415964E7</v>
      </c>
      <c r="F1046" s="18" t="s">
        <v>2008</v>
      </c>
      <c r="G1046" s="18" t="s">
        <v>2009</v>
      </c>
      <c r="H1046" s="18" t="s">
        <v>3407</v>
      </c>
      <c r="I1046" s="18" t="s">
        <v>2003</v>
      </c>
      <c r="J1046" s="18" t="s">
        <v>2011</v>
      </c>
      <c r="K1046" s="18" t="s">
        <v>2205</v>
      </c>
      <c r="L1046" s="18" t="s">
        <v>1998</v>
      </c>
      <c r="M1046" s="18" t="s">
        <v>1999</v>
      </c>
      <c r="N1046" s="18" t="s">
        <v>2000</v>
      </c>
      <c r="O1046" s="18" t="s">
        <v>126</v>
      </c>
      <c r="P1046" s="18" t="s">
        <v>131</v>
      </c>
      <c r="Q1046" s="18" t="s">
        <v>132</v>
      </c>
      <c r="R1046" s="18" t="s">
        <v>133</v>
      </c>
      <c r="S1046" s="18" t="s">
        <v>59</v>
      </c>
      <c r="T1046" s="38">
        <v>2026.0</v>
      </c>
      <c r="U1046" s="38">
        <v>5.0</v>
      </c>
      <c r="V1046" s="38">
        <v>1.081522181E9</v>
      </c>
      <c r="W1046" s="38">
        <v>1.081540251E9</v>
      </c>
      <c r="X1046" s="18" t="s">
        <v>2199</v>
      </c>
      <c r="Y1046" s="18" t="s">
        <v>2200</v>
      </c>
      <c r="Z1046" s="38">
        <v>90798.0</v>
      </c>
      <c r="AA1046" s="38">
        <v>90798.0</v>
      </c>
      <c r="AB1046" s="38">
        <v>30266.0</v>
      </c>
      <c r="AC1046" s="38">
        <v>0.0</v>
      </c>
      <c r="AD1046" s="38">
        <v>0.0</v>
      </c>
      <c r="AE1046" s="38">
        <v>0.0</v>
      </c>
      <c r="AF1046" s="38">
        <v>0.0</v>
      </c>
      <c r="AG1046" s="38">
        <v>0.0</v>
      </c>
      <c r="AH1046" s="38">
        <v>0.0</v>
      </c>
      <c r="AI1046" s="38">
        <v>90798.0</v>
      </c>
      <c r="AJ1046" s="38">
        <v>90798.0</v>
      </c>
      <c r="AK1046" s="38">
        <v>0.0</v>
      </c>
      <c r="AL1046" s="38">
        <v>416.67</v>
      </c>
      <c r="AM1046" s="38">
        <v>0.0</v>
      </c>
      <c r="AN1046" s="34" t="s">
        <v>62</v>
      </c>
      <c r="AO1046" s="34" t="s">
        <v>62</v>
      </c>
      <c r="AP1046" s="34" t="s">
        <v>62</v>
      </c>
      <c r="AQ1046" s="34" t="s">
        <v>62</v>
      </c>
      <c r="AR1046" s="38">
        <v>0.0</v>
      </c>
      <c r="AS1046" s="38" t="s">
        <v>3408</v>
      </c>
      <c r="AT1046" s="35" t="s">
        <v>2275</v>
      </c>
      <c r="AU1046" s="39" t="s">
        <v>3250</v>
      </c>
      <c r="AV1046" s="40">
        <v>46163.0</v>
      </c>
    </row>
    <row r="1047">
      <c r="A1047" s="38">
        <v>232.0</v>
      </c>
      <c r="B1047" s="38">
        <v>2154.0</v>
      </c>
      <c r="C1047" s="38">
        <v>2154.0</v>
      </c>
      <c r="D1047" s="38">
        <v>9.0416207E7</v>
      </c>
      <c r="E1047" s="38">
        <v>9.0416207E7</v>
      </c>
      <c r="F1047" s="38">
        <v>8.30122566E8</v>
      </c>
      <c r="G1047" s="18" t="s">
        <v>193</v>
      </c>
      <c r="H1047" s="18" t="s">
        <v>2282</v>
      </c>
      <c r="I1047" s="18" t="s">
        <v>76</v>
      </c>
      <c r="J1047" s="18" t="s">
        <v>2205</v>
      </c>
      <c r="K1047" s="18" t="s">
        <v>2283</v>
      </c>
      <c r="L1047" s="18" t="s">
        <v>1998</v>
      </c>
      <c r="M1047" s="18" t="s">
        <v>2011</v>
      </c>
      <c r="N1047" s="18" t="s">
        <v>2000</v>
      </c>
      <c r="O1047" s="18" t="s">
        <v>126</v>
      </c>
      <c r="P1047" s="18" t="s">
        <v>131</v>
      </c>
      <c r="Q1047" s="18" t="s">
        <v>363</v>
      </c>
      <c r="R1047" s="18" t="s">
        <v>133</v>
      </c>
      <c r="S1047" s="18" t="s">
        <v>59</v>
      </c>
      <c r="T1047" s="38">
        <v>2026.0</v>
      </c>
      <c r="U1047" s="38">
        <v>5.0</v>
      </c>
      <c r="V1047" s="38">
        <v>1.081522183E9</v>
      </c>
      <c r="W1047" s="38">
        <v>1.081540253E9</v>
      </c>
      <c r="X1047" s="18" t="s">
        <v>2199</v>
      </c>
      <c r="Y1047" s="18" t="s">
        <v>2200</v>
      </c>
      <c r="Z1047" s="38">
        <v>58543.4</v>
      </c>
      <c r="AA1047" s="38">
        <v>58543.4</v>
      </c>
      <c r="AB1047" s="38">
        <v>19292.5</v>
      </c>
      <c r="AC1047" s="38">
        <v>0.0</v>
      </c>
      <c r="AD1047" s="38">
        <v>665.9</v>
      </c>
      <c r="AE1047" s="38">
        <v>0.0</v>
      </c>
      <c r="AF1047" s="38">
        <v>0.0</v>
      </c>
      <c r="AG1047" s="38">
        <v>0.0</v>
      </c>
      <c r="AH1047" s="38">
        <v>0.0</v>
      </c>
      <c r="AI1047" s="38">
        <v>58543.4</v>
      </c>
      <c r="AJ1047" s="38">
        <v>166195.16</v>
      </c>
      <c r="AK1047" s="38">
        <v>2.0</v>
      </c>
      <c r="AL1047" s="38">
        <v>416.67</v>
      </c>
      <c r="AM1047" s="38">
        <v>0.0</v>
      </c>
      <c r="AN1047" s="34" t="s">
        <v>62</v>
      </c>
      <c r="AO1047" s="34" t="s">
        <v>62</v>
      </c>
      <c r="AP1047" s="34" t="s">
        <v>62</v>
      </c>
      <c r="AQ1047" s="34" t="s">
        <v>62</v>
      </c>
      <c r="AR1047" s="38">
        <v>0.0</v>
      </c>
      <c r="AS1047" s="38" t="s">
        <v>2284</v>
      </c>
      <c r="AT1047" s="35" t="s">
        <v>2202</v>
      </c>
      <c r="AU1047" s="39" t="s">
        <v>2203</v>
      </c>
      <c r="AV1047" s="40">
        <v>46164.0</v>
      </c>
    </row>
    <row r="1048">
      <c r="A1048" s="38">
        <v>147.0</v>
      </c>
      <c r="B1048" s="38">
        <v>2158.0</v>
      </c>
      <c r="C1048" s="38">
        <v>2158.0</v>
      </c>
      <c r="D1048" s="38">
        <v>9.0419676E7</v>
      </c>
      <c r="E1048" s="38">
        <v>9.0419676E7</v>
      </c>
      <c r="F1048" s="18" t="s">
        <v>179</v>
      </c>
      <c r="G1048" s="18" t="s">
        <v>180</v>
      </c>
      <c r="H1048" s="18" t="s">
        <v>2320</v>
      </c>
      <c r="I1048" s="18" t="s">
        <v>76</v>
      </c>
      <c r="J1048" s="18" t="s">
        <v>2205</v>
      </c>
      <c r="K1048" s="18" t="s">
        <v>2289</v>
      </c>
      <c r="L1048" s="18" t="s">
        <v>1998</v>
      </c>
      <c r="M1048" s="18" t="s">
        <v>1999</v>
      </c>
      <c r="N1048" s="18" t="s">
        <v>2000</v>
      </c>
      <c r="O1048" s="18" t="s">
        <v>126</v>
      </c>
      <c r="P1048" s="18" t="s">
        <v>131</v>
      </c>
      <c r="Q1048" s="18" t="s">
        <v>1111</v>
      </c>
      <c r="R1048" s="18" t="s">
        <v>133</v>
      </c>
      <c r="S1048" s="18" t="s">
        <v>59</v>
      </c>
      <c r="T1048" s="38">
        <v>2026.0</v>
      </c>
      <c r="U1048" s="38">
        <v>5.0</v>
      </c>
      <c r="V1048" s="38">
        <v>1.081522188E9</v>
      </c>
      <c r="W1048" s="38">
        <v>1.081540258E9</v>
      </c>
      <c r="X1048" s="18" t="s">
        <v>2199</v>
      </c>
      <c r="Y1048" s="18" t="s">
        <v>2200</v>
      </c>
      <c r="Z1048" s="38">
        <v>38585.0</v>
      </c>
      <c r="AA1048" s="38">
        <v>38585.0</v>
      </c>
      <c r="AB1048" s="38">
        <v>0.0</v>
      </c>
      <c r="AC1048" s="38">
        <v>0.0</v>
      </c>
      <c r="AD1048" s="38">
        <v>0.0</v>
      </c>
      <c r="AE1048" s="38">
        <v>0.0</v>
      </c>
      <c r="AF1048" s="38">
        <v>0.0</v>
      </c>
      <c r="AG1048" s="38">
        <v>0.0</v>
      </c>
      <c r="AH1048" s="38">
        <v>0.0</v>
      </c>
      <c r="AI1048" s="38">
        <v>38585.0</v>
      </c>
      <c r="AJ1048" s="38">
        <v>76789.0</v>
      </c>
      <c r="AK1048" s="38">
        <v>1.0</v>
      </c>
      <c r="AL1048" s="38">
        <v>277.78</v>
      </c>
      <c r="AM1048" s="38">
        <v>0.0</v>
      </c>
      <c r="AN1048" s="34" t="s">
        <v>62</v>
      </c>
      <c r="AO1048" s="34" t="s">
        <v>62</v>
      </c>
      <c r="AP1048" s="34" t="s">
        <v>62</v>
      </c>
      <c r="AQ1048" s="34" t="s">
        <v>62</v>
      </c>
      <c r="AR1048" s="38">
        <v>0.0</v>
      </c>
      <c r="AS1048" s="38" t="s">
        <v>2321</v>
      </c>
      <c r="AT1048" s="35" t="s">
        <v>2202</v>
      </c>
      <c r="AU1048" s="39" t="s">
        <v>2203</v>
      </c>
      <c r="AV1048" s="40">
        <v>46163.0</v>
      </c>
    </row>
    <row r="1049">
      <c r="A1049" s="38">
        <v>350.0</v>
      </c>
      <c r="B1049" s="38">
        <v>2162.0</v>
      </c>
      <c r="C1049" s="38">
        <v>2162.0</v>
      </c>
      <c r="D1049" s="38">
        <v>9.0424671E7</v>
      </c>
      <c r="E1049" s="38">
        <v>9.0424671E7</v>
      </c>
      <c r="F1049" s="38">
        <v>9.00603041E8</v>
      </c>
      <c r="G1049" s="18" t="s">
        <v>400</v>
      </c>
      <c r="H1049" s="18" t="s">
        <v>2304</v>
      </c>
      <c r="I1049" s="18" t="s">
        <v>2003</v>
      </c>
      <c r="J1049" s="18" t="s">
        <v>2205</v>
      </c>
      <c r="K1049" s="18" t="s">
        <v>2305</v>
      </c>
      <c r="L1049" s="18" t="s">
        <v>1998</v>
      </c>
      <c r="M1049" s="18" t="s">
        <v>1999</v>
      </c>
      <c r="N1049" s="18" t="s">
        <v>2000</v>
      </c>
      <c r="O1049" s="18" t="s">
        <v>126</v>
      </c>
      <c r="P1049" s="18" t="s">
        <v>131</v>
      </c>
      <c r="Q1049" s="18" t="s">
        <v>132</v>
      </c>
      <c r="R1049" s="18" t="s">
        <v>133</v>
      </c>
      <c r="S1049" s="18" t="s">
        <v>59</v>
      </c>
      <c r="T1049" s="38">
        <v>2026.0</v>
      </c>
      <c r="U1049" s="38">
        <v>5.0</v>
      </c>
      <c r="V1049" s="38">
        <v>1.081522193E9</v>
      </c>
      <c r="W1049" s="38">
        <v>1.081540263E9</v>
      </c>
      <c r="X1049" s="18" t="s">
        <v>2199</v>
      </c>
      <c r="Y1049" s="18" t="s">
        <v>2200</v>
      </c>
      <c r="Z1049" s="38">
        <v>95231.78</v>
      </c>
      <c r="AA1049" s="38">
        <v>95231.78</v>
      </c>
      <c r="AB1049" s="38">
        <v>30266.0</v>
      </c>
      <c r="AC1049" s="38">
        <v>0.0</v>
      </c>
      <c r="AD1049" s="38">
        <v>4433.78</v>
      </c>
      <c r="AE1049" s="38">
        <v>0.0</v>
      </c>
      <c r="AF1049" s="38">
        <v>0.0</v>
      </c>
      <c r="AG1049" s="38">
        <v>0.0</v>
      </c>
      <c r="AH1049" s="38">
        <v>0.0</v>
      </c>
      <c r="AI1049" s="38">
        <v>95231.78</v>
      </c>
      <c r="AJ1049" s="38">
        <v>427411.57</v>
      </c>
      <c r="AK1049" s="38">
        <v>4.0</v>
      </c>
      <c r="AL1049" s="38">
        <v>416.67</v>
      </c>
      <c r="AM1049" s="38">
        <v>0.0</v>
      </c>
      <c r="AN1049" s="34" t="s">
        <v>62</v>
      </c>
      <c r="AO1049" s="34" t="s">
        <v>62</v>
      </c>
      <c r="AP1049" s="34" t="s">
        <v>62</v>
      </c>
      <c r="AQ1049" s="34" t="s">
        <v>62</v>
      </c>
      <c r="AR1049" s="38">
        <v>0.0</v>
      </c>
      <c r="AS1049" s="38" t="s">
        <v>2306</v>
      </c>
      <c r="AT1049" s="35" t="s">
        <v>2202</v>
      </c>
      <c r="AU1049" s="39" t="s">
        <v>2203</v>
      </c>
      <c r="AV1049" s="40">
        <v>46164.0</v>
      </c>
    </row>
    <row r="1050">
      <c r="A1050" s="38">
        <v>390684.0</v>
      </c>
      <c r="B1050" s="38">
        <v>371838.0</v>
      </c>
      <c r="C1050" s="38">
        <v>381556.0</v>
      </c>
      <c r="D1050" s="38">
        <v>1040175.0</v>
      </c>
      <c r="E1050" s="38">
        <v>1040175.0</v>
      </c>
      <c r="F1050" s="38">
        <v>8.8032631E7</v>
      </c>
      <c r="G1050" s="18" t="s">
        <v>2015</v>
      </c>
      <c r="H1050" s="18" t="s">
        <v>3409</v>
      </c>
      <c r="I1050" s="18" t="s">
        <v>2016</v>
      </c>
      <c r="J1050" s="18" t="s">
        <v>2011</v>
      </c>
      <c r="K1050" s="18" t="s">
        <v>3410</v>
      </c>
      <c r="L1050" s="18" t="s">
        <v>1998</v>
      </c>
      <c r="M1050" s="18" t="s">
        <v>1999</v>
      </c>
      <c r="N1050" s="18" t="s">
        <v>2000</v>
      </c>
      <c r="O1050" s="18" t="s">
        <v>126</v>
      </c>
      <c r="P1050" s="18" t="s">
        <v>218</v>
      </c>
      <c r="Q1050" s="18" t="s">
        <v>2017</v>
      </c>
      <c r="R1050" s="18" t="s">
        <v>133</v>
      </c>
      <c r="S1050" s="18" t="s">
        <v>59</v>
      </c>
      <c r="T1050" s="38">
        <v>2026.0</v>
      </c>
      <c r="U1050" s="38">
        <v>5.0</v>
      </c>
      <c r="V1050" s="38">
        <v>1.081522206E9</v>
      </c>
      <c r="W1050" s="38">
        <v>1.081540276E9</v>
      </c>
      <c r="X1050" s="18" t="s">
        <v>2199</v>
      </c>
      <c r="Y1050" s="18" t="s">
        <v>2200</v>
      </c>
      <c r="Z1050" s="38">
        <v>28898.1</v>
      </c>
      <c r="AA1050" s="38">
        <v>28898.1</v>
      </c>
      <c r="AB1050" s="38">
        <v>-3210.9</v>
      </c>
      <c r="AC1050" s="38">
        <v>0.0</v>
      </c>
      <c r="AD1050" s="38">
        <v>0.0</v>
      </c>
      <c r="AE1050" s="38">
        <v>0.0</v>
      </c>
      <c r="AF1050" s="38">
        <v>0.0</v>
      </c>
      <c r="AG1050" s="38">
        <v>0.0</v>
      </c>
      <c r="AH1050" s="38">
        <v>0.0</v>
      </c>
      <c r="AI1050" s="38">
        <v>28898.1</v>
      </c>
      <c r="AJ1050" s="38">
        <v>28898.1</v>
      </c>
      <c r="AK1050" s="38">
        <v>0.0</v>
      </c>
      <c r="AL1050" s="38">
        <v>250.0</v>
      </c>
      <c r="AM1050" s="38">
        <v>0.0</v>
      </c>
      <c r="AN1050" s="34" t="s">
        <v>62</v>
      </c>
      <c r="AO1050" s="34" t="s">
        <v>62</v>
      </c>
      <c r="AP1050" s="34" t="s">
        <v>62</v>
      </c>
      <c r="AQ1050" s="34" t="s">
        <v>62</v>
      </c>
      <c r="AR1050" s="38">
        <v>0.0</v>
      </c>
      <c r="AS1050" s="38" t="s">
        <v>3411</v>
      </c>
      <c r="AT1050" s="35" t="s">
        <v>2275</v>
      </c>
      <c r="AU1050" s="39" t="s">
        <v>3250</v>
      </c>
      <c r="AV1050" s="40">
        <v>46163.0</v>
      </c>
    </row>
    <row r="1051">
      <c r="A1051" s="38">
        <v>280920.0</v>
      </c>
      <c r="B1051" s="38">
        <v>384706.0</v>
      </c>
      <c r="C1051" s="38">
        <v>398962.0</v>
      </c>
      <c r="D1051" s="38">
        <v>1052860.0</v>
      </c>
      <c r="E1051" s="38">
        <v>1052860.0</v>
      </c>
      <c r="F1051" s="38">
        <v>9.00576569E8</v>
      </c>
      <c r="G1051" s="18" t="s">
        <v>161</v>
      </c>
      <c r="H1051" s="18" t="s">
        <v>2261</v>
      </c>
      <c r="I1051" s="18" t="s">
        <v>2003</v>
      </c>
      <c r="J1051" s="18" t="s">
        <v>2205</v>
      </c>
      <c r="K1051" s="18" t="s">
        <v>2262</v>
      </c>
      <c r="L1051" s="18" t="s">
        <v>1998</v>
      </c>
      <c r="M1051" s="18" t="s">
        <v>1999</v>
      </c>
      <c r="N1051" s="18" t="s">
        <v>2000</v>
      </c>
      <c r="O1051" s="18" t="s">
        <v>126</v>
      </c>
      <c r="P1051" s="18" t="s">
        <v>56</v>
      </c>
      <c r="Q1051" s="18" t="s">
        <v>90</v>
      </c>
      <c r="R1051" s="18" t="s">
        <v>143</v>
      </c>
      <c r="S1051" s="18" t="s">
        <v>59</v>
      </c>
      <c r="T1051" s="38">
        <v>2026.0</v>
      </c>
      <c r="U1051" s="38">
        <v>5.0</v>
      </c>
      <c r="V1051" s="38">
        <v>1.081522209E9</v>
      </c>
      <c r="W1051" s="38">
        <v>1.081540279E9</v>
      </c>
      <c r="X1051" s="18" t="s">
        <v>2199</v>
      </c>
      <c r="Y1051" s="18" t="s">
        <v>2200</v>
      </c>
      <c r="Z1051" s="38">
        <v>511008.01</v>
      </c>
      <c r="AA1051" s="38">
        <v>511008.01</v>
      </c>
      <c r="AB1051" s="38">
        <v>153523.1</v>
      </c>
      <c r="AC1051" s="38">
        <v>1352.5</v>
      </c>
      <c r="AD1051" s="38">
        <v>50438.74</v>
      </c>
      <c r="AE1051" s="38">
        <v>0.0</v>
      </c>
      <c r="AF1051" s="38">
        <v>0.0</v>
      </c>
      <c r="AG1051" s="38">
        <v>0.0</v>
      </c>
      <c r="AH1051" s="38">
        <v>0.0</v>
      </c>
      <c r="AI1051" s="38">
        <v>511008.01</v>
      </c>
      <c r="AJ1051" s="38">
        <v>3732040.15</v>
      </c>
      <c r="AK1051" s="38">
        <v>7.0</v>
      </c>
      <c r="AL1051" s="38">
        <v>416.67</v>
      </c>
      <c r="AM1051" s="38">
        <v>0.0</v>
      </c>
      <c r="AN1051" s="34" t="s">
        <v>62</v>
      </c>
      <c r="AO1051" s="34" t="s">
        <v>62</v>
      </c>
      <c r="AP1051" s="34" t="s">
        <v>62</v>
      </c>
      <c r="AQ1051" s="34" t="s">
        <v>62</v>
      </c>
      <c r="AR1051" s="38">
        <v>0.0</v>
      </c>
      <c r="AS1051" s="38" t="s">
        <v>2263</v>
      </c>
      <c r="AT1051" s="35" t="s">
        <v>2202</v>
      </c>
      <c r="AU1051" s="39" t="s">
        <v>2203</v>
      </c>
      <c r="AV1051" s="40">
        <v>46163.0</v>
      </c>
    </row>
    <row r="1052">
      <c r="A1052" s="38">
        <v>699.0</v>
      </c>
      <c r="B1052" s="38">
        <v>78886.0</v>
      </c>
      <c r="C1052" s="38">
        <v>78886.0</v>
      </c>
      <c r="D1052" s="38">
        <v>106239.0</v>
      </c>
      <c r="E1052" s="38">
        <v>106239.0</v>
      </c>
      <c r="F1052" s="38">
        <v>9.00480569E8</v>
      </c>
      <c r="G1052" s="18" t="s">
        <v>141</v>
      </c>
      <c r="H1052" s="18" t="s">
        <v>2255</v>
      </c>
      <c r="I1052" s="18" t="s">
        <v>2020</v>
      </c>
      <c r="J1052" s="18" t="s">
        <v>2205</v>
      </c>
      <c r="K1052" s="18" t="s">
        <v>3412</v>
      </c>
      <c r="L1052" s="18" t="s">
        <v>1998</v>
      </c>
      <c r="M1052" s="18" t="s">
        <v>2011</v>
      </c>
      <c r="N1052" s="18" t="s">
        <v>2000</v>
      </c>
      <c r="O1052" s="18" t="s">
        <v>126</v>
      </c>
      <c r="P1052" s="18" t="s">
        <v>56</v>
      </c>
      <c r="Q1052" s="18" t="s">
        <v>90</v>
      </c>
      <c r="R1052" s="18" t="s">
        <v>143</v>
      </c>
      <c r="S1052" s="18" t="s">
        <v>59</v>
      </c>
      <c r="T1052" s="38">
        <v>2026.0</v>
      </c>
      <c r="U1052" s="38">
        <v>5.0</v>
      </c>
      <c r="V1052" s="38">
        <v>1.081522196E9</v>
      </c>
      <c r="W1052" s="38">
        <v>1.081540266E9</v>
      </c>
      <c r="X1052" s="18" t="s">
        <v>2199</v>
      </c>
      <c r="Y1052" s="18" t="s">
        <v>2200</v>
      </c>
      <c r="Z1052" s="38">
        <v>586986.24</v>
      </c>
      <c r="AA1052" s="38">
        <v>586986.24</v>
      </c>
      <c r="AB1052" s="38">
        <v>195662.09</v>
      </c>
      <c r="AC1052" s="38">
        <v>1745.0</v>
      </c>
      <c r="AD1052" s="38">
        <v>0.0</v>
      </c>
      <c r="AE1052" s="38">
        <v>0.0</v>
      </c>
      <c r="AF1052" s="38">
        <v>0.0</v>
      </c>
      <c r="AG1052" s="38">
        <v>0.0</v>
      </c>
      <c r="AH1052" s="38">
        <v>0.0</v>
      </c>
      <c r="AI1052" s="38">
        <v>586986.24</v>
      </c>
      <c r="AJ1052" s="38">
        <v>586986.24</v>
      </c>
      <c r="AK1052" s="38">
        <v>0.0</v>
      </c>
      <c r="AL1052" s="38">
        <v>416.67</v>
      </c>
      <c r="AM1052" s="38">
        <v>0.0</v>
      </c>
      <c r="AN1052" s="34" t="s">
        <v>62</v>
      </c>
      <c r="AO1052" s="34" t="s">
        <v>62</v>
      </c>
      <c r="AP1052" s="34" t="s">
        <v>62</v>
      </c>
      <c r="AQ1052" s="34" t="s">
        <v>62</v>
      </c>
      <c r="AR1052" s="38">
        <v>0.0</v>
      </c>
      <c r="AS1052" s="38" t="s">
        <v>2257</v>
      </c>
      <c r="AT1052" s="35" t="s">
        <v>2202</v>
      </c>
      <c r="AU1052" s="39" t="s">
        <v>2203</v>
      </c>
      <c r="AV1052" s="40">
        <v>46163.0</v>
      </c>
    </row>
    <row r="1053">
      <c r="A1053" s="38">
        <v>84823.0</v>
      </c>
      <c r="B1053" s="38">
        <v>84822.0</v>
      </c>
      <c r="C1053" s="38">
        <v>84822.0</v>
      </c>
      <c r="D1053" s="38">
        <v>111868.0</v>
      </c>
      <c r="E1053" s="38">
        <v>111868.0</v>
      </c>
      <c r="F1053" s="38">
        <v>111868.0</v>
      </c>
      <c r="G1053" s="18" t="s">
        <v>2022</v>
      </c>
      <c r="H1053" s="18" t="s">
        <v>3413</v>
      </c>
      <c r="I1053" s="18" t="s">
        <v>2023</v>
      </c>
      <c r="J1053" s="18" t="s">
        <v>2011</v>
      </c>
      <c r="K1053" s="18" t="s">
        <v>2473</v>
      </c>
      <c r="L1053" s="18" t="s">
        <v>1998</v>
      </c>
      <c r="M1053" s="18" t="s">
        <v>1999</v>
      </c>
      <c r="N1053" s="18" t="s">
        <v>2000</v>
      </c>
      <c r="O1053" s="18" t="s">
        <v>2024</v>
      </c>
      <c r="P1053" s="18" t="s">
        <v>131</v>
      </c>
      <c r="Q1053" s="18" t="s">
        <v>132</v>
      </c>
      <c r="R1053" s="18" t="s">
        <v>133</v>
      </c>
      <c r="S1053" s="18" t="s">
        <v>59</v>
      </c>
      <c r="T1053" s="38">
        <v>2026.0</v>
      </c>
      <c r="U1053" s="38">
        <v>5.0</v>
      </c>
      <c r="V1053" s="38">
        <v>1.081522199E9</v>
      </c>
      <c r="W1053" s="38">
        <v>1.081540269E9</v>
      </c>
      <c r="X1053" s="18" t="s">
        <v>2199</v>
      </c>
      <c r="Y1053" s="18" t="s">
        <v>2200</v>
      </c>
      <c r="Z1053" s="38">
        <v>86547.57</v>
      </c>
      <c r="AA1053" s="38">
        <v>86547.57</v>
      </c>
      <c r="AB1053" s="38">
        <v>28680.95</v>
      </c>
      <c r="AC1053" s="38">
        <v>0.0</v>
      </c>
      <c r="AD1053" s="38">
        <v>504.72</v>
      </c>
      <c r="AE1053" s="38">
        <v>0.0</v>
      </c>
      <c r="AF1053" s="38">
        <v>0.0</v>
      </c>
      <c r="AG1053" s="38">
        <v>0.0</v>
      </c>
      <c r="AH1053" s="38">
        <v>0.0</v>
      </c>
      <c r="AI1053" s="38">
        <v>86547.57</v>
      </c>
      <c r="AJ1053" s="38">
        <v>171376.02</v>
      </c>
      <c r="AK1053" s="38">
        <v>1.0</v>
      </c>
      <c r="AL1053" s="38">
        <v>-1168.38</v>
      </c>
      <c r="AM1053" s="38">
        <v>0.0</v>
      </c>
      <c r="AN1053" s="34" t="s">
        <v>62</v>
      </c>
      <c r="AO1053" s="34" t="s">
        <v>62</v>
      </c>
      <c r="AP1053" s="34" t="s">
        <v>62</v>
      </c>
      <c r="AQ1053" s="34" t="s">
        <v>62</v>
      </c>
      <c r="AR1053" s="38">
        <v>0.0</v>
      </c>
      <c r="AS1053" s="38" t="s">
        <v>3414</v>
      </c>
      <c r="AT1053" s="35" t="s">
        <v>2275</v>
      </c>
      <c r="AU1053" s="39" t="s">
        <v>3250</v>
      </c>
      <c r="AV1053" s="40">
        <v>46163.0</v>
      </c>
    </row>
    <row r="1054">
      <c r="A1054" s="38">
        <v>141.0</v>
      </c>
      <c r="B1054" s="38">
        <v>153163.0</v>
      </c>
      <c r="C1054" s="38">
        <v>153163.0</v>
      </c>
      <c r="D1054" s="38">
        <v>527003.0</v>
      </c>
      <c r="E1054" s="38">
        <v>527003.0</v>
      </c>
      <c r="F1054" s="38">
        <v>8.90500514E8</v>
      </c>
      <c r="G1054" s="18" t="s">
        <v>145</v>
      </c>
      <c r="H1054" s="18" t="s">
        <v>2266</v>
      </c>
      <c r="I1054" s="18" t="s">
        <v>2076</v>
      </c>
      <c r="J1054" s="18" t="s">
        <v>2205</v>
      </c>
      <c r="K1054" s="18" t="s">
        <v>2267</v>
      </c>
      <c r="L1054" s="18" t="s">
        <v>1998</v>
      </c>
      <c r="M1054" s="18" t="s">
        <v>2011</v>
      </c>
      <c r="N1054" s="18" t="s">
        <v>2000</v>
      </c>
      <c r="O1054" s="18" t="s">
        <v>126</v>
      </c>
      <c r="P1054" s="18" t="s">
        <v>131</v>
      </c>
      <c r="Q1054" s="18" t="s">
        <v>363</v>
      </c>
      <c r="R1054" s="18" t="s">
        <v>133</v>
      </c>
      <c r="S1054" s="18" t="s">
        <v>59</v>
      </c>
      <c r="T1054" s="38">
        <v>2026.0</v>
      </c>
      <c r="U1054" s="38">
        <v>5.0</v>
      </c>
      <c r="V1054" s="38">
        <v>1.081522187E9</v>
      </c>
      <c r="W1054" s="38">
        <v>1.081540257E9</v>
      </c>
      <c r="X1054" s="18" t="s">
        <v>2199</v>
      </c>
      <c r="Y1054" s="18" t="s">
        <v>2200</v>
      </c>
      <c r="Z1054" s="38">
        <v>57877.5</v>
      </c>
      <c r="AA1054" s="38">
        <v>57877.5</v>
      </c>
      <c r="AB1054" s="38">
        <v>19292.5</v>
      </c>
      <c r="AC1054" s="38">
        <v>0.0</v>
      </c>
      <c r="AD1054" s="38">
        <v>0.0</v>
      </c>
      <c r="AE1054" s="38">
        <v>0.0</v>
      </c>
      <c r="AF1054" s="38">
        <v>0.0</v>
      </c>
      <c r="AG1054" s="38">
        <v>0.0</v>
      </c>
      <c r="AH1054" s="38">
        <v>0.0</v>
      </c>
      <c r="AI1054" s="38">
        <v>57877.5</v>
      </c>
      <c r="AJ1054" s="38">
        <v>57877.5</v>
      </c>
      <c r="AK1054" s="38">
        <v>0.0</v>
      </c>
      <c r="AL1054" s="38">
        <v>416.67</v>
      </c>
      <c r="AM1054" s="38">
        <v>0.0</v>
      </c>
      <c r="AN1054" s="34" t="s">
        <v>62</v>
      </c>
      <c r="AO1054" s="34" t="s">
        <v>62</v>
      </c>
      <c r="AP1054" s="34" t="s">
        <v>62</v>
      </c>
      <c r="AQ1054" s="34" t="s">
        <v>62</v>
      </c>
      <c r="AR1054" s="38">
        <v>0.0</v>
      </c>
      <c r="AS1054" s="38" t="s">
        <v>2268</v>
      </c>
      <c r="AT1054" s="35" t="s">
        <v>2202</v>
      </c>
      <c r="AU1054" s="39" t="s">
        <v>2203</v>
      </c>
      <c r="AV1054" s="40">
        <v>46163.0</v>
      </c>
    </row>
    <row r="1055">
      <c r="A1055" s="38">
        <v>153452.0</v>
      </c>
      <c r="B1055" s="38">
        <v>153451.0</v>
      </c>
      <c r="C1055" s="38">
        <v>153451.0</v>
      </c>
      <c r="D1055" s="38">
        <v>1019172.0</v>
      </c>
      <c r="E1055" s="38">
        <v>1019172.0</v>
      </c>
      <c r="F1055" s="38">
        <v>6.0402737E7</v>
      </c>
      <c r="G1055" s="18" t="s">
        <v>2078</v>
      </c>
      <c r="H1055" s="18" t="s">
        <v>3415</v>
      </c>
      <c r="I1055" s="18" t="s">
        <v>2023</v>
      </c>
      <c r="J1055" s="18" t="s">
        <v>2011</v>
      </c>
      <c r="K1055" s="18" t="s">
        <v>3410</v>
      </c>
      <c r="L1055" s="18" t="s">
        <v>1998</v>
      </c>
      <c r="M1055" s="18" t="s">
        <v>1999</v>
      </c>
      <c r="N1055" s="18" t="s">
        <v>2000</v>
      </c>
      <c r="O1055" s="18" t="s">
        <v>126</v>
      </c>
      <c r="P1055" s="18" t="s">
        <v>56</v>
      </c>
      <c r="Q1055" s="18" t="s">
        <v>90</v>
      </c>
      <c r="R1055" s="18" t="s">
        <v>143</v>
      </c>
      <c r="S1055" s="18" t="s">
        <v>59</v>
      </c>
      <c r="T1055" s="38">
        <v>2026.0</v>
      </c>
      <c r="U1055" s="38">
        <v>5.0</v>
      </c>
      <c r="V1055" s="38">
        <v>1.081522191E9</v>
      </c>
      <c r="W1055" s="38">
        <v>1.081540261E9</v>
      </c>
      <c r="X1055" s="18" t="s">
        <v>2199</v>
      </c>
      <c r="Y1055" s="18" t="s">
        <v>2200</v>
      </c>
      <c r="Z1055" s="38">
        <v>185994.75</v>
      </c>
      <c r="AA1055" s="38">
        <v>185994.75</v>
      </c>
      <c r="AB1055" s="38">
        <v>61998.25</v>
      </c>
      <c r="AC1055" s="38">
        <v>500.0</v>
      </c>
      <c r="AD1055" s="38">
        <v>0.0</v>
      </c>
      <c r="AE1055" s="38">
        <v>0.0</v>
      </c>
      <c r="AF1055" s="38">
        <v>0.0</v>
      </c>
      <c r="AG1055" s="38">
        <v>0.0</v>
      </c>
      <c r="AH1055" s="38">
        <v>0.0</v>
      </c>
      <c r="AI1055" s="38">
        <v>185994.75</v>
      </c>
      <c r="AJ1055" s="38">
        <v>185994.75</v>
      </c>
      <c r="AK1055" s="38">
        <v>0.0</v>
      </c>
      <c r="AL1055" s="38">
        <v>416.67</v>
      </c>
      <c r="AM1055" s="38">
        <v>0.0</v>
      </c>
      <c r="AN1055" s="34" t="s">
        <v>62</v>
      </c>
      <c r="AO1055" s="34" t="s">
        <v>62</v>
      </c>
      <c r="AP1055" s="34" t="s">
        <v>62</v>
      </c>
      <c r="AQ1055" s="34" t="s">
        <v>62</v>
      </c>
      <c r="AR1055" s="38">
        <v>0.0</v>
      </c>
      <c r="AS1055" s="38" t="s">
        <v>3416</v>
      </c>
      <c r="AT1055" s="35" t="s">
        <v>2275</v>
      </c>
      <c r="AU1055" s="39" t="s">
        <v>3250</v>
      </c>
      <c r="AV1055" s="40">
        <v>46163.0</v>
      </c>
    </row>
    <row r="1056">
      <c r="A1056" s="38">
        <v>2124.0</v>
      </c>
      <c r="B1056" s="38">
        <v>2123.0</v>
      </c>
      <c r="C1056" s="38">
        <v>2123.0</v>
      </c>
      <c r="D1056" s="38">
        <v>9.0410603E7</v>
      </c>
      <c r="E1056" s="38">
        <v>9.0410603E7</v>
      </c>
      <c r="F1056" s="38">
        <v>1.3825186E7</v>
      </c>
      <c r="G1056" s="18" t="s">
        <v>2080</v>
      </c>
      <c r="H1056" s="18" t="s">
        <v>3417</v>
      </c>
      <c r="I1056" s="18" t="s">
        <v>76</v>
      </c>
      <c r="J1056" s="18" t="s">
        <v>2205</v>
      </c>
      <c r="K1056" s="18" t="s">
        <v>2205</v>
      </c>
      <c r="L1056" s="18" t="s">
        <v>1998</v>
      </c>
      <c r="M1056" s="18" t="s">
        <v>1999</v>
      </c>
      <c r="N1056" s="18" t="s">
        <v>2000</v>
      </c>
      <c r="O1056" s="18" t="s">
        <v>126</v>
      </c>
      <c r="P1056" s="18" t="s">
        <v>131</v>
      </c>
      <c r="Q1056" s="18" t="s">
        <v>132</v>
      </c>
      <c r="R1056" s="18" t="s">
        <v>133</v>
      </c>
      <c r="S1056" s="18" t="s">
        <v>59</v>
      </c>
      <c r="T1056" s="38">
        <v>2026.0</v>
      </c>
      <c r="U1056" s="38">
        <v>5.0</v>
      </c>
      <c r="V1056" s="38">
        <v>1.081522171E9</v>
      </c>
      <c r="W1056" s="38">
        <v>1.081540241E9</v>
      </c>
      <c r="X1056" s="18" t="s">
        <v>2199</v>
      </c>
      <c r="Y1056" s="18" t="s">
        <v>2200</v>
      </c>
      <c r="Z1056" s="38">
        <v>90798.01</v>
      </c>
      <c r="AA1056" s="38">
        <v>90798.01</v>
      </c>
      <c r="AB1056" s="38">
        <v>30266.0</v>
      </c>
      <c r="AC1056" s="38">
        <v>0.0</v>
      </c>
      <c r="AD1056" s="38">
        <v>0.01</v>
      </c>
      <c r="AE1056" s="38">
        <v>0.0</v>
      </c>
      <c r="AF1056" s="38">
        <v>0.0</v>
      </c>
      <c r="AG1056" s="38">
        <v>0.0</v>
      </c>
      <c r="AH1056" s="38">
        <v>0.0</v>
      </c>
      <c r="AI1056" s="38">
        <v>90798.01</v>
      </c>
      <c r="AJ1056" s="38">
        <v>180922.61</v>
      </c>
      <c r="AK1056" s="38">
        <v>2.0</v>
      </c>
      <c r="AL1056" s="38">
        <v>416.67</v>
      </c>
      <c r="AM1056" s="38">
        <v>0.0</v>
      </c>
      <c r="AN1056" s="34" t="s">
        <v>62</v>
      </c>
      <c r="AO1056" s="34" t="s">
        <v>62</v>
      </c>
      <c r="AP1056" s="34" t="s">
        <v>62</v>
      </c>
      <c r="AQ1056" s="34" t="s">
        <v>62</v>
      </c>
      <c r="AR1056" s="38">
        <v>0.0</v>
      </c>
      <c r="AS1056" s="38" t="s">
        <v>3418</v>
      </c>
      <c r="AT1056" s="35" t="s">
        <v>2202</v>
      </c>
      <c r="AU1056" s="39" t="s">
        <v>2203</v>
      </c>
      <c r="AV1056" s="40">
        <v>46174.0</v>
      </c>
    </row>
    <row r="1057">
      <c r="A1057" s="38">
        <v>2144.0</v>
      </c>
      <c r="B1057" s="38">
        <v>2143.0</v>
      </c>
      <c r="C1057" s="38">
        <v>2143.0</v>
      </c>
      <c r="D1057" s="38">
        <v>9.0410649E7</v>
      </c>
      <c r="E1057" s="38">
        <v>9.0410649E7</v>
      </c>
      <c r="F1057" s="38">
        <v>8.00026124E8</v>
      </c>
      <c r="G1057" s="18" t="s">
        <v>2082</v>
      </c>
      <c r="H1057" s="18" t="s">
        <v>3419</v>
      </c>
      <c r="I1057" s="18" t="s">
        <v>2003</v>
      </c>
      <c r="J1057" s="18" t="s">
        <v>2205</v>
      </c>
      <c r="K1057" s="18" t="s">
        <v>2205</v>
      </c>
      <c r="L1057" s="18" t="s">
        <v>1998</v>
      </c>
      <c r="M1057" s="18" t="s">
        <v>1999</v>
      </c>
      <c r="N1057" s="18" t="s">
        <v>2000</v>
      </c>
      <c r="O1057" s="18" t="s">
        <v>126</v>
      </c>
      <c r="P1057" s="18" t="s">
        <v>131</v>
      </c>
      <c r="Q1057" s="18" t="s">
        <v>132</v>
      </c>
      <c r="R1057" s="18" t="s">
        <v>133</v>
      </c>
      <c r="S1057" s="18" t="s">
        <v>59</v>
      </c>
      <c r="T1057" s="38">
        <v>2026.0</v>
      </c>
      <c r="U1057" s="38">
        <v>5.0</v>
      </c>
      <c r="V1057" s="38">
        <v>1.081522178E9</v>
      </c>
      <c r="W1057" s="38">
        <v>1.081540248E9</v>
      </c>
      <c r="X1057" s="18" t="s">
        <v>2199</v>
      </c>
      <c r="Y1057" s="18" t="s">
        <v>2200</v>
      </c>
      <c r="Z1057" s="38">
        <v>90798.0</v>
      </c>
      <c r="AA1057" s="38">
        <v>90798.0</v>
      </c>
      <c r="AB1057" s="38">
        <v>30266.0</v>
      </c>
      <c r="AC1057" s="38">
        <v>0.0</v>
      </c>
      <c r="AD1057" s="38">
        <v>0.0</v>
      </c>
      <c r="AE1057" s="38">
        <v>0.0</v>
      </c>
      <c r="AF1057" s="38">
        <v>0.0</v>
      </c>
      <c r="AG1057" s="38">
        <v>0.0</v>
      </c>
      <c r="AH1057" s="38">
        <v>0.0</v>
      </c>
      <c r="AI1057" s="38">
        <v>90798.0</v>
      </c>
      <c r="AJ1057" s="38">
        <v>90798.0</v>
      </c>
      <c r="AK1057" s="38">
        <v>0.0</v>
      </c>
      <c r="AL1057" s="38">
        <v>416.67</v>
      </c>
      <c r="AM1057" s="38">
        <v>0.0</v>
      </c>
      <c r="AN1057" s="34" t="s">
        <v>62</v>
      </c>
      <c r="AO1057" s="34" t="s">
        <v>62</v>
      </c>
      <c r="AP1057" s="34" t="s">
        <v>62</v>
      </c>
      <c r="AQ1057" s="34" t="s">
        <v>62</v>
      </c>
      <c r="AR1057" s="38">
        <v>0.0</v>
      </c>
      <c r="AS1057" s="38" t="s">
        <v>3420</v>
      </c>
      <c r="AT1057" s="35" t="s">
        <v>2202</v>
      </c>
      <c r="AU1057" s="39" t="s">
        <v>2203</v>
      </c>
      <c r="AV1057" s="40">
        <v>46171.0</v>
      </c>
    </row>
    <row r="1058">
      <c r="A1058" s="38">
        <v>312.0</v>
      </c>
      <c r="B1058" s="38">
        <v>2147.0</v>
      </c>
      <c r="C1058" s="38">
        <v>2147.0</v>
      </c>
      <c r="D1058" s="38">
        <v>9.0410756E7</v>
      </c>
      <c r="E1058" s="38">
        <v>9.0410756E7</v>
      </c>
      <c r="F1058" s="38">
        <v>8.90500675E8</v>
      </c>
      <c r="G1058" s="18" t="s">
        <v>967</v>
      </c>
      <c r="H1058" s="18" t="s">
        <v>3185</v>
      </c>
      <c r="I1058" s="18" t="s">
        <v>76</v>
      </c>
      <c r="J1058" s="18" t="s">
        <v>2205</v>
      </c>
      <c r="K1058" s="18" t="s">
        <v>967</v>
      </c>
      <c r="L1058" s="18" t="s">
        <v>1998</v>
      </c>
      <c r="M1058" s="18" t="s">
        <v>2011</v>
      </c>
      <c r="N1058" s="18" t="s">
        <v>2000</v>
      </c>
      <c r="O1058" s="18" t="s">
        <v>126</v>
      </c>
      <c r="P1058" s="18" t="s">
        <v>56</v>
      </c>
      <c r="Q1058" s="18" t="s">
        <v>57</v>
      </c>
      <c r="R1058" s="18" t="s">
        <v>143</v>
      </c>
      <c r="S1058" s="18" t="s">
        <v>59</v>
      </c>
      <c r="T1058" s="38">
        <v>2026.0</v>
      </c>
      <c r="U1058" s="38">
        <v>5.0</v>
      </c>
      <c r="V1058" s="38">
        <v>1.081522179E9</v>
      </c>
      <c r="W1058" s="38">
        <v>1.081540249E9</v>
      </c>
      <c r="X1058" s="18" t="s">
        <v>2199</v>
      </c>
      <c r="Y1058" s="18" t="s">
        <v>2200</v>
      </c>
      <c r="Z1058" s="38">
        <v>3072759.99</v>
      </c>
      <c r="AA1058" s="38">
        <v>3072759.99</v>
      </c>
      <c r="AB1058" s="38">
        <v>0.0</v>
      </c>
      <c r="AC1058" s="38">
        <v>14233.0</v>
      </c>
      <c r="AD1058" s="38">
        <v>0.0</v>
      </c>
      <c r="AE1058" s="38">
        <v>0.0</v>
      </c>
      <c r="AF1058" s="38">
        <v>0.0</v>
      </c>
      <c r="AG1058" s="38">
        <v>0.0</v>
      </c>
      <c r="AH1058" s="38">
        <v>0.0</v>
      </c>
      <c r="AI1058" s="38">
        <v>3072759.99</v>
      </c>
      <c r="AJ1058" s="38">
        <v>3072759.99</v>
      </c>
      <c r="AK1058" s="38">
        <v>0.0</v>
      </c>
      <c r="AL1058" s="38">
        <v>277.78</v>
      </c>
      <c r="AM1058" s="38">
        <v>0.0</v>
      </c>
      <c r="AN1058" s="34" t="s">
        <v>62</v>
      </c>
      <c r="AO1058" s="34" t="s">
        <v>62</v>
      </c>
      <c r="AP1058" s="34" t="s">
        <v>62</v>
      </c>
      <c r="AQ1058" s="34" t="s">
        <v>62</v>
      </c>
      <c r="AR1058" s="38">
        <v>0.0</v>
      </c>
      <c r="AS1058" s="38" t="s">
        <v>3421</v>
      </c>
      <c r="AT1058" s="35" t="s">
        <v>2202</v>
      </c>
      <c r="AU1058" s="39" t="s">
        <v>2203</v>
      </c>
      <c r="AV1058" s="40">
        <v>46168.0</v>
      </c>
    </row>
    <row r="1059">
      <c r="A1059" s="38">
        <v>147.0</v>
      </c>
      <c r="B1059" s="38">
        <v>2155.0</v>
      </c>
      <c r="C1059" s="38">
        <v>2155.0</v>
      </c>
      <c r="D1059" s="38">
        <v>9.0419575E7</v>
      </c>
      <c r="E1059" s="38">
        <v>9.0419575E7</v>
      </c>
      <c r="F1059" s="18" t="s">
        <v>179</v>
      </c>
      <c r="G1059" s="18" t="s">
        <v>180</v>
      </c>
      <c r="H1059" s="18" t="s">
        <v>2320</v>
      </c>
      <c r="I1059" s="18" t="s">
        <v>76</v>
      </c>
      <c r="J1059" s="18" t="s">
        <v>2205</v>
      </c>
      <c r="K1059" s="18" t="s">
        <v>2289</v>
      </c>
      <c r="L1059" s="18" t="s">
        <v>1998</v>
      </c>
      <c r="M1059" s="18" t="s">
        <v>1999</v>
      </c>
      <c r="N1059" s="18" t="s">
        <v>2000</v>
      </c>
      <c r="O1059" s="18" t="s">
        <v>126</v>
      </c>
      <c r="P1059" s="18" t="s">
        <v>56</v>
      </c>
      <c r="Q1059" s="18" t="s">
        <v>57</v>
      </c>
      <c r="R1059" s="18" t="s">
        <v>143</v>
      </c>
      <c r="S1059" s="18" t="s">
        <v>59</v>
      </c>
      <c r="T1059" s="38">
        <v>2026.0</v>
      </c>
      <c r="U1059" s="38">
        <v>5.0</v>
      </c>
      <c r="V1059" s="38">
        <v>1.081522184E9</v>
      </c>
      <c r="W1059" s="38">
        <v>1.081540254E9</v>
      </c>
      <c r="X1059" s="18" t="s">
        <v>2199</v>
      </c>
      <c r="Y1059" s="18" t="s">
        <v>2200</v>
      </c>
      <c r="Z1059" s="38">
        <v>161572.68</v>
      </c>
      <c r="AA1059" s="38">
        <v>161572.68</v>
      </c>
      <c r="AB1059" s="38">
        <v>0.0</v>
      </c>
      <c r="AC1059" s="38">
        <v>675.0</v>
      </c>
      <c r="AD1059" s="38">
        <v>0.0</v>
      </c>
      <c r="AE1059" s="38">
        <v>0.0</v>
      </c>
      <c r="AF1059" s="38">
        <v>0.0</v>
      </c>
      <c r="AG1059" s="38">
        <v>0.0</v>
      </c>
      <c r="AH1059" s="38">
        <v>0.0</v>
      </c>
      <c r="AI1059" s="38">
        <v>161572.68</v>
      </c>
      <c r="AJ1059" s="38">
        <v>319755.59</v>
      </c>
      <c r="AK1059" s="38">
        <v>1.0</v>
      </c>
      <c r="AL1059" s="38">
        <v>277.78</v>
      </c>
      <c r="AM1059" s="38">
        <v>0.0</v>
      </c>
      <c r="AN1059" s="34" t="s">
        <v>62</v>
      </c>
      <c r="AO1059" s="34" t="s">
        <v>62</v>
      </c>
      <c r="AP1059" s="34" t="s">
        <v>62</v>
      </c>
      <c r="AQ1059" s="34" t="s">
        <v>62</v>
      </c>
      <c r="AR1059" s="38">
        <v>0.0</v>
      </c>
      <c r="AS1059" s="38" t="s">
        <v>2321</v>
      </c>
      <c r="AT1059" s="35" t="s">
        <v>2202</v>
      </c>
      <c r="AU1059" s="39" t="s">
        <v>2203</v>
      </c>
      <c r="AV1059" s="40">
        <v>46163.0</v>
      </c>
    </row>
    <row r="1060">
      <c r="A1060" s="38">
        <v>285191.0</v>
      </c>
      <c r="B1060" s="38">
        <v>150257.0</v>
      </c>
      <c r="C1060" s="38">
        <v>150257.0</v>
      </c>
      <c r="D1060" s="38">
        <v>651964.0</v>
      </c>
      <c r="E1060" s="38">
        <v>651964.0</v>
      </c>
      <c r="F1060" s="38">
        <v>9.00276962E8</v>
      </c>
      <c r="G1060" s="18" t="s">
        <v>128</v>
      </c>
      <c r="H1060" s="18" t="s">
        <v>2269</v>
      </c>
      <c r="I1060" s="18" t="s">
        <v>2026</v>
      </c>
      <c r="J1060" s="18" t="s">
        <v>2205</v>
      </c>
      <c r="K1060" s="18" t="s">
        <v>2270</v>
      </c>
      <c r="L1060" s="18" t="s">
        <v>1998</v>
      </c>
      <c r="M1060" s="18" t="s">
        <v>1999</v>
      </c>
      <c r="N1060" s="18" t="s">
        <v>2000</v>
      </c>
      <c r="O1060" s="18" t="s">
        <v>126</v>
      </c>
      <c r="P1060" s="18" t="s">
        <v>131</v>
      </c>
      <c r="Q1060" s="18" t="s">
        <v>132</v>
      </c>
      <c r="R1060" s="18" t="s">
        <v>133</v>
      </c>
      <c r="S1060" s="18" t="s">
        <v>59</v>
      </c>
      <c r="T1060" s="38">
        <v>2026.0</v>
      </c>
      <c r="U1060" s="38">
        <v>5.0</v>
      </c>
      <c r="V1060" s="38">
        <v>1.081522198E9</v>
      </c>
      <c r="W1060" s="38">
        <v>1.081540268E9</v>
      </c>
      <c r="X1060" s="18" t="s">
        <v>2199</v>
      </c>
      <c r="Y1060" s="18" t="s">
        <v>2200</v>
      </c>
      <c r="Z1060" s="38">
        <v>90798.0</v>
      </c>
      <c r="AA1060" s="38">
        <v>90798.0</v>
      </c>
      <c r="AB1060" s="38">
        <v>30266.0</v>
      </c>
      <c r="AC1060" s="38">
        <v>0.0</v>
      </c>
      <c r="AD1060" s="38">
        <v>0.0</v>
      </c>
      <c r="AE1060" s="38">
        <v>0.0</v>
      </c>
      <c r="AF1060" s="38">
        <v>0.0</v>
      </c>
      <c r="AG1060" s="38">
        <v>0.0</v>
      </c>
      <c r="AH1060" s="38">
        <v>0.0</v>
      </c>
      <c r="AI1060" s="38">
        <v>90798.0</v>
      </c>
      <c r="AJ1060" s="38">
        <v>90798.0</v>
      </c>
      <c r="AK1060" s="38">
        <v>0.0</v>
      </c>
      <c r="AL1060" s="38">
        <v>416.67</v>
      </c>
      <c r="AM1060" s="38">
        <v>0.0</v>
      </c>
      <c r="AN1060" s="34" t="s">
        <v>62</v>
      </c>
      <c r="AO1060" s="34" t="s">
        <v>62</v>
      </c>
      <c r="AP1060" s="34" t="s">
        <v>62</v>
      </c>
      <c r="AQ1060" s="34" t="s">
        <v>62</v>
      </c>
      <c r="AR1060" s="38">
        <v>0.0</v>
      </c>
      <c r="AS1060" s="38" t="s">
        <v>2271</v>
      </c>
      <c r="AT1060" s="35" t="s">
        <v>2202</v>
      </c>
      <c r="AU1060" s="39" t="s">
        <v>2203</v>
      </c>
      <c r="AV1060" s="40">
        <v>46163.0</v>
      </c>
    </row>
    <row r="1061">
      <c r="A1061" s="38">
        <v>285191.0</v>
      </c>
      <c r="B1061" s="38">
        <v>153217.0</v>
      </c>
      <c r="C1061" s="38">
        <v>153217.0</v>
      </c>
      <c r="D1061" s="38">
        <v>1007309.0</v>
      </c>
      <c r="E1061" s="38">
        <v>1007309.0</v>
      </c>
      <c r="F1061" s="38">
        <v>9.00276962E8</v>
      </c>
      <c r="G1061" s="18" t="s">
        <v>128</v>
      </c>
      <c r="H1061" s="18" t="s">
        <v>2269</v>
      </c>
      <c r="I1061" s="18" t="s">
        <v>2023</v>
      </c>
      <c r="J1061" s="18" t="s">
        <v>2205</v>
      </c>
      <c r="K1061" s="18" t="s">
        <v>2270</v>
      </c>
      <c r="L1061" s="18" t="s">
        <v>1998</v>
      </c>
      <c r="M1061" s="18" t="s">
        <v>1999</v>
      </c>
      <c r="N1061" s="18" t="s">
        <v>2000</v>
      </c>
      <c r="O1061" s="18" t="s">
        <v>126</v>
      </c>
      <c r="P1061" s="18" t="s">
        <v>131</v>
      </c>
      <c r="Q1061" s="18" t="s">
        <v>363</v>
      </c>
      <c r="R1061" s="18" t="s">
        <v>133</v>
      </c>
      <c r="S1061" s="18" t="s">
        <v>59</v>
      </c>
      <c r="T1061" s="38">
        <v>2026.0</v>
      </c>
      <c r="U1061" s="38">
        <v>5.0</v>
      </c>
      <c r="V1061" s="38">
        <v>1.081522201E9</v>
      </c>
      <c r="W1061" s="38">
        <v>1.081540271E9</v>
      </c>
      <c r="X1061" s="18" t="s">
        <v>2199</v>
      </c>
      <c r="Y1061" s="18" t="s">
        <v>2200</v>
      </c>
      <c r="Z1061" s="38">
        <v>57877.5</v>
      </c>
      <c r="AA1061" s="38">
        <v>57877.5</v>
      </c>
      <c r="AB1061" s="38">
        <v>19292.5</v>
      </c>
      <c r="AC1061" s="38">
        <v>0.0</v>
      </c>
      <c r="AD1061" s="38">
        <v>0.0</v>
      </c>
      <c r="AE1061" s="38">
        <v>0.0</v>
      </c>
      <c r="AF1061" s="38">
        <v>0.0</v>
      </c>
      <c r="AG1061" s="38">
        <v>0.0</v>
      </c>
      <c r="AH1061" s="38">
        <v>0.0</v>
      </c>
      <c r="AI1061" s="38">
        <v>57877.5</v>
      </c>
      <c r="AJ1061" s="38">
        <v>57877.5</v>
      </c>
      <c r="AK1061" s="38">
        <v>0.0</v>
      </c>
      <c r="AL1061" s="38">
        <v>416.67</v>
      </c>
      <c r="AM1061" s="38">
        <v>0.0</v>
      </c>
      <c r="AN1061" s="34" t="s">
        <v>62</v>
      </c>
      <c r="AO1061" s="34" t="s">
        <v>62</v>
      </c>
      <c r="AP1061" s="34" t="s">
        <v>62</v>
      </c>
      <c r="AQ1061" s="34" t="s">
        <v>62</v>
      </c>
      <c r="AR1061" s="38">
        <v>0.0</v>
      </c>
      <c r="AS1061" s="38" t="s">
        <v>2271</v>
      </c>
      <c r="AT1061" s="35" t="s">
        <v>2202</v>
      </c>
      <c r="AU1061" s="39" t="s">
        <v>2203</v>
      </c>
      <c r="AV1061" s="40">
        <v>46163.0</v>
      </c>
    </row>
    <row r="1062">
      <c r="A1062" s="38">
        <v>2126.0</v>
      </c>
      <c r="B1062" s="38">
        <v>2125.0</v>
      </c>
      <c r="C1062" s="38">
        <v>2125.0</v>
      </c>
      <c r="D1062" s="38">
        <v>9.0410609E7</v>
      </c>
      <c r="E1062" s="38">
        <v>9.0410609E7</v>
      </c>
      <c r="F1062" s="18" t="s">
        <v>1877</v>
      </c>
      <c r="G1062" s="18" t="s">
        <v>2029</v>
      </c>
      <c r="H1062" s="18" t="s">
        <v>3422</v>
      </c>
      <c r="I1062" s="18" t="s">
        <v>2006</v>
      </c>
      <c r="J1062" s="18" t="s">
        <v>2205</v>
      </c>
      <c r="K1062" s="18" t="s">
        <v>2205</v>
      </c>
      <c r="L1062" s="18" t="s">
        <v>1998</v>
      </c>
      <c r="M1062" s="18" t="s">
        <v>1999</v>
      </c>
      <c r="N1062" s="18" t="s">
        <v>2000</v>
      </c>
      <c r="O1062" s="18" t="s">
        <v>126</v>
      </c>
      <c r="P1062" s="18" t="s">
        <v>56</v>
      </c>
      <c r="Q1062" s="18" t="s">
        <v>57</v>
      </c>
      <c r="R1062" s="18" t="s">
        <v>143</v>
      </c>
      <c r="S1062" s="18" t="s">
        <v>59</v>
      </c>
      <c r="T1062" s="38">
        <v>2026.0</v>
      </c>
      <c r="U1062" s="38">
        <v>5.0</v>
      </c>
      <c r="V1062" s="38">
        <v>1.081522173E9</v>
      </c>
      <c r="W1062" s="38">
        <v>1.081540243E9</v>
      </c>
      <c r="X1062" s="18" t="s">
        <v>2199</v>
      </c>
      <c r="Y1062" s="18" t="s">
        <v>2200</v>
      </c>
      <c r="Z1062" s="38">
        <v>2044675.85</v>
      </c>
      <c r="AA1062" s="38">
        <v>2044675.85</v>
      </c>
      <c r="AB1062" s="38">
        <v>0.0</v>
      </c>
      <c r="AC1062" s="38">
        <v>9445.0</v>
      </c>
      <c r="AD1062" s="38">
        <v>0.0</v>
      </c>
      <c r="AE1062" s="38">
        <v>0.0</v>
      </c>
      <c r="AF1062" s="38">
        <v>0.0</v>
      </c>
      <c r="AG1062" s="38">
        <v>0.0</v>
      </c>
      <c r="AH1062" s="38">
        <v>0.0</v>
      </c>
      <c r="AI1062" s="38">
        <v>2044675.85</v>
      </c>
      <c r="AJ1062" s="38">
        <v>4039893.12</v>
      </c>
      <c r="AK1062" s="38">
        <v>1.0</v>
      </c>
      <c r="AL1062" s="38">
        <v>277.78</v>
      </c>
      <c r="AM1062" s="38">
        <v>0.0</v>
      </c>
      <c r="AN1062" s="34" t="s">
        <v>62</v>
      </c>
      <c r="AO1062" s="34" t="s">
        <v>62</v>
      </c>
      <c r="AP1062" s="34" t="s">
        <v>62</v>
      </c>
      <c r="AQ1062" s="34" t="s">
        <v>62</v>
      </c>
      <c r="AR1062" s="38">
        <v>0.0</v>
      </c>
      <c r="AS1062" s="39" t="s">
        <v>3423</v>
      </c>
      <c r="AT1062" s="35" t="s">
        <v>2202</v>
      </c>
      <c r="AU1062" s="39" t="s">
        <v>2203</v>
      </c>
      <c r="AV1062" s="40">
        <v>46171.0</v>
      </c>
    </row>
    <row r="1063">
      <c r="A1063" s="38">
        <v>232.0</v>
      </c>
      <c r="B1063" s="38">
        <v>2153.0</v>
      </c>
      <c r="C1063" s="38">
        <v>2153.0</v>
      </c>
      <c r="D1063" s="38">
        <v>9.0416206E7</v>
      </c>
      <c r="E1063" s="38">
        <v>9.0416206E7</v>
      </c>
      <c r="F1063" s="38">
        <v>8.30122566E8</v>
      </c>
      <c r="G1063" s="18" t="s">
        <v>193</v>
      </c>
      <c r="H1063" s="18" t="s">
        <v>2282</v>
      </c>
      <c r="I1063" s="18" t="s">
        <v>2031</v>
      </c>
      <c r="J1063" s="18" t="s">
        <v>2205</v>
      </c>
      <c r="K1063" s="18" t="s">
        <v>2283</v>
      </c>
      <c r="L1063" s="18" t="s">
        <v>1998</v>
      </c>
      <c r="M1063" s="18" t="s">
        <v>2011</v>
      </c>
      <c r="N1063" s="18" t="s">
        <v>2000</v>
      </c>
      <c r="O1063" s="18" t="s">
        <v>126</v>
      </c>
      <c r="P1063" s="18" t="s">
        <v>131</v>
      </c>
      <c r="Q1063" s="18" t="s">
        <v>363</v>
      </c>
      <c r="R1063" s="18" t="s">
        <v>133</v>
      </c>
      <c r="S1063" s="18" t="s">
        <v>59</v>
      </c>
      <c r="T1063" s="38">
        <v>2026.0</v>
      </c>
      <c r="U1063" s="38">
        <v>5.0</v>
      </c>
      <c r="V1063" s="38">
        <v>1.081522177E9</v>
      </c>
      <c r="W1063" s="38">
        <v>1.081540247E9</v>
      </c>
      <c r="X1063" s="18" t="s">
        <v>2199</v>
      </c>
      <c r="Y1063" s="18" t="s">
        <v>2200</v>
      </c>
      <c r="Z1063" s="38">
        <v>57877.5</v>
      </c>
      <c r="AA1063" s="38">
        <v>57877.5</v>
      </c>
      <c r="AB1063" s="38">
        <v>19292.5</v>
      </c>
      <c r="AC1063" s="38">
        <v>0.0</v>
      </c>
      <c r="AD1063" s="38">
        <v>0.0</v>
      </c>
      <c r="AE1063" s="38">
        <v>0.0</v>
      </c>
      <c r="AF1063" s="38">
        <v>0.0</v>
      </c>
      <c r="AG1063" s="38">
        <v>0.0</v>
      </c>
      <c r="AH1063" s="38">
        <v>0.0</v>
      </c>
      <c r="AI1063" s="38">
        <v>57877.5</v>
      </c>
      <c r="AJ1063" s="38">
        <v>115183.5</v>
      </c>
      <c r="AK1063" s="38">
        <v>1.0</v>
      </c>
      <c r="AL1063" s="38">
        <v>416.67</v>
      </c>
      <c r="AM1063" s="38">
        <v>0.0</v>
      </c>
      <c r="AN1063" s="34" t="s">
        <v>62</v>
      </c>
      <c r="AO1063" s="34" t="s">
        <v>62</v>
      </c>
      <c r="AP1063" s="34" t="s">
        <v>62</v>
      </c>
      <c r="AQ1063" s="34" t="s">
        <v>62</v>
      </c>
      <c r="AR1063" s="38">
        <v>0.0</v>
      </c>
      <c r="AS1063" s="38" t="s">
        <v>2284</v>
      </c>
      <c r="AT1063" s="35" t="s">
        <v>2202</v>
      </c>
      <c r="AU1063" s="39" t="s">
        <v>2203</v>
      </c>
      <c r="AV1063" s="40">
        <v>46164.0</v>
      </c>
    </row>
    <row r="1064">
      <c r="A1064" s="38">
        <v>2162.0</v>
      </c>
      <c r="B1064" s="38">
        <v>2161.0</v>
      </c>
      <c r="C1064" s="38">
        <v>2161.0</v>
      </c>
      <c r="D1064" s="38">
        <v>9.0423467E7</v>
      </c>
      <c r="E1064" s="38">
        <v>9.0423467E7</v>
      </c>
      <c r="F1064" s="18" t="s">
        <v>2033</v>
      </c>
      <c r="G1064" s="18" t="s">
        <v>2034</v>
      </c>
      <c r="H1064" s="18" t="s">
        <v>3424</v>
      </c>
      <c r="I1064" s="18" t="s">
        <v>2035</v>
      </c>
      <c r="J1064" s="18" t="s">
        <v>2011</v>
      </c>
      <c r="K1064" s="18" t="s">
        <v>2205</v>
      </c>
      <c r="L1064" s="18" t="s">
        <v>1998</v>
      </c>
      <c r="M1064" s="18" t="s">
        <v>1999</v>
      </c>
      <c r="N1064" s="18" t="s">
        <v>2000</v>
      </c>
      <c r="O1064" s="18" t="s">
        <v>126</v>
      </c>
      <c r="P1064" s="18" t="s">
        <v>131</v>
      </c>
      <c r="Q1064" s="18" t="s">
        <v>363</v>
      </c>
      <c r="R1064" s="18" t="s">
        <v>133</v>
      </c>
      <c r="S1064" s="18" t="s">
        <v>59</v>
      </c>
      <c r="T1064" s="38">
        <v>2026.0</v>
      </c>
      <c r="U1064" s="38">
        <v>5.0</v>
      </c>
      <c r="V1064" s="38">
        <v>1.08152218E9</v>
      </c>
      <c r="W1064" s="38">
        <v>1.08154025E9</v>
      </c>
      <c r="X1064" s="18" t="s">
        <v>2199</v>
      </c>
      <c r="Y1064" s="18" t="s">
        <v>2200</v>
      </c>
      <c r="Z1064" s="38">
        <v>57877.51</v>
      </c>
      <c r="AA1064" s="38">
        <v>57877.51</v>
      </c>
      <c r="AB1064" s="38">
        <v>19292.5</v>
      </c>
      <c r="AC1064" s="38">
        <v>0.0</v>
      </c>
      <c r="AD1064" s="38">
        <v>0.01</v>
      </c>
      <c r="AE1064" s="38">
        <v>0.0</v>
      </c>
      <c r="AF1064" s="38">
        <v>0.0</v>
      </c>
      <c r="AG1064" s="38">
        <v>0.0</v>
      </c>
      <c r="AH1064" s="38">
        <v>0.0</v>
      </c>
      <c r="AI1064" s="38">
        <v>57877.51</v>
      </c>
      <c r="AJ1064" s="38">
        <v>115184.01</v>
      </c>
      <c r="AK1064" s="38">
        <v>2.0</v>
      </c>
      <c r="AL1064" s="38">
        <v>416.67</v>
      </c>
      <c r="AM1064" s="38">
        <v>0.0</v>
      </c>
      <c r="AN1064" s="34" t="s">
        <v>62</v>
      </c>
      <c r="AO1064" s="34" t="s">
        <v>62</v>
      </c>
      <c r="AP1064" s="34" t="s">
        <v>62</v>
      </c>
      <c r="AQ1064" s="34" t="s">
        <v>62</v>
      </c>
      <c r="AR1064" s="38">
        <v>0.0</v>
      </c>
      <c r="AS1064" s="38" t="s">
        <v>3425</v>
      </c>
      <c r="AT1064" s="35" t="s">
        <v>2275</v>
      </c>
      <c r="AU1064" s="39" t="s">
        <v>3250</v>
      </c>
      <c r="AV1064" s="40">
        <v>46163.0</v>
      </c>
    </row>
    <row r="1065">
      <c r="A1065" s="38">
        <v>285191.0</v>
      </c>
      <c r="B1065" s="38">
        <v>368017.0</v>
      </c>
      <c r="C1065" s="38">
        <v>375301.0</v>
      </c>
      <c r="D1065" s="38">
        <v>1048303.0</v>
      </c>
      <c r="E1065" s="38">
        <v>1048303.0</v>
      </c>
      <c r="F1065" s="38">
        <v>9.00276962E8</v>
      </c>
      <c r="G1065" s="18" t="s">
        <v>128</v>
      </c>
      <c r="H1065" s="18" t="s">
        <v>2269</v>
      </c>
      <c r="I1065" s="18" t="s">
        <v>869</v>
      </c>
      <c r="J1065" s="18" t="s">
        <v>2011</v>
      </c>
      <c r="K1065" s="18" t="s">
        <v>2205</v>
      </c>
      <c r="L1065" s="18" t="s">
        <v>1998</v>
      </c>
      <c r="M1065" s="18" t="s">
        <v>1999</v>
      </c>
      <c r="N1065" s="18" t="s">
        <v>2000</v>
      </c>
      <c r="O1065" s="18" t="s">
        <v>126</v>
      </c>
      <c r="P1065" s="18" t="s">
        <v>131</v>
      </c>
      <c r="Q1065" s="18" t="s">
        <v>132</v>
      </c>
      <c r="R1065" s="18" t="s">
        <v>133</v>
      </c>
      <c r="S1065" s="18" t="s">
        <v>163</v>
      </c>
      <c r="T1065" s="38">
        <v>2026.0</v>
      </c>
      <c r="U1065" s="38">
        <v>5.0</v>
      </c>
      <c r="V1065" s="38">
        <v>1.081522203E9</v>
      </c>
      <c r="W1065" s="38">
        <v>1.081540273E9</v>
      </c>
      <c r="X1065" s="18" t="s">
        <v>2199</v>
      </c>
      <c r="Y1065" s="18" t="s">
        <v>2200</v>
      </c>
      <c r="Z1065" s="38">
        <v>23962.5</v>
      </c>
      <c r="AA1065" s="38">
        <v>23962.5</v>
      </c>
      <c r="AB1065" s="38">
        <v>7987.5</v>
      </c>
      <c r="AC1065" s="38">
        <v>0.0</v>
      </c>
      <c r="AD1065" s="38">
        <v>0.0</v>
      </c>
      <c r="AE1065" s="38">
        <v>0.0</v>
      </c>
      <c r="AF1065" s="38">
        <v>0.0</v>
      </c>
      <c r="AG1065" s="38">
        <v>0.0</v>
      </c>
      <c r="AH1065" s="38">
        <v>0.0</v>
      </c>
      <c r="AI1065" s="38">
        <v>23962.5</v>
      </c>
      <c r="AJ1065" s="38">
        <v>23962.5</v>
      </c>
      <c r="AK1065" s="38">
        <v>0.0</v>
      </c>
      <c r="AL1065" s="38">
        <v>416.67</v>
      </c>
      <c r="AM1065" s="38">
        <v>0.0</v>
      </c>
      <c r="AN1065" s="34" t="s">
        <v>62</v>
      </c>
      <c r="AO1065" s="34" t="s">
        <v>62</v>
      </c>
      <c r="AP1065" s="34" t="s">
        <v>62</v>
      </c>
      <c r="AQ1065" s="34" t="s">
        <v>62</v>
      </c>
      <c r="AR1065" s="38">
        <v>0.0</v>
      </c>
      <c r="AS1065" s="34"/>
      <c r="AT1065" s="38" t="s">
        <v>2275</v>
      </c>
      <c r="AU1065" s="39" t="s">
        <v>3250</v>
      </c>
      <c r="AV1065" s="40">
        <v>46163.0</v>
      </c>
    </row>
    <row r="1066">
      <c r="A1066" s="38">
        <v>535856.0</v>
      </c>
      <c r="B1066" s="38">
        <v>470561.0</v>
      </c>
      <c r="C1066" s="38">
        <v>506549.0</v>
      </c>
      <c r="D1066" s="38">
        <v>1113322.0</v>
      </c>
      <c r="E1066" s="38">
        <v>1113322.0</v>
      </c>
      <c r="F1066" s="38">
        <v>1113322.0</v>
      </c>
      <c r="G1066" s="18" t="s">
        <v>2038</v>
      </c>
      <c r="H1066" s="18" t="s">
        <v>3426</v>
      </c>
      <c r="I1066" s="18" t="s">
        <v>2039</v>
      </c>
      <c r="J1066" s="18" t="s">
        <v>2205</v>
      </c>
      <c r="K1066" s="18" t="s">
        <v>2270</v>
      </c>
      <c r="L1066" s="18" t="s">
        <v>52</v>
      </c>
      <c r="M1066" s="18" t="s">
        <v>53</v>
      </c>
      <c r="N1066" s="18" t="s">
        <v>2000</v>
      </c>
      <c r="O1066" s="18" t="s">
        <v>126</v>
      </c>
      <c r="P1066" s="18" t="s">
        <v>56</v>
      </c>
      <c r="Q1066" s="18" t="s">
        <v>90</v>
      </c>
      <c r="R1066" s="18" t="s">
        <v>143</v>
      </c>
      <c r="S1066" s="18" t="s">
        <v>59</v>
      </c>
      <c r="T1066" s="38">
        <v>2026.0</v>
      </c>
      <c r="U1066" s="38">
        <v>5.0</v>
      </c>
      <c r="V1066" s="38">
        <v>1.081522205E9</v>
      </c>
      <c r="W1066" s="38">
        <v>1.081540275E9</v>
      </c>
      <c r="X1066" s="18" t="s">
        <v>2199</v>
      </c>
      <c r="Y1066" s="18" t="s">
        <v>2200</v>
      </c>
      <c r="Z1066" s="38">
        <v>420934.75</v>
      </c>
      <c r="AA1066" s="38">
        <v>420934.75</v>
      </c>
      <c r="AB1066" s="38">
        <v>67243.25</v>
      </c>
      <c r="AC1066" s="38">
        <v>500.0</v>
      </c>
      <c r="AD1066" s="38">
        <v>0.0</v>
      </c>
      <c r="AE1066" s="38">
        <v>0.0</v>
      </c>
      <c r="AF1066" s="38">
        <v>0.0</v>
      </c>
      <c r="AG1066" s="38">
        <v>0.0</v>
      </c>
      <c r="AH1066" s="38">
        <v>0.0</v>
      </c>
      <c r="AI1066" s="38">
        <v>420934.75</v>
      </c>
      <c r="AJ1066" s="38">
        <v>535419.25</v>
      </c>
      <c r="AK1066" s="38">
        <v>1.0</v>
      </c>
      <c r="AL1066" s="38">
        <v>225625.0</v>
      </c>
      <c r="AM1066" s="38">
        <v>0.0</v>
      </c>
      <c r="AN1066" s="34" t="s">
        <v>62</v>
      </c>
      <c r="AO1066" s="34" t="s">
        <v>62</v>
      </c>
      <c r="AP1066" s="34" t="s">
        <v>62</v>
      </c>
      <c r="AQ1066" s="34" t="s">
        <v>62</v>
      </c>
      <c r="AR1066" s="38">
        <v>0.0</v>
      </c>
      <c r="AS1066" s="38" t="s">
        <v>2271</v>
      </c>
      <c r="AT1066" s="38" t="s">
        <v>2202</v>
      </c>
      <c r="AU1066" s="39" t="s">
        <v>2203</v>
      </c>
      <c r="AV1066" s="40">
        <v>46163.0</v>
      </c>
    </row>
    <row r="1067">
      <c r="A1067" s="38">
        <v>404633.0</v>
      </c>
      <c r="B1067" s="38">
        <v>79213.0</v>
      </c>
      <c r="C1067" s="38">
        <v>79213.0</v>
      </c>
      <c r="D1067" s="38">
        <v>108262.0</v>
      </c>
      <c r="E1067" s="38">
        <v>108262.0</v>
      </c>
      <c r="F1067" s="38">
        <v>8.60002964E8</v>
      </c>
      <c r="G1067" s="18" t="s">
        <v>705</v>
      </c>
      <c r="H1067" s="18" t="s">
        <v>2526</v>
      </c>
      <c r="I1067" s="18" t="s">
        <v>640</v>
      </c>
      <c r="J1067" s="18" t="s">
        <v>2205</v>
      </c>
      <c r="K1067" s="18" t="s">
        <v>2527</v>
      </c>
      <c r="L1067" s="18" t="s">
        <v>1998</v>
      </c>
      <c r="M1067" s="18" t="s">
        <v>2011</v>
      </c>
      <c r="N1067" s="18" t="s">
        <v>2000</v>
      </c>
      <c r="O1067" s="18" t="s">
        <v>126</v>
      </c>
      <c r="P1067" s="18" t="s">
        <v>131</v>
      </c>
      <c r="Q1067" s="18" t="s">
        <v>363</v>
      </c>
      <c r="R1067" s="18" t="s">
        <v>133</v>
      </c>
      <c r="S1067" s="18" t="s">
        <v>59</v>
      </c>
      <c r="T1067" s="38">
        <v>2026.0</v>
      </c>
      <c r="U1067" s="38">
        <v>5.0</v>
      </c>
      <c r="V1067" s="38">
        <v>1.081522182E9</v>
      </c>
      <c r="W1067" s="38">
        <v>1.081540252E9</v>
      </c>
      <c r="X1067" s="18" t="s">
        <v>2199</v>
      </c>
      <c r="Y1067" s="18" t="s">
        <v>2200</v>
      </c>
      <c r="Z1067" s="38">
        <v>58209.55</v>
      </c>
      <c r="AA1067" s="38">
        <v>58209.55</v>
      </c>
      <c r="AB1067" s="38">
        <v>19292.5</v>
      </c>
      <c r="AC1067" s="38">
        <v>0.0</v>
      </c>
      <c r="AD1067" s="38">
        <v>332.05</v>
      </c>
      <c r="AE1067" s="38">
        <v>0.0</v>
      </c>
      <c r="AF1067" s="38">
        <v>0.0</v>
      </c>
      <c r="AG1067" s="38">
        <v>0.0</v>
      </c>
      <c r="AH1067" s="38">
        <v>0.0</v>
      </c>
      <c r="AI1067" s="38">
        <v>58209.55</v>
      </c>
      <c r="AJ1067" s="38">
        <v>58210.05</v>
      </c>
      <c r="AK1067" s="38">
        <v>1.0</v>
      </c>
      <c r="AL1067" s="38">
        <v>416.67</v>
      </c>
      <c r="AM1067" s="38">
        <v>0.0</v>
      </c>
      <c r="AN1067" s="34" t="s">
        <v>62</v>
      </c>
      <c r="AO1067" s="34" t="s">
        <v>62</v>
      </c>
      <c r="AP1067" s="34" t="s">
        <v>62</v>
      </c>
      <c r="AQ1067" s="34" t="s">
        <v>62</v>
      </c>
      <c r="AR1067" s="38">
        <v>0.0</v>
      </c>
      <c r="AS1067" s="38" t="s">
        <v>2528</v>
      </c>
      <c r="AT1067" s="35" t="s">
        <v>2202</v>
      </c>
      <c r="AU1067" s="39" t="s">
        <v>2203</v>
      </c>
      <c r="AV1067" s="40">
        <v>46163.0</v>
      </c>
    </row>
    <row r="1068">
      <c r="A1068" s="38">
        <v>141.0</v>
      </c>
      <c r="B1068" s="38">
        <v>85729.0</v>
      </c>
      <c r="C1068" s="38">
        <v>85729.0</v>
      </c>
      <c r="D1068" s="38">
        <v>107086.0</v>
      </c>
      <c r="E1068" s="38">
        <v>107086.0</v>
      </c>
      <c r="F1068" s="38">
        <v>8.90500514E8</v>
      </c>
      <c r="G1068" s="18" t="s">
        <v>145</v>
      </c>
      <c r="H1068" s="18" t="s">
        <v>2266</v>
      </c>
      <c r="I1068" s="18" t="s">
        <v>2042</v>
      </c>
      <c r="J1068" s="18" t="s">
        <v>2205</v>
      </c>
      <c r="K1068" s="18" t="s">
        <v>2267</v>
      </c>
      <c r="L1068" s="18" t="s">
        <v>1998</v>
      </c>
      <c r="M1068" s="18" t="s">
        <v>2011</v>
      </c>
      <c r="N1068" s="18" t="s">
        <v>2000</v>
      </c>
      <c r="O1068" s="18" t="s">
        <v>126</v>
      </c>
      <c r="P1068" s="18" t="s">
        <v>131</v>
      </c>
      <c r="Q1068" s="18" t="s">
        <v>363</v>
      </c>
      <c r="R1068" s="18" t="s">
        <v>133</v>
      </c>
      <c r="S1068" s="18" t="s">
        <v>59</v>
      </c>
      <c r="T1068" s="38">
        <v>2026.0</v>
      </c>
      <c r="U1068" s="38">
        <v>5.0</v>
      </c>
      <c r="V1068" s="38">
        <v>1.081522186E9</v>
      </c>
      <c r="W1068" s="38">
        <v>1.081540256E9</v>
      </c>
      <c r="X1068" s="18" t="s">
        <v>2199</v>
      </c>
      <c r="Y1068" s="18" t="s">
        <v>2200</v>
      </c>
      <c r="Z1068" s="38">
        <v>57877.5</v>
      </c>
      <c r="AA1068" s="38">
        <v>57877.5</v>
      </c>
      <c r="AB1068" s="38">
        <v>19292.5</v>
      </c>
      <c r="AC1068" s="38">
        <v>0.0</v>
      </c>
      <c r="AD1068" s="38">
        <v>0.0</v>
      </c>
      <c r="AE1068" s="38">
        <v>0.0</v>
      </c>
      <c r="AF1068" s="38">
        <v>0.0</v>
      </c>
      <c r="AG1068" s="38">
        <v>0.0</v>
      </c>
      <c r="AH1068" s="38">
        <v>0.0</v>
      </c>
      <c r="AI1068" s="38">
        <v>57877.5</v>
      </c>
      <c r="AJ1068" s="38">
        <v>57877.5</v>
      </c>
      <c r="AK1068" s="38">
        <v>0.0</v>
      </c>
      <c r="AL1068" s="38">
        <v>416.67</v>
      </c>
      <c r="AM1068" s="38">
        <v>0.0</v>
      </c>
      <c r="AN1068" s="34" t="s">
        <v>62</v>
      </c>
      <c r="AO1068" s="34" t="s">
        <v>62</v>
      </c>
      <c r="AP1068" s="34" t="s">
        <v>62</v>
      </c>
      <c r="AQ1068" s="34" t="s">
        <v>62</v>
      </c>
      <c r="AR1068" s="38">
        <v>0.0</v>
      </c>
      <c r="AS1068" s="38" t="s">
        <v>2268</v>
      </c>
      <c r="AT1068" s="35" t="s">
        <v>2202</v>
      </c>
      <c r="AU1068" s="39" t="s">
        <v>2203</v>
      </c>
      <c r="AV1068" s="40">
        <v>46163.0</v>
      </c>
    </row>
    <row r="1069">
      <c r="A1069" s="38">
        <v>699.0</v>
      </c>
      <c r="B1069" s="38">
        <v>85805.0</v>
      </c>
      <c r="C1069" s="38">
        <v>85805.0</v>
      </c>
      <c r="D1069" s="38">
        <v>106871.0</v>
      </c>
      <c r="E1069" s="38">
        <v>106871.0</v>
      </c>
      <c r="F1069" s="38">
        <v>9.00480569E8</v>
      </c>
      <c r="G1069" s="18" t="s">
        <v>141</v>
      </c>
      <c r="H1069" s="18" t="s">
        <v>2255</v>
      </c>
      <c r="I1069" s="18" t="s">
        <v>2042</v>
      </c>
      <c r="J1069" s="18" t="s">
        <v>2205</v>
      </c>
      <c r="K1069" s="18" t="s">
        <v>3412</v>
      </c>
      <c r="L1069" s="18" t="s">
        <v>1998</v>
      </c>
      <c r="M1069" s="18" t="s">
        <v>2011</v>
      </c>
      <c r="N1069" s="18" t="s">
        <v>2000</v>
      </c>
      <c r="O1069" s="18" t="s">
        <v>126</v>
      </c>
      <c r="P1069" s="18" t="s">
        <v>56</v>
      </c>
      <c r="Q1069" s="18" t="s">
        <v>90</v>
      </c>
      <c r="R1069" s="18" t="s">
        <v>143</v>
      </c>
      <c r="S1069" s="18" t="s">
        <v>59</v>
      </c>
      <c r="T1069" s="38">
        <v>2026.0</v>
      </c>
      <c r="U1069" s="38">
        <v>5.0</v>
      </c>
      <c r="V1069" s="38">
        <v>1.08152219E9</v>
      </c>
      <c r="W1069" s="38">
        <v>1.08154026E9</v>
      </c>
      <c r="X1069" s="18" t="s">
        <v>2199</v>
      </c>
      <c r="Y1069" s="18" t="s">
        <v>2200</v>
      </c>
      <c r="Z1069" s="38">
        <v>185994.75</v>
      </c>
      <c r="AA1069" s="38">
        <v>185994.75</v>
      </c>
      <c r="AB1069" s="38">
        <v>61998.25</v>
      </c>
      <c r="AC1069" s="38">
        <v>500.0</v>
      </c>
      <c r="AD1069" s="38">
        <v>0.0</v>
      </c>
      <c r="AE1069" s="38">
        <v>0.0</v>
      </c>
      <c r="AF1069" s="38">
        <v>0.0</v>
      </c>
      <c r="AG1069" s="38">
        <v>0.0</v>
      </c>
      <c r="AH1069" s="38">
        <v>0.0</v>
      </c>
      <c r="AI1069" s="38">
        <v>185994.75</v>
      </c>
      <c r="AJ1069" s="38">
        <v>185994.75</v>
      </c>
      <c r="AK1069" s="38">
        <v>0.0</v>
      </c>
      <c r="AL1069" s="38">
        <v>416.67</v>
      </c>
      <c r="AM1069" s="38">
        <v>0.0</v>
      </c>
      <c r="AN1069" s="34" t="s">
        <v>62</v>
      </c>
      <c r="AO1069" s="34" t="s">
        <v>62</v>
      </c>
      <c r="AP1069" s="34" t="s">
        <v>62</v>
      </c>
      <c r="AQ1069" s="34" t="s">
        <v>62</v>
      </c>
      <c r="AR1069" s="38">
        <v>0.0</v>
      </c>
      <c r="AS1069" s="38" t="s">
        <v>2257</v>
      </c>
      <c r="AT1069" s="35" t="s">
        <v>2202</v>
      </c>
      <c r="AU1069" s="39" t="s">
        <v>2203</v>
      </c>
      <c r="AV1069" s="40">
        <v>46163.0</v>
      </c>
    </row>
    <row r="1070">
      <c r="A1070" s="38">
        <v>89374.0</v>
      </c>
      <c r="B1070" s="38">
        <v>89373.0</v>
      </c>
      <c r="C1070" s="38">
        <v>89373.0</v>
      </c>
      <c r="D1070" s="38">
        <v>268.0</v>
      </c>
      <c r="E1070" s="38">
        <v>268.0</v>
      </c>
      <c r="F1070" s="38">
        <v>9.01525686E8</v>
      </c>
      <c r="G1070" s="18" t="s">
        <v>2045</v>
      </c>
      <c r="H1070" s="18" t="s">
        <v>3427</v>
      </c>
      <c r="I1070" s="18" t="s">
        <v>2046</v>
      </c>
      <c r="J1070" s="18" t="s">
        <v>2205</v>
      </c>
      <c r="K1070" s="18" t="s">
        <v>2205</v>
      </c>
      <c r="L1070" s="18" t="s">
        <v>1998</v>
      </c>
      <c r="M1070" s="18" t="s">
        <v>1999</v>
      </c>
      <c r="N1070" s="18" t="s">
        <v>2000</v>
      </c>
      <c r="O1070" s="18" t="s">
        <v>126</v>
      </c>
      <c r="P1070" s="18" t="s">
        <v>131</v>
      </c>
      <c r="Q1070" s="18" t="s">
        <v>132</v>
      </c>
      <c r="R1070" s="18" t="s">
        <v>133</v>
      </c>
      <c r="S1070" s="18" t="s">
        <v>59</v>
      </c>
      <c r="T1070" s="38">
        <v>2026.0</v>
      </c>
      <c r="U1070" s="38">
        <v>5.0</v>
      </c>
      <c r="V1070" s="38">
        <v>1.081522195E9</v>
      </c>
      <c r="W1070" s="38">
        <v>1.081540265E9</v>
      </c>
      <c r="X1070" s="18" t="s">
        <v>2199</v>
      </c>
      <c r="Y1070" s="18" t="s">
        <v>2200</v>
      </c>
      <c r="Z1070" s="38">
        <v>90798.0</v>
      </c>
      <c r="AA1070" s="38">
        <v>90798.0</v>
      </c>
      <c r="AB1070" s="38">
        <v>30266.0</v>
      </c>
      <c r="AC1070" s="38">
        <v>0.0</v>
      </c>
      <c r="AD1070" s="38">
        <v>0.0</v>
      </c>
      <c r="AE1070" s="38">
        <v>0.0</v>
      </c>
      <c r="AF1070" s="38">
        <v>0.0</v>
      </c>
      <c r="AG1070" s="38">
        <v>0.0</v>
      </c>
      <c r="AH1070" s="38">
        <v>0.0</v>
      </c>
      <c r="AI1070" s="38">
        <v>90798.0</v>
      </c>
      <c r="AJ1070" s="38">
        <v>90798.0</v>
      </c>
      <c r="AK1070" s="38">
        <v>0.0</v>
      </c>
      <c r="AL1070" s="38">
        <v>416.67</v>
      </c>
      <c r="AM1070" s="38">
        <v>0.0</v>
      </c>
      <c r="AN1070" s="34" t="s">
        <v>62</v>
      </c>
      <c r="AO1070" s="34" t="s">
        <v>62</v>
      </c>
      <c r="AP1070" s="34" t="s">
        <v>62</v>
      </c>
      <c r="AQ1070" s="34" t="s">
        <v>62</v>
      </c>
      <c r="AR1070" s="38">
        <v>0.0</v>
      </c>
      <c r="AS1070" s="38" t="s">
        <v>3428</v>
      </c>
      <c r="AT1070" s="35" t="s">
        <v>2202</v>
      </c>
      <c r="AU1070" s="39" t="s">
        <v>2203</v>
      </c>
      <c r="AV1070" s="40">
        <v>46171.0</v>
      </c>
    </row>
    <row r="1071">
      <c r="A1071" s="38">
        <v>2125.0</v>
      </c>
      <c r="B1071" s="38">
        <v>2124.0</v>
      </c>
      <c r="C1071" s="38">
        <v>2124.0</v>
      </c>
      <c r="D1071" s="38">
        <v>9.0410607E7</v>
      </c>
      <c r="E1071" s="38">
        <v>9.0410607E7</v>
      </c>
      <c r="F1071" s="38">
        <v>8.99999068E8</v>
      </c>
      <c r="G1071" s="18" t="s">
        <v>2048</v>
      </c>
      <c r="H1071" s="18" t="s">
        <v>3429</v>
      </c>
      <c r="I1071" s="18" t="s">
        <v>76</v>
      </c>
      <c r="J1071" s="18" t="s">
        <v>2205</v>
      </c>
      <c r="K1071" s="18" t="s">
        <v>2205</v>
      </c>
      <c r="L1071" s="18" t="s">
        <v>1998</v>
      </c>
      <c r="M1071" s="18" t="s">
        <v>1999</v>
      </c>
      <c r="N1071" s="18" t="s">
        <v>2000</v>
      </c>
      <c r="O1071" s="18" t="s">
        <v>126</v>
      </c>
      <c r="P1071" s="18" t="s">
        <v>56</v>
      </c>
      <c r="Q1071" s="18" t="s">
        <v>90</v>
      </c>
      <c r="R1071" s="18" t="s">
        <v>143</v>
      </c>
      <c r="S1071" s="18" t="s">
        <v>59</v>
      </c>
      <c r="T1071" s="38">
        <v>2026.0</v>
      </c>
      <c r="U1071" s="38">
        <v>5.0</v>
      </c>
      <c r="V1071" s="38">
        <v>1.08152217E9</v>
      </c>
      <c r="W1071" s="38">
        <v>1.08154024E9</v>
      </c>
      <c r="X1071" s="18" t="s">
        <v>2199</v>
      </c>
      <c r="Y1071" s="18" t="s">
        <v>2200</v>
      </c>
      <c r="Z1071" s="38">
        <v>396152.97</v>
      </c>
      <c r="AA1071" s="38">
        <v>396152.97</v>
      </c>
      <c r="AB1071" s="38">
        <v>132051.0</v>
      </c>
      <c r="AC1071" s="38">
        <v>1152.5</v>
      </c>
      <c r="AD1071" s="38">
        <v>0.0</v>
      </c>
      <c r="AE1071" s="38">
        <v>0.0</v>
      </c>
      <c r="AF1071" s="38">
        <v>0.0</v>
      </c>
      <c r="AG1071" s="38">
        <v>0.0</v>
      </c>
      <c r="AH1071" s="38">
        <v>0.0</v>
      </c>
      <c r="AI1071" s="38">
        <v>396152.97</v>
      </c>
      <c r="AJ1071" s="38">
        <v>396152.97</v>
      </c>
      <c r="AK1071" s="38">
        <v>0.0</v>
      </c>
      <c r="AL1071" s="38">
        <v>416.67</v>
      </c>
      <c r="AM1071" s="38">
        <v>0.0</v>
      </c>
      <c r="AN1071" s="34" t="s">
        <v>62</v>
      </c>
      <c r="AO1071" s="34" t="s">
        <v>62</v>
      </c>
      <c r="AP1071" s="34" t="s">
        <v>62</v>
      </c>
      <c r="AQ1071" s="34" t="s">
        <v>62</v>
      </c>
      <c r="AR1071" s="38">
        <v>0.0</v>
      </c>
      <c r="AS1071" s="38" t="s">
        <v>3430</v>
      </c>
      <c r="AT1071" s="35" t="s">
        <v>2202</v>
      </c>
      <c r="AU1071" s="39" t="s">
        <v>2203</v>
      </c>
      <c r="AV1071" s="40">
        <v>46171.0</v>
      </c>
    </row>
    <row r="1072">
      <c r="A1072" s="38">
        <v>2129.0</v>
      </c>
      <c r="B1072" s="38">
        <v>2128.0</v>
      </c>
      <c r="C1072" s="38">
        <v>2128.0</v>
      </c>
      <c r="D1072" s="38">
        <v>9.0410612E7</v>
      </c>
      <c r="E1072" s="38">
        <v>9.0410612E7</v>
      </c>
      <c r="F1072" s="18" t="s">
        <v>2050</v>
      </c>
      <c r="G1072" s="18" t="s">
        <v>2051</v>
      </c>
      <c r="H1072" s="18" t="s">
        <v>3431</v>
      </c>
      <c r="I1072" s="18" t="s">
        <v>76</v>
      </c>
      <c r="J1072" s="18" t="s">
        <v>2011</v>
      </c>
      <c r="K1072" s="18" t="s">
        <v>2205</v>
      </c>
      <c r="L1072" s="18" t="s">
        <v>1998</v>
      </c>
      <c r="M1072" s="18" t="s">
        <v>1999</v>
      </c>
      <c r="N1072" s="18" t="s">
        <v>2000</v>
      </c>
      <c r="O1072" s="18" t="s">
        <v>126</v>
      </c>
      <c r="P1072" s="18" t="s">
        <v>131</v>
      </c>
      <c r="Q1072" s="18" t="s">
        <v>132</v>
      </c>
      <c r="R1072" s="18" t="s">
        <v>133</v>
      </c>
      <c r="S1072" s="18" t="s">
        <v>59</v>
      </c>
      <c r="T1072" s="38">
        <v>2026.0</v>
      </c>
      <c r="U1072" s="38">
        <v>5.0</v>
      </c>
      <c r="V1072" s="38">
        <v>1.081522175E9</v>
      </c>
      <c r="W1072" s="38">
        <v>1.081540245E9</v>
      </c>
      <c r="X1072" s="18" t="s">
        <v>2199</v>
      </c>
      <c r="Y1072" s="18" t="s">
        <v>2200</v>
      </c>
      <c r="Z1072" s="38">
        <v>90798.0</v>
      </c>
      <c r="AA1072" s="38">
        <v>90798.0</v>
      </c>
      <c r="AB1072" s="38">
        <v>30266.0</v>
      </c>
      <c r="AC1072" s="38">
        <v>0.0</v>
      </c>
      <c r="AD1072" s="38">
        <v>0.0</v>
      </c>
      <c r="AE1072" s="38">
        <v>0.0</v>
      </c>
      <c r="AF1072" s="38">
        <v>0.0</v>
      </c>
      <c r="AG1072" s="38">
        <v>0.0</v>
      </c>
      <c r="AH1072" s="38">
        <v>0.0</v>
      </c>
      <c r="AI1072" s="38">
        <v>90798.0</v>
      </c>
      <c r="AJ1072" s="38">
        <v>90798.0</v>
      </c>
      <c r="AK1072" s="38">
        <v>0.0</v>
      </c>
      <c r="AL1072" s="38">
        <v>416.67</v>
      </c>
      <c r="AM1072" s="38">
        <v>0.0</v>
      </c>
      <c r="AN1072" s="34" t="s">
        <v>62</v>
      </c>
      <c r="AO1072" s="34" t="s">
        <v>62</v>
      </c>
      <c r="AP1072" s="34" t="s">
        <v>62</v>
      </c>
      <c r="AQ1072" s="34" t="s">
        <v>62</v>
      </c>
      <c r="AR1072" s="38">
        <v>0.0</v>
      </c>
      <c r="AS1072" s="38" t="s">
        <v>3432</v>
      </c>
      <c r="AT1072" s="35" t="s">
        <v>2275</v>
      </c>
      <c r="AU1072" s="39" t="s">
        <v>3250</v>
      </c>
      <c r="AV1072" s="40">
        <v>46163.0</v>
      </c>
    </row>
    <row r="1073">
      <c r="A1073" s="38">
        <v>2133.0</v>
      </c>
      <c r="B1073" s="38">
        <v>2132.0</v>
      </c>
      <c r="C1073" s="38">
        <v>2132.0</v>
      </c>
      <c r="D1073" s="38">
        <v>9.0410617E7</v>
      </c>
      <c r="E1073" s="38">
        <v>9.0410617E7</v>
      </c>
      <c r="F1073" s="18" t="s">
        <v>2053</v>
      </c>
      <c r="G1073" s="18" t="s">
        <v>2054</v>
      </c>
      <c r="H1073" s="18" t="s">
        <v>3433</v>
      </c>
      <c r="I1073" s="18" t="s">
        <v>76</v>
      </c>
      <c r="J1073" s="18" t="s">
        <v>2205</v>
      </c>
      <c r="K1073" s="18" t="s">
        <v>2205</v>
      </c>
      <c r="L1073" s="18" t="s">
        <v>1998</v>
      </c>
      <c r="M1073" s="18" t="s">
        <v>1999</v>
      </c>
      <c r="N1073" s="18" t="s">
        <v>2000</v>
      </c>
      <c r="O1073" s="18" t="s">
        <v>126</v>
      </c>
      <c r="P1073" s="18" t="s">
        <v>131</v>
      </c>
      <c r="Q1073" s="18" t="s">
        <v>132</v>
      </c>
      <c r="R1073" s="18" t="s">
        <v>133</v>
      </c>
      <c r="S1073" s="18" t="s">
        <v>59</v>
      </c>
      <c r="T1073" s="38">
        <v>2026.0</v>
      </c>
      <c r="U1073" s="38">
        <v>5.0</v>
      </c>
      <c r="V1073" s="38">
        <v>1.081522176E9</v>
      </c>
      <c r="W1073" s="38">
        <v>1.081540246E9</v>
      </c>
      <c r="X1073" s="18" t="s">
        <v>2199</v>
      </c>
      <c r="Y1073" s="18" t="s">
        <v>2200</v>
      </c>
      <c r="Z1073" s="38">
        <v>92651.6</v>
      </c>
      <c r="AA1073" s="38">
        <v>92651.6</v>
      </c>
      <c r="AB1073" s="38">
        <v>30266.0</v>
      </c>
      <c r="AC1073" s="38">
        <v>0.0</v>
      </c>
      <c r="AD1073" s="38">
        <v>1853.6</v>
      </c>
      <c r="AE1073" s="38">
        <v>0.0</v>
      </c>
      <c r="AF1073" s="38">
        <v>0.0</v>
      </c>
      <c r="AG1073" s="38">
        <v>0.0</v>
      </c>
      <c r="AH1073" s="38">
        <v>0.0</v>
      </c>
      <c r="AI1073" s="38">
        <v>92651.6</v>
      </c>
      <c r="AJ1073" s="38">
        <v>275447.06</v>
      </c>
      <c r="AK1073" s="38">
        <v>3.0</v>
      </c>
      <c r="AL1073" s="38">
        <v>416.67</v>
      </c>
      <c r="AM1073" s="38">
        <v>0.0</v>
      </c>
      <c r="AN1073" s="34" t="s">
        <v>62</v>
      </c>
      <c r="AO1073" s="34" t="s">
        <v>62</v>
      </c>
      <c r="AP1073" s="34" t="s">
        <v>62</v>
      </c>
      <c r="AQ1073" s="34" t="s">
        <v>62</v>
      </c>
      <c r="AR1073" s="38">
        <v>0.0</v>
      </c>
      <c r="AS1073" s="38" t="s">
        <v>3434</v>
      </c>
      <c r="AT1073" s="35" t="s">
        <v>2202</v>
      </c>
      <c r="AU1073" s="39" t="s">
        <v>2203</v>
      </c>
      <c r="AV1073" s="40">
        <v>46171.0</v>
      </c>
    </row>
    <row r="1074">
      <c r="A1074" s="38">
        <v>2141.0</v>
      </c>
      <c r="B1074" s="38">
        <v>2140.0</v>
      </c>
      <c r="C1074" s="38">
        <v>2140.0</v>
      </c>
      <c r="D1074" s="38">
        <v>9.0410641E7</v>
      </c>
      <c r="E1074" s="38">
        <v>9.0410641E7</v>
      </c>
      <c r="F1074" s="18" t="s">
        <v>2056</v>
      </c>
      <c r="G1074" s="18" t="s">
        <v>2057</v>
      </c>
      <c r="H1074" s="18" t="s">
        <v>3435</v>
      </c>
      <c r="I1074" s="18" t="s">
        <v>76</v>
      </c>
      <c r="J1074" s="18" t="s">
        <v>2011</v>
      </c>
      <c r="K1074" s="18" t="s">
        <v>2205</v>
      </c>
      <c r="L1074" s="18" t="s">
        <v>1998</v>
      </c>
      <c r="M1074" s="18" t="s">
        <v>1999</v>
      </c>
      <c r="N1074" s="18" t="s">
        <v>2000</v>
      </c>
      <c r="O1074" s="18" t="s">
        <v>126</v>
      </c>
      <c r="P1074" s="18" t="s">
        <v>56</v>
      </c>
      <c r="Q1074" s="18" t="s">
        <v>90</v>
      </c>
      <c r="R1074" s="18" t="s">
        <v>143</v>
      </c>
      <c r="S1074" s="18" t="s">
        <v>59</v>
      </c>
      <c r="T1074" s="38">
        <v>2026.0</v>
      </c>
      <c r="U1074" s="38">
        <v>5.0</v>
      </c>
      <c r="V1074" s="38">
        <v>1.081522185E9</v>
      </c>
      <c r="W1074" s="38">
        <v>1.081540255E9</v>
      </c>
      <c r="X1074" s="18" t="s">
        <v>2199</v>
      </c>
      <c r="Y1074" s="18" t="s">
        <v>2200</v>
      </c>
      <c r="Z1074" s="38">
        <v>106226.63</v>
      </c>
      <c r="AA1074" s="38">
        <v>106226.63</v>
      </c>
      <c r="AB1074" s="38">
        <v>35158.13</v>
      </c>
      <c r="AC1074" s="38">
        <v>250.0</v>
      </c>
      <c r="AD1074" s="38">
        <v>752.25</v>
      </c>
      <c r="AE1074" s="38">
        <v>0.0</v>
      </c>
      <c r="AF1074" s="38">
        <v>0.0</v>
      </c>
      <c r="AG1074" s="38">
        <v>0.0</v>
      </c>
      <c r="AH1074" s="38">
        <v>0.0</v>
      </c>
      <c r="AI1074" s="38">
        <v>106226.63</v>
      </c>
      <c r="AJ1074" s="38">
        <v>106227.06</v>
      </c>
      <c r="AK1074" s="38">
        <v>1.0</v>
      </c>
      <c r="AL1074" s="38">
        <v>416.67</v>
      </c>
      <c r="AM1074" s="38">
        <v>0.0</v>
      </c>
      <c r="AN1074" s="34" t="s">
        <v>62</v>
      </c>
      <c r="AO1074" s="34" t="s">
        <v>62</v>
      </c>
      <c r="AP1074" s="34" t="s">
        <v>62</v>
      </c>
      <c r="AQ1074" s="34" t="s">
        <v>62</v>
      </c>
      <c r="AR1074" s="38">
        <v>0.0</v>
      </c>
      <c r="AS1074" s="38" t="s">
        <v>3436</v>
      </c>
      <c r="AT1074" s="35" t="s">
        <v>2275</v>
      </c>
      <c r="AU1074" s="39" t="s">
        <v>3250</v>
      </c>
      <c r="AV1074" s="40">
        <v>46163.0</v>
      </c>
    </row>
    <row r="1075">
      <c r="A1075" s="38">
        <v>2145.0</v>
      </c>
      <c r="B1075" s="38">
        <v>2144.0</v>
      </c>
      <c r="C1075" s="38">
        <v>2144.0</v>
      </c>
      <c r="D1075" s="38">
        <v>9.0410651E7</v>
      </c>
      <c r="E1075" s="38">
        <v>9.0410651E7</v>
      </c>
      <c r="F1075" s="38">
        <v>1.090473226E9</v>
      </c>
      <c r="G1075" s="18" t="s">
        <v>2059</v>
      </c>
      <c r="H1075" s="18" t="s">
        <v>3437</v>
      </c>
      <c r="I1075" s="18" t="s">
        <v>2006</v>
      </c>
      <c r="J1075" s="18" t="s">
        <v>2011</v>
      </c>
      <c r="K1075" s="18" t="s">
        <v>2205</v>
      </c>
      <c r="L1075" s="18" t="s">
        <v>1998</v>
      </c>
      <c r="M1075" s="18" t="s">
        <v>1999</v>
      </c>
      <c r="N1075" s="18" t="s">
        <v>2000</v>
      </c>
      <c r="O1075" s="18" t="s">
        <v>126</v>
      </c>
      <c r="P1075" s="18" t="s">
        <v>56</v>
      </c>
      <c r="Q1075" s="18" t="s">
        <v>90</v>
      </c>
      <c r="R1075" s="18" t="s">
        <v>143</v>
      </c>
      <c r="S1075" s="18" t="s">
        <v>59</v>
      </c>
      <c r="T1075" s="38">
        <v>2026.0</v>
      </c>
      <c r="U1075" s="38">
        <v>5.0</v>
      </c>
      <c r="V1075" s="38">
        <v>1.081522189E9</v>
      </c>
      <c r="W1075" s="38">
        <v>1.081540259E9</v>
      </c>
      <c r="X1075" s="18" t="s">
        <v>2199</v>
      </c>
      <c r="Y1075" s="18" t="s">
        <v>2200</v>
      </c>
      <c r="Z1075" s="38">
        <v>185766.45</v>
      </c>
      <c r="AA1075" s="38">
        <v>185766.45</v>
      </c>
      <c r="AB1075" s="38">
        <v>61729.86</v>
      </c>
      <c r="AC1075" s="38">
        <v>497.5</v>
      </c>
      <c r="AD1075" s="38">
        <v>576.88</v>
      </c>
      <c r="AE1075" s="38">
        <v>0.0</v>
      </c>
      <c r="AF1075" s="38">
        <v>0.0</v>
      </c>
      <c r="AG1075" s="38">
        <v>0.0</v>
      </c>
      <c r="AH1075" s="38">
        <v>0.0</v>
      </c>
      <c r="AI1075" s="38">
        <v>185766.45</v>
      </c>
      <c r="AJ1075" s="38">
        <v>367269.97</v>
      </c>
      <c r="AK1075" s="38">
        <v>1.0</v>
      </c>
      <c r="AL1075" s="38">
        <v>416.67</v>
      </c>
      <c r="AM1075" s="38">
        <v>0.0</v>
      </c>
      <c r="AN1075" s="34" t="s">
        <v>62</v>
      </c>
      <c r="AO1075" s="34" t="s">
        <v>62</v>
      </c>
      <c r="AP1075" s="34" t="s">
        <v>62</v>
      </c>
      <c r="AQ1075" s="34" t="s">
        <v>62</v>
      </c>
      <c r="AR1075" s="38">
        <v>0.0</v>
      </c>
      <c r="AS1075" s="38" t="s">
        <v>3438</v>
      </c>
      <c r="AT1075" s="35" t="s">
        <v>2275</v>
      </c>
      <c r="AU1075" s="39" t="s">
        <v>3250</v>
      </c>
      <c r="AV1075" s="40">
        <v>46163.0</v>
      </c>
    </row>
    <row r="1076">
      <c r="A1076" s="38">
        <v>2149.0</v>
      </c>
      <c r="B1076" s="38">
        <v>2148.0</v>
      </c>
      <c r="C1076" s="38">
        <v>2148.0</v>
      </c>
      <c r="D1076" s="38">
        <v>9.0415961E7</v>
      </c>
      <c r="E1076" s="38">
        <v>9.0415961E7</v>
      </c>
      <c r="F1076" s="38">
        <v>6.0296332E7</v>
      </c>
      <c r="G1076" s="18" t="s">
        <v>2061</v>
      </c>
      <c r="H1076" s="18" t="s">
        <v>3439</v>
      </c>
      <c r="I1076" s="18" t="s">
        <v>2006</v>
      </c>
      <c r="J1076" s="18" t="s">
        <v>2011</v>
      </c>
      <c r="K1076" s="18" t="s">
        <v>2205</v>
      </c>
      <c r="L1076" s="18" t="s">
        <v>1998</v>
      </c>
      <c r="M1076" s="18" t="s">
        <v>1999</v>
      </c>
      <c r="N1076" s="18" t="s">
        <v>2000</v>
      </c>
      <c r="O1076" s="18" t="s">
        <v>126</v>
      </c>
      <c r="P1076" s="18" t="s">
        <v>131</v>
      </c>
      <c r="Q1076" s="18" t="s">
        <v>132</v>
      </c>
      <c r="R1076" s="18" t="s">
        <v>133</v>
      </c>
      <c r="S1076" s="18" t="s">
        <v>59</v>
      </c>
      <c r="T1076" s="38">
        <v>2026.0</v>
      </c>
      <c r="U1076" s="38">
        <v>5.0</v>
      </c>
      <c r="V1076" s="38">
        <v>1.081522192E9</v>
      </c>
      <c r="W1076" s="38">
        <v>1.081540262E9</v>
      </c>
      <c r="X1076" s="18" t="s">
        <v>2199</v>
      </c>
      <c r="Y1076" s="18" t="s">
        <v>2200</v>
      </c>
      <c r="Z1076" s="38">
        <v>91425.95</v>
      </c>
      <c r="AA1076" s="38">
        <v>91425.95</v>
      </c>
      <c r="AB1076" s="38">
        <v>30266.0</v>
      </c>
      <c r="AC1076" s="38">
        <v>0.0</v>
      </c>
      <c r="AD1076" s="38">
        <v>627.95</v>
      </c>
      <c r="AE1076" s="38">
        <v>0.0</v>
      </c>
      <c r="AF1076" s="38">
        <v>0.0</v>
      </c>
      <c r="AG1076" s="38">
        <v>0.0</v>
      </c>
      <c r="AH1076" s="38">
        <v>0.0</v>
      </c>
      <c r="AI1076" s="38">
        <v>91425.95</v>
      </c>
      <c r="AJ1076" s="38">
        <v>180846.95</v>
      </c>
      <c r="AK1076" s="38">
        <v>1.0</v>
      </c>
      <c r="AL1076" s="38">
        <v>416.67</v>
      </c>
      <c r="AM1076" s="38">
        <v>0.0</v>
      </c>
      <c r="AN1076" s="34" t="s">
        <v>62</v>
      </c>
      <c r="AO1076" s="34" t="s">
        <v>62</v>
      </c>
      <c r="AP1076" s="34" t="s">
        <v>62</v>
      </c>
      <c r="AQ1076" s="34" t="s">
        <v>62</v>
      </c>
      <c r="AR1076" s="38">
        <v>0.0</v>
      </c>
      <c r="AS1076" s="38" t="s">
        <v>3440</v>
      </c>
      <c r="AT1076" s="35" t="s">
        <v>2275</v>
      </c>
      <c r="AU1076" s="39" t="s">
        <v>3250</v>
      </c>
      <c r="AV1076" s="40">
        <v>46163.0</v>
      </c>
    </row>
    <row r="1077">
      <c r="A1077" s="38">
        <v>232.0</v>
      </c>
      <c r="B1077" s="38">
        <v>2152.0</v>
      </c>
      <c r="C1077" s="38">
        <v>2152.0</v>
      </c>
      <c r="D1077" s="38">
        <v>9.041619E7</v>
      </c>
      <c r="E1077" s="38">
        <v>9.041619E7</v>
      </c>
      <c r="F1077" s="38">
        <v>8.30122566E8</v>
      </c>
      <c r="G1077" s="18" t="s">
        <v>193</v>
      </c>
      <c r="H1077" s="18" t="s">
        <v>2282</v>
      </c>
      <c r="I1077" s="18" t="s">
        <v>76</v>
      </c>
      <c r="J1077" s="18" t="s">
        <v>2205</v>
      </c>
      <c r="K1077" s="18" t="s">
        <v>2283</v>
      </c>
      <c r="L1077" s="18" t="s">
        <v>1998</v>
      </c>
      <c r="M1077" s="18" t="s">
        <v>2011</v>
      </c>
      <c r="N1077" s="18" t="s">
        <v>2000</v>
      </c>
      <c r="O1077" s="18" t="s">
        <v>126</v>
      </c>
      <c r="P1077" s="18" t="s">
        <v>131</v>
      </c>
      <c r="Q1077" s="18" t="s">
        <v>363</v>
      </c>
      <c r="R1077" s="18" t="s">
        <v>133</v>
      </c>
      <c r="S1077" s="18" t="s">
        <v>59</v>
      </c>
      <c r="T1077" s="38">
        <v>2026.0</v>
      </c>
      <c r="U1077" s="38">
        <v>5.0</v>
      </c>
      <c r="V1077" s="38">
        <v>1.081522194E9</v>
      </c>
      <c r="W1077" s="38">
        <v>1.081540264E9</v>
      </c>
      <c r="X1077" s="18" t="s">
        <v>2199</v>
      </c>
      <c r="Y1077" s="18" t="s">
        <v>2200</v>
      </c>
      <c r="Z1077" s="38">
        <v>57877.5</v>
      </c>
      <c r="AA1077" s="38">
        <v>57877.5</v>
      </c>
      <c r="AB1077" s="38">
        <v>19292.5</v>
      </c>
      <c r="AC1077" s="38">
        <v>0.0</v>
      </c>
      <c r="AD1077" s="38">
        <v>0.0</v>
      </c>
      <c r="AE1077" s="38">
        <v>0.0</v>
      </c>
      <c r="AF1077" s="38">
        <v>0.0</v>
      </c>
      <c r="AG1077" s="38">
        <v>0.0</v>
      </c>
      <c r="AH1077" s="38">
        <v>0.0</v>
      </c>
      <c r="AI1077" s="38">
        <v>57877.5</v>
      </c>
      <c r="AJ1077" s="38">
        <v>115183.5</v>
      </c>
      <c r="AK1077" s="38">
        <v>1.0</v>
      </c>
      <c r="AL1077" s="38">
        <v>416.67</v>
      </c>
      <c r="AM1077" s="38">
        <v>0.0</v>
      </c>
      <c r="AN1077" s="34" t="s">
        <v>62</v>
      </c>
      <c r="AO1077" s="34" t="s">
        <v>62</v>
      </c>
      <c r="AP1077" s="34" t="s">
        <v>62</v>
      </c>
      <c r="AQ1077" s="34" t="s">
        <v>62</v>
      </c>
      <c r="AR1077" s="38">
        <v>0.0</v>
      </c>
      <c r="AS1077" s="38" t="s">
        <v>2284</v>
      </c>
      <c r="AT1077" s="35" t="s">
        <v>2202</v>
      </c>
      <c r="AU1077" s="39" t="s">
        <v>2203</v>
      </c>
      <c r="AV1077" s="40">
        <v>46164.0</v>
      </c>
    </row>
    <row r="1078">
      <c r="A1078" s="38">
        <v>2161.0</v>
      </c>
      <c r="B1078" s="38">
        <v>2160.0</v>
      </c>
      <c r="C1078" s="38">
        <v>2160.0</v>
      </c>
      <c r="D1078" s="38">
        <v>9.0422721E7</v>
      </c>
      <c r="E1078" s="38">
        <v>9.0422721E7</v>
      </c>
      <c r="F1078" s="38">
        <v>8.905028E8</v>
      </c>
      <c r="G1078" s="18" t="s">
        <v>2064</v>
      </c>
      <c r="H1078" s="18" t="s">
        <v>3441</v>
      </c>
      <c r="I1078" s="18" t="s">
        <v>982</v>
      </c>
      <c r="J1078" s="18" t="s">
        <v>2011</v>
      </c>
      <c r="K1078" s="18" t="s">
        <v>2205</v>
      </c>
      <c r="L1078" s="18" t="s">
        <v>1998</v>
      </c>
      <c r="M1078" s="18" t="s">
        <v>1999</v>
      </c>
      <c r="N1078" s="18" t="s">
        <v>2000</v>
      </c>
      <c r="O1078" s="18" t="s">
        <v>126</v>
      </c>
      <c r="P1078" s="18" t="s">
        <v>131</v>
      </c>
      <c r="Q1078" s="18" t="s">
        <v>132</v>
      </c>
      <c r="R1078" s="18" t="s">
        <v>133</v>
      </c>
      <c r="S1078" s="18" t="s">
        <v>59</v>
      </c>
      <c r="T1078" s="38">
        <v>2026.0</v>
      </c>
      <c r="U1078" s="38">
        <v>5.0</v>
      </c>
      <c r="V1078" s="38">
        <v>1.081522197E9</v>
      </c>
      <c r="W1078" s="38">
        <v>1.081540267E9</v>
      </c>
      <c r="X1078" s="18" t="s">
        <v>2199</v>
      </c>
      <c r="Y1078" s="18" t="s">
        <v>2200</v>
      </c>
      <c r="Z1078" s="38">
        <v>90798.0</v>
      </c>
      <c r="AA1078" s="38">
        <v>90798.0</v>
      </c>
      <c r="AB1078" s="38">
        <v>30266.0</v>
      </c>
      <c r="AC1078" s="38">
        <v>0.0</v>
      </c>
      <c r="AD1078" s="38">
        <v>0.0</v>
      </c>
      <c r="AE1078" s="38">
        <v>0.0</v>
      </c>
      <c r="AF1078" s="38">
        <v>0.0</v>
      </c>
      <c r="AG1078" s="38">
        <v>0.0</v>
      </c>
      <c r="AH1078" s="38">
        <v>0.0</v>
      </c>
      <c r="AI1078" s="38">
        <v>90798.0</v>
      </c>
      <c r="AJ1078" s="38">
        <v>90798.53</v>
      </c>
      <c r="AK1078" s="38">
        <v>1.0</v>
      </c>
      <c r="AL1078" s="38">
        <v>416.67</v>
      </c>
      <c r="AM1078" s="38">
        <v>0.0</v>
      </c>
      <c r="AN1078" s="34" t="s">
        <v>62</v>
      </c>
      <c r="AO1078" s="34" t="s">
        <v>62</v>
      </c>
      <c r="AP1078" s="34" t="s">
        <v>62</v>
      </c>
      <c r="AQ1078" s="34" t="s">
        <v>62</v>
      </c>
      <c r="AR1078" s="38">
        <v>0.0</v>
      </c>
      <c r="AS1078" s="38" t="s">
        <v>3442</v>
      </c>
      <c r="AT1078" s="35" t="s">
        <v>2275</v>
      </c>
      <c r="AU1078" s="39" t="s">
        <v>3250</v>
      </c>
      <c r="AV1078" s="40">
        <v>46163.0</v>
      </c>
    </row>
    <row r="1079">
      <c r="A1079" s="38">
        <v>699.0</v>
      </c>
      <c r="B1079" s="38">
        <v>434908.0</v>
      </c>
      <c r="C1079" s="38">
        <v>456433.0</v>
      </c>
      <c r="D1079" s="38">
        <v>1086181.0</v>
      </c>
      <c r="E1079" s="38">
        <v>1086181.0</v>
      </c>
      <c r="F1079" s="38">
        <v>9.00480569E8</v>
      </c>
      <c r="G1079" s="18" t="s">
        <v>141</v>
      </c>
      <c r="H1079" s="18" t="s">
        <v>2255</v>
      </c>
      <c r="I1079" s="18" t="s">
        <v>2066</v>
      </c>
      <c r="J1079" s="18" t="s">
        <v>2205</v>
      </c>
      <c r="K1079" s="18" t="s">
        <v>3412</v>
      </c>
      <c r="L1079" s="18" t="s">
        <v>1998</v>
      </c>
      <c r="M1079" s="18" t="s">
        <v>2011</v>
      </c>
      <c r="N1079" s="18" t="s">
        <v>2000</v>
      </c>
      <c r="O1079" s="18" t="s">
        <v>126</v>
      </c>
      <c r="P1079" s="18" t="s">
        <v>56</v>
      </c>
      <c r="Q1079" s="18" t="s">
        <v>90</v>
      </c>
      <c r="R1079" s="18" t="s">
        <v>143</v>
      </c>
      <c r="S1079" s="18" t="s">
        <v>59</v>
      </c>
      <c r="T1079" s="38">
        <v>2026.0</v>
      </c>
      <c r="U1079" s="38">
        <v>5.0</v>
      </c>
      <c r="V1079" s="38">
        <v>1.081522207E9</v>
      </c>
      <c r="W1079" s="38">
        <v>1.081540277E9</v>
      </c>
      <c r="X1079" s="18" t="s">
        <v>2199</v>
      </c>
      <c r="Y1079" s="18" t="s">
        <v>2200</v>
      </c>
      <c r="Z1079" s="38">
        <v>359383.54</v>
      </c>
      <c r="AA1079" s="38">
        <v>359383.54</v>
      </c>
      <c r="AB1079" s="38">
        <v>118899.32</v>
      </c>
      <c r="AC1079" s="38">
        <v>1030.0</v>
      </c>
      <c r="AD1079" s="38">
        <v>2685.59</v>
      </c>
      <c r="AE1079" s="38">
        <v>0.0</v>
      </c>
      <c r="AF1079" s="38">
        <v>0.0</v>
      </c>
      <c r="AG1079" s="38">
        <v>0.0</v>
      </c>
      <c r="AH1079" s="38">
        <v>0.0</v>
      </c>
      <c r="AI1079" s="38">
        <v>359383.54</v>
      </c>
      <c r="AJ1079" s="38">
        <v>708199.61</v>
      </c>
      <c r="AK1079" s="38">
        <v>1.0</v>
      </c>
      <c r="AL1079" s="38">
        <v>416.67</v>
      </c>
      <c r="AM1079" s="38">
        <v>0.0</v>
      </c>
      <c r="AN1079" s="34" t="s">
        <v>62</v>
      </c>
      <c r="AO1079" s="34" t="s">
        <v>62</v>
      </c>
      <c r="AP1079" s="34" t="s">
        <v>62</v>
      </c>
      <c r="AQ1079" s="34" t="s">
        <v>62</v>
      </c>
      <c r="AR1079" s="38">
        <v>0.0</v>
      </c>
      <c r="AS1079" s="38" t="s">
        <v>2257</v>
      </c>
      <c r="AT1079" s="35" t="s">
        <v>2202</v>
      </c>
      <c r="AU1079" s="39" t="s">
        <v>2203</v>
      </c>
      <c r="AV1079" s="40">
        <v>46163.0</v>
      </c>
    </row>
    <row r="1080">
      <c r="A1080" s="38">
        <v>533877.0</v>
      </c>
      <c r="B1080" s="38">
        <v>470332.0</v>
      </c>
      <c r="C1080" s="38">
        <v>505482.0</v>
      </c>
      <c r="D1080" s="38">
        <v>1124963.0</v>
      </c>
      <c r="E1080" s="38">
        <v>1124963.0</v>
      </c>
      <c r="F1080" s="38">
        <v>1124963.0</v>
      </c>
      <c r="G1080" s="18" t="s">
        <v>2068</v>
      </c>
      <c r="H1080" s="18" t="s">
        <v>3443</v>
      </c>
      <c r="I1080" s="18" t="s">
        <v>2069</v>
      </c>
      <c r="J1080" s="18" t="s">
        <v>2205</v>
      </c>
      <c r="K1080" s="18" t="s">
        <v>2270</v>
      </c>
      <c r="L1080" s="18" t="s">
        <v>1998</v>
      </c>
      <c r="M1080" s="18" t="s">
        <v>2011</v>
      </c>
      <c r="N1080" s="18" t="s">
        <v>2000</v>
      </c>
      <c r="O1080" s="18" t="s">
        <v>126</v>
      </c>
      <c r="P1080" s="18" t="s">
        <v>131</v>
      </c>
      <c r="Q1080" s="18" t="s">
        <v>132</v>
      </c>
      <c r="R1080" s="18" t="s">
        <v>133</v>
      </c>
      <c r="S1080" s="18" t="s">
        <v>59</v>
      </c>
      <c r="T1080" s="38">
        <v>2026.0</v>
      </c>
      <c r="U1080" s="38">
        <v>5.0</v>
      </c>
      <c r="V1080" s="38">
        <v>1.081522208E9</v>
      </c>
      <c r="W1080" s="38">
        <v>1.081540278E9</v>
      </c>
      <c r="X1080" s="18" t="s">
        <v>2199</v>
      </c>
      <c r="Y1080" s="18" t="s">
        <v>2200</v>
      </c>
      <c r="Z1080" s="38">
        <v>348181.0</v>
      </c>
      <c r="AA1080" s="38">
        <v>348181.0</v>
      </c>
      <c r="AB1080" s="38">
        <v>30968.0</v>
      </c>
      <c r="AC1080" s="38">
        <v>0.0</v>
      </c>
      <c r="AD1080" s="38">
        <v>0.0</v>
      </c>
      <c r="AE1080" s="38">
        <v>0.0</v>
      </c>
      <c r="AF1080" s="38">
        <v>0.0</v>
      </c>
      <c r="AG1080" s="38">
        <v>0.0</v>
      </c>
      <c r="AH1080" s="38">
        <v>0.0</v>
      </c>
      <c r="AI1080" s="38">
        <v>348181.0</v>
      </c>
      <c r="AJ1080" s="38">
        <v>439708.0</v>
      </c>
      <c r="AK1080" s="38">
        <v>1.0</v>
      </c>
      <c r="AL1080" s="38">
        <v>262135.0</v>
      </c>
      <c r="AM1080" s="38">
        <v>0.0</v>
      </c>
      <c r="AN1080" s="34" t="s">
        <v>62</v>
      </c>
      <c r="AO1080" s="34" t="s">
        <v>62</v>
      </c>
      <c r="AP1080" s="34" t="s">
        <v>62</v>
      </c>
      <c r="AQ1080" s="34" t="s">
        <v>62</v>
      </c>
      <c r="AR1080" s="38">
        <v>0.0</v>
      </c>
      <c r="AS1080" s="38" t="s">
        <v>2271</v>
      </c>
      <c r="AT1080" s="38" t="s">
        <v>2202</v>
      </c>
      <c r="AU1080" s="39" t="s">
        <v>2203</v>
      </c>
      <c r="AV1080" s="40">
        <v>46163.0</v>
      </c>
    </row>
    <row r="1081">
      <c r="A1081" s="38">
        <v>699.0</v>
      </c>
      <c r="B1081" s="38">
        <v>472916.0</v>
      </c>
      <c r="C1081" s="38">
        <v>511547.0</v>
      </c>
      <c r="D1081" s="38">
        <v>1128051.0</v>
      </c>
      <c r="E1081" s="38">
        <v>1128051.0</v>
      </c>
      <c r="F1081" s="38">
        <v>9.00480569E8</v>
      </c>
      <c r="G1081" s="18" t="s">
        <v>141</v>
      </c>
      <c r="H1081" s="18" t="s">
        <v>2255</v>
      </c>
      <c r="I1081" s="18" t="s">
        <v>2023</v>
      </c>
      <c r="J1081" s="18" t="s">
        <v>2205</v>
      </c>
      <c r="K1081" s="18" t="s">
        <v>3412</v>
      </c>
      <c r="L1081" s="18" t="s">
        <v>1998</v>
      </c>
      <c r="M1081" s="18" t="s">
        <v>2011</v>
      </c>
      <c r="N1081" s="18" t="s">
        <v>2000</v>
      </c>
      <c r="O1081" s="18" t="s">
        <v>126</v>
      </c>
      <c r="P1081" s="18" t="s">
        <v>131</v>
      </c>
      <c r="Q1081" s="18" t="s">
        <v>132</v>
      </c>
      <c r="R1081" s="18" t="s">
        <v>133</v>
      </c>
      <c r="S1081" s="18" t="s">
        <v>59</v>
      </c>
      <c r="T1081" s="38">
        <v>2026.0</v>
      </c>
      <c r="U1081" s="38">
        <v>5.0</v>
      </c>
      <c r="V1081" s="38">
        <v>1.08152221E9</v>
      </c>
      <c r="W1081" s="38">
        <v>1.08154028E9</v>
      </c>
      <c r="X1081" s="18" t="s">
        <v>2199</v>
      </c>
      <c r="Y1081" s="18" t="s">
        <v>2200</v>
      </c>
      <c r="Z1081" s="38">
        <v>90798.0</v>
      </c>
      <c r="AA1081" s="38">
        <v>90798.0</v>
      </c>
      <c r="AB1081" s="38">
        <v>30266.0</v>
      </c>
      <c r="AC1081" s="38">
        <v>0.0</v>
      </c>
      <c r="AD1081" s="38">
        <v>0.0</v>
      </c>
      <c r="AE1081" s="38">
        <v>0.0</v>
      </c>
      <c r="AF1081" s="38">
        <v>0.0</v>
      </c>
      <c r="AG1081" s="38">
        <v>0.0</v>
      </c>
      <c r="AH1081" s="38">
        <v>0.0</v>
      </c>
      <c r="AI1081" s="38">
        <v>90798.0</v>
      </c>
      <c r="AJ1081" s="38">
        <v>90798.0</v>
      </c>
      <c r="AK1081" s="38">
        <v>0.0</v>
      </c>
      <c r="AL1081" s="38">
        <v>416.67</v>
      </c>
      <c r="AM1081" s="38">
        <v>0.0</v>
      </c>
      <c r="AN1081" s="34" t="s">
        <v>62</v>
      </c>
      <c r="AO1081" s="34" t="s">
        <v>62</v>
      </c>
      <c r="AP1081" s="34" t="s">
        <v>62</v>
      </c>
      <c r="AQ1081" s="34" t="s">
        <v>62</v>
      </c>
      <c r="AR1081" s="38">
        <v>0.0</v>
      </c>
      <c r="AS1081" s="38" t="s">
        <v>2257</v>
      </c>
      <c r="AT1081" s="35" t="s">
        <v>2202</v>
      </c>
      <c r="AU1081" s="39" t="s">
        <v>2203</v>
      </c>
      <c r="AV1081" s="40">
        <v>46163.0</v>
      </c>
    </row>
    <row r="1082">
      <c r="A1082" s="38">
        <v>699.0</v>
      </c>
      <c r="B1082" s="38">
        <v>475648.0</v>
      </c>
      <c r="C1082" s="38">
        <v>516337.0</v>
      </c>
      <c r="D1082" s="38">
        <v>1139746.0</v>
      </c>
      <c r="E1082" s="38">
        <v>1139746.0</v>
      </c>
      <c r="F1082" s="38">
        <v>9.00480569E8</v>
      </c>
      <c r="G1082" s="18" t="s">
        <v>141</v>
      </c>
      <c r="H1082" s="18" t="s">
        <v>2255</v>
      </c>
      <c r="I1082" s="18" t="s">
        <v>2006</v>
      </c>
      <c r="J1082" s="18" t="s">
        <v>2205</v>
      </c>
      <c r="K1082" s="18" t="s">
        <v>3412</v>
      </c>
      <c r="L1082" s="18" t="s">
        <v>1998</v>
      </c>
      <c r="M1082" s="18" t="s">
        <v>1999</v>
      </c>
      <c r="N1082" s="18" t="s">
        <v>2000</v>
      </c>
      <c r="O1082" s="18" t="s">
        <v>2024</v>
      </c>
      <c r="P1082" s="18" t="s">
        <v>131</v>
      </c>
      <c r="Q1082" s="18" t="s">
        <v>132</v>
      </c>
      <c r="R1082" s="18" t="s">
        <v>133</v>
      </c>
      <c r="S1082" s="18" t="s">
        <v>59</v>
      </c>
      <c r="T1082" s="38">
        <v>2026.0</v>
      </c>
      <c r="U1082" s="38">
        <v>5.0</v>
      </c>
      <c r="V1082" s="38">
        <v>1.081522211E9</v>
      </c>
      <c r="W1082" s="38">
        <v>1.081540281E9</v>
      </c>
      <c r="X1082" s="18" t="s">
        <v>2199</v>
      </c>
      <c r="Y1082" s="18" t="s">
        <v>2200</v>
      </c>
      <c r="Z1082" s="38">
        <v>86042.85</v>
      </c>
      <c r="AA1082" s="38">
        <v>86042.85</v>
      </c>
      <c r="AB1082" s="38">
        <v>28680.95</v>
      </c>
      <c r="AC1082" s="38">
        <v>0.0</v>
      </c>
      <c r="AD1082" s="38">
        <v>0.0</v>
      </c>
      <c r="AE1082" s="38">
        <v>0.0</v>
      </c>
      <c r="AF1082" s="38">
        <v>0.0</v>
      </c>
      <c r="AG1082" s="38">
        <v>0.0</v>
      </c>
      <c r="AH1082" s="38">
        <v>0.0</v>
      </c>
      <c r="AI1082" s="38">
        <v>86042.85</v>
      </c>
      <c r="AJ1082" s="38">
        <v>86042.85</v>
      </c>
      <c r="AK1082" s="38">
        <v>0.0</v>
      </c>
      <c r="AL1082" s="38">
        <v>-1168.38</v>
      </c>
      <c r="AM1082" s="38">
        <v>0.0</v>
      </c>
      <c r="AN1082" s="34" t="s">
        <v>62</v>
      </c>
      <c r="AO1082" s="34" t="s">
        <v>62</v>
      </c>
      <c r="AP1082" s="34" t="s">
        <v>62</v>
      </c>
      <c r="AQ1082" s="34" t="s">
        <v>62</v>
      </c>
      <c r="AR1082" s="38">
        <v>0.0</v>
      </c>
      <c r="AS1082" s="38" t="s">
        <v>2257</v>
      </c>
      <c r="AT1082" s="35" t="s">
        <v>2202</v>
      </c>
      <c r="AU1082" s="39" t="s">
        <v>2203</v>
      </c>
      <c r="AV1082" s="40">
        <v>46163.0</v>
      </c>
    </row>
    <row r="1083">
      <c r="A1083" s="38">
        <v>699.0</v>
      </c>
      <c r="B1083" s="38">
        <v>81600.0</v>
      </c>
      <c r="C1083" s="38">
        <v>81600.0</v>
      </c>
      <c r="D1083" s="38">
        <v>110166.0</v>
      </c>
      <c r="E1083" s="38">
        <v>110166.0</v>
      </c>
      <c r="F1083" s="38">
        <v>9.00480569E8</v>
      </c>
      <c r="G1083" s="18" t="s">
        <v>141</v>
      </c>
      <c r="H1083" s="18" t="s">
        <v>2255</v>
      </c>
      <c r="I1083" s="18" t="s">
        <v>2026</v>
      </c>
      <c r="J1083" s="18" t="s">
        <v>2205</v>
      </c>
      <c r="K1083" s="18" t="s">
        <v>3412</v>
      </c>
      <c r="L1083" s="18" t="s">
        <v>1998</v>
      </c>
      <c r="M1083" s="18" t="s">
        <v>2011</v>
      </c>
      <c r="N1083" s="18" t="s">
        <v>2000</v>
      </c>
      <c r="O1083" s="18" t="s">
        <v>126</v>
      </c>
      <c r="P1083" s="18" t="s">
        <v>56</v>
      </c>
      <c r="Q1083" s="18" t="s">
        <v>90</v>
      </c>
      <c r="R1083" s="18" t="s">
        <v>143</v>
      </c>
      <c r="S1083" s="18" t="s">
        <v>59</v>
      </c>
      <c r="T1083" s="38">
        <v>2026.0</v>
      </c>
      <c r="U1083" s="38">
        <v>5.0</v>
      </c>
      <c r="V1083" s="38">
        <v>1.0815222E9</v>
      </c>
      <c r="W1083" s="38">
        <v>1.08154027E9</v>
      </c>
      <c r="X1083" s="18" t="s">
        <v>2199</v>
      </c>
      <c r="Y1083" s="18" t="s">
        <v>2200</v>
      </c>
      <c r="Z1083" s="38">
        <v>826936.94</v>
      </c>
      <c r="AA1083" s="38">
        <v>826936.94</v>
      </c>
      <c r="AB1083" s="38">
        <v>275645.65</v>
      </c>
      <c r="AC1083" s="38">
        <v>2490.0</v>
      </c>
      <c r="AD1083" s="38">
        <v>0.0</v>
      </c>
      <c r="AE1083" s="38">
        <v>0.0</v>
      </c>
      <c r="AF1083" s="38">
        <v>0.0</v>
      </c>
      <c r="AG1083" s="38">
        <v>0.0</v>
      </c>
      <c r="AH1083" s="38">
        <v>0.0</v>
      </c>
      <c r="AI1083" s="38">
        <v>826936.94</v>
      </c>
      <c r="AJ1083" s="38">
        <v>826936.94</v>
      </c>
      <c r="AK1083" s="38">
        <v>0.0</v>
      </c>
      <c r="AL1083" s="38">
        <v>416.67</v>
      </c>
      <c r="AM1083" s="38">
        <v>0.0</v>
      </c>
      <c r="AN1083" s="34" t="s">
        <v>62</v>
      </c>
      <c r="AO1083" s="34" t="s">
        <v>62</v>
      </c>
      <c r="AP1083" s="34" t="s">
        <v>62</v>
      </c>
      <c r="AQ1083" s="34" t="s">
        <v>62</v>
      </c>
      <c r="AR1083" s="38">
        <v>0.0</v>
      </c>
      <c r="AS1083" s="38" t="s">
        <v>2257</v>
      </c>
      <c r="AT1083" s="35" t="s">
        <v>2202</v>
      </c>
      <c r="AU1083" s="39" t="s">
        <v>2203</v>
      </c>
      <c r="AV1083" s="40">
        <v>46163.0</v>
      </c>
    </row>
    <row r="1084">
      <c r="A1084" s="38">
        <v>84677.0</v>
      </c>
      <c r="B1084" s="38">
        <v>84676.0</v>
      </c>
      <c r="C1084" s="38">
        <v>84676.0</v>
      </c>
      <c r="D1084" s="38">
        <v>111925.0</v>
      </c>
      <c r="E1084" s="38">
        <v>111925.0</v>
      </c>
      <c r="F1084" s="38">
        <v>2209423.0</v>
      </c>
      <c r="G1084" s="18" t="s">
        <v>2074</v>
      </c>
      <c r="H1084" s="18" t="s">
        <v>3444</v>
      </c>
      <c r="I1084" s="18" t="s">
        <v>2023</v>
      </c>
      <c r="J1084" s="18" t="s">
        <v>2011</v>
      </c>
      <c r="K1084" s="18" t="s">
        <v>3410</v>
      </c>
      <c r="L1084" s="18" t="s">
        <v>1998</v>
      </c>
      <c r="M1084" s="18" t="s">
        <v>1999</v>
      </c>
      <c r="N1084" s="18" t="s">
        <v>2000</v>
      </c>
      <c r="O1084" s="18" t="s">
        <v>2024</v>
      </c>
      <c r="P1084" s="18" t="s">
        <v>131</v>
      </c>
      <c r="Q1084" s="18" t="s">
        <v>132</v>
      </c>
      <c r="R1084" s="18" t="s">
        <v>133</v>
      </c>
      <c r="S1084" s="18" t="s">
        <v>59</v>
      </c>
      <c r="T1084" s="38">
        <v>2026.0</v>
      </c>
      <c r="U1084" s="38">
        <v>5.0</v>
      </c>
      <c r="V1084" s="38">
        <v>1.081522202E9</v>
      </c>
      <c r="W1084" s="38">
        <v>1.081540272E9</v>
      </c>
      <c r="X1084" s="18" t="s">
        <v>2199</v>
      </c>
      <c r="Y1084" s="18" t="s">
        <v>2200</v>
      </c>
      <c r="Z1084" s="38">
        <v>86042.85</v>
      </c>
      <c r="AA1084" s="38">
        <v>86042.85</v>
      </c>
      <c r="AB1084" s="38">
        <v>28680.95</v>
      </c>
      <c r="AC1084" s="38">
        <v>0.0</v>
      </c>
      <c r="AD1084" s="38">
        <v>0.0</v>
      </c>
      <c r="AE1084" s="38">
        <v>0.0</v>
      </c>
      <c r="AF1084" s="38">
        <v>0.0</v>
      </c>
      <c r="AG1084" s="38">
        <v>0.0</v>
      </c>
      <c r="AH1084" s="38">
        <v>0.0</v>
      </c>
      <c r="AI1084" s="38">
        <v>86042.85</v>
      </c>
      <c r="AJ1084" s="38">
        <v>86042.85</v>
      </c>
      <c r="AK1084" s="38">
        <v>0.0</v>
      </c>
      <c r="AL1084" s="38">
        <v>-1168.38</v>
      </c>
      <c r="AM1084" s="38">
        <v>0.0</v>
      </c>
      <c r="AN1084" s="34" t="s">
        <v>62</v>
      </c>
      <c r="AO1084" s="34" t="s">
        <v>62</v>
      </c>
      <c r="AP1084" s="34" t="s">
        <v>62</v>
      </c>
      <c r="AQ1084" s="34" t="s">
        <v>62</v>
      </c>
      <c r="AR1084" s="38">
        <v>0.0</v>
      </c>
      <c r="AS1084" s="34"/>
      <c r="AT1084" s="35" t="s">
        <v>2275</v>
      </c>
      <c r="AU1084" s="39" t="s">
        <v>3250</v>
      </c>
      <c r="AV1084" s="40">
        <v>46163.0</v>
      </c>
    </row>
    <row r="1085">
      <c r="A1085" s="3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</row>
    <row r="1086">
      <c r="A1086" s="3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</row>
    <row r="1087">
      <c r="A1087" s="3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</row>
    <row r="1088">
      <c r="A1088" s="3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</row>
    <row r="1089">
      <c r="A1089" s="3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</row>
    <row r="1090">
      <c r="A1090" s="3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</row>
    <row r="1091">
      <c r="A1091" s="34"/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</row>
    <row r="1092">
      <c r="A1092" s="3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</row>
    <row r="1093">
      <c r="A1093" s="3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</row>
    <row r="1094">
      <c r="A1094" s="3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</row>
    <row r="1095">
      <c r="A1095" s="34"/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</row>
    <row r="1096">
      <c r="A1096" s="34"/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</row>
    <row r="1097">
      <c r="A1097" s="34"/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</row>
    <row r="1098">
      <c r="A1098" s="34"/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</row>
    <row r="1099">
      <c r="A1099" s="34"/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</row>
    <row r="1100">
      <c r="A1100" s="34"/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</row>
    <row r="1101">
      <c r="A1101" s="34"/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</row>
    <row r="1102">
      <c r="A1102" s="34"/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</row>
    <row r="1103">
      <c r="A1103" s="34"/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</row>
    <row r="1104">
      <c r="A1104" s="34"/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</row>
    <row r="1105">
      <c r="A1105" s="34"/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</row>
    <row r="1106">
      <c r="A1106" s="34"/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</row>
    <row r="1107">
      <c r="A1107" s="34"/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</row>
    <row r="1108">
      <c r="A1108" s="34"/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</row>
    <row r="1109">
      <c r="A1109" s="34"/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</row>
    <row r="1110">
      <c r="A1110" s="34"/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</row>
    <row r="1111">
      <c r="A1111" s="34"/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</row>
    <row r="1112">
      <c r="A1112" s="34"/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</row>
    <row r="1113">
      <c r="A1113" s="34"/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</row>
    <row r="1114">
      <c r="A1114" s="34"/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</row>
    <row r="1115">
      <c r="A1115" s="34"/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</row>
    <row r="1116">
      <c r="A1116" s="34"/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</row>
    <row r="1117">
      <c r="A1117" s="34"/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</row>
    <row r="1118">
      <c r="A1118" s="34"/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</row>
    <row r="1119">
      <c r="A1119" s="34"/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</row>
    <row r="1120">
      <c r="A1120" s="34"/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</row>
    <row r="1121">
      <c r="A1121" s="34"/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</row>
    <row r="1122">
      <c r="A1122" s="34"/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</row>
    <row r="1123">
      <c r="A1123" s="34"/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</row>
    <row r="1124">
      <c r="A1124" s="34"/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</row>
    <row r="1125">
      <c r="A1125" s="34"/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</row>
    <row r="1126">
      <c r="A1126" s="34"/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</row>
    <row r="1127">
      <c r="A1127" s="34"/>
      <c r="B1127" s="3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</row>
    <row r="1128">
      <c r="A1128" s="34"/>
      <c r="B1128" s="3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</row>
    <row r="1129">
      <c r="A1129" s="34"/>
      <c r="B1129" s="3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</row>
    <row r="1130">
      <c r="A1130" s="34"/>
      <c r="B1130" s="3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</row>
    <row r="1131">
      <c r="A1131" s="34"/>
      <c r="B1131" s="3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</row>
    <row r="1132">
      <c r="A1132" s="34"/>
      <c r="B1132" s="34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</row>
    <row r="1133">
      <c r="A1133" s="34"/>
      <c r="B1133" s="34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</row>
    <row r="1134">
      <c r="A1134" s="34"/>
      <c r="B1134" s="34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</row>
    <row r="1135">
      <c r="A1135" s="34"/>
      <c r="B1135" s="34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</row>
    <row r="1136">
      <c r="A1136" s="34"/>
      <c r="B1136" s="34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</row>
    <row r="1137">
      <c r="A1137" s="34"/>
      <c r="B1137" s="34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</row>
    <row r="1138">
      <c r="A1138" s="34"/>
      <c r="B1138" s="34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34"/>
      <c r="AR1138" s="34"/>
      <c r="AS1138" s="34"/>
      <c r="AT1138" s="34"/>
      <c r="AU1138" s="34"/>
      <c r="AV1138" s="34"/>
    </row>
    <row r="1139">
      <c r="A1139" s="34"/>
      <c r="B1139" s="34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4"/>
      <c r="AV1139" s="34"/>
    </row>
    <row r="1140">
      <c r="A1140" s="34"/>
      <c r="B1140" s="34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34"/>
      <c r="AR1140" s="34"/>
      <c r="AS1140" s="34"/>
      <c r="AT1140" s="34"/>
      <c r="AU1140" s="34"/>
      <c r="AV1140" s="34"/>
    </row>
    <row r="1141">
      <c r="A1141" s="34"/>
      <c r="B1141" s="3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  <c r="AT1141" s="34"/>
      <c r="AU1141" s="34"/>
      <c r="AV1141" s="34"/>
    </row>
    <row r="1142">
      <c r="A1142" s="34"/>
      <c r="B1142" s="34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34"/>
      <c r="AR1142" s="34"/>
      <c r="AS1142" s="34"/>
      <c r="AT1142" s="34"/>
      <c r="AU1142" s="34"/>
      <c r="AV1142" s="34"/>
    </row>
    <row r="1143">
      <c r="A1143" s="34"/>
      <c r="B1143" s="34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34"/>
      <c r="AR1143" s="34"/>
      <c r="AS1143" s="34"/>
      <c r="AT1143" s="34"/>
      <c r="AU1143" s="34"/>
      <c r="AV1143" s="34"/>
    </row>
    <row r="1144">
      <c r="A1144" s="34"/>
      <c r="B1144" s="34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34"/>
      <c r="AR1144" s="34"/>
      <c r="AS1144" s="34"/>
      <c r="AT1144" s="34"/>
      <c r="AU1144" s="34"/>
      <c r="AV1144" s="34"/>
    </row>
    <row r="1145">
      <c r="A1145" s="34"/>
      <c r="B1145" s="3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34"/>
      <c r="AR1145" s="34"/>
      <c r="AS1145" s="34"/>
      <c r="AT1145" s="34"/>
      <c r="AU1145" s="34"/>
      <c r="AV1145" s="34"/>
    </row>
    <row r="1146">
      <c r="A1146" s="34"/>
      <c r="B1146" s="34"/>
      <c r="C1146" s="34"/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34"/>
      <c r="AR1146" s="34"/>
      <c r="AS1146" s="34"/>
      <c r="AT1146" s="34"/>
      <c r="AU1146" s="34"/>
      <c r="AV1146" s="34"/>
    </row>
    <row r="1147">
      <c r="A1147" s="34"/>
      <c r="B1147" s="34"/>
      <c r="C1147" s="34"/>
      <c r="D1147" s="34"/>
      <c r="E1147" s="34"/>
      <c r="F1147" s="34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34"/>
      <c r="AR1147" s="34"/>
      <c r="AS1147" s="34"/>
      <c r="AT1147" s="34"/>
      <c r="AU1147" s="34"/>
      <c r="AV1147" s="34"/>
    </row>
    <row r="1148">
      <c r="A1148" s="34"/>
      <c r="B1148" s="34"/>
      <c r="C1148" s="34"/>
      <c r="D1148" s="34"/>
      <c r="E1148" s="34"/>
      <c r="F1148" s="34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34"/>
      <c r="AR1148" s="34"/>
      <c r="AS1148" s="34"/>
      <c r="AT1148" s="34"/>
      <c r="AU1148" s="34"/>
      <c r="AV1148" s="34"/>
    </row>
    <row r="1149">
      <c r="A1149" s="34"/>
      <c r="B1149" s="34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34"/>
      <c r="AR1149" s="34"/>
      <c r="AS1149" s="34"/>
      <c r="AT1149" s="34"/>
      <c r="AU1149" s="34"/>
      <c r="AV1149" s="34"/>
    </row>
    <row r="1150">
      <c r="A1150" s="34"/>
      <c r="B1150" s="34"/>
      <c r="C1150" s="34"/>
      <c r="D1150" s="34"/>
      <c r="E1150" s="34"/>
      <c r="F1150" s="34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34"/>
      <c r="AR1150" s="34"/>
      <c r="AS1150" s="34"/>
      <c r="AT1150" s="34"/>
      <c r="AU1150" s="34"/>
      <c r="AV1150" s="34"/>
    </row>
    <row r="1151">
      <c r="A1151" s="34"/>
      <c r="B1151" s="34"/>
      <c r="C1151" s="34"/>
      <c r="D1151" s="34"/>
      <c r="E1151" s="34"/>
      <c r="F1151" s="34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34"/>
      <c r="AR1151" s="34"/>
      <c r="AS1151" s="34"/>
      <c r="AT1151" s="34"/>
      <c r="AU1151" s="34"/>
      <c r="AV1151" s="34"/>
    </row>
    <row r="1152">
      <c r="A1152" s="34"/>
      <c r="B1152" s="34"/>
      <c r="C1152" s="34"/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34"/>
      <c r="AR1152" s="34"/>
      <c r="AS1152" s="34"/>
      <c r="AT1152" s="34"/>
      <c r="AU1152" s="34"/>
      <c r="AV1152" s="34"/>
    </row>
    <row r="1153">
      <c r="A1153" s="34"/>
      <c r="B1153" s="34"/>
      <c r="C1153" s="34"/>
      <c r="D1153" s="34"/>
      <c r="E1153" s="34"/>
      <c r="F1153" s="34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34"/>
      <c r="AR1153" s="34"/>
      <c r="AS1153" s="34"/>
      <c r="AT1153" s="34"/>
      <c r="AU1153" s="34"/>
      <c r="AV1153" s="34"/>
    </row>
    <row r="1154">
      <c r="A1154" s="34"/>
      <c r="B1154" s="34"/>
      <c r="C1154" s="34"/>
      <c r="D1154" s="34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34"/>
      <c r="AR1154" s="34"/>
      <c r="AS1154" s="34"/>
      <c r="AT1154" s="34"/>
      <c r="AU1154" s="34"/>
      <c r="AV1154" s="34"/>
    </row>
    <row r="1155">
      <c r="A1155" s="34"/>
      <c r="B1155" s="34"/>
      <c r="C1155" s="34"/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34"/>
      <c r="AR1155" s="34"/>
      <c r="AS1155" s="34"/>
      <c r="AT1155" s="34"/>
      <c r="AU1155" s="34"/>
      <c r="AV1155" s="34"/>
    </row>
    <row r="1156">
      <c r="A1156" s="34"/>
      <c r="B1156" s="34"/>
      <c r="C1156" s="34"/>
      <c r="D1156" s="34"/>
      <c r="E1156" s="34"/>
      <c r="F1156" s="34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34"/>
      <c r="AR1156" s="34"/>
      <c r="AS1156" s="34"/>
      <c r="AT1156" s="34"/>
      <c r="AU1156" s="34"/>
      <c r="AV1156" s="34"/>
    </row>
    <row r="1157">
      <c r="A1157" s="34"/>
      <c r="B1157" s="34"/>
      <c r="C1157" s="34"/>
      <c r="D1157" s="34"/>
      <c r="E1157" s="34"/>
      <c r="F1157" s="34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34"/>
      <c r="AR1157" s="34"/>
      <c r="AS1157" s="34"/>
      <c r="AT1157" s="34"/>
      <c r="AU1157" s="34"/>
      <c r="AV1157" s="34"/>
    </row>
    <row r="1158">
      <c r="A1158" s="34"/>
      <c r="B1158" s="34"/>
      <c r="C1158" s="34"/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34"/>
      <c r="AR1158" s="34"/>
      <c r="AS1158" s="34"/>
      <c r="AT1158" s="34"/>
      <c r="AU1158" s="34"/>
      <c r="AV1158" s="34"/>
    </row>
    <row r="1159">
      <c r="A1159" s="34"/>
      <c r="B1159" s="34"/>
      <c r="C1159" s="34"/>
      <c r="D1159" s="34"/>
      <c r="E1159" s="34"/>
      <c r="F1159" s="34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34"/>
      <c r="AR1159" s="34"/>
      <c r="AS1159" s="34"/>
      <c r="AT1159" s="34"/>
      <c r="AU1159" s="34"/>
      <c r="AV1159" s="34"/>
    </row>
    <row r="1160">
      <c r="A1160" s="34"/>
      <c r="B1160" s="34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34"/>
      <c r="AR1160" s="34"/>
      <c r="AS1160" s="34"/>
      <c r="AT1160" s="34"/>
      <c r="AU1160" s="34"/>
      <c r="AV1160" s="34"/>
    </row>
    <row r="1161">
      <c r="A1161" s="34"/>
      <c r="B1161" s="34"/>
      <c r="C1161" s="34"/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34"/>
      <c r="AR1161" s="34"/>
      <c r="AS1161" s="34"/>
      <c r="AT1161" s="34"/>
      <c r="AU1161" s="34"/>
      <c r="AV1161" s="34"/>
    </row>
    <row r="1162">
      <c r="A1162" s="34"/>
      <c r="B1162" s="34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34"/>
      <c r="AR1162" s="34"/>
      <c r="AS1162" s="34"/>
      <c r="AT1162" s="34"/>
      <c r="AU1162" s="34"/>
      <c r="AV1162" s="34"/>
    </row>
    <row r="1163">
      <c r="A1163" s="34"/>
      <c r="B1163" s="34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34"/>
      <c r="AR1163" s="34"/>
      <c r="AS1163" s="34"/>
      <c r="AT1163" s="34"/>
      <c r="AU1163" s="34"/>
      <c r="AV1163" s="34"/>
    </row>
    <row r="1164">
      <c r="A1164" s="34"/>
      <c r="B1164" s="34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34"/>
      <c r="AR1164" s="34"/>
      <c r="AS1164" s="34"/>
      <c r="AT1164" s="34"/>
      <c r="AU1164" s="34"/>
      <c r="AV1164" s="34"/>
    </row>
    <row r="1165">
      <c r="A1165" s="34"/>
      <c r="B1165" s="34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34"/>
      <c r="AR1165" s="34"/>
      <c r="AS1165" s="34"/>
      <c r="AT1165" s="34"/>
      <c r="AU1165" s="34"/>
      <c r="AV1165" s="34"/>
    </row>
    <row r="1166">
      <c r="A1166" s="34"/>
      <c r="B1166" s="34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34"/>
      <c r="AR1166" s="34"/>
      <c r="AS1166" s="34"/>
      <c r="AT1166" s="34"/>
      <c r="AU1166" s="34"/>
      <c r="AV1166" s="34"/>
    </row>
    <row r="1167">
      <c r="A1167" s="34"/>
      <c r="B1167" s="34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34"/>
      <c r="AR1167" s="34"/>
      <c r="AS1167" s="34"/>
      <c r="AT1167" s="34"/>
      <c r="AU1167" s="34"/>
      <c r="AV1167" s="34"/>
    </row>
    <row r="1168">
      <c r="A1168" s="34"/>
      <c r="B1168" s="3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34"/>
      <c r="AR1168" s="34"/>
      <c r="AS1168" s="34"/>
      <c r="AT1168" s="34"/>
      <c r="AU1168" s="34"/>
      <c r="AV1168" s="34"/>
    </row>
    <row r="1169">
      <c r="A1169" s="34"/>
      <c r="B1169" s="34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  <c r="Q1169" s="34"/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34"/>
      <c r="AR1169" s="34"/>
      <c r="AS1169" s="34"/>
      <c r="AT1169" s="34"/>
      <c r="AU1169" s="34"/>
      <c r="AV1169" s="34"/>
    </row>
    <row r="1170">
      <c r="A1170" s="34"/>
      <c r="B1170" s="34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34"/>
      <c r="AR1170" s="34"/>
      <c r="AS1170" s="34"/>
      <c r="AT1170" s="34"/>
      <c r="AU1170" s="34"/>
      <c r="AV1170" s="34"/>
    </row>
    <row r="1171">
      <c r="A1171" s="34"/>
      <c r="B1171" s="34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34"/>
      <c r="AR1171" s="34"/>
      <c r="AS1171" s="34"/>
      <c r="AT1171" s="34"/>
      <c r="AU1171" s="34"/>
      <c r="AV1171" s="34"/>
    </row>
    <row r="1172">
      <c r="A1172" s="34"/>
      <c r="B1172" s="3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34"/>
      <c r="AR1172" s="34"/>
      <c r="AS1172" s="34"/>
      <c r="AT1172" s="34"/>
      <c r="AU1172" s="34"/>
      <c r="AV1172" s="34"/>
    </row>
    <row r="1173">
      <c r="A1173" s="34"/>
      <c r="B1173" s="34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34"/>
      <c r="AR1173" s="34"/>
      <c r="AS1173" s="34"/>
      <c r="AT1173" s="34"/>
      <c r="AU1173" s="34"/>
      <c r="AV1173" s="34"/>
    </row>
    <row r="1174">
      <c r="A1174" s="34"/>
      <c r="B1174" s="34"/>
      <c r="C1174" s="34"/>
      <c r="D1174" s="34"/>
      <c r="E1174" s="34"/>
      <c r="F1174" s="34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34"/>
      <c r="AR1174" s="34"/>
      <c r="AS1174" s="34"/>
      <c r="AT1174" s="34"/>
      <c r="AU1174" s="34"/>
      <c r="AV1174" s="34"/>
    </row>
    <row r="1175">
      <c r="A1175" s="34"/>
      <c r="B1175" s="34"/>
      <c r="C1175" s="3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34"/>
      <c r="AR1175" s="34"/>
      <c r="AS1175" s="34"/>
      <c r="AT1175" s="34"/>
      <c r="AU1175" s="34"/>
      <c r="AV1175" s="34"/>
    </row>
    <row r="1176">
      <c r="A1176" s="34"/>
      <c r="B1176" s="34"/>
      <c r="C1176" s="34"/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34"/>
      <c r="AR1176" s="34"/>
      <c r="AS1176" s="34"/>
      <c r="AT1176" s="34"/>
      <c r="AU1176" s="34"/>
      <c r="AV1176" s="34"/>
    </row>
    <row r="1177">
      <c r="A1177" s="34"/>
      <c r="B1177" s="34"/>
      <c r="C1177" s="34"/>
      <c r="D1177" s="34"/>
      <c r="E1177" s="34"/>
      <c r="F1177" s="34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34"/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34"/>
      <c r="AR1177" s="34"/>
      <c r="AS1177" s="34"/>
      <c r="AT1177" s="34"/>
      <c r="AU1177" s="34"/>
      <c r="AV1177" s="34"/>
    </row>
    <row r="1178">
      <c r="A1178" s="34"/>
      <c r="B1178" s="34"/>
      <c r="C1178" s="34"/>
      <c r="D1178" s="34"/>
      <c r="E1178" s="34"/>
      <c r="F1178" s="34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34"/>
      <c r="AR1178" s="34"/>
      <c r="AS1178" s="34"/>
      <c r="AT1178" s="34"/>
      <c r="AU1178" s="34"/>
      <c r="AV1178" s="34"/>
    </row>
    <row r="1179">
      <c r="A1179" s="34"/>
      <c r="B1179" s="34"/>
      <c r="C1179" s="34"/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34"/>
      <c r="AR1179" s="34"/>
      <c r="AS1179" s="34"/>
      <c r="AT1179" s="34"/>
      <c r="AU1179" s="34"/>
      <c r="AV1179" s="34"/>
    </row>
    <row r="1180">
      <c r="A1180" s="34"/>
      <c r="B1180" s="34"/>
      <c r="C1180" s="34"/>
      <c r="D1180" s="34"/>
      <c r="E1180" s="34"/>
      <c r="F1180" s="34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34"/>
      <c r="AR1180" s="34"/>
      <c r="AS1180" s="34"/>
      <c r="AT1180" s="34"/>
      <c r="AU1180" s="34"/>
      <c r="AV1180" s="34"/>
    </row>
    <row r="1181">
      <c r="A1181" s="34"/>
      <c r="B1181" s="34"/>
      <c r="C1181" s="34"/>
      <c r="D1181" s="34"/>
      <c r="E1181" s="34"/>
      <c r="F1181" s="34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34"/>
      <c r="AR1181" s="34"/>
      <c r="AS1181" s="34"/>
      <c r="AT1181" s="34"/>
      <c r="AU1181" s="34"/>
      <c r="AV1181" s="34"/>
    </row>
    <row r="1182">
      <c r="A1182" s="34"/>
      <c r="B1182" s="34"/>
      <c r="C1182" s="34"/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34"/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34"/>
      <c r="AR1182" s="34"/>
      <c r="AS1182" s="34"/>
      <c r="AT1182" s="34"/>
      <c r="AU1182" s="34"/>
      <c r="AV1182" s="34"/>
    </row>
    <row r="1183">
      <c r="A1183" s="34"/>
      <c r="B1183" s="34"/>
      <c r="C1183" s="34"/>
      <c r="D1183" s="34"/>
      <c r="E1183" s="34"/>
      <c r="F1183" s="34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34"/>
      <c r="AR1183" s="34"/>
      <c r="AS1183" s="34"/>
      <c r="AT1183" s="34"/>
      <c r="AU1183" s="34"/>
      <c r="AV1183" s="34"/>
    </row>
    <row r="1184">
      <c r="A1184" s="34"/>
      <c r="B1184" s="34"/>
      <c r="C1184" s="34"/>
      <c r="D1184" s="34"/>
      <c r="E1184" s="34"/>
      <c r="F1184" s="34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34"/>
      <c r="AR1184" s="34"/>
      <c r="AS1184" s="34"/>
      <c r="AT1184" s="34"/>
      <c r="AU1184" s="34"/>
      <c r="AV1184" s="34"/>
    </row>
    <row r="1185">
      <c r="A1185" s="34"/>
      <c r="B1185" s="34"/>
      <c r="C1185" s="34"/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34"/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34"/>
      <c r="AR1185" s="34"/>
      <c r="AS1185" s="34"/>
      <c r="AT1185" s="34"/>
      <c r="AU1185" s="34"/>
      <c r="AV1185" s="34"/>
    </row>
    <row r="1186">
      <c r="A1186" s="34"/>
      <c r="B1186" s="34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34"/>
      <c r="AR1186" s="34"/>
      <c r="AS1186" s="34"/>
      <c r="AT1186" s="34"/>
      <c r="AU1186" s="34"/>
      <c r="AV1186" s="34"/>
    </row>
    <row r="1187">
      <c r="A1187" s="34"/>
      <c r="B1187" s="34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34"/>
      <c r="AR1187" s="34"/>
      <c r="AS1187" s="34"/>
      <c r="AT1187" s="34"/>
      <c r="AU1187" s="34"/>
      <c r="AV1187" s="34"/>
    </row>
    <row r="1188">
      <c r="A1188" s="34"/>
      <c r="B1188" s="34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34"/>
      <c r="AR1188" s="34"/>
      <c r="AS1188" s="34"/>
      <c r="AT1188" s="34"/>
      <c r="AU1188" s="34"/>
      <c r="AV1188" s="34"/>
    </row>
    <row r="1189">
      <c r="A1189" s="34"/>
      <c r="B1189" s="34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  <c r="Q1189" s="34"/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34"/>
      <c r="AR1189" s="34"/>
      <c r="AS1189" s="34"/>
      <c r="AT1189" s="34"/>
      <c r="AU1189" s="34"/>
      <c r="AV1189" s="34"/>
    </row>
    <row r="1190">
      <c r="A1190" s="34"/>
      <c r="B1190" s="34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34"/>
      <c r="AR1190" s="34"/>
      <c r="AS1190" s="34"/>
      <c r="AT1190" s="34"/>
      <c r="AU1190" s="34"/>
      <c r="AV1190" s="34"/>
    </row>
    <row r="1191">
      <c r="A1191" s="34"/>
      <c r="B1191" s="34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34"/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34"/>
      <c r="AR1191" s="34"/>
      <c r="AS1191" s="34"/>
      <c r="AT1191" s="34"/>
      <c r="AU1191" s="34"/>
      <c r="AV1191" s="34"/>
    </row>
    <row r="1192">
      <c r="A1192" s="34"/>
      <c r="B1192" s="3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34"/>
      <c r="AR1192" s="34"/>
      <c r="AS1192" s="34"/>
      <c r="AT1192" s="34"/>
      <c r="AU1192" s="34"/>
      <c r="AV1192" s="34"/>
    </row>
    <row r="1193">
      <c r="A1193" s="34"/>
      <c r="B1193" s="34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34"/>
      <c r="AR1193" s="34"/>
      <c r="AS1193" s="34"/>
      <c r="AT1193" s="34"/>
      <c r="AU1193" s="34"/>
      <c r="AV1193" s="34"/>
    </row>
    <row r="1194">
      <c r="A1194" s="34"/>
      <c r="B1194" s="34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34"/>
      <c r="AR1194" s="34"/>
      <c r="AS1194" s="34"/>
      <c r="AT1194" s="34"/>
      <c r="AU1194" s="34"/>
      <c r="AV1194" s="34"/>
    </row>
    <row r="1195">
      <c r="A1195" s="34"/>
      <c r="B1195" s="3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34"/>
      <c r="AR1195" s="34"/>
      <c r="AS1195" s="34"/>
      <c r="AT1195" s="34"/>
      <c r="AU1195" s="34"/>
      <c r="AV1195" s="34"/>
    </row>
    <row r="1196">
      <c r="A1196" s="34"/>
      <c r="B1196" s="34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  <c r="Q1196" s="34"/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34"/>
      <c r="AR1196" s="34"/>
      <c r="AS1196" s="34"/>
      <c r="AT1196" s="34"/>
      <c r="AU1196" s="34"/>
      <c r="AV1196" s="34"/>
    </row>
    <row r="1197">
      <c r="A1197" s="34"/>
      <c r="B1197" s="34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  <c r="Q1197" s="34"/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34"/>
      <c r="AR1197" s="34"/>
      <c r="AS1197" s="34"/>
      <c r="AT1197" s="34"/>
      <c r="AU1197" s="34"/>
      <c r="AV1197" s="34"/>
    </row>
    <row r="1198">
      <c r="A1198" s="34"/>
      <c r="B1198" s="34"/>
      <c r="C1198" s="34"/>
      <c r="D1198" s="34"/>
      <c r="E1198" s="34"/>
      <c r="F1198" s="34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  <c r="Q1198" s="34"/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34"/>
      <c r="AR1198" s="34"/>
      <c r="AS1198" s="34"/>
      <c r="AT1198" s="34"/>
      <c r="AU1198" s="34"/>
      <c r="AV1198" s="34"/>
    </row>
    <row r="1199">
      <c r="A1199" s="34"/>
      <c r="B1199" s="34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34"/>
      <c r="AR1199" s="34"/>
      <c r="AS1199" s="34"/>
      <c r="AT1199" s="34"/>
      <c r="AU1199" s="34"/>
      <c r="AV1199" s="34"/>
    </row>
    <row r="1200">
      <c r="A1200" s="34"/>
      <c r="B1200" s="34"/>
      <c r="C1200" s="34"/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  <c r="Q1200" s="34"/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34"/>
      <c r="AR1200" s="34"/>
      <c r="AS1200" s="34"/>
      <c r="AT1200" s="34"/>
      <c r="AU1200" s="34"/>
      <c r="AV1200" s="34"/>
    </row>
    <row r="1201">
      <c r="A1201" s="34"/>
      <c r="B1201" s="34"/>
      <c r="C1201" s="34"/>
      <c r="D1201" s="34"/>
      <c r="E1201" s="34"/>
      <c r="F1201" s="34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34"/>
      <c r="AR1201" s="34"/>
      <c r="AS1201" s="34"/>
      <c r="AT1201" s="34"/>
      <c r="AU1201" s="34"/>
      <c r="AV1201" s="34"/>
    </row>
    <row r="1202">
      <c r="A1202" s="34"/>
      <c r="B1202" s="3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34"/>
      <c r="AR1202" s="34"/>
      <c r="AS1202" s="34"/>
      <c r="AT1202" s="34"/>
      <c r="AU1202" s="34"/>
      <c r="AV1202" s="34"/>
    </row>
    <row r="1203">
      <c r="A1203" s="34"/>
      <c r="B1203" s="34"/>
      <c r="C1203" s="34"/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34"/>
      <c r="AR1203" s="34"/>
      <c r="AS1203" s="34"/>
      <c r="AT1203" s="34"/>
      <c r="AU1203" s="34"/>
      <c r="AV1203" s="34"/>
    </row>
    <row r="1204">
      <c r="A1204" s="34"/>
      <c r="B1204" s="34"/>
      <c r="C1204" s="34"/>
      <c r="D1204" s="34"/>
      <c r="E1204" s="34"/>
      <c r="F1204" s="34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34"/>
      <c r="AR1204" s="34"/>
      <c r="AS1204" s="34"/>
      <c r="AT1204" s="34"/>
      <c r="AU1204" s="34"/>
      <c r="AV1204" s="34"/>
    </row>
    <row r="1205">
      <c r="A1205" s="34"/>
      <c r="B1205" s="34"/>
      <c r="C1205" s="34"/>
      <c r="D1205" s="34"/>
      <c r="E1205" s="34"/>
      <c r="F1205" s="34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34"/>
      <c r="AR1205" s="34"/>
      <c r="AS1205" s="34"/>
      <c r="AT1205" s="34"/>
      <c r="AU1205" s="34"/>
      <c r="AV1205" s="34"/>
    </row>
    <row r="1206">
      <c r="A1206" s="34"/>
      <c r="B1206" s="34"/>
      <c r="C1206" s="34"/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34"/>
      <c r="AR1206" s="34"/>
      <c r="AS1206" s="34"/>
      <c r="AT1206" s="34"/>
      <c r="AU1206" s="34"/>
      <c r="AV1206" s="34"/>
    </row>
    <row r="1207">
      <c r="A1207" s="34"/>
      <c r="B1207" s="34"/>
      <c r="C1207" s="34"/>
      <c r="D1207" s="34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34"/>
      <c r="AR1207" s="34"/>
      <c r="AS1207" s="34"/>
      <c r="AT1207" s="34"/>
      <c r="AU1207" s="34"/>
      <c r="AV1207" s="34"/>
    </row>
    <row r="1208">
      <c r="A1208" s="34"/>
      <c r="B1208" s="34"/>
      <c r="C1208" s="34"/>
      <c r="D1208" s="34"/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34"/>
      <c r="AR1208" s="34"/>
      <c r="AS1208" s="34"/>
      <c r="AT1208" s="34"/>
      <c r="AU1208" s="34"/>
      <c r="AV1208" s="34"/>
    </row>
    <row r="1209">
      <c r="A1209" s="34"/>
      <c r="B1209" s="34"/>
      <c r="C1209" s="34"/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34"/>
      <c r="AR1209" s="34"/>
      <c r="AS1209" s="34"/>
      <c r="AT1209" s="34"/>
      <c r="AU1209" s="34"/>
      <c r="AV1209" s="34"/>
    </row>
    <row r="1210">
      <c r="A1210" s="34"/>
      <c r="B1210" s="34"/>
      <c r="C1210" s="34"/>
      <c r="D1210" s="34"/>
      <c r="E1210" s="34"/>
      <c r="F1210" s="34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34"/>
      <c r="AR1210" s="34"/>
      <c r="AS1210" s="34"/>
      <c r="AT1210" s="34"/>
      <c r="AU1210" s="34"/>
      <c r="AV1210" s="34"/>
    </row>
    <row r="1211">
      <c r="A1211" s="34"/>
      <c r="B1211" s="34"/>
      <c r="C1211" s="34"/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34"/>
      <c r="AR1211" s="34"/>
      <c r="AS1211" s="34"/>
      <c r="AT1211" s="34"/>
      <c r="AU1211" s="34"/>
      <c r="AV1211" s="34"/>
    </row>
    <row r="1212">
      <c r="A1212" s="34"/>
      <c r="B1212" s="34"/>
      <c r="C1212" s="34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34"/>
      <c r="AR1212" s="34"/>
      <c r="AS1212" s="34"/>
      <c r="AT1212" s="34"/>
      <c r="AU1212" s="34"/>
      <c r="AV1212" s="34"/>
    </row>
    <row r="1213">
      <c r="A1213" s="34"/>
      <c r="B1213" s="34"/>
      <c r="C1213" s="34"/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34"/>
      <c r="AR1213" s="34"/>
      <c r="AS1213" s="34"/>
      <c r="AT1213" s="34"/>
      <c r="AU1213" s="34"/>
      <c r="AV1213" s="34"/>
    </row>
    <row r="1214">
      <c r="A1214" s="34"/>
      <c r="B1214" s="34"/>
      <c r="C1214" s="34"/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34"/>
      <c r="AR1214" s="34"/>
      <c r="AS1214" s="34"/>
      <c r="AT1214" s="34"/>
      <c r="AU1214" s="34"/>
      <c r="AV1214" s="34"/>
    </row>
    <row r="1215">
      <c r="A1215" s="34"/>
      <c r="B1215" s="34"/>
      <c r="C1215" s="34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34"/>
      <c r="AR1215" s="34"/>
      <c r="AS1215" s="34"/>
      <c r="AT1215" s="34"/>
      <c r="AU1215" s="34"/>
      <c r="AV1215" s="34"/>
    </row>
    <row r="1216">
      <c r="A1216" s="34"/>
      <c r="B1216" s="34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34"/>
      <c r="AR1216" s="34"/>
      <c r="AS1216" s="34"/>
      <c r="AT1216" s="34"/>
      <c r="AU1216" s="34"/>
      <c r="AV1216" s="34"/>
    </row>
    <row r="1217">
      <c r="A1217" s="34"/>
      <c r="B1217" s="34"/>
      <c r="C1217" s="34"/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  <c r="Q1217" s="34"/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34"/>
      <c r="AR1217" s="34"/>
      <c r="AS1217" s="34"/>
      <c r="AT1217" s="34"/>
      <c r="AU1217" s="34"/>
      <c r="AV1217" s="34"/>
    </row>
    <row r="1218">
      <c r="A1218" s="34"/>
      <c r="B1218" s="34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34"/>
      <c r="AR1218" s="34"/>
      <c r="AS1218" s="34"/>
      <c r="AT1218" s="34"/>
      <c r="AU1218" s="34"/>
      <c r="AV1218" s="34"/>
    </row>
    <row r="1219">
      <c r="A1219" s="34"/>
      <c r="B1219" s="34"/>
      <c r="C1219" s="34"/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34"/>
      <c r="AR1219" s="34"/>
      <c r="AS1219" s="34"/>
      <c r="AT1219" s="34"/>
      <c r="AU1219" s="34"/>
      <c r="AV1219" s="34"/>
    </row>
    <row r="1220">
      <c r="A1220" s="34"/>
      <c r="B1220" s="34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34"/>
      <c r="AR1220" s="34"/>
      <c r="AS1220" s="34"/>
      <c r="AT1220" s="34"/>
      <c r="AU1220" s="34"/>
      <c r="AV1220" s="34"/>
    </row>
    <row r="1221">
      <c r="A1221" s="34"/>
      <c r="B1221" s="34"/>
      <c r="C1221" s="34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  <c r="Q1221" s="34"/>
      <c r="R1221" s="3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34"/>
      <c r="AR1221" s="34"/>
      <c r="AS1221" s="34"/>
      <c r="AT1221" s="34"/>
      <c r="AU1221" s="34"/>
      <c r="AV1221" s="34"/>
    </row>
    <row r="1222">
      <c r="A1222" s="34"/>
      <c r="B1222" s="34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34"/>
      <c r="AR1222" s="34"/>
      <c r="AS1222" s="34"/>
      <c r="AT1222" s="34"/>
      <c r="AU1222" s="34"/>
      <c r="AV1222" s="34"/>
    </row>
    <row r="1223">
      <c r="A1223" s="34"/>
      <c r="B1223" s="34"/>
      <c r="C1223" s="34"/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34"/>
      <c r="AR1223" s="34"/>
      <c r="AS1223" s="34"/>
      <c r="AT1223" s="34"/>
      <c r="AU1223" s="34"/>
      <c r="AV1223" s="34"/>
    </row>
    <row r="1224">
      <c r="A1224" s="34"/>
      <c r="B1224" s="34"/>
      <c r="C1224" s="34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34"/>
      <c r="AR1224" s="34"/>
      <c r="AS1224" s="34"/>
      <c r="AT1224" s="34"/>
      <c r="AU1224" s="34"/>
      <c r="AV1224" s="34"/>
    </row>
    <row r="1225">
      <c r="A1225" s="34"/>
      <c r="B1225" s="34"/>
      <c r="C1225" s="34"/>
      <c r="D1225" s="34"/>
      <c r="E1225" s="34"/>
      <c r="F1225" s="34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  <c r="Q1225" s="34"/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34"/>
      <c r="AR1225" s="34"/>
      <c r="AS1225" s="34"/>
      <c r="AT1225" s="34"/>
      <c r="AU1225" s="34"/>
      <c r="AV1225" s="34"/>
    </row>
    <row r="1226">
      <c r="A1226" s="34"/>
      <c r="B1226" s="34"/>
      <c r="C1226" s="34"/>
      <c r="D1226" s="34"/>
      <c r="E1226" s="34"/>
      <c r="F1226" s="34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34"/>
      <c r="AR1226" s="34"/>
      <c r="AS1226" s="34"/>
      <c r="AT1226" s="34"/>
      <c r="AU1226" s="34"/>
      <c r="AV1226" s="34"/>
    </row>
    <row r="1227">
      <c r="A1227" s="34"/>
      <c r="B1227" s="34"/>
      <c r="C1227" s="34"/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34"/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34"/>
      <c r="AR1227" s="34"/>
      <c r="AS1227" s="34"/>
      <c r="AT1227" s="34"/>
      <c r="AU1227" s="34"/>
      <c r="AV1227" s="34"/>
    </row>
    <row r="1228">
      <c r="A1228" s="34"/>
      <c r="B1228" s="34"/>
      <c r="C1228" s="34"/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34"/>
      <c r="AR1228" s="34"/>
      <c r="AS1228" s="34"/>
      <c r="AT1228" s="34"/>
      <c r="AU1228" s="34"/>
      <c r="AV1228" s="34"/>
    </row>
    <row r="1229">
      <c r="A1229" s="34"/>
      <c r="B1229" s="34"/>
      <c r="C1229" s="34"/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34"/>
      <c r="AR1229" s="34"/>
      <c r="AS1229" s="34"/>
      <c r="AT1229" s="34"/>
      <c r="AU1229" s="34"/>
      <c r="AV1229" s="34"/>
    </row>
    <row r="1230">
      <c r="A1230" s="34"/>
      <c r="B1230" s="34"/>
      <c r="C1230" s="34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34"/>
      <c r="AR1230" s="34"/>
      <c r="AS1230" s="34"/>
      <c r="AT1230" s="34"/>
      <c r="AU1230" s="34"/>
      <c r="AV1230" s="34"/>
    </row>
    <row r="1231">
      <c r="A1231" s="34"/>
      <c r="B1231" s="34"/>
      <c r="C1231" s="34"/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34"/>
      <c r="AR1231" s="34"/>
      <c r="AS1231" s="34"/>
      <c r="AT1231" s="34"/>
      <c r="AU1231" s="34"/>
      <c r="AV1231" s="34"/>
    </row>
    <row r="1232">
      <c r="A1232" s="34"/>
      <c r="B1232" s="34"/>
      <c r="C1232" s="34"/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34"/>
      <c r="AR1232" s="34"/>
      <c r="AS1232" s="34"/>
      <c r="AT1232" s="34"/>
      <c r="AU1232" s="34"/>
      <c r="AV1232" s="34"/>
    </row>
    <row r="1233">
      <c r="A1233" s="34"/>
      <c r="B1233" s="34"/>
      <c r="C1233" s="34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34"/>
      <c r="AR1233" s="34"/>
      <c r="AS1233" s="34"/>
      <c r="AT1233" s="34"/>
      <c r="AU1233" s="34"/>
      <c r="AV1233" s="34"/>
    </row>
    <row r="1234">
      <c r="A1234" s="34"/>
      <c r="B1234" s="34"/>
      <c r="C1234" s="34"/>
      <c r="D1234" s="34"/>
      <c r="E1234" s="34"/>
      <c r="F1234" s="34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34"/>
      <c r="AR1234" s="34"/>
      <c r="AS1234" s="34"/>
      <c r="AT1234" s="34"/>
      <c r="AU1234" s="34"/>
      <c r="AV1234" s="34"/>
    </row>
    <row r="1235">
      <c r="A1235" s="34"/>
      <c r="B1235" s="34"/>
      <c r="C1235" s="34"/>
      <c r="D1235" s="34"/>
      <c r="E1235" s="34"/>
      <c r="F1235" s="34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34"/>
      <c r="AR1235" s="34"/>
      <c r="AS1235" s="34"/>
      <c r="AT1235" s="34"/>
      <c r="AU1235" s="34"/>
      <c r="AV1235" s="34"/>
    </row>
    <row r="1236">
      <c r="A1236" s="34"/>
      <c r="B1236" s="34"/>
      <c r="C1236" s="34"/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34"/>
      <c r="AR1236" s="34"/>
      <c r="AS1236" s="34"/>
      <c r="AT1236" s="34"/>
      <c r="AU1236" s="34"/>
      <c r="AV1236" s="34"/>
    </row>
    <row r="1237">
      <c r="A1237" s="34"/>
      <c r="B1237" s="34"/>
      <c r="C1237" s="34"/>
      <c r="D1237" s="34"/>
      <c r="E1237" s="34"/>
      <c r="F1237" s="34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34"/>
      <c r="AR1237" s="34"/>
      <c r="AS1237" s="34"/>
      <c r="AT1237" s="34"/>
      <c r="AU1237" s="34"/>
      <c r="AV1237" s="34"/>
    </row>
    <row r="1238">
      <c r="A1238" s="34"/>
      <c r="B1238" s="34"/>
      <c r="C1238" s="34"/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34"/>
      <c r="AR1238" s="34"/>
      <c r="AS1238" s="34"/>
      <c r="AT1238" s="34"/>
      <c r="AU1238" s="34"/>
      <c r="AV1238" s="34"/>
    </row>
    <row r="1239">
      <c r="A1239" s="34"/>
      <c r="B1239" s="34"/>
      <c r="C1239" s="34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34"/>
      <c r="AR1239" s="34"/>
      <c r="AS1239" s="34"/>
      <c r="AT1239" s="34"/>
      <c r="AU1239" s="34"/>
      <c r="AV1239" s="34"/>
    </row>
    <row r="1240">
      <c r="A1240" s="34"/>
      <c r="B1240" s="34"/>
      <c r="C1240" s="34"/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34"/>
      <c r="AR1240" s="34"/>
      <c r="AS1240" s="34"/>
      <c r="AT1240" s="34"/>
      <c r="AU1240" s="34"/>
      <c r="AV1240" s="34"/>
    </row>
    <row r="1241">
      <c r="A1241" s="34"/>
      <c r="B1241" s="3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34"/>
      <c r="AR1241" s="34"/>
      <c r="AS1241" s="34"/>
      <c r="AT1241" s="34"/>
      <c r="AU1241" s="34"/>
      <c r="AV1241" s="34"/>
    </row>
    <row r="1242">
      <c r="A1242" s="34"/>
      <c r="B1242" s="34"/>
      <c r="C1242" s="34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34"/>
      <c r="AR1242" s="34"/>
      <c r="AS1242" s="34"/>
      <c r="AT1242" s="34"/>
      <c r="AU1242" s="34"/>
      <c r="AV1242" s="34"/>
    </row>
    <row r="1243">
      <c r="A1243" s="34"/>
      <c r="B1243" s="34"/>
      <c r="C1243" s="34"/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34"/>
      <c r="AR1243" s="34"/>
      <c r="AS1243" s="34"/>
      <c r="AT1243" s="34"/>
      <c r="AU1243" s="34"/>
      <c r="AV1243" s="34"/>
    </row>
    <row r="1244">
      <c r="A1244" s="34"/>
      <c r="B1244" s="34"/>
      <c r="C1244" s="34"/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34"/>
      <c r="AR1244" s="34"/>
      <c r="AS1244" s="34"/>
      <c r="AT1244" s="34"/>
      <c r="AU1244" s="34"/>
      <c r="AV1244" s="34"/>
    </row>
    <row r="1245">
      <c r="A1245" s="34"/>
      <c r="B1245" s="34"/>
      <c r="C1245" s="34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34"/>
      <c r="AR1245" s="34"/>
      <c r="AS1245" s="34"/>
      <c r="AT1245" s="34"/>
      <c r="AU1245" s="34"/>
      <c r="AV1245" s="34"/>
    </row>
    <row r="1246">
      <c r="A1246" s="34"/>
      <c r="B1246" s="34"/>
      <c r="C1246" s="34"/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4"/>
      <c r="AV1246" s="34"/>
    </row>
    <row r="1247">
      <c r="A1247" s="34"/>
      <c r="B1247" s="34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34"/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34"/>
      <c r="AR1247" s="34"/>
      <c r="AS1247" s="34"/>
      <c r="AT1247" s="34"/>
      <c r="AU1247" s="34"/>
      <c r="AV1247" s="34"/>
    </row>
    <row r="1248">
      <c r="A1248" s="34"/>
      <c r="B1248" s="34"/>
      <c r="C1248" s="34"/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34"/>
      <c r="AR1248" s="34"/>
      <c r="AS1248" s="34"/>
      <c r="AT1248" s="34"/>
      <c r="AU1248" s="34"/>
      <c r="AV1248" s="34"/>
    </row>
    <row r="1249">
      <c r="A1249" s="34"/>
      <c r="B1249" s="34"/>
      <c r="C1249" s="34"/>
      <c r="D1249" s="34"/>
      <c r="E1249" s="34"/>
      <c r="F1249" s="34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34"/>
      <c r="AR1249" s="34"/>
      <c r="AS1249" s="34"/>
      <c r="AT1249" s="34"/>
      <c r="AU1249" s="34"/>
      <c r="AV1249" s="34"/>
    </row>
    <row r="1250">
      <c r="A1250" s="34"/>
      <c r="B1250" s="34"/>
      <c r="C1250" s="34"/>
      <c r="D1250" s="34"/>
      <c r="E1250" s="34"/>
      <c r="F1250" s="34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34"/>
      <c r="AR1250" s="34"/>
      <c r="AS1250" s="34"/>
      <c r="AT1250" s="34"/>
      <c r="AU1250" s="34"/>
      <c r="AV1250" s="34"/>
    </row>
    <row r="1251">
      <c r="A1251" s="34"/>
      <c r="B1251" s="34"/>
      <c r="C1251" s="34"/>
      <c r="D1251" s="34"/>
      <c r="E1251" s="34"/>
      <c r="F1251" s="34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34"/>
      <c r="AR1251" s="34"/>
      <c r="AS1251" s="34"/>
      <c r="AT1251" s="34"/>
      <c r="AU1251" s="34"/>
      <c r="AV1251" s="34"/>
    </row>
    <row r="1252">
      <c r="A1252" s="34"/>
      <c r="B1252" s="34"/>
      <c r="C1252" s="34"/>
      <c r="D1252" s="34"/>
      <c r="E1252" s="34"/>
      <c r="F1252" s="34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34"/>
      <c r="AR1252" s="34"/>
      <c r="AS1252" s="34"/>
      <c r="AT1252" s="34"/>
      <c r="AU1252" s="34"/>
      <c r="AV1252" s="34"/>
    </row>
    <row r="1253">
      <c r="A1253" s="34"/>
      <c r="B1253" s="34"/>
      <c r="C1253" s="34"/>
      <c r="D1253" s="34"/>
      <c r="E1253" s="34"/>
      <c r="F1253" s="34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34"/>
      <c r="AR1253" s="34"/>
      <c r="AS1253" s="34"/>
      <c r="AT1253" s="34"/>
      <c r="AU1253" s="34"/>
      <c r="AV1253" s="34"/>
    </row>
    <row r="1254">
      <c r="A1254" s="34"/>
      <c r="B1254" s="34"/>
      <c r="C1254" s="34"/>
      <c r="D1254" s="34"/>
      <c r="E1254" s="34"/>
      <c r="F1254" s="34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34"/>
      <c r="AR1254" s="34"/>
      <c r="AS1254" s="34"/>
      <c r="AT1254" s="34"/>
      <c r="AU1254" s="34"/>
      <c r="AV1254" s="34"/>
    </row>
    <row r="1255">
      <c r="A1255" s="34"/>
      <c r="B1255" s="34"/>
      <c r="C1255" s="34"/>
      <c r="D1255" s="34"/>
      <c r="E1255" s="34"/>
      <c r="F1255" s="34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34"/>
      <c r="AR1255" s="34"/>
      <c r="AS1255" s="34"/>
      <c r="AT1255" s="34"/>
      <c r="AU1255" s="34"/>
      <c r="AV1255" s="34"/>
    </row>
    <row r="1256">
      <c r="A1256" s="34"/>
      <c r="B1256" s="34"/>
      <c r="C1256" s="34"/>
      <c r="D1256" s="34"/>
      <c r="E1256" s="34"/>
      <c r="F1256" s="34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34"/>
      <c r="AR1256" s="34"/>
      <c r="AS1256" s="34"/>
      <c r="AT1256" s="34"/>
      <c r="AU1256" s="34"/>
      <c r="AV1256" s="34"/>
    </row>
    <row r="1257">
      <c r="A1257" s="34"/>
      <c r="B1257" s="34"/>
      <c r="C1257" s="34"/>
      <c r="D1257" s="34"/>
      <c r="E1257" s="34"/>
      <c r="F1257" s="34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34"/>
      <c r="AR1257" s="34"/>
      <c r="AS1257" s="34"/>
      <c r="AT1257" s="34"/>
      <c r="AU1257" s="34"/>
      <c r="AV1257" s="34"/>
    </row>
    <row r="1258">
      <c r="A1258" s="34"/>
      <c r="B1258" s="34"/>
      <c r="C1258" s="34"/>
      <c r="D1258" s="34"/>
      <c r="E1258" s="34"/>
      <c r="F1258" s="34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34"/>
      <c r="AR1258" s="34"/>
      <c r="AS1258" s="34"/>
      <c r="AT1258" s="34"/>
      <c r="AU1258" s="34"/>
      <c r="AV1258" s="34"/>
    </row>
    <row r="1259">
      <c r="A1259" s="34"/>
      <c r="B1259" s="3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34"/>
      <c r="AR1259" s="34"/>
      <c r="AS1259" s="34"/>
      <c r="AT1259" s="34"/>
      <c r="AU1259" s="34"/>
      <c r="AV1259" s="34"/>
    </row>
    <row r="1260">
      <c r="A1260" s="34"/>
      <c r="B1260" s="34"/>
      <c r="C1260" s="34"/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34"/>
      <c r="AR1260" s="34"/>
      <c r="AS1260" s="34"/>
      <c r="AT1260" s="34"/>
      <c r="AU1260" s="34"/>
      <c r="AV1260" s="34"/>
    </row>
    <row r="1261">
      <c r="A1261" s="34"/>
      <c r="B1261" s="34"/>
      <c r="C1261" s="34"/>
      <c r="D1261" s="34"/>
      <c r="E1261" s="34"/>
      <c r="F1261" s="34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34"/>
      <c r="AR1261" s="34"/>
      <c r="AS1261" s="34"/>
      <c r="AT1261" s="34"/>
      <c r="AU1261" s="34"/>
      <c r="AV1261" s="34"/>
    </row>
    <row r="1262">
      <c r="A1262" s="34"/>
      <c r="B1262" s="34"/>
      <c r="C1262" s="34"/>
      <c r="D1262" s="34"/>
      <c r="E1262" s="34"/>
      <c r="F1262" s="34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34"/>
      <c r="AR1262" s="34"/>
      <c r="AS1262" s="34"/>
      <c r="AT1262" s="34"/>
      <c r="AU1262" s="34"/>
      <c r="AV1262" s="34"/>
    </row>
    <row r="1263">
      <c r="A1263" s="34"/>
      <c r="B1263" s="34"/>
      <c r="C1263" s="34"/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34"/>
      <c r="AR1263" s="34"/>
      <c r="AS1263" s="34"/>
      <c r="AT1263" s="34"/>
      <c r="AU1263" s="34"/>
      <c r="AV1263" s="34"/>
    </row>
    <row r="1264">
      <c r="A1264" s="34"/>
      <c r="B1264" s="3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4"/>
      <c r="AS1264" s="34"/>
      <c r="AT1264" s="34"/>
      <c r="AU1264" s="34"/>
      <c r="AV1264" s="34"/>
    </row>
    <row r="1265">
      <c r="A1265" s="34"/>
      <c r="B1265" s="34"/>
      <c r="C1265" s="34"/>
      <c r="D1265" s="34"/>
      <c r="E1265" s="34"/>
      <c r="F1265" s="34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</row>
    <row r="1266">
      <c r="A1266" s="34"/>
      <c r="B1266" s="34"/>
      <c r="C1266" s="34"/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</row>
    <row r="1267">
      <c r="A1267" s="34"/>
      <c r="B1267" s="34"/>
      <c r="C1267" s="34"/>
      <c r="D1267" s="34"/>
      <c r="E1267" s="34"/>
      <c r="F1267" s="34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</row>
    <row r="1268">
      <c r="A1268" s="34"/>
      <c r="B1268" s="34"/>
      <c r="C1268" s="34"/>
      <c r="D1268" s="34"/>
      <c r="E1268" s="34"/>
      <c r="F1268" s="34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34"/>
      <c r="AR1268" s="34"/>
      <c r="AS1268" s="34"/>
      <c r="AT1268" s="34"/>
      <c r="AU1268" s="34"/>
      <c r="AV1268" s="34"/>
    </row>
    <row r="1269">
      <c r="A1269" s="34"/>
      <c r="B1269" s="34"/>
      <c r="C1269" s="34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34"/>
      <c r="AR1269" s="34"/>
      <c r="AS1269" s="34"/>
      <c r="AT1269" s="34"/>
      <c r="AU1269" s="34"/>
      <c r="AV1269" s="34"/>
    </row>
    <row r="1270">
      <c r="A1270" s="34"/>
      <c r="B1270" s="34"/>
      <c r="C1270" s="34"/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</row>
    <row r="1271">
      <c r="A1271" s="34"/>
      <c r="B1271" s="34"/>
      <c r="C1271" s="34"/>
      <c r="D1271" s="34"/>
      <c r="E1271" s="34"/>
      <c r="F1271" s="34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</row>
    <row r="1272">
      <c r="A1272" s="34"/>
      <c r="B1272" s="34"/>
      <c r="C1272" s="34"/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34"/>
      <c r="AR1272" s="34"/>
      <c r="AS1272" s="34"/>
      <c r="AT1272" s="34"/>
      <c r="AU1272" s="34"/>
      <c r="AV1272" s="34"/>
    </row>
    <row r="1273">
      <c r="A1273" s="34"/>
      <c r="B1273" s="34"/>
      <c r="C1273" s="34"/>
      <c r="D1273" s="34"/>
      <c r="E1273" s="34"/>
      <c r="F1273" s="34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34"/>
      <c r="AR1273" s="34"/>
      <c r="AS1273" s="34"/>
      <c r="AT1273" s="34"/>
      <c r="AU1273" s="34"/>
      <c r="AV1273" s="34"/>
    </row>
    <row r="1274">
      <c r="A1274" s="34"/>
      <c r="B1274" s="34"/>
      <c r="C1274" s="34"/>
      <c r="D1274" s="34"/>
      <c r="E1274" s="34"/>
      <c r="F1274" s="34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34"/>
      <c r="AR1274" s="34"/>
      <c r="AS1274" s="34"/>
      <c r="AT1274" s="34"/>
      <c r="AU1274" s="34"/>
      <c r="AV1274" s="34"/>
    </row>
    <row r="1275">
      <c r="A1275" s="34"/>
      <c r="B1275" s="34"/>
      <c r="C1275" s="34"/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4"/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34"/>
      <c r="AR1275" s="34"/>
      <c r="AS1275" s="34"/>
      <c r="AT1275" s="34"/>
      <c r="AU1275" s="34"/>
      <c r="AV1275" s="34"/>
    </row>
    <row r="1276">
      <c r="A1276" s="34"/>
      <c r="B1276" s="34"/>
      <c r="C1276" s="34"/>
      <c r="D1276" s="34"/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34"/>
      <c r="AR1276" s="34"/>
      <c r="AS1276" s="34"/>
      <c r="AT1276" s="34"/>
      <c r="AU1276" s="34"/>
      <c r="AV1276" s="34"/>
    </row>
    <row r="1277">
      <c r="A1277" s="34"/>
      <c r="B1277" s="34"/>
      <c r="C1277" s="34"/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34"/>
      <c r="AR1277" s="34"/>
      <c r="AS1277" s="34"/>
      <c r="AT1277" s="34"/>
      <c r="AU1277" s="34"/>
      <c r="AV1277" s="34"/>
    </row>
    <row r="1278">
      <c r="A1278" s="34"/>
      <c r="B1278" s="34"/>
      <c r="C1278" s="34"/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34"/>
      <c r="AR1278" s="34"/>
      <c r="AS1278" s="34"/>
      <c r="AT1278" s="34"/>
      <c r="AU1278" s="34"/>
      <c r="AV1278" s="34"/>
    </row>
    <row r="1279">
      <c r="A1279" s="34"/>
      <c r="B1279" s="34"/>
      <c r="C1279" s="34"/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34"/>
      <c r="AR1279" s="34"/>
      <c r="AS1279" s="34"/>
      <c r="AT1279" s="34"/>
      <c r="AU1279" s="34"/>
      <c r="AV1279" s="34"/>
    </row>
    <row r="1280">
      <c r="A1280" s="34"/>
      <c r="B1280" s="34"/>
      <c r="C1280" s="34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34"/>
      <c r="AR1280" s="34"/>
      <c r="AS1280" s="34"/>
      <c r="AT1280" s="34"/>
      <c r="AU1280" s="34"/>
      <c r="AV1280" s="34"/>
    </row>
    <row r="1281">
      <c r="A1281" s="34"/>
      <c r="B1281" s="3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</row>
    <row r="1282">
      <c r="A1282" s="34"/>
      <c r="B1282" s="34"/>
      <c r="C1282" s="34"/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34"/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34"/>
      <c r="AR1282" s="34"/>
      <c r="AS1282" s="34"/>
      <c r="AT1282" s="34"/>
      <c r="AU1282" s="34"/>
      <c r="AV1282" s="34"/>
    </row>
    <row r="1283">
      <c r="A1283" s="34"/>
      <c r="B1283" s="34"/>
      <c r="C1283" s="34"/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34"/>
      <c r="AR1283" s="34"/>
      <c r="AS1283" s="34"/>
      <c r="AT1283" s="34"/>
      <c r="AU1283" s="34"/>
      <c r="AV1283" s="34"/>
    </row>
    <row r="1284">
      <c r="A1284" s="34"/>
      <c r="B1284" s="34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34"/>
      <c r="AR1284" s="34"/>
      <c r="AS1284" s="34"/>
      <c r="AT1284" s="34"/>
      <c r="AU1284" s="34"/>
      <c r="AV1284" s="34"/>
    </row>
    <row r="1285">
      <c r="A1285" s="34"/>
      <c r="B1285" s="34"/>
      <c r="C1285" s="34"/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</row>
    <row r="1286">
      <c r="A1286" s="34"/>
      <c r="B1286" s="34"/>
      <c r="C1286" s="34"/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34"/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34"/>
      <c r="AR1286" s="34"/>
      <c r="AS1286" s="34"/>
      <c r="AT1286" s="34"/>
      <c r="AU1286" s="34"/>
      <c r="AV1286" s="34"/>
    </row>
    <row r="1287">
      <c r="A1287" s="34"/>
      <c r="B1287" s="3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34"/>
      <c r="AR1287" s="34"/>
      <c r="AS1287" s="34"/>
      <c r="AT1287" s="34"/>
      <c r="AU1287" s="34"/>
      <c r="AV1287" s="34"/>
    </row>
    <row r="1288">
      <c r="A1288" s="34"/>
      <c r="B1288" s="34"/>
      <c r="C1288" s="34"/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34"/>
      <c r="AR1288" s="34"/>
      <c r="AS1288" s="34"/>
      <c r="AT1288" s="34"/>
      <c r="AU1288" s="34"/>
      <c r="AV1288" s="34"/>
    </row>
    <row r="1289">
      <c r="A1289" s="34"/>
      <c r="B1289" s="34"/>
      <c r="C1289" s="34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34"/>
      <c r="AR1289" s="34"/>
      <c r="AS1289" s="34"/>
      <c r="AT1289" s="34"/>
      <c r="AU1289" s="34"/>
      <c r="AV1289" s="34"/>
    </row>
    <row r="1290">
      <c r="A1290" s="34"/>
      <c r="B1290" s="3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34"/>
      <c r="AR1290" s="34"/>
      <c r="AS1290" s="34"/>
      <c r="AT1290" s="34"/>
      <c r="AU1290" s="34"/>
      <c r="AV1290" s="34"/>
    </row>
    <row r="1291">
      <c r="A1291" s="34"/>
      <c r="B1291" s="3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34"/>
      <c r="AR1291" s="34"/>
      <c r="AS1291" s="34"/>
      <c r="AT1291" s="34"/>
      <c r="AU1291" s="34"/>
      <c r="AV1291" s="34"/>
    </row>
    <row r="1292">
      <c r="A1292" s="34"/>
      <c r="B1292" s="34"/>
      <c r="C1292" s="34"/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4"/>
      <c r="AV1292" s="34"/>
    </row>
    <row r="1293">
      <c r="A1293" s="34"/>
      <c r="B1293" s="34"/>
      <c r="C1293" s="34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34"/>
      <c r="AR1293" s="34"/>
      <c r="AS1293" s="34"/>
      <c r="AT1293" s="34"/>
      <c r="AU1293" s="34"/>
      <c r="AV1293" s="34"/>
    </row>
    <row r="1294">
      <c r="A1294" s="34"/>
      <c r="B1294" s="34"/>
      <c r="C1294" s="34"/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34"/>
      <c r="AR1294" s="34"/>
      <c r="AS1294" s="34"/>
      <c r="AT1294" s="34"/>
      <c r="AU1294" s="34"/>
      <c r="AV1294" s="34"/>
    </row>
    <row r="1295">
      <c r="A1295" s="34"/>
      <c r="B1295" s="34"/>
      <c r="C1295" s="34"/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34"/>
      <c r="AR1295" s="34"/>
      <c r="AS1295" s="34"/>
      <c r="AT1295" s="34"/>
      <c r="AU1295" s="34"/>
      <c r="AV1295" s="34"/>
    </row>
    <row r="1296">
      <c r="A1296" s="34"/>
      <c r="B1296" s="34"/>
      <c r="C1296" s="34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34"/>
      <c r="AR1296" s="34"/>
      <c r="AS1296" s="34"/>
      <c r="AT1296" s="34"/>
      <c r="AU1296" s="34"/>
      <c r="AV1296" s="34"/>
    </row>
    <row r="1297">
      <c r="A1297" s="34"/>
      <c r="B1297" s="34"/>
      <c r="C1297" s="34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34"/>
      <c r="AR1297" s="34"/>
      <c r="AS1297" s="34"/>
      <c r="AT1297" s="34"/>
      <c r="AU1297" s="34"/>
      <c r="AV1297" s="34"/>
    </row>
    <row r="1298">
      <c r="A1298" s="34"/>
      <c r="B1298" s="34"/>
      <c r="C1298" s="34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34"/>
      <c r="AR1298" s="34"/>
      <c r="AS1298" s="34"/>
      <c r="AT1298" s="34"/>
      <c r="AU1298" s="34"/>
      <c r="AV1298" s="34"/>
    </row>
    <row r="1299">
      <c r="A1299" s="34"/>
      <c r="B1299" s="34"/>
      <c r="C1299" s="34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34"/>
      <c r="AR1299" s="34"/>
      <c r="AS1299" s="34"/>
      <c r="AT1299" s="34"/>
      <c r="AU1299" s="34"/>
      <c r="AV1299" s="34"/>
    </row>
    <row r="1300">
      <c r="A1300" s="34"/>
      <c r="B1300" s="34"/>
      <c r="C1300" s="34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</row>
    <row r="1301">
      <c r="A1301" s="34"/>
      <c r="B1301" s="3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34"/>
      <c r="AR1301" s="34"/>
      <c r="AS1301" s="34"/>
      <c r="AT1301" s="34"/>
      <c r="AU1301" s="34"/>
      <c r="AV1301" s="34"/>
    </row>
    <row r="1302">
      <c r="A1302" s="34"/>
      <c r="B1302" s="34"/>
      <c r="C1302" s="34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34"/>
      <c r="AR1302" s="34"/>
      <c r="AS1302" s="34"/>
      <c r="AT1302" s="34"/>
      <c r="AU1302" s="34"/>
      <c r="AV1302" s="34"/>
    </row>
    <row r="1303">
      <c r="A1303" s="34"/>
      <c r="B1303" s="34"/>
      <c r="C1303" s="34"/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34"/>
      <c r="AR1303" s="34"/>
      <c r="AS1303" s="34"/>
      <c r="AT1303" s="34"/>
      <c r="AU1303" s="34"/>
      <c r="AV1303" s="34"/>
    </row>
    <row r="1304">
      <c r="A1304" s="34"/>
      <c r="B1304" s="34"/>
      <c r="C1304" s="34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34"/>
      <c r="AR1304" s="34"/>
      <c r="AS1304" s="34"/>
      <c r="AT1304" s="34"/>
      <c r="AU1304" s="34"/>
      <c r="AV1304" s="34"/>
    </row>
    <row r="1305">
      <c r="A1305" s="34"/>
      <c r="B1305" s="3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R1305" s="34"/>
      <c r="AS1305" s="34"/>
      <c r="AT1305" s="34"/>
      <c r="AU1305" s="34"/>
      <c r="AV1305" s="34"/>
    </row>
    <row r="1306">
      <c r="A1306" s="34"/>
      <c r="B1306" s="34"/>
      <c r="C1306" s="34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34"/>
      <c r="AR1306" s="34"/>
      <c r="AS1306" s="34"/>
      <c r="AT1306" s="34"/>
      <c r="AU1306" s="34"/>
      <c r="AV1306" s="34"/>
    </row>
    <row r="1307">
      <c r="A1307" s="34"/>
      <c r="B1307" s="34"/>
      <c r="C1307" s="34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34"/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34"/>
      <c r="AR1307" s="34"/>
      <c r="AS1307" s="34"/>
      <c r="AT1307" s="34"/>
      <c r="AU1307" s="34"/>
      <c r="AV1307" s="34"/>
    </row>
    <row r="1308">
      <c r="A1308" s="34"/>
      <c r="B1308" s="34"/>
      <c r="C1308" s="34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</row>
    <row r="1309">
      <c r="A1309" s="34"/>
      <c r="B1309" s="34"/>
      <c r="C1309" s="34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34"/>
      <c r="AR1309" s="34"/>
      <c r="AS1309" s="34"/>
      <c r="AT1309" s="34"/>
      <c r="AU1309" s="34"/>
      <c r="AV1309" s="34"/>
    </row>
    <row r="1310">
      <c r="A1310" s="34"/>
      <c r="B1310" s="3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34"/>
      <c r="AR1310" s="34"/>
      <c r="AS1310" s="34"/>
      <c r="AT1310" s="34"/>
      <c r="AU1310" s="34"/>
      <c r="AV1310" s="34"/>
    </row>
    <row r="1311">
      <c r="A1311" s="34"/>
      <c r="B1311" s="3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34"/>
      <c r="AR1311" s="34"/>
      <c r="AS1311" s="34"/>
      <c r="AT1311" s="34"/>
      <c r="AU1311" s="34"/>
      <c r="AV1311" s="34"/>
    </row>
    <row r="1312">
      <c r="A1312" s="34"/>
      <c r="B1312" s="34"/>
      <c r="C1312" s="34"/>
      <c r="D1312" s="34"/>
      <c r="E1312" s="34"/>
      <c r="F1312" s="34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34"/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34"/>
      <c r="AR1312" s="34"/>
      <c r="AS1312" s="34"/>
      <c r="AT1312" s="34"/>
      <c r="AU1312" s="34"/>
      <c r="AV1312" s="34"/>
    </row>
    <row r="1313">
      <c r="A1313" s="34"/>
      <c r="B1313" s="34"/>
      <c r="C1313" s="34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</row>
    <row r="1314">
      <c r="A1314" s="34"/>
      <c r="B1314" s="34"/>
      <c r="C1314" s="34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</row>
    <row r="1315">
      <c r="A1315" s="34"/>
      <c r="B1315" s="34"/>
      <c r="C1315" s="34"/>
      <c r="D1315" s="34"/>
      <c r="E1315" s="34"/>
      <c r="F1315" s="34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34"/>
      <c r="AR1315" s="34"/>
      <c r="AS1315" s="34"/>
      <c r="AT1315" s="34"/>
      <c r="AU1315" s="34"/>
      <c r="AV1315" s="34"/>
    </row>
    <row r="1316">
      <c r="A1316" s="34"/>
      <c r="B1316" s="3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34"/>
      <c r="AR1316" s="34"/>
      <c r="AS1316" s="34"/>
      <c r="AT1316" s="34"/>
      <c r="AU1316" s="34"/>
      <c r="AV1316" s="34"/>
    </row>
    <row r="1317">
      <c r="A1317" s="34"/>
      <c r="B1317" s="34"/>
      <c r="C1317" s="34"/>
      <c r="D1317" s="34"/>
      <c r="E1317" s="34"/>
      <c r="F1317" s="34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34"/>
      <c r="AR1317" s="34"/>
      <c r="AS1317" s="34"/>
      <c r="AT1317" s="34"/>
      <c r="AU1317" s="34"/>
      <c r="AV1317" s="34"/>
    </row>
    <row r="1318">
      <c r="A1318" s="34"/>
      <c r="B1318" s="34"/>
      <c r="C1318" s="34"/>
      <c r="D1318" s="34"/>
      <c r="E1318" s="34"/>
      <c r="F1318" s="34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34"/>
      <c r="AR1318" s="34"/>
      <c r="AS1318" s="34"/>
      <c r="AT1318" s="34"/>
      <c r="AU1318" s="34"/>
      <c r="AV1318" s="34"/>
    </row>
    <row r="1319">
      <c r="A1319" s="34"/>
      <c r="B1319" s="34"/>
      <c r="C1319" s="34"/>
      <c r="D1319" s="34"/>
      <c r="E1319" s="34"/>
      <c r="F1319" s="34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</row>
    <row r="1320">
      <c r="A1320" s="34"/>
      <c r="B1320" s="34"/>
      <c r="C1320" s="34"/>
      <c r="D1320" s="34"/>
      <c r="E1320" s="34"/>
      <c r="F1320" s="34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4"/>
      <c r="AV1320" s="34"/>
    </row>
    <row r="1321">
      <c r="A1321" s="34"/>
      <c r="B1321" s="34"/>
      <c r="C1321" s="34"/>
      <c r="D1321" s="34"/>
      <c r="E1321" s="34"/>
      <c r="F1321" s="34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34"/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34"/>
      <c r="AR1321" s="34"/>
      <c r="AS1321" s="34"/>
      <c r="AT1321" s="34"/>
      <c r="AU1321" s="34"/>
      <c r="AV1321" s="34"/>
    </row>
    <row r="1322">
      <c r="A1322" s="34"/>
      <c r="B1322" s="34"/>
      <c r="C1322" s="34"/>
      <c r="D1322" s="34"/>
      <c r="E1322" s="34"/>
      <c r="F1322" s="34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34"/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34"/>
      <c r="AR1322" s="34"/>
      <c r="AS1322" s="34"/>
      <c r="AT1322" s="34"/>
      <c r="AU1322" s="34"/>
      <c r="AV1322" s="34"/>
    </row>
    <row r="1323">
      <c r="A1323" s="34"/>
      <c r="B1323" s="34"/>
      <c r="C1323" s="34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</row>
    <row r="1324">
      <c r="A1324" s="34"/>
      <c r="B1324" s="34"/>
      <c r="C1324" s="34"/>
      <c r="D1324" s="34"/>
      <c r="E1324" s="34"/>
      <c r="F1324" s="34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34"/>
      <c r="AR1324" s="34"/>
      <c r="AS1324" s="34"/>
      <c r="AT1324" s="34"/>
      <c r="AU1324" s="34"/>
      <c r="AV1324" s="34"/>
    </row>
    <row r="1325">
      <c r="A1325" s="34"/>
      <c r="B1325" s="34"/>
      <c r="C1325" s="34"/>
      <c r="D1325" s="34"/>
      <c r="E1325" s="34"/>
      <c r="F1325" s="34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34"/>
      <c r="AR1325" s="34"/>
      <c r="AS1325" s="34"/>
      <c r="AT1325" s="34"/>
      <c r="AU1325" s="34"/>
      <c r="AV1325" s="34"/>
    </row>
    <row r="1326">
      <c r="A1326" s="34"/>
      <c r="B1326" s="34"/>
      <c r="C1326" s="34"/>
      <c r="D1326" s="34"/>
      <c r="E1326" s="34"/>
      <c r="F1326" s="34"/>
      <c r="G1326" s="34"/>
      <c r="H1326" s="34"/>
      <c r="I1326" s="34"/>
      <c r="J1326" s="34"/>
      <c r="K1326" s="34"/>
      <c r="L1326" s="34"/>
      <c r="M1326" s="34"/>
      <c r="N1326" s="34"/>
      <c r="O1326" s="34"/>
      <c r="P1326" s="34"/>
      <c r="Q1326" s="34"/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34"/>
      <c r="AR1326" s="34"/>
      <c r="AS1326" s="34"/>
      <c r="AT1326" s="34"/>
      <c r="AU1326" s="34"/>
      <c r="AV1326" s="34"/>
    </row>
    <row r="1327">
      <c r="A1327" s="34"/>
      <c r="B1327" s="34"/>
      <c r="C1327" s="34"/>
      <c r="D1327" s="34"/>
      <c r="E1327" s="34"/>
      <c r="F1327" s="34"/>
      <c r="G1327" s="34"/>
      <c r="H1327" s="34"/>
      <c r="I1327" s="34"/>
      <c r="J1327" s="34"/>
      <c r="K1327" s="34"/>
      <c r="L1327" s="34"/>
      <c r="M1327" s="34"/>
      <c r="N1327" s="34"/>
      <c r="O1327" s="34"/>
      <c r="P1327" s="34"/>
      <c r="Q1327" s="34"/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34"/>
      <c r="AR1327" s="34"/>
      <c r="AS1327" s="34"/>
      <c r="AT1327" s="34"/>
      <c r="AU1327" s="34"/>
      <c r="AV1327" s="34"/>
    </row>
    <row r="1328">
      <c r="A1328" s="34"/>
      <c r="B1328" s="34"/>
      <c r="C1328" s="34"/>
      <c r="D1328" s="34"/>
      <c r="E1328" s="34"/>
      <c r="F1328" s="34"/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34"/>
      <c r="AR1328" s="34"/>
      <c r="AS1328" s="34"/>
      <c r="AT1328" s="34"/>
      <c r="AU1328" s="34"/>
      <c r="AV1328" s="34"/>
    </row>
    <row r="1329">
      <c r="A1329" s="34"/>
      <c r="B1329" s="34"/>
      <c r="C1329" s="34"/>
      <c r="D1329" s="34"/>
      <c r="E1329" s="34"/>
      <c r="F1329" s="34"/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34"/>
      <c r="AR1329" s="34"/>
      <c r="AS1329" s="34"/>
      <c r="AT1329" s="34"/>
      <c r="AU1329" s="34"/>
      <c r="AV1329" s="34"/>
    </row>
    <row r="1330">
      <c r="A1330" s="34"/>
      <c r="B1330" s="34"/>
      <c r="C1330" s="34"/>
      <c r="D1330" s="34"/>
      <c r="E1330" s="34"/>
      <c r="F1330" s="34"/>
      <c r="G1330" s="34"/>
      <c r="H1330" s="34"/>
      <c r="I1330" s="34"/>
      <c r="J1330" s="34"/>
      <c r="K1330" s="34"/>
      <c r="L1330" s="34"/>
      <c r="M1330" s="34"/>
      <c r="N1330" s="34"/>
      <c r="O1330" s="34"/>
      <c r="P1330" s="34"/>
      <c r="Q1330" s="34"/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34"/>
      <c r="AR1330" s="34"/>
      <c r="AS1330" s="34"/>
      <c r="AT1330" s="34"/>
      <c r="AU1330" s="34"/>
      <c r="AV1330" s="34"/>
    </row>
    <row r="1331">
      <c r="A1331" s="34"/>
      <c r="B1331" s="34"/>
      <c r="C1331" s="34"/>
      <c r="D1331" s="34"/>
      <c r="E1331" s="34"/>
      <c r="F1331" s="34"/>
      <c r="G1331" s="34"/>
      <c r="H1331" s="34"/>
      <c r="I1331" s="34"/>
      <c r="J1331" s="34"/>
      <c r="K1331" s="34"/>
      <c r="L1331" s="34"/>
      <c r="M1331" s="34"/>
      <c r="N1331" s="34"/>
      <c r="O1331" s="34"/>
      <c r="P1331" s="34"/>
      <c r="Q1331" s="34"/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34"/>
      <c r="AR1331" s="34"/>
      <c r="AS1331" s="34"/>
      <c r="AT1331" s="34"/>
      <c r="AU1331" s="34"/>
      <c r="AV1331" s="34"/>
    </row>
    <row r="1332">
      <c r="A1332" s="34"/>
      <c r="B1332" s="34"/>
      <c r="C1332" s="34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34"/>
      <c r="AR1332" s="34"/>
      <c r="AS1332" s="34"/>
      <c r="AT1332" s="34"/>
      <c r="AU1332" s="34"/>
      <c r="AV1332" s="34"/>
    </row>
    <row r="1333">
      <c r="A1333" s="34"/>
      <c r="B1333" s="34"/>
      <c r="C1333" s="34"/>
      <c r="D1333" s="34"/>
      <c r="E1333" s="34"/>
      <c r="F1333" s="34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</row>
    <row r="1334">
      <c r="A1334" s="34"/>
      <c r="B1334" s="34"/>
      <c r="C1334" s="34"/>
      <c r="D1334" s="34"/>
      <c r="E1334" s="34"/>
      <c r="F1334" s="34"/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34"/>
      <c r="AR1334" s="34"/>
      <c r="AS1334" s="34"/>
      <c r="AT1334" s="34"/>
      <c r="AU1334" s="34"/>
      <c r="AV1334" s="34"/>
    </row>
    <row r="1335">
      <c r="A1335" s="34"/>
      <c r="B1335" s="34"/>
      <c r="C1335" s="34"/>
      <c r="D1335" s="34"/>
      <c r="E1335" s="34"/>
      <c r="F1335" s="34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34"/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34"/>
      <c r="AR1335" s="34"/>
      <c r="AS1335" s="34"/>
      <c r="AT1335" s="34"/>
      <c r="AU1335" s="34"/>
      <c r="AV1335" s="34"/>
    </row>
    <row r="1336">
      <c r="A1336" s="34"/>
      <c r="B1336" s="34"/>
      <c r="C1336" s="34"/>
      <c r="D1336" s="34"/>
      <c r="E1336" s="34"/>
      <c r="F1336" s="34"/>
      <c r="G1336" s="34"/>
      <c r="H1336" s="34"/>
      <c r="I1336" s="34"/>
      <c r="J1336" s="34"/>
      <c r="K1336" s="34"/>
      <c r="L1336" s="34"/>
      <c r="M1336" s="34"/>
      <c r="N1336" s="34"/>
      <c r="O1336" s="34"/>
      <c r="P1336" s="34"/>
      <c r="Q1336" s="34"/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34"/>
      <c r="AR1336" s="34"/>
      <c r="AS1336" s="34"/>
      <c r="AT1336" s="34"/>
      <c r="AU1336" s="34"/>
      <c r="AV1336" s="34"/>
    </row>
    <row r="1337">
      <c r="A1337" s="34"/>
      <c r="B1337" s="34"/>
      <c r="C1337" s="34"/>
      <c r="D1337" s="34"/>
      <c r="E1337" s="34"/>
      <c r="F1337" s="34"/>
      <c r="G1337" s="34"/>
      <c r="H1337" s="34"/>
      <c r="I1337" s="34"/>
      <c r="J1337" s="34"/>
      <c r="K1337" s="34"/>
      <c r="L1337" s="34"/>
      <c r="M1337" s="34"/>
      <c r="N1337" s="34"/>
      <c r="O1337" s="34"/>
      <c r="P1337" s="34"/>
      <c r="Q1337" s="34"/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34"/>
      <c r="AR1337" s="34"/>
      <c r="AS1337" s="34"/>
      <c r="AT1337" s="34"/>
      <c r="AU1337" s="34"/>
      <c r="AV1337" s="34"/>
    </row>
    <row r="1338">
      <c r="A1338" s="34"/>
      <c r="B1338" s="34"/>
      <c r="C1338" s="34"/>
      <c r="D1338" s="34"/>
      <c r="E1338" s="34"/>
      <c r="F1338" s="34"/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4"/>
      <c r="AV1338" s="34"/>
    </row>
    <row r="1339">
      <c r="A1339" s="34"/>
      <c r="B1339" s="34"/>
      <c r="C1339" s="34"/>
      <c r="D1339" s="34"/>
      <c r="E1339" s="34"/>
      <c r="F1339" s="34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34"/>
      <c r="AR1339" s="34"/>
      <c r="AS1339" s="34"/>
      <c r="AT1339" s="34"/>
      <c r="AU1339" s="34"/>
      <c r="AV1339" s="34"/>
    </row>
    <row r="1340">
      <c r="A1340" s="34"/>
      <c r="B1340" s="34"/>
      <c r="C1340" s="34"/>
      <c r="D1340" s="34"/>
      <c r="E1340" s="34"/>
      <c r="F1340" s="34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34"/>
      <c r="AR1340" s="34"/>
      <c r="AS1340" s="34"/>
      <c r="AT1340" s="34"/>
      <c r="AU1340" s="34"/>
      <c r="AV1340" s="34"/>
    </row>
    <row r="1341">
      <c r="A1341" s="34"/>
      <c r="B1341" s="34"/>
      <c r="C1341" s="34"/>
      <c r="D1341" s="34"/>
      <c r="E1341" s="34"/>
      <c r="F1341" s="34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34"/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34"/>
      <c r="AR1341" s="34"/>
      <c r="AS1341" s="34"/>
      <c r="AT1341" s="34"/>
      <c r="AU1341" s="34"/>
      <c r="AV1341" s="34"/>
    </row>
    <row r="1342">
      <c r="A1342" s="34"/>
      <c r="B1342" s="34"/>
      <c r="C1342" s="34"/>
      <c r="D1342" s="34"/>
      <c r="E1342" s="34"/>
      <c r="F1342" s="34"/>
      <c r="G1342" s="34"/>
      <c r="H1342" s="34"/>
      <c r="I1342" s="34"/>
      <c r="J1342" s="34"/>
      <c r="K1342" s="34"/>
      <c r="L1342" s="34"/>
      <c r="M1342" s="34"/>
      <c r="N1342" s="34"/>
      <c r="O1342" s="34"/>
      <c r="P1342" s="34"/>
      <c r="Q1342" s="34"/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</row>
    <row r="1343">
      <c r="A1343" s="34"/>
      <c r="B1343" s="34"/>
      <c r="C1343" s="34"/>
      <c r="D1343" s="34"/>
      <c r="E1343" s="34"/>
      <c r="F1343" s="34"/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4"/>
      <c r="AQ1343" s="34"/>
      <c r="AR1343" s="34"/>
      <c r="AS1343" s="34"/>
      <c r="AT1343" s="34"/>
      <c r="AU1343" s="34"/>
      <c r="AV1343" s="34"/>
    </row>
    <row r="1344">
      <c r="A1344" s="34"/>
      <c r="B1344" s="34"/>
      <c r="C1344" s="34"/>
      <c r="D1344" s="34"/>
      <c r="E1344" s="34"/>
      <c r="F1344" s="34"/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4"/>
      <c r="AQ1344" s="34"/>
      <c r="AR1344" s="34"/>
      <c r="AS1344" s="34"/>
      <c r="AT1344" s="34"/>
      <c r="AU1344" s="34"/>
      <c r="AV1344" s="34"/>
    </row>
    <row r="1345">
      <c r="A1345" s="34"/>
      <c r="B1345" s="34"/>
      <c r="C1345" s="34"/>
      <c r="D1345" s="34"/>
      <c r="E1345" s="34"/>
      <c r="F1345" s="34"/>
      <c r="G1345" s="34"/>
      <c r="H1345" s="34"/>
      <c r="I1345" s="34"/>
      <c r="J1345" s="34"/>
      <c r="K1345" s="34"/>
      <c r="L1345" s="34"/>
      <c r="M1345" s="34"/>
      <c r="N1345" s="34"/>
      <c r="O1345" s="34"/>
      <c r="P1345" s="34"/>
      <c r="Q1345" s="34"/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34"/>
      <c r="AP1345" s="34"/>
      <c r="AQ1345" s="34"/>
      <c r="AR1345" s="34"/>
      <c r="AS1345" s="34"/>
      <c r="AT1345" s="34"/>
      <c r="AU1345" s="34"/>
      <c r="AV1345" s="34"/>
    </row>
    <row r="1346">
      <c r="A1346" s="34"/>
      <c r="B1346" s="34"/>
      <c r="C1346" s="34"/>
      <c r="D1346" s="34"/>
      <c r="E1346" s="34"/>
      <c r="F1346" s="34"/>
      <c r="G1346" s="34"/>
      <c r="H1346" s="34"/>
      <c r="I1346" s="34"/>
      <c r="J1346" s="34"/>
      <c r="K1346" s="34"/>
      <c r="L1346" s="34"/>
      <c r="M1346" s="34"/>
      <c r="N1346" s="34"/>
      <c r="O1346" s="34"/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4"/>
      <c r="AQ1346" s="34"/>
      <c r="AR1346" s="34"/>
      <c r="AS1346" s="34"/>
      <c r="AT1346" s="34"/>
      <c r="AU1346" s="34"/>
      <c r="AV1346" s="34"/>
    </row>
    <row r="1347">
      <c r="A1347" s="34"/>
      <c r="B1347" s="34"/>
      <c r="C1347" s="34"/>
      <c r="D1347" s="34"/>
      <c r="E1347" s="34"/>
      <c r="F1347" s="34"/>
      <c r="G1347" s="34"/>
      <c r="H1347" s="34"/>
      <c r="I1347" s="34"/>
      <c r="J1347" s="34"/>
      <c r="K1347" s="34"/>
      <c r="L1347" s="34"/>
      <c r="M1347" s="34"/>
      <c r="N1347" s="34"/>
      <c r="O1347" s="34"/>
      <c r="P1347" s="34"/>
      <c r="Q1347" s="34"/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34"/>
      <c r="AR1347" s="34"/>
      <c r="AS1347" s="34"/>
      <c r="AT1347" s="34"/>
      <c r="AU1347" s="34"/>
      <c r="AV1347" s="34"/>
    </row>
    <row r="1348">
      <c r="A1348" s="34"/>
      <c r="B1348" s="34"/>
      <c r="C1348" s="34"/>
      <c r="D1348" s="34"/>
      <c r="E1348" s="34"/>
      <c r="F1348" s="34"/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4"/>
      <c r="AQ1348" s="34"/>
      <c r="AR1348" s="34"/>
      <c r="AS1348" s="34"/>
      <c r="AT1348" s="34"/>
      <c r="AU1348" s="34"/>
      <c r="AV1348" s="34"/>
    </row>
    <row r="1349">
      <c r="A1349" s="34"/>
      <c r="B1349" s="34"/>
      <c r="C1349" s="34"/>
      <c r="D1349" s="34"/>
      <c r="E1349" s="34"/>
      <c r="F1349" s="34"/>
      <c r="G1349" s="34"/>
      <c r="H1349" s="34"/>
      <c r="I1349" s="34"/>
      <c r="J1349" s="34"/>
      <c r="K1349" s="34"/>
      <c r="L1349" s="34"/>
      <c r="M1349" s="34"/>
      <c r="N1349" s="34"/>
      <c r="O1349" s="34"/>
      <c r="P1349" s="34"/>
      <c r="Q1349" s="34"/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4"/>
      <c r="AQ1349" s="34"/>
      <c r="AR1349" s="34"/>
      <c r="AS1349" s="34"/>
      <c r="AT1349" s="34"/>
      <c r="AU1349" s="34"/>
      <c r="AV1349" s="34"/>
    </row>
    <row r="1350">
      <c r="A1350" s="34"/>
      <c r="B1350" s="34"/>
      <c r="C1350" s="34"/>
      <c r="D1350" s="34"/>
      <c r="E1350" s="34"/>
      <c r="F1350" s="34"/>
      <c r="G1350" s="34"/>
      <c r="H1350" s="34"/>
      <c r="I1350" s="34"/>
      <c r="J1350" s="34"/>
      <c r="K1350" s="34"/>
      <c r="L1350" s="34"/>
      <c r="M1350" s="34"/>
      <c r="N1350" s="34"/>
      <c r="O1350" s="34"/>
      <c r="P1350" s="34"/>
      <c r="Q1350" s="34"/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34"/>
      <c r="AR1350" s="34"/>
      <c r="AS1350" s="34"/>
      <c r="AT1350" s="34"/>
      <c r="AU1350" s="34"/>
      <c r="AV1350" s="34"/>
    </row>
    <row r="1351">
      <c r="A1351" s="34"/>
      <c r="B1351" s="34"/>
      <c r="C1351" s="34"/>
      <c r="D1351" s="34"/>
      <c r="E1351" s="34"/>
      <c r="F1351" s="34"/>
      <c r="G1351" s="34"/>
      <c r="H1351" s="34"/>
      <c r="I1351" s="34"/>
      <c r="J1351" s="34"/>
      <c r="K1351" s="34"/>
      <c r="L1351" s="34"/>
      <c r="M1351" s="34"/>
      <c r="N1351" s="34"/>
      <c r="O1351" s="34"/>
      <c r="P1351" s="34"/>
      <c r="Q1351" s="34"/>
      <c r="R1351" s="3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34"/>
      <c r="AP1351" s="34"/>
      <c r="AQ1351" s="34"/>
      <c r="AR1351" s="34"/>
      <c r="AS1351" s="34"/>
      <c r="AT1351" s="34"/>
      <c r="AU1351" s="34"/>
      <c r="AV1351" s="34"/>
    </row>
    <row r="1352">
      <c r="A1352" s="34"/>
      <c r="B1352" s="34"/>
      <c r="C1352" s="34"/>
      <c r="D1352" s="34"/>
      <c r="E1352" s="34"/>
      <c r="F1352" s="34"/>
      <c r="G1352" s="34"/>
      <c r="H1352" s="34"/>
      <c r="I1352" s="34"/>
      <c r="J1352" s="34"/>
      <c r="K1352" s="34"/>
      <c r="L1352" s="34"/>
      <c r="M1352" s="34"/>
      <c r="N1352" s="34"/>
      <c r="O1352" s="34"/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  <c r="AQ1352" s="34"/>
      <c r="AR1352" s="34"/>
      <c r="AS1352" s="34"/>
      <c r="AT1352" s="34"/>
      <c r="AU1352" s="34"/>
      <c r="AV1352" s="34"/>
    </row>
    <row r="1353">
      <c r="A1353" s="34"/>
      <c r="B1353" s="34"/>
      <c r="C1353" s="34"/>
      <c r="D1353" s="34"/>
      <c r="E1353" s="34"/>
      <c r="F1353" s="34"/>
      <c r="G1353" s="34"/>
      <c r="H1353" s="34"/>
      <c r="I1353" s="34"/>
      <c r="J1353" s="34"/>
      <c r="K1353" s="34"/>
      <c r="L1353" s="34"/>
      <c r="M1353" s="34"/>
      <c r="N1353" s="34"/>
      <c r="O1353" s="34"/>
      <c r="P1353" s="34"/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34"/>
      <c r="AP1353" s="34"/>
      <c r="AQ1353" s="34"/>
      <c r="AR1353" s="34"/>
      <c r="AS1353" s="34"/>
      <c r="AT1353" s="34"/>
      <c r="AU1353" s="34"/>
      <c r="AV1353" s="34"/>
    </row>
    <row r="1354">
      <c r="A1354" s="34"/>
      <c r="B1354" s="34"/>
      <c r="C1354" s="34"/>
      <c r="D1354" s="34"/>
      <c r="E1354" s="34"/>
      <c r="F1354" s="34"/>
      <c r="G1354" s="34"/>
      <c r="H1354" s="34"/>
      <c r="I1354" s="34"/>
      <c r="J1354" s="34"/>
      <c r="K1354" s="34"/>
      <c r="L1354" s="34"/>
      <c r="M1354" s="34"/>
      <c r="N1354" s="34"/>
      <c r="O1354" s="34"/>
      <c r="P1354" s="34"/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34"/>
      <c r="AR1354" s="34"/>
      <c r="AS1354" s="34"/>
      <c r="AT1354" s="34"/>
      <c r="AU1354" s="34"/>
      <c r="AV1354" s="34"/>
    </row>
    <row r="1355">
      <c r="A1355" s="34"/>
      <c r="B1355" s="34"/>
      <c r="C1355" s="34"/>
      <c r="D1355" s="34"/>
      <c r="E1355" s="34"/>
      <c r="F1355" s="34"/>
      <c r="G1355" s="34"/>
      <c r="H1355" s="34"/>
      <c r="I1355" s="34"/>
      <c r="J1355" s="34"/>
      <c r="K1355" s="34"/>
      <c r="L1355" s="34"/>
      <c r="M1355" s="34"/>
      <c r="N1355" s="34"/>
      <c r="O1355" s="34"/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34"/>
      <c r="AP1355" s="34"/>
      <c r="AQ1355" s="34"/>
      <c r="AR1355" s="34"/>
      <c r="AS1355" s="34"/>
      <c r="AT1355" s="34"/>
      <c r="AU1355" s="34"/>
      <c r="AV1355" s="34"/>
    </row>
    <row r="1356">
      <c r="A1356" s="34"/>
      <c r="B1356" s="34"/>
      <c r="C1356" s="34"/>
      <c r="D1356" s="34"/>
      <c r="E1356" s="34"/>
      <c r="F1356" s="34"/>
      <c r="G1356" s="34"/>
      <c r="H1356" s="34"/>
      <c r="I1356" s="34"/>
      <c r="J1356" s="34"/>
      <c r="K1356" s="34"/>
      <c r="L1356" s="34"/>
      <c r="M1356" s="34"/>
      <c r="N1356" s="34"/>
      <c r="O1356" s="34"/>
      <c r="P1356" s="34"/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34"/>
      <c r="AP1356" s="34"/>
      <c r="AQ1356" s="34"/>
      <c r="AR1356" s="34"/>
      <c r="AS1356" s="34"/>
      <c r="AT1356" s="34"/>
      <c r="AU1356" s="34"/>
      <c r="AV1356" s="34"/>
    </row>
    <row r="1357">
      <c r="A1357" s="34"/>
      <c r="B1357" s="34"/>
      <c r="C1357" s="34"/>
      <c r="D1357" s="34"/>
      <c r="E1357" s="34"/>
      <c r="F1357" s="34"/>
      <c r="G1357" s="34"/>
      <c r="H1357" s="34"/>
      <c r="I1357" s="34"/>
      <c r="J1357" s="34"/>
      <c r="K1357" s="34"/>
      <c r="L1357" s="34"/>
      <c r="M1357" s="34"/>
      <c r="N1357" s="34"/>
      <c r="O1357" s="34"/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  <c r="AQ1357" s="34"/>
      <c r="AR1357" s="34"/>
      <c r="AS1357" s="34"/>
      <c r="AT1357" s="34"/>
      <c r="AU1357" s="34"/>
      <c r="AV1357" s="34"/>
    </row>
    <row r="1358">
      <c r="A1358" s="34"/>
      <c r="B1358" s="34"/>
      <c r="C1358" s="34"/>
      <c r="D1358" s="34"/>
      <c r="E1358" s="34"/>
      <c r="F1358" s="34"/>
      <c r="G1358" s="34"/>
      <c r="H1358" s="34"/>
      <c r="I1358" s="34"/>
      <c r="J1358" s="34"/>
      <c r="K1358" s="34"/>
      <c r="L1358" s="34"/>
      <c r="M1358" s="34"/>
      <c r="N1358" s="34"/>
      <c r="O1358" s="34"/>
      <c r="P1358" s="34"/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34"/>
      <c r="AP1358" s="34"/>
      <c r="AQ1358" s="34"/>
      <c r="AR1358" s="34"/>
      <c r="AS1358" s="34"/>
      <c r="AT1358" s="34"/>
      <c r="AU1358" s="34"/>
      <c r="AV1358" s="34"/>
    </row>
    <row r="1359">
      <c r="A1359" s="34"/>
      <c r="B1359" s="34"/>
      <c r="C1359" s="34"/>
      <c r="D1359" s="34"/>
      <c r="E1359" s="34"/>
      <c r="F1359" s="34"/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4"/>
      <c r="AQ1359" s="34"/>
      <c r="AR1359" s="34"/>
      <c r="AS1359" s="34"/>
      <c r="AT1359" s="34"/>
      <c r="AU1359" s="34"/>
      <c r="AV1359" s="34"/>
    </row>
    <row r="1360">
      <c r="A1360" s="34"/>
      <c r="B1360" s="34"/>
      <c r="C1360" s="34"/>
      <c r="D1360" s="34"/>
      <c r="E1360" s="34"/>
      <c r="F1360" s="34"/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4"/>
      <c r="AQ1360" s="34"/>
      <c r="AR1360" s="34"/>
      <c r="AS1360" s="34"/>
      <c r="AT1360" s="34"/>
      <c r="AU1360" s="34"/>
      <c r="AV1360" s="34"/>
    </row>
    <row r="1361">
      <c r="A1361" s="34"/>
      <c r="B1361" s="34"/>
      <c r="C1361" s="34"/>
      <c r="D1361" s="34"/>
      <c r="E1361" s="34"/>
      <c r="F1361" s="34"/>
      <c r="G1361" s="34"/>
      <c r="H1361" s="34"/>
      <c r="I1361" s="34"/>
      <c r="J1361" s="34"/>
      <c r="K1361" s="34"/>
      <c r="L1361" s="34"/>
      <c r="M1361" s="34"/>
      <c r="N1361" s="34"/>
      <c r="O1361" s="34"/>
      <c r="P1361" s="34"/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34"/>
      <c r="AR1361" s="34"/>
      <c r="AS1361" s="34"/>
      <c r="AT1361" s="34"/>
      <c r="AU1361" s="34"/>
      <c r="AV1361" s="34"/>
    </row>
    <row r="1362">
      <c r="A1362" s="34"/>
      <c r="B1362" s="34"/>
      <c r="C1362" s="34"/>
      <c r="D1362" s="34"/>
      <c r="E1362" s="34"/>
      <c r="F1362" s="34"/>
      <c r="G1362" s="34"/>
      <c r="H1362" s="34"/>
      <c r="I1362" s="34"/>
      <c r="J1362" s="34"/>
      <c r="K1362" s="34"/>
      <c r="L1362" s="34"/>
      <c r="M1362" s="34"/>
      <c r="N1362" s="34"/>
      <c r="O1362" s="34"/>
      <c r="P1362" s="34"/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34"/>
      <c r="AR1362" s="34"/>
      <c r="AS1362" s="34"/>
      <c r="AT1362" s="34"/>
      <c r="AU1362" s="34"/>
      <c r="AV1362" s="34"/>
    </row>
    <row r="1363">
      <c r="A1363" s="34"/>
      <c r="B1363" s="34"/>
      <c r="C1363" s="34"/>
      <c r="D1363" s="34"/>
      <c r="E1363" s="34"/>
      <c r="F1363" s="34"/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4"/>
      <c r="AQ1363" s="34"/>
      <c r="AR1363" s="34"/>
      <c r="AS1363" s="34"/>
      <c r="AT1363" s="34"/>
      <c r="AU1363" s="34"/>
      <c r="AV1363" s="34"/>
    </row>
    <row r="1364">
      <c r="A1364" s="34"/>
      <c r="B1364" s="34"/>
      <c r="C1364" s="34"/>
      <c r="D1364" s="34"/>
      <c r="E1364" s="34"/>
      <c r="F1364" s="34"/>
      <c r="G1364" s="34"/>
      <c r="H1364" s="34"/>
      <c r="I1364" s="34"/>
      <c r="J1364" s="34"/>
      <c r="K1364" s="34"/>
      <c r="L1364" s="34"/>
      <c r="M1364" s="34"/>
      <c r="N1364" s="34"/>
      <c r="O1364" s="34"/>
      <c r="P1364" s="34"/>
      <c r="Q1364" s="34"/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4"/>
      <c r="AQ1364" s="34"/>
      <c r="AR1364" s="34"/>
      <c r="AS1364" s="34"/>
      <c r="AT1364" s="34"/>
      <c r="AU1364" s="34"/>
      <c r="AV1364" s="34"/>
    </row>
    <row r="1365">
      <c r="A1365" s="34"/>
      <c r="B1365" s="34"/>
      <c r="C1365" s="34"/>
      <c r="D1365" s="34"/>
      <c r="E1365" s="34"/>
      <c r="F1365" s="34"/>
      <c r="G1365" s="34"/>
      <c r="H1365" s="34"/>
      <c r="I1365" s="34"/>
      <c r="J1365" s="34"/>
      <c r="K1365" s="34"/>
      <c r="L1365" s="34"/>
      <c r="M1365" s="34"/>
      <c r="N1365" s="34"/>
      <c r="O1365" s="34"/>
      <c r="P1365" s="34"/>
      <c r="Q1365" s="34"/>
      <c r="R1365" s="34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34"/>
      <c r="AP1365" s="34"/>
      <c r="AQ1365" s="34"/>
      <c r="AR1365" s="34"/>
      <c r="AS1365" s="34"/>
      <c r="AT1365" s="34"/>
      <c r="AU1365" s="34"/>
      <c r="AV1365" s="34"/>
    </row>
    <row r="1366">
      <c r="A1366" s="34"/>
      <c r="B1366" s="34"/>
      <c r="C1366" s="34"/>
      <c r="D1366" s="34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34"/>
      <c r="AQ1366" s="34"/>
      <c r="AR1366" s="34"/>
      <c r="AS1366" s="34"/>
      <c r="AT1366" s="34"/>
      <c r="AU1366" s="34"/>
      <c r="AV1366" s="34"/>
    </row>
    <row r="1367">
      <c r="A1367" s="34"/>
      <c r="B1367" s="34"/>
      <c r="C1367" s="34"/>
      <c r="D1367" s="34"/>
      <c r="E1367" s="34"/>
      <c r="F1367" s="34"/>
      <c r="G1367" s="34"/>
      <c r="H1367" s="34"/>
      <c r="I1367" s="34"/>
      <c r="J1367" s="34"/>
      <c r="K1367" s="34"/>
      <c r="L1367" s="34"/>
      <c r="M1367" s="34"/>
      <c r="N1367" s="34"/>
      <c r="O1367" s="34"/>
      <c r="P1367" s="34"/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34"/>
      <c r="AR1367" s="34"/>
      <c r="AS1367" s="34"/>
      <c r="AT1367" s="34"/>
      <c r="AU1367" s="34"/>
      <c r="AV1367" s="34"/>
    </row>
    <row r="1368">
      <c r="A1368" s="34"/>
      <c r="B1368" s="34"/>
      <c r="C1368" s="34"/>
      <c r="D1368" s="34"/>
      <c r="E1368" s="34"/>
      <c r="F1368" s="34"/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4"/>
      <c r="AQ1368" s="34"/>
      <c r="AR1368" s="34"/>
      <c r="AS1368" s="34"/>
      <c r="AT1368" s="34"/>
      <c r="AU1368" s="34"/>
      <c r="AV1368" s="34"/>
    </row>
    <row r="1369">
      <c r="A1369" s="34"/>
      <c r="B1369" s="34"/>
      <c r="C1369" s="34"/>
      <c r="D1369" s="34"/>
      <c r="E1369" s="34"/>
      <c r="F1369" s="34"/>
      <c r="G1369" s="34"/>
      <c r="H1369" s="34"/>
      <c r="I1369" s="34"/>
      <c r="J1369" s="34"/>
      <c r="K1369" s="34"/>
      <c r="L1369" s="34"/>
      <c r="M1369" s="34"/>
      <c r="N1369" s="34"/>
      <c r="O1369" s="34"/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34"/>
      <c r="AP1369" s="34"/>
      <c r="AQ1369" s="34"/>
      <c r="AR1369" s="34"/>
      <c r="AS1369" s="34"/>
      <c r="AT1369" s="34"/>
      <c r="AU1369" s="34"/>
      <c r="AV1369" s="34"/>
    </row>
    <row r="1370">
      <c r="A1370" s="34"/>
      <c r="B1370" s="34"/>
      <c r="C1370" s="34"/>
      <c r="D1370" s="34"/>
      <c r="E1370" s="34"/>
      <c r="F1370" s="34"/>
      <c r="G1370" s="34"/>
      <c r="H1370" s="34"/>
      <c r="I1370" s="34"/>
      <c r="J1370" s="34"/>
      <c r="K1370" s="34"/>
      <c r="L1370" s="34"/>
      <c r="M1370" s="34"/>
      <c r="N1370" s="34"/>
      <c r="O1370" s="34"/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34"/>
      <c r="AP1370" s="34"/>
      <c r="AQ1370" s="34"/>
      <c r="AR1370" s="34"/>
      <c r="AS1370" s="34"/>
      <c r="AT1370" s="34"/>
      <c r="AU1370" s="34"/>
      <c r="AV1370" s="34"/>
    </row>
    <row r="1371">
      <c r="A1371" s="34"/>
      <c r="B1371" s="34"/>
      <c r="C1371" s="34"/>
      <c r="D1371" s="34"/>
      <c r="E1371" s="34"/>
      <c r="F1371" s="34"/>
      <c r="G1371" s="34"/>
      <c r="H1371" s="34"/>
      <c r="I1371" s="34"/>
      <c r="J1371" s="34"/>
      <c r="K1371" s="34"/>
      <c r="L1371" s="34"/>
      <c r="M1371" s="34"/>
      <c r="N1371" s="34"/>
      <c r="O1371" s="34"/>
      <c r="P1371" s="34"/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4"/>
      <c r="AQ1371" s="34"/>
      <c r="AR1371" s="34"/>
      <c r="AS1371" s="34"/>
      <c r="AT1371" s="34"/>
      <c r="AU1371" s="34"/>
      <c r="AV1371" s="34"/>
    </row>
    <row r="1372">
      <c r="A1372" s="34"/>
      <c r="B1372" s="34"/>
      <c r="C1372" s="34"/>
      <c r="D1372" s="34"/>
      <c r="E1372" s="34"/>
      <c r="F1372" s="34"/>
      <c r="G1372" s="34"/>
      <c r="H1372" s="34"/>
      <c r="I1372" s="34"/>
      <c r="J1372" s="34"/>
      <c r="K1372" s="34"/>
      <c r="L1372" s="34"/>
      <c r="M1372" s="34"/>
      <c r="N1372" s="34"/>
      <c r="O1372" s="34"/>
      <c r="P1372" s="34"/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34"/>
      <c r="AR1372" s="34"/>
      <c r="AS1372" s="34"/>
      <c r="AT1372" s="34"/>
      <c r="AU1372" s="34"/>
      <c r="AV1372" s="34"/>
    </row>
    <row r="1373">
      <c r="A1373" s="34"/>
      <c r="B1373" s="34"/>
      <c r="C1373" s="34"/>
      <c r="D1373" s="34"/>
      <c r="E1373" s="34"/>
      <c r="F1373" s="34"/>
      <c r="G1373" s="34"/>
      <c r="H1373" s="34"/>
      <c r="I1373" s="34"/>
      <c r="J1373" s="34"/>
      <c r="K1373" s="34"/>
      <c r="L1373" s="34"/>
      <c r="M1373" s="34"/>
      <c r="N1373" s="34"/>
      <c r="O1373" s="34"/>
      <c r="P1373" s="34"/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34"/>
      <c r="AP1373" s="34"/>
      <c r="AQ1373" s="34"/>
      <c r="AR1373" s="34"/>
      <c r="AS1373" s="34"/>
      <c r="AT1373" s="34"/>
      <c r="AU1373" s="34"/>
      <c r="AV1373" s="34"/>
    </row>
    <row r="1374">
      <c r="A1374" s="34"/>
      <c r="B1374" s="34"/>
      <c r="C1374" s="34"/>
      <c r="D1374" s="34"/>
      <c r="E1374" s="34"/>
      <c r="F1374" s="34"/>
      <c r="G1374" s="34"/>
      <c r="H1374" s="34"/>
      <c r="I1374" s="34"/>
      <c r="J1374" s="34"/>
      <c r="K1374" s="34"/>
      <c r="L1374" s="34"/>
      <c r="M1374" s="34"/>
      <c r="N1374" s="34"/>
      <c r="O1374" s="34"/>
      <c r="P1374" s="34"/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4"/>
      <c r="AQ1374" s="34"/>
      <c r="AR1374" s="34"/>
      <c r="AS1374" s="34"/>
      <c r="AT1374" s="34"/>
      <c r="AU1374" s="34"/>
      <c r="AV1374" s="34"/>
    </row>
    <row r="1375">
      <c r="A1375" s="34"/>
      <c r="B1375" s="34"/>
      <c r="C1375" s="34"/>
      <c r="D1375" s="34"/>
      <c r="E1375" s="34"/>
      <c r="F1375" s="34"/>
      <c r="G1375" s="34"/>
      <c r="H1375" s="34"/>
      <c r="I1375" s="34"/>
      <c r="J1375" s="34"/>
      <c r="K1375" s="34"/>
      <c r="L1375" s="34"/>
      <c r="M1375" s="34"/>
      <c r="N1375" s="34"/>
      <c r="O1375" s="34"/>
      <c r="P1375" s="34"/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34"/>
      <c r="AP1375" s="34"/>
      <c r="AQ1375" s="34"/>
      <c r="AR1375" s="34"/>
      <c r="AS1375" s="34"/>
      <c r="AT1375" s="34"/>
      <c r="AU1375" s="34"/>
      <c r="AV1375" s="34"/>
    </row>
    <row r="1376">
      <c r="A1376" s="34"/>
      <c r="B1376" s="34"/>
      <c r="C1376" s="34"/>
      <c r="D1376" s="34"/>
      <c r="E1376" s="34"/>
      <c r="F1376" s="34"/>
      <c r="G1376" s="34"/>
      <c r="H1376" s="34"/>
      <c r="I1376" s="34"/>
      <c r="J1376" s="34"/>
      <c r="K1376" s="34"/>
      <c r="L1376" s="34"/>
      <c r="M1376" s="34"/>
      <c r="N1376" s="34"/>
      <c r="O1376" s="34"/>
      <c r="P1376" s="34"/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34"/>
      <c r="AR1376" s="34"/>
      <c r="AS1376" s="34"/>
      <c r="AT1376" s="34"/>
      <c r="AU1376" s="34"/>
      <c r="AV1376" s="34"/>
    </row>
    <row r="1377">
      <c r="A1377" s="34"/>
      <c r="B1377" s="34"/>
      <c r="C1377" s="34"/>
      <c r="D1377" s="34"/>
      <c r="E1377" s="34"/>
      <c r="F1377" s="34"/>
      <c r="G1377" s="34"/>
      <c r="H1377" s="34"/>
      <c r="I1377" s="34"/>
      <c r="J1377" s="34"/>
      <c r="K1377" s="34"/>
      <c r="L1377" s="34"/>
      <c r="M1377" s="34"/>
      <c r="N1377" s="34"/>
      <c r="O1377" s="34"/>
      <c r="P1377" s="34"/>
      <c r="Q1377" s="34"/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4"/>
      <c r="AQ1377" s="34"/>
      <c r="AR1377" s="34"/>
      <c r="AS1377" s="34"/>
      <c r="AT1377" s="34"/>
      <c r="AU1377" s="34"/>
      <c r="AV1377" s="34"/>
    </row>
    <row r="1378">
      <c r="A1378" s="34"/>
      <c r="B1378" s="34"/>
      <c r="C1378" s="34"/>
      <c r="D1378" s="34"/>
      <c r="E1378" s="34"/>
      <c r="F1378" s="34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34"/>
      <c r="AP1378" s="34"/>
      <c r="AQ1378" s="34"/>
      <c r="AR1378" s="34"/>
      <c r="AS1378" s="34"/>
      <c r="AT1378" s="34"/>
      <c r="AU1378" s="34"/>
      <c r="AV1378" s="34"/>
    </row>
    <row r="1379">
      <c r="A1379" s="34"/>
      <c r="B1379" s="34"/>
      <c r="C1379" s="34"/>
      <c r="D1379" s="34"/>
      <c r="E1379" s="34"/>
      <c r="F1379" s="34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34"/>
      <c r="AP1379" s="34"/>
      <c r="AQ1379" s="34"/>
      <c r="AR1379" s="34"/>
      <c r="AS1379" s="34"/>
      <c r="AT1379" s="34"/>
      <c r="AU1379" s="34"/>
      <c r="AV1379" s="34"/>
    </row>
    <row r="1380">
      <c r="A1380" s="34"/>
      <c r="B1380" s="34"/>
      <c r="C1380" s="34"/>
      <c r="D1380" s="34"/>
      <c r="E1380" s="34"/>
      <c r="F1380" s="34"/>
      <c r="G1380" s="34"/>
      <c r="H1380" s="34"/>
      <c r="I1380" s="34"/>
      <c r="J1380" s="34"/>
      <c r="K1380" s="34"/>
      <c r="L1380" s="34"/>
      <c r="M1380" s="34"/>
      <c r="N1380" s="34"/>
      <c r="O1380" s="34"/>
      <c r="P1380" s="34"/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34"/>
      <c r="AP1380" s="34"/>
      <c r="AQ1380" s="34"/>
      <c r="AR1380" s="34"/>
      <c r="AS1380" s="34"/>
      <c r="AT1380" s="34"/>
      <c r="AU1380" s="34"/>
      <c r="AV1380" s="34"/>
    </row>
    <row r="1381">
      <c r="A1381" s="34"/>
      <c r="B1381" s="34"/>
      <c r="C1381" s="34"/>
      <c r="D1381" s="34"/>
      <c r="E1381" s="34"/>
      <c r="F1381" s="34"/>
      <c r="G1381" s="34"/>
      <c r="H1381" s="34"/>
      <c r="I1381" s="34"/>
      <c r="J1381" s="34"/>
      <c r="K1381" s="34"/>
      <c r="L1381" s="34"/>
      <c r="M1381" s="34"/>
      <c r="N1381" s="34"/>
      <c r="O1381" s="34"/>
      <c r="P1381" s="34"/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34"/>
      <c r="AR1381" s="34"/>
      <c r="AS1381" s="34"/>
      <c r="AT1381" s="34"/>
      <c r="AU1381" s="34"/>
      <c r="AV1381" s="34"/>
    </row>
    <row r="1382">
      <c r="A1382" s="34"/>
      <c r="B1382" s="34"/>
      <c r="C1382" s="34"/>
      <c r="D1382" s="34"/>
      <c r="E1382" s="34"/>
      <c r="F1382" s="34"/>
      <c r="G1382" s="34"/>
      <c r="H1382" s="34"/>
      <c r="I1382" s="34"/>
      <c r="J1382" s="34"/>
      <c r="K1382" s="34"/>
      <c r="L1382" s="34"/>
      <c r="M1382" s="34"/>
      <c r="N1382" s="34"/>
      <c r="O1382" s="34"/>
      <c r="P1382" s="34"/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34"/>
      <c r="AP1382" s="34"/>
      <c r="AQ1382" s="34"/>
      <c r="AR1382" s="34"/>
      <c r="AS1382" s="34"/>
      <c r="AT1382" s="34"/>
      <c r="AU1382" s="34"/>
      <c r="AV1382" s="34"/>
    </row>
    <row r="1383">
      <c r="A1383" s="34"/>
      <c r="B1383" s="34"/>
      <c r="C1383" s="34"/>
      <c r="D1383" s="34"/>
      <c r="E1383" s="34"/>
      <c r="F1383" s="34"/>
      <c r="G1383" s="34"/>
      <c r="H1383" s="34"/>
      <c r="I1383" s="34"/>
      <c r="J1383" s="34"/>
      <c r="K1383" s="34"/>
      <c r="L1383" s="34"/>
      <c r="M1383" s="34"/>
      <c r="N1383" s="34"/>
      <c r="O1383" s="34"/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34"/>
      <c r="AR1383" s="34"/>
      <c r="AS1383" s="34"/>
      <c r="AT1383" s="34"/>
      <c r="AU1383" s="34"/>
      <c r="AV1383" s="34"/>
    </row>
    <row r="1384">
      <c r="A1384" s="34"/>
      <c r="B1384" s="34"/>
      <c r="C1384" s="34"/>
      <c r="D1384" s="34"/>
      <c r="E1384" s="34"/>
      <c r="F1384" s="34"/>
      <c r="G1384" s="34"/>
      <c r="H1384" s="34"/>
      <c r="I1384" s="34"/>
      <c r="J1384" s="34"/>
      <c r="K1384" s="34"/>
      <c r="L1384" s="34"/>
      <c r="M1384" s="34"/>
      <c r="N1384" s="34"/>
      <c r="O1384" s="34"/>
      <c r="P1384" s="34"/>
      <c r="Q1384" s="34"/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34"/>
      <c r="AR1384" s="34"/>
      <c r="AS1384" s="34"/>
      <c r="AT1384" s="34"/>
      <c r="AU1384" s="34"/>
      <c r="AV1384" s="34"/>
    </row>
    <row r="1385">
      <c r="A1385" s="34"/>
      <c r="B1385" s="34"/>
      <c r="C1385" s="34"/>
      <c r="D1385" s="34"/>
      <c r="E1385" s="34"/>
      <c r="F1385" s="34"/>
      <c r="G1385" s="34"/>
      <c r="H1385" s="34"/>
      <c r="I1385" s="34"/>
      <c r="J1385" s="34"/>
      <c r="K1385" s="34"/>
      <c r="L1385" s="34"/>
      <c r="M1385" s="34"/>
      <c r="N1385" s="34"/>
      <c r="O1385" s="34"/>
      <c r="P1385" s="34"/>
      <c r="Q1385" s="34"/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34"/>
      <c r="AP1385" s="34"/>
      <c r="AQ1385" s="34"/>
      <c r="AR1385" s="34"/>
      <c r="AS1385" s="34"/>
      <c r="AT1385" s="34"/>
      <c r="AU1385" s="34"/>
      <c r="AV1385" s="34"/>
    </row>
    <row r="1386">
      <c r="A1386" s="34"/>
      <c r="B1386" s="34"/>
      <c r="C1386" s="34"/>
      <c r="D1386" s="34"/>
      <c r="E1386" s="34"/>
      <c r="F1386" s="34"/>
      <c r="G1386" s="34"/>
      <c r="H1386" s="34"/>
      <c r="I1386" s="34"/>
      <c r="J1386" s="34"/>
      <c r="K1386" s="34"/>
      <c r="L1386" s="34"/>
      <c r="M1386" s="34"/>
      <c r="N1386" s="34"/>
      <c r="O1386" s="34"/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34"/>
      <c r="AP1386" s="34"/>
      <c r="AQ1386" s="34"/>
      <c r="AR1386" s="34"/>
      <c r="AS1386" s="34"/>
      <c r="AT1386" s="34"/>
      <c r="AU1386" s="34"/>
      <c r="AV1386" s="34"/>
    </row>
    <row r="1387">
      <c r="A1387" s="34"/>
      <c r="B1387" s="34"/>
      <c r="C1387" s="34"/>
      <c r="D1387" s="34"/>
      <c r="E1387" s="34"/>
      <c r="F1387" s="34"/>
      <c r="G1387" s="34"/>
      <c r="H1387" s="34"/>
      <c r="I1387" s="34"/>
      <c r="J1387" s="34"/>
      <c r="K1387" s="34"/>
      <c r="L1387" s="34"/>
      <c r="M1387" s="34"/>
      <c r="N1387" s="34"/>
      <c r="O1387" s="34"/>
      <c r="P1387" s="34"/>
      <c r="Q1387" s="34"/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34"/>
      <c r="AR1387" s="34"/>
      <c r="AS1387" s="34"/>
      <c r="AT1387" s="34"/>
      <c r="AU1387" s="34"/>
      <c r="AV1387" s="34"/>
    </row>
    <row r="1388">
      <c r="A1388" s="34"/>
      <c r="B1388" s="34"/>
      <c r="C1388" s="34"/>
      <c r="D1388" s="34"/>
      <c r="E1388" s="34"/>
      <c r="F1388" s="34"/>
      <c r="G1388" s="34"/>
      <c r="H1388" s="34"/>
      <c r="I1388" s="34"/>
      <c r="J1388" s="34"/>
      <c r="K1388" s="34"/>
      <c r="L1388" s="34"/>
      <c r="M1388" s="34"/>
      <c r="N1388" s="34"/>
      <c r="O1388" s="34"/>
      <c r="P1388" s="34"/>
      <c r="Q1388" s="34"/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4"/>
      <c r="AQ1388" s="34"/>
      <c r="AR1388" s="34"/>
      <c r="AS1388" s="34"/>
      <c r="AT1388" s="34"/>
      <c r="AU1388" s="34"/>
      <c r="AV1388" s="34"/>
    </row>
    <row r="1389">
      <c r="A1389" s="34"/>
      <c r="B1389" s="34"/>
      <c r="C1389" s="34"/>
      <c r="D1389" s="34"/>
      <c r="E1389" s="34"/>
      <c r="F1389" s="34"/>
      <c r="G1389" s="34"/>
      <c r="H1389" s="34"/>
      <c r="I1389" s="34"/>
      <c r="J1389" s="34"/>
      <c r="K1389" s="34"/>
      <c r="L1389" s="34"/>
      <c r="M1389" s="34"/>
      <c r="N1389" s="34"/>
      <c r="O1389" s="34"/>
      <c r="P1389" s="34"/>
      <c r="Q1389" s="34"/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34"/>
      <c r="AP1389" s="34"/>
      <c r="AQ1389" s="34"/>
      <c r="AR1389" s="34"/>
      <c r="AS1389" s="34"/>
      <c r="AT1389" s="34"/>
      <c r="AU1389" s="34"/>
      <c r="AV1389" s="34"/>
    </row>
    <row r="1390">
      <c r="A1390" s="34"/>
      <c r="B1390" s="34"/>
      <c r="C1390" s="34"/>
      <c r="D1390" s="34"/>
      <c r="E1390" s="34"/>
      <c r="F1390" s="34"/>
      <c r="G1390" s="34"/>
      <c r="H1390" s="34"/>
      <c r="I1390" s="34"/>
      <c r="J1390" s="34"/>
      <c r="K1390" s="34"/>
      <c r="L1390" s="34"/>
      <c r="M1390" s="34"/>
      <c r="N1390" s="34"/>
      <c r="O1390" s="34"/>
      <c r="P1390" s="34"/>
      <c r="Q1390" s="34"/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34"/>
      <c r="AP1390" s="34"/>
      <c r="AQ1390" s="34"/>
      <c r="AR1390" s="34"/>
      <c r="AS1390" s="34"/>
      <c r="AT1390" s="34"/>
      <c r="AU1390" s="34"/>
      <c r="AV1390" s="34"/>
    </row>
    <row r="1391">
      <c r="A1391" s="34"/>
      <c r="B1391" s="34"/>
      <c r="C1391" s="34"/>
      <c r="D1391" s="34"/>
      <c r="E1391" s="34"/>
      <c r="F1391" s="34"/>
      <c r="G1391" s="34"/>
      <c r="H1391" s="34"/>
      <c r="I1391" s="34"/>
      <c r="J1391" s="34"/>
      <c r="K1391" s="34"/>
      <c r="L1391" s="34"/>
      <c r="M1391" s="34"/>
      <c r="N1391" s="34"/>
      <c r="O1391" s="34"/>
      <c r="P1391" s="34"/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34"/>
      <c r="AR1391" s="34"/>
      <c r="AS1391" s="34"/>
      <c r="AT1391" s="34"/>
      <c r="AU1391" s="34"/>
      <c r="AV1391" s="34"/>
    </row>
    <row r="1392">
      <c r="A1392" s="34"/>
      <c r="B1392" s="34"/>
      <c r="C1392" s="34"/>
      <c r="D1392" s="34"/>
      <c r="E1392" s="34"/>
      <c r="F1392" s="34"/>
      <c r="G1392" s="34"/>
      <c r="H1392" s="34"/>
      <c r="I1392" s="34"/>
      <c r="J1392" s="34"/>
      <c r="K1392" s="34"/>
      <c r="L1392" s="34"/>
      <c r="M1392" s="34"/>
      <c r="N1392" s="34"/>
      <c r="O1392" s="34"/>
      <c r="P1392" s="34"/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34"/>
      <c r="AP1392" s="34"/>
      <c r="AQ1392" s="34"/>
      <c r="AR1392" s="34"/>
      <c r="AS1392" s="34"/>
      <c r="AT1392" s="34"/>
      <c r="AU1392" s="34"/>
      <c r="AV1392" s="34"/>
    </row>
    <row r="1393">
      <c r="A1393" s="34"/>
      <c r="B1393" s="34"/>
      <c r="C1393" s="34"/>
      <c r="D1393" s="34"/>
      <c r="E1393" s="34"/>
      <c r="F1393" s="34"/>
      <c r="G1393" s="34"/>
      <c r="H1393" s="34"/>
      <c r="I1393" s="34"/>
      <c r="J1393" s="34"/>
      <c r="K1393" s="34"/>
      <c r="L1393" s="34"/>
      <c r="M1393" s="34"/>
      <c r="N1393" s="34"/>
      <c r="O1393" s="34"/>
      <c r="P1393" s="34"/>
      <c r="Q1393" s="34"/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  <c r="AQ1393" s="34"/>
      <c r="AR1393" s="34"/>
      <c r="AS1393" s="34"/>
      <c r="AT1393" s="34"/>
      <c r="AU1393" s="34"/>
      <c r="AV1393" s="34"/>
    </row>
    <row r="1394">
      <c r="A1394" s="34"/>
      <c r="B1394" s="34"/>
      <c r="C1394" s="34"/>
      <c r="D1394" s="34"/>
      <c r="E1394" s="34"/>
      <c r="F1394" s="34"/>
      <c r="G1394" s="34"/>
      <c r="H1394" s="34"/>
      <c r="I1394" s="34"/>
      <c r="J1394" s="34"/>
      <c r="K1394" s="34"/>
      <c r="L1394" s="34"/>
      <c r="M1394" s="34"/>
      <c r="N1394" s="34"/>
      <c r="O1394" s="34"/>
      <c r="P1394" s="34"/>
      <c r="Q1394" s="34"/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34"/>
      <c r="AP1394" s="34"/>
      <c r="AQ1394" s="34"/>
      <c r="AR1394" s="34"/>
      <c r="AS1394" s="34"/>
      <c r="AT1394" s="34"/>
      <c r="AU1394" s="34"/>
      <c r="AV1394" s="34"/>
    </row>
    <row r="1395">
      <c r="A1395" s="34"/>
      <c r="B1395" s="34"/>
      <c r="C1395" s="34"/>
      <c r="D1395" s="34"/>
      <c r="E1395" s="34"/>
      <c r="F1395" s="34"/>
      <c r="G1395" s="34"/>
      <c r="H1395" s="34"/>
      <c r="I1395" s="34"/>
      <c r="J1395" s="34"/>
      <c r="K1395" s="34"/>
      <c r="L1395" s="34"/>
      <c r="M1395" s="34"/>
      <c r="N1395" s="34"/>
      <c r="O1395" s="34"/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34"/>
      <c r="AP1395" s="34"/>
      <c r="AQ1395" s="34"/>
      <c r="AR1395" s="34"/>
      <c r="AS1395" s="34"/>
      <c r="AT1395" s="34"/>
      <c r="AU1395" s="34"/>
      <c r="AV1395" s="34"/>
    </row>
    <row r="1396">
      <c r="A1396" s="34"/>
      <c r="B1396" s="34"/>
      <c r="C1396" s="34"/>
      <c r="D1396" s="34"/>
      <c r="E1396" s="34"/>
      <c r="F1396" s="34"/>
      <c r="G1396" s="34"/>
      <c r="H1396" s="34"/>
      <c r="I1396" s="34"/>
      <c r="J1396" s="34"/>
      <c r="K1396" s="34"/>
      <c r="L1396" s="34"/>
      <c r="M1396" s="34"/>
      <c r="N1396" s="34"/>
      <c r="O1396" s="34"/>
      <c r="P1396" s="34"/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4"/>
      <c r="AQ1396" s="34"/>
      <c r="AR1396" s="34"/>
      <c r="AS1396" s="34"/>
      <c r="AT1396" s="34"/>
      <c r="AU1396" s="34"/>
      <c r="AV1396" s="34"/>
    </row>
    <row r="1397">
      <c r="A1397" s="34"/>
      <c r="B1397" s="34"/>
      <c r="C1397" s="34"/>
      <c r="D1397" s="34"/>
      <c r="E1397" s="34"/>
      <c r="F1397" s="34"/>
      <c r="G1397" s="34"/>
      <c r="H1397" s="34"/>
      <c r="I1397" s="34"/>
      <c r="J1397" s="34"/>
      <c r="K1397" s="34"/>
      <c r="L1397" s="34"/>
      <c r="M1397" s="34"/>
      <c r="N1397" s="34"/>
      <c r="O1397" s="34"/>
      <c r="P1397" s="34"/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34"/>
      <c r="AP1397" s="34"/>
      <c r="AQ1397" s="34"/>
      <c r="AR1397" s="34"/>
      <c r="AS1397" s="34"/>
      <c r="AT1397" s="34"/>
      <c r="AU1397" s="34"/>
      <c r="AV1397" s="34"/>
    </row>
    <row r="1398">
      <c r="A1398" s="34"/>
      <c r="B1398" s="34"/>
      <c r="C1398" s="34"/>
      <c r="D1398" s="34"/>
      <c r="E1398" s="34"/>
      <c r="F1398" s="34"/>
      <c r="G1398" s="34"/>
      <c r="H1398" s="34"/>
      <c r="I1398" s="34"/>
      <c r="J1398" s="34"/>
      <c r="K1398" s="34"/>
      <c r="L1398" s="34"/>
      <c r="M1398" s="34"/>
      <c r="N1398" s="34"/>
      <c r="O1398" s="34"/>
      <c r="P1398" s="34"/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34"/>
      <c r="AP1398" s="34"/>
      <c r="AQ1398" s="34"/>
      <c r="AR1398" s="34"/>
      <c r="AS1398" s="34"/>
      <c r="AT1398" s="34"/>
      <c r="AU1398" s="34"/>
      <c r="AV1398" s="34"/>
    </row>
    <row r="1399">
      <c r="A1399" s="34"/>
      <c r="B1399" s="34"/>
      <c r="C1399" s="34"/>
      <c r="D1399" s="34"/>
      <c r="E1399" s="34"/>
      <c r="F1399" s="34"/>
      <c r="G1399" s="34"/>
      <c r="H1399" s="34"/>
      <c r="I1399" s="34"/>
      <c r="J1399" s="34"/>
      <c r="K1399" s="34"/>
      <c r="L1399" s="34"/>
      <c r="M1399" s="34"/>
      <c r="N1399" s="34"/>
      <c r="O1399" s="34"/>
      <c r="P1399" s="34"/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34"/>
      <c r="AR1399" s="34"/>
      <c r="AS1399" s="34"/>
      <c r="AT1399" s="34"/>
      <c r="AU1399" s="34"/>
      <c r="AV1399" s="34"/>
    </row>
    <row r="1400">
      <c r="A1400" s="34"/>
      <c r="B1400" s="34"/>
      <c r="C1400" s="34"/>
      <c r="D1400" s="34"/>
      <c r="E1400" s="34"/>
      <c r="F1400" s="34"/>
      <c r="G1400" s="34"/>
      <c r="H1400" s="34"/>
      <c r="I1400" s="34"/>
      <c r="J1400" s="34"/>
      <c r="K1400" s="34"/>
      <c r="L1400" s="34"/>
      <c r="M1400" s="34"/>
      <c r="N1400" s="34"/>
      <c r="O1400" s="34"/>
      <c r="P1400" s="34"/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  <c r="AQ1400" s="34"/>
      <c r="AR1400" s="34"/>
      <c r="AS1400" s="34"/>
      <c r="AT1400" s="34"/>
      <c r="AU1400" s="34"/>
      <c r="AV1400" s="34"/>
    </row>
    <row r="1401">
      <c r="A1401" s="34"/>
      <c r="B1401" s="34"/>
      <c r="C1401" s="34"/>
      <c r="D1401" s="34"/>
      <c r="E1401" s="34"/>
      <c r="F1401" s="34"/>
      <c r="G1401" s="34"/>
      <c r="H1401" s="34"/>
      <c r="I1401" s="34"/>
      <c r="J1401" s="34"/>
      <c r="K1401" s="34"/>
      <c r="L1401" s="34"/>
      <c r="M1401" s="34"/>
      <c r="N1401" s="34"/>
      <c r="O1401" s="34"/>
      <c r="P1401" s="34"/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34"/>
      <c r="AP1401" s="34"/>
      <c r="AQ1401" s="34"/>
      <c r="AR1401" s="34"/>
      <c r="AS1401" s="34"/>
      <c r="AT1401" s="34"/>
      <c r="AU1401" s="34"/>
      <c r="AV1401" s="34"/>
    </row>
    <row r="1402">
      <c r="A1402" s="34"/>
      <c r="B1402" s="34"/>
      <c r="C1402" s="34"/>
      <c r="D1402" s="34"/>
      <c r="E1402" s="34"/>
      <c r="F1402" s="34"/>
      <c r="G1402" s="34"/>
      <c r="H1402" s="34"/>
      <c r="I1402" s="34"/>
      <c r="J1402" s="34"/>
      <c r="K1402" s="34"/>
      <c r="L1402" s="34"/>
      <c r="M1402" s="34"/>
      <c r="N1402" s="34"/>
      <c r="O1402" s="34"/>
      <c r="P1402" s="34"/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4"/>
      <c r="AQ1402" s="34"/>
      <c r="AR1402" s="34"/>
      <c r="AS1402" s="34"/>
      <c r="AT1402" s="34"/>
      <c r="AU1402" s="34"/>
      <c r="AV1402" s="34"/>
    </row>
    <row r="1403">
      <c r="A1403" s="34"/>
      <c r="B1403" s="34"/>
      <c r="C1403" s="34"/>
      <c r="D1403" s="34"/>
      <c r="E1403" s="34"/>
      <c r="F1403" s="34"/>
      <c r="G1403" s="34"/>
      <c r="H1403" s="34"/>
      <c r="I1403" s="34"/>
      <c r="J1403" s="34"/>
      <c r="K1403" s="34"/>
      <c r="L1403" s="34"/>
      <c r="M1403" s="34"/>
      <c r="N1403" s="34"/>
      <c r="O1403" s="34"/>
      <c r="P1403" s="34"/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  <c r="AQ1403" s="34"/>
      <c r="AR1403" s="34"/>
      <c r="AS1403" s="34"/>
      <c r="AT1403" s="34"/>
      <c r="AU1403" s="34"/>
      <c r="AV1403" s="34"/>
    </row>
    <row r="1404">
      <c r="A1404" s="34"/>
      <c r="B1404" s="34"/>
      <c r="C1404" s="34"/>
      <c r="D1404" s="34"/>
      <c r="E1404" s="34"/>
      <c r="F1404" s="34"/>
      <c r="G1404" s="34"/>
      <c r="H1404" s="34"/>
      <c r="I1404" s="34"/>
      <c r="J1404" s="34"/>
      <c r="K1404" s="34"/>
      <c r="L1404" s="34"/>
      <c r="M1404" s="34"/>
      <c r="N1404" s="34"/>
      <c r="O1404" s="34"/>
      <c r="P1404" s="34"/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34"/>
      <c r="AP1404" s="34"/>
      <c r="AQ1404" s="34"/>
      <c r="AR1404" s="34"/>
      <c r="AS1404" s="34"/>
      <c r="AT1404" s="34"/>
      <c r="AU1404" s="34"/>
      <c r="AV1404" s="34"/>
    </row>
    <row r="1405">
      <c r="A1405" s="34"/>
      <c r="B1405" s="34"/>
      <c r="C1405" s="34"/>
      <c r="D1405" s="34"/>
      <c r="E1405" s="34"/>
      <c r="F1405" s="34"/>
      <c r="G1405" s="34"/>
      <c r="H1405" s="34"/>
      <c r="I1405" s="34"/>
      <c r="J1405" s="34"/>
      <c r="K1405" s="34"/>
      <c r="L1405" s="34"/>
      <c r="M1405" s="34"/>
      <c r="N1405" s="34"/>
      <c r="O1405" s="34"/>
      <c r="P1405" s="34"/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4"/>
      <c r="AQ1405" s="34"/>
      <c r="AR1405" s="34"/>
      <c r="AS1405" s="34"/>
      <c r="AT1405" s="34"/>
      <c r="AU1405" s="34"/>
      <c r="AV1405" s="34"/>
    </row>
    <row r="1406">
      <c r="A1406" s="34"/>
      <c r="B1406" s="34"/>
      <c r="C1406" s="34"/>
      <c r="D1406" s="34"/>
      <c r="E1406" s="34"/>
      <c r="F1406" s="34"/>
      <c r="G1406" s="34"/>
      <c r="H1406" s="34"/>
      <c r="I1406" s="34"/>
      <c r="J1406" s="34"/>
      <c r="K1406" s="34"/>
      <c r="L1406" s="34"/>
      <c r="M1406" s="34"/>
      <c r="N1406" s="34"/>
      <c r="O1406" s="34"/>
      <c r="P1406" s="34"/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34"/>
      <c r="AR1406" s="34"/>
      <c r="AS1406" s="34"/>
      <c r="AT1406" s="34"/>
      <c r="AU1406" s="34"/>
      <c r="AV1406" s="34"/>
    </row>
    <row r="1407">
      <c r="A1407" s="34"/>
      <c r="B1407" s="34"/>
      <c r="C1407" s="34"/>
      <c r="D1407" s="34"/>
      <c r="E1407" s="34"/>
      <c r="F1407" s="34"/>
      <c r="G1407" s="34"/>
      <c r="H1407" s="34"/>
      <c r="I1407" s="34"/>
      <c r="J1407" s="34"/>
      <c r="K1407" s="34"/>
      <c r="L1407" s="34"/>
      <c r="M1407" s="34"/>
      <c r="N1407" s="34"/>
      <c r="O1407" s="34"/>
      <c r="P1407" s="34"/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34"/>
      <c r="AP1407" s="34"/>
      <c r="AQ1407" s="34"/>
      <c r="AR1407" s="34"/>
      <c r="AS1407" s="34"/>
      <c r="AT1407" s="34"/>
      <c r="AU1407" s="34"/>
      <c r="AV1407" s="34"/>
    </row>
    <row r="1408">
      <c r="A1408" s="34"/>
      <c r="B1408" s="34"/>
      <c r="C1408" s="34"/>
      <c r="D1408" s="34"/>
      <c r="E1408" s="34"/>
      <c r="F1408" s="34"/>
      <c r="G1408" s="34"/>
      <c r="H1408" s="34"/>
      <c r="I1408" s="34"/>
      <c r="J1408" s="34"/>
      <c r="K1408" s="34"/>
      <c r="L1408" s="34"/>
      <c r="M1408" s="34"/>
      <c r="N1408" s="34"/>
      <c r="O1408" s="34"/>
      <c r="P1408" s="34"/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4"/>
      <c r="AQ1408" s="34"/>
      <c r="AR1408" s="34"/>
      <c r="AS1408" s="34"/>
      <c r="AT1408" s="34"/>
      <c r="AU1408" s="34"/>
      <c r="AV1408" s="34"/>
    </row>
    <row r="1409">
      <c r="A1409" s="34"/>
      <c r="B1409" s="34"/>
      <c r="C1409" s="34"/>
      <c r="D1409" s="34"/>
      <c r="E1409" s="34"/>
      <c r="F1409" s="34"/>
      <c r="G1409" s="34"/>
      <c r="H1409" s="34"/>
      <c r="I1409" s="34"/>
      <c r="J1409" s="34"/>
      <c r="K1409" s="34"/>
      <c r="L1409" s="34"/>
      <c r="M1409" s="34"/>
      <c r="N1409" s="34"/>
      <c r="O1409" s="34"/>
      <c r="P1409" s="34"/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34"/>
      <c r="AP1409" s="34"/>
      <c r="AQ1409" s="34"/>
      <c r="AR1409" s="34"/>
      <c r="AS1409" s="34"/>
      <c r="AT1409" s="34"/>
      <c r="AU1409" s="34"/>
      <c r="AV1409" s="34"/>
    </row>
    <row r="1410">
      <c r="A1410" s="34"/>
      <c r="B1410" s="34"/>
      <c r="C1410" s="34"/>
      <c r="D1410" s="34"/>
      <c r="E1410" s="34"/>
      <c r="F1410" s="34"/>
      <c r="G1410" s="34"/>
      <c r="H1410" s="34"/>
      <c r="I1410" s="34"/>
      <c r="J1410" s="34"/>
      <c r="K1410" s="34"/>
      <c r="L1410" s="34"/>
      <c r="M1410" s="34"/>
      <c r="N1410" s="34"/>
      <c r="O1410" s="34"/>
      <c r="P1410" s="34"/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34"/>
      <c r="AR1410" s="34"/>
      <c r="AS1410" s="34"/>
      <c r="AT1410" s="34"/>
      <c r="AU1410" s="34"/>
      <c r="AV1410" s="34"/>
    </row>
    <row r="1411">
      <c r="A1411" s="34"/>
      <c r="B1411" s="34"/>
      <c r="C1411" s="34"/>
      <c r="D1411" s="34"/>
      <c r="E1411" s="34"/>
      <c r="F1411" s="34"/>
      <c r="G1411" s="34"/>
      <c r="H1411" s="34"/>
      <c r="I1411" s="34"/>
      <c r="J1411" s="34"/>
      <c r="K1411" s="34"/>
      <c r="L1411" s="34"/>
      <c r="M1411" s="34"/>
      <c r="N1411" s="34"/>
      <c r="O1411" s="34"/>
      <c r="P1411" s="34"/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34"/>
      <c r="AR1411" s="34"/>
      <c r="AS1411" s="34"/>
      <c r="AT1411" s="34"/>
      <c r="AU1411" s="34"/>
      <c r="AV1411" s="34"/>
    </row>
    <row r="1412">
      <c r="A1412" s="34"/>
      <c r="B1412" s="34"/>
      <c r="C1412" s="34"/>
      <c r="D1412" s="34"/>
      <c r="E1412" s="34"/>
      <c r="F1412" s="34"/>
      <c r="G1412" s="34"/>
      <c r="H1412" s="34"/>
      <c r="I1412" s="34"/>
      <c r="J1412" s="34"/>
      <c r="K1412" s="34"/>
      <c r="L1412" s="34"/>
      <c r="M1412" s="34"/>
      <c r="N1412" s="34"/>
      <c r="O1412" s="34"/>
      <c r="P1412" s="34"/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34"/>
      <c r="AP1412" s="34"/>
      <c r="AQ1412" s="34"/>
      <c r="AR1412" s="34"/>
      <c r="AS1412" s="34"/>
      <c r="AT1412" s="34"/>
      <c r="AU1412" s="34"/>
      <c r="AV1412" s="34"/>
    </row>
    <row r="1413">
      <c r="A1413" s="34"/>
      <c r="B1413" s="34"/>
      <c r="C1413" s="34"/>
      <c r="D1413" s="34"/>
      <c r="E1413" s="34"/>
      <c r="F1413" s="34"/>
      <c r="G1413" s="34"/>
      <c r="H1413" s="34"/>
      <c r="I1413" s="34"/>
      <c r="J1413" s="34"/>
      <c r="K1413" s="34"/>
      <c r="L1413" s="34"/>
      <c r="M1413" s="34"/>
      <c r="N1413" s="34"/>
      <c r="O1413" s="34"/>
      <c r="P1413" s="34"/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34"/>
      <c r="AP1413" s="34"/>
      <c r="AQ1413" s="34"/>
      <c r="AR1413" s="34"/>
      <c r="AS1413" s="34"/>
      <c r="AT1413" s="34"/>
      <c r="AU1413" s="34"/>
      <c r="AV1413" s="34"/>
    </row>
    <row r="1414">
      <c r="A1414" s="34"/>
      <c r="B1414" s="34"/>
      <c r="C1414" s="34"/>
      <c r="D1414" s="34"/>
      <c r="E1414" s="34"/>
      <c r="F1414" s="34"/>
      <c r="G1414" s="34"/>
      <c r="H1414" s="34"/>
      <c r="I1414" s="34"/>
      <c r="J1414" s="34"/>
      <c r="K1414" s="34"/>
      <c r="L1414" s="34"/>
      <c r="M1414" s="34"/>
      <c r="N1414" s="34"/>
      <c r="O1414" s="34"/>
      <c r="P1414" s="34"/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34"/>
      <c r="AP1414" s="34"/>
      <c r="AQ1414" s="34"/>
      <c r="AR1414" s="34"/>
      <c r="AS1414" s="34"/>
      <c r="AT1414" s="34"/>
      <c r="AU1414" s="34"/>
      <c r="AV1414" s="34"/>
    </row>
    <row r="1415">
      <c r="A1415" s="34"/>
      <c r="B1415" s="34"/>
      <c r="C1415" s="34"/>
      <c r="D1415" s="34"/>
      <c r="E1415" s="34"/>
      <c r="F1415" s="34"/>
      <c r="G1415" s="34"/>
      <c r="H1415" s="34"/>
      <c r="I1415" s="34"/>
      <c r="J1415" s="34"/>
      <c r="K1415" s="34"/>
      <c r="L1415" s="34"/>
      <c r="M1415" s="34"/>
      <c r="N1415" s="34"/>
      <c r="O1415" s="34"/>
      <c r="P1415" s="34"/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34"/>
      <c r="AP1415" s="34"/>
      <c r="AQ1415" s="34"/>
      <c r="AR1415" s="34"/>
      <c r="AS1415" s="34"/>
      <c r="AT1415" s="34"/>
      <c r="AU1415" s="34"/>
      <c r="AV1415" s="34"/>
    </row>
    <row r="1416">
      <c r="A1416" s="34"/>
      <c r="B1416" s="34"/>
      <c r="C1416" s="34"/>
      <c r="D1416" s="34"/>
      <c r="E1416" s="34"/>
      <c r="F1416" s="34"/>
      <c r="G1416" s="34"/>
      <c r="H1416" s="34"/>
      <c r="I1416" s="34"/>
      <c r="J1416" s="34"/>
      <c r="K1416" s="34"/>
      <c r="L1416" s="34"/>
      <c r="M1416" s="34"/>
      <c r="N1416" s="34"/>
      <c r="O1416" s="34"/>
      <c r="P1416" s="34"/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34"/>
      <c r="AR1416" s="34"/>
      <c r="AS1416" s="34"/>
      <c r="AT1416" s="34"/>
      <c r="AU1416" s="34"/>
      <c r="AV1416" s="34"/>
    </row>
    <row r="1417">
      <c r="A1417" s="34"/>
      <c r="B1417" s="34"/>
      <c r="C1417" s="34"/>
      <c r="D1417" s="34"/>
      <c r="E1417" s="34"/>
      <c r="F1417" s="34"/>
      <c r="G1417" s="34"/>
      <c r="H1417" s="34"/>
      <c r="I1417" s="34"/>
      <c r="J1417" s="34"/>
      <c r="K1417" s="34"/>
      <c r="L1417" s="34"/>
      <c r="M1417" s="34"/>
      <c r="N1417" s="34"/>
      <c r="O1417" s="34"/>
      <c r="P1417" s="34"/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34"/>
      <c r="AP1417" s="34"/>
      <c r="AQ1417" s="34"/>
      <c r="AR1417" s="34"/>
      <c r="AS1417" s="34"/>
      <c r="AT1417" s="34"/>
      <c r="AU1417" s="34"/>
      <c r="AV1417" s="34"/>
    </row>
    <row r="1418">
      <c r="A1418" s="34"/>
      <c r="B1418" s="34"/>
      <c r="C1418" s="34"/>
      <c r="D1418" s="34"/>
      <c r="E1418" s="34"/>
      <c r="F1418" s="34"/>
      <c r="G1418" s="34"/>
      <c r="H1418" s="34"/>
      <c r="I1418" s="34"/>
      <c r="J1418" s="34"/>
      <c r="K1418" s="34"/>
      <c r="L1418" s="34"/>
      <c r="M1418" s="34"/>
      <c r="N1418" s="34"/>
      <c r="O1418" s="34"/>
      <c r="P1418" s="34"/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34"/>
      <c r="AP1418" s="34"/>
      <c r="AQ1418" s="34"/>
      <c r="AR1418" s="34"/>
      <c r="AS1418" s="34"/>
      <c r="AT1418" s="34"/>
      <c r="AU1418" s="34"/>
      <c r="AV1418" s="34"/>
    </row>
    <row r="1419">
      <c r="A1419" s="34"/>
      <c r="B1419" s="34"/>
      <c r="C1419" s="34"/>
      <c r="D1419" s="34"/>
      <c r="E1419" s="34"/>
      <c r="F1419" s="34"/>
      <c r="G1419" s="34"/>
      <c r="H1419" s="34"/>
      <c r="I1419" s="34"/>
      <c r="J1419" s="34"/>
      <c r="K1419" s="34"/>
      <c r="L1419" s="34"/>
      <c r="M1419" s="34"/>
      <c r="N1419" s="34"/>
      <c r="O1419" s="34"/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34"/>
      <c r="AP1419" s="34"/>
      <c r="AQ1419" s="34"/>
      <c r="AR1419" s="34"/>
      <c r="AS1419" s="34"/>
      <c r="AT1419" s="34"/>
      <c r="AU1419" s="34"/>
      <c r="AV1419" s="34"/>
    </row>
    <row r="1420">
      <c r="A1420" s="34"/>
      <c r="B1420" s="34"/>
      <c r="C1420" s="34"/>
      <c r="D1420" s="34"/>
      <c r="E1420" s="34"/>
      <c r="F1420" s="34"/>
      <c r="G1420" s="34"/>
      <c r="H1420" s="34"/>
      <c r="I1420" s="34"/>
      <c r="J1420" s="34"/>
      <c r="K1420" s="34"/>
      <c r="L1420" s="34"/>
      <c r="M1420" s="34"/>
      <c r="N1420" s="34"/>
      <c r="O1420" s="34"/>
      <c r="P1420" s="34"/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34"/>
      <c r="AP1420" s="34"/>
      <c r="AQ1420" s="34"/>
      <c r="AR1420" s="34"/>
      <c r="AS1420" s="34"/>
      <c r="AT1420" s="34"/>
      <c r="AU1420" s="34"/>
      <c r="AV1420" s="34"/>
    </row>
    <row r="1421">
      <c r="A1421" s="34"/>
      <c r="B1421" s="34"/>
      <c r="C1421" s="34"/>
      <c r="D1421" s="34"/>
      <c r="E1421" s="34"/>
      <c r="F1421" s="34"/>
      <c r="G1421" s="34"/>
      <c r="H1421" s="34"/>
      <c r="I1421" s="34"/>
      <c r="J1421" s="34"/>
      <c r="K1421" s="34"/>
      <c r="L1421" s="34"/>
      <c r="M1421" s="34"/>
      <c r="N1421" s="34"/>
      <c r="O1421" s="34"/>
      <c r="P1421" s="34"/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34"/>
      <c r="AP1421" s="34"/>
      <c r="AQ1421" s="34"/>
      <c r="AR1421" s="34"/>
      <c r="AS1421" s="34"/>
      <c r="AT1421" s="34"/>
      <c r="AU1421" s="34"/>
      <c r="AV1421" s="34"/>
    </row>
    <row r="1422">
      <c r="A1422" s="34"/>
      <c r="B1422" s="34"/>
      <c r="C1422" s="34"/>
      <c r="D1422" s="34"/>
      <c r="E1422" s="34"/>
      <c r="F1422" s="34"/>
      <c r="G1422" s="34"/>
      <c r="H1422" s="34"/>
      <c r="I1422" s="34"/>
      <c r="J1422" s="34"/>
      <c r="K1422" s="34"/>
      <c r="L1422" s="34"/>
      <c r="M1422" s="34"/>
      <c r="N1422" s="34"/>
      <c r="O1422" s="34"/>
      <c r="P1422" s="34"/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4"/>
      <c r="AQ1422" s="34"/>
      <c r="AR1422" s="34"/>
      <c r="AS1422" s="34"/>
      <c r="AT1422" s="34"/>
      <c r="AU1422" s="34"/>
      <c r="AV1422" s="34"/>
    </row>
    <row r="1423">
      <c r="A1423" s="34"/>
      <c r="B1423" s="34"/>
      <c r="C1423" s="34"/>
      <c r="D1423" s="34"/>
      <c r="E1423" s="34"/>
      <c r="F1423" s="34"/>
      <c r="G1423" s="34"/>
      <c r="H1423" s="34"/>
      <c r="I1423" s="34"/>
      <c r="J1423" s="34"/>
      <c r="K1423" s="34"/>
      <c r="L1423" s="34"/>
      <c r="M1423" s="34"/>
      <c r="N1423" s="34"/>
      <c r="O1423" s="34"/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</row>
    <row r="1424">
      <c r="A1424" s="34"/>
      <c r="B1424" s="34"/>
      <c r="C1424" s="34"/>
      <c r="D1424" s="34"/>
      <c r="E1424" s="34"/>
      <c r="F1424" s="34"/>
      <c r="G1424" s="34"/>
      <c r="H1424" s="34"/>
      <c r="I1424" s="34"/>
      <c r="J1424" s="34"/>
      <c r="K1424" s="34"/>
      <c r="L1424" s="34"/>
      <c r="M1424" s="34"/>
      <c r="N1424" s="34"/>
      <c r="O1424" s="34"/>
      <c r="P1424" s="34"/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34"/>
      <c r="AR1424" s="34"/>
      <c r="AS1424" s="34"/>
      <c r="AT1424" s="34"/>
      <c r="AU1424" s="34"/>
      <c r="AV1424" s="34"/>
    </row>
    <row r="1425">
      <c r="A1425" s="34"/>
      <c r="B1425" s="34"/>
      <c r="C1425" s="34"/>
      <c r="D1425" s="34"/>
      <c r="E1425" s="34"/>
      <c r="F1425" s="34"/>
      <c r="G1425" s="34"/>
      <c r="H1425" s="34"/>
      <c r="I1425" s="34"/>
      <c r="J1425" s="34"/>
      <c r="K1425" s="34"/>
      <c r="L1425" s="34"/>
      <c r="M1425" s="34"/>
      <c r="N1425" s="34"/>
      <c r="O1425" s="34"/>
      <c r="P1425" s="34"/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34"/>
      <c r="AR1425" s="34"/>
      <c r="AS1425" s="34"/>
      <c r="AT1425" s="34"/>
      <c r="AU1425" s="34"/>
      <c r="AV1425" s="34"/>
    </row>
    <row r="1426">
      <c r="A1426" s="34"/>
      <c r="B1426" s="34"/>
      <c r="C1426" s="34"/>
      <c r="D1426" s="34"/>
      <c r="E1426" s="34"/>
      <c r="F1426" s="34"/>
      <c r="G1426" s="34"/>
      <c r="H1426" s="34"/>
      <c r="I1426" s="34"/>
      <c r="J1426" s="34"/>
      <c r="K1426" s="34"/>
      <c r="L1426" s="34"/>
      <c r="M1426" s="34"/>
      <c r="N1426" s="34"/>
      <c r="O1426" s="34"/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34"/>
      <c r="AR1426" s="34"/>
      <c r="AS1426" s="34"/>
      <c r="AT1426" s="34"/>
      <c r="AU1426" s="34"/>
      <c r="AV1426" s="34"/>
    </row>
    <row r="1427">
      <c r="A1427" s="34"/>
      <c r="B1427" s="34"/>
      <c r="C1427" s="34"/>
      <c r="D1427" s="34"/>
      <c r="E1427" s="34"/>
      <c r="F1427" s="34"/>
      <c r="G1427" s="34"/>
      <c r="H1427" s="34"/>
      <c r="I1427" s="34"/>
      <c r="J1427" s="34"/>
      <c r="K1427" s="34"/>
      <c r="L1427" s="34"/>
      <c r="M1427" s="34"/>
      <c r="N1427" s="34"/>
      <c r="O1427" s="34"/>
      <c r="P1427" s="34"/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34"/>
      <c r="AR1427" s="34"/>
      <c r="AS1427" s="34"/>
      <c r="AT1427" s="34"/>
      <c r="AU1427" s="34"/>
      <c r="AV1427" s="34"/>
    </row>
    <row r="1428">
      <c r="A1428" s="34"/>
      <c r="B1428" s="34"/>
      <c r="C1428" s="34"/>
      <c r="D1428" s="34"/>
      <c r="E1428" s="34"/>
      <c r="F1428" s="34"/>
      <c r="G1428" s="34"/>
      <c r="H1428" s="34"/>
      <c r="I1428" s="34"/>
      <c r="J1428" s="34"/>
      <c r="K1428" s="34"/>
      <c r="L1428" s="34"/>
      <c r="M1428" s="34"/>
      <c r="N1428" s="34"/>
      <c r="O1428" s="34"/>
      <c r="P1428" s="34"/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34"/>
      <c r="AR1428" s="34"/>
      <c r="AS1428" s="34"/>
      <c r="AT1428" s="34"/>
      <c r="AU1428" s="34"/>
      <c r="AV1428" s="34"/>
    </row>
    <row r="1429">
      <c r="A1429" s="34"/>
      <c r="B1429" s="34"/>
      <c r="C1429" s="34"/>
      <c r="D1429" s="34"/>
      <c r="E1429" s="34"/>
      <c r="F1429" s="34"/>
      <c r="G1429" s="34"/>
      <c r="H1429" s="34"/>
      <c r="I1429" s="34"/>
      <c r="J1429" s="34"/>
      <c r="K1429" s="34"/>
      <c r="L1429" s="34"/>
      <c r="M1429" s="34"/>
      <c r="N1429" s="34"/>
      <c r="O1429" s="34"/>
      <c r="P1429" s="34"/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</row>
    <row r="1430">
      <c r="A1430" s="34"/>
      <c r="B1430" s="34"/>
      <c r="C1430" s="34"/>
      <c r="D1430" s="34"/>
      <c r="E1430" s="34"/>
      <c r="F1430" s="34"/>
      <c r="G1430" s="34"/>
      <c r="H1430" s="34"/>
      <c r="I1430" s="34"/>
      <c r="J1430" s="34"/>
      <c r="K1430" s="34"/>
      <c r="L1430" s="34"/>
      <c r="M1430" s="34"/>
      <c r="N1430" s="34"/>
      <c r="O1430" s="34"/>
      <c r="P1430" s="34"/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34"/>
      <c r="AR1430" s="34"/>
      <c r="AS1430" s="34"/>
      <c r="AT1430" s="34"/>
      <c r="AU1430" s="34"/>
      <c r="AV1430" s="34"/>
    </row>
    <row r="1431">
      <c r="A1431" s="34"/>
      <c r="B1431" s="34"/>
      <c r="C1431" s="34"/>
      <c r="D1431" s="34"/>
      <c r="E1431" s="34"/>
      <c r="F1431" s="34"/>
      <c r="G1431" s="34"/>
      <c r="H1431" s="34"/>
      <c r="I1431" s="34"/>
      <c r="J1431" s="34"/>
      <c r="K1431" s="34"/>
      <c r="L1431" s="34"/>
      <c r="M1431" s="34"/>
      <c r="N1431" s="34"/>
      <c r="O1431" s="34"/>
      <c r="P1431" s="34"/>
      <c r="Q1431" s="34"/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34"/>
      <c r="AR1431" s="34"/>
      <c r="AS1431" s="34"/>
      <c r="AT1431" s="34"/>
      <c r="AU1431" s="34"/>
      <c r="AV1431" s="34"/>
    </row>
    <row r="1432">
      <c r="A1432" s="34"/>
      <c r="B1432" s="34"/>
      <c r="C1432" s="34"/>
      <c r="D1432" s="34"/>
      <c r="E1432" s="34"/>
      <c r="F1432" s="34"/>
      <c r="G1432" s="34"/>
      <c r="H1432" s="34"/>
      <c r="I1432" s="34"/>
      <c r="J1432" s="34"/>
      <c r="K1432" s="34"/>
      <c r="L1432" s="34"/>
      <c r="M1432" s="34"/>
      <c r="N1432" s="34"/>
      <c r="O1432" s="34"/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34"/>
      <c r="AR1432" s="34"/>
      <c r="AS1432" s="34"/>
      <c r="AT1432" s="34"/>
      <c r="AU1432" s="34"/>
      <c r="AV1432" s="34"/>
    </row>
    <row r="1433">
      <c r="A1433" s="34"/>
      <c r="B1433" s="34"/>
      <c r="C1433" s="34"/>
      <c r="D1433" s="34"/>
      <c r="E1433" s="34"/>
      <c r="F1433" s="34"/>
      <c r="G1433" s="34"/>
      <c r="H1433" s="34"/>
      <c r="I1433" s="34"/>
      <c r="J1433" s="34"/>
      <c r="K1433" s="34"/>
      <c r="L1433" s="34"/>
      <c r="M1433" s="34"/>
      <c r="N1433" s="34"/>
      <c r="O1433" s="34"/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34"/>
      <c r="AR1433" s="34"/>
      <c r="AS1433" s="34"/>
      <c r="AT1433" s="34"/>
      <c r="AU1433" s="34"/>
      <c r="AV1433" s="34"/>
    </row>
    <row r="1434">
      <c r="A1434" s="34"/>
      <c r="B1434" s="34"/>
      <c r="C1434" s="34"/>
      <c r="D1434" s="34"/>
      <c r="E1434" s="34"/>
      <c r="F1434" s="34"/>
      <c r="G1434" s="34"/>
      <c r="H1434" s="34"/>
      <c r="I1434" s="34"/>
      <c r="J1434" s="34"/>
      <c r="K1434" s="34"/>
      <c r="L1434" s="34"/>
      <c r="M1434" s="34"/>
      <c r="N1434" s="34"/>
      <c r="O1434" s="34"/>
      <c r="P1434" s="34"/>
      <c r="Q1434" s="34"/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34"/>
      <c r="AR1434" s="34"/>
      <c r="AS1434" s="34"/>
      <c r="AT1434" s="34"/>
      <c r="AU1434" s="34"/>
      <c r="AV1434" s="34"/>
    </row>
    <row r="1435">
      <c r="A1435" s="34"/>
      <c r="B1435" s="34"/>
      <c r="C1435" s="34"/>
      <c r="D1435" s="34"/>
      <c r="E1435" s="34"/>
      <c r="F1435" s="34"/>
      <c r="G1435" s="34"/>
      <c r="H1435" s="34"/>
      <c r="I1435" s="34"/>
      <c r="J1435" s="34"/>
      <c r="K1435" s="34"/>
      <c r="L1435" s="34"/>
      <c r="M1435" s="34"/>
      <c r="N1435" s="34"/>
      <c r="O1435" s="34"/>
      <c r="P1435" s="34"/>
      <c r="Q1435" s="34"/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34"/>
      <c r="AR1435" s="34"/>
      <c r="AS1435" s="34"/>
      <c r="AT1435" s="34"/>
      <c r="AU1435" s="34"/>
      <c r="AV1435" s="34"/>
    </row>
    <row r="1436">
      <c r="A1436" s="34"/>
      <c r="B1436" s="34"/>
      <c r="C1436" s="34"/>
      <c r="D1436" s="34"/>
      <c r="E1436" s="34"/>
      <c r="F1436" s="34"/>
      <c r="G1436" s="34"/>
      <c r="H1436" s="34"/>
      <c r="I1436" s="34"/>
      <c r="J1436" s="34"/>
      <c r="K1436" s="34"/>
      <c r="L1436" s="34"/>
      <c r="M1436" s="34"/>
      <c r="N1436" s="34"/>
      <c r="O1436" s="34"/>
      <c r="P1436" s="34"/>
      <c r="Q1436" s="34"/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34"/>
      <c r="AR1436" s="34"/>
      <c r="AS1436" s="34"/>
      <c r="AT1436" s="34"/>
      <c r="AU1436" s="34"/>
      <c r="AV1436" s="34"/>
    </row>
    <row r="1437">
      <c r="A1437" s="34"/>
      <c r="B1437" s="34"/>
      <c r="C1437" s="34"/>
      <c r="D1437" s="34"/>
      <c r="E1437" s="34"/>
      <c r="F1437" s="34"/>
      <c r="G1437" s="34"/>
      <c r="H1437" s="34"/>
      <c r="I1437" s="34"/>
      <c r="J1437" s="34"/>
      <c r="K1437" s="34"/>
      <c r="L1437" s="34"/>
      <c r="M1437" s="34"/>
      <c r="N1437" s="34"/>
      <c r="O1437" s="34"/>
      <c r="P1437" s="34"/>
      <c r="Q1437" s="34"/>
      <c r="R1437" s="3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34"/>
      <c r="AP1437" s="34"/>
      <c r="AQ1437" s="34"/>
      <c r="AR1437" s="34"/>
      <c r="AS1437" s="34"/>
      <c r="AT1437" s="34"/>
      <c r="AU1437" s="34"/>
      <c r="AV1437" s="34"/>
    </row>
    <row r="1438">
      <c r="A1438" s="34"/>
      <c r="B1438" s="34"/>
      <c r="C1438" s="34"/>
      <c r="D1438" s="34"/>
      <c r="E1438" s="34"/>
      <c r="F1438" s="34"/>
      <c r="G1438" s="34"/>
      <c r="H1438" s="34"/>
      <c r="I1438" s="34"/>
      <c r="J1438" s="34"/>
      <c r="K1438" s="34"/>
      <c r="L1438" s="34"/>
      <c r="M1438" s="34"/>
      <c r="N1438" s="34"/>
      <c r="O1438" s="34"/>
      <c r="P1438" s="34"/>
      <c r="Q1438" s="34"/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34"/>
      <c r="AP1438" s="34"/>
      <c r="AQ1438" s="34"/>
      <c r="AR1438" s="34"/>
      <c r="AS1438" s="34"/>
      <c r="AT1438" s="34"/>
      <c r="AU1438" s="34"/>
      <c r="AV1438" s="34"/>
    </row>
    <row r="1439">
      <c r="A1439" s="34"/>
      <c r="B1439" s="34"/>
      <c r="C1439" s="34"/>
      <c r="D1439" s="34"/>
      <c r="E1439" s="34"/>
      <c r="F1439" s="34"/>
      <c r="G1439" s="34"/>
      <c r="H1439" s="34"/>
      <c r="I1439" s="34"/>
      <c r="J1439" s="34"/>
      <c r="K1439" s="34"/>
      <c r="L1439" s="34"/>
      <c r="M1439" s="34"/>
      <c r="N1439" s="34"/>
      <c r="O1439" s="34"/>
      <c r="P1439" s="34"/>
      <c r="Q1439" s="34"/>
      <c r="R1439" s="3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34"/>
      <c r="AP1439" s="34"/>
      <c r="AQ1439" s="34"/>
      <c r="AR1439" s="34"/>
      <c r="AS1439" s="34"/>
      <c r="AT1439" s="34"/>
      <c r="AU1439" s="34"/>
      <c r="AV1439" s="34"/>
    </row>
    <row r="1440">
      <c r="A1440" s="34"/>
      <c r="B1440" s="34"/>
      <c r="C1440" s="34"/>
      <c r="D1440" s="34"/>
      <c r="E1440" s="34"/>
      <c r="F1440" s="34"/>
      <c r="G1440" s="34"/>
      <c r="H1440" s="34"/>
      <c r="I1440" s="34"/>
      <c r="J1440" s="34"/>
      <c r="K1440" s="34"/>
      <c r="L1440" s="34"/>
      <c r="M1440" s="34"/>
      <c r="N1440" s="34"/>
      <c r="O1440" s="34"/>
      <c r="P1440" s="34"/>
      <c r="Q1440" s="34"/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34"/>
      <c r="AR1440" s="34"/>
      <c r="AS1440" s="34"/>
      <c r="AT1440" s="34"/>
      <c r="AU1440" s="34"/>
      <c r="AV1440" s="34"/>
    </row>
    <row r="1441">
      <c r="A1441" s="34"/>
      <c r="B1441" s="34"/>
      <c r="C1441" s="34"/>
      <c r="D1441" s="34"/>
      <c r="E1441" s="34"/>
      <c r="F1441" s="34"/>
      <c r="G1441" s="34"/>
      <c r="H1441" s="34"/>
      <c r="I1441" s="34"/>
      <c r="J1441" s="34"/>
      <c r="K1441" s="34"/>
      <c r="L1441" s="34"/>
      <c r="M1441" s="34"/>
      <c r="N1441" s="34"/>
      <c r="O1441" s="34"/>
      <c r="P1441" s="34"/>
      <c r="Q1441" s="34"/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34"/>
      <c r="AP1441" s="34"/>
      <c r="AQ1441" s="34"/>
      <c r="AR1441" s="34"/>
      <c r="AS1441" s="34"/>
      <c r="AT1441" s="34"/>
      <c r="AU1441" s="34"/>
      <c r="AV1441" s="34"/>
    </row>
    <row r="1442">
      <c r="A1442" s="34"/>
      <c r="B1442" s="34"/>
      <c r="C1442" s="34"/>
      <c r="D1442" s="34"/>
      <c r="E1442" s="34"/>
      <c r="F1442" s="34"/>
      <c r="G1442" s="34"/>
      <c r="H1442" s="34"/>
      <c r="I1442" s="34"/>
      <c r="J1442" s="34"/>
      <c r="K1442" s="34"/>
      <c r="L1442" s="34"/>
      <c r="M1442" s="34"/>
      <c r="N1442" s="34"/>
      <c r="O1442" s="34"/>
      <c r="P1442" s="34"/>
      <c r="Q1442" s="34"/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34"/>
      <c r="AP1442" s="34"/>
      <c r="AQ1442" s="34"/>
      <c r="AR1442" s="34"/>
      <c r="AS1442" s="34"/>
      <c r="AT1442" s="34"/>
      <c r="AU1442" s="34"/>
      <c r="AV1442" s="34"/>
    </row>
    <row r="1443">
      <c r="A1443" s="34"/>
      <c r="B1443" s="34"/>
      <c r="C1443" s="34"/>
      <c r="D1443" s="34"/>
      <c r="E1443" s="34"/>
      <c r="F1443" s="34"/>
      <c r="G1443" s="34"/>
      <c r="H1443" s="34"/>
      <c r="I1443" s="34"/>
      <c r="J1443" s="34"/>
      <c r="K1443" s="34"/>
      <c r="L1443" s="34"/>
      <c r="M1443" s="34"/>
      <c r="N1443" s="34"/>
      <c r="O1443" s="34"/>
      <c r="P1443" s="34"/>
      <c r="Q1443" s="34"/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  <c r="AQ1443" s="34"/>
      <c r="AR1443" s="34"/>
      <c r="AS1443" s="34"/>
      <c r="AT1443" s="34"/>
      <c r="AU1443" s="34"/>
      <c r="AV1443" s="34"/>
    </row>
    <row r="1444">
      <c r="A1444" s="34"/>
      <c r="B1444" s="34"/>
      <c r="C1444" s="34"/>
      <c r="D1444" s="34"/>
      <c r="E1444" s="34"/>
      <c r="F1444" s="34"/>
      <c r="G1444" s="34"/>
      <c r="H1444" s="34"/>
      <c r="I1444" s="34"/>
      <c r="J1444" s="34"/>
      <c r="K1444" s="34"/>
      <c r="L1444" s="34"/>
      <c r="M1444" s="34"/>
      <c r="N1444" s="34"/>
      <c r="O1444" s="34"/>
      <c r="P1444" s="34"/>
      <c r="Q1444" s="34"/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4"/>
      <c r="AQ1444" s="34"/>
      <c r="AR1444" s="34"/>
      <c r="AS1444" s="34"/>
      <c r="AT1444" s="34"/>
      <c r="AU1444" s="34"/>
      <c r="AV1444" s="34"/>
    </row>
    <row r="1445">
      <c r="A1445" s="34"/>
      <c r="B1445" s="34"/>
      <c r="C1445" s="34"/>
      <c r="D1445" s="34"/>
      <c r="E1445" s="34"/>
      <c r="F1445" s="34"/>
      <c r="G1445" s="34"/>
      <c r="H1445" s="34"/>
      <c r="I1445" s="34"/>
      <c r="J1445" s="34"/>
      <c r="K1445" s="34"/>
      <c r="L1445" s="34"/>
      <c r="M1445" s="34"/>
      <c r="N1445" s="34"/>
      <c r="O1445" s="34"/>
      <c r="P1445" s="34"/>
      <c r="Q1445" s="34"/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4"/>
      <c r="AQ1445" s="34"/>
      <c r="AR1445" s="34"/>
      <c r="AS1445" s="34"/>
      <c r="AT1445" s="34"/>
      <c r="AU1445" s="34"/>
      <c r="AV1445" s="34"/>
    </row>
    <row r="1446">
      <c r="A1446" s="34"/>
      <c r="B1446" s="34"/>
      <c r="C1446" s="34"/>
      <c r="D1446" s="34"/>
      <c r="E1446" s="34"/>
      <c r="F1446" s="34"/>
      <c r="G1446" s="34"/>
      <c r="H1446" s="34"/>
      <c r="I1446" s="34"/>
      <c r="J1446" s="34"/>
      <c r="K1446" s="34"/>
      <c r="L1446" s="34"/>
      <c r="M1446" s="34"/>
      <c r="N1446" s="34"/>
      <c r="O1446" s="34"/>
      <c r="P1446" s="34"/>
      <c r="Q1446" s="34"/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34"/>
      <c r="AP1446" s="34"/>
      <c r="AQ1446" s="34"/>
      <c r="AR1446" s="34"/>
      <c r="AS1446" s="34"/>
      <c r="AT1446" s="34"/>
      <c r="AU1446" s="34"/>
      <c r="AV1446" s="34"/>
    </row>
    <row r="1447">
      <c r="A1447" s="34"/>
      <c r="B1447" s="34"/>
      <c r="C1447" s="34"/>
      <c r="D1447" s="34"/>
      <c r="E1447" s="34"/>
      <c r="F1447" s="34"/>
      <c r="G1447" s="34"/>
      <c r="H1447" s="34"/>
      <c r="I1447" s="34"/>
      <c r="J1447" s="34"/>
      <c r="K1447" s="34"/>
      <c r="L1447" s="34"/>
      <c r="M1447" s="34"/>
      <c r="N1447" s="34"/>
      <c r="O1447" s="34"/>
      <c r="P1447" s="34"/>
      <c r="Q1447" s="34"/>
      <c r="R1447" s="3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34"/>
      <c r="AP1447" s="34"/>
      <c r="AQ1447" s="34"/>
      <c r="AR1447" s="34"/>
      <c r="AS1447" s="34"/>
      <c r="AT1447" s="34"/>
      <c r="AU1447" s="34"/>
      <c r="AV1447" s="34"/>
    </row>
    <row r="1448">
      <c r="A1448" s="34"/>
      <c r="B1448" s="34"/>
      <c r="C1448" s="34"/>
      <c r="D1448" s="34"/>
      <c r="E1448" s="34"/>
      <c r="F1448" s="34"/>
      <c r="G1448" s="34"/>
      <c r="H1448" s="34"/>
      <c r="I1448" s="34"/>
      <c r="J1448" s="34"/>
      <c r="K1448" s="34"/>
      <c r="L1448" s="34"/>
      <c r="M1448" s="34"/>
      <c r="N1448" s="34"/>
      <c r="O1448" s="34"/>
      <c r="P1448" s="34"/>
      <c r="Q1448" s="34"/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/>
      <c r="AT1448" s="34"/>
      <c r="AU1448" s="34"/>
      <c r="AV1448" s="34"/>
    </row>
    <row r="1449">
      <c r="A1449" s="34"/>
      <c r="B1449" s="34"/>
      <c r="C1449" s="34"/>
      <c r="D1449" s="34"/>
      <c r="E1449" s="34"/>
      <c r="F1449" s="34"/>
      <c r="G1449" s="34"/>
      <c r="H1449" s="34"/>
      <c r="I1449" s="34"/>
      <c r="J1449" s="34"/>
      <c r="K1449" s="34"/>
      <c r="L1449" s="34"/>
      <c r="M1449" s="34"/>
      <c r="N1449" s="34"/>
      <c r="O1449" s="34"/>
      <c r="P1449" s="34"/>
      <c r="Q1449" s="34"/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4"/>
      <c r="AQ1449" s="34"/>
      <c r="AR1449" s="34"/>
      <c r="AS1449" s="34"/>
      <c r="AT1449" s="34"/>
      <c r="AU1449" s="34"/>
      <c r="AV1449" s="34"/>
    </row>
    <row r="1450">
      <c r="A1450" s="34"/>
      <c r="B1450" s="34"/>
      <c r="C1450" s="34"/>
      <c r="D1450" s="34"/>
      <c r="E1450" s="34"/>
      <c r="F1450" s="34"/>
      <c r="G1450" s="34"/>
      <c r="H1450" s="34"/>
      <c r="I1450" s="34"/>
      <c r="J1450" s="34"/>
      <c r="K1450" s="34"/>
      <c r="L1450" s="34"/>
      <c r="M1450" s="34"/>
      <c r="N1450" s="34"/>
      <c r="O1450" s="34"/>
      <c r="P1450" s="34"/>
      <c r="Q1450" s="34"/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34"/>
      <c r="AP1450" s="34"/>
      <c r="AQ1450" s="34"/>
      <c r="AR1450" s="34"/>
      <c r="AS1450" s="34"/>
      <c r="AT1450" s="34"/>
      <c r="AU1450" s="34"/>
      <c r="AV1450" s="34"/>
    </row>
    <row r="1451">
      <c r="A1451" s="34"/>
      <c r="B1451" s="34"/>
      <c r="C1451" s="34"/>
      <c r="D1451" s="34"/>
      <c r="E1451" s="34"/>
      <c r="F1451" s="34"/>
      <c r="G1451" s="34"/>
      <c r="H1451" s="34"/>
      <c r="I1451" s="34"/>
      <c r="J1451" s="34"/>
      <c r="K1451" s="34"/>
      <c r="L1451" s="34"/>
      <c r="M1451" s="34"/>
      <c r="N1451" s="34"/>
      <c r="O1451" s="34"/>
      <c r="P1451" s="34"/>
      <c r="Q1451" s="34"/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34"/>
      <c r="AP1451" s="34"/>
      <c r="AQ1451" s="34"/>
      <c r="AR1451" s="34"/>
      <c r="AS1451" s="34"/>
      <c r="AT1451" s="34"/>
      <c r="AU1451" s="34"/>
      <c r="AV1451" s="34"/>
    </row>
    <row r="1452">
      <c r="A1452" s="34"/>
      <c r="B1452" s="34"/>
      <c r="C1452" s="34"/>
      <c r="D1452" s="34"/>
      <c r="E1452" s="34"/>
      <c r="F1452" s="34"/>
      <c r="G1452" s="34"/>
      <c r="H1452" s="34"/>
      <c r="I1452" s="34"/>
      <c r="J1452" s="34"/>
      <c r="K1452" s="34"/>
      <c r="L1452" s="34"/>
      <c r="M1452" s="34"/>
      <c r="N1452" s="34"/>
      <c r="O1452" s="34"/>
      <c r="P1452" s="34"/>
      <c r="Q1452" s="34"/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4"/>
      <c r="AQ1452" s="34"/>
      <c r="AR1452" s="34"/>
      <c r="AS1452" s="34"/>
      <c r="AT1452" s="34"/>
      <c r="AU1452" s="34"/>
      <c r="AV1452" s="34"/>
    </row>
    <row r="1453">
      <c r="A1453" s="34"/>
      <c r="B1453" s="34"/>
      <c r="C1453" s="34"/>
      <c r="D1453" s="34"/>
      <c r="E1453" s="34"/>
      <c r="F1453" s="34"/>
      <c r="G1453" s="34"/>
      <c r="H1453" s="34"/>
      <c r="I1453" s="34"/>
      <c r="J1453" s="34"/>
      <c r="K1453" s="34"/>
      <c r="L1453" s="34"/>
      <c r="M1453" s="34"/>
      <c r="N1453" s="34"/>
      <c r="O1453" s="34"/>
      <c r="P1453" s="34"/>
      <c r="Q1453" s="34"/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34"/>
      <c r="AR1453" s="34"/>
      <c r="AS1453" s="34"/>
      <c r="AT1453" s="34"/>
      <c r="AU1453" s="34"/>
      <c r="AV1453" s="34"/>
    </row>
    <row r="1454">
      <c r="A1454" s="34"/>
      <c r="B1454" s="34"/>
      <c r="C1454" s="34"/>
      <c r="D1454" s="34"/>
      <c r="E1454" s="34"/>
      <c r="F1454" s="34"/>
      <c r="G1454" s="34"/>
      <c r="H1454" s="34"/>
      <c r="I1454" s="34"/>
      <c r="J1454" s="34"/>
      <c r="K1454" s="34"/>
      <c r="L1454" s="34"/>
      <c r="M1454" s="34"/>
      <c r="N1454" s="34"/>
      <c r="O1454" s="34"/>
      <c r="P1454" s="34"/>
      <c r="Q1454" s="34"/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34"/>
      <c r="AP1454" s="34"/>
      <c r="AQ1454" s="34"/>
      <c r="AR1454" s="34"/>
      <c r="AS1454" s="34"/>
      <c r="AT1454" s="34"/>
      <c r="AU1454" s="34"/>
      <c r="AV1454" s="34"/>
    </row>
    <row r="1455">
      <c r="A1455" s="34"/>
      <c r="B1455" s="34"/>
      <c r="C1455" s="34"/>
      <c r="D1455" s="34"/>
      <c r="E1455" s="34"/>
      <c r="F1455" s="34"/>
      <c r="G1455" s="34"/>
      <c r="H1455" s="34"/>
      <c r="I1455" s="34"/>
      <c r="J1455" s="34"/>
      <c r="K1455" s="34"/>
      <c r="L1455" s="34"/>
      <c r="M1455" s="34"/>
      <c r="N1455" s="34"/>
      <c r="O1455" s="34"/>
      <c r="P1455" s="34"/>
      <c r="Q1455" s="34"/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</row>
    <row r="1456">
      <c r="A1456" s="34"/>
      <c r="B1456" s="34"/>
      <c r="C1456" s="34"/>
      <c r="D1456" s="34"/>
      <c r="E1456" s="34"/>
      <c r="F1456" s="34"/>
      <c r="G1456" s="34"/>
      <c r="H1456" s="34"/>
      <c r="I1456" s="34"/>
      <c r="J1456" s="34"/>
      <c r="K1456" s="34"/>
      <c r="L1456" s="34"/>
      <c r="M1456" s="34"/>
      <c r="N1456" s="34"/>
      <c r="O1456" s="34"/>
      <c r="P1456" s="34"/>
      <c r="Q1456" s="34"/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34"/>
      <c r="AP1456" s="34"/>
      <c r="AQ1456" s="34"/>
      <c r="AR1456" s="34"/>
      <c r="AS1456" s="34"/>
      <c r="AT1456" s="34"/>
      <c r="AU1456" s="34"/>
      <c r="AV1456" s="34"/>
    </row>
    <row r="1457">
      <c r="A1457" s="34"/>
      <c r="B1457" s="34"/>
      <c r="C1457" s="34"/>
      <c r="D1457" s="34"/>
      <c r="E1457" s="34"/>
      <c r="F1457" s="34"/>
      <c r="G1457" s="34"/>
      <c r="H1457" s="34"/>
      <c r="I1457" s="34"/>
      <c r="J1457" s="34"/>
      <c r="K1457" s="34"/>
      <c r="L1457" s="34"/>
      <c r="M1457" s="34"/>
      <c r="N1457" s="34"/>
      <c r="O1457" s="34"/>
      <c r="P1457" s="34"/>
      <c r="Q1457" s="34"/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34"/>
      <c r="AP1457" s="34"/>
      <c r="AQ1457" s="34"/>
      <c r="AR1457" s="34"/>
      <c r="AS1457" s="34"/>
      <c r="AT1457" s="34"/>
      <c r="AU1457" s="34"/>
      <c r="AV1457" s="34"/>
    </row>
    <row r="1458">
      <c r="A1458" s="34"/>
      <c r="B1458" s="34"/>
      <c r="C1458" s="34"/>
      <c r="D1458" s="34"/>
      <c r="E1458" s="34"/>
      <c r="F1458" s="34"/>
      <c r="G1458" s="34"/>
      <c r="H1458" s="34"/>
      <c r="I1458" s="34"/>
      <c r="J1458" s="34"/>
      <c r="K1458" s="34"/>
      <c r="L1458" s="34"/>
      <c r="M1458" s="34"/>
      <c r="N1458" s="34"/>
      <c r="O1458" s="34"/>
      <c r="P1458" s="34"/>
      <c r="Q1458" s="34"/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4"/>
      <c r="AQ1458" s="34"/>
      <c r="AR1458" s="34"/>
      <c r="AS1458" s="34"/>
      <c r="AT1458" s="34"/>
      <c r="AU1458" s="34"/>
      <c r="AV1458" s="34"/>
    </row>
    <row r="1459">
      <c r="A1459" s="34"/>
      <c r="B1459" s="34"/>
      <c r="C1459" s="34"/>
      <c r="D1459" s="34"/>
      <c r="E1459" s="34"/>
      <c r="F1459" s="34"/>
      <c r="G1459" s="34"/>
      <c r="H1459" s="34"/>
      <c r="I1459" s="34"/>
      <c r="J1459" s="34"/>
      <c r="K1459" s="34"/>
      <c r="L1459" s="34"/>
      <c r="M1459" s="34"/>
      <c r="N1459" s="34"/>
      <c r="O1459" s="34"/>
      <c r="P1459" s="34"/>
      <c r="Q1459" s="34"/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34"/>
      <c r="AR1459" s="34"/>
      <c r="AS1459" s="34"/>
      <c r="AT1459" s="34"/>
      <c r="AU1459" s="34"/>
      <c r="AV1459" s="34"/>
    </row>
    <row r="1460">
      <c r="A1460" s="34"/>
      <c r="B1460" s="34"/>
      <c r="C1460" s="34"/>
      <c r="D1460" s="34"/>
      <c r="E1460" s="34"/>
      <c r="F1460" s="34"/>
      <c r="G1460" s="34"/>
      <c r="H1460" s="34"/>
      <c r="I1460" s="34"/>
      <c r="J1460" s="34"/>
      <c r="K1460" s="34"/>
      <c r="L1460" s="34"/>
      <c r="M1460" s="34"/>
      <c r="N1460" s="34"/>
      <c r="O1460" s="34"/>
      <c r="P1460" s="34"/>
      <c r="Q1460" s="34"/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34"/>
      <c r="AP1460" s="34"/>
      <c r="AQ1460" s="34"/>
      <c r="AR1460" s="34"/>
      <c r="AS1460" s="34"/>
      <c r="AT1460" s="34"/>
      <c r="AU1460" s="34"/>
      <c r="AV1460" s="34"/>
    </row>
    <row r="1461">
      <c r="A1461" s="34"/>
      <c r="B1461" s="34"/>
      <c r="C1461" s="34"/>
      <c r="D1461" s="34"/>
      <c r="E1461" s="34"/>
      <c r="F1461" s="34"/>
      <c r="G1461" s="34"/>
      <c r="H1461" s="34"/>
      <c r="I1461" s="34"/>
      <c r="J1461" s="34"/>
      <c r="K1461" s="34"/>
      <c r="L1461" s="34"/>
      <c r="M1461" s="34"/>
      <c r="N1461" s="34"/>
      <c r="O1461" s="34"/>
      <c r="P1461" s="34"/>
      <c r="Q1461" s="34"/>
      <c r="R1461" s="34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34"/>
      <c r="AP1461" s="34"/>
      <c r="AQ1461" s="34"/>
      <c r="AR1461" s="34"/>
      <c r="AS1461" s="34"/>
      <c r="AT1461" s="34"/>
      <c r="AU1461" s="34"/>
      <c r="AV1461" s="34"/>
    </row>
    <row r="1462">
      <c r="A1462" s="34"/>
      <c r="B1462" s="34"/>
      <c r="C1462" s="34"/>
      <c r="D1462" s="34"/>
      <c r="E1462" s="34"/>
      <c r="F1462" s="34"/>
      <c r="G1462" s="34"/>
      <c r="H1462" s="34"/>
      <c r="I1462" s="34"/>
      <c r="J1462" s="34"/>
      <c r="K1462" s="34"/>
      <c r="L1462" s="34"/>
      <c r="M1462" s="34"/>
      <c r="N1462" s="34"/>
      <c r="O1462" s="34"/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34"/>
      <c r="AP1462" s="34"/>
      <c r="AQ1462" s="34"/>
      <c r="AR1462" s="34"/>
      <c r="AS1462" s="34"/>
      <c r="AT1462" s="34"/>
      <c r="AU1462" s="34"/>
      <c r="AV1462" s="34"/>
    </row>
    <row r="1463">
      <c r="A1463" s="34"/>
      <c r="B1463" s="34"/>
      <c r="C1463" s="34"/>
      <c r="D1463" s="34"/>
      <c r="E1463" s="34"/>
      <c r="F1463" s="34"/>
      <c r="G1463" s="34"/>
      <c r="H1463" s="34"/>
      <c r="I1463" s="34"/>
      <c r="J1463" s="34"/>
      <c r="K1463" s="34"/>
      <c r="L1463" s="34"/>
      <c r="M1463" s="34"/>
      <c r="N1463" s="34"/>
      <c r="O1463" s="34"/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34"/>
      <c r="AP1463" s="34"/>
      <c r="AQ1463" s="34"/>
      <c r="AR1463" s="34"/>
      <c r="AS1463" s="34"/>
      <c r="AT1463" s="34"/>
      <c r="AU1463" s="34"/>
      <c r="AV1463" s="34"/>
    </row>
    <row r="1464">
      <c r="A1464" s="34"/>
      <c r="B1464" s="34"/>
      <c r="C1464" s="34"/>
      <c r="D1464" s="34"/>
      <c r="E1464" s="34"/>
      <c r="F1464" s="34"/>
      <c r="G1464" s="34"/>
      <c r="H1464" s="34"/>
      <c r="I1464" s="34"/>
      <c r="J1464" s="34"/>
      <c r="K1464" s="34"/>
      <c r="L1464" s="34"/>
      <c r="M1464" s="34"/>
      <c r="N1464" s="34"/>
      <c r="O1464" s="34"/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34"/>
      <c r="AR1464" s="34"/>
      <c r="AS1464" s="34"/>
      <c r="AT1464" s="34"/>
      <c r="AU1464" s="34"/>
      <c r="AV1464" s="34"/>
    </row>
    <row r="1465">
      <c r="A1465" s="34"/>
      <c r="B1465" s="34"/>
      <c r="C1465" s="34"/>
      <c r="D1465" s="34"/>
      <c r="E1465" s="34"/>
      <c r="F1465" s="34"/>
      <c r="G1465" s="34"/>
      <c r="H1465" s="34"/>
      <c r="I1465" s="34"/>
      <c r="J1465" s="34"/>
      <c r="K1465" s="34"/>
      <c r="L1465" s="34"/>
      <c r="M1465" s="34"/>
      <c r="N1465" s="34"/>
      <c r="O1465" s="34"/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34"/>
      <c r="AR1465" s="34"/>
      <c r="AS1465" s="34"/>
      <c r="AT1465" s="34"/>
      <c r="AU1465" s="34"/>
      <c r="AV1465" s="34"/>
    </row>
    <row r="1466">
      <c r="A1466" s="34"/>
      <c r="B1466" s="34"/>
      <c r="C1466" s="34"/>
      <c r="D1466" s="34"/>
      <c r="E1466" s="34"/>
      <c r="F1466" s="34"/>
      <c r="G1466" s="34"/>
      <c r="H1466" s="34"/>
      <c r="I1466" s="34"/>
      <c r="J1466" s="34"/>
      <c r="K1466" s="34"/>
      <c r="L1466" s="34"/>
      <c r="M1466" s="34"/>
      <c r="N1466" s="34"/>
      <c r="O1466" s="34"/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4"/>
      <c r="AO1466" s="34"/>
      <c r="AP1466" s="34"/>
      <c r="AQ1466" s="34"/>
      <c r="AR1466" s="34"/>
      <c r="AS1466" s="34"/>
      <c r="AT1466" s="34"/>
      <c r="AU1466" s="34"/>
      <c r="AV1466" s="34"/>
    </row>
    <row r="1467">
      <c r="A1467" s="34"/>
      <c r="B1467" s="34"/>
      <c r="C1467" s="34"/>
      <c r="D1467" s="34"/>
      <c r="E1467" s="34"/>
      <c r="F1467" s="34"/>
      <c r="G1467" s="34"/>
      <c r="H1467" s="34"/>
      <c r="I1467" s="34"/>
      <c r="J1467" s="34"/>
      <c r="K1467" s="34"/>
      <c r="L1467" s="34"/>
      <c r="M1467" s="34"/>
      <c r="N1467" s="34"/>
      <c r="O1467" s="34"/>
      <c r="P1467" s="34"/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4"/>
      <c r="AO1467" s="34"/>
      <c r="AP1467" s="34"/>
      <c r="AQ1467" s="34"/>
      <c r="AR1467" s="34"/>
      <c r="AS1467" s="34"/>
      <c r="AT1467" s="34"/>
      <c r="AU1467" s="34"/>
      <c r="AV1467" s="34"/>
    </row>
    <row r="1468">
      <c r="A1468" s="34"/>
      <c r="B1468" s="34"/>
      <c r="C1468" s="34"/>
      <c r="D1468" s="34"/>
      <c r="E1468" s="34"/>
      <c r="F1468" s="34"/>
      <c r="G1468" s="34"/>
      <c r="H1468" s="34"/>
      <c r="I1468" s="34"/>
      <c r="J1468" s="34"/>
      <c r="K1468" s="34"/>
      <c r="L1468" s="34"/>
      <c r="M1468" s="34"/>
      <c r="N1468" s="34"/>
      <c r="O1468" s="34"/>
      <c r="P1468" s="34"/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4"/>
      <c r="AO1468" s="34"/>
      <c r="AP1468" s="34"/>
      <c r="AQ1468" s="34"/>
      <c r="AR1468" s="34"/>
      <c r="AS1468" s="34"/>
      <c r="AT1468" s="34"/>
      <c r="AU1468" s="34"/>
      <c r="AV1468" s="34"/>
    </row>
    <row r="1469">
      <c r="A1469" s="34"/>
      <c r="B1469" s="34"/>
      <c r="C1469" s="34"/>
      <c r="D1469" s="34"/>
      <c r="E1469" s="34"/>
      <c r="F1469" s="34"/>
      <c r="G1469" s="34"/>
      <c r="H1469" s="34"/>
      <c r="I1469" s="34"/>
      <c r="J1469" s="34"/>
      <c r="K1469" s="34"/>
      <c r="L1469" s="34"/>
      <c r="M1469" s="34"/>
      <c r="N1469" s="34"/>
      <c r="O1469" s="34"/>
      <c r="P1469" s="34"/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4"/>
      <c r="AQ1469" s="34"/>
      <c r="AR1469" s="34"/>
      <c r="AS1469" s="34"/>
      <c r="AT1469" s="34"/>
      <c r="AU1469" s="34"/>
      <c r="AV1469" s="34"/>
    </row>
    <row r="1470">
      <c r="A1470" s="34"/>
      <c r="B1470" s="34"/>
      <c r="C1470" s="34"/>
      <c r="D1470" s="34"/>
      <c r="E1470" s="34"/>
      <c r="F1470" s="34"/>
      <c r="G1470" s="34"/>
      <c r="H1470" s="34"/>
      <c r="I1470" s="34"/>
      <c r="J1470" s="34"/>
      <c r="K1470" s="34"/>
      <c r="L1470" s="34"/>
      <c r="M1470" s="34"/>
      <c r="N1470" s="34"/>
      <c r="O1470" s="34"/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34"/>
      <c r="AR1470" s="34"/>
      <c r="AS1470" s="34"/>
      <c r="AT1470" s="34"/>
      <c r="AU1470" s="34"/>
      <c r="AV1470" s="34"/>
    </row>
    <row r="1471">
      <c r="A1471" s="34"/>
      <c r="B1471" s="34"/>
      <c r="C1471" s="34"/>
      <c r="D1471" s="34"/>
      <c r="E1471" s="34"/>
      <c r="F1471" s="34"/>
      <c r="G1471" s="34"/>
      <c r="H1471" s="34"/>
      <c r="I1471" s="34"/>
      <c r="J1471" s="34"/>
      <c r="K1471" s="34"/>
      <c r="L1471" s="34"/>
      <c r="M1471" s="34"/>
      <c r="N1471" s="34"/>
      <c r="O1471" s="34"/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34"/>
      <c r="AP1471" s="34"/>
      <c r="AQ1471" s="34"/>
      <c r="AR1471" s="34"/>
      <c r="AS1471" s="34"/>
      <c r="AT1471" s="34"/>
      <c r="AU1471" s="34"/>
      <c r="AV1471" s="34"/>
    </row>
    <row r="1472">
      <c r="A1472" s="34"/>
      <c r="B1472" s="34"/>
      <c r="C1472" s="34"/>
      <c r="D1472" s="34"/>
      <c r="E1472" s="34"/>
      <c r="F1472" s="34"/>
      <c r="G1472" s="34"/>
      <c r="H1472" s="34"/>
      <c r="I1472" s="34"/>
      <c r="J1472" s="34"/>
      <c r="K1472" s="34"/>
      <c r="L1472" s="34"/>
      <c r="M1472" s="34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34"/>
      <c r="AP1472" s="34"/>
      <c r="AQ1472" s="34"/>
      <c r="AR1472" s="34"/>
      <c r="AS1472" s="34"/>
      <c r="AT1472" s="34"/>
      <c r="AU1472" s="34"/>
      <c r="AV1472" s="34"/>
    </row>
    <row r="1473">
      <c r="A1473" s="34"/>
      <c r="B1473" s="34"/>
      <c r="C1473" s="34"/>
      <c r="D1473" s="34"/>
      <c r="E1473" s="34"/>
      <c r="F1473" s="34"/>
      <c r="G1473" s="34"/>
      <c r="H1473" s="34"/>
      <c r="I1473" s="34"/>
      <c r="J1473" s="34"/>
      <c r="K1473" s="34"/>
      <c r="L1473" s="34"/>
      <c r="M1473" s="34"/>
      <c r="N1473" s="34"/>
      <c r="O1473" s="34"/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4"/>
      <c r="AO1473" s="34"/>
      <c r="AP1473" s="34"/>
      <c r="AQ1473" s="34"/>
      <c r="AR1473" s="34"/>
      <c r="AS1473" s="34"/>
      <c r="AT1473" s="34"/>
      <c r="AU1473" s="34"/>
      <c r="AV1473" s="34"/>
    </row>
    <row r="1474">
      <c r="A1474" s="34"/>
      <c r="B1474" s="34"/>
      <c r="C1474" s="34"/>
      <c r="D1474" s="34"/>
      <c r="E1474" s="34"/>
      <c r="F1474" s="34"/>
      <c r="G1474" s="34"/>
      <c r="H1474" s="34"/>
      <c r="I1474" s="34"/>
      <c r="J1474" s="34"/>
      <c r="K1474" s="34"/>
      <c r="L1474" s="34"/>
      <c r="M1474" s="34"/>
      <c r="N1474" s="34"/>
      <c r="O1474" s="34"/>
      <c r="P1474" s="34"/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4"/>
      <c r="AQ1474" s="34"/>
      <c r="AR1474" s="34"/>
      <c r="AS1474" s="34"/>
      <c r="AT1474" s="34"/>
      <c r="AU1474" s="34"/>
      <c r="AV1474" s="34"/>
    </row>
    <row r="1475">
      <c r="A1475" s="34"/>
      <c r="B1475" s="34"/>
      <c r="C1475" s="34"/>
      <c r="D1475" s="34"/>
      <c r="E1475" s="34"/>
      <c r="F1475" s="34"/>
      <c r="G1475" s="34"/>
      <c r="H1475" s="34"/>
      <c r="I1475" s="34"/>
      <c r="J1475" s="34"/>
      <c r="K1475" s="34"/>
      <c r="L1475" s="34"/>
      <c r="M1475" s="34"/>
      <c r="N1475" s="34"/>
      <c r="O1475" s="34"/>
      <c r="P1475" s="34"/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34"/>
      <c r="AR1475" s="34"/>
      <c r="AS1475" s="34"/>
      <c r="AT1475" s="34"/>
      <c r="AU1475" s="34"/>
      <c r="AV1475" s="34"/>
    </row>
    <row r="1476">
      <c r="A1476" s="34"/>
      <c r="B1476" s="34"/>
      <c r="C1476" s="34"/>
      <c r="D1476" s="34"/>
      <c r="E1476" s="34"/>
      <c r="F1476" s="34"/>
      <c r="G1476" s="34"/>
      <c r="H1476" s="34"/>
      <c r="I1476" s="34"/>
      <c r="J1476" s="34"/>
      <c r="K1476" s="34"/>
      <c r="L1476" s="34"/>
      <c r="M1476" s="34"/>
      <c r="N1476" s="34"/>
      <c r="O1476" s="34"/>
      <c r="P1476" s="34"/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  <c r="AJ1476" s="34"/>
      <c r="AK1476" s="34"/>
      <c r="AL1476" s="34"/>
      <c r="AM1476" s="34"/>
      <c r="AN1476" s="34"/>
      <c r="AO1476" s="34"/>
      <c r="AP1476" s="34"/>
      <c r="AQ1476" s="34"/>
      <c r="AR1476" s="34"/>
      <c r="AS1476" s="34"/>
      <c r="AT1476" s="34"/>
      <c r="AU1476" s="34"/>
      <c r="AV1476" s="34"/>
    </row>
    <row r="1477">
      <c r="A1477" s="34"/>
      <c r="B1477" s="34"/>
      <c r="C1477" s="34"/>
      <c r="D1477" s="34"/>
      <c r="E1477" s="34"/>
      <c r="F1477" s="34"/>
      <c r="G1477" s="34"/>
      <c r="H1477" s="34"/>
      <c r="I1477" s="34"/>
      <c r="J1477" s="34"/>
      <c r="K1477" s="34"/>
      <c r="L1477" s="34"/>
      <c r="M1477" s="34"/>
      <c r="N1477" s="34"/>
      <c r="O1477" s="34"/>
      <c r="P1477" s="34"/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4"/>
      <c r="AQ1477" s="34"/>
      <c r="AR1477" s="34"/>
      <c r="AS1477" s="34"/>
      <c r="AT1477" s="34"/>
      <c r="AU1477" s="34"/>
      <c r="AV1477" s="34"/>
    </row>
    <row r="1478">
      <c r="A1478" s="34"/>
      <c r="B1478" s="34"/>
      <c r="C1478" s="34"/>
      <c r="D1478" s="34"/>
      <c r="E1478" s="34"/>
      <c r="F1478" s="34"/>
      <c r="G1478" s="34"/>
      <c r="H1478" s="34"/>
      <c r="I1478" s="34"/>
      <c r="J1478" s="34"/>
      <c r="K1478" s="34"/>
      <c r="L1478" s="34"/>
      <c r="M1478" s="34"/>
      <c r="N1478" s="34"/>
      <c r="O1478" s="34"/>
      <c r="P1478" s="34"/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4"/>
      <c r="AO1478" s="34"/>
      <c r="AP1478" s="34"/>
      <c r="AQ1478" s="34"/>
      <c r="AR1478" s="34"/>
      <c r="AS1478" s="34"/>
      <c r="AT1478" s="34"/>
      <c r="AU1478" s="34"/>
      <c r="AV1478" s="34"/>
    </row>
    <row r="1479">
      <c r="A1479" s="34"/>
      <c r="B1479" s="34"/>
      <c r="C1479" s="34"/>
      <c r="D1479" s="34"/>
      <c r="E1479" s="34"/>
      <c r="F1479" s="34"/>
      <c r="G1479" s="34"/>
      <c r="H1479" s="34"/>
      <c r="I1479" s="34"/>
      <c r="J1479" s="34"/>
      <c r="K1479" s="34"/>
      <c r="L1479" s="34"/>
      <c r="M1479" s="34"/>
      <c r="N1479" s="34"/>
      <c r="O1479" s="34"/>
      <c r="P1479" s="34"/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  <c r="AQ1479" s="34"/>
      <c r="AR1479" s="34"/>
      <c r="AS1479" s="34"/>
      <c r="AT1479" s="34"/>
      <c r="AU1479" s="34"/>
      <c r="AV1479" s="34"/>
    </row>
    <row r="1480">
      <c r="A1480" s="34"/>
      <c r="B1480" s="34"/>
      <c r="C1480" s="34"/>
      <c r="D1480" s="34"/>
      <c r="E1480" s="34"/>
      <c r="F1480" s="34"/>
      <c r="G1480" s="34"/>
      <c r="H1480" s="34"/>
      <c r="I1480" s="34"/>
      <c r="J1480" s="34"/>
      <c r="K1480" s="34"/>
      <c r="L1480" s="34"/>
      <c r="M1480" s="34"/>
      <c r="N1480" s="34"/>
      <c r="O1480" s="34"/>
      <c r="P1480" s="34"/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34"/>
      <c r="AR1480" s="34"/>
      <c r="AS1480" s="34"/>
      <c r="AT1480" s="34"/>
      <c r="AU1480" s="34"/>
      <c r="AV1480" s="34"/>
    </row>
    <row r="1481">
      <c r="A1481" s="34"/>
      <c r="B1481" s="34"/>
      <c r="C1481" s="34"/>
      <c r="D1481" s="34"/>
      <c r="E1481" s="34"/>
      <c r="F1481" s="34"/>
      <c r="G1481" s="34"/>
      <c r="H1481" s="34"/>
      <c r="I1481" s="34"/>
      <c r="J1481" s="34"/>
      <c r="K1481" s="34"/>
      <c r="L1481" s="34"/>
      <c r="M1481" s="34"/>
      <c r="N1481" s="34"/>
      <c r="O1481" s="34"/>
      <c r="P1481" s="34"/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  <c r="AQ1481" s="34"/>
      <c r="AR1481" s="34"/>
      <c r="AS1481" s="34"/>
      <c r="AT1481" s="34"/>
      <c r="AU1481" s="34"/>
      <c r="AV1481" s="34"/>
    </row>
    <row r="1482">
      <c r="A1482" s="34"/>
      <c r="B1482" s="34"/>
      <c r="C1482" s="34"/>
      <c r="D1482" s="34"/>
      <c r="E1482" s="34"/>
      <c r="F1482" s="34"/>
      <c r="G1482" s="34"/>
      <c r="H1482" s="34"/>
      <c r="I1482" s="34"/>
      <c r="J1482" s="34"/>
      <c r="K1482" s="34"/>
      <c r="L1482" s="34"/>
      <c r="M1482" s="34"/>
      <c r="N1482" s="34"/>
      <c r="O1482" s="34"/>
      <c r="P1482" s="34"/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4"/>
      <c r="AO1482" s="34"/>
      <c r="AP1482" s="34"/>
      <c r="AQ1482" s="34"/>
      <c r="AR1482" s="34"/>
      <c r="AS1482" s="34"/>
      <c r="AT1482" s="34"/>
      <c r="AU1482" s="34"/>
      <c r="AV1482" s="34"/>
    </row>
    <row r="1483">
      <c r="A1483" s="34"/>
      <c r="B1483" s="34"/>
      <c r="C1483" s="34"/>
      <c r="D1483" s="34"/>
      <c r="E1483" s="34"/>
      <c r="F1483" s="34"/>
      <c r="G1483" s="34"/>
      <c r="H1483" s="34"/>
      <c r="I1483" s="34"/>
      <c r="J1483" s="34"/>
      <c r="K1483" s="34"/>
      <c r="L1483" s="34"/>
      <c r="M1483" s="34"/>
      <c r="N1483" s="34"/>
      <c r="O1483" s="34"/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  <c r="AQ1483" s="34"/>
      <c r="AR1483" s="34"/>
      <c r="AS1483" s="34"/>
      <c r="AT1483" s="34"/>
      <c r="AU1483" s="34"/>
      <c r="AV1483" s="34"/>
    </row>
    <row r="1484">
      <c r="A1484" s="34"/>
      <c r="B1484" s="34"/>
      <c r="C1484" s="34"/>
      <c r="D1484" s="34"/>
      <c r="E1484" s="34"/>
      <c r="F1484" s="34"/>
      <c r="G1484" s="34"/>
      <c r="H1484" s="34"/>
      <c r="I1484" s="34"/>
      <c r="J1484" s="34"/>
      <c r="K1484" s="34"/>
      <c r="L1484" s="34"/>
      <c r="M1484" s="34"/>
      <c r="N1484" s="34"/>
      <c r="O1484" s="34"/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  <c r="AQ1484" s="34"/>
      <c r="AR1484" s="34"/>
      <c r="AS1484" s="34"/>
      <c r="AT1484" s="34"/>
      <c r="AU1484" s="34"/>
      <c r="AV1484" s="34"/>
    </row>
    <row r="1485">
      <c r="A1485" s="34"/>
      <c r="B1485" s="34"/>
      <c r="C1485" s="34"/>
      <c r="D1485" s="34"/>
      <c r="E1485" s="34"/>
      <c r="F1485" s="34"/>
      <c r="G1485" s="34"/>
      <c r="H1485" s="34"/>
      <c r="I1485" s="34"/>
      <c r="J1485" s="34"/>
      <c r="K1485" s="34"/>
      <c r="L1485" s="34"/>
      <c r="M1485" s="34"/>
      <c r="N1485" s="34"/>
      <c r="O1485" s="34"/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34"/>
      <c r="AP1485" s="34"/>
      <c r="AQ1485" s="34"/>
      <c r="AR1485" s="34"/>
      <c r="AS1485" s="34"/>
      <c r="AT1485" s="34"/>
      <c r="AU1485" s="34"/>
      <c r="AV1485" s="34"/>
    </row>
    <row r="1486">
      <c r="A1486" s="34"/>
      <c r="B1486" s="34"/>
      <c r="C1486" s="34"/>
      <c r="D1486" s="34"/>
      <c r="E1486" s="34"/>
      <c r="F1486" s="34"/>
      <c r="G1486" s="34"/>
      <c r="H1486" s="34"/>
      <c r="I1486" s="34"/>
      <c r="J1486" s="34"/>
      <c r="K1486" s="34"/>
      <c r="L1486" s="34"/>
      <c r="M1486" s="34"/>
      <c r="N1486" s="34"/>
      <c r="O1486" s="34"/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34"/>
      <c r="AP1486" s="34"/>
      <c r="AQ1486" s="34"/>
      <c r="AR1486" s="34"/>
      <c r="AS1486" s="34"/>
      <c r="AT1486" s="34"/>
      <c r="AU1486" s="34"/>
      <c r="AV1486" s="34"/>
    </row>
    <row r="1487">
      <c r="A1487" s="34"/>
      <c r="B1487" s="34"/>
      <c r="C1487" s="34"/>
      <c r="D1487" s="34"/>
      <c r="E1487" s="34"/>
      <c r="F1487" s="34"/>
      <c r="G1487" s="34"/>
      <c r="H1487" s="34"/>
      <c r="I1487" s="34"/>
      <c r="J1487" s="34"/>
      <c r="K1487" s="34"/>
      <c r="L1487" s="34"/>
      <c r="M1487" s="34"/>
      <c r="N1487" s="34"/>
      <c r="O1487" s="34"/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34"/>
      <c r="AR1487" s="34"/>
      <c r="AS1487" s="34"/>
      <c r="AT1487" s="34"/>
      <c r="AU1487" s="34"/>
      <c r="AV1487" s="34"/>
    </row>
    <row r="1488">
      <c r="A1488" s="34"/>
      <c r="B1488" s="34"/>
      <c r="C1488" s="34"/>
      <c r="D1488" s="34"/>
      <c r="E1488" s="34"/>
      <c r="F1488" s="34"/>
      <c r="G1488" s="34"/>
      <c r="H1488" s="34"/>
      <c r="I1488" s="34"/>
      <c r="J1488" s="34"/>
      <c r="K1488" s="34"/>
      <c r="L1488" s="34"/>
      <c r="M1488" s="34"/>
      <c r="N1488" s="34"/>
      <c r="O1488" s="34"/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34"/>
      <c r="AP1488" s="34"/>
      <c r="AQ1488" s="34"/>
      <c r="AR1488" s="34"/>
      <c r="AS1488" s="34"/>
      <c r="AT1488" s="34"/>
      <c r="AU1488" s="34"/>
      <c r="AV1488" s="34"/>
    </row>
    <row r="1489">
      <c r="A1489" s="34"/>
      <c r="B1489" s="34"/>
      <c r="C1489" s="34"/>
      <c r="D1489" s="34"/>
      <c r="E1489" s="34"/>
      <c r="F1489" s="34"/>
      <c r="G1489" s="34"/>
      <c r="H1489" s="34"/>
      <c r="I1489" s="34"/>
      <c r="J1489" s="34"/>
      <c r="K1489" s="34"/>
      <c r="L1489" s="34"/>
      <c r="M1489" s="34"/>
      <c r="N1489" s="34"/>
      <c r="O1489" s="34"/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34"/>
      <c r="AP1489" s="34"/>
      <c r="AQ1489" s="34"/>
      <c r="AR1489" s="34"/>
      <c r="AS1489" s="34"/>
      <c r="AT1489" s="34"/>
      <c r="AU1489" s="34"/>
      <c r="AV1489" s="34"/>
    </row>
    <row r="1490">
      <c r="A1490" s="34"/>
      <c r="B1490" s="34"/>
      <c r="C1490" s="34"/>
      <c r="D1490" s="34"/>
      <c r="E1490" s="34"/>
      <c r="F1490" s="34"/>
      <c r="G1490" s="34"/>
      <c r="H1490" s="34"/>
      <c r="I1490" s="34"/>
      <c r="J1490" s="34"/>
      <c r="K1490" s="34"/>
      <c r="L1490" s="34"/>
      <c r="M1490" s="34"/>
      <c r="N1490" s="34"/>
      <c r="O1490" s="34"/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  <c r="AF1490" s="34"/>
      <c r="AG1490" s="34"/>
      <c r="AH1490" s="34"/>
      <c r="AI1490" s="34"/>
      <c r="AJ1490" s="34"/>
      <c r="AK1490" s="34"/>
      <c r="AL1490" s="34"/>
      <c r="AM1490" s="34"/>
      <c r="AN1490" s="34"/>
      <c r="AO1490" s="34"/>
      <c r="AP1490" s="34"/>
      <c r="AQ1490" s="34"/>
      <c r="AR1490" s="34"/>
      <c r="AS1490" s="34"/>
      <c r="AT1490" s="34"/>
      <c r="AU1490" s="34"/>
      <c r="AV1490" s="34"/>
    </row>
    <row r="1491">
      <c r="A1491" s="34"/>
      <c r="B1491" s="34"/>
      <c r="C1491" s="34"/>
      <c r="D1491" s="34"/>
      <c r="E1491" s="34"/>
      <c r="F1491" s="34"/>
      <c r="G1491" s="34"/>
      <c r="H1491" s="34"/>
      <c r="I1491" s="34"/>
      <c r="J1491" s="34"/>
      <c r="K1491" s="34"/>
      <c r="L1491" s="34"/>
      <c r="M1491" s="34"/>
      <c r="N1491" s="34"/>
      <c r="O1491" s="34"/>
      <c r="P1491" s="34"/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34"/>
      <c r="AP1491" s="34"/>
      <c r="AQ1491" s="34"/>
      <c r="AR1491" s="34"/>
      <c r="AS1491" s="34"/>
      <c r="AT1491" s="34"/>
      <c r="AU1491" s="34"/>
      <c r="AV1491" s="34"/>
    </row>
    <row r="1492">
      <c r="A1492" s="34"/>
      <c r="B1492" s="34"/>
      <c r="C1492" s="34"/>
      <c r="D1492" s="34"/>
      <c r="E1492" s="34"/>
      <c r="F1492" s="34"/>
      <c r="G1492" s="34"/>
      <c r="H1492" s="34"/>
      <c r="I1492" s="34"/>
      <c r="J1492" s="34"/>
      <c r="K1492" s="34"/>
      <c r="L1492" s="34"/>
      <c r="M1492" s="34"/>
      <c r="N1492" s="34"/>
      <c r="O1492" s="34"/>
      <c r="P1492" s="34"/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34"/>
      <c r="AP1492" s="34"/>
      <c r="AQ1492" s="34"/>
      <c r="AR1492" s="34"/>
      <c r="AS1492" s="34"/>
      <c r="AT1492" s="34"/>
      <c r="AU1492" s="34"/>
      <c r="AV1492" s="34"/>
    </row>
    <row r="1493">
      <c r="A1493" s="34"/>
      <c r="B1493" s="34"/>
      <c r="C1493" s="34"/>
      <c r="D1493" s="34"/>
      <c r="E1493" s="34"/>
      <c r="F1493" s="34"/>
      <c r="G1493" s="34"/>
      <c r="H1493" s="34"/>
      <c r="I1493" s="34"/>
      <c r="J1493" s="34"/>
      <c r="K1493" s="34"/>
      <c r="L1493" s="34"/>
      <c r="M1493" s="34"/>
      <c r="N1493" s="34"/>
      <c r="O1493" s="34"/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  <c r="AE1493" s="34"/>
      <c r="AF1493" s="34"/>
      <c r="AG1493" s="34"/>
      <c r="AH1493" s="34"/>
      <c r="AI1493" s="34"/>
      <c r="AJ1493" s="34"/>
      <c r="AK1493" s="34"/>
      <c r="AL1493" s="34"/>
      <c r="AM1493" s="34"/>
      <c r="AN1493" s="34"/>
      <c r="AO1493" s="34"/>
      <c r="AP1493" s="34"/>
      <c r="AQ1493" s="34"/>
      <c r="AR1493" s="34"/>
      <c r="AS1493" s="34"/>
      <c r="AT1493" s="34"/>
      <c r="AU1493" s="34"/>
      <c r="AV1493" s="34"/>
    </row>
    <row r="1494">
      <c r="A1494" s="34"/>
      <c r="B1494" s="34"/>
      <c r="C1494" s="34"/>
      <c r="D1494" s="34"/>
      <c r="E1494" s="34"/>
      <c r="F1494" s="34"/>
      <c r="G1494" s="34"/>
      <c r="H1494" s="34"/>
      <c r="I1494" s="34"/>
      <c r="J1494" s="34"/>
      <c r="K1494" s="34"/>
      <c r="L1494" s="34"/>
      <c r="M1494" s="34"/>
      <c r="N1494" s="34"/>
      <c r="O1494" s="34"/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34"/>
      <c r="AP1494" s="34"/>
      <c r="AQ1494" s="34"/>
      <c r="AR1494" s="34"/>
      <c r="AS1494" s="34"/>
      <c r="AT1494" s="34"/>
      <c r="AU1494" s="34"/>
      <c r="AV1494" s="34"/>
    </row>
    <row r="1495">
      <c r="A1495" s="34"/>
      <c r="B1495" s="34"/>
      <c r="C1495" s="34"/>
      <c r="D1495" s="34"/>
      <c r="E1495" s="34"/>
      <c r="F1495" s="34"/>
      <c r="G1495" s="34"/>
      <c r="H1495" s="34"/>
      <c r="I1495" s="34"/>
      <c r="J1495" s="34"/>
      <c r="K1495" s="34"/>
      <c r="L1495" s="34"/>
      <c r="M1495" s="34"/>
      <c r="N1495" s="34"/>
      <c r="O1495" s="34"/>
      <c r="P1495" s="34"/>
      <c r="Q1495" s="34"/>
      <c r="R1495" s="3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  <c r="AJ1495" s="34"/>
      <c r="AK1495" s="34"/>
      <c r="AL1495" s="34"/>
      <c r="AM1495" s="34"/>
      <c r="AN1495" s="34"/>
      <c r="AO1495" s="34"/>
      <c r="AP1495" s="34"/>
      <c r="AQ1495" s="34"/>
      <c r="AR1495" s="34"/>
      <c r="AS1495" s="34"/>
      <c r="AT1495" s="34"/>
      <c r="AU1495" s="34"/>
      <c r="AV1495" s="34"/>
    </row>
    <row r="1496">
      <c r="A1496" s="34"/>
      <c r="B1496" s="34"/>
      <c r="C1496" s="34"/>
      <c r="D1496" s="34"/>
      <c r="E1496" s="34"/>
      <c r="F1496" s="34"/>
      <c r="G1496" s="34"/>
      <c r="H1496" s="34"/>
      <c r="I1496" s="34"/>
      <c r="J1496" s="34"/>
      <c r="K1496" s="34"/>
      <c r="L1496" s="34"/>
      <c r="M1496" s="34"/>
      <c r="N1496" s="34"/>
      <c r="O1496" s="34"/>
      <c r="P1496" s="34"/>
      <c r="Q1496" s="34"/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34"/>
      <c r="AP1496" s="34"/>
      <c r="AQ1496" s="34"/>
      <c r="AR1496" s="34"/>
      <c r="AS1496" s="34"/>
      <c r="AT1496" s="34"/>
      <c r="AU1496" s="34"/>
      <c r="AV1496" s="34"/>
    </row>
    <row r="1497">
      <c r="A1497" s="34"/>
      <c r="B1497" s="34"/>
      <c r="C1497" s="34"/>
      <c r="D1497" s="34"/>
      <c r="E1497" s="34"/>
      <c r="F1497" s="34"/>
      <c r="G1497" s="34"/>
      <c r="H1497" s="34"/>
      <c r="I1497" s="34"/>
      <c r="J1497" s="34"/>
      <c r="K1497" s="34"/>
      <c r="L1497" s="34"/>
      <c r="M1497" s="34"/>
      <c r="N1497" s="34"/>
      <c r="O1497" s="34"/>
      <c r="P1497" s="34"/>
      <c r="Q1497" s="34"/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  <c r="AE1497" s="34"/>
      <c r="AF1497" s="34"/>
      <c r="AG1497" s="34"/>
      <c r="AH1497" s="34"/>
      <c r="AI1497" s="34"/>
      <c r="AJ1497" s="34"/>
      <c r="AK1497" s="34"/>
      <c r="AL1497" s="34"/>
      <c r="AM1497" s="34"/>
      <c r="AN1497" s="34"/>
      <c r="AO1497" s="34"/>
      <c r="AP1497" s="34"/>
      <c r="AQ1497" s="34"/>
      <c r="AR1497" s="34"/>
      <c r="AS1497" s="34"/>
      <c r="AT1497" s="34"/>
      <c r="AU1497" s="34"/>
      <c r="AV1497" s="34"/>
    </row>
    <row r="1498">
      <c r="A1498" s="34"/>
      <c r="B1498" s="34"/>
      <c r="C1498" s="34"/>
      <c r="D1498" s="34"/>
      <c r="E1498" s="34"/>
      <c r="F1498" s="34"/>
      <c r="G1498" s="34"/>
      <c r="H1498" s="34"/>
      <c r="I1498" s="34"/>
      <c r="J1498" s="34"/>
      <c r="K1498" s="34"/>
      <c r="L1498" s="34"/>
      <c r="M1498" s="34"/>
      <c r="N1498" s="34"/>
      <c r="O1498" s="34"/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34"/>
      <c r="AP1498" s="34"/>
      <c r="AQ1498" s="34"/>
      <c r="AR1498" s="34"/>
      <c r="AS1498" s="34"/>
      <c r="AT1498" s="34"/>
      <c r="AU1498" s="34"/>
      <c r="AV1498" s="34"/>
    </row>
    <row r="1499">
      <c r="A1499" s="34"/>
      <c r="B1499" s="34"/>
      <c r="C1499" s="34"/>
      <c r="D1499" s="34"/>
      <c r="E1499" s="34"/>
      <c r="F1499" s="34"/>
      <c r="G1499" s="34"/>
      <c r="H1499" s="34"/>
      <c r="I1499" s="34"/>
      <c r="J1499" s="34"/>
      <c r="K1499" s="34"/>
      <c r="L1499" s="34"/>
      <c r="M1499" s="34"/>
      <c r="N1499" s="34"/>
      <c r="O1499" s="34"/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34"/>
      <c r="AP1499" s="34"/>
      <c r="AQ1499" s="34"/>
      <c r="AR1499" s="34"/>
      <c r="AS1499" s="34"/>
      <c r="AT1499" s="34"/>
      <c r="AU1499" s="34"/>
      <c r="AV1499" s="34"/>
    </row>
    <row r="1500">
      <c r="A1500" s="34"/>
      <c r="B1500" s="34"/>
      <c r="C1500" s="34"/>
      <c r="D1500" s="34"/>
      <c r="E1500" s="34"/>
      <c r="F1500" s="34"/>
      <c r="G1500" s="34"/>
      <c r="H1500" s="34"/>
      <c r="I1500" s="34"/>
      <c r="J1500" s="34"/>
      <c r="K1500" s="34"/>
      <c r="L1500" s="34"/>
      <c r="M1500" s="34"/>
      <c r="N1500" s="34"/>
      <c r="O1500" s="34"/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  <c r="AJ1500" s="34"/>
      <c r="AK1500" s="34"/>
      <c r="AL1500" s="34"/>
      <c r="AM1500" s="34"/>
      <c r="AN1500" s="34"/>
      <c r="AO1500" s="34"/>
      <c r="AP1500" s="34"/>
      <c r="AQ1500" s="34"/>
      <c r="AR1500" s="34"/>
      <c r="AS1500" s="34"/>
      <c r="AT1500" s="34"/>
      <c r="AU1500" s="34"/>
      <c r="AV1500" s="34"/>
    </row>
    <row r="1501">
      <c r="A1501" s="34"/>
      <c r="B1501" s="34"/>
      <c r="C1501" s="34"/>
      <c r="D1501" s="34"/>
      <c r="E1501" s="34"/>
      <c r="F1501" s="34"/>
      <c r="G1501" s="34"/>
      <c r="H1501" s="34"/>
      <c r="I1501" s="34"/>
      <c r="J1501" s="34"/>
      <c r="K1501" s="34"/>
      <c r="L1501" s="34"/>
      <c r="M1501" s="34"/>
      <c r="N1501" s="34"/>
      <c r="O1501" s="34"/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34"/>
      <c r="AP1501" s="34"/>
      <c r="AQ1501" s="34"/>
      <c r="AR1501" s="34"/>
      <c r="AS1501" s="34"/>
      <c r="AT1501" s="34"/>
      <c r="AU1501" s="34"/>
      <c r="AV1501" s="34"/>
    </row>
    <row r="1502">
      <c r="A1502" s="34"/>
      <c r="B1502" s="34"/>
      <c r="C1502" s="34"/>
      <c r="D1502" s="34"/>
      <c r="E1502" s="34"/>
      <c r="F1502" s="34"/>
      <c r="G1502" s="34"/>
      <c r="H1502" s="34"/>
      <c r="I1502" s="34"/>
      <c r="J1502" s="34"/>
      <c r="K1502" s="34"/>
      <c r="L1502" s="34"/>
      <c r="M1502" s="34"/>
      <c r="N1502" s="34"/>
      <c r="O1502" s="34"/>
      <c r="P1502" s="34"/>
      <c r="Q1502" s="34"/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34"/>
      <c r="AP1502" s="34"/>
      <c r="AQ1502" s="34"/>
      <c r="AR1502" s="34"/>
      <c r="AS1502" s="34"/>
      <c r="AT1502" s="34"/>
      <c r="AU1502" s="34"/>
      <c r="AV1502" s="34"/>
    </row>
    <row r="1503">
      <c r="A1503" s="34"/>
      <c r="B1503" s="34"/>
      <c r="C1503" s="34"/>
      <c r="D1503" s="34"/>
      <c r="E1503" s="34"/>
      <c r="F1503" s="34"/>
      <c r="G1503" s="34"/>
      <c r="H1503" s="34"/>
      <c r="I1503" s="34"/>
      <c r="J1503" s="34"/>
      <c r="K1503" s="34"/>
      <c r="L1503" s="34"/>
      <c r="M1503" s="34"/>
      <c r="N1503" s="34"/>
      <c r="O1503" s="34"/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34"/>
      <c r="AP1503" s="34"/>
      <c r="AQ1503" s="34"/>
      <c r="AR1503" s="34"/>
      <c r="AS1503" s="34"/>
      <c r="AT1503" s="34"/>
      <c r="AU1503" s="34"/>
      <c r="AV1503" s="34"/>
    </row>
    <row r="1504">
      <c r="A1504" s="34"/>
      <c r="B1504" s="34"/>
      <c r="C1504" s="34"/>
      <c r="D1504" s="34"/>
      <c r="E1504" s="34"/>
      <c r="F1504" s="34"/>
      <c r="G1504" s="34"/>
      <c r="H1504" s="34"/>
      <c r="I1504" s="34"/>
      <c r="J1504" s="34"/>
      <c r="K1504" s="34"/>
      <c r="L1504" s="34"/>
      <c r="M1504" s="34"/>
      <c r="N1504" s="34"/>
      <c r="O1504" s="34"/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  <c r="AJ1504" s="34"/>
      <c r="AK1504" s="34"/>
      <c r="AL1504" s="34"/>
      <c r="AM1504" s="34"/>
      <c r="AN1504" s="34"/>
      <c r="AO1504" s="34"/>
      <c r="AP1504" s="34"/>
      <c r="AQ1504" s="34"/>
      <c r="AR1504" s="34"/>
      <c r="AS1504" s="34"/>
      <c r="AT1504" s="34"/>
      <c r="AU1504" s="34"/>
      <c r="AV1504" s="34"/>
    </row>
    <row r="1505">
      <c r="A1505" s="34"/>
      <c r="B1505" s="34"/>
      <c r="C1505" s="34"/>
      <c r="D1505" s="34"/>
      <c r="E1505" s="34"/>
      <c r="F1505" s="34"/>
      <c r="G1505" s="34"/>
      <c r="H1505" s="34"/>
      <c r="I1505" s="34"/>
      <c r="J1505" s="34"/>
      <c r="K1505" s="34"/>
      <c r="L1505" s="34"/>
      <c r="M1505" s="34"/>
      <c r="N1505" s="34"/>
      <c r="O1505" s="34"/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34"/>
      <c r="AP1505" s="34"/>
      <c r="AQ1505" s="34"/>
      <c r="AR1505" s="34"/>
      <c r="AS1505" s="34"/>
      <c r="AT1505" s="34"/>
      <c r="AU1505" s="34"/>
      <c r="AV1505" s="34"/>
    </row>
    <row r="1506">
      <c r="A1506" s="34"/>
      <c r="B1506" s="34"/>
      <c r="C1506" s="34"/>
      <c r="D1506" s="34"/>
      <c r="E1506" s="34"/>
      <c r="F1506" s="34"/>
      <c r="G1506" s="34"/>
      <c r="H1506" s="34"/>
      <c r="I1506" s="34"/>
      <c r="J1506" s="34"/>
      <c r="K1506" s="34"/>
      <c r="L1506" s="34"/>
      <c r="M1506" s="34"/>
      <c r="N1506" s="34"/>
      <c r="O1506" s="34"/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34"/>
      <c r="AP1506" s="34"/>
      <c r="AQ1506" s="34"/>
      <c r="AR1506" s="34"/>
      <c r="AS1506" s="34"/>
      <c r="AT1506" s="34"/>
      <c r="AU1506" s="34"/>
      <c r="AV1506" s="34"/>
    </row>
    <row r="1507">
      <c r="A1507" s="34"/>
      <c r="B1507" s="34"/>
      <c r="C1507" s="34"/>
      <c r="D1507" s="34"/>
      <c r="E1507" s="34"/>
      <c r="F1507" s="34"/>
      <c r="G1507" s="34"/>
      <c r="H1507" s="34"/>
      <c r="I1507" s="34"/>
      <c r="J1507" s="34"/>
      <c r="K1507" s="34"/>
      <c r="L1507" s="34"/>
      <c r="M1507" s="34"/>
      <c r="N1507" s="34"/>
      <c r="O1507" s="34"/>
      <c r="P1507" s="34"/>
      <c r="Q1507" s="34"/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  <c r="AE1507" s="34"/>
      <c r="AF1507" s="34"/>
      <c r="AG1507" s="34"/>
      <c r="AH1507" s="34"/>
      <c r="AI1507" s="34"/>
      <c r="AJ1507" s="34"/>
      <c r="AK1507" s="34"/>
      <c r="AL1507" s="34"/>
      <c r="AM1507" s="34"/>
      <c r="AN1507" s="34"/>
      <c r="AO1507" s="34"/>
      <c r="AP1507" s="34"/>
      <c r="AQ1507" s="34"/>
      <c r="AR1507" s="34"/>
      <c r="AS1507" s="34"/>
      <c r="AT1507" s="34"/>
      <c r="AU1507" s="34"/>
      <c r="AV1507" s="34"/>
    </row>
    <row r="1508">
      <c r="A1508" s="34"/>
      <c r="B1508" s="34"/>
      <c r="C1508" s="34"/>
      <c r="D1508" s="34"/>
      <c r="E1508" s="34"/>
      <c r="F1508" s="34"/>
      <c r="G1508" s="34"/>
      <c r="H1508" s="34"/>
      <c r="I1508" s="34"/>
      <c r="J1508" s="34"/>
      <c r="K1508" s="34"/>
      <c r="L1508" s="34"/>
      <c r="M1508" s="34"/>
      <c r="N1508" s="34"/>
      <c r="O1508" s="34"/>
      <c r="P1508" s="34"/>
      <c r="Q1508" s="34"/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  <c r="AF1508" s="34"/>
      <c r="AG1508" s="34"/>
      <c r="AH1508" s="34"/>
      <c r="AI1508" s="34"/>
      <c r="AJ1508" s="34"/>
      <c r="AK1508" s="34"/>
      <c r="AL1508" s="34"/>
      <c r="AM1508" s="34"/>
      <c r="AN1508" s="34"/>
      <c r="AO1508" s="34"/>
      <c r="AP1508" s="34"/>
      <c r="AQ1508" s="34"/>
      <c r="AR1508" s="34"/>
      <c r="AS1508" s="34"/>
      <c r="AT1508" s="34"/>
      <c r="AU1508" s="34"/>
      <c r="AV1508" s="34"/>
    </row>
    <row r="1509">
      <c r="A1509" s="34"/>
      <c r="B1509" s="34"/>
      <c r="C1509" s="34"/>
      <c r="D1509" s="34"/>
      <c r="E1509" s="34"/>
      <c r="F1509" s="34"/>
      <c r="G1509" s="34"/>
      <c r="H1509" s="34"/>
      <c r="I1509" s="34"/>
      <c r="J1509" s="34"/>
      <c r="K1509" s="34"/>
      <c r="L1509" s="34"/>
      <c r="M1509" s="34"/>
      <c r="N1509" s="34"/>
      <c r="O1509" s="34"/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4"/>
      <c r="AM1509" s="34"/>
      <c r="AN1509" s="34"/>
      <c r="AO1509" s="34"/>
      <c r="AP1509" s="34"/>
      <c r="AQ1509" s="34"/>
      <c r="AR1509" s="34"/>
      <c r="AS1509" s="34"/>
      <c r="AT1509" s="34"/>
      <c r="AU1509" s="34"/>
      <c r="AV1509" s="34"/>
    </row>
    <row r="1510">
      <c r="A1510" s="34"/>
      <c r="B1510" s="34"/>
      <c r="C1510" s="34"/>
      <c r="D1510" s="34"/>
      <c r="E1510" s="34"/>
      <c r="F1510" s="34"/>
      <c r="G1510" s="34"/>
      <c r="H1510" s="34"/>
      <c r="I1510" s="34"/>
      <c r="J1510" s="34"/>
      <c r="K1510" s="34"/>
      <c r="L1510" s="34"/>
      <c r="M1510" s="34"/>
      <c r="N1510" s="34"/>
      <c r="O1510" s="34"/>
      <c r="P1510" s="34"/>
      <c r="Q1510" s="34"/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34"/>
      <c r="AP1510" s="34"/>
      <c r="AQ1510" s="34"/>
      <c r="AR1510" s="34"/>
      <c r="AS1510" s="34"/>
      <c r="AT1510" s="34"/>
      <c r="AU1510" s="34"/>
      <c r="AV1510" s="34"/>
    </row>
    <row r="1511">
      <c r="A1511" s="34"/>
      <c r="B1511" s="34"/>
      <c r="C1511" s="34"/>
      <c r="D1511" s="34"/>
      <c r="E1511" s="34"/>
      <c r="F1511" s="34"/>
      <c r="G1511" s="34"/>
      <c r="H1511" s="34"/>
      <c r="I1511" s="34"/>
      <c r="J1511" s="34"/>
      <c r="K1511" s="34"/>
      <c r="L1511" s="34"/>
      <c r="M1511" s="34"/>
      <c r="N1511" s="34"/>
      <c r="O1511" s="34"/>
      <c r="P1511" s="34"/>
      <c r="Q1511" s="34"/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  <c r="AJ1511" s="34"/>
      <c r="AK1511" s="34"/>
      <c r="AL1511" s="34"/>
      <c r="AM1511" s="34"/>
      <c r="AN1511" s="34"/>
      <c r="AO1511" s="34"/>
      <c r="AP1511" s="34"/>
      <c r="AQ1511" s="34"/>
      <c r="AR1511" s="34"/>
      <c r="AS1511" s="34"/>
      <c r="AT1511" s="34"/>
      <c r="AU1511" s="34"/>
      <c r="AV1511" s="34"/>
    </row>
    <row r="1512">
      <c r="A1512" s="34"/>
      <c r="B1512" s="34"/>
      <c r="C1512" s="34"/>
      <c r="D1512" s="34"/>
      <c r="E1512" s="34"/>
      <c r="F1512" s="34"/>
      <c r="G1512" s="34"/>
      <c r="H1512" s="34"/>
      <c r="I1512" s="34"/>
      <c r="J1512" s="34"/>
      <c r="K1512" s="34"/>
      <c r="L1512" s="34"/>
      <c r="M1512" s="34"/>
      <c r="N1512" s="34"/>
      <c r="O1512" s="34"/>
      <c r="P1512" s="34"/>
      <c r="Q1512" s="34"/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  <c r="AJ1512" s="34"/>
      <c r="AK1512" s="34"/>
      <c r="AL1512" s="34"/>
      <c r="AM1512" s="34"/>
      <c r="AN1512" s="34"/>
      <c r="AO1512" s="34"/>
      <c r="AP1512" s="34"/>
      <c r="AQ1512" s="34"/>
      <c r="AR1512" s="34"/>
      <c r="AS1512" s="34"/>
      <c r="AT1512" s="34"/>
      <c r="AU1512" s="34"/>
      <c r="AV1512" s="34"/>
    </row>
    <row r="1513">
      <c r="A1513" s="34"/>
      <c r="B1513" s="34"/>
      <c r="C1513" s="34"/>
      <c r="D1513" s="34"/>
      <c r="E1513" s="34"/>
      <c r="F1513" s="34"/>
      <c r="G1513" s="34"/>
      <c r="H1513" s="34"/>
      <c r="I1513" s="34"/>
      <c r="J1513" s="34"/>
      <c r="K1513" s="34"/>
      <c r="L1513" s="34"/>
      <c r="M1513" s="34"/>
      <c r="N1513" s="34"/>
      <c r="O1513" s="34"/>
      <c r="P1513" s="34"/>
      <c r="Q1513" s="34"/>
      <c r="R1513" s="3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  <c r="AJ1513" s="34"/>
      <c r="AK1513" s="34"/>
      <c r="AL1513" s="34"/>
      <c r="AM1513" s="34"/>
      <c r="AN1513" s="34"/>
      <c r="AO1513" s="34"/>
      <c r="AP1513" s="34"/>
      <c r="AQ1513" s="34"/>
      <c r="AR1513" s="34"/>
      <c r="AS1513" s="34"/>
      <c r="AT1513" s="34"/>
      <c r="AU1513" s="34"/>
      <c r="AV1513" s="34"/>
    </row>
    <row r="1514">
      <c r="A1514" s="34"/>
      <c r="B1514" s="34"/>
      <c r="C1514" s="34"/>
      <c r="D1514" s="34"/>
      <c r="E1514" s="34"/>
      <c r="F1514" s="34"/>
      <c r="G1514" s="34"/>
      <c r="H1514" s="34"/>
      <c r="I1514" s="34"/>
      <c r="J1514" s="34"/>
      <c r="K1514" s="34"/>
      <c r="L1514" s="34"/>
      <c r="M1514" s="34"/>
      <c r="N1514" s="34"/>
      <c r="O1514" s="34"/>
      <c r="P1514" s="34"/>
      <c r="Q1514" s="34"/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  <c r="AJ1514" s="34"/>
      <c r="AK1514" s="34"/>
      <c r="AL1514" s="34"/>
      <c r="AM1514" s="34"/>
      <c r="AN1514" s="34"/>
      <c r="AO1514" s="34"/>
      <c r="AP1514" s="34"/>
      <c r="AQ1514" s="34"/>
      <c r="AR1514" s="34"/>
      <c r="AS1514" s="34"/>
      <c r="AT1514" s="34"/>
      <c r="AU1514" s="34"/>
      <c r="AV1514" s="34"/>
    </row>
    <row r="1515">
      <c r="A1515" s="34"/>
      <c r="B1515" s="34"/>
      <c r="C1515" s="34"/>
      <c r="D1515" s="34"/>
      <c r="E1515" s="34"/>
      <c r="F1515" s="34"/>
      <c r="G1515" s="34"/>
      <c r="H1515" s="34"/>
      <c r="I1515" s="34"/>
      <c r="J1515" s="34"/>
      <c r="K1515" s="34"/>
      <c r="L1515" s="34"/>
      <c r="M1515" s="34"/>
      <c r="N1515" s="34"/>
      <c r="O1515" s="34"/>
      <c r="P1515" s="34"/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34"/>
      <c r="AN1515" s="34"/>
      <c r="AO1515" s="34"/>
      <c r="AP1515" s="34"/>
      <c r="AQ1515" s="34"/>
      <c r="AR1515" s="34"/>
      <c r="AS1515" s="34"/>
      <c r="AT1515" s="34"/>
      <c r="AU1515" s="34"/>
      <c r="AV1515" s="34"/>
    </row>
    <row r="1516">
      <c r="A1516" s="34"/>
      <c r="B1516" s="34"/>
      <c r="C1516" s="34"/>
      <c r="D1516" s="34"/>
      <c r="E1516" s="34"/>
      <c r="F1516" s="34"/>
      <c r="G1516" s="34"/>
      <c r="H1516" s="34"/>
      <c r="I1516" s="34"/>
      <c r="J1516" s="34"/>
      <c r="K1516" s="34"/>
      <c r="L1516" s="34"/>
      <c r="M1516" s="34"/>
      <c r="N1516" s="34"/>
      <c r="O1516" s="34"/>
      <c r="P1516" s="34"/>
      <c r="Q1516" s="34"/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34"/>
      <c r="AP1516" s="34"/>
      <c r="AQ1516" s="34"/>
      <c r="AR1516" s="34"/>
      <c r="AS1516" s="34"/>
      <c r="AT1516" s="34"/>
      <c r="AU1516" s="34"/>
      <c r="AV1516" s="34"/>
    </row>
    <row r="1517">
      <c r="A1517" s="34"/>
      <c r="B1517" s="34"/>
      <c r="C1517" s="34"/>
      <c r="D1517" s="34"/>
      <c r="E1517" s="34"/>
      <c r="F1517" s="34"/>
      <c r="G1517" s="34"/>
      <c r="H1517" s="34"/>
      <c r="I1517" s="34"/>
      <c r="J1517" s="34"/>
      <c r="K1517" s="34"/>
      <c r="L1517" s="34"/>
      <c r="M1517" s="34"/>
      <c r="N1517" s="34"/>
      <c r="O1517" s="34"/>
      <c r="P1517" s="34"/>
      <c r="Q1517" s="34"/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34"/>
      <c r="AP1517" s="34"/>
      <c r="AQ1517" s="34"/>
      <c r="AR1517" s="34"/>
      <c r="AS1517" s="34"/>
      <c r="AT1517" s="34"/>
      <c r="AU1517" s="34"/>
      <c r="AV1517" s="34"/>
    </row>
    <row r="1518">
      <c r="A1518" s="34"/>
      <c r="B1518" s="34"/>
      <c r="C1518" s="34"/>
      <c r="D1518" s="34"/>
      <c r="E1518" s="34"/>
      <c r="F1518" s="34"/>
      <c r="G1518" s="34"/>
      <c r="H1518" s="34"/>
      <c r="I1518" s="34"/>
      <c r="J1518" s="34"/>
      <c r="K1518" s="34"/>
      <c r="L1518" s="34"/>
      <c r="M1518" s="34"/>
      <c r="N1518" s="34"/>
      <c r="O1518" s="34"/>
      <c r="P1518" s="34"/>
      <c r="Q1518" s="34"/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  <c r="AJ1518" s="34"/>
      <c r="AK1518" s="34"/>
      <c r="AL1518" s="34"/>
      <c r="AM1518" s="34"/>
      <c r="AN1518" s="34"/>
      <c r="AO1518" s="34"/>
      <c r="AP1518" s="34"/>
      <c r="AQ1518" s="34"/>
      <c r="AR1518" s="34"/>
      <c r="AS1518" s="34"/>
      <c r="AT1518" s="34"/>
      <c r="AU1518" s="34"/>
      <c r="AV1518" s="34"/>
    </row>
    <row r="1519">
      <c r="A1519" s="34"/>
      <c r="B1519" s="34"/>
      <c r="C1519" s="34"/>
      <c r="D1519" s="34"/>
      <c r="E1519" s="34"/>
      <c r="F1519" s="34"/>
      <c r="G1519" s="34"/>
      <c r="H1519" s="34"/>
      <c r="I1519" s="34"/>
      <c r="J1519" s="34"/>
      <c r="K1519" s="34"/>
      <c r="L1519" s="34"/>
      <c r="M1519" s="34"/>
      <c r="N1519" s="34"/>
      <c r="O1519" s="34"/>
      <c r="P1519" s="34"/>
      <c r="Q1519" s="34"/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  <c r="AJ1519" s="34"/>
      <c r="AK1519" s="34"/>
      <c r="AL1519" s="34"/>
      <c r="AM1519" s="34"/>
      <c r="AN1519" s="34"/>
      <c r="AO1519" s="34"/>
      <c r="AP1519" s="34"/>
      <c r="AQ1519" s="34"/>
      <c r="AR1519" s="34"/>
      <c r="AS1519" s="34"/>
      <c r="AT1519" s="34"/>
      <c r="AU1519" s="34"/>
      <c r="AV1519" s="34"/>
    </row>
    <row r="1520">
      <c r="A1520" s="34"/>
      <c r="B1520" s="34"/>
      <c r="C1520" s="34"/>
      <c r="D1520" s="34"/>
      <c r="E1520" s="34"/>
      <c r="F1520" s="34"/>
      <c r="G1520" s="34"/>
      <c r="H1520" s="34"/>
      <c r="I1520" s="34"/>
      <c r="J1520" s="34"/>
      <c r="K1520" s="34"/>
      <c r="L1520" s="34"/>
      <c r="M1520" s="34"/>
      <c r="N1520" s="34"/>
      <c r="O1520" s="34"/>
      <c r="P1520" s="34"/>
      <c r="Q1520" s="34"/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  <c r="AJ1520" s="34"/>
      <c r="AK1520" s="34"/>
      <c r="AL1520" s="34"/>
      <c r="AM1520" s="34"/>
      <c r="AN1520" s="34"/>
      <c r="AO1520" s="34"/>
      <c r="AP1520" s="34"/>
      <c r="AQ1520" s="34"/>
      <c r="AR1520" s="34"/>
      <c r="AS1520" s="34"/>
      <c r="AT1520" s="34"/>
      <c r="AU1520" s="34"/>
      <c r="AV1520" s="34"/>
    </row>
    <row r="1521">
      <c r="A1521" s="34"/>
      <c r="B1521" s="34"/>
      <c r="C1521" s="34"/>
      <c r="D1521" s="34"/>
      <c r="E1521" s="34"/>
      <c r="F1521" s="34"/>
      <c r="G1521" s="34"/>
      <c r="H1521" s="34"/>
      <c r="I1521" s="34"/>
      <c r="J1521" s="34"/>
      <c r="K1521" s="34"/>
      <c r="L1521" s="34"/>
      <c r="M1521" s="34"/>
      <c r="N1521" s="34"/>
      <c r="O1521" s="34"/>
      <c r="P1521" s="34"/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  <c r="AE1521" s="34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34"/>
      <c r="AP1521" s="34"/>
      <c r="AQ1521" s="34"/>
      <c r="AR1521" s="34"/>
      <c r="AS1521" s="34"/>
      <c r="AT1521" s="34"/>
      <c r="AU1521" s="34"/>
      <c r="AV1521" s="34"/>
    </row>
    <row r="1522">
      <c r="A1522" s="34"/>
      <c r="B1522" s="34"/>
      <c r="C1522" s="34"/>
      <c r="D1522" s="34"/>
      <c r="E1522" s="34"/>
      <c r="F1522" s="34"/>
      <c r="G1522" s="34"/>
      <c r="H1522" s="34"/>
      <c r="I1522" s="34"/>
      <c r="J1522" s="34"/>
      <c r="K1522" s="34"/>
      <c r="L1522" s="34"/>
      <c r="M1522" s="34"/>
      <c r="N1522" s="34"/>
      <c r="O1522" s="34"/>
      <c r="P1522" s="34"/>
      <c r="Q1522" s="34"/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34"/>
      <c r="AP1522" s="34"/>
      <c r="AQ1522" s="34"/>
      <c r="AR1522" s="34"/>
      <c r="AS1522" s="34"/>
      <c r="AT1522" s="34"/>
      <c r="AU1522" s="34"/>
      <c r="AV1522" s="34"/>
    </row>
    <row r="1523">
      <c r="A1523" s="34"/>
      <c r="B1523" s="34"/>
      <c r="C1523" s="34"/>
      <c r="D1523" s="34"/>
      <c r="E1523" s="34"/>
      <c r="F1523" s="34"/>
      <c r="G1523" s="34"/>
      <c r="H1523" s="34"/>
      <c r="I1523" s="34"/>
      <c r="J1523" s="34"/>
      <c r="K1523" s="34"/>
      <c r="L1523" s="34"/>
      <c r="M1523" s="34"/>
      <c r="N1523" s="34"/>
      <c r="O1523" s="34"/>
      <c r="P1523" s="34"/>
      <c r="Q1523" s="34"/>
      <c r="R1523" s="3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  <c r="AE1523" s="34"/>
      <c r="AF1523" s="34"/>
      <c r="AG1523" s="34"/>
      <c r="AH1523" s="34"/>
      <c r="AI1523" s="34"/>
      <c r="AJ1523" s="34"/>
      <c r="AK1523" s="34"/>
      <c r="AL1523" s="34"/>
      <c r="AM1523" s="34"/>
      <c r="AN1523" s="34"/>
      <c r="AO1523" s="34"/>
      <c r="AP1523" s="34"/>
      <c r="AQ1523" s="34"/>
      <c r="AR1523" s="34"/>
      <c r="AS1523" s="34"/>
      <c r="AT1523" s="34"/>
      <c r="AU1523" s="34"/>
      <c r="AV1523" s="34"/>
    </row>
    <row r="1524">
      <c r="A1524" s="34"/>
      <c r="B1524" s="34"/>
      <c r="C1524" s="34"/>
      <c r="D1524" s="34"/>
      <c r="E1524" s="34"/>
      <c r="F1524" s="34"/>
      <c r="G1524" s="34"/>
      <c r="H1524" s="34"/>
      <c r="I1524" s="34"/>
      <c r="J1524" s="34"/>
      <c r="K1524" s="34"/>
      <c r="L1524" s="34"/>
      <c r="M1524" s="34"/>
      <c r="N1524" s="34"/>
      <c r="O1524" s="34"/>
      <c r="P1524" s="34"/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4"/>
      <c r="AQ1524" s="34"/>
      <c r="AR1524" s="34"/>
      <c r="AS1524" s="34"/>
      <c r="AT1524" s="34"/>
      <c r="AU1524" s="34"/>
      <c r="AV1524" s="34"/>
    </row>
    <row r="1525">
      <c r="A1525" s="34"/>
      <c r="B1525" s="34"/>
      <c r="C1525" s="34"/>
      <c r="D1525" s="34"/>
      <c r="E1525" s="34"/>
      <c r="F1525" s="34"/>
      <c r="G1525" s="34"/>
      <c r="H1525" s="34"/>
      <c r="I1525" s="34"/>
      <c r="J1525" s="34"/>
      <c r="K1525" s="34"/>
      <c r="L1525" s="34"/>
      <c r="M1525" s="34"/>
      <c r="N1525" s="34"/>
      <c r="O1525" s="34"/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  <c r="AI1525" s="34"/>
      <c r="AJ1525" s="34"/>
      <c r="AK1525" s="34"/>
      <c r="AL1525" s="34"/>
      <c r="AM1525" s="34"/>
      <c r="AN1525" s="34"/>
      <c r="AO1525" s="34"/>
      <c r="AP1525" s="34"/>
      <c r="AQ1525" s="34"/>
      <c r="AR1525" s="34"/>
      <c r="AS1525" s="34"/>
      <c r="AT1525" s="34"/>
      <c r="AU1525" s="34"/>
      <c r="AV1525" s="34"/>
    </row>
    <row r="1526">
      <c r="A1526" s="34"/>
      <c r="B1526" s="34"/>
      <c r="C1526" s="34"/>
      <c r="D1526" s="34"/>
      <c r="E1526" s="34"/>
      <c r="F1526" s="34"/>
      <c r="G1526" s="34"/>
      <c r="H1526" s="34"/>
      <c r="I1526" s="34"/>
      <c r="J1526" s="34"/>
      <c r="K1526" s="34"/>
      <c r="L1526" s="34"/>
      <c r="M1526" s="34"/>
      <c r="N1526" s="34"/>
      <c r="O1526" s="34"/>
      <c r="P1526" s="34"/>
      <c r="Q1526" s="34"/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  <c r="AJ1526" s="34"/>
      <c r="AK1526" s="34"/>
      <c r="AL1526" s="34"/>
      <c r="AM1526" s="34"/>
      <c r="AN1526" s="34"/>
      <c r="AO1526" s="34"/>
      <c r="AP1526" s="34"/>
      <c r="AQ1526" s="34"/>
      <c r="AR1526" s="34"/>
      <c r="AS1526" s="34"/>
      <c r="AT1526" s="34"/>
      <c r="AU1526" s="34"/>
      <c r="AV1526" s="34"/>
    </row>
    <row r="1527">
      <c r="A1527" s="34"/>
      <c r="B1527" s="34"/>
      <c r="C1527" s="34"/>
      <c r="D1527" s="34"/>
      <c r="E1527" s="34"/>
      <c r="F1527" s="34"/>
      <c r="G1527" s="34"/>
      <c r="H1527" s="34"/>
      <c r="I1527" s="34"/>
      <c r="J1527" s="34"/>
      <c r="K1527" s="34"/>
      <c r="L1527" s="34"/>
      <c r="M1527" s="34"/>
      <c r="N1527" s="34"/>
      <c r="O1527" s="34"/>
      <c r="P1527" s="34"/>
      <c r="Q1527" s="34"/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  <c r="AJ1527" s="34"/>
      <c r="AK1527" s="34"/>
      <c r="AL1527" s="34"/>
      <c r="AM1527" s="34"/>
      <c r="AN1527" s="34"/>
      <c r="AO1527" s="34"/>
      <c r="AP1527" s="34"/>
      <c r="AQ1527" s="34"/>
      <c r="AR1527" s="34"/>
      <c r="AS1527" s="34"/>
      <c r="AT1527" s="34"/>
      <c r="AU1527" s="34"/>
      <c r="AV1527" s="34"/>
    </row>
    <row r="1528">
      <c r="A1528" s="34"/>
      <c r="B1528" s="34"/>
      <c r="C1528" s="34"/>
      <c r="D1528" s="34"/>
      <c r="E1528" s="34"/>
      <c r="F1528" s="34"/>
      <c r="G1528" s="34"/>
      <c r="H1528" s="34"/>
      <c r="I1528" s="34"/>
      <c r="J1528" s="34"/>
      <c r="K1528" s="34"/>
      <c r="L1528" s="34"/>
      <c r="M1528" s="34"/>
      <c r="N1528" s="34"/>
      <c r="O1528" s="34"/>
      <c r="P1528" s="34"/>
      <c r="Q1528" s="34"/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  <c r="AJ1528" s="34"/>
      <c r="AK1528" s="34"/>
      <c r="AL1528" s="34"/>
      <c r="AM1528" s="34"/>
      <c r="AN1528" s="34"/>
      <c r="AO1528" s="34"/>
      <c r="AP1528" s="34"/>
      <c r="AQ1528" s="34"/>
      <c r="AR1528" s="34"/>
      <c r="AS1528" s="34"/>
      <c r="AT1528" s="34"/>
      <c r="AU1528" s="34"/>
      <c r="AV1528" s="34"/>
    </row>
    <row r="1529">
      <c r="A1529" s="34"/>
      <c r="B1529" s="34"/>
      <c r="C1529" s="34"/>
      <c r="D1529" s="34"/>
      <c r="E1529" s="34"/>
      <c r="F1529" s="34"/>
      <c r="G1529" s="34"/>
      <c r="H1529" s="34"/>
      <c r="I1529" s="34"/>
      <c r="J1529" s="34"/>
      <c r="K1529" s="34"/>
      <c r="L1529" s="34"/>
      <c r="M1529" s="34"/>
      <c r="N1529" s="34"/>
      <c r="O1529" s="34"/>
      <c r="P1529" s="34"/>
      <c r="Q1529" s="34"/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  <c r="AJ1529" s="34"/>
      <c r="AK1529" s="34"/>
      <c r="AL1529" s="34"/>
      <c r="AM1529" s="34"/>
      <c r="AN1529" s="34"/>
      <c r="AO1529" s="34"/>
      <c r="AP1529" s="34"/>
      <c r="AQ1529" s="34"/>
      <c r="AR1529" s="34"/>
      <c r="AS1529" s="34"/>
      <c r="AT1529" s="34"/>
      <c r="AU1529" s="34"/>
      <c r="AV1529" s="34"/>
    </row>
    <row r="1530">
      <c r="A1530" s="34"/>
      <c r="B1530" s="34"/>
      <c r="C1530" s="34"/>
      <c r="D1530" s="34"/>
      <c r="E1530" s="34"/>
      <c r="F1530" s="34"/>
      <c r="G1530" s="34"/>
      <c r="H1530" s="34"/>
      <c r="I1530" s="34"/>
      <c r="J1530" s="34"/>
      <c r="K1530" s="34"/>
      <c r="L1530" s="34"/>
      <c r="M1530" s="34"/>
      <c r="N1530" s="34"/>
      <c r="O1530" s="34"/>
      <c r="P1530" s="34"/>
      <c r="Q1530" s="34"/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  <c r="AJ1530" s="34"/>
      <c r="AK1530" s="34"/>
      <c r="AL1530" s="34"/>
      <c r="AM1530" s="34"/>
      <c r="AN1530" s="34"/>
      <c r="AO1530" s="34"/>
      <c r="AP1530" s="34"/>
      <c r="AQ1530" s="34"/>
      <c r="AR1530" s="34"/>
      <c r="AS1530" s="34"/>
      <c r="AT1530" s="34"/>
      <c r="AU1530" s="34"/>
      <c r="AV1530" s="34"/>
    </row>
    <row r="1531">
      <c r="A1531" s="34"/>
      <c r="B1531" s="34"/>
      <c r="C1531" s="34"/>
      <c r="D1531" s="34"/>
      <c r="E1531" s="34"/>
      <c r="F1531" s="34"/>
      <c r="G1531" s="34"/>
      <c r="H1531" s="34"/>
      <c r="I1531" s="34"/>
      <c r="J1531" s="34"/>
      <c r="K1531" s="34"/>
      <c r="L1531" s="34"/>
      <c r="M1531" s="34"/>
      <c r="N1531" s="34"/>
      <c r="O1531" s="34"/>
      <c r="P1531" s="34"/>
      <c r="Q1531" s="34"/>
      <c r="R1531" s="3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H1531" s="34"/>
      <c r="AI1531" s="34"/>
      <c r="AJ1531" s="34"/>
      <c r="AK1531" s="34"/>
      <c r="AL1531" s="34"/>
      <c r="AM1531" s="34"/>
      <c r="AN1531" s="34"/>
      <c r="AO1531" s="34"/>
      <c r="AP1531" s="34"/>
      <c r="AQ1531" s="34"/>
      <c r="AR1531" s="34"/>
      <c r="AS1531" s="34"/>
      <c r="AT1531" s="34"/>
      <c r="AU1531" s="34"/>
      <c r="AV1531" s="34"/>
    </row>
    <row r="1532">
      <c r="A1532" s="34"/>
      <c r="B1532" s="34"/>
      <c r="C1532" s="34"/>
      <c r="D1532" s="34"/>
      <c r="E1532" s="34"/>
      <c r="F1532" s="34"/>
      <c r="G1532" s="34"/>
      <c r="H1532" s="34"/>
      <c r="I1532" s="34"/>
      <c r="J1532" s="34"/>
      <c r="K1532" s="34"/>
      <c r="L1532" s="34"/>
      <c r="M1532" s="34"/>
      <c r="N1532" s="34"/>
      <c r="O1532" s="34"/>
      <c r="P1532" s="34"/>
      <c r="Q1532" s="34"/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H1532" s="34"/>
      <c r="AI1532" s="34"/>
      <c r="AJ1532" s="34"/>
      <c r="AK1532" s="34"/>
      <c r="AL1532" s="34"/>
      <c r="AM1532" s="34"/>
      <c r="AN1532" s="34"/>
      <c r="AO1532" s="34"/>
      <c r="AP1532" s="34"/>
      <c r="AQ1532" s="34"/>
      <c r="AR1532" s="34"/>
      <c r="AS1532" s="34"/>
      <c r="AT1532" s="34"/>
      <c r="AU1532" s="34"/>
      <c r="AV1532" s="34"/>
    </row>
    <row r="1533">
      <c r="A1533" s="34"/>
      <c r="B1533" s="34"/>
      <c r="C1533" s="34"/>
      <c r="D1533" s="34"/>
      <c r="E1533" s="34"/>
      <c r="F1533" s="34"/>
      <c r="G1533" s="34"/>
      <c r="H1533" s="34"/>
      <c r="I1533" s="34"/>
      <c r="J1533" s="34"/>
      <c r="K1533" s="34"/>
      <c r="L1533" s="34"/>
      <c r="M1533" s="34"/>
      <c r="N1533" s="34"/>
      <c r="O1533" s="34"/>
      <c r="P1533" s="34"/>
      <c r="Q1533" s="34"/>
      <c r="R1533" s="3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34"/>
      <c r="AP1533" s="34"/>
      <c r="AQ1533" s="34"/>
      <c r="AR1533" s="34"/>
      <c r="AS1533" s="34"/>
      <c r="AT1533" s="34"/>
      <c r="AU1533" s="34"/>
      <c r="AV1533" s="34"/>
    </row>
    <row r="1534">
      <c r="A1534" s="34"/>
      <c r="B1534" s="34"/>
      <c r="C1534" s="34"/>
      <c r="D1534" s="34"/>
      <c r="E1534" s="34"/>
      <c r="F1534" s="34"/>
      <c r="G1534" s="34"/>
      <c r="H1534" s="34"/>
      <c r="I1534" s="34"/>
      <c r="J1534" s="34"/>
      <c r="K1534" s="34"/>
      <c r="L1534" s="34"/>
      <c r="M1534" s="34"/>
      <c r="N1534" s="34"/>
      <c r="O1534" s="34"/>
      <c r="P1534" s="34"/>
      <c r="Q1534" s="34"/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  <c r="AJ1534" s="34"/>
      <c r="AK1534" s="34"/>
      <c r="AL1534" s="34"/>
      <c r="AM1534" s="34"/>
      <c r="AN1534" s="34"/>
      <c r="AO1534" s="34"/>
      <c r="AP1534" s="34"/>
      <c r="AQ1534" s="34"/>
      <c r="AR1534" s="34"/>
      <c r="AS1534" s="34"/>
      <c r="AT1534" s="34"/>
      <c r="AU1534" s="34"/>
      <c r="AV1534" s="34"/>
    </row>
    <row r="1535">
      <c r="A1535" s="34"/>
      <c r="B1535" s="34"/>
      <c r="C1535" s="34"/>
      <c r="D1535" s="34"/>
      <c r="E1535" s="34"/>
      <c r="F1535" s="34"/>
      <c r="G1535" s="34"/>
      <c r="H1535" s="34"/>
      <c r="I1535" s="34"/>
      <c r="J1535" s="34"/>
      <c r="K1535" s="34"/>
      <c r="L1535" s="34"/>
      <c r="M1535" s="34"/>
      <c r="N1535" s="34"/>
      <c r="O1535" s="34"/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H1535" s="34"/>
      <c r="AI1535" s="34"/>
      <c r="AJ1535" s="34"/>
      <c r="AK1535" s="34"/>
      <c r="AL1535" s="34"/>
      <c r="AM1535" s="34"/>
      <c r="AN1535" s="34"/>
      <c r="AO1535" s="34"/>
      <c r="AP1535" s="34"/>
      <c r="AQ1535" s="34"/>
      <c r="AR1535" s="34"/>
      <c r="AS1535" s="34"/>
      <c r="AT1535" s="34"/>
      <c r="AU1535" s="34"/>
      <c r="AV1535" s="34"/>
    </row>
    <row r="1536">
      <c r="A1536" s="34"/>
      <c r="B1536" s="34"/>
      <c r="C1536" s="34"/>
      <c r="D1536" s="34"/>
      <c r="E1536" s="34"/>
      <c r="F1536" s="34"/>
      <c r="G1536" s="34"/>
      <c r="H1536" s="34"/>
      <c r="I1536" s="34"/>
      <c r="J1536" s="34"/>
      <c r="K1536" s="34"/>
      <c r="L1536" s="34"/>
      <c r="M1536" s="34"/>
      <c r="N1536" s="34"/>
      <c r="O1536" s="34"/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H1536" s="34"/>
      <c r="AI1536" s="34"/>
      <c r="AJ1536" s="34"/>
      <c r="AK1536" s="34"/>
      <c r="AL1536" s="34"/>
      <c r="AM1536" s="34"/>
      <c r="AN1536" s="34"/>
      <c r="AO1536" s="34"/>
      <c r="AP1536" s="34"/>
      <c r="AQ1536" s="34"/>
      <c r="AR1536" s="34"/>
      <c r="AS1536" s="34"/>
      <c r="AT1536" s="34"/>
      <c r="AU1536" s="34"/>
      <c r="AV1536" s="34"/>
    </row>
    <row r="1537">
      <c r="A1537" s="34"/>
      <c r="B1537" s="34"/>
      <c r="C1537" s="34"/>
      <c r="D1537" s="34"/>
      <c r="E1537" s="34"/>
      <c r="F1537" s="34"/>
      <c r="G1537" s="34"/>
      <c r="H1537" s="34"/>
      <c r="I1537" s="34"/>
      <c r="J1537" s="34"/>
      <c r="K1537" s="34"/>
      <c r="L1537" s="34"/>
      <c r="M1537" s="34"/>
      <c r="N1537" s="34"/>
      <c r="O1537" s="34"/>
      <c r="P1537" s="34"/>
      <c r="Q1537" s="34"/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H1537" s="34"/>
      <c r="AI1537" s="34"/>
      <c r="AJ1537" s="34"/>
      <c r="AK1537" s="34"/>
      <c r="AL1537" s="34"/>
      <c r="AM1537" s="34"/>
      <c r="AN1537" s="34"/>
      <c r="AO1537" s="34"/>
      <c r="AP1537" s="34"/>
      <c r="AQ1537" s="34"/>
      <c r="AR1537" s="34"/>
      <c r="AS1537" s="34"/>
      <c r="AT1537" s="34"/>
      <c r="AU1537" s="34"/>
      <c r="AV1537" s="34"/>
    </row>
    <row r="1538">
      <c r="A1538" s="34"/>
      <c r="B1538" s="34"/>
      <c r="C1538" s="34"/>
      <c r="D1538" s="34"/>
      <c r="E1538" s="34"/>
      <c r="F1538" s="34"/>
      <c r="G1538" s="34"/>
      <c r="H1538" s="34"/>
      <c r="I1538" s="34"/>
      <c r="J1538" s="34"/>
      <c r="K1538" s="34"/>
      <c r="L1538" s="34"/>
      <c r="M1538" s="34"/>
      <c r="N1538" s="34"/>
      <c r="O1538" s="34"/>
      <c r="P1538" s="34"/>
      <c r="Q1538" s="34"/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4"/>
      <c r="AQ1538" s="34"/>
      <c r="AR1538" s="34"/>
      <c r="AS1538" s="34"/>
      <c r="AT1538" s="34"/>
      <c r="AU1538" s="34"/>
      <c r="AV1538" s="34"/>
    </row>
    <row r="1539">
      <c r="A1539" s="34"/>
      <c r="B1539" s="34"/>
      <c r="C1539" s="34"/>
      <c r="D1539" s="34"/>
      <c r="E1539" s="34"/>
      <c r="F1539" s="34"/>
      <c r="G1539" s="34"/>
      <c r="H1539" s="34"/>
      <c r="I1539" s="34"/>
      <c r="J1539" s="34"/>
      <c r="K1539" s="34"/>
      <c r="L1539" s="34"/>
      <c r="M1539" s="34"/>
      <c r="N1539" s="34"/>
      <c r="O1539" s="34"/>
      <c r="P1539" s="34"/>
      <c r="Q1539" s="34"/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  <c r="AE1539" s="34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34"/>
      <c r="AP1539" s="34"/>
      <c r="AQ1539" s="34"/>
      <c r="AR1539" s="34"/>
      <c r="AS1539" s="34"/>
      <c r="AT1539" s="34"/>
      <c r="AU1539" s="34"/>
      <c r="AV1539" s="34"/>
    </row>
    <row r="1540">
      <c r="A1540" s="34"/>
      <c r="B1540" s="34"/>
      <c r="C1540" s="34"/>
      <c r="D1540" s="34"/>
      <c r="E1540" s="34"/>
      <c r="F1540" s="34"/>
      <c r="G1540" s="34"/>
      <c r="H1540" s="34"/>
      <c r="I1540" s="34"/>
      <c r="J1540" s="34"/>
      <c r="K1540" s="34"/>
      <c r="L1540" s="34"/>
      <c r="M1540" s="34"/>
      <c r="N1540" s="34"/>
      <c r="O1540" s="34"/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  <c r="AF1540" s="34"/>
      <c r="AG1540" s="34"/>
      <c r="AH1540" s="34"/>
      <c r="AI1540" s="34"/>
      <c r="AJ1540" s="34"/>
      <c r="AK1540" s="34"/>
      <c r="AL1540" s="34"/>
      <c r="AM1540" s="34"/>
      <c r="AN1540" s="34"/>
      <c r="AO1540" s="34"/>
      <c r="AP1540" s="34"/>
      <c r="AQ1540" s="34"/>
      <c r="AR1540" s="34"/>
      <c r="AS1540" s="34"/>
      <c r="AT1540" s="34"/>
      <c r="AU1540" s="34"/>
      <c r="AV1540" s="34"/>
    </row>
    <row r="1541">
      <c r="A1541" s="34"/>
      <c r="B1541" s="34"/>
      <c r="C1541" s="34"/>
      <c r="D1541" s="34"/>
      <c r="E1541" s="34"/>
      <c r="F1541" s="34"/>
      <c r="G1541" s="34"/>
      <c r="H1541" s="34"/>
      <c r="I1541" s="34"/>
      <c r="J1541" s="34"/>
      <c r="K1541" s="34"/>
      <c r="L1541" s="34"/>
      <c r="M1541" s="34"/>
      <c r="N1541" s="34"/>
      <c r="O1541" s="34"/>
      <c r="P1541" s="34"/>
      <c r="Q1541" s="34"/>
      <c r="R1541" s="3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H1541" s="34"/>
      <c r="AI1541" s="34"/>
      <c r="AJ1541" s="34"/>
      <c r="AK1541" s="34"/>
      <c r="AL1541" s="34"/>
      <c r="AM1541" s="34"/>
      <c r="AN1541" s="34"/>
      <c r="AO1541" s="34"/>
      <c r="AP1541" s="34"/>
      <c r="AQ1541" s="34"/>
      <c r="AR1541" s="34"/>
      <c r="AS1541" s="34"/>
      <c r="AT1541" s="34"/>
      <c r="AU1541" s="34"/>
      <c r="AV1541" s="34"/>
    </row>
    <row r="1542">
      <c r="A1542" s="34"/>
      <c r="B1542" s="34"/>
      <c r="C1542" s="34"/>
      <c r="D1542" s="34"/>
      <c r="E1542" s="34"/>
      <c r="F1542" s="34"/>
      <c r="G1542" s="34"/>
      <c r="H1542" s="34"/>
      <c r="I1542" s="34"/>
      <c r="J1542" s="34"/>
      <c r="K1542" s="34"/>
      <c r="L1542" s="34"/>
      <c r="M1542" s="34"/>
      <c r="N1542" s="34"/>
      <c r="O1542" s="34"/>
      <c r="P1542" s="34"/>
      <c r="Q1542" s="34"/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H1542" s="34"/>
      <c r="AI1542" s="34"/>
      <c r="AJ1542" s="34"/>
      <c r="AK1542" s="34"/>
      <c r="AL1542" s="34"/>
      <c r="AM1542" s="34"/>
      <c r="AN1542" s="34"/>
      <c r="AO1542" s="34"/>
      <c r="AP1542" s="34"/>
      <c r="AQ1542" s="34"/>
      <c r="AR1542" s="34"/>
      <c r="AS1542" s="34"/>
      <c r="AT1542" s="34"/>
      <c r="AU1542" s="34"/>
      <c r="AV1542" s="34"/>
    </row>
    <row r="1543">
      <c r="A1543" s="34"/>
      <c r="B1543" s="34"/>
      <c r="C1543" s="34"/>
      <c r="D1543" s="34"/>
      <c r="E1543" s="34"/>
      <c r="F1543" s="34"/>
      <c r="G1543" s="34"/>
      <c r="H1543" s="34"/>
      <c r="I1543" s="34"/>
      <c r="J1543" s="34"/>
      <c r="K1543" s="34"/>
      <c r="L1543" s="34"/>
      <c r="M1543" s="34"/>
      <c r="N1543" s="34"/>
      <c r="O1543" s="34"/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34"/>
      <c r="AP1543" s="34"/>
      <c r="AQ1543" s="34"/>
      <c r="AR1543" s="34"/>
      <c r="AS1543" s="34"/>
      <c r="AT1543" s="34"/>
      <c r="AU1543" s="34"/>
      <c r="AV1543" s="34"/>
    </row>
    <row r="1544">
      <c r="A1544" s="34"/>
      <c r="B1544" s="34"/>
      <c r="C1544" s="34"/>
      <c r="D1544" s="34"/>
      <c r="E1544" s="34"/>
      <c r="F1544" s="34"/>
      <c r="G1544" s="34"/>
      <c r="H1544" s="34"/>
      <c r="I1544" s="34"/>
      <c r="J1544" s="34"/>
      <c r="K1544" s="34"/>
      <c r="L1544" s="34"/>
      <c r="M1544" s="34"/>
      <c r="N1544" s="34"/>
      <c r="O1544" s="34"/>
      <c r="P1544" s="34"/>
      <c r="Q1544" s="34"/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  <c r="AJ1544" s="34"/>
      <c r="AK1544" s="34"/>
      <c r="AL1544" s="34"/>
      <c r="AM1544" s="34"/>
      <c r="AN1544" s="34"/>
      <c r="AO1544" s="34"/>
      <c r="AP1544" s="34"/>
      <c r="AQ1544" s="34"/>
      <c r="AR1544" s="34"/>
      <c r="AS1544" s="34"/>
      <c r="AT1544" s="34"/>
      <c r="AU1544" s="34"/>
      <c r="AV1544" s="34"/>
    </row>
    <row r="1545">
      <c r="A1545" s="34"/>
      <c r="B1545" s="34"/>
      <c r="C1545" s="34"/>
      <c r="D1545" s="34"/>
      <c r="E1545" s="34"/>
      <c r="F1545" s="34"/>
      <c r="G1545" s="34"/>
      <c r="H1545" s="34"/>
      <c r="I1545" s="34"/>
      <c r="J1545" s="34"/>
      <c r="K1545" s="34"/>
      <c r="L1545" s="34"/>
      <c r="M1545" s="34"/>
      <c r="N1545" s="34"/>
      <c r="O1545" s="34"/>
      <c r="P1545" s="34"/>
      <c r="Q1545" s="34"/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  <c r="AJ1545" s="34"/>
      <c r="AK1545" s="34"/>
      <c r="AL1545" s="34"/>
      <c r="AM1545" s="34"/>
      <c r="AN1545" s="34"/>
      <c r="AO1545" s="34"/>
      <c r="AP1545" s="34"/>
      <c r="AQ1545" s="34"/>
      <c r="AR1545" s="34"/>
      <c r="AS1545" s="34"/>
      <c r="AT1545" s="34"/>
      <c r="AU1545" s="34"/>
      <c r="AV1545" s="34"/>
    </row>
    <row r="1546">
      <c r="A1546" s="34"/>
      <c r="B1546" s="34"/>
      <c r="C1546" s="34"/>
      <c r="D1546" s="34"/>
      <c r="E1546" s="34"/>
      <c r="F1546" s="34"/>
      <c r="G1546" s="34"/>
      <c r="H1546" s="34"/>
      <c r="I1546" s="34"/>
      <c r="J1546" s="34"/>
      <c r="K1546" s="34"/>
      <c r="L1546" s="34"/>
      <c r="M1546" s="34"/>
      <c r="N1546" s="34"/>
      <c r="O1546" s="34"/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34"/>
      <c r="AR1546" s="34"/>
      <c r="AS1546" s="34"/>
      <c r="AT1546" s="34"/>
      <c r="AU1546" s="34"/>
      <c r="AV1546" s="34"/>
    </row>
    <row r="1547">
      <c r="A1547" s="34"/>
      <c r="B1547" s="34"/>
      <c r="C1547" s="34"/>
      <c r="D1547" s="34"/>
      <c r="E1547" s="34"/>
      <c r="F1547" s="34"/>
      <c r="G1547" s="34"/>
      <c r="H1547" s="34"/>
      <c r="I1547" s="34"/>
      <c r="J1547" s="34"/>
      <c r="K1547" s="34"/>
      <c r="L1547" s="34"/>
      <c r="M1547" s="34"/>
      <c r="N1547" s="34"/>
      <c r="O1547" s="34"/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4"/>
      <c r="AM1547" s="34"/>
      <c r="AN1547" s="34"/>
      <c r="AO1547" s="34"/>
      <c r="AP1547" s="34"/>
      <c r="AQ1547" s="34"/>
      <c r="AR1547" s="34"/>
      <c r="AS1547" s="34"/>
      <c r="AT1547" s="34"/>
      <c r="AU1547" s="34"/>
      <c r="AV1547" s="34"/>
    </row>
    <row r="1548">
      <c r="A1548" s="34"/>
      <c r="B1548" s="34"/>
      <c r="C1548" s="34"/>
      <c r="D1548" s="34"/>
      <c r="E1548" s="34"/>
      <c r="F1548" s="34"/>
      <c r="G1548" s="34"/>
      <c r="H1548" s="34"/>
      <c r="I1548" s="34"/>
      <c r="J1548" s="34"/>
      <c r="K1548" s="34"/>
      <c r="L1548" s="34"/>
      <c r="M1548" s="34"/>
      <c r="N1548" s="34"/>
      <c r="O1548" s="34"/>
      <c r="P1548" s="34"/>
      <c r="Q1548" s="34"/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  <c r="AF1548" s="34"/>
      <c r="AG1548" s="34"/>
      <c r="AH1548" s="34"/>
      <c r="AI1548" s="34"/>
      <c r="AJ1548" s="34"/>
      <c r="AK1548" s="34"/>
      <c r="AL1548" s="34"/>
      <c r="AM1548" s="34"/>
      <c r="AN1548" s="34"/>
      <c r="AO1548" s="34"/>
      <c r="AP1548" s="34"/>
      <c r="AQ1548" s="34"/>
      <c r="AR1548" s="34"/>
      <c r="AS1548" s="34"/>
      <c r="AT1548" s="34"/>
      <c r="AU1548" s="34"/>
      <c r="AV1548" s="34"/>
    </row>
    <row r="1549">
      <c r="A1549" s="34"/>
      <c r="B1549" s="34"/>
      <c r="C1549" s="34"/>
      <c r="D1549" s="34"/>
      <c r="E1549" s="34"/>
      <c r="F1549" s="34"/>
      <c r="G1549" s="34"/>
      <c r="H1549" s="34"/>
      <c r="I1549" s="34"/>
      <c r="J1549" s="34"/>
      <c r="K1549" s="34"/>
      <c r="L1549" s="34"/>
      <c r="M1549" s="34"/>
      <c r="N1549" s="34"/>
      <c r="O1549" s="34"/>
      <c r="P1549" s="34"/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  <c r="AE1549" s="34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34"/>
      <c r="AP1549" s="34"/>
      <c r="AQ1549" s="34"/>
      <c r="AR1549" s="34"/>
      <c r="AS1549" s="34"/>
      <c r="AT1549" s="34"/>
      <c r="AU1549" s="34"/>
      <c r="AV1549" s="34"/>
    </row>
    <row r="1550">
      <c r="A1550" s="34"/>
      <c r="B1550" s="34"/>
      <c r="C1550" s="34"/>
      <c r="D1550" s="34"/>
      <c r="E1550" s="34"/>
      <c r="F1550" s="34"/>
      <c r="G1550" s="34"/>
      <c r="H1550" s="34"/>
      <c r="I1550" s="34"/>
      <c r="J1550" s="34"/>
      <c r="K1550" s="34"/>
      <c r="L1550" s="34"/>
      <c r="M1550" s="34"/>
      <c r="N1550" s="34"/>
      <c r="O1550" s="34"/>
      <c r="P1550" s="34"/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  <c r="AJ1550" s="34"/>
      <c r="AK1550" s="34"/>
      <c r="AL1550" s="34"/>
      <c r="AM1550" s="34"/>
      <c r="AN1550" s="34"/>
      <c r="AO1550" s="34"/>
      <c r="AP1550" s="34"/>
      <c r="AQ1550" s="34"/>
      <c r="AR1550" s="34"/>
      <c r="AS1550" s="34"/>
      <c r="AT1550" s="34"/>
      <c r="AU1550" s="34"/>
      <c r="AV1550" s="34"/>
    </row>
    <row r="1551">
      <c r="A1551" s="34"/>
      <c r="B1551" s="34"/>
      <c r="C1551" s="34"/>
      <c r="D1551" s="34"/>
      <c r="E1551" s="34"/>
      <c r="F1551" s="34"/>
      <c r="G1551" s="34"/>
      <c r="H1551" s="34"/>
      <c r="I1551" s="34"/>
      <c r="J1551" s="34"/>
      <c r="K1551" s="34"/>
      <c r="L1551" s="34"/>
      <c r="M1551" s="34"/>
      <c r="N1551" s="34"/>
      <c r="O1551" s="34"/>
      <c r="P1551" s="34"/>
      <c r="Q1551" s="34"/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34"/>
      <c r="AP1551" s="34"/>
      <c r="AQ1551" s="34"/>
      <c r="AR1551" s="34"/>
      <c r="AS1551" s="34"/>
      <c r="AT1551" s="34"/>
      <c r="AU1551" s="34"/>
      <c r="AV1551" s="34"/>
    </row>
    <row r="1552">
      <c r="A1552" s="34"/>
      <c r="B1552" s="34"/>
      <c r="C1552" s="34"/>
      <c r="D1552" s="34"/>
      <c r="E1552" s="34"/>
      <c r="F1552" s="34"/>
      <c r="G1552" s="34"/>
      <c r="H1552" s="34"/>
      <c r="I1552" s="34"/>
      <c r="J1552" s="34"/>
      <c r="K1552" s="34"/>
      <c r="L1552" s="34"/>
      <c r="M1552" s="34"/>
      <c r="N1552" s="34"/>
      <c r="O1552" s="34"/>
      <c r="P1552" s="34"/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4"/>
      <c r="AQ1552" s="34"/>
      <c r="AR1552" s="34"/>
      <c r="AS1552" s="34"/>
      <c r="AT1552" s="34"/>
      <c r="AU1552" s="34"/>
      <c r="AV1552" s="34"/>
    </row>
    <row r="1553">
      <c r="A1553" s="34"/>
      <c r="B1553" s="34"/>
      <c r="C1553" s="34"/>
      <c r="D1553" s="34"/>
      <c r="E1553" s="34"/>
      <c r="F1553" s="34"/>
      <c r="G1553" s="34"/>
      <c r="H1553" s="34"/>
      <c r="I1553" s="34"/>
      <c r="J1553" s="34"/>
      <c r="K1553" s="34"/>
      <c r="L1553" s="34"/>
      <c r="M1553" s="34"/>
      <c r="N1553" s="34"/>
      <c r="O1553" s="34"/>
      <c r="P1553" s="34"/>
      <c r="Q1553" s="34"/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H1553" s="34"/>
      <c r="AI1553" s="34"/>
      <c r="AJ1553" s="34"/>
      <c r="AK1553" s="34"/>
      <c r="AL1553" s="34"/>
      <c r="AM1553" s="34"/>
      <c r="AN1553" s="34"/>
      <c r="AO1553" s="34"/>
      <c r="AP1553" s="34"/>
      <c r="AQ1553" s="34"/>
      <c r="AR1553" s="34"/>
      <c r="AS1553" s="34"/>
      <c r="AT1553" s="34"/>
      <c r="AU1553" s="34"/>
      <c r="AV1553" s="34"/>
    </row>
    <row r="1554">
      <c r="A1554" s="34"/>
      <c r="B1554" s="34"/>
      <c r="C1554" s="34"/>
      <c r="D1554" s="34"/>
      <c r="E1554" s="34"/>
      <c r="F1554" s="34"/>
      <c r="G1554" s="34"/>
      <c r="H1554" s="34"/>
      <c r="I1554" s="34"/>
      <c r="J1554" s="34"/>
      <c r="K1554" s="34"/>
      <c r="L1554" s="34"/>
      <c r="M1554" s="34"/>
      <c r="N1554" s="34"/>
      <c r="O1554" s="34"/>
      <c r="P1554" s="34"/>
      <c r="Q1554" s="34"/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H1554" s="34"/>
      <c r="AI1554" s="34"/>
      <c r="AJ1554" s="34"/>
      <c r="AK1554" s="34"/>
      <c r="AL1554" s="34"/>
      <c r="AM1554" s="34"/>
      <c r="AN1554" s="34"/>
      <c r="AO1554" s="34"/>
      <c r="AP1554" s="34"/>
      <c r="AQ1554" s="34"/>
      <c r="AR1554" s="34"/>
      <c r="AS1554" s="34"/>
      <c r="AT1554" s="34"/>
      <c r="AU1554" s="34"/>
      <c r="AV1554" s="34"/>
    </row>
    <row r="1555">
      <c r="A1555" s="34"/>
      <c r="B1555" s="34"/>
      <c r="C1555" s="34"/>
      <c r="D1555" s="34"/>
      <c r="E1555" s="34"/>
      <c r="F1555" s="34"/>
      <c r="G1555" s="34"/>
      <c r="H1555" s="34"/>
      <c r="I1555" s="34"/>
      <c r="J1555" s="34"/>
      <c r="K1555" s="34"/>
      <c r="L1555" s="34"/>
      <c r="M1555" s="34"/>
      <c r="N1555" s="34"/>
      <c r="O1555" s="34"/>
      <c r="P1555" s="34"/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  <c r="AJ1555" s="34"/>
      <c r="AK1555" s="34"/>
      <c r="AL1555" s="34"/>
      <c r="AM1555" s="34"/>
      <c r="AN1555" s="34"/>
      <c r="AO1555" s="34"/>
      <c r="AP1555" s="34"/>
      <c r="AQ1555" s="34"/>
      <c r="AR1555" s="34"/>
      <c r="AS1555" s="34"/>
      <c r="AT1555" s="34"/>
      <c r="AU1555" s="34"/>
      <c r="AV1555" s="34"/>
    </row>
    <row r="1556">
      <c r="A1556" s="34"/>
      <c r="B1556" s="34"/>
      <c r="C1556" s="34"/>
      <c r="D1556" s="34"/>
      <c r="E1556" s="34"/>
      <c r="F1556" s="34"/>
      <c r="G1556" s="34"/>
      <c r="H1556" s="34"/>
      <c r="I1556" s="34"/>
      <c r="J1556" s="34"/>
      <c r="K1556" s="34"/>
      <c r="L1556" s="34"/>
      <c r="M1556" s="34"/>
      <c r="N1556" s="34"/>
      <c r="O1556" s="34"/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34"/>
      <c r="AP1556" s="34"/>
      <c r="AQ1556" s="34"/>
      <c r="AR1556" s="34"/>
      <c r="AS1556" s="34"/>
      <c r="AT1556" s="34"/>
      <c r="AU1556" s="34"/>
      <c r="AV1556" s="34"/>
    </row>
    <row r="1557">
      <c r="A1557" s="34"/>
      <c r="B1557" s="34"/>
      <c r="C1557" s="34"/>
      <c r="D1557" s="34"/>
      <c r="E1557" s="34"/>
      <c r="F1557" s="34"/>
      <c r="G1557" s="34"/>
      <c r="H1557" s="34"/>
      <c r="I1557" s="34"/>
      <c r="J1557" s="34"/>
      <c r="K1557" s="34"/>
      <c r="L1557" s="34"/>
      <c r="M1557" s="34"/>
      <c r="N1557" s="34"/>
      <c r="O1557" s="34"/>
      <c r="P1557" s="34"/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  <c r="AJ1557" s="34"/>
      <c r="AK1557" s="34"/>
      <c r="AL1557" s="34"/>
      <c r="AM1557" s="34"/>
      <c r="AN1557" s="34"/>
      <c r="AO1557" s="34"/>
      <c r="AP1557" s="34"/>
      <c r="AQ1557" s="34"/>
      <c r="AR1557" s="34"/>
      <c r="AS1557" s="34"/>
      <c r="AT1557" s="34"/>
      <c r="AU1557" s="34"/>
      <c r="AV1557" s="34"/>
    </row>
    <row r="1558">
      <c r="A1558" s="34"/>
      <c r="B1558" s="34"/>
      <c r="C1558" s="34"/>
      <c r="D1558" s="34"/>
      <c r="E1558" s="34"/>
      <c r="F1558" s="34"/>
      <c r="G1558" s="34"/>
      <c r="H1558" s="34"/>
      <c r="I1558" s="34"/>
      <c r="J1558" s="34"/>
      <c r="K1558" s="34"/>
      <c r="L1558" s="34"/>
      <c r="M1558" s="34"/>
      <c r="N1558" s="34"/>
      <c r="O1558" s="34"/>
      <c r="P1558" s="34"/>
      <c r="Q1558" s="34"/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34"/>
      <c r="AP1558" s="34"/>
      <c r="AQ1558" s="34"/>
      <c r="AR1558" s="34"/>
      <c r="AS1558" s="34"/>
      <c r="AT1558" s="34"/>
      <c r="AU1558" s="34"/>
      <c r="AV1558" s="34"/>
    </row>
    <row r="1559">
      <c r="A1559" s="34"/>
      <c r="B1559" s="34"/>
      <c r="C1559" s="34"/>
      <c r="D1559" s="34"/>
      <c r="E1559" s="34"/>
      <c r="F1559" s="34"/>
      <c r="G1559" s="34"/>
      <c r="H1559" s="34"/>
      <c r="I1559" s="34"/>
      <c r="J1559" s="34"/>
      <c r="K1559" s="34"/>
      <c r="L1559" s="34"/>
      <c r="M1559" s="34"/>
      <c r="N1559" s="34"/>
      <c r="O1559" s="34"/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  <c r="AJ1559" s="34"/>
      <c r="AK1559" s="34"/>
      <c r="AL1559" s="34"/>
      <c r="AM1559" s="34"/>
      <c r="AN1559" s="34"/>
      <c r="AO1559" s="34"/>
      <c r="AP1559" s="34"/>
      <c r="AQ1559" s="34"/>
      <c r="AR1559" s="34"/>
      <c r="AS1559" s="34"/>
      <c r="AT1559" s="34"/>
      <c r="AU1559" s="34"/>
      <c r="AV1559" s="34"/>
    </row>
    <row r="1560">
      <c r="A1560" s="34"/>
      <c r="B1560" s="34"/>
      <c r="C1560" s="34"/>
      <c r="D1560" s="34"/>
      <c r="E1560" s="34"/>
      <c r="F1560" s="34"/>
      <c r="G1560" s="34"/>
      <c r="H1560" s="34"/>
      <c r="I1560" s="34"/>
      <c r="J1560" s="34"/>
      <c r="K1560" s="34"/>
      <c r="L1560" s="34"/>
      <c r="M1560" s="34"/>
      <c r="N1560" s="34"/>
      <c r="O1560" s="34"/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  <c r="AJ1560" s="34"/>
      <c r="AK1560" s="34"/>
      <c r="AL1560" s="34"/>
      <c r="AM1560" s="34"/>
      <c r="AN1560" s="34"/>
      <c r="AO1560" s="34"/>
      <c r="AP1560" s="34"/>
      <c r="AQ1560" s="34"/>
      <c r="AR1560" s="34"/>
      <c r="AS1560" s="34"/>
      <c r="AT1560" s="34"/>
      <c r="AU1560" s="34"/>
      <c r="AV1560" s="34"/>
    </row>
    <row r="1561">
      <c r="A1561" s="34"/>
      <c r="B1561" s="34"/>
      <c r="C1561" s="34"/>
      <c r="D1561" s="34"/>
      <c r="E1561" s="34"/>
      <c r="F1561" s="34"/>
      <c r="G1561" s="34"/>
      <c r="H1561" s="34"/>
      <c r="I1561" s="34"/>
      <c r="J1561" s="34"/>
      <c r="K1561" s="34"/>
      <c r="L1561" s="34"/>
      <c r="M1561" s="34"/>
      <c r="N1561" s="34"/>
      <c r="O1561" s="34"/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34"/>
      <c r="AP1561" s="34"/>
      <c r="AQ1561" s="34"/>
      <c r="AR1561" s="34"/>
      <c r="AS1561" s="34"/>
      <c r="AT1561" s="34"/>
      <c r="AU1561" s="34"/>
      <c r="AV1561" s="34"/>
    </row>
    <row r="1562">
      <c r="A1562" s="34"/>
      <c r="B1562" s="34"/>
      <c r="C1562" s="34"/>
      <c r="D1562" s="34"/>
      <c r="E1562" s="34"/>
      <c r="F1562" s="34"/>
      <c r="G1562" s="34"/>
      <c r="H1562" s="34"/>
      <c r="I1562" s="34"/>
      <c r="J1562" s="34"/>
      <c r="K1562" s="34"/>
      <c r="L1562" s="34"/>
      <c r="M1562" s="34"/>
      <c r="N1562" s="34"/>
      <c r="O1562" s="34"/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H1562" s="34"/>
      <c r="AI1562" s="34"/>
      <c r="AJ1562" s="34"/>
      <c r="AK1562" s="34"/>
      <c r="AL1562" s="34"/>
      <c r="AM1562" s="34"/>
      <c r="AN1562" s="34"/>
      <c r="AO1562" s="34"/>
      <c r="AP1562" s="34"/>
      <c r="AQ1562" s="34"/>
      <c r="AR1562" s="34"/>
      <c r="AS1562" s="34"/>
      <c r="AT1562" s="34"/>
      <c r="AU1562" s="34"/>
      <c r="AV1562" s="34"/>
    </row>
    <row r="1563">
      <c r="A1563" s="34"/>
      <c r="B1563" s="34"/>
      <c r="C1563" s="34"/>
      <c r="D1563" s="34"/>
      <c r="E1563" s="34"/>
      <c r="F1563" s="34"/>
      <c r="G1563" s="34"/>
      <c r="H1563" s="34"/>
      <c r="I1563" s="34"/>
      <c r="J1563" s="34"/>
      <c r="K1563" s="34"/>
      <c r="L1563" s="34"/>
      <c r="M1563" s="34"/>
      <c r="N1563" s="34"/>
      <c r="O1563" s="34"/>
      <c r="P1563" s="34"/>
      <c r="Q1563" s="34"/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34"/>
      <c r="AP1563" s="34"/>
      <c r="AQ1563" s="34"/>
      <c r="AR1563" s="34"/>
      <c r="AS1563" s="34"/>
      <c r="AT1563" s="34"/>
      <c r="AU1563" s="34"/>
      <c r="AV1563" s="34"/>
    </row>
    <row r="1564">
      <c r="A1564" s="34"/>
      <c r="B1564" s="34"/>
      <c r="C1564" s="34"/>
      <c r="D1564" s="34"/>
      <c r="E1564" s="34"/>
      <c r="F1564" s="34"/>
      <c r="G1564" s="34"/>
      <c r="H1564" s="34"/>
      <c r="I1564" s="34"/>
      <c r="J1564" s="34"/>
      <c r="K1564" s="34"/>
      <c r="L1564" s="34"/>
      <c r="M1564" s="34"/>
      <c r="N1564" s="34"/>
      <c r="O1564" s="34"/>
      <c r="P1564" s="34"/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H1564" s="34"/>
      <c r="AI1564" s="34"/>
      <c r="AJ1564" s="34"/>
      <c r="AK1564" s="34"/>
      <c r="AL1564" s="34"/>
      <c r="AM1564" s="34"/>
      <c r="AN1564" s="34"/>
      <c r="AO1564" s="34"/>
      <c r="AP1564" s="34"/>
      <c r="AQ1564" s="34"/>
      <c r="AR1564" s="34"/>
      <c r="AS1564" s="34"/>
      <c r="AT1564" s="34"/>
      <c r="AU1564" s="34"/>
      <c r="AV1564" s="34"/>
    </row>
    <row r="1565">
      <c r="A1565" s="34"/>
      <c r="B1565" s="34"/>
      <c r="C1565" s="34"/>
      <c r="D1565" s="34"/>
      <c r="E1565" s="34"/>
      <c r="F1565" s="34"/>
      <c r="G1565" s="34"/>
      <c r="H1565" s="34"/>
      <c r="I1565" s="34"/>
      <c r="J1565" s="34"/>
      <c r="K1565" s="34"/>
      <c r="L1565" s="34"/>
      <c r="M1565" s="34"/>
      <c r="N1565" s="34"/>
      <c r="O1565" s="34"/>
      <c r="P1565" s="34"/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H1565" s="34"/>
      <c r="AI1565" s="34"/>
      <c r="AJ1565" s="34"/>
      <c r="AK1565" s="34"/>
      <c r="AL1565" s="34"/>
      <c r="AM1565" s="34"/>
      <c r="AN1565" s="34"/>
      <c r="AO1565" s="34"/>
      <c r="AP1565" s="34"/>
      <c r="AQ1565" s="34"/>
      <c r="AR1565" s="34"/>
      <c r="AS1565" s="34"/>
      <c r="AT1565" s="34"/>
      <c r="AU1565" s="34"/>
      <c r="AV1565" s="34"/>
    </row>
    <row r="1566">
      <c r="A1566" s="34"/>
      <c r="B1566" s="34"/>
      <c r="C1566" s="34"/>
      <c r="D1566" s="34"/>
      <c r="E1566" s="34"/>
      <c r="F1566" s="34"/>
      <c r="G1566" s="34"/>
      <c r="H1566" s="34"/>
      <c r="I1566" s="34"/>
      <c r="J1566" s="34"/>
      <c r="K1566" s="34"/>
      <c r="L1566" s="34"/>
      <c r="M1566" s="34"/>
      <c r="N1566" s="34"/>
      <c r="O1566" s="34"/>
      <c r="P1566" s="34"/>
      <c r="Q1566" s="34"/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  <c r="AF1566" s="34"/>
      <c r="AG1566" s="34"/>
      <c r="AH1566" s="34"/>
      <c r="AI1566" s="34"/>
      <c r="AJ1566" s="34"/>
      <c r="AK1566" s="34"/>
      <c r="AL1566" s="34"/>
      <c r="AM1566" s="34"/>
      <c r="AN1566" s="34"/>
      <c r="AO1566" s="34"/>
      <c r="AP1566" s="34"/>
      <c r="AQ1566" s="34"/>
      <c r="AR1566" s="34"/>
      <c r="AS1566" s="34"/>
      <c r="AT1566" s="34"/>
      <c r="AU1566" s="34"/>
      <c r="AV1566" s="34"/>
    </row>
    <row r="1567">
      <c r="A1567" s="34"/>
      <c r="B1567" s="34"/>
      <c r="C1567" s="34"/>
      <c r="D1567" s="34"/>
      <c r="E1567" s="34"/>
      <c r="F1567" s="34"/>
      <c r="G1567" s="34"/>
      <c r="H1567" s="34"/>
      <c r="I1567" s="34"/>
      <c r="J1567" s="34"/>
      <c r="K1567" s="34"/>
      <c r="L1567" s="34"/>
      <c r="M1567" s="34"/>
      <c r="N1567" s="34"/>
      <c r="O1567" s="34"/>
      <c r="P1567" s="34"/>
      <c r="Q1567" s="34"/>
      <c r="R1567" s="3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34"/>
      <c r="AP1567" s="34"/>
      <c r="AQ1567" s="34"/>
      <c r="AR1567" s="34"/>
      <c r="AS1567" s="34"/>
      <c r="AT1567" s="34"/>
      <c r="AU1567" s="34"/>
      <c r="AV1567" s="34"/>
    </row>
    <row r="1568">
      <c r="A1568" s="34"/>
      <c r="B1568" s="34"/>
      <c r="C1568" s="34"/>
      <c r="D1568" s="34"/>
      <c r="E1568" s="34"/>
      <c r="F1568" s="34"/>
      <c r="G1568" s="34"/>
      <c r="H1568" s="34"/>
      <c r="I1568" s="34"/>
      <c r="J1568" s="34"/>
      <c r="K1568" s="34"/>
      <c r="L1568" s="34"/>
      <c r="M1568" s="34"/>
      <c r="N1568" s="34"/>
      <c r="O1568" s="34"/>
      <c r="P1568" s="34"/>
      <c r="Q1568" s="34"/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34"/>
      <c r="AP1568" s="34"/>
      <c r="AQ1568" s="34"/>
      <c r="AR1568" s="34"/>
      <c r="AS1568" s="34"/>
      <c r="AT1568" s="34"/>
      <c r="AU1568" s="34"/>
      <c r="AV1568" s="34"/>
    </row>
    <row r="1569">
      <c r="A1569" s="34"/>
      <c r="B1569" s="34"/>
      <c r="C1569" s="34"/>
      <c r="D1569" s="34"/>
      <c r="E1569" s="34"/>
      <c r="F1569" s="34"/>
      <c r="G1569" s="34"/>
      <c r="H1569" s="34"/>
      <c r="I1569" s="34"/>
      <c r="J1569" s="34"/>
      <c r="K1569" s="34"/>
      <c r="L1569" s="34"/>
      <c r="M1569" s="34"/>
      <c r="N1569" s="34"/>
      <c r="O1569" s="34"/>
      <c r="P1569" s="34"/>
      <c r="Q1569" s="34"/>
      <c r="R1569" s="3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  <c r="AE1569" s="34"/>
      <c r="AF1569" s="34"/>
      <c r="AG1569" s="34"/>
      <c r="AH1569" s="34"/>
      <c r="AI1569" s="34"/>
      <c r="AJ1569" s="34"/>
      <c r="AK1569" s="34"/>
      <c r="AL1569" s="34"/>
      <c r="AM1569" s="34"/>
      <c r="AN1569" s="34"/>
      <c r="AO1569" s="34"/>
      <c r="AP1569" s="34"/>
      <c r="AQ1569" s="34"/>
      <c r="AR1569" s="34"/>
      <c r="AS1569" s="34"/>
      <c r="AT1569" s="34"/>
      <c r="AU1569" s="34"/>
      <c r="AV1569" s="34"/>
    </row>
    <row r="1570">
      <c r="A1570" s="34"/>
      <c r="B1570" s="34"/>
      <c r="C1570" s="34"/>
      <c r="D1570" s="34"/>
      <c r="E1570" s="34"/>
      <c r="F1570" s="34"/>
      <c r="G1570" s="34"/>
      <c r="H1570" s="34"/>
      <c r="I1570" s="34"/>
      <c r="J1570" s="34"/>
      <c r="K1570" s="34"/>
      <c r="L1570" s="34"/>
      <c r="M1570" s="34"/>
      <c r="N1570" s="34"/>
      <c r="O1570" s="34"/>
      <c r="P1570" s="34"/>
      <c r="Q1570" s="34"/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34"/>
      <c r="AP1570" s="34"/>
      <c r="AQ1570" s="34"/>
      <c r="AR1570" s="34"/>
      <c r="AS1570" s="34"/>
      <c r="AT1570" s="34"/>
      <c r="AU1570" s="34"/>
      <c r="AV1570" s="34"/>
    </row>
    <row r="1571">
      <c r="A1571" s="34"/>
      <c r="B1571" s="34"/>
      <c r="C1571" s="34"/>
      <c r="D1571" s="34"/>
      <c r="E1571" s="34"/>
      <c r="F1571" s="34"/>
      <c r="G1571" s="34"/>
      <c r="H1571" s="34"/>
      <c r="I1571" s="34"/>
      <c r="J1571" s="34"/>
      <c r="K1571" s="34"/>
      <c r="L1571" s="34"/>
      <c r="M1571" s="34"/>
      <c r="N1571" s="34"/>
      <c r="O1571" s="34"/>
      <c r="P1571" s="34"/>
      <c r="Q1571" s="34"/>
      <c r="R1571" s="3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  <c r="AE1571" s="34"/>
      <c r="AF1571" s="34"/>
      <c r="AG1571" s="34"/>
      <c r="AH1571" s="34"/>
      <c r="AI1571" s="34"/>
      <c r="AJ1571" s="34"/>
      <c r="AK1571" s="34"/>
      <c r="AL1571" s="34"/>
      <c r="AM1571" s="34"/>
      <c r="AN1571" s="34"/>
      <c r="AO1571" s="34"/>
      <c r="AP1571" s="34"/>
      <c r="AQ1571" s="34"/>
      <c r="AR1571" s="34"/>
      <c r="AS1571" s="34"/>
      <c r="AT1571" s="34"/>
      <c r="AU1571" s="34"/>
      <c r="AV1571" s="34"/>
    </row>
    <row r="1572">
      <c r="A1572" s="34"/>
      <c r="B1572" s="34"/>
      <c r="C1572" s="34"/>
      <c r="D1572" s="34"/>
      <c r="E1572" s="34"/>
      <c r="F1572" s="34"/>
      <c r="G1572" s="34"/>
      <c r="H1572" s="34"/>
      <c r="I1572" s="34"/>
      <c r="J1572" s="34"/>
      <c r="K1572" s="34"/>
      <c r="L1572" s="34"/>
      <c r="M1572" s="34"/>
      <c r="N1572" s="34"/>
      <c r="O1572" s="34"/>
      <c r="P1572" s="34"/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  <c r="AF1572" s="34"/>
      <c r="AG1572" s="34"/>
      <c r="AH1572" s="34"/>
      <c r="AI1572" s="34"/>
      <c r="AJ1572" s="34"/>
      <c r="AK1572" s="34"/>
      <c r="AL1572" s="34"/>
      <c r="AM1572" s="34"/>
      <c r="AN1572" s="34"/>
      <c r="AO1572" s="34"/>
      <c r="AP1572" s="34"/>
      <c r="AQ1572" s="34"/>
      <c r="AR1572" s="34"/>
      <c r="AS1572" s="34"/>
      <c r="AT1572" s="34"/>
      <c r="AU1572" s="34"/>
      <c r="AV1572" s="34"/>
    </row>
    <row r="1573">
      <c r="A1573" s="34"/>
      <c r="B1573" s="34"/>
      <c r="C1573" s="34"/>
      <c r="D1573" s="34"/>
      <c r="E1573" s="34"/>
      <c r="F1573" s="34"/>
      <c r="G1573" s="34"/>
      <c r="H1573" s="34"/>
      <c r="I1573" s="34"/>
      <c r="J1573" s="34"/>
      <c r="K1573" s="34"/>
      <c r="L1573" s="34"/>
      <c r="M1573" s="34"/>
      <c r="N1573" s="34"/>
      <c r="O1573" s="34"/>
      <c r="P1573" s="34"/>
      <c r="Q1573" s="34"/>
      <c r="R1573" s="3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34"/>
      <c r="AP1573" s="34"/>
      <c r="AQ1573" s="34"/>
      <c r="AR1573" s="34"/>
      <c r="AS1573" s="34"/>
      <c r="AT1573" s="34"/>
      <c r="AU1573" s="34"/>
      <c r="AV1573" s="34"/>
    </row>
    <row r="1574">
      <c r="A1574" s="34"/>
      <c r="B1574" s="34"/>
      <c r="C1574" s="34"/>
      <c r="D1574" s="34"/>
      <c r="E1574" s="34"/>
      <c r="F1574" s="34"/>
      <c r="G1574" s="34"/>
      <c r="H1574" s="34"/>
      <c r="I1574" s="34"/>
      <c r="J1574" s="34"/>
      <c r="K1574" s="34"/>
      <c r="L1574" s="34"/>
      <c r="M1574" s="34"/>
      <c r="N1574" s="34"/>
      <c r="O1574" s="34"/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  <c r="AF1574" s="34"/>
      <c r="AG1574" s="34"/>
      <c r="AH1574" s="34"/>
      <c r="AI1574" s="34"/>
      <c r="AJ1574" s="34"/>
      <c r="AK1574" s="34"/>
      <c r="AL1574" s="34"/>
      <c r="AM1574" s="34"/>
      <c r="AN1574" s="34"/>
      <c r="AO1574" s="34"/>
      <c r="AP1574" s="34"/>
      <c r="AQ1574" s="34"/>
      <c r="AR1574" s="34"/>
      <c r="AS1574" s="34"/>
      <c r="AT1574" s="34"/>
      <c r="AU1574" s="34"/>
      <c r="AV1574" s="34"/>
    </row>
    <row r="1575">
      <c r="A1575" s="34"/>
      <c r="B1575" s="34"/>
      <c r="C1575" s="34"/>
      <c r="D1575" s="34"/>
      <c r="E1575" s="34"/>
      <c r="F1575" s="34"/>
      <c r="G1575" s="34"/>
      <c r="H1575" s="34"/>
      <c r="I1575" s="34"/>
      <c r="J1575" s="34"/>
      <c r="K1575" s="34"/>
      <c r="L1575" s="34"/>
      <c r="M1575" s="34"/>
      <c r="N1575" s="34"/>
      <c r="O1575" s="34"/>
      <c r="P1575" s="34"/>
      <c r="Q1575" s="34"/>
      <c r="R1575" s="3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  <c r="AE1575" s="34"/>
      <c r="AF1575" s="34"/>
      <c r="AG1575" s="34"/>
      <c r="AH1575" s="34"/>
      <c r="AI1575" s="34"/>
      <c r="AJ1575" s="34"/>
      <c r="AK1575" s="34"/>
      <c r="AL1575" s="34"/>
      <c r="AM1575" s="34"/>
      <c r="AN1575" s="34"/>
      <c r="AO1575" s="34"/>
      <c r="AP1575" s="34"/>
      <c r="AQ1575" s="34"/>
      <c r="AR1575" s="34"/>
      <c r="AS1575" s="34"/>
      <c r="AT1575" s="34"/>
      <c r="AU1575" s="34"/>
      <c r="AV1575" s="34"/>
    </row>
    <row r="1576">
      <c r="A1576" s="34"/>
      <c r="B1576" s="34"/>
      <c r="C1576" s="34"/>
      <c r="D1576" s="34"/>
      <c r="E1576" s="34"/>
      <c r="F1576" s="34"/>
      <c r="G1576" s="34"/>
      <c r="H1576" s="34"/>
      <c r="I1576" s="34"/>
      <c r="J1576" s="34"/>
      <c r="K1576" s="34"/>
      <c r="L1576" s="34"/>
      <c r="M1576" s="34"/>
      <c r="N1576" s="34"/>
      <c r="O1576" s="34"/>
      <c r="P1576" s="34"/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  <c r="AJ1576" s="34"/>
      <c r="AK1576" s="34"/>
      <c r="AL1576" s="34"/>
      <c r="AM1576" s="34"/>
      <c r="AN1576" s="34"/>
      <c r="AO1576" s="34"/>
      <c r="AP1576" s="34"/>
      <c r="AQ1576" s="34"/>
      <c r="AR1576" s="34"/>
      <c r="AS1576" s="34"/>
      <c r="AT1576" s="34"/>
      <c r="AU1576" s="34"/>
      <c r="AV1576" s="34"/>
    </row>
    <row r="1577">
      <c r="A1577" s="34"/>
      <c r="B1577" s="34"/>
      <c r="C1577" s="34"/>
      <c r="D1577" s="34"/>
      <c r="E1577" s="34"/>
      <c r="F1577" s="34"/>
      <c r="G1577" s="34"/>
      <c r="H1577" s="34"/>
      <c r="I1577" s="34"/>
      <c r="J1577" s="34"/>
      <c r="K1577" s="34"/>
      <c r="L1577" s="34"/>
      <c r="M1577" s="34"/>
      <c r="N1577" s="34"/>
      <c r="O1577" s="34"/>
      <c r="P1577" s="34"/>
      <c r="Q1577" s="34"/>
      <c r="R1577" s="34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34"/>
      <c r="AP1577" s="34"/>
      <c r="AQ1577" s="34"/>
      <c r="AR1577" s="34"/>
      <c r="AS1577" s="34"/>
      <c r="AT1577" s="34"/>
      <c r="AU1577" s="34"/>
      <c r="AV1577" s="34"/>
    </row>
    <row r="1578">
      <c r="A1578" s="34"/>
      <c r="B1578" s="34"/>
      <c r="C1578" s="34"/>
      <c r="D1578" s="34"/>
      <c r="E1578" s="34"/>
      <c r="F1578" s="34"/>
      <c r="G1578" s="34"/>
      <c r="H1578" s="34"/>
      <c r="I1578" s="34"/>
      <c r="J1578" s="34"/>
      <c r="K1578" s="34"/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  <c r="AI1578" s="34"/>
      <c r="AJ1578" s="34"/>
      <c r="AK1578" s="34"/>
      <c r="AL1578" s="34"/>
      <c r="AM1578" s="34"/>
      <c r="AN1578" s="34"/>
      <c r="AO1578" s="34"/>
      <c r="AP1578" s="34"/>
      <c r="AQ1578" s="34"/>
      <c r="AR1578" s="34"/>
      <c r="AS1578" s="34"/>
      <c r="AT1578" s="34"/>
      <c r="AU1578" s="34"/>
      <c r="AV1578" s="34"/>
    </row>
    <row r="1579">
      <c r="A1579" s="34"/>
      <c r="B1579" s="34"/>
      <c r="C1579" s="34"/>
      <c r="D1579" s="34"/>
      <c r="E1579" s="34"/>
      <c r="F1579" s="34"/>
      <c r="G1579" s="34"/>
      <c r="H1579" s="34"/>
      <c r="I1579" s="34"/>
      <c r="J1579" s="34"/>
      <c r="K1579" s="34"/>
      <c r="L1579" s="34"/>
      <c r="M1579" s="34"/>
      <c r="N1579" s="34"/>
      <c r="O1579" s="34"/>
      <c r="P1579" s="34"/>
      <c r="Q1579" s="34"/>
      <c r="R1579" s="34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  <c r="AE1579" s="34"/>
      <c r="AF1579" s="34"/>
      <c r="AG1579" s="34"/>
      <c r="AH1579" s="34"/>
      <c r="AI1579" s="34"/>
      <c r="AJ1579" s="34"/>
      <c r="AK1579" s="34"/>
      <c r="AL1579" s="34"/>
      <c r="AM1579" s="34"/>
      <c r="AN1579" s="34"/>
      <c r="AO1579" s="34"/>
      <c r="AP1579" s="34"/>
      <c r="AQ1579" s="34"/>
      <c r="AR1579" s="34"/>
      <c r="AS1579" s="34"/>
      <c r="AT1579" s="34"/>
      <c r="AU1579" s="34"/>
      <c r="AV1579" s="34"/>
    </row>
    <row r="1580">
      <c r="A1580" s="34"/>
      <c r="B1580" s="34"/>
      <c r="C1580" s="34"/>
      <c r="D1580" s="34"/>
      <c r="E1580" s="34"/>
      <c r="F1580" s="34"/>
      <c r="G1580" s="34"/>
      <c r="H1580" s="34"/>
      <c r="I1580" s="34"/>
      <c r="J1580" s="34"/>
      <c r="K1580" s="34"/>
      <c r="L1580" s="34"/>
      <c r="M1580" s="34"/>
      <c r="N1580" s="34"/>
      <c r="O1580" s="34"/>
      <c r="P1580" s="34"/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34"/>
      <c r="AP1580" s="34"/>
      <c r="AQ1580" s="34"/>
      <c r="AR1580" s="34"/>
      <c r="AS1580" s="34"/>
      <c r="AT1580" s="34"/>
      <c r="AU1580" s="34"/>
      <c r="AV1580" s="34"/>
    </row>
    <row r="1581">
      <c r="A1581" s="34"/>
      <c r="B1581" s="34"/>
      <c r="C1581" s="34"/>
      <c r="D1581" s="34"/>
      <c r="E1581" s="34"/>
      <c r="F1581" s="34"/>
      <c r="G1581" s="34"/>
      <c r="H1581" s="34"/>
      <c r="I1581" s="34"/>
      <c r="J1581" s="34"/>
      <c r="K1581" s="34"/>
      <c r="L1581" s="34"/>
      <c r="M1581" s="34"/>
      <c r="N1581" s="34"/>
      <c r="O1581" s="34"/>
      <c r="P1581" s="34"/>
      <c r="Q1581" s="34"/>
      <c r="R1581" s="34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  <c r="AJ1581" s="34"/>
      <c r="AK1581" s="34"/>
      <c r="AL1581" s="34"/>
      <c r="AM1581" s="34"/>
      <c r="AN1581" s="34"/>
      <c r="AO1581" s="34"/>
      <c r="AP1581" s="34"/>
      <c r="AQ1581" s="34"/>
      <c r="AR1581" s="34"/>
      <c r="AS1581" s="34"/>
      <c r="AT1581" s="34"/>
      <c r="AU1581" s="34"/>
      <c r="AV1581" s="34"/>
    </row>
    <row r="1582">
      <c r="A1582" s="34"/>
      <c r="B1582" s="34"/>
      <c r="C1582" s="34"/>
      <c r="D1582" s="34"/>
      <c r="E1582" s="34"/>
      <c r="F1582" s="34"/>
      <c r="G1582" s="34"/>
      <c r="H1582" s="34"/>
      <c r="I1582" s="34"/>
      <c r="J1582" s="34"/>
      <c r="K1582" s="34"/>
      <c r="L1582" s="34"/>
      <c r="M1582" s="34"/>
      <c r="N1582" s="34"/>
      <c r="O1582" s="34"/>
      <c r="P1582" s="34"/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34"/>
      <c r="AP1582" s="34"/>
      <c r="AQ1582" s="34"/>
      <c r="AR1582" s="34"/>
      <c r="AS1582" s="34"/>
      <c r="AT1582" s="34"/>
      <c r="AU1582" s="34"/>
      <c r="AV1582" s="34"/>
    </row>
    <row r="1583">
      <c r="A1583" s="34"/>
      <c r="B1583" s="34"/>
      <c r="C1583" s="34"/>
      <c r="D1583" s="34"/>
      <c r="E1583" s="34"/>
      <c r="F1583" s="34"/>
      <c r="G1583" s="34"/>
      <c r="H1583" s="34"/>
      <c r="I1583" s="34"/>
      <c r="J1583" s="34"/>
      <c r="K1583" s="34"/>
      <c r="L1583" s="34"/>
      <c r="M1583" s="34"/>
      <c r="N1583" s="34"/>
      <c r="O1583" s="34"/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/>
      <c r="AN1583" s="34"/>
      <c r="AO1583" s="34"/>
      <c r="AP1583" s="34"/>
      <c r="AQ1583" s="34"/>
      <c r="AR1583" s="34"/>
      <c r="AS1583" s="34"/>
      <c r="AT1583" s="34"/>
      <c r="AU1583" s="34"/>
      <c r="AV1583" s="34"/>
    </row>
    <row r="1584">
      <c r="A1584" s="34"/>
      <c r="B1584" s="34"/>
      <c r="C1584" s="34"/>
      <c r="D1584" s="34"/>
      <c r="E1584" s="34"/>
      <c r="F1584" s="34"/>
      <c r="G1584" s="34"/>
      <c r="H1584" s="34"/>
      <c r="I1584" s="34"/>
      <c r="J1584" s="34"/>
      <c r="K1584" s="34"/>
      <c r="L1584" s="34"/>
      <c r="M1584" s="34"/>
      <c r="N1584" s="34"/>
      <c r="O1584" s="34"/>
      <c r="P1584" s="34"/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  <c r="AJ1584" s="34"/>
      <c r="AK1584" s="34"/>
      <c r="AL1584" s="34"/>
      <c r="AM1584" s="34"/>
      <c r="AN1584" s="34"/>
      <c r="AO1584" s="34"/>
      <c r="AP1584" s="34"/>
      <c r="AQ1584" s="34"/>
      <c r="AR1584" s="34"/>
      <c r="AS1584" s="34"/>
      <c r="AT1584" s="34"/>
      <c r="AU1584" s="34"/>
      <c r="AV1584" s="34"/>
    </row>
    <row r="1585">
      <c r="A1585" s="34"/>
      <c r="B1585" s="34"/>
      <c r="C1585" s="34"/>
      <c r="D1585" s="34"/>
      <c r="E1585" s="34"/>
      <c r="F1585" s="34"/>
      <c r="G1585" s="34"/>
      <c r="H1585" s="34"/>
      <c r="I1585" s="34"/>
      <c r="J1585" s="34"/>
      <c r="K1585" s="34"/>
      <c r="L1585" s="34"/>
      <c r="M1585" s="34"/>
      <c r="N1585" s="34"/>
      <c r="O1585" s="34"/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4"/>
      <c r="AM1585" s="34"/>
      <c r="AN1585" s="34"/>
      <c r="AO1585" s="34"/>
      <c r="AP1585" s="34"/>
      <c r="AQ1585" s="34"/>
      <c r="AR1585" s="34"/>
      <c r="AS1585" s="34"/>
      <c r="AT1585" s="34"/>
      <c r="AU1585" s="34"/>
      <c r="AV1585" s="34"/>
    </row>
    <row r="1586">
      <c r="A1586" s="34"/>
      <c r="B1586" s="34"/>
      <c r="C1586" s="34"/>
      <c r="D1586" s="34"/>
      <c r="E1586" s="34"/>
      <c r="F1586" s="34"/>
      <c r="G1586" s="34"/>
      <c r="H1586" s="34"/>
      <c r="I1586" s="34"/>
      <c r="J1586" s="34"/>
      <c r="K1586" s="34"/>
      <c r="L1586" s="34"/>
      <c r="M1586" s="34"/>
      <c r="N1586" s="34"/>
      <c r="O1586" s="34"/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34"/>
      <c r="AP1586" s="34"/>
      <c r="AQ1586" s="34"/>
      <c r="AR1586" s="34"/>
      <c r="AS1586" s="34"/>
      <c r="AT1586" s="34"/>
      <c r="AU1586" s="34"/>
      <c r="AV1586" s="34"/>
    </row>
    <row r="1587">
      <c r="A1587" s="34"/>
      <c r="B1587" s="34"/>
      <c r="C1587" s="34"/>
      <c r="D1587" s="34"/>
      <c r="E1587" s="34"/>
      <c r="F1587" s="34"/>
      <c r="G1587" s="34"/>
      <c r="H1587" s="34"/>
      <c r="I1587" s="34"/>
      <c r="J1587" s="34"/>
      <c r="K1587" s="34"/>
      <c r="L1587" s="34"/>
      <c r="M1587" s="34"/>
      <c r="N1587" s="34"/>
      <c r="O1587" s="34"/>
      <c r="P1587" s="34"/>
      <c r="Q1587" s="34"/>
      <c r="R1587" s="3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  <c r="AJ1587" s="34"/>
      <c r="AK1587" s="34"/>
      <c r="AL1587" s="34"/>
      <c r="AM1587" s="34"/>
      <c r="AN1587" s="34"/>
      <c r="AO1587" s="34"/>
      <c r="AP1587" s="34"/>
      <c r="AQ1587" s="34"/>
      <c r="AR1587" s="34"/>
      <c r="AS1587" s="34"/>
      <c r="AT1587" s="34"/>
      <c r="AU1587" s="34"/>
      <c r="AV1587" s="34"/>
    </row>
    <row r="1588">
      <c r="A1588" s="34"/>
      <c r="B1588" s="34"/>
      <c r="C1588" s="34"/>
      <c r="D1588" s="34"/>
      <c r="E1588" s="34"/>
      <c r="F1588" s="34"/>
      <c r="G1588" s="34"/>
      <c r="H1588" s="34"/>
      <c r="I1588" s="34"/>
      <c r="J1588" s="34"/>
      <c r="K1588" s="34"/>
      <c r="L1588" s="34"/>
      <c r="M1588" s="34"/>
      <c r="N1588" s="34"/>
      <c r="O1588" s="34"/>
      <c r="P1588" s="34"/>
      <c r="Q1588" s="34"/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  <c r="AF1588" s="34"/>
      <c r="AG1588" s="34"/>
      <c r="AH1588" s="34"/>
      <c r="AI1588" s="34"/>
      <c r="AJ1588" s="34"/>
      <c r="AK1588" s="34"/>
      <c r="AL1588" s="34"/>
      <c r="AM1588" s="34"/>
      <c r="AN1588" s="34"/>
      <c r="AO1588" s="34"/>
      <c r="AP1588" s="34"/>
      <c r="AQ1588" s="34"/>
      <c r="AR1588" s="34"/>
      <c r="AS1588" s="34"/>
      <c r="AT1588" s="34"/>
      <c r="AU1588" s="34"/>
      <c r="AV1588" s="34"/>
    </row>
    <row r="1589">
      <c r="A1589" s="34"/>
      <c r="B1589" s="34"/>
      <c r="C1589" s="34"/>
      <c r="D1589" s="34"/>
      <c r="E1589" s="34"/>
      <c r="F1589" s="34"/>
      <c r="G1589" s="34"/>
      <c r="H1589" s="34"/>
      <c r="I1589" s="34"/>
      <c r="J1589" s="34"/>
      <c r="K1589" s="34"/>
      <c r="L1589" s="34"/>
      <c r="M1589" s="34"/>
      <c r="N1589" s="34"/>
      <c r="O1589" s="34"/>
      <c r="P1589" s="34"/>
      <c r="Q1589" s="34"/>
      <c r="R1589" s="3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  <c r="AE1589" s="34"/>
      <c r="AF1589" s="34"/>
      <c r="AG1589" s="34"/>
      <c r="AH1589" s="34"/>
      <c r="AI1589" s="34"/>
      <c r="AJ1589" s="34"/>
      <c r="AK1589" s="34"/>
      <c r="AL1589" s="34"/>
      <c r="AM1589" s="34"/>
      <c r="AN1589" s="34"/>
      <c r="AO1589" s="34"/>
      <c r="AP1589" s="34"/>
      <c r="AQ1589" s="34"/>
      <c r="AR1589" s="34"/>
      <c r="AS1589" s="34"/>
      <c r="AT1589" s="34"/>
      <c r="AU1589" s="34"/>
      <c r="AV1589" s="34"/>
    </row>
    <row r="1590">
      <c r="A1590" s="34"/>
      <c r="B1590" s="34"/>
      <c r="C1590" s="34"/>
      <c r="D1590" s="34"/>
      <c r="E1590" s="34"/>
      <c r="F1590" s="34"/>
      <c r="G1590" s="34"/>
      <c r="H1590" s="34"/>
      <c r="I1590" s="34"/>
      <c r="J1590" s="34"/>
      <c r="K1590" s="34"/>
      <c r="L1590" s="34"/>
      <c r="M1590" s="34"/>
      <c r="N1590" s="34"/>
      <c r="O1590" s="34"/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  <c r="AE1590" s="34"/>
      <c r="AF1590" s="34"/>
      <c r="AG1590" s="34"/>
      <c r="AH1590" s="34"/>
      <c r="AI1590" s="34"/>
      <c r="AJ1590" s="34"/>
      <c r="AK1590" s="34"/>
      <c r="AL1590" s="34"/>
      <c r="AM1590" s="34"/>
      <c r="AN1590" s="34"/>
      <c r="AO1590" s="34"/>
      <c r="AP1590" s="34"/>
      <c r="AQ1590" s="34"/>
      <c r="AR1590" s="34"/>
      <c r="AS1590" s="34"/>
      <c r="AT1590" s="34"/>
      <c r="AU1590" s="34"/>
      <c r="AV1590" s="34"/>
    </row>
    <row r="1591">
      <c r="A1591" s="34"/>
      <c r="B1591" s="34"/>
      <c r="C1591" s="34"/>
      <c r="D1591" s="34"/>
      <c r="E1591" s="34"/>
      <c r="F1591" s="34"/>
      <c r="G1591" s="34"/>
      <c r="H1591" s="34"/>
      <c r="I1591" s="34"/>
      <c r="J1591" s="34"/>
      <c r="K1591" s="34"/>
      <c r="L1591" s="34"/>
      <c r="M1591" s="34"/>
      <c r="N1591" s="34"/>
      <c r="O1591" s="34"/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4"/>
      <c r="AD1591" s="34"/>
      <c r="AE1591" s="34"/>
      <c r="AF1591" s="34"/>
      <c r="AG1591" s="34"/>
      <c r="AH1591" s="34"/>
      <c r="AI1591" s="34"/>
      <c r="AJ1591" s="34"/>
      <c r="AK1591" s="34"/>
      <c r="AL1591" s="34"/>
      <c r="AM1591" s="34"/>
      <c r="AN1591" s="34"/>
      <c r="AO1591" s="34"/>
      <c r="AP1591" s="34"/>
      <c r="AQ1591" s="34"/>
      <c r="AR1591" s="34"/>
      <c r="AS1591" s="34"/>
      <c r="AT1591" s="34"/>
      <c r="AU1591" s="34"/>
      <c r="AV1591" s="34"/>
    </row>
    <row r="1592">
      <c r="A1592" s="34"/>
      <c r="B1592" s="34"/>
      <c r="C1592" s="34"/>
      <c r="D1592" s="34"/>
      <c r="E1592" s="34"/>
      <c r="F1592" s="34"/>
      <c r="G1592" s="34"/>
      <c r="H1592" s="34"/>
      <c r="I1592" s="34"/>
      <c r="J1592" s="34"/>
      <c r="K1592" s="34"/>
      <c r="L1592" s="34"/>
      <c r="M1592" s="34"/>
      <c r="N1592" s="34"/>
      <c r="O1592" s="34"/>
      <c r="P1592" s="34"/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  <c r="AJ1592" s="34"/>
      <c r="AK1592" s="34"/>
      <c r="AL1592" s="34"/>
      <c r="AM1592" s="34"/>
      <c r="AN1592" s="34"/>
      <c r="AO1592" s="34"/>
      <c r="AP1592" s="34"/>
      <c r="AQ1592" s="34"/>
      <c r="AR1592" s="34"/>
      <c r="AS1592" s="34"/>
      <c r="AT1592" s="34"/>
      <c r="AU1592" s="34"/>
      <c r="AV1592" s="34"/>
    </row>
    <row r="1593">
      <c r="A1593" s="34"/>
      <c r="B1593" s="34"/>
      <c r="C1593" s="34"/>
      <c r="D1593" s="34"/>
      <c r="E1593" s="34"/>
      <c r="F1593" s="34"/>
      <c r="G1593" s="34"/>
      <c r="H1593" s="34"/>
      <c r="I1593" s="34"/>
      <c r="J1593" s="34"/>
      <c r="K1593" s="34"/>
      <c r="L1593" s="34"/>
      <c r="M1593" s="34"/>
      <c r="N1593" s="34"/>
      <c r="O1593" s="34"/>
      <c r="P1593" s="34"/>
      <c r="Q1593" s="34"/>
      <c r="R1593" s="34"/>
      <c r="S1593" s="34"/>
      <c r="T1593" s="34"/>
      <c r="U1593" s="34"/>
      <c r="V1593" s="34"/>
      <c r="W1593" s="34"/>
      <c r="X1593" s="34"/>
      <c r="Y1593" s="34"/>
      <c r="Z1593" s="34"/>
      <c r="AA1593" s="34"/>
      <c r="AB1593" s="34"/>
      <c r="AC1593" s="34"/>
      <c r="AD1593" s="34"/>
      <c r="AE1593" s="34"/>
      <c r="AF1593" s="34"/>
      <c r="AG1593" s="34"/>
      <c r="AH1593" s="34"/>
      <c r="AI1593" s="34"/>
      <c r="AJ1593" s="34"/>
      <c r="AK1593" s="34"/>
      <c r="AL1593" s="34"/>
      <c r="AM1593" s="34"/>
      <c r="AN1593" s="34"/>
      <c r="AO1593" s="34"/>
      <c r="AP1593" s="34"/>
      <c r="AQ1593" s="34"/>
      <c r="AR1593" s="34"/>
      <c r="AS1593" s="34"/>
      <c r="AT1593" s="34"/>
      <c r="AU1593" s="34"/>
      <c r="AV1593" s="34"/>
    </row>
    <row r="1594">
      <c r="A1594" s="34"/>
      <c r="B1594" s="34"/>
      <c r="C1594" s="34"/>
      <c r="D1594" s="34"/>
      <c r="E1594" s="34"/>
      <c r="F1594" s="34"/>
      <c r="G1594" s="34"/>
      <c r="H1594" s="34"/>
      <c r="I1594" s="34"/>
      <c r="J1594" s="34"/>
      <c r="K1594" s="34"/>
      <c r="L1594" s="34"/>
      <c r="M1594" s="34"/>
      <c r="N1594" s="34"/>
      <c r="O1594" s="34"/>
      <c r="P1594" s="34"/>
      <c r="Q1594" s="34"/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  <c r="AE1594" s="34"/>
      <c r="AF1594" s="34"/>
      <c r="AG1594" s="34"/>
      <c r="AH1594" s="34"/>
      <c r="AI1594" s="34"/>
      <c r="AJ1594" s="34"/>
      <c r="AK1594" s="34"/>
      <c r="AL1594" s="34"/>
      <c r="AM1594" s="34"/>
      <c r="AN1594" s="34"/>
      <c r="AO1594" s="34"/>
      <c r="AP1594" s="34"/>
      <c r="AQ1594" s="34"/>
      <c r="AR1594" s="34"/>
      <c r="AS1594" s="34"/>
      <c r="AT1594" s="34"/>
      <c r="AU1594" s="34"/>
      <c r="AV1594" s="34"/>
    </row>
    <row r="1595">
      <c r="A1595" s="34"/>
      <c r="B1595" s="34"/>
      <c r="C1595" s="34"/>
      <c r="D1595" s="34"/>
      <c r="E1595" s="34"/>
      <c r="F1595" s="34"/>
      <c r="G1595" s="34"/>
      <c r="H1595" s="34"/>
      <c r="I1595" s="34"/>
      <c r="J1595" s="34"/>
      <c r="K1595" s="34"/>
      <c r="L1595" s="34"/>
      <c r="M1595" s="34"/>
      <c r="N1595" s="34"/>
      <c r="O1595" s="34"/>
      <c r="P1595" s="34"/>
      <c r="Q1595" s="34"/>
      <c r="R1595" s="3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4"/>
      <c r="AD1595" s="34"/>
      <c r="AE1595" s="34"/>
      <c r="AF1595" s="34"/>
      <c r="AG1595" s="34"/>
      <c r="AH1595" s="34"/>
      <c r="AI1595" s="34"/>
      <c r="AJ1595" s="34"/>
      <c r="AK1595" s="34"/>
      <c r="AL1595" s="34"/>
      <c r="AM1595" s="34"/>
      <c r="AN1595" s="34"/>
      <c r="AO1595" s="34"/>
      <c r="AP1595" s="34"/>
      <c r="AQ1595" s="34"/>
      <c r="AR1595" s="34"/>
      <c r="AS1595" s="34"/>
      <c r="AT1595" s="34"/>
      <c r="AU1595" s="34"/>
      <c r="AV1595" s="34"/>
    </row>
    <row r="1596">
      <c r="A1596" s="34"/>
      <c r="B1596" s="34"/>
      <c r="C1596" s="34"/>
      <c r="D1596" s="34"/>
      <c r="E1596" s="34"/>
      <c r="F1596" s="34"/>
      <c r="G1596" s="34"/>
      <c r="H1596" s="34"/>
      <c r="I1596" s="34"/>
      <c r="J1596" s="34"/>
      <c r="K1596" s="34"/>
      <c r="L1596" s="34"/>
      <c r="M1596" s="34"/>
      <c r="N1596" s="34"/>
      <c r="O1596" s="34"/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  <c r="AE1596" s="34"/>
      <c r="AF1596" s="34"/>
      <c r="AG1596" s="34"/>
      <c r="AH1596" s="34"/>
      <c r="AI1596" s="34"/>
      <c r="AJ1596" s="34"/>
      <c r="AK1596" s="34"/>
      <c r="AL1596" s="34"/>
      <c r="AM1596" s="34"/>
      <c r="AN1596" s="34"/>
      <c r="AO1596" s="34"/>
      <c r="AP1596" s="34"/>
      <c r="AQ1596" s="34"/>
      <c r="AR1596" s="34"/>
      <c r="AS1596" s="34"/>
      <c r="AT1596" s="34"/>
      <c r="AU1596" s="34"/>
      <c r="AV1596" s="34"/>
    </row>
    <row r="1597">
      <c r="A1597" s="34"/>
      <c r="B1597" s="34"/>
      <c r="C1597" s="34"/>
      <c r="D1597" s="34"/>
      <c r="E1597" s="34"/>
      <c r="F1597" s="34"/>
      <c r="G1597" s="34"/>
      <c r="H1597" s="34"/>
      <c r="I1597" s="34"/>
      <c r="J1597" s="34"/>
      <c r="K1597" s="34"/>
      <c r="L1597" s="34"/>
      <c r="M1597" s="34"/>
      <c r="N1597" s="34"/>
      <c r="O1597" s="34"/>
      <c r="P1597" s="34"/>
      <c r="Q1597" s="34"/>
      <c r="R1597" s="3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4"/>
      <c r="AD1597" s="34"/>
      <c r="AE1597" s="34"/>
      <c r="AF1597" s="34"/>
      <c r="AG1597" s="34"/>
      <c r="AH1597" s="34"/>
      <c r="AI1597" s="34"/>
      <c r="AJ1597" s="34"/>
      <c r="AK1597" s="34"/>
      <c r="AL1597" s="34"/>
      <c r="AM1597" s="34"/>
      <c r="AN1597" s="34"/>
      <c r="AO1597" s="34"/>
      <c r="AP1597" s="34"/>
      <c r="AQ1597" s="34"/>
      <c r="AR1597" s="34"/>
      <c r="AS1597" s="34"/>
      <c r="AT1597" s="34"/>
      <c r="AU1597" s="34"/>
      <c r="AV1597" s="34"/>
    </row>
    <row r="1598">
      <c r="A1598" s="34"/>
      <c r="B1598" s="34"/>
      <c r="C1598" s="34"/>
      <c r="D1598" s="34"/>
      <c r="E1598" s="34"/>
      <c r="F1598" s="34"/>
      <c r="G1598" s="34"/>
      <c r="H1598" s="34"/>
      <c r="I1598" s="34"/>
      <c r="J1598" s="34"/>
      <c r="K1598" s="34"/>
      <c r="L1598" s="34"/>
      <c r="M1598" s="34"/>
      <c r="N1598" s="34"/>
      <c r="O1598" s="34"/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  <c r="AE1598" s="34"/>
      <c r="AF1598" s="34"/>
      <c r="AG1598" s="34"/>
      <c r="AH1598" s="34"/>
      <c r="AI1598" s="34"/>
      <c r="AJ1598" s="34"/>
      <c r="AK1598" s="34"/>
      <c r="AL1598" s="34"/>
      <c r="AM1598" s="34"/>
      <c r="AN1598" s="34"/>
      <c r="AO1598" s="34"/>
      <c r="AP1598" s="34"/>
      <c r="AQ1598" s="34"/>
      <c r="AR1598" s="34"/>
      <c r="AS1598" s="34"/>
      <c r="AT1598" s="34"/>
      <c r="AU1598" s="34"/>
      <c r="AV1598" s="34"/>
    </row>
    <row r="1599">
      <c r="A1599" s="34"/>
      <c r="B1599" s="34"/>
      <c r="C1599" s="34"/>
      <c r="D1599" s="34"/>
      <c r="E1599" s="34"/>
      <c r="F1599" s="34"/>
      <c r="G1599" s="34"/>
      <c r="H1599" s="34"/>
      <c r="I1599" s="34"/>
      <c r="J1599" s="34"/>
      <c r="K1599" s="34"/>
      <c r="L1599" s="34"/>
      <c r="M1599" s="34"/>
      <c r="N1599" s="34"/>
      <c r="O1599" s="34"/>
      <c r="P1599" s="34"/>
      <c r="Q1599" s="34"/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  <c r="AE1599" s="34"/>
      <c r="AF1599" s="34"/>
      <c r="AG1599" s="34"/>
      <c r="AH1599" s="34"/>
      <c r="AI1599" s="34"/>
      <c r="AJ1599" s="34"/>
      <c r="AK1599" s="34"/>
      <c r="AL1599" s="34"/>
      <c r="AM1599" s="34"/>
      <c r="AN1599" s="34"/>
      <c r="AO1599" s="34"/>
      <c r="AP1599" s="34"/>
      <c r="AQ1599" s="34"/>
      <c r="AR1599" s="34"/>
      <c r="AS1599" s="34"/>
      <c r="AT1599" s="34"/>
      <c r="AU1599" s="34"/>
      <c r="AV1599" s="34"/>
    </row>
    <row r="1600">
      <c r="A1600" s="34"/>
      <c r="B1600" s="34"/>
      <c r="C1600" s="34"/>
      <c r="D1600" s="34"/>
      <c r="E1600" s="34"/>
      <c r="F1600" s="34"/>
      <c r="G1600" s="34"/>
      <c r="H1600" s="34"/>
      <c r="I1600" s="34"/>
      <c r="J1600" s="34"/>
      <c r="K1600" s="34"/>
      <c r="L1600" s="34"/>
      <c r="M1600" s="34"/>
      <c r="N1600" s="34"/>
      <c r="O1600" s="34"/>
      <c r="P1600" s="34"/>
      <c r="Q1600" s="34"/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  <c r="AF1600" s="34"/>
      <c r="AG1600" s="34"/>
      <c r="AH1600" s="34"/>
      <c r="AI1600" s="34"/>
      <c r="AJ1600" s="34"/>
      <c r="AK1600" s="34"/>
      <c r="AL1600" s="34"/>
      <c r="AM1600" s="34"/>
      <c r="AN1600" s="34"/>
      <c r="AO1600" s="34"/>
      <c r="AP1600" s="34"/>
      <c r="AQ1600" s="34"/>
      <c r="AR1600" s="34"/>
      <c r="AS1600" s="34"/>
      <c r="AT1600" s="34"/>
      <c r="AU1600" s="34"/>
      <c r="AV1600" s="34"/>
    </row>
    <row r="1601">
      <c r="A1601" s="34"/>
      <c r="B1601" s="34"/>
      <c r="C1601" s="34"/>
      <c r="D1601" s="34"/>
      <c r="E1601" s="34"/>
      <c r="F1601" s="34"/>
      <c r="G1601" s="34"/>
      <c r="H1601" s="34"/>
      <c r="I1601" s="34"/>
      <c r="J1601" s="34"/>
      <c r="K1601" s="34"/>
      <c r="L1601" s="34"/>
      <c r="M1601" s="34"/>
      <c r="N1601" s="34"/>
      <c r="O1601" s="34"/>
      <c r="P1601" s="34"/>
      <c r="Q1601" s="34"/>
      <c r="R1601" s="3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4"/>
      <c r="AD1601" s="34"/>
      <c r="AE1601" s="34"/>
      <c r="AF1601" s="34"/>
      <c r="AG1601" s="34"/>
      <c r="AH1601" s="34"/>
      <c r="AI1601" s="34"/>
      <c r="AJ1601" s="34"/>
      <c r="AK1601" s="34"/>
      <c r="AL1601" s="34"/>
      <c r="AM1601" s="34"/>
      <c r="AN1601" s="34"/>
      <c r="AO1601" s="34"/>
      <c r="AP1601" s="34"/>
      <c r="AQ1601" s="34"/>
      <c r="AR1601" s="34"/>
      <c r="AS1601" s="34"/>
      <c r="AT1601" s="34"/>
      <c r="AU1601" s="34"/>
      <c r="AV1601" s="34"/>
    </row>
    <row r="1602">
      <c r="A1602" s="34"/>
      <c r="B1602" s="34"/>
      <c r="C1602" s="34"/>
      <c r="D1602" s="34"/>
      <c r="E1602" s="34"/>
      <c r="F1602" s="34"/>
      <c r="G1602" s="34"/>
      <c r="H1602" s="34"/>
      <c r="I1602" s="34"/>
      <c r="J1602" s="34"/>
      <c r="K1602" s="34"/>
      <c r="L1602" s="34"/>
      <c r="M1602" s="34"/>
      <c r="N1602" s="34"/>
      <c r="O1602" s="34"/>
      <c r="P1602" s="34"/>
      <c r="Q1602" s="34"/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  <c r="AE1602" s="34"/>
      <c r="AF1602" s="34"/>
      <c r="AG1602" s="34"/>
      <c r="AH1602" s="34"/>
      <c r="AI1602" s="34"/>
      <c r="AJ1602" s="34"/>
      <c r="AK1602" s="34"/>
      <c r="AL1602" s="34"/>
      <c r="AM1602" s="34"/>
      <c r="AN1602" s="34"/>
      <c r="AO1602" s="34"/>
      <c r="AP1602" s="34"/>
      <c r="AQ1602" s="34"/>
      <c r="AR1602" s="34"/>
      <c r="AS1602" s="34"/>
      <c r="AT1602" s="34"/>
      <c r="AU1602" s="34"/>
      <c r="AV1602" s="34"/>
    </row>
    <row r="1603">
      <c r="A1603" s="34"/>
      <c r="B1603" s="34"/>
      <c r="C1603" s="34"/>
      <c r="D1603" s="34"/>
      <c r="E1603" s="34"/>
      <c r="F1603" s="34"/>
      <c r="G1603" s="34"/>
      <c r="H1603" s="34"/>
      <c r="I1603" s="34"/>
      <c r="J1603" s="34"/>
      <c r="K1603" s="34"/>
      <c r="L1603" s="34"/>
      <c r="M1603" s="34"/>
      <c r="N1603" s="34"/>
      <c r="O1603" s="34"/>
      <c r="P1603" s="34"/>
      <c r="Q1603" s="34"/>
      <c r="R1603" s="3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  <c r="AG1603" s="34"/>
      <c r="AH1603" s="34"/>
      <c r="AI1603" s="34"/>
      <c r="AJ1603" s="34"/>
      <c r="AK1603" s="34"/>
      <c r="AL1603" s="34"/>
      <c r="AM1603" s="34"/>
      <c r="AN1603" s="34"/>
      <c r="AO1603" s="34"/>
      <c r="AP1603" s="34"/>
      <c r="AQ1603" s="34"/>
      <c r="AR1603" s="34"/>
      <c r="AS1603" s="34"/>
      <c r="AT1603" s="34"/>
      <c r="AU1603" s="34"/>
      <c r="AV1603" s="34"/>
    </row>
    <row r="1604">
      <c r="A1604" s="34"/>
      <c r="B1604" s="34"/>
      <c r="C1604" s="34"/>
      <c r="D1604" s="34"/>
      <c r="E1604" s="34"/>
      <c r="F1604" s="34"/>
      <c r="G1604" s="34"/>
      <c r="H1604" s="34"/>
      <c r="I1604" s="34"/>
      <c r="J1604" s="34"/>
      <c r="K1604" s="34"/>
      <c r="L1604" s="34"/>
      <c r="M1604" s="34"/>
      <c r="N1604" s="34"/>
      <c r="O1604" s="34"/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  <c r="AE1604" s="34"/>
      <c r="AF1604" s="34"/>
      <c r="AG1604" s="34"/>
      <c r="AH1604" s="34"/>
      <c r="AI1604" s="34"/>
      <c r="AJ1604" s="34"/>
      <c r="AK1604" s="34"/>
      <c r="AL1604" s="34"/>
      <c r="AM1604" s="34"/>
      <c r="AN1604" s="34"/>
      <c r="AO1604" s="34"/>
      <c r="AP1604" s="34"/>
      <c r="AQ1604" s="34"/>
      <c r="AR1604" s="34"/>
      <c r="AS1604" s="34"/>
      <c r="AT1604" s="34"/>
      <c r="AU1604" s="34"/>
      <c r="AV1604" s="34"/>
    </row>
    <row r="1605">
      <c r="A1605" s="34"/>
      <c r="B1605" s="34"/>
      <c r="C1605" s="34"/>
      <c r="D1605" s="34"/>
      <c r="E1605" s="34"/>
      <c r="F1605" s="34"/>
      <c r="G1605" s="34"/>
      <c r="H1605" s="34"/>
      <c r="I1605" s="34"/>
      <c r="J1605" s="34"/>
      <c r="K1605" s="34"/>
      <c r="L1605" s="34"/>
      <c r="M1605" s="34"/>
      <c r="N1605" s="34"/>
      <c r="O1605" s="34"/>
      <c r="P1605" s="34"/>
      <c r="Q1605" s="34"/>
      <c r="R1605" s="3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4"/>
      <c r="AD1605" s="34"/>
      <c r="AE1605" s="34"/>
      <c r="AF1605" s="34"/>
      <c r="AG1605" s="34"/>
      <c r="AH1605" s="34"/>
      <c r="AI1605" s="34"/>
      <c r="AJ1605" s="34"/>
      <c r="AK1605" s="34"/>
      <c r="AL1605" s="34"/>
      <c r="AM1605" s="34"/>
      <c r="AN1605" s="34"/>
      <c r="AO1605" s="34"/>
      <c r="AP1605" s="34"/>
      <c r="AQ1605" s="34"/>
      <c r="AR1605" s="34"/>
      <c r="AS1605" s="34"/>
      <c r="AT1605" s="34"/>
      <c r="AU1605" s="34"/>
      <c r="AV1605" s="34"/>
    </row>
    <row r="1606">
      <c r="A1606" s="34"/>
      <c r="B1606" s="34"/>
      <c r="C1606" s="34"/>
      <c r="D1606" s="34"/>
      <c r="E1606" s="34"/>
      <c r="F1606" s="34"/>
      <c r="G1606" s="34"/>
      <c r="H1606" s="34"/>
      <c r="I1606" s="34"/>
      <c r="J1606" s="34"/>
      <c r="K1606" s="34"/>
      <c r="L1606" s="34"/>
      <c r="M1606" s="34"/>
      <c r="N1606" s="34"/>
      <c r="O1606" s="34"/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  <c r="AE1606" s="34"/>
      <c r="AF1606" s="34"/>
      <c r="AG1606" s="34"/>
      <c r="AH1606" s="34"/>
      <c r="AI1606" s="34"/>
      <c r="AJ1606" s="34"/>
      <c r="AK1606" s="34"/>
      <c r="AL1606" s="34"/>
      <c r="AM1606" s="34"/>
      <c r="AN1606" s="34"/>
      <c r="AO1606" s="34"/>
      <c r="AP1606" s="34"/>
      <c r="AQ1606" s="34"/>
      <c r="AR1606" s="34"/>
      <c r="AS1606" s="34"/>
      <c r="AT1606" s="34"/>
      <c r="AU1606" s="34"/>
      <c r="AV1606" s="34"/>
    </row>
    <row r="1607">
      <c r="A1607" s="34"/>
      <c r="B1607" s="34"/>
      <c r="C1607" s="34"/>
      <c r="D1607" s="34"/>
      <c r="E1607" s="34"/>
      <c r="F1607" s="34"/>
      <c r="G1607" s="34"/>
      <c r="H1607" s="34"/>
      <c r="I1607" s="34"/>
      <c r="J1607" s="34"/>
      <c r="K1607" s="34"/>
      <c r="L1607" s="34"/>
      <c r="M1607" s="34"/>
      <c r="N1607" s="34"/>
      <c r="O1607" s="34"/>
      <c r="P1607" s="34"/>
      <c r="Q1607" s="34"/>
      <c r="R1607" s="3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  <c r="AE1607" s="34"/>
      <c r="AF1607" s="34"/>
      <c r="AG1607" s="34"/>
      <c r="AH1607" s="34"/>
      <c r="AI1607" s="34"/>
      <c r="AJ1607" s="34"/>
      <c r="AK1607" s="34"/>
      <c r="AL1607" s="34"/>
      <c r="AM1607" s="34"/>
      <c r="AN1607" s="34"/>
      <c r="AO1607" s="34"/>
      <c r="AP1607" s="34"/>
      <c r="AQ1607" s="34"/>
      <c r="AR1607" s="34"/>
      <c r="AS1607" s="34"/>
      <c r="AT1607" s="34"/>
      <c r="AU1607" s="34"/>
      <c r="AV1607" s="34"/>
    </row>
    <row r="1608">
      <c r="A1608" s="34"/>
      <c r="B1608" s="34"/>
      <c r="C1608" s="34"/>
      <c r="D1608" s="34"/>
      <c r="E1608" s="34"/>
      <c r="F1608" s="34"/>
      <c r="G1608" s="34"/>
      <c r="H1608" s="34"/>
      <c r="I1608" s="34"/>
      <c r="J1608" s="34"/>
      <c r="K1608" s="34"/>
      <c r="L1608" s="34"/>
      <c r="M1608" s="34"/>
      <c r="N1608" s="34"/>
      <c r="O1608" s="34"/>
      <c r="P1608" s="34"/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  <c r="AE1608" s="34"/>
      <c r="AF1608" s="34"/>
      <c r="AG1608" s="34"/>
      <c r="AH1608" s="34"/>
      <c r="AI1608" s="34"/>
      <c r="AJ1608" s="34"/>
      <c r="AK1608" s="34"/>
      <c r="AL1608" s="34"/>
      <c r="AM1608" s="34"/>
      <c r="AN1608" s="34"/>
      <c r="AO1608" s="34"/>
      <c r="AP1608" s="34"/>
      <c r="AQ1608" s="34"/>
      <c r="AR1608" s="34"/>
      <c r="AS1608" s="34"/>
      <c r="AT1608" s="34"/>
      <c r="AU1608" s="34"/>
      <c r="AV1608" s="34"/>
    </row>
    <row r="1609">
      <c r="A1609" s="34"/>
      <c r="B1609" s="34"/>
      <c r="C1609" s="34"/>
      <c r="D1609" s="34"/>
      <c r="E1609" s="34"/>
      <c r="F1609" s="34"/>
      <c r="G1609" s="34"/>
      <c r="H1609" s="34"/>
      <c r="I1609" s="34"/>
      <c r="J1609" s="34"/>
      <c r="K1609" s="34"/>
      <c r="L1609" s="34"/>
      <c r="M1609" s="34"/>
      <c r="N1609" s="34"/>
      <c r="O1609" s="34"/>
      <c r="P1609" s="34"/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4"/>
      <c r="AD1609" s="34"/>
      <c r="AE1609" s="34"/>
      <c r="AF1609" s="34"/>
      <c r="AG1609" s="34"/>
      <c r="AH1609" s="34"/>
      <c r="AI1609" s="34"/>
      <c r="AJ1609" s="34"/>
      <c r="AK1609" s="34"/>
      <c r="AL1609" s="34"/>
      <c r="AM1609" s="34"/>
      <c r="AN1609" s="34"/>
      <c r="AO1609" s="34"/>
      <c r="AP1609" s="34"/>
      <c r="AQ1609" s="34"/>
      <c r="AR1609" s="34"/>
      <c r="AS1609" s="34"/>
      <c r="AT1609" s="34"/>
      <c r="AU1609" s="34"/>
      <c r="AV1609" s="34"/>
    </row>
    <row r="1610">
      <c r="A1610" s="34"/>
      <c r="B1610" s="34"/>
      <c r="C1610" s="34"/>
      <c r="D1610" s="34"/>
      <c r="E1610" s="34"/>
      <c r="F1610" s="34"/>
      <c r="G1610" s="34"/>
      <c r="H1610" s="34"/>
      <c r="I1610" s="34"/>
      <c r="J1610" s="34"/>
      <c r="K1610" s="34"/>
      <c r="L1610" s="34"/>
      <c r="M1610" s="34"/>
      <c r="N1610" s="34"/>
      <c r="O1610" s="34"/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  <c r="AE1610" s="34"/>
      <c r="AF1610" s="34"/>
      <c r="AG1610" s="34"/>
      <c r="AH1610" s="34"/>
      <c r="AI1610" s="34"/>
      <c r="AJ1610" s="34"/>
      <c r="AK1610" s="34"/>
      <c r="AL1610" s="34"/>
      <c r="AM1610" s="34"/>
      <c r="AN1610" s="34"/>
      <c r="AO1610" s="34"/>
      <c r="AP1610" s="34"/>
      <c r="AQ1610" s="34"/>
      <c r="AR1610" s="34"/>
      <c r="AS1610" s="34"/>
      <c r="AT1610" s="34"/>
      <c r="AU1610" s="34"/>
      <c r="AV1610" s="34"/>
    </row>
    <row r="1611">
      <c r="A1611" s="34"/>
      <c r="B1611" s="34"/>
      <c r="C1611" s="34"/>
      <c r="D1611" s="34"/>
      <c r="E1611" s="34"/>
      <c r="F1611" s="34"/>
      <c r="G1611" s="34"/>
      <c r="H1611" s="34"/>
      <c r="I1611" s="34"/>
      <c r="J1611" s="34"/>
      <c r="K1611" s="34"/>
      <c r="L1611" s="34"/>
      <c r="M1611" s="34"/>
      <c r="N1611" s="34"/>
      <c r="O1611" s="34"/>
      <c r="P1611" s="34"/>
      <c r="Q1611" s="34"/>
      <c r="R1611" s="34"/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34"/>
      <c r="AD1611" s="34"/>
      <c r="AE1611" s="34"/>
      <c r="AF1611" s="34"/>
      <c r="AG1611" s="34"/>
      <c r="AH1611" s="34"/>
      <c r="AI1611" s="34"/>
      <c r="AJ1611" s="34"/>
      <c r="AK1611" s="34"/>
      <c r="AL1611" s="34"/>
      <c r="AM1611" s="34"/>
      <c r="AN1611" s="34"/>
      <c r="AO1611" s="34"/>
      <c r="AP1611" s="34"/>
      <c r="AQ1611" s="34"/>
      <c r="AR1611" s="34"/>
      <c r="AS1611" s="34"/>
      <c r="AT1611" s="34"/>
      <c r="AU1611" s="34"/>
      <c r="AV1611" s="34"/>
    </row>
    <row r="1612">
      <c r="A1612" s="34"/>
      <c r="B1612" s="34"/>
      <c r="C1612" s="34"/>
      <c r="D1612" s="34"/>
      <c r="E1612" s="34"/>
      <c r="F1612" s="34"/>
      <c r="G1612" s="34"/>
      <c r="H1612" s="34"/>
      <c r="I1612" s="34"/>
      <c r="J1612" s="34"/>
      <c r="K1612" s="34"/>
      <c r="L1612" s="34"/>
      <c r="M1612" s="34"/>
      <c r="N1612" s="34"/>
      <c r="O1612" s="34"/>
      <c r="P1612" s="34"/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  <c r="AG1612" s="34"/>
      <c r="AH1612" s="34"/>
      <c r="AI1612" s="34"/>
      <c r="AJ1612" s="34"/>
      <c r="AK1612" s="34"/>
      <c r="AL1612" s="34"/>
      <c r="AM1612" s="34"/>
      <c r="AN1612" s="34"/>
      <c r="AO1612" s="34"/>
      <c r="AP1612" s="34"/>
      <c r="AQ1612" s="34"/>
      <c r="AR1612" s="34"/>
      <c r="AS1612" s="34"/>
      <c r="AT1612" s="34"/>
      <c r="AU1612" s="34"/>
      <c r="AV1612" s="34"/>
    </row>
    <row r="1613">
      <c r="A1613" s="34"/>
      <c r="B1613" s="34"/>
      <c r="C1613" s="34"/>
      <c r="D1613" s="34"/>
      <c r="E1613" s="34"/>
      <c r="F1613" s="34"/>
      <c r="G1613" s="34"/>
      <c r="H1613" s="34"/>
      <c r="I1613" s="34"/>
      <c r="J1613" s="34"/>
      <c r="K1613" s="34"/>
      <c r="L1613" s="34"/>
      <c r="M1613" s="34"/>
      <c r="N1613" s="34"/>
      <c r="O1613" s="34"/>
      <c r="P1613" s="34"/>
      <c r="Q1613" s="34"/>
      <c r="R1613" s="3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  <c r="AG1613" s="34"/>
      <c r="AH1613" s="34"/>
      <c r="AI1613" s="34"/>
      <c r="AJ1613" s="34"/>
      <c r="AK1613" s="34"/>
      <c r="AL1613" s="34"/>
      <c r="AM1613" s="34"/>
      <c r="AN1613" s="34"/>
      <c r="AO1613" s="34"/>
      <c r="AP1613" s="34"/>
      <c r="AQ1613" s="34"/>
      <c r="AR1613" s="34"/>
      <c r="AS1613" s="34"/>
      <c r="AT1613" s="34"/>
      <c r="AU1613" s="34"/>
      <c r="AV1613" s="34"/>
    </row>
    <row r="1614">
      <c r="A1614" s="34"/>
      <c r="B1614" s="34"/>
      <c r="C1614" s="34"/>
      <c r="D1614" s="34"/>
      <c r="E1614" s="34"/>
      <c r="F1614" s="34"/>
      <c r="G1614" s="34"/>
      <c r="H1614" s="34"/>
      <c r="I1614" s="34"/>
      <c r="J1614" s="34"/>
      <c r="K1614" s="34"/>
      <c r="L1614" s="34"/>
      <c r="M1614" s="34"/>
      <c r="N1614" s="34"/>
      <c r="O1614" s="34"/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  <c r="AG1614" s="34"/>
      <c r="AH1614" s="34"/>
      <c r="AI1614" s="34"/>
      <c r="AJ1614" s="34"/>
      <c r="AK1614" s="34"/>
      <c r="AL1614" s="34"/>
      <c r="AM1614" s="34"/>
      <c r="AN1614" s="34"/>
      <c r="AO1614" s="34"/>
      <c r="AP1614" s="34"/>
      <c r="AQ1614" s="34"/>
      <c r="AR1614" s="34"/>
      <c r="AS1614" s="34"/>
      <c r="AT1614" s="34"/>
      <c r="AU1614" s="34"/>
      <c r="AV1614" s="34"/>
    </row>
    <row r="1615">
      <c r="A1615" s="34"/>
      <c r="B1615" s="34"/>
      <c r="C1615" s="34"/>
      <c r="D1615" s="34"/>
      <c r="E1615" s="34"/>
      <c r="F1615" s="34"/>
      <c r="G1615" s="34"/>
      <c r="H1615" s="34"/>
      <c r="I1615" s="34"/>
      <c r="J1615" s="34"/>
      <c r="K1615" s="34"/>
      <c r="L1615" s="34"/>
      <c r="M1615" s="34"/>
      <c r="N1615" s="34"/>
      <c r="O1615" s="34"/>
      <c r="P1615" s="34"/>
      <c r="Q1615" s="34"/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  <c r="AG1615" s="34"/>
      <c r="AH1615" s="34"/>
      <c r="AI1615" s="34"/>
      <c r="AJ1615" s="34"/>
      <c r="AK1615" s="34"/>
      <c r="AL1615" s="34"/>
      <c r="AM1615" s="34"/>
      <c r="AN1615" s="34"/>
      <c r="AO1615" s="34"/>
      <c r="AP1615" s="34"/>
      <c r="AQ1615" s="34"/>
      <c r="AR1615" s="34"/>
      <c r="AS1615" s="34"/>
      <c r="AT1615" s="34"/>
      <c r="AU1615" s="34"/>
      <c r="AV1615" s="34"/>
    </row>
    <row r="1616">
      <c r="A1616" s="34"/>
      <c r="B1616" s="34"/>
      <c r="C1616" s="34"/>
      <c r="D1616" s="34"/>
      <c r="E1616" s="34"/>
      <c r="F1616" s="34"/>
      <c r="G1616" s="34"/>
      <c r="H1616" s="34"/>
      <c r="I1616" s="34"/>
      <c r="J1616" s="34"/>
      <c r="K1616" s="34"/>
      <c r="L1616" s="34"/>
      <c r="M1616" s="34"/>
      <c r="N1616" s="34"/>
      <c r="O1616" s="34"/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  <c r="AG1616" s="34"/>
      <c r="AH1616" s="34"/>
      <c r="AI1616" s="34"/>
      <c r="AJ1616" s="34"/>
      <c r="AK1616" s="34"/>
      <c r="AL1616" s="34"/>
      <c r="AM1616" s="34"/>
      <c r="AN1616" s="34"/>
      <c r="AO1616" s="34"/>
      <c r="AP1616" s="34"/>
      <c r="AQ1616" s="34"/>
      <c r="AR1616" s="34"/>
      <c r="AS1616" s="34"/>
      <c r="AT1616" s="34"/>
      <c r="AU1616" s="34"/>
      <c r="AV1616" s="34"/>
    </row>
    <row r="1617">
      <c r="A1617" s="34"/>
      <c r="B1617" s="34"/>
      <c r="C1617" s="34"/>
      <c r="D1617" s="34"/>
      <c r="E1617" s="34"/>
      <c r="F1617" s="34"/>
      <c r="G1617" s="34"/>
      <c r="H1617" s="34"/>
      <c r="I1617" s="34"/>
      <c r="J1617" s="34"/>
      <c r="K1617" s="34"/>
      <c r="L1617" s="34"/>
      <c r="M1617" s="34"/>
      <c r="N1617" s="34"/>
      <c r="O1617" s="34"/>
      <c r="P1617" s="34"/>
      <c r="Q1617" s="34"/>
      <c r="R1617" s="34"/>
      <c r="S1617" s="34"/>
      <c r="T1617" s="34"/>
      <c r="U1617" s="34"/>
      <c r="V1617" s="34"/>
      <c r="W1617" s="34"/>
      <c r="X1617" s="34"/>
      <c r="Y1617" s="34"/>
      <c r="Z1617" s="34"/>
      <c r="AA1617" s="34"/>
      <c r="AB1617" s="34"/>
      <c r="AC1617" s="34"/>
      <c r="AD1617" s="34"/>
      <c r="AE1617" s="34"/>
      <c r="AF1617" s="34"/>
      <c r="AG1617" s="34"/>
      <c r="AH1617" s="34"/>
      <c r="AI1617" s="34"/>
      <c r="AJ1617" s="34"/>
      <c r="AK1617" s="34"/>
      <c r="AL1617" s="34"/>
      <c r="AM1617" s="34"/>
      <c r="AN1617" s="34"/>
      <c r="AO1617" s="34"/>
      <c r="AP1617" s="34"/>
      <c r="AQ1617" s="34"/>
      <c r="AR1617" s="34"/>
      <c r="AS1617" s="34"/>
      <c r="AT1617" s="34"/>
      <c r="AU1617" s="34"/>
      <c r="AV1617" s="34"/>
    </row>
    <row r="1618">
      <c r="A1618" s="34"/>
      <c r="B1618" s="34"/>
      <c r="C1618" s="34"/>
      <c r="D1618" s="34"/>
      <c r="E1618" s="34"/>
      <c r="F1618" s="34"/>
      <c r="G1618" s="34"/>
      <c r="H1618" s="34"/>
      <c r="I1618" s="34"/>
      <c r="J1618" s="34"/>
      <c r="K1618" s="34"/>
      <c r="L1618" s="34"/>
      <c r="M1618" s="34"/>
      <c r="N1618" s="34"/>
      <c r="O1618" s="34"/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  <c r="AE1618" s="34"/>
      <c r="AF1618" s="34"/>
      <c r="AG1618" s="34"/>
      <c r="AH1618" s="34"/>
      <c r="AI1618" s="34"/>
      <c r="AJ1618" s="34"/>
      <c r="AK1618" s="34"/>
      <c r="AL1618" s="34"/>
      <c r="AM1618" s="34"/>
      <c r="AN1618" s="34"/>
      <c r="AO1618" s="34"/>
      <c r="AP1618" s="34"/>
      <c r="AQ1618" s="34"/>
      <c r="AR1618" s="34"/>
      <c r="AS1618" s="34"/>
      <c r="AT1618" s="34"/>
      <c r="AU1618" s="34"/>
      <c r="AV1618" s="34"/>
    </row>
    <row r="1619">
      <c r="A1619" s="34"/>
      <c r="B1619" s="34"/>
      <c r="C1619" s="34"/>
      <c r="D1619" s="34"/>
      <c r="E1619" s="34"/>
      <c r="F1619" s="34"/>
      <c r="G1619" s="34"/>
      <c r="H1619" s="34"/>
      <c r="I1619" s="34"/>
      <c r="J1619" s="34"/>
      <c r="K1619" s="34"/>
      <c r="L1619" s="34"/>
      <c r="M1619" s="34"/>
      <c r="N1619" s="34"/>
      <c r="O1619" s="34"/>
      <c r="P1619" s="34"/>
      <c r="Q1619" s="34"/>
      <c r="R1619" s="3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4"/>
      <c r="AD1619" s="34"/>
      <c r="AE1619" s="34"/>
      <c r="AF1619" s="34"/>
      <c r="AG1619" s="34"/>
      <c r="AH1619" s="34"/>
      <c r="AI1619" s="34"/>
      <c r="AJ1619" s="34"/>
      <c r="AK1619" s="34"/>
      <c r="AL1619" s="34"/>
      <c r="AM1619" s="34"/>
      <c r="AN1619" s="34"/>
      <c r="AO1619" s="34"/>
      <c r="AP1619" s="34"/>
      <c r="AQ1619" s="34"/>
      <c r="AR1619" s="34"/>
      <c r="AS1619" s="34"/>
      <c r="AT1619" s="34"/>
      <c r="AU1619" s="34"/>
      <c r="AV1619" s="34"/>
    </row>
    <row r="1620">
      <c r="A1620" s="34"/>
      <c r="B1620" s="34"/>
      <c r="C1620" s="34"/>
      <c r="D1620" s="34"/>
      <c r="E1620" s="34"/>
      <c r="F1620" s="34"/>
      <c r="G1620" s="34"/>
      <c r="H1620" s="34"/>
      <c r="I1620" s="34"/>
      <c r="J1620" s="34"/>
      <c r="K1620" s="34"/>
      <c r="L1620" s="34"/>
      <c r="M1620" s="34"/>
      <c r="N1620" s="34"/>
      <c r="O1620" s="34"/>
      <c r="P1620" s="34"/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  <c r="AE1620" s="34"/>
      <c r="AF1620" s="34"/>
      <c r="AG1620" s="34"/>
      <c r="AH1620" s="34"/>
      <c r="AI1620" s="34"/>
      <c r="AJ1620" s="34"/>
      <c r="AK1620" s="34"/>
      <c r="AL1620" s="34"/>
      <c r="AM1620" s="34"/>
      <c r="AN1620" s="34"/>
      <c r="AO1620" s="34"/>
      <c r="AP1620" s="34"/>
      <c r="AQ1620" s="34"/>
      <c r="AR1620" s="34"/>
      <c r="AS1620" s="34"/>
      <c r="AT1620" s="34"/>
      <c r="AU1620" s="34"/>
      <c r="AV1620" s="34"/>
    </row>
    <row r="1621">
      <c r="A1621" s="34"/>
      <c r="B1621" s="34"/>
      <c r="C1621" s="34"/>
      <c r="D1621" s="34"/>
      <c r="E1621" s="34"/>
      <c r="F1621" s="34"/>
      <c r="G1621" s="34"/>
      <c r="H1621" s="34"/>
      <c r="I1621" s="34"/>
      <c r="J1621" s="34"/>
      <c r="K1621" s="34"/>
      <c r="L1621" s="34"/>
      <c r="M1621" s="34"/>
      <c r="N1621" s="34"/>
      <c r="O1621" s="34"/>
      <c r="P1621" s="34"/>
      <c r="Q1621" s="34"/>
      <c r="R1621" s="3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  <c r="AJ1621" s="34"/>
      <c r="AK1621" s="34"/>
      <c r="AL1621" s="34"/>
      <c r="AM1621" s="34"/>
      <c r="AN1621" s="34"/>
      <c r="AO1621" s="34"/>
      <c r="AP1621" s="34"/>
      <c r="AQ1621" s="34"/>
      <c r="AR1621" s="34"/>
      <c r="AS1621" s="34"/>
      <c r="AT1621" s="34"/>
      <c r="AU1621" s="34"/>
      <c r="AV1621" s="34"/>
    </row>
    <row r="1622">
      <c r="A1622" s="34"/>
      <c r="B1622" s="34"/>
      <c r="C1622" s="34"/>
      <c r="D1622" s="34"/>
      <c r="E1622" s="34"/>
      <c r="F1622" s="34"/>
      <c r="G1622" s="34"/>
      <c r="H1622" s="34"/>
      <c r="I1622" s="34"/>
      <c r="J1622" s="34"/>
      <c r="K1622" s="34"/>
      <c r="L1622" s="34"/>
      <c r="M1622" s="34"/>
      <c r="N1622" s="34"/>
      <c r="O1622" s="34"/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  <c r="AE1622" s="34"/>
      <c r="AF1622" s="34"/>
      <c r="AG1622" s="34"/>
      <c r="AH1622" s="34"/>
      <c r="AI1622" s="34"/>
      <c r="AJ1622" s="34"/>
      <c r="AK1622" s="34"/>
      <c r="AL1622" s="34"/>
      <c r="AM1622" s="34"/>
      <c r="AN1622" s="34"/>
      <c r="AO1622" s="34"/>
      <c r="AP1622" s="34"/>
      <c r="AQ1622" s="34"/>
      <c r="AR1622" s="34"/>
      <c r="AS1622" s="34"/>
      <c r="AT1622" s="34"/>
      <c r="AU1622" s="34"/>
      <c r="AV1622" s="34"/>
    </row>
    <row r="1623">
      <c r="A1623" s="34"/>
      <c r="B1623" s="34"/>
      <c r="C1623" s="34"/>
      <c r="D1623" s="34"/>
      <c r="E1623" s="34"/>
      <c r="F1623" s="34"/>
      <c r="G1623" s="34"/>
      <c r="H1623" s="34"/>
      <c r="I1623" s="34"/>
      <c r="J1623" s="34"/>
      <c r="K1623" s="34"/>
      <c r="L1623" s="34"/>
      <c r="M1623" s="34"/>
      <c r="N1623" s="34"/>
      <c r="O1623" s="34"/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/>
      <c r="AN1623" s="34"/>
      <c r="AO1623" s="34"/>
      <c r="AP1623" s="34"/>
      <c r="AQ1623" s="34"/>
      <c r="AR1623" s="34"/>
      <c r="AS1623" s="34"/>
      <c r="AT1623" s="34"/>
      <c r="AU1623" s="34"/>
      <c r="AV1623" s="34"/>
    </row>
    <row r="1624">
      <c r="A1624" s="34"/>
      <c r="B1624" s="34"/>
      <c r="C1624" s="34"/>
      <c r="D1624" s="34"/>
      <c r="E1624" s="34"/>
      <c r="F1624" s="34"/>
      <c r="G1624" s="34"/>
      <c r="H1624" s="34"/>
      <c r="I1624" s="34"/>
      <c r="J1624" s="34"/>
      <c r="K1624" s="34"/>
      <c r="L1624" s="34"/>
      <c r="M1624" s="34"/>
      <c r="N1624" s="34"/>
      <c r="O1624" s="34"/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  <c r="AE1624" s="34"/>
      <c r="AF1624" s="34"/>
      <c r="AG1624" s="34"/>
      <c r="AH1624" s="34"/>
      <c r="AI1624" s="34"/>
      <c r="AJ1624" s="34"/>
      <c r="AK1624" s="34"/>
      <c r="AL1624" s="34"/>
      <c r="AM1624" s="34"/>
      <c r="AN1624" s="34"/>
      <c r="AO1624" s="34"/>
      <c r="AP1624" s="34"/>
      <c r="AQ1624" s="34"/>
      <c r="AR1624" s="34"/>
      <c r="AS1624" s="34"/>
      <c r="AT1624" s="34"/>
      <c r="AU1624" s="34"/>
      <c r="AV1624" s="34"/>
    </row>
    <row r="1625">
      <c r="A1625" s="34"/>
      <c r="B1625" s="34"/>
      <c r="C1625" s="34"/>
      <c r="D1625" s="34"/>
      <c r="E1625" s="34"/>
      <c r="F1625" s="34"/>
      <c r="G1625" s="34"/>
      <c r="H1625" s="34"/>
      <c r="I1625" s="34"/>
      <c r="J1625" s="34"/>
      <c r="K1625" s="34"/>
      <c r="L1625" s="34"/>
      <c r="M1625" s="34"/>
      <c r="N1625" s="34"/>
      <c r="O1625" s="34"/>
      <c r="P1625" s="34"/>
      <c r="Q1625" s="34"/>
      <c r="R1625" s="34"/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4"/>
      <c r="AD1625" s="34"/>
      <c r="AE1625" s="34"/>
      <c r="AF1625" s="34"/>
      <c r="AG1625" s="34"/>
      <c r="AH1625" s="34"/>
      <c r="AI1625" s="34"/>
      <c r="AJ1625" s="34"/>
      <c r="AK1625" s="34"/>
      <c r="AL1625" s="34"/>
      <c r="AM1625" s="34"/>
      <c r="AN1625" s="34"/>
      <c r="AO1625" s="34"/>
      <c r="AP1625" s="34"/>
      <c r="AQ1625" s="34"/>
      <c r="AR1625" s="34"/>
      <c r="AS1625" s="34"/>
      <c r="AT1625" s="34"/>
      <c r="AU1625" s="34"/>
      <c r="AV1625" s="34"/>
    </row>
    <row r="1626">
      <c r="A1626" s="34"/>
      <c r="B1626" s="34"/>
      <c r="C1626" s="34"/>
      <c r="D1626" s="34"/>
      <c r="E1626" s="34"/>
      <c r="F1626" s="34"/>
      <c r="G1626" s="34"/>
      <c r="H1626" s="34"/>
      <c r="I1626" s="34"/>
      <c r="J1626" s="34"/>
      <c r="K1626" s="34"/>
      <c r="L1626" s="34"/>
      <c r="M1626" s="34"/>
      <c r="N1626" s="34"/>
      <c r="O1626" s="34"/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/>
      <c r="AN1626" s="34"/>
      <c r="AO1626" s="34"/>
      <c r="AP1626" s="34"/>
      <c r="AQ1626" s="34"/>
      <c r="AR1626" s="34"/>
      <c r="AS1626" s="34"/>
      <c r="AT1626" s="34"/>
      <c r="AU1626" s="34"/>
      <c r="AV1626" s="34"/>
    </row>
    <row r="1627">
      <c r="A1627" s="34"/>
      <c r="B1627" s="34"/>
      <c r="C1627" s="34"/>
      <c r="D1627" s="34"/>
      <c r="E1627" s="34"/>
      <c r="F1627" s="34"/>
      <c r="G1627" s="34"/>
      <c r="H1627" s="34"/>
      <c r="I1627" s="34"/>
      <c r="J1627" s="34"/>
      <c r="K1627" s="34"/>
      <c r="L1627" s="34"/>
      <c r="M1627" s="34"/>
      <c r="N1627" s="34"/>
      <c r="O1627" s="34"/>
      <c r="P1627" s="34"/>
      <c r="Q1627" s="34"/>
      <c r="R1627" s="34"/>
      <c r="S1627" s="34"/>
      <c r="T1627" s="34"/>
      <c r="U1627" s="34"/>
      <c r="V1627" s="34"/>
      <c r="W1627" s="34"/>
      <c r="X1627" s="34"/>
      <c r="Y1627" s="34"/>
      <c r="Z1627" s="34"/>
      <c r="AA1627" s="34"/>
      <c r="AB1627" s="34"/>
      <c r="AC1627" s="34"/>
      <c r="AD1627" s="34"/>
      <c r="AE1627" s="34"/>
      <c r="AF1627" s="34"/>
      <c r="AG1627" s="34"/>
      <c r="AH1627" s="34"/>
      <c r="AI1627" s="34"/>
      <c r="AJ1627" s="34"/>
      <c r="AK1627" s="34"/>
      <c r="AL1627" s="34"/>
      <c r="AM1627" s="34"/>
      <c r="AN1627" s="34"/>
      <c r="AO1627" s="34"/>
      <c r="AP1627" s="34"/>
      <c r="AQ1627" s="34"/>
      <c r="AR1627" s="34"/>
      <c r="AS1627" s="34"/>
      <c r="AT1627" s="34"/>
      <c r="AU1627" s="34"/>
      <c r="AV1627" s="34"/>
    </row>
    <row r="1628">
      <c r="A1628" s="34"/>
      <c r="B1628" s="34"/>
      <c r="C1628" s="34"/>
      <c r="D1628" s="34"/>
      <c r="E1628" s="34"/>
      <c r="F1628" s="34"/>
      <c r="G1628" s="34"/>
      <c r="H1628" s="34"/>
      <c r="I1628" s="34"/>
      <c r="J1628" s="34"/>
      <c r="K1628" s="34"/>
      <c r="L1628" s="34"/>
      <c r="M1628" s="34"/>
      <c r="N1628" s="34"/>
      <c r="O1628" s="34"/>
      <c r="P1628" s="34"/>
      <c r="Q1628" s="34"/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  <c r="AE1628" s="34"/>
      <c r="AF1628" s="34"/>
      <c r="AG1628" s="34"/>
      <c r="AH1628" s="34"/>
      <c r="AI1628" s="34"/>
      <c r="AJ1628" s="34"/>
      <c r="AK1628" s="34"/>
      <c r="AL1628" s="34"/>
      <c r="AM1628" s="34"/>
      <c r="AN1628" s="34"/>
      <c r="AO1628" s="34"/>
      <c r="AP1628" s="34"/>
      <c r="AQ1628" s="34"/>
      <c r="AR1628" s="34"/>
      <c r="AS1628" s="34"/>
      <c r="AT1628" s="34"/>
      <c r="AU1628" s="34"/>
      <c r="AV1628" s="34"/>
    </row>
    <row r="1629">
      <c r="A1629" s="34"/>
      <c r="B1629" s="34"/>
      <c r="C1629" s="34"/>
      <c r="D1629" s="34"/>
      <c r="E1629" s="34"/>
      <c r="F1629" s="34"/>
      <c r="G1629" s="34"/>
      <c r="H1629" s="34"/>
      <c r="I1629" s="34"/>
      <c r="J1629" s="34"/>
      <c r="K1629" s="34"/>
      <c r="L1629" s="34"/>
      <c r="M1629" s="34"/>
      <c r="N1629" s="34"/>
      <c r="O1629" s="34"/>
      <c r="P1629" s="34"/>
      <c r="Q1629" s="34"/>
      <c r="R1629" s="3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4"/>
      <c r="AD1629" s="34"/>
      <c r="AE1629" s="34"/>
      <c r="AF1629" s="34"/>
      <c r="AG1629" s="34"/>
      <c r="AH1629" s="34"/>
      <c r="AI1629" s="34"/>
      <c r="AJ1629" s="34"/>
      <c r="AK1629" s="34"/>
      <c r="AL1629" s="34"/>
      <c r="AM1629" s="34"/>
      <c r="AN1629" s="34"/>
      <c r="AO1629" s="34"/>
      <c r="AP1629" s="34"/>
      <c r="AQ1629" s="34"/>
      <c r="AR1629" s="34"/>
      <c r="AS1629" s="34"/>
      <c r="AT1629" s="34"/>
      <c r="AU1629" s="34"/>
      <c r="AV1629" s="34"/>
    </row>
    <row r="1630">
      <c r="A1630" s="34"/>
      <c r="B1630" s="34"/>
      <c r="C1630" s="34"/>
      <c r="D1630" s="34"/>
      <c r="E1630" s="34"/>
      <c r="F1630" s="34"/>
      <c r="G1630" s="34"/>
      <c r="H1630" s="34"/>
      <c r="I1630" s="34"/>
      <c r="J1630" s="34"/>
      <c r="K1630" s="34"/>
      <c r="L1630" s="34"/>
      <c r="M1630" s="34"/>
      <c r="N1630" s="34"/>
      <c r="O1630" s="34"/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  <c r="AE1630" s="34"/>
      <c r="AF1630" s="34"/>
      <c r="AG1630" s="34"/>
      <c r="AH1630" s="34"/>
      <c r="AI1630" s="34"/>
      <c r="AJ1630" s="34"/>
      <c r="AK1630" s="34"/>
      <c r="AL1630" s="34"/>
      <c r="AM1630" s="34"/>
      <c r="AN1630" s="34"/>
      <c r="AO1630" s="34"/>
      <c r="AP1630" s="34"/>
      <c r="AQ1630" s="34"/>
      <c r="AR1630" s="34"/>
      <c r="AS1630" s="34"/>
      <c r="AT1630" s="34"/>
      <c r="AU1630" s="34"/>
      <c r="AV1630" s="34"/>
    </row>
    <row r="1631">
      <c r="A1631" s="34"/>
      <c r="B1631" s="34"/>
      <c r="C1631" s="34"/>
      <c r="D1631" s="34"/>
      <c r="E1631" s="34"/>
      <c r="F1631" s="34"/>
      <c r="G1631" s="34"/>
      <c r="H1631" s="34"/>
      <c r="I1631" s="34"/>
      <c r="J1631" s="34"/>
      <c r="K1631" s="34"/>
      <c r="L1631" s="34"/>
      <c r="M1631" s="34"/>
      <c r="N1631" s="34"/>
      <c r="O1631" s="34"/>
      <c r="P1631" s="34"/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34"/>
      <c r="AN1631" s="34"/>
      <c r="AO1631" s="34"/>
      <c r="AP1631" s="34"/>
      <c r="AQ1631" s="34"/>
      <c r="AR1631" s="34"/>
      <c r="AS1631" s="34"/>
      <c r="AT1631" s="34"/>
      <c r="AU1631" s="34"/>
      <c r="AV1631" s="34"/>
    </row>
    <row r="1632">
      <c r="A1632" s="34"/>
      <c r="B1632" s="34"/>
      <c r="C1632" s="34"/>
      <c r="D1632" s="34"/>
      <c r="E1632" s="34"/>
      <c r="F1632" s="34"/>
      <c r="G1632" s="34"/>
      <c r="H1632" s="34"/>
      <c r="I1632" s="34"/>
      <c r="J1632" s="34"/>
      <c r="K1632" s="34"/>
      <c r="L1632" s="34"/>
      <c r="M1632" s="34"/>
      <c r="N1632" s="34"/>
      <c r="O1632" s="34"/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  <c r="AJ1632" s="34"/>
      <c r="AK1632" s="34"/>
      <c r="AL1632" s="34"/>
      <c r="AM1632" s="34"/>
      <c r="AN1632" s="34"/>
      <c r="AO1632" s="34"/>
      <c r="AP1632" s="34"/>
      <c r="AQ1632" s="34"/>
      <c r="AR1632" s="34"/>
      <c r="AS1632" s="34"/>
      <c r="AT1632" s="34"/>
      <c r="AU1632" s="34"/>
      <c r="AV1632" s="34"/>
    </row>
    <row r="1633">
      <c r="A1633" s="34"/>
      <c r="B1633" s="34"/>
      <c r="C1633" s="34"/>
      <c r="D1633" s="34"/>
      <c r="E1633" s="34"/>
      <c r="F1633" s="34"/>
      <c r="G1633" s="34"/>
      <c r="H1633" s="34"/>
      <c r="I1633" s="34"/>
      <c r="J1633" s="34"/>
      <c r="K1633" s="34"/>
      <c r="L1633" s="34"/>
      <c r="M1633" s="34"/>
      <c r="N1633" s="34"/>
      <c r="O1633" s="34"/>
      <c r="P1633" s="34"/>
      <c r="Q1633" s="34"/>
      <c r="R1633" s="34"/>
      <c r="S1633" s="34"/>
      <c r="T1633" s="34"/>
      <c r="U1633" s="34"/>
      <c r="V1633" s="34"/>
      <c r="W1633" s="34"/>
      <c r="X1633" s="34"/>
      <c r="Y1633" s="34"/>
      <c r="Z1633" s="34"/>
      <c r="AA1633" s="34"/>
      <c r="AB1633" s="34"/>
      <c r="AC1633" s="34"/>
      <c r="AD1633" s="34"/>
      <c r="AE1633" s="34"/>
      <c r="AF1633" s="34"/>
      <c r="AG1633" s="34"/>
      <c r="AH1633" s="34"/>
      <c r="AI1633" s="34"/>
      <c r="AJ1633" s="34"/>
      <c r="AK1633" s="34"/>
      <c r="AL1633" s="34"/>
      <c r="AM1633" s="34"/>
      <c r="AN1633" s="34"/>
      <c r="AO1633" s="34"/>
      <c r="AP1633" s="34"/>
      <c r="AQ1633" s="34"/>
      <c r="AR1633" s="34"/>
      <c r="AS1633" s="34"/>
      <c r="AT1633" s="34"/>
      <c r="AU1633" s="34"/>
      <c r="AV1633" s="34"/>
    </row>
    <row r="1634">
      <c r="A1634" s="34"/>
      <c r="B1634" s="34"/>
      <c r="C1634" s="34"/>
      <c r="D1634" s="34"/>
      <c r="E1634" s="34"/>
      <c r="F1634" s="34"/>
      <c r="G1634" s="34"/>
      <c r="H1634" s="34"/>
      <c r="I1634" s="34"/>
      <c r="J1634" s="34"/>
      <c r="K1634" s="34"/>
      <c r="L1634" s="34"/>
      <c r="M1634" s="34"/>
      <c r="N1634" s="34"/>
      <c r="O1634" s="34"/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  <c r="AE1634" s="34"/>
      <c r="AF1634" s="34"/>
      <c r="AG1634" s="34"/>
      <c r="AH1634" s="34"/>
      <c r="AI1634" s="34"/>
      <c r="AJ1634" s="34"/>
      <c r="AK1634" s="34"/>
      <c r="AL1634" s="34"/>
      <c r="AM1634" s="34"/>
      <c r="AN1634" s="34"/>
      <c r="AO1634" s="34"/>
      <c r="AP1634" s="34"/>
      <c r="AQ1634" s="34"/>
      <c r="AR1634" s="34"/>
      <c r="AS1634" s="34"/>
      <c r="AT1634" s="34"/>
      <c r="AU1634" s="34"/>
      <c r="AV1634" s="34"/>
    </row>
    <row r="1635">
      <c r="A1635" s="34"/>
      <c r="B1635" s="34"/>
      <c r="C1635" s="34"/>
      <c r="D1635" s="34"/>
      <c r="E1635" s="34"/>
      <c r="F1635" s="34"/>
      <c r="G1635" s="34"/>
      <c r="H1635" s="34"/>
      <c r="I1635" s="34"/>
      <c r="J1635" s="34"/>
      <c r="K1635" s="34"/>
      <c r="L1635" s="34"/>
      <c r="M1635" s="34"/>
      <c r="N1635" s="34"/>
      <c r="O1635" s="34"/>
      <c r="P1635" s="34"/>
      <c r="Q1635" s="34"/>
      <c r="R1635" s="34"/>
      <c r="S1635" s="34"/>
      <c r="T1635" s="34"/>
      <c r="U1635" s="34"/>
      <c r="V1635" s="34"/>
      <c r="W1635" s="34"/>
      <c r="X1635" s="34"/>
      <c r="Y1635" s="34"/>
      <c r="Z1635" s="34"/>
      <c r="AA1635" s="34"/>
      <c r="AB1635" s="34"/>
      <c r="AC1635" s="34"/>
      <c r="AD1635" s="34"/>
      <c r="AE1635" s="34"/>
      <c r="AF1635" s="34"/>
      <c r="AG1635" s="34"/>
      <c r="AH1635" s="34"/>
      <c r="AI1635" s="34"/>
      <c r="AJ1635" s="34"/>
      <c r="AK1635" s="34"/>
      <c r="AL1635" s="34"/>
      <c r="AM1635" s="34"/>
      <c r="AN1635" s="34"/>
      <c r="AO1635" s="34"/>
      <c r="AP1635" s="34"/>
      <c r="AQ1635" s="34"/>
      <c r="AR1635" s="34"/>
      <c r="AS1635" s="34"/>
      <c r="AT1635" s="34"/>
      <c r="AU1635" s="34"/>
      <c r="AV1635" s="34"/>
    </row>
    <row r="1636">
      <c r="A1636" s="34"/>
      <c r="B1636" s="34"/>
      <c r="C1636" s="34"/>
      <c r="D1636" s="34"/>
      <c r="E1636" s="34"/>
      <c r="F1636" s="34"/>
      <c r="G1636" s="34"/>
      <c r="H1636" s="34"/>
      <c r="I1636" s="34"/>
      <c r="J1636" s="34"/>
      <c r="K1636" s="34"/>
      <c r="L1636" s="34"/>
      <c r="M1636" s="34"/>
      <c r="N1636" s="34"/>
      <c r="O1636" s="34"/>
      <c r="P1636" s="34"/>
      <c r="Q1636" s="34"/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  <c r="AE1636" s="34"/>
      <c r="AF1636" s="34"/>
      <c r="AG1636" s="34"/>
      <c r="AH1636" s="34"/>
      <c r="AI1636" s="34"/>
      <c r="AJ1636" s="34"/>
      <c r="AK1636" s="34"/>
      <c r="AL1636" s="34"/>
      <c r="AM1636" s="34"/>
      <c r="AN1636" s="34"/>
      <c r="AO1636" s="34"/>
      <c r="AP1636" s="34"/>
      <c r="AQ1636" s="34"/>
      <c r="AR1636" s="34"/>
      <c r="AS1636" s="34"/>
      <c r="AT1636" s="34"/>
      <c r="AU1636" s="34"/>
      <c r="AV1636" s="34"/>
    </row>
    <row r="1637">
      <c r="A1637" s="34"/>
      <c r="B1637" s="34"/>
      <c r="C1637" s="34"/>
      <c r="D1637" s="34"/>
      <c r="E1637" s="34"/>
      <c r="F1637" s="34"/>
      <c r="G1637" s="34"/>
      <c r="H1637" s="34"/>
      <c r="I1637" s="34"/>
      <c r="J1637" s="34"/>
      <c r="K1637" s="34"/>
      <c r="L1637" s="34"/>
      <c r="M1637" s="34"/>
      <c r="N1637" s="34"/>
      <c r="O1637" s="34"/>
      <c r="P1637" s="34"/>
      <c r="Q1637" s="34"/>
      <c r="R1637" s="3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4"/>
      <c r="AD1637" s="34"/>
      <c r="AE1637" s="34"/>
      <c r="AF1637" s="34"/>
      <c r="AG1637" s="34"/>
      <c r="AH1637" s="34"/>
      <c r="AI1637" s="34"/>
      <c r="AJ1637" s="34"/>
      <c r="AK1637" s="34"/>
      <c r="AL1637" s="34"/>
      <c r="AM1637" s="34"/>
      <c r="AN1637" s="34"/>
      <c r="AO1637" s="34"/>
      <c r="AP1637" s="34"/>
      <c r="AQ1637" s="34"/>
      <c r="AR1637" s="34"/>
      <c r="AS1637" s="34"/>
      <c r="AT1637" s="34"/>
      <c r="AU1637" s="34"/>
      <c r="AV1637" s="34"/>
    </row>
    <row r="1638">
      <c r="A1638" s="34"/>
      <c r="B1638" s="34"/>
      <c r="C1638" s="34"/>
      <c r="D1638" s="34"/>
      <c r="E1638" s="34"/>
      <c r="F1638" s="34"/>
      <c r="G1638" s="34"/>
      <c r="H1638" s="34"/>
      <c r="I1638" s="34"/>
      <c r="J1638" s="34"/>
      <c r="K1638" s="34"/>
      <c r="L1638" s="34"/>
      <c r="M1638" s="34"/>
      <c r="N1638" s="34"/>
      <c r="O1638" s="34"/>
      <c r="P1638" s="34"/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  <c r="AE1638" s="34"/>
      <c r="AF1638" s="34"/>
      <c r="AG1638" s="34"/>
      <c r="AH1638" s="34"/>
      <c r="AI1638" s="34"/>
      <c r="AJ1638" s="34"/>
      <c r="AK1638" s="34"/>
      <c r="AL1638" s="34"/>
      <c r="AM1638" s="34"/>
      <c r="AN1638" s="34"/>
      <c r="AO1638" s="34"/>
      <c r="AP1638" s="34"/>
      <c r="AQ1638" s="34"/>
      <c r="AR1638" s="34"/>
      <c r="AS1638" s="34"/>
      <c r="AT1638" s="34"/>
      <c r="AU1638" s="34"/>
      <c r="AV1638" s="34"/>
    </row>
    <row r="1639">
      <c r="A1639" s="34"/>
      <c r="B1639" s="34"/>
      <c r="C1639" s="34"/>
      <c r="D1639" s="34"/>
      <c r="E1639" s="34"/>
      <c r="F1639" s="34"/>
      <c r="G1639" s="34"/>
      <c r="H1639" s="34"/>
      <c r="I1639" s="34"/>
      <c r="J1639" s="34"/>
      <c r="K1639" s="34"/>
      <c r="L1639" s="34"/>
      <c r="M1639" s="34"/>
      <c r="N1639" s="34"/>
      <c r="O1639" s="34"/>
      <c r="P1639" s="34"/>
      <c r="Q1639" s="34"/>
      <c r="R1639" s="34"/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34"/>
      <c r="AD1639" s="34"/>
      <c r="AE1639" s="34"/>
      <c r="AF1639" s="34"/>
      <c r="AG1639" s="34"/>
      <c r="AH1639" s="34"/>
      <c r="AI1639" s="34"/>
      <c r="AJ1639" s="34"/>
      <c r="AK1639" s="34"/>
      <c r="AL1639" s="34"/>
      <c r="AM1639" s="34"/>
      <c r="AN1639" s="34"/>
      <c r="AO1639" s="34"/>
      <c r="AP1639" s="34"/>
      <c r="AQ1639" s="34"/>
      <c r="AR1639" s="34"/>
      <c r="AS1639" s="34"/>
      <c r="AT1639" s="34"/>
      <c r="AU1639" s="34"/>
      <c r="AV1639" s="34"/>
    </row>
    <row r="1640">
      <c r="A1640" s="34"/>
      <c r="B1640" s="34"/>
      <c r="C1640" s="34"/>
      <c r="D1640" s="34"/>
      <c r="E1640" s="34"/>
      <c r="F1640" s="34"/>
      <c r="G1640" s="34"/>
      <c r="H1640" s="34"/>
      <c r="I1640" s="34"/>
      <c r="J1640" s="34"/>
      <c r="K1640" s="34"/>
      <c r="L1640" s="34"/>
      <c r="M1640" s="34"/>
      <c r="N1640" s="34"/>
      <c r="O1640" s="34"/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  <c r="AE1640" s="34"/>
      <c r="AF1640" s="34"/>
      <c r="AG1640" s="34"/>
      <c r="AH1640" s="34"/>
      <c r="AI1640" s="34"/>
      <c r="AJ1640" s="34"/>
      <c r="AK1640" s="34"/>
      <c r="AL1640" s="34"/>
      <c r="AM1640" s="34"/>
      <c r="AN1640" s="34"/>
      <c r="AO1640" s="34"/>
      <c r="AP1640" s="34"/>
      <c r="AQ1640" s="34"/>
      <c r="AR1640" s="34"/>
      <c r="AS1640" s="34"/>
      <c r="AT1640" s="34"/>
      <c r="AU1640" s="34"/>
      <c r="AV1640" s="34"/>
    </row>
    <row r="1641">
      <c r="A1641" s="34"/>
      <c r="B1641" s="34"/>
      <c r="C1641" s="34"/>
      <c r="D1641" s="34"/>
      <c r="E1641" s="34"/>
      <c r="F1641" s="34"/>
      <c r="G1641" s="34"/>
      <c r="H1641" s="34"/>
      <c r="I1641" s="34"/>
      <c r="J1641" s="34"/>
      <c r="K1641" s="34"/>
      <c r="L1641" s="34"/>
      <c r="M1641" s="34"/>
      <c r="N1641" s="34"/>
      <c r="O1641" s="34"/>
      <c r="P1641" s="34"/>
      <c r="Q1641" s="34"/>
      <c r="R1641" s="34"/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4"/>
      <c r="AD1641" s="34"/>
      <c r="AE1641" s="34"/>
      <c r="AF1641" s="34"/>
      <c r="AG1641" s="34"/>
      <c r="AH1641" s="34"/>
      <c r="AI1641" s="34"/>
      <c r="AJ1641" s="34"/>
      <c r="AK1641" s="34"/>
      <c r="AL1641" s="34"/>
      <c r="AM1641" s="34"/>
      <c r="AN1641" s="34"/>
      <c r="AO1641" s="34"/>
      <c r="AP1641" s="34"/>
      <c r="AQ1641" s="34"/>
      <c r="AR1641" s="34"/>
      <c r="AS1641" s="34"/>
      <c r="AT1641" s="34"/>
      <c r="AU1641" s="34"/>
      <c r="AV1641" s="34"/>
    </row>
    <row r="1642">
      <c r="A1642" s="34"/>
      <c r="B1642" s="34"/>
      <c r="C1642" s="34"/>
      <c r="D1642" s="34"/>
      <c r="E1642" s="34"/>
      <c r="F1642" s="34"/>
      <c r="G1642" s="34"/>
      <c r="H1642" s="34"/>
      <c r="I1642" s="34"/>
      <c r="J1642" s="34"/>
      <c r="K1642" s="34"/>
      <c r="L1642" s="34"/>
      <c r="M1642" s="34"/>
      <c r="N1642" s="34"/>
      <c r="O1642" s="34"/>
      <c r="P1642" s="34"/>
      <c r="Q1642" s="34"/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  <c r="AE1642" s="34"/>
      <c r="AF1642" s="34"/>
      <c r="AG1642" s="34"/>
      <c r="AH1642" s="34"/>
      <c r="AI1642" s="34"/>
      <c r="AJ1642" s="34"/>
      <c r="AK1642" s="34"/>
      <c r="AL1642" s="34"/>
      <c r="AM1642" s="34"/>
      <c r="AN1642" s="34"/>
      <c r="AO1642" s="34"/>
      <c r="AP1642" s="34"/>
      <c r="AQ1642" s="34"/>
      <c r="AR1642" s="34"/>
      <c r="AS1642" s="34"/>
      <c r="AT1642" s="34"/>
      <c r="AU1642" s="34"/>
      <c r="AV1642" s="34"/>
    </row>
    <row r="1643">
      <c r="A1643" s="34"/>
      <c r="B1643" s="34"/>
      <c r="C1643" s="34"/>
      <c r="D1643" s="34"/>
      <c r="E1643" s="34"/>
      <c r="F1643" s="34"/>
      <c r="G1643" s="34"/>
      <c r="H1643" s="34"/>
      <c r="I1643" s="34"/>
      <c r="J1643" s="34"/>
      <c r="K1643" s="34"/>
      <c r="L1643" s="34"/>
      <c r="M1643" s="34"/>
      <c r="N1643" s="34"/>
      <c r="O1643" s="34"/>
      <c r="P1643" s="34"/>
      <c r="Q1643" s="34"/>
      <c r="R1643" s="34"/>
      <c r="S1643" s="34"/>
      <c r="T1643" s="34"/>
      <c r="U1643" s="34"/>
      <c r="V1643" s="34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  <c r="AJ1643" s="34"/>
      <c r="AK1643" s="34"/>
      <c r="AL1643" s="34"/>
      <c r="AM1643" s="34"/>
      <c r="AN1643" s="34"/>
      <c r="AO1643" s="34"/>
      <c r="AP1643" s="34"/>
      <c r="AQ1643" s="34"/>
      <c r="AR1643" s="34"/>
      <c r="AS1643" s="34"/>
      <c r="AT1643" s="34"/>
      <c r="AU1643" s="34"/>
      <c r="AV1643" s="34"/>
    </row>
    <row r="1644">
      <c r="A1644" s="34"/>
      <c r="B1644" s="34"/>
      <c r="C1644" s="34"/>
      <c r="D1644" s="34"/>
      <c r="E1644" s="34"/>
      <c r="F1644" s="34"/>
      <c r="G1644" s="34"/>
      <c r="H1644" s="34"/>
      <c r="I1644" s="34"/>
      <c r="J1644" s="34"/>
      <c r="K1644" s="34"/>
      <c r="L1644" s="34"/>
      <c r="M1644" s="34"/>
      <c r="N1644" s="34"/>
      <c r="O1644" s="34"/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  <c r="AE1644" s="34"/>
      <c r="AF1644" s="34"/>
      <c r="AG1644" s="34"/>
      <c r="AH1644" s="34"/>
      <c r="AI1644" s="34"/>
      <c r="AJ1644" s="34"/>
      <c r="AK1644" s="34"/>
      <c r="AL1644" s="34"/>
      <c r="AM1644" s="34"/>
      <c r="AN1644" s="34"/>
      <c r="AO1644" s="34"/>
      <c r="AP1644" s="34"/>
      <c r="AQ1644" s="34"/>
      <c r="AR1644" s="34"/>
      <c r="AS1644" s="34"/>
      <c r="AT1644" s="34"/>
      <c r="AU1644" s="34"/>
      <c r="AV1644" s="34"/>
    </row>
    <row r="1645">
      <c r="A1645" s="34"/>
      <c r="B1645" s="34"/>
      <c r="C1645" s="34"/>
      <c r="D1645" s="34"/>
      <c r="E1645" s="34"/>
      <c r="F1645" s="34"/>
      <c r="G1645" s="34"/>
      <c r="H1645" s="34"/>
      <c r="I1645" s="34"/>
      <c r="J1645" s="34"/>
      <c r="K1645" s="34"/>
      <c r="L1645" s="34"/>
      <c r="M1645" s="34"/>
      <c r="N1645" s="34"/>
      <c r="O1645" s="34"/>
      <c r="P1645" s="34"/>
      <c r="Q1645" s="34"/>
      <c r="R1645" s="34"/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4"/>
      <c r="AD1645" s="34"/>
      <c r="AE1645" s="34"/>
      <c r="AF1645" s="34"/>
      <c r="AG1645" s="34"/>
      <c r="AH1645" s="34"/>
      <c r="AI1645" s="34"/>
      <c r="AJ1645" s="34"/>
      <c r="AK1645" s="34"/>
      <c r="AL1645" s="34"/>
      <c r="AM1645" s="34"/>
      <c r="AN1645" s="34"/>
      <c r="AO1645" s="34"/>
      <c r="AP1645" s="34"/>
      <c r="AQ1645" s="34"/>
      <c r="AR1645" s="34"/>
      <c r="AS1645" s="34"/>
      <c r="AT1645" s="34"/>
      <c r="AU1645" s="34"/>
      <c r="AV1645" s="34"/>
    </row>
    <row r="1646">
      <c r="A1646" s="34"/>
      <c r="B1646" s="34"/>
      <c r="C1646" s="34"/>
      <c r="D1646" s="34"/>
      <c r="E1646" s="34"/>
      <c r="F1646" s="34"/>
      <c r="G1646" s="34"/>
      <c r="H1646" s="34"/>
      <c r="I1646" s="34"/>
      <c r="J1646" s="34"/>
      <c r="K1646" s="34"/>
      <c r="L1646" s="34"/>
      <c r="M1646" s="34"/>
      <c r="N1646" s="34"/>
      <c r="O1646" s="34"/>
      <c r="P1646" s="34"/>
      <c r="Q1646" s="34"/>
      <c r="R1646" s="3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  <c r="AE1646" s="34"/>
      <c r="AF1646" s="34"/>
      <c r="AG1646" s="34"/>
      <c r="AH1646" s="34"/>
      <c r="AI1646" s="34"/>
      <c r="AJ1646" s="34"/>
      <c r="AK1646" s="34"/>
      <c r="AL1646" s="34"/>
      <c r="AM1646" s="34"/>
      <c r="AN1646" s="34"/>
      <c r="AO1646" s="34"/>
      <c r="AP1646" s="34"/>
      <c r="AQ1646" s="34"/>
      <c r="AR1646" s="34"/>
      <c r="AS1646" s="34"/>
      <c r="AT1646" s="34"/>
      <c r="AU1646" s="34"/>
      <c r="AV1646" s="34"/>
    </row>
    <row r="1647">
      <c r="A1647" s="34"/>
      <c r="B1647" s="34"/>
      <c r="C1647" s="34"/>
      <c r="D1647" s="34"/>
      <c r="E1647" s="34"/>
      <c r="F1647" s="34"/>
      <c r="G1647" s="34"/>
      <c r="H1647" s="34"/>
      <c r="I1647" s="34"/>
      <c r="J1647" s="34"/>
      <c r="K1647" s="34"/>
      <c r="L1647" s="34"/>
      <c r="M1647" s="34"/>
      <c r="N1647" s="34"/>
      <c r="O1647" s="34"/>
      <c r="P1647" s="34"/>
      <c r="Q1647" s="34"/>
      <c r="R1647" s="34"/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4"/>
      <c r="AD1647" s="34"/>
      <c r="AE1647" s="34"/>
      <c r="AF1647" s="34"/>
      <c r="AG1647" s="34"/>
      <c r="AH1647" s="34"/>
      <c r="AI1647" s="34"/>
      <c r="AJ1647" s="34"/>
      <c r="AK1647" s="34"/>
      <c r="AL1647" s="34"/>
      <c r="AM1647" s="34"/>
      <c r="AN1647" s="34"/>
      <c r="AO1647" s="34"/>
      <c r="AP1647" s="34"/>
      <c r="AQ1647" s="34"/>
      <c r="AR1647" s="34"/>
      <c r="AS1647" s="34"/>
      <c r="AT1647" s="34"/>
      <c r="AU1647" s="34"/>
      <c r="AV1647" s="34"/>
    </row>
    <row r="1648">
      <c r="A1648" s="34"/>
      <c r="B1648" s="34"/>
      <c r="C1648" s="34"/>
      <c r="D1648" s="34"/>
      <c r="E1648" s="34"/>
      <c r="F1648" s="34"/>
      <c r="G1648" s="34"/>
      <c r="H1648" s="34"/>
      <c r="I1648" s="34"/>
      <c r="J1648" s="34"/>
      <c r="K1648" s="34"/>
      <c r="L1648" s="34"/>
      <c r="M1648" s="34"/>
      <c r="N1648" s="34"/>
      <c r="O1648" s="34"/>
      <c r="P1648" s="34"/>
      <c r="Q1648" s="34"/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  <c r="AJ1648" s="34"/>
      <c r="AK1648" s="34"/>
      <c r="AL1648" s="34"/>
      <c r="AM1648" s="34"/>
      <c r="AN1648" s="34"/>
      <c r="AO1648" s="34"/>
      <c r="AP1648" s="34"/>
      <c r="AQ1648" s="34"/>
      <c r="AR1648" s="34"/>
      <c r="AS1648" s="34"/>
      <c r="AT1648" s="34"/>
      <c r="AU1648" s="34"/>
      <c r="AV1648" s="34"/>
    </row>
    <row r="1649">
      <c r="A1649" s="34"/>
      <c r="B1649" s="34"/>
      <c r="C1649" s="34"/>
      <c r="D1649" s="34"/>
      <c r="E1649" s="34"/>
      <c r="F1649" s="34"/>
      <c r="G1649" s="34"/>
      <c r="H1649" s="34"/>
      <c r="I1649" s="34"/>
      <c r="J1649" s="34"/>
      <c r="K1649" s="34"/>
      <c r="L1649" s="34"/>
      <c r="M1649" s="34"/>
      <c r="N1649" s="34"/>
      <c r="O1649" s="34"/>
      <c r="P1649" s="34"/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4"/>
      <c r="AQ1649" s="34"/>
      <c r="AR1649" s="34"/>
      <c r="AS1649" s="34"/>
      <c r="AT1649" s="34"/>
      <c r="AU1649" s="34"/>
      <c r="AV1649" s="34"/>
    </row>
    <row r="1650">
      <c r="A1650" s="34"/>
      <c r="B1650" s="34"/>
      <c r="C1650" s="34"/>
      <c r="D1650" s="34"/>
      <c r="E1650" s="34"/>
      <c r="F1650" s="34"/>
      <c r="G1650" s="34"/>
      <c r="H1650" s="34"/>
      <c r="I1650" s="34"/>
      <c r="J1650" s="34"/>
      <c r="K1650" s="34"/>
      <c r="L1650" s="34"/>
      <c r="M1650" s="34"/>
      <c r="N1650" s="34"/>
      <c r="O1650" s="34"/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  <c r="AE1650" s="34"/>
      <c r="AF1650" s="34"/>
      <c r="AG1650" s="34"/>
      <c r="AH1650" s="34"/>
      <c r="AI1650" s="34"/>
      <c r="AJ1650" s="34"/>
      <c r="AK1650" s="34"/>
      <c r="AL1650" s="34"/>
      <c r="AM1650" s="34"/>
      <c r="AN1650" s="34"/>
      <c r="AO1650" s="34"/>
      <c r="AP1650" s="34"/>
      <c r="AQ1650" s="34"/>
      <c r="AR1650" s="34"/>
      <c r="AS1650" s="34"/>
      <c r="AT1650" s="34"/>
      <c r="AU1650" s="34"/>
      <c r="AV1650" s="34"/>
    </row>
    <row r="1651">
      <c r="A1651" s="34"/>
      <c r="B1651" s="34"/>
      <c r="C1651" s="34"/>
      <c r="D1651" s="34"/>
      <c r="E1651" s="34"/>
      <c r="F1651" s="34"/>
      <c r="G1651" s="34"/>
      <c r="H1651" s="34"/>
      <c r="I1651" s="34"/>
      <c r="J1651" s="34"/>
      <c r="K1651" s="34"/>
      <c r="L1651" s="34"/>
      <c r="M1651" s="34"/>
      <c r="N1651" s="34"/>
      <c r="O1651" s="34"/>
      <c r="P1651" s="34"/>
      <c r="Q1651" s="34"/>
      <c r="R1651" s="34"/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  <c r="AJ1651" s="34"/>
      <c r="AK1651" s="34"/>
      <c r="AL1651" s="34"/>
      <c r="AM1651" s="34"/>
      <c r="AN1651" s="34"/>
      <c r="AO1651" s="34"/>
      <c r="AP1651" s="34"/>
      <c r="AQ1651" s="34"/>
      <c r="AR1651" s="34"/>
      <c r="AS1651" s="34"/>
      <c r="AT1651" s="34"/>
      <c r="AU1651" s="34"/>
      <c r="AV1651" s="34"/>
    </row>
    <row r="1652">
      <c r="A1652" s="34"/>
      <c r="B1652" s="34"/>
      <c r="C1652" s="34"/>
      <c r="D1652" s="34"/>
      <c r="E1652" s="34"/>
      <c r="F1652" s="34"/>
      <c r="G1652" s="34"/>
      <c r="H1652" s="34"/>
      <c r="I1652" s="34"/>
      <c r="J1652" s="34"/>
      <c r="K1652" s="34"/>
      <c r="L1652" s="34"/>
      <c r="M1652" s="34"/>
      <c r="N1652" s="34"/>
      <c r="O1652" s="34"/>
      <c r="P1652" s="34"/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34"/>
      <c r="AP1652" s="34"/>
      <c r="AQ1652" s="34"/>
      <c r="AR1652" s="34"/>
      <c r="AS1652" s="34"/>
      <c r="AT1652" s="34"/>
      <c r="AU1652" s="34"/>
      <c r="AV1652" s="34"/>
    </row>
    <row r="1653">
      <c r="A1653" s="34"/>
      <c r="B1653" s="34"/>
      <c r="C1653" s="34"/>
      <c r="D1653" s="34"/>
      <c r="E1653" s="34"/>
      <c r="F1653" s="34"/>
      <c r="G1653" s="34"/>
      <c r="H1653" s="34"/>
      <c r="I1653" s="34"/>
      <c r="J1653" s="34"/>
      <c r="K1653" s="34"/>
      <c r="L1653" s="34"/>
      <c r="M1653" s="34"/>
      <c r="N1653" s="34"/>
      <c r="O1653" s="34"/>
      <c r="P1653" s="34"/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  <c r="AE1653" s="34"/>
      <c r="AF1653" s="34"/>
      <c r="AG1653" s="34"/>
      <c r="AH1653" s="34"/>
      <c r="AI1653" s="34"/>
      <c r="AJ1653" s="34"/>
      <c r="AK1653" s="34"/>
      <c r="AL1653" s="34"/>
      <c r="AM1653" s="34"/>
      <c r="AN1653" s="34"/>
      <c r="AO1653" s="34"/>
      <c r="AP1653" s="34"/>
      <c r="AQ1653" s="34"/>
      <c r="AR1653" s="34"/>
      <c r="AS1653" s="34"/>
      <c r="AT1653" s="34"/>
      <c r="AU1653" s="34"/>
      <c r="AV1653" s="34"/>
    </row>
    <row r="1654">
      <c r="A1654" s="34"/>
      <c r="B1654" s="34"/>
      <c r="C1654" s="34"/>
      <c r="D1654" s="34"/>
      <c r="E1654" s="34"/>
      <c r="F1654" s="34"/>
      <c r="G1654" s="34"/>
      <c r="H1654" s="34"/>
      <c r="I1654" s="34"/>
      <c r="J1654" s="34"/>
      <c r="K1654" s="34"/>
      <c r="L1654" s="34"/>
      <c r="M1654" s="34"/>
      <c r="N1654" s="34"/>
      <c r="O1654" s="34"/>
      <c r="P1654" s="34"/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/>
      <c r="AN1654" s="34"/>
      <c r="AO1654" s="34"/>
      <c r="AP1654" s="34"/>
      <c r="AQ1654" s="34"/>
      <c r="AR1654" s="34"/>
      <c r="AS1654" s="34"/>
      <c r="AT1654" s="34"/>
      <c r="AU1654" s="34"/>
      <c r="AV1654" s="34"/>
    </row>
    <row r="1655">
      <c r="A1655" s="34"/>
      <c r="B1655" s="34"/>
      <c r="C1655" s="34"/>
      <c r="D1655" s="34"/>
      <c r="E1655" s="34"/>
      <c r="F1655" s="34"/>
      <c r="G1655" s="34"/>
      <c r="H1655" s="34"/>
      <c r="I1655" s="34"/>
      <c r="J1655" s="34"/>
      <c r="K1655" s="34"/>
      <c r="L1655" s="34"/>
      <c r="M1655" s="34"/>
      <c r="N1655" s="34"/>
      <c r="O1655" s="34"/>
      <c r="P1655" s="34"/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  <c r="AE1655" s="34"/>
      <c r="AF1655" s="34"/>
      <c r="AG1655" s="34"/>
      <c r="AH1655" s="34"/>
      <c r="AI1655" s="34"/>
      <c r="AJ1655" s="34"/>
      <c r="AK1655" s="34"/>
      <c r="AL1655" s="34"/>
      <c r="AM1655" s="34"/>
      <c r="AN1655" s="34"/>
      <c r="AO1655" s="34"/>
      <c r="AP1655" s="34"/>
      <c r="AQ1655" s="34"/>
      <c r="AR1655" s="34"/>
      <c r="AS1655" s="34"/>
      <c r="AT1655" s="34"/>
      <c r="AU1655" s="34"/>
      <c r="AV1655" s="34"/>
    </row>
    <row r="1656">
      <c r="A1656" s="34"/>
      <c r="B1656" s="34"/>
      <c r="C1656" s="34"/>
      <c r="D1656" s="34"/>
      <c r="E1656" s="34"/>
      <c r="F1656" s="34"/>
      <c r="G1656" s="34"/>
      <c r="H1656" s="34"/>
      <c r="I1656" s="34"/>
      <c r="J1656" s="34"/>
      <c r="K1656" s="34"/>
      <c r="L1656" s="34"/>
      <c r="M1656" s="34"/>
      <c r="N1656" s="34"/>
      <c r="O1656" s="34"/>
      <c r="P1656" s="34"/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  <c r="AF1656" s="34"/>
      <c r="AG1656" s="34"/>
      <c r="AH1656" s="34"/>
      <c r="AI1656" s="34"/>
      <c r="AJ1656" s="34"/>
      <c r="AK1656" s="34"/>
      <c r="AL1656" s="34"/>
      <c r="AM1656" s="34"/>
      <c r="AN1656" s="34"/>
      <c r="AO1656" s="34"/>
      <c r="AP1656" s="34"/>
      <c r="AQ1656" s="34"/>
      <c r="AR1656" s="34"/>
      <c r="AS1656" s="34"/>
      <c r="AT1656" s="34"/>
      <c r="AU1656" s="34"/>
      <c r="AV1656" s="34"/>
    </row>
    <row r="1657">
      <c r="A1657" s="34"/>
      <c r="B1657" s="34"/>
      <c r="C1657" s="34"/>
      <c r="D1657" s="34"/>
      <c r="E1657" s="34"/>
      <c r="F1657" s="34"/>
      <c r="G1657" s="34"/>
      <c r="H1657" s="34"/>
      <c r="I1657" s="34"/>
      <c r="J1657" s="34"/>
      <c r="K1657" s="34"/>
      <c r="L1657" s="34"/>
      <c r="M1657" s="34"/>
      <c r="N1657" s="34"/>
      <c r="O1657" s="34"/>
      <c r="P1657" s="34"/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4"/>
      <c r="AD1657" s="34"/>
      <c r="AE1657" s="34"/>
      <c r="AF1657" s="34"/>
      <c r="AG1657" s="34"/>
      <c r="AH1657" s="34"/>
      <c r="AI1657" s="34"/>
      <c r="AJ1657" s="34"/>
      <c r="AK1657" s="34"/>
      <c r="AL1657" s="34"/>
      <c r="AM1657" s="34"/>
      <c r="AN1657" s="34"/>
      <c r="AO1657" s="34"/>
      <c r="AP1657" s="34"/>
      <c r="AQ1657" s="34"/>
      <c r="AR1657" s="34"/>
      <c r="AS1657" s="34"/>
      <c r="AT1657" s="34"/>
      <c r="AU1657" s="34"/>
      <c r="AV1657" s="34"/>
    </row>
    <row r="1658">
      <c r="A1658" s="34"/>
      <c r="B1658" s="34"/>
      <c r="C1658" s="34"/>
      <c r="D1658" s="34"/>
      <c r="E1658" s="34"/>
      <c r="F1658" s="34"/>
      <c r="G1658" s="34"/>
      <c r="H1658" s="34"/>
      <c r="I1658" s="34"/>
      <c r="J1658" s="34"/>
      <c r="K1658" s="34"/>
      <c r="L1658" s="34"/>
      <c r="M1658" s="34"/>
      <c r="N1658" s="34"/>
      <c r="O1658" s="34"/>
      <c r="P1658" s="34"/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  <c r="AJ1658" s="34"/>
      <c r="AK1658" s="34"/>
      <c r="AL1658" s="34"/>
      <c r="AM1658" s="34"/>
      <c r="AN1658" s="34"/>
      <c r="AO1658" s="34"/>
      <c r="AP1658" s="34"/>
      <c r="AQ1658" s="34"/>
      <c r="AR1658" s="34"/>
      <c r="AS1658" s="34"/>
      <c r="AT1658" s="34"/>
      <c r="AU1658" s="34"/>
      <c r="AV1658" s="34"/>
    </row>
    <row r="1659">
      <c r="A1659" s="34"/>
      <c r="B1659" s="34"/>
      <c r="C1659" s="34"/>
      <c r="D1659" s="34"/>
      <c r="E1659" s="34"/>
      <c r="F1659" s="34"/>
      <c r="G1659" s="34"/>
      <c r="H1659" s="34"/>
      <c r="I1659" s="34"/>
      <c r="J1659" s="34"/>
      <c r="K1659" s="34"/>
      <c r="L1659" s="34"/>
      <c r="M1659" s="34"/>
      <c r="N1659" s="34"/>
      <c r="O1659" s="34"/>
      <c r="P1659" s="34"/>
      <c r="Q1659" s="34"/>
      <c r="R1659" s="34"/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34"/>
      <c r="AP1659" s="34"/>
      <c r="AQ1659" s="34"/>
      <c r="AR1659" s="34"/>
      <c r="AS1659" s="34"/>
      <c r="AT1659" s="34"/>
      <c r="AU1659" s="34"/>
      <c r="AV1659" s="34"/>
    </row>
    <row r="1660">
      <c r="A1660" s="34"/>
      <c r="B1660" s="34"/>
      <c r="C1660" s="34"/>
      <c r="D1660" s="34"/>
      <c r="E1660" s="34"/>
      <c r="F1660" s="34"/>
      <c r="G1660" s="34"/>
      <c r="H1660" s="34"/>
      <c r="I1660" s="34"/>
      <c r="J1660" s="34"/>
      <c r="K1660" s="34"/>
      <c r="L1660" s="34"/>
      <c r="M1660" s="34"/>
      <c r="N1660" s="34"/>
      <c r="O1660" s="34"/>
      <c r="P1660" s="34"/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  <c r="AF1660" s="34"/>
      <c r="AG1660" s="34"/>
      <c r="AH1660" s="34"/>
      <c r="AI1660" s="34"/>
      <c r="AJ1660" s="34"/>
      <c r="AK1660" s="34"/>
      <c r="AL1660" s="34"/>
      <c r="AM1660" s="34"/>
      <c r="AN1660" s="34"/>
      <c r="AO1660" s="34"/>
      <c r="AP1660" s="34"/>
      <c r="AQ1660" s="34"/>
      <c r="AR1660" s="34"/>
      <c r="AS1660" s="34"/>
      <c r="AT1660" s="34"/>
      <c r="AU1660" s="34"/>
      <c r="AV1660" s="34"/>
    </row>
    <row r="1661">
      <c r="A1661" s="34"/>
      <c r="B1661" s="34"/>
      <c r="C1661" s="34"/>
      <c r="D1661" s="34"/>
      <c r="E1661" s="34"/>
      <c r="F1661" s="34"/>
      <c r="G1661" s="34"/>
      <c r="H1661" s="34"/>
      <c r="I1661" s="34"/>
      <c r="J1661" s="34"/>
      <c r="K1661" s="34"/>
      <c r="L1661" s="34"/>
      <c r="M1661" s="34"/>
      <c r="N1661" s="34"/>
      <c r="O1661" s="34"/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4"/>
      <c r="AM1661" s="34"/>
      <c r="AN1661" s="34"/>
      <c r="AO1661" s="34"/>
      <c r="AP1661" s="34"/>
      <c r="AQ1661" s="34"/>
      <c r="AR1661" s="34"/>
      <c r="AS1661" s="34"/>
      <c r="AT1661" s="34"/>
      <c r="AU1661" s="34"/>
      <c r="AV1661" s="34"/>
    </row>
    <row r="1662">
      <c r="A1662" s="34"/>
      <c r="B1662" s="34"/>
      <c r="C1662" s="34"/>
      <c r="D1662" s="34"/>
      <c r="E1662" s="34"/>
      <c r="F1662" s="34"/>
      <c r="G1662" s="34"/>
      <c r="H1662" s="34"/>
      <c r="I1662" s="34"/>
      <c r="J1662" s="34"/>
      <c r="K1662" s="34"/>
      <c r="L1662" s="34"/>
      <c r="M1662" s="34"/>
      <c r="N1662" s="34"/>
      <c r="O1662" s="34"/>
      <c r="P1662" s="34"/>
      <c r="Q1662" s="34"/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  <c r="AJ1662" s="34"/>
      <c r="AK1662" s="34"/>
      <c r="AL1662" s="34"/>
      <c r="AM1662" s="34"/>
      <c r="AN1662" s="34"/>
      <c r="AO1662" s="34"/>
      <c r="AP1662" s="34"/>
      <c r="AQ1662" s="34"/>
      <c r="AR1662" s="34"/>
      <c r="AS1662" s="34"/>
      <c r="AT1662" s="34"/>
      <c r="AU1662" s="34"/>
      <c r="AV1662" s="34"/>
    </row>
    <row r="1663">
      <c r="A1663" s="34"/>
      <c r="B1663" s="34"/>
      <c r="C1663" s="34"/>
      <c r="D1663" s="34"/>
      <c r="E1663" s="34"/>
      <c r="F1663" s="34"/>
      <c r="G1663" s="34"/>
      <c r="H1663" s="34"/>
      <c r="I1663" s="34"/>
      <c r="J1663" s="34"/>
      <c r="K1663" s="34"/>
      <c r="L1663" s="34"/>
      <c r="M1663" s="34"/>
      <c r="N1663" s="34"/>
      <c r="O1663" s="34"/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/>
      <c r="AN1663" s="34"/>
      <c r="AO1663" s="34"/>
      <c r="AP1663" s="34"/>
      <c r="AQ1663" s="34"/>
      <c r="AR1663" s="34"/>
      <c r="AS1663" s="34"/>
      <c r="AT1663" s="34"/>
      <c r="AU1663" s="34"/>
      <c r="AV1663" s="34"/>
    </row>
    <row r="1664">
      <c r="A1664" s="34"/>
      <c r="B1664" s="34"/>
      <c r="C1664" s="34"/>
      <c r="D1664" s="34"/>
      <c r="E1664" s="34"/>
      <c r="F1664" s="34"/>
      <c r="G1664" s="34"/>
      <c r="H1664" s="34"/>
      <c r="I1664" s="34"/>
      <c r="J1664" s="34"/>
      <c r="K1664" s="34"/>
      <c r="L1664" s="34"/>
      <c r="M1664" s="34"/>
      <c r="N1664" s="34"/>
      <c r="O1664" s="34"/>
      <c r="P1664" s="34"/>
      <c r="Q1664" s="34"/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34"/>
      <c r="AP1664" s="34"/>
      <c r="AQ1664" s="34"/>
      <c r="AR1664" s="34"/>
      <c r="AS1664" s="34"/>
      <c r="AT1664" s="34"/>
      <c r="AU1664" s="34"/>
      <c r="AV1664" s="34"/>
    </row>
    <row r="1665">
      <c r="A1665" s="34"/>
      <c r="B1665" s="34"/>
      <c r="C1665" s="34"/>
      <c r="D1665" s="34"/>
      <c r="E1665" s="34"/>
      <c r="F1665" s="34"/>
      <c r="G1665" s="34"/>
      <c r="H1665" s="34"/>
      <c r="I1665" s="34"/>
      <c r="J1665" s="34"/>
      <c r="K1665" s="34"/>
      <c r="L1665" s="34"/>
      <c r="M1665" s="34"/>
      <c r="N1665" s="34"/>
      <c r="O1665" s="34"/>
      <c r="P1665" s="34"/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4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34"/>
      <c r="AP1665" s="34"/>
      <c r="AQ1665" s="34"/>
      <c r="AR1665" s="34"/>
      <c r="AS1665" s="34"/>
      <c r="AT1665" s="34"/>
      <c r="AU1665" s="34"/>
      <c r="AV1665" s="34"/>
    </row>
    <row r="1666">
      <c r="A1666" s="34"/>
      <c r="B1666" s="34"/>
      <c r="C1666" s="34"/>
      <c r="D1666" s="34"/>
      <c r="E1666" s="34"/>
      <c r="F1666" s="34"/>
      <c r="G1666" s="34"/>
      <c r="H1666" s="34"/>
      <c r="I1666" s="34"/>
      <c r="J1666" s="34"/>
      <c r="K1666" s="34"/>
      <c r="L1666" s="34"/>
      <c r="M1666" s="34"/>
      <c r="N1666" s="34"/>
      <c r="O1666" s="34"/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34"/>
      <c r="AP1666" s="34"/>
      <c r="AQ1666" s="34"/>
      <c r="AR1666" s="34"/>
      <c r="AS1666" s="34"/>
      <c r="AT1666" s="34"/>
      <c r="AU1666" s="34"/>
      <c r="AV1666" s="34"/>
    </row>
    <row r="1667">
      <c r="A1667" s="34"/>
      <c r="B1667" s="34"/>
      <c r="C1667" s="34"/>
      <c r="D1667" s="34"/>
      <c r="E1667" s="34"/>
      <c r="F1667" s="34"/>
      <c r="G1667" s="34"/>
      <c r="H1667" s="34"/>
      <c r="I1667" s="34"/>
      <c r="J1667" s="34"/>
      <c r="K1667" s="34"/>
      <c r="L1667" s="34"/>
      <c r="M1667" s="34"/>
      <c r="N1667" s="34"/>
      <c r="O1667" s="34"/>
      <c r="P1667" s="34"/>
      <c r="Q1667" s="34"/>
      <c r="R1667" s="3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34"/>
      <c r="AP1667" s="34"/>
      <c r="AQ1667" s="34"/>
      <c r="AR1667" s="34"/>
      <c r="AS1667" s="34"/>
      <c r="AT1667" s="34"/>
      <c r="AU1667" s="34"/>
      <c r="AV1667" s="34"/>
    </row>
    <row r="1668">
      <c r="A1668" s="34"/>
      <c r="B1668" s="34"/>
      <c r="C1668" s="34"/>
      <c r="D1668" s="34"/>
      <c r="E1668" s="34"/>
      <c r="F1668" s="34"/>
      <c r="G1668" s="34"/>
      <c r="H1668" s="34"/>
      <c r="I1668" s="34"/>
      <c r="J1668" s="34"/>
      <c r="K1668" s="34"/>
      <c r="L1668" s="34"/>
      <c r="M1668" s="34"/>
      <c r="N1668" s="34"/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  <c r="AJ1668" s="34"/>
      <c r="AK1668" s="34"/>
      <c r="AL1668" s="34"/>
      <c r="AM1668" s="34"/>
      <c r="AN1668" s="34"/>
      <c r="AO1668" s="34"/>
      <c r="AP1668" s="34"/>
      <c r="AQ1668" s="34"/>
      <c r="AR1668" s="34"/>
      <c r="AS1668" s="34"/>
      <c r="AT1668" s="34"/>
      <c r="AU1668" s="34"/>
      <c r="AV1668" s="34"/>
    </row>
    <row r="1669">
      <c r="A1669" s="34"/>
      <c r="B1669" s="34"/>
      <c r="C1669" s="34"/>
      <c r="D1669" s="34"/>
      <c r="E1669" s="34"/>
      <c r="F1669" s="34"/>
      <c r="G1669" s="34"/>
      <c r="H1669" s="34"/>
      <c r="I1669" s="34"/>
      <c r="J1669" s="34"/>
      <c r="K1669" s="34"/>
      <c r="L1669" s="34"/>
      <c r="M1669" s="34"/>
      <c r="N1669" s="34"/>
      <c r="O1669" s="34"/>
      <c r="P1669" s="34"/>
      <c r="Q1669" s="34"/>
      <c r="R1669" s="34"/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34"/>
      <c r="AD1669" s="34"/>
      <c r="AE1669" s="34"/>
      <c r="AF1669" s="34"/>
      <c r="AG1669" s="34"/>
      <c r="AH1669" s="34"/>
      <c r="AI1669" s="34"/>
      <c r="AJ1669" s="34"/>
      <c r="AK1669" s="34"/>
      <c r="AL1669" s="34"/>
      <c r="AM1669" s="34"/>
      <c r="AN1669" s="34"/>
      <c r="AO1669" s="34"/>
      <c r="AP1669" s="34"/>
      <c r="AQ1669" s="34"/>
      <c r="AR1669" s="34"/>
      <c r="AS1669" s="34"/>
      <c r="AT1669" s="34"/>
      <c r="AU1669" s="34"/>
      <c r="AV1669" s="34"/>
    </row>
    <row r="1670">
      <c r="A1670" s="34"/>
      <c r="B1670" s="34"/>
      <c r="C1670" s="34"/>
      <c r="D1670" s="34"/>
      <c r="E1670" s="34"/>
      <c r="F1670" s="34"/>
      <c r="G1670" s="34"/>
      <c r="H1670" s="34"/>
      <c r="I1670" s="34"/>
      <c r="J1670" s="34"/>
      <c r="K1670" s="34"/>
      <c r="L1670" s="34"/>
      <c r="M1670" s="34"/>
      <c r="N1670" s="34"/>
      <c r="O1670" s="34"/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  <c r="AF1670" s="34"/>
      <c r="AG1670" s="34"/>
      <c r="AH1670" s="34"/>
      <c r="AI1670" s="34"/>
      <c r="AJ1670" s="34"/>
      <c r="AK1670" s="34"/>
      <c r="AL1670" s="34"/>
      <c r="AM1670" s="34"/>
      <c r="AN1670" s="34"/>
      <c r="AO1670" s="34"/>
      <c r="AP1670" s="34"/>
      <c r="AQ1670" s="34"/>
      <c r="AR1670" s="34"/>
      <c r="AS1670" s="34"/>
      <c r="AT1670" s="34"/>
      <c r="AU1670" s="34"/>
      <c r="AV1670" s="34"/>
    </row>
    <row r="1671">
      <c r="A1671" s="34"/>
      <c r="B1671" s="34"/>
      <c r="C1671" s="34"/>
      <c r="D1671" s="34"/>
      <c r="E1671" s="34"/>
      <c r="F1671" s="34"/>
      <c r="G1671" s="34"/>
      <c r="H1671" s="34"/>
      <c r="I1671" s="34"/>
      <c r="J1671" s="34"/>
      <c r="K1671" s="34"/>
      <c r="L1671" s="34"/>
      <c r="M1671" s="34"/>
      <c r="N1671" s="34"/>
      <c r="O1671" s="34"/>
      <c r="P1671" s="34"/>
      <c r="Q1671" s="34"/>
      <c r="R1671" s="34"/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  <c r="AE1671" s="34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34"/>
      <c r="AP1671" s="34"/>
      <c r="AQ1671" s="34"/>
      <c r="AR1671" s="34"/>
      <c r="AS1671" s="34"/>
      <c r="AT1671" s="34"/>
      <c r="AU1671" s="34"/>
      <c r="AV1671" s="34"/>
    </row>
    <row r="1672">
      <c r="A1672" s="34"/>
      <c r="B1672" s="34"/>
      <c r="C1672" s="34"/>
      <c r="D1672" s="34"/>
      <c r="E1672" s="34"/>
      <c r="F1672" s="34"/>
      <c r="G1672" s="34"/>
      <c r="H1672" s="34"/>
      <c r="I1672" s="34"/>
      <c r="J1672" s="34"/>
      <c r="K1672" s="34"/>
      <c r="L1672" s="34"/>
      <c r="M1672" s="34"/>
      <c r="N1672" s="34"/>
      <c r="O1672" s="34"/>
      <c r="P1672" s="34"/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  <c r="AF1672" s="34"/>
      <c r="AG1672" s="34"/>
      <c r="AH1672" s="34"/>
      <c r="AI1672" s="34"/>
      <c r="AJ1672" s="34"/>
      <c r="AK1672" s="34"/>
      <c r="AL1672" s="34"/>
      <c r="AM1672" s="34"/>
      <c r="AN1672" s="34"/>
      <c r="AO1672" s="34"/>
      <c r="AP1672" s="34"/>
      <c r="AQ1672" s="34"/>
      <c r="AR1672" s="34"/>
      <c r="AS1672" s="34"/>
      <c r="AT1672" s="34"/>
      <c r="AU1672" s="34"/>
      <c r="AV1672" s="34"/>
    </row>
    <row r="1673">
      <c r="A1673" s="34"/>
      <c r="B1673" s="34"/>
      <c r="C1673" s="34"/>
      <c r="D1673" s="34"/>
      <c r="E1673" s="34"/>
      <c r="F1673" s="34"/>
      <c r="G1673" s="34"/>
      <c r="H1673" s="34"/>
      <c r="I1673" s="34"/>
      <c r="J1673" s="34"/>
      <c r="K1673" s="34"/>
      <c r="L1673" s="34"/>
      <c r="M1673" s="34"/>
      <c r="N1673" s="34"/>
      <c r="O1673" s="34"/>
      <c r="P1673" s="34"/>
      <c r="Q1673" s="34"/>
      <c r="R1673" s="3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4"/>
      <c r="AD1673" s="34"/>
      <c r="AE1673" s="34"/>
      <c r="AF1673" s="34"/>
      <c r="AG1673" s="34"/>
      <c r="AH1673" s="34"/>
      <c r="AI1673" s="34"/>
      <c r="AJ1673" s="34"/>
      <c r="AK1673" s="34"/>
      <c r="AL1673" s="34"/>
      <c r="AM1673" s="34"/>
      <c r="AN1673" s="34"/>
      <c r="AO1673" s="34"/>
      <c r="AP1673" s="34"/>
      <c r="AQ1673" s="34"/>
      <c r="AR1673" s="34"/>
      <c r="AS1673" s="34"/>
      <c r="AT1673" s="34"/>
      <c r="AU1673" s="34"/>
      <c r="AV1673" s="34"/>
    </row>
    <row r="1674">
      <c r="A1674" s="34"/>
      <c r="B1674" s="34"/>
      <c r="C1674" s="34"/>
      <c r="D1674" s="34"/>
      <c r="E1674" s="34"/>
      <c r="F1674" s="34"/>
      <c r="G1674" s="34"/>
      <c r="H1674" s="34"/>
      <c r="I1674" s="34"/>
      <c r="J1674" s="34"/>
      <c r="K1674" s="34"/>
      <c r="L1674" s="34"/>
      <c r="M1674" s="34"/>
      <c r="N1674" s="34"/>
      <c r="O1674" s="34"/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34"/>
      <c r="AP1674" s="34"/>
      <c r="AQ1674" s="34"/>
      <c r="AR1674" s="34"/>
      <c r="AS1674" s="34"/>
      <c r="AT1674" s="34"/>
      <c r="AU1674" s="34"/>
      <c r="AV1674" s="34"/>
    </row>
    <row r="1675">
      <c r="A1675" s="34"/>
      <c r="B1675" s="34"/>
      <c r="C1675" s="34"/>
      <c r="D1675" s="34"/>
      <c r="E1675" s="34"/>
      <c r="F1675" s="34"/>
      <c r="G1675" s="34"/>
      <c r="H1675" s="34"/>
      <c r="I1675" s="34"/>
      <c r="J1675" s="34"/>
      <c r="K1675" s="34"/>
      <c r="L1675" s="34"/>
      <c r="M1675" s="34"/>
      <c r="N1675" s="34"/>
      <c r="O1675" s="34"/>
      <c r="P1675" s="34"/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4"/>
      <c r="AD1675" s="34"/>
      <c r="AE1675" s="34"/>
      <c r="AF1675" s="34"/>
      <c r="AG1675" s="34"/>
      <c r="AH1675" s="34"/>
      <c r="AI1675" s="34"/>
      <c r="AJ1675" s="34"/>
      <c r="AK1675" s="34"/>
      <c r="AL1675" s="34"/>
      <c r="AM1675" s="34"/>
      <c r="AN1675" s="34"/>
      <c r="AO1675" s="34"/>
      <c r="AP1675" s="34"/>
      <c r="AQ1675" s="34"/>
      <c r="AR1675" s="34"/>
      <c r="AS1675" s="34"/>
      <c r="AT1675" s="34"/>
      <c r="AU1675" s="34"/>
      <c r="AV1675" s="34"/>
    </row>
    <row r="1676">
      <c r="A1676" s="34"/>
      <c r="B1676" s="34"/>
      <c r="C1676" s="34"/>
      <c r="D1676" s="34"/>
      <c r="E1676" s="34"/>
      <c r="F1676" s="34"/>
      <c r="G1676" s="34"/>
      <c r="H1676" s="34"/>
      <c r="I1676" s="34"/>
      <c r="J1676" s="34"/>
      <c r="K1676" s="34"/>
      <c r="L1676" s="34"/>
      <c r="M1676" s="34"/>
      <c r="N1676" s="34"/>
      <c r="O1676" s="34"/>
      <c r="P1676" s="34"/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34"/>
      <c r="AP1676" s="34"/>
      <c r="AQ1676" s="34"/>
      <c r="AR1676" s="34"/>
      <c r="AS1676" s="34"/>
      <c r="AT1676" s="34"/>
      <c r="AU1676" s="34"/>
      <c r="AV1676" s="34"/>
    </row>
    <row r="1677">
      <c r="A1677" s="34"/>
      <c r="B1677" s="34"/>
      <c r="C1677" s="34"/>
      <c r="D1677" s="34"/>
      <c r="E1677" s="34"/>
      <c r="F1677" s="34"/>
      <c r="G1677" s="34"/>
      <c r="H1677" s="34"/>
      <c r="I1677" s="34"/>
      <c r="J1677" s="34"/>
      <c r="K1677" s="34"/>
      <c r="L1677" s="34"/>
      <c r="M1677" s="34"/>
      <c r="N1677" s="34"/>
      <c r="O1677" s="34"/>
      <c r="P1677" s="34"/>
      <c r="Q1677" s="34"/>
      <c r="R1677" s="3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34"/>
      <c r="AP1677" s="34"/>
      <c r="AQ1677" s="34"/>
      <c r="AR1677" s="34"/>
      <c r="AS1677" s="34"/>
      <c r="AT1677" s="34"/>
      <c r="AU1677" s="34"/>
      <c r="AV1677" s="34"/>
    </row>
    <row r="1678">
      <c r="A1678" s="34"/>
      <c r="B1678" s="34"/>
      <c r="C1678" s="34"/>
      <c r="D1678" s="34"/>
      <c r="E1678" s="34"/>
      <c r="F1678" s="34"/>
      <c r="G1678" s="34"/>
      <c r="H1678" s="34"/>
      <c r="I1678" s="34"/>
      <c r="J1678" s="34"/>
      <c r="K1678" s="34"/>
      <c r="L1678" s="34"/>
      <c r="M1678" s="34"/>
      <c r="N1678" s="34"/>
      <c r="O1678" s="34"/>
      <c r="P1678" s="34"/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  <c r="AJ1678" s="34"/>
      <c r="AK1678" s="34"/>
      <c r="AL1678" s="34"/>
      <c r="AM1678" s="34"/>
      <c r="AN1678" s="34"/>
      <c r="AO1678" s="34"/>
      <c r="AP1678" s="34"/>
      <c r="AQ1678" s="34"/>
      <c r="AR1678" s="34"/>
      <c r="AS1678" s="34"/>
      <c r="AT1678" s="34"/>
      <c r="AU1678" s="34"/>
      <c r="AV1678" s="34"/>
    </row>
    <row r="1679">
      <c r="A1679" s="34"/>
      <c r="B1679" s="34"/>
      <c r="C1679" s="34"/>
      <c r="D1679" s="34"/>
      <c r="E1679" s="34"/>
      <c r="F1679" s="34"/>
      <c r="G1679" s="34"/>
      <c r="H1679" s="34"/>
      <c r="I1679" s="34"/>
      <c r="J1679" s="34"/>
      <c r="K1679" s="34"/>
      <c r="L1679" s="34"/>
      <c r="M1679" s="34"/>
      <c r="N1679" s="34"/>
      <c r="O1679" s="34"/>
      <c r="P1679" s="34"/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4"/>
      <c r="AD1679" s="34"/>
      <c r="AE1679" s="34"/>
      <c r="AF1679" s="34"/>
      <c r="AG1679" s="34"/>
      <c r="AH1679" s="34"/>
      <c r="AI1679" s="34"/>
      <c r="AJ1679" s="34"/>
      <c r="AK1679" s="34"/>
      <c r="AL1679" s="34"/>
      <c r="AM1679" s="34"/>
      <c r="AN1679" s="34"/>
      <c r="AO1679" s="34"/>
      <c r="AP1679" s="34"/>
      <c r="AQ1679" s="34"/>
      <c r="AR1679" s="34"/>
      <c r="AS1679" s="34"/>
      <c r="AT1679" s="34"/>
      <c r="AU1679" s="34"/>
      <c r="AV1679" s="34"/>
    </row>
    <row r="1680">
      <c r="A1680" s="34"/>
      <c r="B1680" s="34"/>
      <c r="C1680" s="34"/>
      <c r="D1680" s="34"/>
      <c r="E1680" s="34"/>
      <c r="F1680" s="34"/>
      <c r="G1680" s="34"/>
      <c r="H1680" s="34"/>
      <c r="I1680" s="34"/>
      <c r="J1680" s="34"/>
      <c r="K1680" s="34"/>
      <c r="L1680" s="34"/>
      <c r="M1680" s="34"/>
      <c r="N1680" s="34"/>
      <c r="O1680" s="34"/>
      <c r="P1680" s="34"/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34"/>
      <c r="AP1680" s="34"/>
      <c r="AQ1680" s="34"/>
      <c r="AR1680" s="34"/>
      <c r="AS1680" s="34"/>
      <c r="AT1680" s="34"/>
      <c r="AU1680" s="34"/>
      <c r="AV1680" s="34"/>
    </row>
    <row r="1681">
      <c r="A1681" s="34"/>
      <c r="B1681" s="34"/>
      <c r="C1681" s="34"/>
      <c r="D1681" s="34"/>
      <c r="E1681" s="34"/>
      <c r="F1681" s="34"/>
      <c r="G1681" s="34"/>
      <c r="H1681" s="34"/>
      <c r="I1681" s="34"/>
      <c r="J1681" s="34"/>
      <c r="K1681" s="34"/>
      <c r="L1681" s="34"/>
      <c r="M1681" s="34"/>
      <c r="N1681" s="34"/>
      <c r="O1681" s="34"/>
      <c r="P1681" s="34"/>
      <c r="Q1681" s="34"/>
      <c r="R1681" s="34"/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34"/>
      <c r="AD1681" s="34"/>
      <c r="AE1681" s="34"/>
      <c r="AF1681" s="34"/>
      <c r="AG1681" s="34"/>
      <c r="AH1681" s="34"/>
      <c r="AI1681" s="34"/>
      <c r="AJ1681" s="34"/>
      <c r="AK1681" s="34"/>
      <c r="AL1681" s="34"/>
      <c r="AM1681" s="34"/>
      <c r="AN1681" s="34"/>
      <c r="AO1681" s="34"/>
      <c r="AP1681" s="34"/>
      <c r="AQ1681" s="34"/>
      <c r="AR1681" s="34"/>
      <c r="AS1681" s="34"/>
      <c r="AT1681" s="34"/>
      <c r="AU1681" s="34"/>
      <c r="AV1681" s="34"/>
    </row>
    <row r="1682">
      <c r="A1682" s="34"/>
      <c r="B1682" s="34"/>
      <c r="C1682" s="34"/>
      <c r="D1682" s="34"/>
      <c r="E1682" s="34"/>
      <c r="F1682" s="34"/>
      <c r="G1682" s="34"/>
      <c r="H1682" s="34"/>
      <c r="I1682" s="34"/>
      <c r="J1682" s="34"/>
      <c r="K1682" s="34"/>
      <c r="L1682" s="34"/>
      <c r="M1682" s="34"/>
      <c r="N1682" s="34"/>
      <c r="O1682" s="34"/>
      <c r="P1682" s="34"/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  <c r="AE1682" s="34"/>
      <c r="AF1682" s="34"/>
      <c r="AG1682" s="34"/>
      <c r="AH1682" s="34"/>
      <c r="AI1682" s="34"/>
      <c r="AJ1682" s="34"/>
      <c r="AK1682" s="34"/>
      <c r="AL1682" s="34"/>
      <c r="AM1682" s="34"/>
      <c r="AN1682" s="34"/>
      <c r="AO1682" s="34"/>
      <c r="AP1682" s="34"/>
      <c r="AQ1682" s="34"/>
      <c r="AR1682" s="34"/>
      <c r="AS1682" s="34"/>
      <c r="AT1682" s="34"/>
      <c r="AU1682" s="34"/>
      <c r="AV1682" s="34"/>
    </row>
    <row r="1683">
      <c r="A1683" s="34"/>
      <c r="B1683" s="34"/>
      <c r="C1683" s="34"/>
      <c r="D1683" s="34"/>
      <c r="E1683" s="34"/>
      <c r="F1683" s="34"/>
      <c r="G1683" s="34"/>
      <c r="H1683" s="34"/>
      <c r="I1683" s="34"/>
      <c r="J1683" s="34"/>
      <c r="K1683" s="34"/>
      <c r="L1683" s="34"/>
      <c r="M1683" s="34"/>
      <c r="N1683" s="34"/>
      <c r="O1683" s="34"/>
      <c r="P1683" s="34"/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  <c r="AJ1683" s="34"/>
      <c r="AK1683" s="34"/>
      <c r="AL1683" s="34"/>
      <c r="AM1683" s="34"/>
      <c r="AN1683" s="34"/>
      <c r="AO1683" s="34"/>
      <c r="AP1683" s="34"/>
      <c r="AQ1683" s="34"/>
      <c r="AR1683" s="34"/>
      <c r="AS1683" s="34"/>
      <c r="AT1683" s="34"/>
      <c r="AU1683" s="34"/>
      <c r="AV1683" s="34"/>
    </row>
    <row r="1684">
      <c r="A1684" s="34"/>
      <c r="B1684" s="34"/>
      <c r="C1684" s="34"/>
      <c r="D1684" s="34"/>
      <c r="E1684" s="34"/>
      <c r="F1684" s="34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4"/>
      <c r="AN1684" s="34"/>
      <c r="AO1684" s="34"/>
      <c r="AP1684" s="34"/>
      <c r="AQ1684" s="34"/>
      <c r="AR1684" s="34"/>
      <c r="AS1684" s="34"/>
      <c r="AT1684" s="34"/>
      <c r="AU1684" s="34"/>
      <c r="AV1684" s="34"/>
    </row>
    <row r="1685">
      <c r="A1685" s="34"/>
      <c r="B1685" s="34"/>
      <c r="C1685" s="34"/>
      <c r="D1685" s="34"/>
      <c r="E1685" s="34"/>
      <c r="F1685" s="34"/>
      <c r="G1685" s="34"/>
      <c r="H1685" s="34"/>
      <c r="I1685" s="34"/>
      <c r="J1685" s="34"/>
      <c r="K1685" s="34"/>
      <c r="L1685" s="34"/>
      <c r="M1685" s="34"/>
      <c r="N1685" s="34"/>
      <c r="O1685" s="34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  <c r="AJ1685" s="34"/>
      <c r="AK1685" s="34"/>
      <c r="AL1685" s="34"/>
      <c r="AM1685" s="34"/>
      <c r="AN1685" s="34"/>
      <c r="AO1685" s="34"/>
      <c r="AP1685" s="34"/>
      <c r="AQ1685" s="34"/>
      <c r="AR1685" s="34"/>
      <c r="AS1685" s="34"/>
      <c r="AT1685" s="34"/>
      <c r="AU1685" s="34"/>
      <c r="AV1685" s="34"/>
    </row>
    <row r="1686">
      <c r="A1686" s="34"/>
      <c r="B1686" s="34"/>
      <c r="C1686" s="34"/>
      <c r="D1686" s="34"/>
      <c r="E1686" s="34"/>
      <c r="F1686" s="34"/>
      <c r="G1686" s="34"/>
      <c r="H1686" s="34"/>
      <c r="I1686" s="34"/>
      <c r="J1686" s="34"/>
      <c r="K1686" s="34"/>
      <c r="L1686" s="34"/>
      <c r="M1686" s="34"/>
      <c r="N1686" s="34"/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34"/>
      <c r="AP1686" s="34"/>
      <c r="AQ1686" s="34"/>
      <c r="AR1686" s="34"/>
      <c r="AS1686" s="34"/>
      <c r="AT1686" s="34"/>
      <c r="AU1686" s="34"/>
      <c r="AV1686" s="34"/>
    </row>
    <row r="1687">
      <c r="A1687" s="34"/>
      <c r="B1687" s="34"/>
      <c r="C1687" s="34"/>
      <c r="D1687" s="34"/>
      <c r="E1687" s="34"/>
      <c r="F1687" s="34"/>
      <c r="G1687" s="34"/>
      <c r="H1687" s="34"/>
      <c r="I1687" s="34"/>
      <c r="J1687" s="34"/>
      <c r="K1687" s="34"/>
      <c r="L1687" s="34"/>
      <c r="M1687" s="34"/>
      <c r="N1687" s="34"/>
      <c r="O1687" s="34"/>
      <c r="P1687" s="34"/>
      <c r="Q1687" s="34"/>
      <c r="R1687" s="34"/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34"/>
      <c r="AD1687" s="34"/>
      <c r="AE1687" s="34"/>
      <c r="AF1687" s="34"/>
      <c r="AG1687" s="34"/>
      <c r="AH1687" s="34"/>
      <c r="AI1687" s="34"/>
      <c r="AJ1687" s="34"/>
      <c r="AK1687" s="34"/>
      <c r="AL1687" s="34"/>
      <c r="AM1687" s="34"/>
      <c r="AN1687" s="34"/>
      <c r="AO1687" s="34"/>
      <c r="AP1687" s="34"/>
      <c r="AQ1687" s="34"/>
      <c r="AR1687" s="34"/>
      <c r="AS1687" s="34"/>
      <c r="AT1687" s="34"/>
      <c r="AU1687" s="34"/>
      <c r="AV1687" s="34"/>
    </row>
    <row r="1688">
      <c r="A1688" s="34"/>
      <c r="B1688" s="34"/>
      <c r="C1688" s="34"/>
      <c r="D1688" s="34"/>
      <c r="E1688" s="34"/>
      <c r="F1688" s="34"/>
      <c r="G1688" s="34"/>
      <c r="H1688" s="34"/>
      <c r="I1688" s="34"/>
      <c r="J1688" s="34"/>
      <c r="K1688" s="34"/>
      <c r="L1688" s="34"/>
      <c r="M1688" s="34"/>
      <c r="N1688" s="34"/>
      <c r="O1688" s="34"/>
      <c r="P1688" s="34"/>
      <c r="Q1688" s="34"/>
      <c r="R1688" s="3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34"/>
      <c r="AP1688" s="34"/>
      <c r="AQ1688" s="34"/>
      <c r="AR1688" s="34"/>
      <c r="AS1688" s="34"/>
      <c r="AT1688" s="34"/>
      <c r="AU1688" s="34"/>
      <c r="AV1688" s="34"/>
    </row>
    <row r="1689">
      <c r="A1689" s="34"/>
      <c r="B1689" s="34"/>
      <c r="C1689" s="34"/>
      <c r="D1689" s="34"/>
      <c r="E1689" s="34"/>
      <c r="F1689" s="34"/>
      <c r="G1689" s="34"/>
      <c r="H1689" s="34"/>
      <c r="I1689" s="34"/>
      <c r="J1689" s="34"/>
      <c r="K1689" s="34"/>
      <c r="L1689" s="34"/>
      <c r="M1689" s="34"/>
      <c r="N1689" s="34"/>
      <c r="O1689" s="34"/>
      <c r="P1689" s="34"/>
      <c r="Q1689" s="34"/>
      <c r="R1689" s="34"/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  <c r="AJ1689" s="34"/>
      <c r="AK1689" s="34"/>
      <c r="AL1689" s="34"/>
      <c r="AM1689" s="34"/>
      <c r="AN1689" s="34"/>
      <c r="AO1689" s="34"/>
      <c r="AP1689" s="34"/>
      <c r="AQ1689" s="34"/>
      <c r="AR1689" s="34"/>
      <c r="AS1689" s="34"/>
      <c r="AT1689" s="34"/>
      <c r="AU1689" s="34"/>
      <c r="AV1689" s="34"/>
    </row>
    <row r="1690">
      <c r="A1690" s="34"/>
      <c r="B1690" s="34"/>
      <c r="C1690" s="34"/>
      <c r="D1690" s="34"/>
      <c r="E1690" s="34"/>
      <c r="F1690" s="34"/>
      <c r="G1690" s="34"/>
      <c r="H1690" s="34"/>
      <c r="I1690" s="34"/>
      <c r="J1690" s="34"/>
      <c r="K1690" s="34"/>
      <c r="L1690" s="34"/>
      <c r="M1690" s="34"/>
      <c r="N1690" s="34"/>
      <c r="O1690" s="34"/>
      <c r="P1690" s="34"/>
      <c r="Q1690" s="34"/>
      <c r="R1690" s="3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  <c r="AE1690" s="34"/>
      <c r="AF1690" s="34"/>
      <c r="AG1690" s="34"/>
      <c r="AH1690" s="34"/>
      <c r="AI1690" s="34"/>
      <c r="AJ1690" s="34"/>
      <c r="AK1690" s="34"/>
      <c r="AL1690" s="34"/>
      <c r="AM1690" s="34"/>
      <c r="AN1690" s="34"/>
      <c r="AO1690" s="34"/>
      <c r="AP1690" s="34"/>
      <c r="AQ1690" s="34"/>
      <c r="AR1690" s="34"/>
      <c r="AS1690" s="34"/>
      <c r="AT1690" s="34"/>
      <c r="AU1690" s="34"/>
      <c r="AV1690" s="34"/>
    </row>
    <row r="1691">
      <c r="A1691" s="34"/>
      <c r="B1691" s="34"/>
      <c r="C1691" s="34"/>
      <c r="D1691" s="34"/>
      <c r="E1691" s="34"/>
      <c r="F1691" s="34"/>
      <c r="G1691" s="34"/>
      <c r="H1691" s="34"/>
      <c r="I1691" s="34"/>
      <c r="J1691" s="34"/>
      <c r="K1691" s="34"/>
      <c r="L1691" s="34"/>
      <c r="M1691" s="34"/>
      <c r="N1691" s="34"/>
      <c r="O1691" s="34"/>
      <c r="P1691" s="34"/>
      <c r="Q1691" s="34"/>
      <c r="R1691" s="34"/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34"/>
      <c r="AD1691" s="34"/>
      <c r="AE1691" s="34"/>
      <c r="AF1691" s="34"/>
      <c r="AG1691" s="34"/>
      <c r="AH1691" s="34"/>
      <c r="AI1691" s="34"/>
      <c r="AJ1691" s="34"/>
      <c r="AK1691" s="34"/>
      <c r="AL1691" s="34"/>
      <c r="AM1691" s="34"/>
      <c r="AN1691" s="34"/>
      <c r="AO1691" s="34"/>
      <c r="AP1691" s="34"/>
      <c r="AQ1691" s="34"/>
      <c r="AR1691" s="34"/>
      <c r="AS1691" s="34"/>
      <c r="AT1691" s="34"/>
      <c r="AU1691" s="34"/>
      <c r="AV1691" s="34"/>
    </row>
    <row r="1692">
      <c r="A1692" s="34"/>
      <c r="B1692" s="34"/>
      <c r="C1692" s="34"/>
      <c r="D1692" s="34"/>
      <c r="E1692" s="34"/>
      <c r="F1692" s="34"/>
      <c r="G1692" s="34"/>
      <c r="H1692" s="34"/>
      <c r="I1692" s="34"/>
      <c r="J1692" s="34"/>
      <c r="K1692" s="34"/>
      <c r="L1692" s="34"/>
      <c r="M1692" s="34"/>
      <c r="N1692" s="34"/>
      <c r="O1692" s="34"/>
      <c r="P1692" s="34"/>
      <c r="Q1692" s="34"/>
      <c r="R1692" s="34"/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4"/>
      <c r="AD1692" s="34"/>
      <c r="AE1692" s="34"/>
      <c r="AF1692" s="34"/>
      <c r="AG1692" s="34"/>
      <c r="AH1692" s="34"/>
      <c r="AI1692" s="34"/>
      <c r="AJ1692" s="34"/>
      <c r="AK1692" s="34"/>
      <c r="AL1692" s="34"/>
      <c r="AM1692" s="34"/>
      <c r="AN1692" s="34"/>
      <c r="AO1692" s="34"/>
      <c r="AP1692" s="34"/>
      <c r="AQ1692" s="34"/>
      <c r="AR1692" s="34"/>
      <c r="AS1692" s="34"/>
      <c r="AT1692" s="34"/>
      <c r="AU1692" s="34"/>
      <c r="AV1692" s="34"/>
    </row>
    <row r="1693">
      <c r="A1693" s="34"/>
      <c r="B1693" s="34"/>
      <c r="C1693" s="34"/>
      <c r="D1693" s="34"/>
      <c r="E1693" s="34"/>
      <c r="F1693" s="34"/>
      <c r="G1693" s="34"/>
      <c r="H1693" s="34"/>
      <c r="I1693" s="34"/>
      <c r="J1693" s="34"/>
      <c r="K1693" s="34"/>
      <c r="L1693" s="34"/>
      <c r="M1693" s="34"/>
      <c r="N1693" s="34"/>
      <c r="O1693" s="34"/>
      <c r="P1693" s="34"/>
      <c r="Q1693" s="34"/>
      <c r="R1693" s="34"/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4"/>
      <c r="AD1693" s="34"/>
      <c r="AE1693" s="34"/>
      <c r="AF1693" s="34"/>
      <c r="AG1693" s="34"/>
      <c r="AH1693" s="34"/>
      <c r="AI1693" s="34"/>
      <c r="AJ1693" s="34"/>
      <c r="AK1693" s="34"/>
      <c r="AL1693" s="34"/>
      <c r="AM1693" s="34"/>
      <c r="AN1693" s="34"/>
      <c r="AO1693" s="34"/>
      <c r="AP1693" s="34"/>
      <c r="AQ1693" s="34"/>
      <c r="AR1693" s="34"/>
      <c r="AS1693" s="34"/>
      <c r="AT1693" s="34"/>
      <c r="AU1693" s="34"/>
      <c r="AV1693" s="34"/>
    </row>
    <row r="1694">
      <c r="A1694" s="34"/>
      <c r="B1694" s="34"/>
      <c r="C1694" s="34"/>
      <c r="D1694" s="34"/>
      <c r="E1694" s="34"/>
      <c r="F1694" s="34"/>
      <c r="G1694" s="34"/>
      <c r="H1694" s="34"/>
      <c r="I1694" s="34"/>
      <c r="J1694" s="34"/>
      <c r="K1694" s="34"/>
      <c r="L1694" s="34"/>
      <c r="M1694" s="34"/>
      <c r="N1694" s="34"/>
      <c r="O1694" s="34"/>
      <c r="P1694" s="34"/>
      <c r="Q1694" s="34"/>
      <c r="R1694" s="34"/>
      <c r="S1694" s="34"/>
      <c r="T1694" s="34"/>
      <c r="U1694" s="34"/>
      <c r="V1694" s="34"/>
      <c r="W1694" s="34"/>
      <c r="X1694" s="34"/>
      <c r="Y1694" s="34"/>
      <c r="Z1694" s="34"/>
      <c r="AA1694" s="34"/>
      <c r="AB1694" s="34"/>
      <c r="AC1694" s="34"/>
      <c r="AD1694" s="34"/>
      <c r="AE1694" s="34"/>
      <c r="AF1694" s="34"/>
      <c r="AG1694" s="34"/>
      <c r="AH1694" s="34"/>
      <c r="AI1694" s="34"/>
      <c r="AJ1694" s="34"/>
      <c r="AK1694" s="34"/>
      <c r="AL1694" s="34"/>
      <c r="AM1694" s="34"/>
      <c r="AN1694" s="34"/>
      <c r="AO1694" s="34"/>
      <c r="AP1694" s="34"/>
      <c r="AQ1694" s="34"/>
      <c r="AR1694" s="34"/>
      <c r="AS1694" s="34"/>
      <c r="AT1694" s="34"/>
      <c r="AU1694" s="34"/>
      <c r="AV1694" s="34"/>
    </row>
    <row r="1695">
      <c r="A1695" s="34"/>
      <c r="B1695" s="34"/>
      <c r="C1695" s="34"/>
      <c r="D1695" s="34"/>
      <c r="E1695" s="34"/>
      <c r="F1695" s="34"/>
      <c r="G1695" s="34"/>
      <c r="H1695" s="34"/>
      <c r="I1695" s="34"/>
      <c r="J1695" s="34"/>
      <c r="K1695" s="34"/>
      <c r="L1695" s="34"/>
      <c r="M1695" s="34"/>
      <c r="N1695" s="34"/>
      <c r="O1695" s="34"/>
      <c r="P1695" s="34"/>
      <c r="Q1695" s="34"/>
      <c r="R1695" s="34"/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  <c r="AJ1695" s="34"/>
      <c r="AK1695" s="34"/>
      <c r="AL1695" s="34"/>
      <c r="AM1695" s="34"/>
      <c r="AN1695" s="34"/>
      <c r="AO1695" s="34"/>
      <c r="AP1695" s="34"/>
      <c r="AQ1695" s="34"/>
      <c r="AR1695" s="34"/>
      <c r="AS1695" s="34"/>
      <c r="AT1695" s="34"/>
      <c r="AU1695" s="34"/>
      <c r="AV1695" s="34"/>
    </row>
    <row r="1696">
      <c r="A1696" s="34"/>
      <c r="B1696" s="34"/>
      <c r="C1696" s="34"/>
      <c r="D1696" s="34"/>
      <c r="E1696" s="34"/>
      <c r="F1696" s="34"/>
      <c r="G1696" s="34"/>
      <c r="H1696" s="34"/>
      <c r="I1696" s="34"/>
      <c r="J1696" s="34"/>
      <c r="K1696" s="34"/>
      <c r="L1696" s="34"/>
      <c r="M1696" s="34"/>
      <c r="N1696" s="34"/>
      <c r="O1696" s="34"/>
      <c r="P1696" s="34"/>
      <c r="Q1696" s="34"/>
      <c r="R1696" s="34"/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34"/>
      <c r="AD1696" s="34"/>
      <c r="AE1696" s="34"/>
      <c r="AF1696" s="34"/>
      <c r="AG1696" s="34"/>
      <c r="AH1696" s="34"/>
      <c r="AI1696" s="34"/>
      <c r="AJ1696" s="34"/>
      <c r="AK1696" s="34"/>
      <c r="AL1696" s="34"/>
      <c r="AM1696" s="34"/>
      <c r="AN1696" s="34"/>
      <c r="AO1696" s="34"/>
      <c r="AP1696" s="34"/>
      <c r="AQ1696" s="34"/>
      <c r="AR1696" s="34"/>
      <c r="AS1696" s="34"/>
      <c r="AT1696" s="34"/>
      <c r="AU1696" s="34"/>
      <c r="AV1696" s="34"/>
    </row>
    <row r="1697">
      <c r="A1697" s="34"/>
      <c r="B1697" s="34"/>
      <c r="C1697" s="34"/>
      <c r="D1697" s="34"/>
      <c r="E1697" s="34"/>
      <c r="F1697" s="34"/>
      <c r="G1697" s="34"/>
      <c r="H1697" s="34"/>
      <c r="I1697" s="34"/>
      <c r="J1697" s="34"/>
      <c r="K1697" s="34"/>
      <c r="L1697" s="34"/>
      <c r="M1697" s="34"/>
      <c r="N1697" s="34"/>
      <c r="O1697" s="34"/>
      <c r="P1697" s="34"/>
      <c r="Q1697" s="34"/>
      <c r="R1697" s="34"/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4"/>
      <c r="AD1697" s="34"/>
      <c r="AE1697" s="34"/>
      <c r="AF1697" s="34"/>
      <c r="AG1697" s="34"/>
      <c r="AH1697" s="34"/>
      <c r="AI1697" s="34"/>
      <c r="AJ1697" s="34"/>
      <c r="AK1697" s="34"/>
      <c r="AL1697" s="34"/>
      <c r="AM1697" s="34"/>
      <c r="AN1697" s="34"/>
      <c r="AO1697" s="34"/>
      <c r="AP1697" s="34"/>
      <c r="AQ1697" s="34"/>
      <c r="AR1697" s="34"/>
      <c r="AS1697" s="34"/>
      <c r="AT1697" s="34"/>
      <c r="AU1697" s="34"/>
      <c r="AV1697" s="34"/>
    </row>
    <row r="1698">
      <c r="A1698" s="34"/>
      <c r="B1698" s="34"/>
      <c r="C1698" s="34"/>
      <c r="D1698" s="34"/>
      <c r="E1698" s="34"/>
      <c r="F1698" s="34"/>
      <c r="G1698" s="34"/>
      <c r="H1698" s="34"/>
      <c r="I1698" s="34"/>
      <c r="J1698" s="34"/>
      <c r="K1698" s="34"/>
      <c r="L1698" s="34"/>
      <c r="M1698" s="34"/>
      <c r="N1698" s="34"/>
      <c r="O1698" s="34"/>
      <c r="P1698" s="34"/>
      <c r="Q1698" s="34"/>
      <c r="R1698" s="34"/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  <c r="AG1698" s="34"/>
      <c r="AH1698" s="34"/>
      <c r="AI1698" s="34"/>
      <c r="AJ1698" s="34"/>
      <c r="AK1698" s="34"/>
      <c r="AL1698" s="34"/>
      <c r="AM1698" s="34"/>
      <c r="AN1698" s="34"/>
      <c r="AO1698" s="34"/>
      <c r="AP1698" s="34"/>
      <c r="AQ1698" s="34"/>
      <c r="AR1698" s="34"/>
      <c r="AS1698" s="34"/>
      <c r="AT1698" s="34"/>
      <c r="AU1698" s="34"/>
      <c r="AV1698" s="34"/>
    </row>
    <row r="1699">
      <c r="A1699" s="34"/>
      <c r="B1699" s="34"/>
      <c r="C1699" s="34"/>
      <c r="D1699" s="34"/>
      <c r="E1699" s="34"/>
      <c r="F1699" s="34"/>
      <c r="G1699" s="34"/>
      <c r="H1699" s="34"/>
      <c r="I1699" s="34"/>
      <c r="J1699" s="34"/>
      <c r="K1699" s="34"/>
      <c r="L1699" s="34"/>
      <c r="M1699" s="34"/>
      <c r="N1699" s="34"/>
      <c r="O1699" s="34"/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4"/>
      <c r="AM1699" s="34"/>
      <c r="AN1699" s="34"/>
      <c r="AO1699" s="34"/>
      <c r="AP1699" s="34"/>
      <c r="AQ1699" s="34"/>
      <c r="AR1699" s="34"/>
      <c r="AS1699" s="34"/>
      <c r="AT1699" s="34"/>
      <c r="AU1699" s="34"/>
      <c r="AV1699" s="34"/>
    </row>
    <row r="1700">
      <c r="A1700" s="34"/>
      <c r="B1700" s="34"/>
      <c r="C1700" s="34"/>
      <c r="D1700" s="34"/>
      <c r="E1700" s="34"/>
      <c r="F1700" s="34"/>
      <c r="G1700" s="34"/>
      <c r="H1700" s="34"/>
      <c r="I1700" s="34"/>
      <c r="J1700" s="34"/>
      <c r="K1700" s="34"/>
      <c r="L1700" s="34"/>
      <c r="M1700" s="34"/>
      <c r="N1700" s="34"/>
      <c r="O1700" s="34"/>
      <c r="P1700" s="34"/>
      <c r="Q1700" s="34"/>
      <c r="R1700" s="34"/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34"/>
      <c r="AD1700" s="34"/>
      <c r="AE1700" s="34"/>
      <c r="AF1700" s="34"/>
      <c r="AG1700" s="34"/>
      <c r="AH1700" s="34"/>
      <c r="AI1700" s="34"/>
      <c r="AJ1700" s="34"/>
      <c r="AK1700" s="34"/>
      <c r="AL1700" s="34"/>
      <c r="AM1700" s="34"/>
      <c r="AN1700" s="34"/>
      <c r="AO1700" s="34"/>
      <c r="AP1700" s="34"/>
      <c r="AQ1700" s="34"/>
      <c r="AR1700" s="34"/>
      <c r="AS1700" s="34"/>
      <c r="AT1700" s="34"/>
      <c r="AU1700" s="34"/>
      <c r="AV1700" s="34"/>
    </row>
    <row r="1701">
      <c r="A1701" s="34"/>
      <c r="B1701" s="34"/>
      <c r="C1701" s="34"/>
      <c r="D1701" s="34"/>
      <c r="E1701" s="34"/>
      <c r="F1701" s="34"/>
      <c r="G1701" s="34"/>
      <c r="H1701" s="34"/>
      <c r="I1701" s="34"/>
      <c r="J1701" s="34"/>
      <c r="K1701" s="34"/>
      <c r="L1701" s="34"/>
      <c r="M1701" s="34"/>
      <c r="N1701" s="34"/>
      <c r="O1701" s="34"/>
      <c r="P1701" s="34"/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4"/>
      <c r="AQ1701" s="34"/>
      <c r="AR1701" s="34"/>
      <c r="AS1701" s="34"/>
      <c r="AT1701" s="34"/>
      <c r="AU1701" s="34"/>
      <c r="AV1701" s="34"/>
    </row>
    <row r="1702">
      <c r="A1702" s="34"/>
      <c r="B1702" s="34"/>
      <c r="C1702" s="34"/>
      <c r="D1702" s="34"/>
      <c r="E1702" s="34"/>
      <c r="F1702" s="34"/>
      <c r="G1702" s="34"/>
      <c r="H1702" s="34"/>
      <c r="I1702" s="34"/>
      <c r="J1702" s="34"/>
      <c r="K1702" s="34"/>
      <c r="L1702" s="34"/>
      <c r="M1702" s="34"/>
      <c r="N1702" s="34"/>
      <c r="O1702" s="34"/>
      <c r="P1702" s="34"/>
      <c r="Q1702" s="34"/>
      <c r="R1702" s="34"/>
      <c r="S1702" s="34"/>
      <c r="T1702" s="34"/>
      <c r="U1702" s="34"/>
      <c r="V1702" s="34"/>
      <c r="W1702" s="34"/>
      <c r="X1702" s="34"/>
      <c r="Y1702" s="34"/>
      <c r="Z1702" s="34"/>
      <c r="AA1702" s="34"/>
      <c r="AB1702" s="34"/>
      <c r="AC1702" s="34"/>
      <c r="AD1702" s="34"/>
      <c r="AE1702" s="34"/>
      <c r="AF1702" s="34"/>
      <c r="AG1702" s="34"/>
      <c r="AH1702" s="34"/>
      <c r="AI1702" s="34"/>
      <c r="AJ1702" s="34"/>
      <c r="AK1702" s="34"/>
      <c r="AL1702" s="34"/>
      <c r="AM1702" s="34"/>
      <c r="AN1702" s="34"/>
      <c r="AO1702" s="34"/>
      <c r="AP1702" s="34"/>
      <c r="AQ1702" s="34"/>
      <c r="AR1702" s="34"/>
      <c r="AS1702" s="34"/>
      <c r="AT1702" s="34"/>
      <c r="AU1702" s="34"/>
      <c r="AV1702" s="34"/>
    </row>
    <row r="1703">
      <c r="A1703" s="34"/>
      <c r="B1703" s="34"/>
      <c r="C1703" s="34"/>
      <c r="D1703" s="34"/>
      <c r="E1703" s="34"/>
      <c r="F1703" s="34"/>
      <c r="G1703" s="34"/>
      <c r="H1703" s="34"/>
      <c r="I1703" s="34"/>
      <c r="J1703" s="34"/>
      <c r="K1703" s="34"/>
      <c r="L1703" s="34"/>
      <c r="M1703" s="34"/>
      <c r="N1703" s="34"/>
      <c r="O1703" s="34"/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/>
      <c r="AN1703" s="34"/>
      <c r="AO1703" s="34"/>
      <c r="AP1703" s="34"/>
      <c r="AQ1703" s="34"/>
      <c r="AR1703" s="34"/>
      <c r="AS1703" s="34"/>
      <c r="AT1703" s="34"/>
      <c r="AU1703" s="34"/>
      <c r="AV1703" s="34"/>
    </row>
    <row r="1704">
      <c r="A1704" s="34"/>
      <c r="B1704" s="34"/>
      <c r="C1704" s="34"/>
      <c r="D1704" s="34"/>
      <c r="E1704" s="34"/>
      <c r="F1704" s="34"/>
      <c r="G1704" s="34"/>
      <c r="H1704" s="34"/>
      <c r="I1704" s="34"/>
      <c r="J1704" s="34"/>
      <c r="K1704" s="34"/>
      <c r="L1704" s="34"/>
      <c r="M1704" s="34"/>
      <c r="N1704" s="34"/>
      <c r="O1704" s="34"/>
      <c r="P1704" s="34"/>
      <c r="Q1704" s="34"/>
      <c r="R1704" s="34"/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34"/>
      <c r="AD1704" s="34"/>
      <c r="AE1704" s="34"/>
      <c r="AF1704" s="34"/>
      <c r="AG1704" s="34"/>
      <c r="AH1704" s="34"/>
      <c r="AI1704" s="34"/>
      <c r="AJ1704" s="34"/>
      <c r="AK1704" s="34"/>
      <c r="AL1704" s="34"/>
      <c r="AM1704" s="34"/>
      <c r="AN1704" s="34"/>
      <c r="AO1704" s="34"/>
      <c r="AP1704" s="34"/>
      <c r="AQ1704" s="34"/>
      <c r="AR1704" s="34"/>
      <c r="AS1704" s="34"/>
      <c r="AT1704" s="34"/>
      <c r="AU1704" s="34"/>
      <c r="AV1704" s="34"/>
    </row>
    <row r="1705">
      <c r="A1705" s="34"/>
      <c r="B1705" s="34"/>
      <c r="C1705" s="34"/>
      <c r="D1705" s="34"/>
      <c r="E1705" s="34"/>
      <c r="F1705" s="34"/>
      <c r="G1705" s="34"/>
      <c r="H1705" s="34"/>
      <c r="I1705" s="34"/>
      <c r="J1705" s="34"/>
      <c r="K1705" s="34"/>
      <c r="L1705" s="34"/>
      <c r="M1705" s="34"/>
      <c r="N1705" s="34"/>
      <c r="O1705" s="34"/>
      <c r="P1705" s="34"/>
      <c r="Q1705" s="34"/>
      <c r="R1705" s="34"/>
      <c r="S1705" s="34"/>
      <c r="T1705" s="34"/>
      <c r="U1705" s="34"/>
      <c r="V1705" s="34"/>
      <c r="W1705" s="34"/>
      <c r="X1705" s="34"/>
      <c r="Y1705" s="34"/>
      <c r="Z1705" s="34"/>
      <c r="AA1705" s="34"/>
      <c r="AB1705" s="34"/>
      <c r="AC1705" s="34"/>
      <c r="AD1705" s="34"/>
      <c r="AE1705" s="34"/>
      <c r="AF1705" s="34"/>
      <c r="AG1705" s="34"/>
      <c r="AH1705" s="34"/>
      <c r="AI1705" s="34"/>
      <c r="AJ1705" s="34"/>
      <c r="AK1705" s="34"/>
      <c r="AL1705" s="34"/>
      <c r="AM1705" s="34"/>
      <c r="AN1705" s="34"/>
      <c r="AO1705" s="34"/>
      <c r="AP1705" s="34"/>
      <c r="AQ1705" s="34"/>
      <c r="AR1705" s="34"/>
      <c r="AS1705" s="34"/>
      <c r="AT1705" s="34"/>
      <c r="AU1705" s="34"/>
      <c r="AV1705" s="34"/>
    </row>
    <row r="1706">
      <c r="A1706" s="34"/>
      <c r="B1706" s="34"/>
      <c r="C1706" s="34"/>
      <c r="D1706" s="34"/>
      <c r="E1706" s="34"/>
      <c r="F1706" s="34"/>
      <c r="G1706" s="34"/>
      <c r="H1706" s="34"/>
      <c r="I1706" s="34"/>
      <c r="J1706" s="34"/>
      <c r="K1706" s="34"/>
      <c r="L1706" s="34"/>
      <c r="M1706" s="34"/>
      <c r="N1706" s="34"/>
      <c r="O1706" s="34"/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/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/>
      <c r="AN1706" s="34"/>
      <c r="AO1706" s="34"/>
      <c r="AP1706" s="34"/>
      <c r="AQ1706" s="34"/>
      <c r="AR1706" s="34"/>
      <c r="AS1706" s="34"/>
      <c r="AT1706" s="34"/>
      <c r="AU1706" s="34"/>
      <c r="AV1706" s="34"/>
    </row>
    <row r="1707">
      <c r="A1707" s="34"/>
      <c r="B1707" s="34"/>
      <c r="C1707" s="34"/>
      <c r="D1707" s="34"/>
      <c r="E1707" s="34"/>
      <c r="F1707" s="34"/>
      <c r="G1707" s="34"/>
      <c r="H1707" s="34"/>
      <c r="I1707" s="34"/>
      <c r="J1707" s="34"/>
      <c r="K1707" s="34"/>
      <c r="L1707" s="34"/>
      <c r="M1707" s="34"/>
      <c r="N1707" s="34"/>
      <c r="O1707" s="34"/>
      <c r="P1707" s="34"/>
      <c r="Q1707" s="34"/>
      <c r="R1707" s="34"/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34"/>
      <c r="AP1707" s="34"/>
      <c r="AQ1707" s="34"/>
      <c r="AR1707" s="34"/>
      <c r="AS1707" s="34"/>
      <c r="AT1707" s="34"/>
      <c r="AU1707" s="34"/>
      <c r="AV1707" s="34"/>
    </row>
    <row r="1708">
      <c r="A1708" s="34"/>
      <c r="B1708" s="34"/>
      <c r="C1708" s="34"/>
      <c r="D1708" s="34"/>
      <c r="E1708" s="34"/>
      <c r="F1708" s="34"/>
      <c r="G1708" s="34"/>
      <c r="H1708" s="34"/>
      <c r="I1708" s="34"/>
      <c r="J1708" s="34"/>
      <c r="K1708" s="34"/>
      <c r="L1708" s="34"/>
      <c r="M1708" s="34"/>
      <c r="N1708" s="34"/>
      <c r="O1708" s="34"/>
      <c r="P1708" s="34"/>
      <c r="Q1708" s="34"/>
      <c r="R1708" s="34"/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34"/>
      <c r="AD1708" s="34"/>
      <c r="AE1708" s="34"/>
      <c r="AF1708" s="34"/>
      <c r="AG1708" s="34"/>
      <c r="AH1708" s="34"/>
      <c r="AI1708" s="34"/>
      <c r="AJ1708" s="34"/>
      <c r="AK1708" s="34"/>
      <c r="AL1708" s="34"/>
      <c r="AM1708" s="34"/>
      <c r="AN1708" s="34"/>
      <c r="AO1708" s="34"/>
      <c r="AP1708" s="34"/>
      <c r="AQ1708" s="34"/>
      <c r="AR1708" s="34"/>
      <c r="AS1708" s="34"/>
      <c r="AT1708" s="34"/>
      <c r="AU1708" s="34"/>
      <c r="AV1708" s="34"/>
    </row>
    <row r="1709">
      <c r="A1709" s="34"/>
      <c r="B1709" s="34"/>
      <c r="C1709" s="34"/>
      <c r="D1709" s="34"/>
      <c r="E1709" s="34"/>
      <c r="F1709" s="34"/>
      <c r="G1709" s="34"/>
      <c r="H1709" s="34"/>
      <c r="I1709" s="34"/>
      <c r="J1709" s="34"/>
      <c r="K1709" s="34"/>
      <c r="L1709" s="34"/>
      <c r="M1709" s="34"/>
      <c r="N1709" s="34"/>
      <c r="O1709" s="34"/>
      <c r="P1709" s="34"/>
      <c r="Q1709" s="34"/>
      <c r="R1709" s="34"/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4"/>
      <c r="AD1709" s="34"/>
      <c r="AE1709" s="34"/>
      <c r="AF1709" s="34"/>
      <c r="AG1709" s="34"/>
      <c r="AH1709" s="34"/>
      <c r="AI1709" s="34"/>
      <c r="AJ1709" s="34"/>
      <c r="AK1709" s="34"/>
      <c r="AL1709" s="34"/>
      <c r="AM1709" s="34"/>
      <c r="AN1709" s="34"/>
      <c r="AO1709" s="34"/>
      <c r="AP1709" s="34"/>
      <c r="AQ1709" s="34"/>
      <c r="AR1709" s="34"/>
      <c r="AS1709" s="34"/>
      <c r="AT1709" s="34"/>
      <c r="AU1709" s="34"/>
      <c r="AV1709" s="34"/>
    </row>
    <row r="1710">
      <c r="A1710" s="34"/>
      <c r="B1710" s="34"/>
      <c r="C1710" s="34"/>
      <c r="D1710" s="34"/>
      <c r="E1710" s="34"/>
      <c r="F1710" s="34"/>
      <c r="G1710" s="34"/>
      <c r="H1710" s="34"/>
      <c r="I1710" s="34"/>
      <c r="J1710" s="34"/>
      <c r="K1710" s="34"/>
      <c r="L1710" s="34"/>
      <c r="M1710" s="34"/>
      <c r="N1710" s="34"/>
      <c r="O1710" s="34"/>
      <c r="P1710" s="34"/>
      <c r="Q1710" s="34"/>
      <c r="R1710" s="34"/>
      <c r="S1710" s="34"/>
      <c r="T1710" s="34"/>
      <c r="U1710" s="34"/>
      <c r="V1710" s="34"/>
      <c r="W1710" s="34"/>
      <c r="X1710" s="34"/>
      <c r="Y1710" s="34"/>
      <c r="Z1710" s="34"/>
      <c r="AA1710" s="34"/>
      <c r="AB1710" s="34"/>
      <c r="AC1710" s="34"/>
      <c r="AD1710" s="34"/>
      <c r="AE1710" s="34"/>
      <c r="AF1710" s="34"/>
      <c r="AG1710" s="34"/>
      <c r="AH1710" s="34"/>
      <c r="AI1710" s="34"/>
      <c r="AJ1710" s="34"/>
      <c r="AK1710" s="34"/>
      <c r="AL1710" s="34"/>
      <c r="AM1710" s="34"/>
      <c r="AN1710" s="34"/>
      <c r="AO1710" s="34"/>
      <c r="AP1710" s="34"/>
      <c r="AQ1710" s="34"/>
      <c r="AR1710" s="34"/>
      <c r="AS1710" s="34"/>
      <c r="AT1710" s="34"/>
      <c r="AU1710" s="34"/>
      <c r="AV1710" s="34"/>
    </row>
    <row r="1711">
      <c r="A1711" s="34"/>
      <c r="B1711" s="34"/>
      <c r="C1711" s="34"/>
      <c r="D1711" s="34"/>
      <c r="E1711" s="34"/>
      <c r="F1711" s="34"/>
      <c r="G1711" s="34"/>
      <c r="H1711" s="34"/>
      <c r="I1711" s="34"/>
      <c r="J1711" s="34"/>
      <c r="K1711" s="34"/>
      <c r="L1711" s="34"/>
      <c r="M1711" s="34"/>
      <c r="N1711" s="34"/>
      <c r="O1711" s="34"/>
      <c r="P1711" s="34"/>
      <c r="Q1711" s="34"/>
      <c r="R1711" s="34"/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  <c r="AJ1711" s="34"/>
      <c r="AK1711" s="34"/>
      <c r="AL1711" s="34"/>
      <c r="AM1711" s="34"/>
      <c r="AN1711" s="34"/>
      <c r="AO1711" s="34"/>
      <c r="AP1711" s="34"/>
      <c r="AQ1711" s="34"/>
      <c r="AR1711" s="34"/>
      <c r="AS1711" s="34"/>
      <c r="AT1711" s="34"/>
      <c r="AU1711" s="34"/>
      <c r="AV1711" s="34"/>
    </row>
    <row r="1712">
      <c r="A1712" s="34"/>
      <c r="B1712" s="34"/>
      <c r="C1712" s="34"/>
      <c r="D1712" s="34"/>
      <c r="E1712" s="34"/>
      <c r="F1712" s="34"/>
      <c r="G1712" s="34"/>
      <c r="H1712" s="34"/>
      <c r="I1712" s="34"/>
      <c r="J1712" s="34"/>
      <c r="K1712" s="34"/>
      <c r="L1712" s="34"/>
      <c r="M1712" s="34"/>
      <c r="N1712" s="34"/>
      <c r="O1712" s="34"/>
      <c r="P1712" s="34"/>
      <c r="Q1712" s="34"/>
      <c r="R1712" s="34"/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34"/>
      <c r="AP1712" s="34"/>
      <c r="AQ1712" s="34"/>
      <c r="AR1712" s="34"/>
      <c r="AS1712" s="34"/>
      <c r="AT1712" s="34"/>
      <c r="AU1712" s="34"/>
      <c r="AV1712" s="34"/>
    </row>
    <row r="1713">
      <c r="A1713" s="34"/>
      <c r="B1713" s="34"/>
      <c r="C1713" s="34"/>
      <c r="D1713" s="34"/>
      <c r="E1713" s="34"/>
      <c r="F1713" s="34"/>
      <c r="G1713" s="34"/>
      <c r="H1713" s="34"/>
      <c r="I1713" s="34"/>
      <c r="J1713" s="34"/>
      <c r="K1713" s="34"/>
      <c r="L1713" s="34"/>
      <c r="M1713" s="34"/>
      <c r="N1713" s="34"/>
      <c r="O1713" s="34"/>
      <c r="P1713" s="34"/>
      <c r="Q1713" s="34"/>
      <c r="R1713" s="34"/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34"/>
      <c r="AP1713" s="34"/>
      <c r="AQ1713" s="34"/>
      <c r="AR1713" s="34"/>
      <c r="AS1713" s="34"/>
      <c r="AT1713" s="34"/>
      <c r="AU1713" s="34"/>
      <c r="AV1713" s="34"/>
    </row>
    <row r="1714">
      <c r="A1714" s="34"/>
      <c r="B1714" s="34"/>
      <c r="C1714" s="34"/>
      <c r="D1714" s="34"/>
      <c r="E1714" s="34"/>
      <c r="F1714" s="34"/>
      <c r="G1714" s="34"/>
      <c r="H1714" s="34"/>
      <c r="I1714" s="34"/>
      <c r="J1714" s="34"/>
      <c r="K1714" s="34"/>
      <c r="L1714" s="34"/>
      <c r="M1714" s="34"/>
      <c r="N1714" s="34"/>
      <c r="O1714" s="34"/>
      <c r="P1714" s="34"/>
      <c r="Q1714" s="34"/>
      <c r="R1714" s="34"/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34"/>
      <c r="AP1714" s="34"/>
      <c r="AQ1714" s="34"/>
      <c r="AR1714" s="34"/>
      <c r="AS1714" s="34"/>
      <c r="AT1714" s="34"/>
      <c r="AU1714" s="34"/>
      <c r="AV1714" s="34"/>
    </row>
    <row r="1715">
      <c r="A1715" s="34"/>
      <c r="B1715" s="34"/>
      <c r="C1715" s="34"/>
      <c r="D1715" s="34"/>
      <c r="E1715" s="34"/>
      <c r="F1715" s="34"/>
      <c r="G1715" s="34"/>
      <c r="H1715" s="34"/>
      <c r="I1715" s="34"/>
      <c r="J1715" s="34"/>
      <c r="K1715" s="34"/>
      <c r="L1715" s="34"/>
      <c r="M1715" s="34"/>
      <c r="N1715" s="34"/>
      <c r="O1715" s="34"/>
      <c r="P1715" s="34"/>
      <c r="Q1715" s="34"/>
      <c r="R1715" s="34"/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  <c r="AJ1715" s="34"/>
      <c r="AK1715" s="34"/>
      <c r="AL1715" s="34"/>
      <c r="AM1715" s="34"/>
      <c r="AN1715" s="34"/>
      <c r="AO1715" s="34"/>
      <c r="AP1715" s="34"/>
      <c r="AQ1715" s="34"/>
      <c r="AR1715" s="34"/>
      <c r="AS1715" s="34"/>
      <c r="AT1715" s="34"/>
      <c r="AU1715" s="34"/>
      <c r="AV1715" s="34"/>
    </row>
    <row r="1716">
      <c r="A1716" s="34"/>
      <c r="B1716" s="34"/>
      <c r="C1716" s="34"/>
      <c r="D1716" s="34"/>
      <c r="E1716" s="34"/>
      <c r="F1716" s="34"/>
      <c r="G1716" s="34"/>
      <c r="H1716" s="34"/>
      <c r="I1716" s="34"/>
      <c r="J1716" s="34"/>
      <c r="K1716" s="34"/>
      <c r="L1716" s="34"/>
      <c r="M1716" s="34"/>
      <c r="N1716" s="34"/>
      <c r="O1716" s="34"/>
      <c r="P1716" s="34"/>
      <c r="Q1716" s="34"/>
      <c r="R1716" s="34"/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34"/>
      <c r="AD1716" s="34"/>
      <c r="AE1716" s="34"/>
      <c r="AF1716" s="34"/>
      <c r="AG1716" s="34"/>
      <c r="AH1716" s="34"/>
      <c r="AI1716" s="34"/>
      <c r="AJ1716" s="34"/>
      <c r="AK1716" s="34"/>
      <c r="AL1716" s="34"/>
      <c r="AM1716" s="34"/>
      <c r="AN1716" s="34"/>
      <c r="AO1716" s="34"/>
      <c r="AP1716" s="34"/>
      <c r="AQ1716" s="34"/>
      <c r="AR1716" s="34"/>
      <c r="AS1716" s="34"/>
      <c r="AT1716" s="34"/>
      <c r="AU1716" s="34"/>
      <c r="AV1716" s="34"/>
    </row>
    <row r="1717">
      <c r="A1717" s="34"/>
      <c r="B1717" s="34"/>
      <c r="C1717" s="34"/>
      <c r="D1717" s="34"/>
      <c r="E1717" s="34"/>
      <c r="F1717" s="34"/>
      <c r="G1717" s="34"/>
      <c r="H1717" s="34"/>
      <c r="I1717" s="34"/>
      <c r="J1717" s="34"/>
      <c r="K1717" s="34"/>
      <c r="L1717" s="34"/>
      <c r="M1717" s="34"/>
      <c r="N1717" s="34"/>
      <c r="O1717" s="34"/>
      <c r="P1717" s="34"/>
      <c r="Q1717" s="34"/>
      <c r="R1717" s="34"/>
      <c r="S1717" s="34"/>
      <c r="T1717" s="34"/>
      <c r="U1717" s="34"/>
      <c r="V1717" s="34"/>
      <c r="W1717" s="34"/>
      <c r="X1717" s="34"/>
      <c r="Y1717" s="34"/>
      <c r="Z1717" s="34"/>
      <c r="AA1717" s="34"/>
      <c r="AB1717" s="34"/>
      <c r="AC1717" s="34"/>
      <c r="AD1717" s="34"/>
      <c r="AE1717" s="34"/>
      <c r="AF1717" s="34"/>
      <c r="AG1717" s="34"/>
      <c r="AH1717" s="34"/>
      <c r="AI1717" s="34"/>
      <c r="AJ1717" s="34"/>
      <c r="AK1717" s="34"/>
      <c r="AL1717" s="34"/>
      <c r="AM1717" s="34"/>
      <c r="AN1717" s="34"/>
      <c r="AO1717" s="34"/>
      <c r="AP1717" s="34"/>
      <c r="AQ1717" s="34"/>
      <c r="AR1717" s="34"/>
      <c r="AS1717" s="34"/>
      <c r="AT1717" s="34"/>
      <c r="AU1717" s="34"/>
      <c r="AV1717" s="34"/>
    </row>
    <row r="1718">
      <c r="A1718" s="34"/>
      <c r="B1718" s="34"/>
      <c r="C1718" s="34"/>
      <c r="D1718" s="34"/>
      <c r="E1718" s="34"/>
      <c r="F1718" s="34"/>
      <c r="G1718" s="34"/>
      <c r="H1718" s="34"/>
      <c r="I1718" s="34"/>
      <c r="J1718" s="34"/>
      <c r="K1718" s="34"/>
      <c r="L1718" s="34"/>
      <c r="M1718" s="34"/>
      <c r="N1718" s="34"/>
      <c r="O1718" s="34"/>
      <c r="P1718" s="34"/>
      <c r="Q1718" s="34"/>
      <c r="R1718" s="34"/>
      <c r="S1718" s="34"/>
      <c r="T1718" s="34"/>
      <c r="U1718" s="34"/>
      <c r="V1718" s="34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  <c r="AJ1718" s="34"/>
      <c r="AK1718" s="34"/>
      <c r="AL1718" s="34"/>
      <c r="AM1718" s="34"/>
      <c r="AN1718" s="34"/>
      <c r="AO1718" s="34"/>
      <c r="AP1718" s="34"/>
      <c r="AQ1718" s="34"/>
      <c r="AR1718" s="34"/>
      <c r="AS1718" s="34"/>
      <c r="AT1718" s="34"/>
      <c r="AU1718" s="34"/>
      <c r="AV1718" s="34"/>
    </row>
    <row r="1719">
      <c r="A1719" s="34"/>
      <c r="B1719" s="34"/>
      <c r="C1719" s="34"/>
      <c r="D1719" s="34"/>
      <c r="E1719" s="34"/>
      <c r="F1719" s="34"/>
      <c r="G1719" s="34"/>
      <c r="H1719" s="34"/>
      <c r="I1719" s="34"/>
      <c r="J1719" s="34"/>
      <c r="K1719" s="34"/>
      <c r="L1719" s="34"/>
      <c r="M1719" s="34"/>
      <c r="N1719" s="34"/>
      <c r="O1719" s="34"/>
      <c r="P1719" s="34"/>
      <c r="Q1719" s="34"/>
      <c r="R1719" s="34"/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  <c r="AJ1719" s="34"/>
      <c r="AK1719" s="34"/>
      <c r="AL1719" s="34"/>
      <c r="AM1719" s="34"/>
      <c r="AN1719" s="34"/>
      <c r="AO1719" s="34"/>
      <c r="AP1719" s="34"/>
      <c r="AQ1719" s="34"/>
      <c r="AR1719" s="34"/>
      <c r="AS1719" s="34"/>
      <c r="AT1719" s="34"/>
      <c r="AU1719" s="34"/>
      <c r="AV1719" s="34"/>
    </row>
    <row r="1720">
      <c r="A1720" s="34"/>
      <c r="B1720" s="34"/>
      <c r="C1720" s="34"/>
      <c r="D1720" s="34"/>
      <c r="E1720" s="34"/>
      <c r="F1720" s="34"/>
      <c r="G1720" s="34"/>
      <c r="H1720" s="34"/>
      <c r="I1720" s="34"/>
      <c r="J1720" s="34"/>
      <c r="K1720" s="34"/>
      <c r="L1720" s="34"/>
      <c r="M1720" s="34"/>
      <c r="N1720" s="34"/>
      <c r="O1720" s="34"/>
      <c r="P1720" s="34"/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  <c r="AJ1720" s="34"/>
      <c r="AK1720" s="34"/>
      <c r="AL1720" s="34"/>
      <c r="AM1720" s="34"/>
      <c r="AN1720" s="34"/>
      <c r="AO1720" s="34"/>
      <c r="AP1720" s="34"/>
      <c r="AQ1720" s="34"/>
      <c r="AR1720" s="34"/>
      <c r="AS1720" s="34"/>
      <c r="AT1720" s="34"/>
      <c r="AU1720" s="34"/>
      <c r="AV1720" s="34"/>
    </row>
    <row r="1721">
      <c r="A1721" s="34"/>
      <c r="B1721" s="34"/>
      <c r="C1721" s="34"/>
      <c r="D1721" s="34"/>
      <c r="E1721" s="34"/>
      <c r="F1721" s="34"/>
      <c r="G1721" s="34"/>
      <c r="H1721" s="34"/>
      <c r="I1721" s="34"/>
      <c r="J1721" s="34"/>
      <c r="K1721" s="34"/>
      <c r="L1721" s="34"/>
      <c r="M1721" s="34"/>
      <c r="N1721" s="34"/>
      <c r="O1721" s="34"/>
      <c r="P1721" s="34"/>
      <c r="Q1721" s="34"/>
      <c r="R1721" s="34"/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34"/>
      <c r="AP1721" s="34"/>
      <c r="AQ1721" s="34"/>
      <c r="AR1721" s="34"/>
      <c r="AS1721" s="34"/>
      <c r="AT1721" s="34"/>
      <c r="AU1721" s="34"/>
      <c r="AV1721" s="34"/>
    </row>
    <row r="1722">
      <c r="A1722" s="34"/>
      <c r="B1722" s="34"/>
      <c r="C1722" s="34"/>
      <c r="D1722" s="34"/>
      <c r="E1722" s="34"/>
      <c r="F1722" s="34"/>
      <c r="G1722" s="34"/>
      <c r="H1722" s="34"/>
      <c r="I1722" s="34"/>
      <c r="J1722" s="34"/>
      <c r="K1722" s="34"/>
      <c r="L1722" s="34"/>
      <c r="M1722" s="34"/>
      <c r="N1722" s="34"/>
      <c r="O1722" s="34"/>
      <c r="P1722" s="34"/>
      <c r="Q1722" s="34"/>
      <c r="R1722" s="34"/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  <c r="AJ1722" s="34"/>
      <c r="AK1722" s="34"/>
      <c r="AL1722" s="34"/>
      <c r="AM1722" s="34"/>
      <c r="AN1722" s="34"/>
      <c r="AO1722" s="34"/>
      <c r="AP1722" s="34"/>
      <c r="AQ1722" s="34"/>
      <c r="AR1722" s="34"/>
      <c r="AS1722" s="34"/>
      <c r="AT1722" s="34"/>
      <c r="AU1722" s="34"/>
      <c r="AV1722" s="34"/>
    </row>
    <row r="1723">
      <c r="A1723" s="34"/>
      <c r="B1723" s="34"/>
      <c r="C1723" s="34"/>
      <c r="D1723" s="34"/>
      <c r="E1723" s="34"/>
      <c r="F1723" s="34"/>
      <c r="G1723" s="34"/>
      <c r="H1723" s="34"/>
      <c r="I1723" s="34"/>
      <c r="J1723" s="34"/>
      <c r="K1723" s="34"/>
      <c r="L1723" s="34"/>
      <c r="M1723" s="34"/>
      <c r="N1723" s="34"/>
      <c r="O1723" s="34"/>
      <c r="P1723" s="34"/>
      <c r="Q1723" s="34"/>
      <c r="R1723" s="34"/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34"/>
      <c r="AP1723" s="34"/>
      <c r="AQ1723" s="34"/>
      <c r="AR1723" s="34"/>
      <c r="AS1723" s="34"/>
      <c r="AT1723" s="34"/>
      <c r="AU1723" s="34"/>
      <c r="AV1723" s="34"/>
    </row>
    <row r="1724">
      <c r="A1724" s="34"/>
      <c r="B1724" s="34"/>
      <c r="C1724" s="34"/>
      <c r="D1724" s="34"/>
      <c r="E1724" s="34"/>
      <c r="F1724" s="34"/>
      <c r="G1724" s="34"/>
      <c r="H1724" s="34"/>
      <c r="I1724" s="34"/>
      <c r="J1724" s="34"/>
      <c r="K1724" s="34"/>
      <c r="L1724" s="34"/>
      <c r="M1724" s="34"/>
      <c r="N1724" s="34"/>
      <c r="O1724" s="34"/>
      <c r="P1724" s="34"/>
      <c r="Q1724" s="34"/>
      <c r="R1724" s="34"/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34"/>
      <c r="AP1724" s="34"/>
      <c r="AQ1724" s="34"/>
      <c r="AR1724" s="34"/>
      <c r="AS1724" s="34"/>
      <c r="AT1724" s="34"/>
      <c r="AU1724" s="34"/>
      <c r="AV1724" s="34"/>
    </row>
    <row r="1725">
      <c r="A1725" s="34"/>
      <c r="B1725" s="34"/>
      <c r="C1725" s="34"/>
      <c r="D1725" s="34"/>
      <c r="E1725" s="34"/>
      <c r="F1725" s="34"/>
      <c r="G1725" s="34"/>
      <c r="H1725" s="34"/>
      <c r="I1725" s="34"/>
      <c r="J1725" s="34"/>
      <c r="K1725" s="34"/>
      <c r="L1725" s="34"/>
      <c r="M1725" s="34"/>
      <c r="N1725" s="34"/>
      <c r="O1725" s="34"/>
      <c r="P1725" s="34"/>
      <c r="Q1725" s="34"/>
      <c r="R1725" s="34"/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  <c r="AJ1725" s="34"/>
      <c r="AK1725" s="34"/>
      <c r="AL1725" s="34"/>
      <c r="AM1725" s="34"/>
      <c r="AN1725" s="34"/>
      <c r="AO1725" s="34"/>
      <c r="AP1725" s="34"/>
      <c r="AQ1725" s="34"/>
      <c r="AR1725" s="34"/>
      <c r="AS1725" s="34"/>
      <c r="AT1725" s="34"/>
      <c r="AU1725" s="34"/>
      <c r="AV1725" s="34"/>
    </row>
    <row r="1726">
      <c r="A1726" s="34"/>
      <c r="B1726" s="34"/>
      <c r="C1726" s="34"/>
      <c r="D1726" s="34"/>
      <c r="E1726" s="34"/>
      <c r="F1726" s="34"/>
      <c r="G1726" s="34"/>
      <c r="H1726" s="34"/>
      <c r="I1726" s="34"/>
      <c r="J1726" s="34"/>
      <c r="K1726" s="34"/>
      <c r="L1726" s="34"/>
      <c r="M1726" s="34"/>
      <c r="N1726" s="34"/>
      <c r="O1726" s="34"/>
      <c r="P1726" s="34"/>
      <c r="Q1726" s="34"/>
      <c r="R1726" s="34"/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4"/>
      <c r="AD1726" s="34"/>
      <c r="AE1726" s="34"/>
      <c r="AF1726" s="34"/>
      <c r="AG1726" s="34"/>
      <c r="AH1726" s="34"/>
      <c r="AI1726" s="34"/>
      <c r="AJ1726" s="34"/>
      <c r="AK1726" s="34"/>
      <c r="AL1726" s="34"/>
      <c r="AM1726" s="34"/>
      <c r="AN1726" s="34"/>
      <c r="AO1726" s="34"/>
      <c r="AP1726" s="34"/>
      <c r="AQ1726" s="34"/>
      <c r="AR1726" s="34"/>
      <c r="AS1726" s="34"/>
      <c r="AT1726" s="34"/>
      <c r="AU1726" s="34"/>
      <c r="AV1726" s="34"/>
    </row>
    <row r="1727">
      <c r="A1727" s="34"/>
      <c r="B1727" s="34"/>
      <c r="C1727" s="34"/>
      <c r="D1727" s="34"/>
      <c r="E1727" s="34"/>
      <c r="F1727" s="34"/>
      <c r="G1727" s="34"/>
      <c r="H1727" s="34"/>
      <c r="I1727" s="34"/>
      <c r="J1727" s="34"/>
      <c r="K1727" s="34"/>
      <c r="L1727" s="34"/>
      <c r="M1727" s="34"/>
      <c r="N1727" s="34"/>
      <c r="O1727" s="34"/>
      <c r="P1727" s="34"/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4"/>
      <c r="AQ1727" s="34"/>
      <c r="AR1727" s="34"/>
      <c r="AS1727" s="34"/>
      <c r="AT1727" s="34"/>
      <c r="AU1727" s="34"/>
      <c r="AV1727" s="34"/>
    </row>
    <row r="1728">
      <c r="A1728" s="34"/>
      <c r="B1728" s="34"/>
      <c r="C1728" s="34"/>
      <c r="D1728" s="34"/>
      <c r="E1728" s="34"/>
      <c r="F1728" s="34"/>
      <c r="G1728" s="34"/>
      <c r="H1728" s="34"/>
      <c r="I1728" s="34"/>
      <c r="J1728" s="34"/>
      <c r="K1728" s="34"/>
      <c r="L1728" s="34"/>
      <c r="M1728" s="34"/>
      <c r="N1728" s="34"/>
      <c r="O1728" s="34"/>
      <c r="P1728" s="34"/>
      <c r="Q1728" s="34"/>
      <c r="R1728" s="34"/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  <c r="AJ1728" s="34"/>
      <c r="AK1728" s="34"/>
      <c r="AL1728" s="34"/>
      <c r="AM1728" s="34"/>
      <c r="AN1728" s="34"/>
      <c r="AO1728" s="34"/>
      <c r="AP1728" s="34"/>
      <c r="AQ1728" s="34"/>
      <c r="AR1728" s="34"/>
      <c r="AS1728" s="34"/>
      <c r="AT1728" s="34"/>
      <c r="AU1728" s="34"/>
      <c r="AV1728" s="34"/>
    </row>
    <row r="1729">
      <c r="A1729" s="34"/>
      <c r="B1729" s="34"/>
      <c r="C1729" s="34"/>
      <c r="D1729" s="34"/>
      <c r="E1729" s="34"/>
      <c r="F1729" s="34"/>
      <c r="G1729" s="34"/>
      <c r="H1729" s="34"/>
      <c r="I1729" s="34"/>
      <c r="J1729" s="34"/>
      <c r="K1729" s="34"/>
      <c r="L1729" s="34"/>
      <c r="M1729" s="34"/>
      <c r="N1729" s="34"/>
      <c r="O1729" s="34"/>
      <c r="P1729" s="34"/>
      <c r="Q1729" s="34"/>
      <c r="R1729" s="34"/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  <c r="AJ1729" s="34"/>
      <c r="AK1729" s="34"/>
      <c r="AL1729" s="34"/>
      <c r="AM1729" s="34"/>
      <c r="AN1729" s="34"/>
      <c r="AO1729" s="34"/>
      <c r="AP1729" s="34"/>
      <c r="AQ1729" s="34"/>
      <c r="AR1729" s="34"/>
      <c r="AS1729" s="34"/>
      <c r="AT1729" s="34"/>
      <c r="AU1729" s="34"/>
      <c r="AV1729" s="34"/>
    </row>
    <row r="1730">
      <c r="A1730" s="34"/>
      <c r="B1730" s="34"/>
      <c r="C1730" s="34"/>
      <c r="D1730" s="34"/>
      <c r="E1730" s="34"/>
      <c r="F1730" s="34"/>
      <c r="G1730" s="34"/>
      <c r="H1730" s="34"/>
      <c r="I1730" s="34"/>
      <c r="J1730" s="34"/>
      <c r="K1730" s="34"/>
      <c r="L1730" s="34"/>
      <c r="M1730" s="34"/>
      <c r="N1730" s="34"/>
      <c r="O1730" s="34"/>
      <c r="P1730" s="34"/>
      <c r="Q1730" s="34"/>
      <c r="R1730" s="34"/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4"/>
      <c r="AD1730" s="34"/>
      <c r="AE1730" s="34"/>
      <c r="AF1730" s="34"/>
      <c r="AG1730" s="34"/>
      <c r="AH1730" s="34"/>
      <c r="AI1730" s="34"/>
      <c r="AJ1730" s="34"/>
      <c r="AK1730" s="34"/>
      <c r="AL1730" s="34"/>
      <c r="AM1730" s="34"/>
      <c r="AN1730" s="34"/>
      <c r="AO1730" s="34"/>
      <c r="AP1730" s="34"/>
      <c r="AQ1730" s="34"/>
      <c r="AR1730" s="34"/>
      <c r="AS1730" s="34"/>
      <c r="AT1730" s="34"/>
      <c r="AU1730" s="34"/>
      <c r="AV1730" s="34"/>
    </row>
    <row r="1731">
      <c r="A1731" s="34"/>
      <c r="B1731" s="34"/>
      <c r="C1731" s="34"/>
      <c r="D1731" s="34"/>
      <c r="E1731" s="34"/>
      <c r="F1731" s="34"/>
      <c r="G1731" s="34"/>
      <c r="H1731" s="34"/>
      <c r="I1731" s="34"/>
      <c r="J1731" s="34"/>
      <c r="K1731" s="34"/>
      <c r="L1731" s="34"/>
      <c r="M1731" s="34"/>
      <c r="N1731" s="34"/>
      <c r="O1731" s="34"/>
      <c r="P1731" s="34"/>
      <c r="Q1731" s="34"/>
      <c r="R1731" s="34"/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4"/>
      <c r="AD1731" s="34"/>
      <c r="AE1731" s="34"/>
      <c r="AF1731" s="34"/>
      <c r="AG1731" s="34"/>
      <c r="AH1731" s="34"/>
      <c r="AI1731" s="34"/>
      <c r="AJ1731" s="34"/>
      <c r="AK1731" s="34"/>
      <c r="AL1731" s="34"/>
      <c r="AM1731" s="34"/>
      <c r="AN1731" s="34"/>
      <c r="AO1731" s="34"/>
      <c r="AP1731" s="34"/>
      <c r="AQ1731" s="34"/>
      <c r="AR1731" s="34"/>
      <c r="AS1731" s="34"/>
      <c r="AT1731" s="34"/>
      <c r="AU1731" s="34"/>
      <c r="AV1731" s="34"/>
    </row>
    <row r="1732">
      <c r="A1732" s="34"/>
      <c r="B1732" s="34"/>
      <c r="C1732" s="34"/>
      <c r="D1732" s="34"/>
      <c r="E1732" s="34"/>
      <c r="F1732" s="34"/>
      <c r="G1732" s="34"/>
      <c r="H1732" s="34"/>
      <c r="I1732" s="34"/>
      <c r="J1732" s="34"/>
      <c r="K1732" s="34"/>
      <c r="L1732" s="34"/>
      <c r="M1732" s="34"/>
      <c r="N1732" s="34"/>
      <c r="O1732" s="34"/>
      <c r="P1732" s="34"/>
      <c r="Q1732" s="34"/>
      <c r="R1732" s="34"/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4"/>
      <c r="AD1732" s="34"/>
      <c r="AE1732" s="34"/>
      <c r="AF1732" s="34"/>
      <c r="AG1732" s="34"/>
      <c r="AH1732" s="34"/>
      <c r="AI1732" s="34"/>
      <c r="AJ1732" s="34"/>
      <c r="AK1732" s="34"/>
      <c r="AL1732" s="34"/>
      <c r="AM1732" s="34"/>
      <c r="AN1732" s="34"/>
      <c r="AO1732" s="34"/>
      <c r="AP1732" s="34"/>
      <c r="AQ1732" s="34"/>
      <c r="AR1732" s="34"/>
      <c r="AS1732" s="34"/>
      <c r="AT1732" s="34"/>
      <c r="AU1732" s="34"/>
      <c r="AV1732" s="34"/>
    </row>
    <row r="1733">
      <c r="A1733" s="34"/>
      <c r="B1733" s="34"/>
      <c r="C1733" s="34"/>
      <c r="D1733" s="34"/>
      <c r="E1733" s="34"/>
      <c r="F1733" s="34"/>
      <c r="G1733" s="34"/>
      <c r="H1733" s="34"/>
      <c r="I1733" s="34"/>
      <c r="J1733" s="34"/>
      <c r="K1733" s="34"/>
      <c r="L1733" s="34"/>
      <c r="M1733" s="34"/>
      <c r="N1733" s="34"/>
      <c r="O1733" s="34"/>
      <c r="P1733" s="34"/>
      <c r="Q1733" s="34"/>
      <c r="R1733" s="34"/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  <c r="AJ1733" s="34"/>
      <c r="AK1733" s="34"/>
      <c r="AL1733" s="34"/>
      <c r="AM1733" s="34"/>
      <c r="AN1733" s="34"/>
      <c r="AO1733" s="34"/>
      <c r="AP1733" s="34"/>
      <c r="AQ1733" s="34"/>
      <c r="AR1733" s="34"/>
      <c r="AS1733" s="34"/>
      <c r="AT1733" s="34"/>
      <c r="AU1733" s="34"/>
      <c r="AV1733" s="34"/>
    </row>
    <row r="1734">
      <c r="A1734" s="34"/>
      <c r="B1734" s="34"/>
      <c r="C1734" s="34"/>
      <c r="D1734" s="34"/>
      <c r="E1734" s="34"/>
      <c r="F1734" s="34"/>
      <c r="G1734" s="34"/>
      <c r="H1734" s="34"/>
      <c r="I1734" s="34"/>
      <c r="J1734" s="34"/>
      <c r="K1734" s="34"/>
      <c r="L1734" s="34"/>
      <c r="M1734" s="34"/>
      <c r="N1734" s="34"/>
      <c r="O1734" s="34"/>
      <c r="P1734" s="34"/>
      <c r="Q1734" s="34"/>
      <c r="R1734" s="34"/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4"/>
      <c r="AD1734" s="34"/>
      <c r="AE1734" s="34"/>
      <c r="AF1734" s="34"/>
      <c r="AG1734" s="34"/>
      <c r="AH1734" s="34"/>
      <c r="AI1734" s="34"/>
      <c r="AJ1734" s="34"/>
      <c r="AK1734" s="34"/>
      <c r="AL1734" s="34"/>
      <c r="AM1734" s="34"/>
      <c r="AN1734" s="34"/>
      <c r="AO1734" s="34"/>
      <c r="AP1734" s="34"/>
      <c r="AQ1734" s="34"/>
      <c r="AR1734" s="34"/>
      <c r="AS1734" s="34"/>
      <c r="AT1734" s="34"/>
      <c r="AU1734" s="34"/>
      <c r="AV1734" s="34"/>
    </row>
    <row r="1735">
      <c r="A1735" s="34"/>
      <c r="B1735" s="34"/>
      <c r="C1735" s="34"/>
      <c r="D1735" s="34"/>
      <c r="E1735" s="34"/>
      <c r="F1735" s="34"/>
      <c r="G1735" s="34"/>
      <c r="H1735" s="34"/>
      <c r="I1735" s="34"/>
      <c r="J1735" s="34"/>
      <c r="K1735" s="34"/>
      <c r="L1735" s="34"/>
      <c r="M1735" s="34"/>
      <c r="N1735" s="34"/>
      <c r="O1735" s="34"/>
      <c r="P1735" s="34"/>
      <c r="Q1735" s="34"/>
      <c r="R1735" s="34"/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4"/>
      <c r="AD1735" s="34"/>
      <c r="AE1735" s="34"/>
      <c r="AF1735" s="34"/>
      <c r="AG1735" s="34"/>
      <c r="AH1735" s="34"/>
      <c r="AI1735" s="34"/>
      <c r="AJ1735" s="34"/>
      <c r="AK1735" s="34"/>
      <c r="AL1735" s="34"/>
      <c r="AM1735" s="34"/>
      <c r="AN1735" s="34"/>
      <c r="AO1735" s="34"/>
      <c r="AP1735" s="34"/>
      <c r="AQ1735" s="34"/>
      <c r="AR1735" s="34"/>
      <c r="AS1735" s="34"/>
      <c r="AT1735" s="34"/>
      <c r="AU1735" s="34"/>
      <c r="AV1735" s="34"/>
    </row>
    <row r="1736">
      <c r="A1736" s="34"/>
      <c r="B1736" s="34"/>
      <c r="C1736" s="34"/>
      <c r="D1736" s="34"/>
      <c r="E1736" s="34"/>
      <c r="F1736" s="34"/>
      <c r="G1736" s="34"/>
      <c r="H1736" s="34"/>
      <c r="I1736" s="34"/>
      <c r="J1736" s="34"/>
      <c r="K1736" s="34"/>
      <c r="L1736" s="34"/>
      <c r="M1736" s="34"/>
      <c r="N1736" s="34"/>
      <c r="O1736" s="34"/>
      <c r="P1736" s="34"/>
      <c r="Q1736" s="34"/>
      <c r="R1736" s="34"/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  <c r="AJ1736" s="34"/>
      <c r="AK1736" s="34"/>
      <c r="AL1736" s="34"/>
      <c r="AM1736" s="34"/>
      <c r="AN1736" s="34"/>
      <c r="AO1736" s="34"/>
      <c r="AP1736" s="34"/>
      <c r="AQ1736" s="34"/>
      <c r="AR1736" s="34"/>
      <c r="AS1736" s="34"/>
      <c r="AT1736" s="34"/>
      <c r="AU1736" s="34"/>
      <c r="AV1736" s="34"/>
    </row>
    <row r="1737">
      <c r="A1737" s="34"/>
      <c r="B1737" s="34"/>
      <c r="C1737" s="34"/>
      <c r="D1737" s="34"/>
      <c r="E1737" s="34"/>
      <c r="F1737" s="34"/>
      <c r="G1737" s="34"/>
      <c r="H1737" s="34"/>
      <c r="I1737" s="34"/>
      <c r="J1737" s="34"/>
      <c r="K1737" s="34"/>
      <c r="L1737" s="34"/>
      <c r="M1737" s="34"/>
      <c r="N1737" s="34"/>
      <c r="O1737" s="34"/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4"/>
      <c r="AM1737" s="34"/>
      <c r="AN1737" s="34"/>
      <c r="AO1737" s="34"/>
      <c r="AP1737" s="34"/>
      <c r="AQ1737" s="34"/>
      <c r="AR1737" s="34"/>
      <c r="AS1737" s="34"/>
      <c r="AT1737" s="34"/>
      <c r="AU1737" s="34"/>
      <c r="AV1737" s="34"/>
    </row>
    <row r="1738">
      <c r="A1738" s="34"/>
      <c r="B1738" s="34"/>
      <c r="C1738" s="34"/>
      <c r="D1738" s="34"/>
      <c r="E1738" s="34"/>
      <c r="F1738" s="34"/>
      <c r="G1738" s="34"/>
      <c r="H1738" s="34"/>
      <c r="I1738" s="34"/>
      <c r="J1738" s="34"/>
      <c r="K1738" s="34"/>
      <c r="L1738" s="34"/>
      <c r="M1738" s="34"/>
      <c r="N1738" s="34"/>
      <c r="O1738" s="34"/>
      <c r="P1738" s="34"/>
      <c r="Q1738" s="34"/>
      <c r="R1738" s="34"/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34"/>
      <c r="AP1738" s="34"/>
      <c r="AQ1738" s="34"/>
      <c r="AR1738" s="34"/>
      <c r="AS1738" s="34"/>
      <c r="AT1738" s="34"/>
      <c r="AU1738" s="34"/>
      <c r="AV1738" s="34"/>
    </row>
    <row r="1739">
      <c r="A1739" s="34"/>
      <c r="B1739" s="34"/>
      <c r="C1739" s="34"/>
      <c r="D1739" s="34"/>
      <c r="E1739" s="34"/>
      <c r="F1739" s="34"/>
      <c r="G1739" s="34"/>
      <c r="H1739" s="34"/>
      <c r="I1739" s="34"/>
      <c r="J1739" s="34"/>
      <c r="K1739" s="34"/>
      <c r="L1739" s="34"/>
      <c r="M1739" s="34"/>
      <c r="N1739" s="34"/>
      <c r="O1739" s="34"/>
      <c r="P1739" s="34"/>
      <c r="Q1739" s="34"/>
      <c r="R1739" s="34"/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4"/>
      <c r="AD1739" s="34"/>
      <c r="AE1739" s="34"/>
      <c r="AF1739" s="34"/>
      <c r="AG1739" s="34"/>
      <c r="AH1739" s="34"/>
      <c r="AI1739" s="34"/>
      <c r="AJ1739" s="34"/>
      <c r="AK1739" s="34"/>
      <c r="AL1739" s="34"/>
      <c r="AM1739" s="34"/>
      <c r="AN1739" s="34"/>
      <c r="AO1739" s="34"/>
      <c r="AP1739" s="34"/>
      <c r="AQ1739" s="34"/>
      <c r="AR1739" s="34"/>
      <c r="AS1739" s="34"/>
      <c r="AT1739" s="34"/>
      <c r="AU1739" s="34"/>
      <c r="AV1739" s="34"/>
    </row>
    <row r="1740">
      <c r="A1740" s="34"/>
      <c r="B1740" s="34"/>
      <c r="C1740" s="34"/>
      <c r="D1740" s="34"/>
      <c r="E1740" s="34"/>
      <c r="F1740" s="34"/>
      <c r="G1740" s="34"/>
      <c r="H1740" s="34"/>
      <c r="I1740" s="34"/>
      <c r="J1740" s="34"/>
      <c r="K1740" s="34"/>
      <c r="L1740" s="34"/>
      <c r="M1740" s="34"/>
      <c r="N1740" s="34"/>
      <c r="O1740" s="34"/>
      <c r="P1740" s="34"/>
      <c r="Q1740" s="34"/>
      <c r="R1740" s="34"/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34"/>
      <c r="AD1740" s="34"/>
      <c r="AE1740" s="34"/>
      <c r="AF1740" s="34"/>
      <c r="AG1740" s="34"/>
      <c r="AH1740" s="34"/>
      <c r="AI1740" s="34"/>
      <c r="AJ1740" s="34"/>
      <c r="AK1740" s="34"/>
      <c r="AL1740" s="34"/>
      <c r="AM1740" s="34"/>
      <c r="AN1740" s="34"/>
      <c r="AO1740" s="34"/>
      <c r="AP1740" s="34"/>
      <c r="AQ1740" s="34"/>
      <c r="AR1740" s="34"/>
      <c r="AS1740" s="34"/>
      <c r="AT1740" s="34"/>
      <c r="AU1740" s="34"/>
      <c r="AV1740" s="34"/>
    </row>
    <row r="1741">
      <c r="A1741" s="34"/>
      <c r="B1741" s="34"/>
      <c r="C1741" s="34"/>
      <c r="D1741" s="34"/>
      <c r="E1741" s="34"/>
      <c r="F1741" s="34"/>
      <c r="G1741" s="34"/>
      <c r="H1741" s="34"/>
      <c r="I1741" s="34"/>
      <c r="J1741" s="34"/>
      <c r="K1741" s="34"/>
      <c r="L1741" s="34"/>
      <c r="M1741" s="34"/>
      <c r="N1741" s="34"/>
      <c r="O1741" s="34"/>
      <c r="P1741" s="34"/>
      <c r="Q1741" s="34"/>
      <c r="R1741" s="34"/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34"/>
      <c r="AD1741" s="34"/>
      <c r="AE1741" s="34"/>
      <c r="AF1741" s="34"/>
      <c r="AG1741" s="34"/>
      <c r="AH1741" s="34"/>
      <c r="AI1741" s="34"/>
      <c r="AJ1741" s="34"/>
      <c r="AK1741" s="34"/>
      <c r="AL1741" s="34"/>
      <c r="AM1741" s="34"/>
      <c r="AN1741" s="34"/>
      <c r="AO1741" s="34"/>
      <c r="AP1741" s="34"/>
      <c r="AQ1741" s="34"/>
      <c r="AR1741" s="34"/>
      <c r="AS1741" s="34"/>
      <c r="AT1741" s="34"/>
      <c r="AU1741" s="34"/>
      <c r="AV1741" s="34"/>
    </row>
    <row r="1742">
      <c r="A1742" s="34"/>
      <c r="B1742" s="34"/>
      <c r="C1742" s="34"/>
      <c r="D1742" s="34"/>
      <c r="E1742" s="34"/>
      <c r="F1742" s="34"/>
      <c r="G1742" s="34"/>
      <c r="H1742" s="34"/>
      <c r="I1742" s="34"/>
      <c r="J1742" s="34"/>
      <c r="K1742" s="34"/>
      <c r="L1742" s="34"/>
      <c r="M1742" s="34"/>
      <c r="N1742" s="34"/>
      <c r="O1742" s="34"/>
      <c r="P1742" s="34"/>
      <c r="Q1742" s="34"/>
      <c r="R1742" s="34"/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4"/>
      <c r="AD1742" s="34"/>
      <c r="AE1742" s="34"/>
      <c r="AF1742" s="34"/>
      <c r="AG1742" s="34"/>
      <c r="AH1742" s="34"/>
      <c r="AI1742" s="34"/>
      <c r="AJ1742" s="34"/>
      <c r="AK1742" s="34"/>
      <c r="AL1742" s="34"/>
      <c r="AM1742" s="34"/>
      <c r="AN1742" s="34"/>
      <c r="AO1742" s="34"/>
      <c r="AP1742" s="34"/>
      <c r="AQ1742" s="34"/>
      <c r="AR1742" s="34"/>
      <c r="AS1742" s="34"/>
      <c r="AT1742" s="34"/>
      <c r="AU1742" s="34"/>
      <c r="AV1742" s="34"/>
    </row>
    <row r="1743">
      <c r="A1743" s="34"/>
      <c r="B1743" s="34"/>
      <c r="C1743" s="34"/>
      <c r="D1743" s="34"/>
      <c r="E1743" s="34"/>
      <c r="F1743" s="34"/>
      <c r="G1743" s="34"/>
      <c r="H1743" s="34"/>
      <c r="I1743" s="34"/>
      <c r="J1743" s="34"/>
      <c r="K1743" s="34"/>
      <c r="L1743" s="34"/>
      <c r="M1743" s="34"/>
      <c r="N1743" s="34"/>
      <c r="O1743" s="34"/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34"/>
      <c r="AP1743" s="34"/>
      <c r="AQ1743" s="34"/>
      <c r="AR1743" s="34"/>
      <c r="AS1743" s="34"/>
      <c r="AT1743" s="34"/>
      <c r="AU1743" s="34"/>
      <c r="AV1743" s="34"/>
    </row>
    <row r="1744">
      <c r="A1744" s="34"/>
      <c r="B1744" s="34"/>
      <c r="C1744" s="34"/>
      <c r="D1744" s="34"/>
      <c r="E1744" s="34"/>
      <c r="F1744" s="34"/>
      <c r="G1744" s="34"/>
      <c r="H1744" s="34"/>
      <c r="I1744" s="34"/>
      <c r="J1744" s="34"/>
      <c r="K1744" s="34"/>
      <c r="L1744" s="34"/>
      <c r="M1744" s="34"/>
      <c r="N1744" s="34"/>
      <c r="O1744" s="34"/>
      <c r="P1744" s="34"/>
      <c r="Q1744" s="34"/>
      <c r="R1744" s="34"/>
      <c r="S1744" s="34"/>
      <c r="T1744" s="34"/>
      <c r="U1744" s="34"/>
      <c r="V1744" s="34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  <c r="AJ1744" s="34"/>
      <c r="AK1744" s="34"/>
      <c r="AL1744" s="34"/>
      <c r="AM1744" s="34"/>
      <c r="AN1744" s="34"/>
      <c r="AO1744" s="34"/>
      <c r="AP1744" s="34"/>
      <c r="AQ1744" s="34"/>
      <c r="AR1744" s="34"/>
      <c r="AS1744" s="34"/>
      <c r="AT1744" s="34"/>
      <c r="AU1744" s="34"/>
      <c r="AV1744" s="34"/>
    </row>
    <row r="1745">
      <c r="A1745" s="34"/>
      <c r="B1745" s="34"/>
      <c r="C1745" s="34"/>
      <c r="D1745" s="34"/>
      <c r="E1745" s="34"/>
      <c r="F1745" s="34"/>
      <c r="G1745" s="34"/>
      <c r="H1745" s="34"/>
      <c r="I1745" s="34"/>
      <c r="J1745" s="34"/>
      <c r="K1745" s="34"/>
      <c r="L1745" s="34"/>
      <c r="M1745" s="34"/>
      <c r="N1745" s="34"/>
      <c r="O1745" s="34"/>
      <c r="P1745" s="34"/>
      <c r="Q1745" s="34"/>
      <c r="R1745" s="34"/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  <c r="AJ1745" s="34"/>
      <c r="AK1745" s="34"/>
      <c r="AL1745" s="34"/>
      <c r="AM1745" s="34"/>
      <c r="AN1745" s="34"/>
      <c r="AO1745" s="34"/>
      <c r="AP1745" s="34"/>
      <c r="AQ1745" s="34"/>
      <c r="AR1745" s="34"/>
      <c r="AS1745" s="34"/>
      <c r="AT1745" s="34"/>
      <c r="AU1745" s="34"/>
      <c r="AV1745" s="34"/>
    </row>
    <row r="1746">
      <c r="A1746" s="34"/>
      <c r="B1746" s="34"/>
      <c r="C1746" s="34"/>
      <c r="D1746" s="34"/>
      <c r="E1746" s="34"/>
      <c r="F1746" s="34"/>
      <c r="G1746" s="34"/>
      <c r="H1746" s="34"/>
      <c r="I1746" s="34"/>
      <c r="J1746" s="34"/>
      <c r="K1746" s="34"/>
      <c r="L1746" s="34"/>
      <c r="M1746" s="34"/>
      <c r="N1746" s="34"/>
      <c r="O1746" s="34"/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/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/>
      <c r="AN1746" s="34"/>
      <c r="AO1746" s="34"/>
      <c r="AP1746" s="34"/>
      <c r="AQ1746" s="34"/>
      <c r="AR1746" s="34"/>
      <c r="AS1746" s="34"/>
      <c r="AT1746" s="34"/>
      <c r="AU1746" s="34"/>
      <c r="AV1746" s="34"/>
    </row>
    <row r="1747">
      <c r="A1747" s="34"/>
      <c r="B1747" s="34"/>
      <c r="C1747" s="34"/>
      <c r="D1747" s="34"/>
      <c r="E1747" s="34"/>
      <c r="F1747" s="34"/>
      <c r="G1747" s="34"/>
      <c r="H1747" s="34"/>
      <c r="I1747" s="34"/>
      <c r="J1747" s="34"/>
      <c r="K1747" s="34"/>
      <c r="L1747" s="34"/>
      <c r="M1747" s="34"/>
      <c r="N1747" s="34"/>
      <c r="O1747" s="34"/>
      <c r="P1747" s="34"/>
      <c r="Q1747" s="34"/>
      <c r="R1747" s="34"/>
      <c r="S1747" s="34"/>
      <c r="T1747" s="34"/>
      <c r="U1747" s="34"/>
      <c r="V1747" s="34"/>
      <c r="W1747" s="34"/>
      <c r="X1747" s="34"/>
      <c r="Y1747" s="34"/>
      <c r="Z1747" s="34"/>
      <c r="AA1747" s="34"/>
      <c r="AB1747" s="34"/>
      <c r="AC1747" s="34"/>
      <c r="AD1747" s="34"/>
      <c r="AE1747" s="34"/>
      <c r="AF1747" s="34"/>
      <c r="AG1747" s="34"/>
      <c r="AH1747" s="34"/>
      <c r="AI1747" s="34"/>
      <c r="AJ1747" s="34"/>
      <c r="AK1747" s="34"/>
      <c r="AL1747" s="34"/>
      <c r="AM1747" s="34"/>
      <c r="AN1747" s="34"/>
      <c r="AO1747" s="34"/>
      <c r="AP1747" s="34"/>
      <c r="AQ1747" s="34"/>
      <c r="AR1747" s="34"/>
      <c r="AS1747" s="34"/>
      <c r="AT1747" s="34"/>
      <c r="AU1747" s="34"/>
      <c r="AV1747" s="34"/>
    </row>
    <row r="1748">
      <c r="A1748" s="34"/>
      <c r="B1748" s="34"/>
      <c r="C1748" s="34"/>
      <c r="D1748" s="34"/>
      <c r="E1748" s="34"/>
      <c r="F1748" s="34"/>
      <c r="G1748" s="34"/>
      <c r="H1748" s="34"/>
      <c r="I1748" s="34"/>
      <c r="J1748" s="34"/>
      <c r="K1748" s="34"/>
      <c r="L1748" s="34"/>
      <c r="M1748" s="34"/>
      <c r="N1748" s="34"/>
      <c r="O1748" s="34"/>
      <c r="P1748" s="34"/>
      <c r="Q1748" s="34"/>
      <c r="R1748" s="34"/>
      <c r="S1748" s="34"/>
      <c r="T1748" s="34"/>
      <c r="U1748" s="34"/>
      <c r="V1748" s="34"/>
      <c r="W1748" s="34"/>
      <c r="X1748" s="34"/>
      <c r="Y1748" s="34"/>
      <c r="Z1748" s="34"/>
      <c r="AA1748" s="34"/>
      <c r="AB1748" s="34"/>
      <c r="AC1748" s="34"/>
      <c r="AD1748" s="34"/>
      <c r="AE1748" s="34"/>
      <c r="AF1748" s="34"/>
      <c r="AG1748" s="34"/>
      <c r="AH1748" s="34"/>
      <c r="AI1748" s="34"/>
      <c r="AJ1748" s="34"/>
      <c r="AK1748" s="34"/>
      <c r="AL1748" s="34"/>
      <c r="AM1748" s="34"/>
      <c r="AN1748" s="34"/>
      <c r="AO1748" s="34"/>
      <c r="AP1748" s="34"/>
      <c r="AQ1748" s="34"/>
      <c r="AR1748" s="34"/>
      <c r="AS1748" s="34"/>
      <c r="AT1748" s="34"/>
      <c r="AU1748" s="34"/>
      <c r="AV1748" s="34"/>
    </row>
    <row r="1749">
      <c r="A1749" s="34"/>
      <c r="B1749" s="34"/>
      <c r="C1749" s="34"/>
      <c r="D1749" s="34"/>
      <c r="E1749" s="34"/>
      <c r="F1749" s="34"/>
      <c r="G1749" s="34"/>
      <c r="H1749" s="34"/>
      <c r="I1749" s="34"/>
      <c r="J1749" s="34"/>
      <c r="K1749" s="34"/>
      <c r="L1749" s="34"/>
      <c r="M1749" s="34"/>
      <c r="N1749" s="34"/>
      <c r="O1749" s="34"/>
      <c r="P1749" s="34"/>
      <c r="Q1749" s="34"/>
      <c r="R1749" s="34"/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  <c r="AJ1749" s="34"/>
      <c r="AK1749" s="34"/>
      <c r="AL1749" s="34"/>
      <c r="AM1749" s="34"/>
      <c r="AN1749" s="34"/>
      <c r="AO1749" s="34"/>
      <c r="AP1749" s="34"/>
      <c r="AQ1749" s="34"/>
      <c r="AR1749" s="34"/>
      <c r="AS1749" s="34"/>
      <c r="AT1749" s="34"/>
      <c r="AU1749" s="34"/>
      <c r="AV1749" s="34"/>
    </row>
    <row r="1750">
      <c r="A1750" s="34"/>
      <c r="B1750" s="34"/>
      <c r="C1750" s="34"/>
      <c r="D1750" s="34"/>
      <c r="E1750" s="34"/>
      <c r="F1750" s="34"/>
      <c r="G1750" s="34"/>
      <c r="H1750" s="34"/>
      <c r="I1750" s="34"/>
      <c r="J1750" s="34"/>
      <c r="K1750" s="34"/>
      <c r="L1750" s="34"/>
      <c r="M1750" s="34"/>
      <c r="N1750" s="34"/>
      <c r="O1750" s="34"/>
      <c r="P1750" s="34"/>
      <c r="Q1750" s="34"/>
      <c r="R1750" s="34"/>
      <c r="S1750" s="34"/>
      <c r="T1750" s="34"/>
      <c r="U1750" s="34"/>
      <c r="V1750" s="34"/>
      <c r="W1750" s="34"/>
      <c r="X1750" s="34"/>
      <c r="Y1750" s="34"/>
      <c r="Z1750" s="34"/>
      <c r="AA1750" s="34"/>
      <c r="AB1750" s="34"/>
      <c r="AC1750" s="34"/>
      <c r="AD1750" s="34"/>
      <c r="AE1750" s="34"/>
      <c r="AF1750" s="34"/>
      <c r="AG1750" s="34"/>
      <c r="AH1750" s="34"/>
      <c r="AI1750" s="34"/>
      <c r="AJ1750" s="34"/>
      <c r="AK1750" s="34"/>
      <c r="AL1750" s="34"/>
      <c r="AM1750" s="34"/>
      <c r="AN1750" s="34"/>
      <c r="AO1750" s="34"/>
      <c r="AP1750" s="34"/>
      <c r="AQ1750" s="34"/>
      <c r="AR1750" s="34"/>
      <c r="AS1750" s="34"/>
      <c r="AT1750" s="34"/>
      <c r="AU1750" s="34"/>
      <c r="AV1750" s="34"/>
    </row>
    <row r="1751">
      <c r="A1751" s="34"/>
      <c r="B1751" s="34"/>
      <c r="C1751" s="34"/>
      <c r="D1751" s="34"/>
      <c r="E1751" s="34"/>
      <c r="F1751" s="34"/>
      <c r="G1751" s="34"/>
      <c r="H1751" s="34"/>
      <c r="I1751" s="34"/>
      <c r="J1751" s="34"/>
      <c r="K1751" s="34"/>
      <c r="L1751" s="34"/>
      <c r="M1751" s="34"/>
      <c r="N1751" s="34"/>
      <c r="O1751" s="34"/>
      <c r="P1751" s="34"/>
      <c r="Q1751" s="34"/>
      <c r="R1751" s="34"/>
      <c r="S1751" s="34"/>
      <c r="T1751" s="34"/>
      <c r="U1751" s="34"/>
      <c r="V1751" s="34"/>
      <c r="W1751" s="34"/>
      <c r="X1751" s="34"/>
      <c r="Y1751" s="34"/>
      <c r="Z1751" s="34"/>
      <c r="AA1751" s="34"/>
      <c r="AB1751" s="34"/>
      <c r="AC1751" s="34"/>
      <c r="AD1751" s="34"/>
      <c r="AE1751" s="34"/>
      <c r="AF1751" s="34"/>
      <c r="AG1751" s="34"/>
      <c r="AH1751" s="34"/>
      <c r="AI1751" s="34"/>
      <c r="AJ1751" s="34"/>
      <c r="AK1751" s="34"/>
      <c r="AL1751" s="34"/>
      <c r="AM1751" s="34"/>
      <c r="AN1751" s="34"/>
      <c r="AO1751" s="34"/>
      <c r="AP1751" s="34"/>
      <c r="AQ1751" s="34"/>
      <c r="AR1751" s="34"/>
      <c r="AS1751" s="34"/>
      <c r="AT1751" s="34"/>
      <c r="AU1751" s="34"/>
      <c r="AV1751" s="34"/>
    </row>
    <row r="1752">
      <c r="A1752" s="34"/>
      <c r="B1752" s="34"/>
      <c r="C1752" s="34"/>
      <c r="D1752" s="34"/>
      <c r="E1752" s="34"/>
      <c r="F1752" s="34"/>
      <c r="G1752" s="34"/>
      <c r="H1752" s="34"/>
      <c r="I1752" s="34"/>
      <c r="J1752" s="34"/>
      <c r="K1752" s="34"/>
      <c r="L1752" s="34"/>
      <c r="M1752" s="34"/>
      <c r="N1752" s="34"/>
      <c r="O1752" s="34"/>
      <c r="P1752" s="34"/>
      <c r="Q1752" s="34"/>
      <c r="R1752" s="34"/>
      <c r="S1752" s="34"/>
      <c r="T1752" s="34"/>
      <c r="U1752" s="34"/>
      <c r="V1752" s="34"/>
      <c r="W1752" s="34"/>
      <c r="X1752" s="34"/>
      <c r="Y1752" s="34"/>
      <c r="Z1752" s="34"/>
      <c r="AA1752" s="34"/>
      <c r="AB1752" s="34"/>
      <c r="AC1752" s="34"/>
      <c r="AD1752" s="34"/>
      <c r="AE1752" s="34"/>
      <c r="AF1752" s="34"/>
      <c r="AG1752" s="34"/>
      <c r="AH1752" s="34"/>
      <c r="AI1752" s="34"/>
      <c r="AJ1752" s="34"/>
      <c r="AK1752" s="34"/>
      <c r="AL1752" s="34"/>
      <c r="AM1752" s="34"/>
      <c r="AN1752" s="34"/>
      <c r="AO1752" s="34"/>
      <c r="AP1752" s="34"/>
      <c r="AQ1752" s="34"/>
      <c r="AR1752" s="34"/>
      <c r="AS1752" s="34"/>
      <c r="AT1752" s="34"/>
      <c r="AU1752" s="34"/>
      <c r="AV1752" s="34"/>
    </row>
    <row r="1753">
      <c r="A1753" s="34"/>
      <c r="B1753" s="34"/>
      <c r="C1753" s="34"/>
      <c r="D1753" s="34"/>
      <c r="E1753" s="34"/>
      <c r="F1753" s="34"/>
      <c r="G1753" s="34"/>
      <c r="H1753" s="34"/>
      <c r="I1753" s="34"/>
      <c r="J1753" s="34"/>
      <c r="K1753" s="34"/>
      <c r="L1753" s="34"/>
      <c r="M1753" s="34"/>
      <c r="N1753" s="34"/>
      <c r="O1753" s="34"/>
      <c r="P1753" s="34"/>
      <c r="Q1753" s="34"/>
      <c r="R1753" s="34"/>
      <c r="S1753" s="34"/>
      <c r="T1753" s="34"/>
      <c r="U1753" s="34"/>
      <c r="V1753" s="34"/>
      <c r="W1753" s="34"/>
      <c r="X1753" s="34"/>
      <c r="Y1753" s="34"/>
      <c r="Z1753" s="34"/>
      <c r="AA1753" s="34"/>
      <c r="AB1753" s="34"/>
      <c r="AC1753" s="34"/>
      <c r="AD1753" s="34"/>
      <c r="AE1753" s="34"/>
      <c r="AF1753" s="34"/>
      <c r="AG1753" s="34"/>
      <c r="AH1753" s="34"/>
      <c r="AI1753" s="34"/>
      <c r="AJ1753" s="34"/>
      <c r="AK1753" s="34"/>
      <c r="AL1753" s="34"/>
      <c r="AM1753" s="34"/>
      <c r="AN1753" s="34"/>
      <c r="AO1753" s="34"/>
      <c r="AP1753" s="34"/>
      <c r="AQ1753" s="34"/>
      <c r="AR1753" s="34"/>
      <c r="AS1753" s="34"/>
      <c r="AT1753" s="34"/>
      <c r="AU1753" s="34"/>
      <c r="AV1753" s="34"/>
    </row>
    <row r="1754">
      <c r="A1754" s="34"/>
      <c r="B1754" s="34"/>
      <c r="C1754" s="34"/>
      <c r="D1754" s="34"/>
      <c r="E1754" s="34"/>
      <c r="F1754" s="34"/>
      <c r="G1754" s="34"/>
      <c r="H1754" s="34"/>
      <c r="I1754" s="34"/>
      <c r="J1754" s="34"/>
      <c r="K1754" s="34"/>
      <c r="L1754" s="34"/>
      <c r="M1754" s="34"/>
      <c r="N1754" s="34"/>
      <c r="O1754" s="34"/>
      <c r="P1754" s="34"/>
      <c r="Q1754" s="34"/>
      <c r="R1754" s="34"/>
      <c r="S1754" s="34"/>
      <c r="T1754" s="34"/>
      <c r="U1754" s="34"/>
      <c r="V1754" s="34"/>
      <c r="W1754" s="34"/>
      <c r="X1754" s="34"/>
      <c r="Y1754" s="34"/>
      <c r="Z1754" s="34"/>
      <c r="AA1754" s="34"/>
      <c r="AB1754" s="34"/>
      <c r="AC1754" s="34"/>
      <c r="AD1754" s="34"/>
      <c r="AE1754" s="34"/>
      <c r="AF1754" s="34"/>
      <c r="AG1754" s="34"/>
      <c r="AH1754" s="34"/>
      <c r="AI1754" s="34"/>
      <c r="AJ1754" s="34"/>
      <c r="AK1754" s="34"/>
      <c r="AL1754" s="34"/>
      <c r="AM1754" s="34"/>
      <c r="AN1754" s="34"/>
      <c r="AO1754" s="34"/>
      <c r="AP1754" s="34"/>
      <c r="AQ1754" s="34"/>
      <c r="AR1754" s="34"/>
      <c r="AS1754" s="34"/>
      <c r="AT1754" s="34"/>
      <c r="AU1754" s="34"/>
      <c r="AV1754" s="34"/>
    </row>
    <row r="1755">
      <c r="A1755" s="34"/>
      <c r="B1755" s="34"/>
      <c r="C1755" s="34"/>
      <c r="D1755" s="34"/>
      <c r="E1755" s="34"/>
      <c r="F1755" s="34"/>
      <c r="G1755" s="34"/>
      <c r="H1755" s="34"/>
      <c r="I1755" s="34"/>
      <c r="J1755" s="34"/>
      <c r="K1755" s="34"/>
      <c r="L1755" s="34"/>
      <c r="M1755" s="34"/>
      <c r="N1755" s="34"/>
      <c r="O1755" s="34"/>
      <c r="P1755" s="34"/>
      <c r="Q1755" s="34"/>
      <c r="R1755" s="34"/>
      <c r="S1755" s="34"/>
      <c r="T1755" s="34"/>
      <c r="U1755" s="34"/>
      <c r="V1755" s="34"/>
      <c r="W1755" s="34"/>
      <c r="X1755" s="34"/>
      <c r="Y1755" s="34"/>
      <c r="Z1755" s="34"/>
      <c r="AA1755" s="34"/>
      <c r="AB1755" s="34"/>
      <c r="AC1755" s="34"/>
      <c r="AD1755" s="34"/>
      <c r="AE1755" s="34"/>
      <c r="AF1755" s="34"/>
      <c r="AG1755" s="34"/>
      <c r="AH1755" s="34"/>
      <c r="AI1755" s="34"/>
      <c r="AJ1755" s="34"/>
      <c r="AK1755" s="34"/>
      <c r="AL1755" s="34"/>
      <c r="AM1755" s="34"/>
      <c r="AN1755" s="34"/>
      <c r="AO1755" s="34"/>
      <c r="AP1755" s="34"/>
      <c r="AQ1755" s="34"/>
      <c r="AR1755" s="34"/>
      <c r="AS1755" s="34"/>
      <c r="AT1755" s="34"/>
      <c r="AU1755" s="34"/>
      <c r="AV1755" s="34"/>
    </row>
    <row r="1756">
      <c r="A1756" s="34"/>
      <c r="B1756" s="34"/>
      <c r="C1756" s="34"/>
      <c r="D1756" s="34"/>
      <c r="E1756" s="34"/>
      <c r="F1756" s="34"/>
      <c r="G1756" s="34"/>
      <c r="H1756" s="34"/>
      <c r="I1756" s="34"/>
      <c r="J1756" s="34"/>
      <c r="K1756" s="34"/>
      <c r="L1756" s="34"/>
      <c r="M1756" s="34"/>
      <c r="N1756" s="34"/>
      <c r="O1756" s="34"/>
      <c r="P1756" s="34"/>
      <c r="Q1756" s="34"/>
      <c r="R1756" s="34"/>
      <c r="S1756" s="34"/>
      <c r="T1756" s="34"/>
      <c r="U1756" s="34"/>
      <c r="V1756" s="34"/>
      <c r="W1756" s="34"/>
      <c r="X1756" s="34"/>
      <c r="Y1756" s="34"/>
      <c r="Z1756" s="34"/>
      <c r="AA1756" s="34"/>
      <c r="AB1756" s="34"/>
      <c r="AC1756" s="34"/>
      <c r="AD1756" s="34"/>
      <c r="AE1756" s="34"/>
      <c r="AF1756" s="34"/>
      <c r="AG1756" s="34"/>
      <c r="AH1756" s="34"/>
      <c r="AI1756" s="34"/>
      <c r="AJ1756" s="34"/>
      <c r="AK1756" s="34"/>
      <c r="AL1756" s="34"/>
      <c r="AM1756" s="34"/>
      <c r="AN1756" s="34"/>
      <c r="AO1756" s="34"/>
      <c r="AP1756" s="34"/>
      <c r="AQ1756" s="34"/>
      <c r="AR1756" s="34"/>
      <c r="AS1756" s="34"/>
      <c r="AT1756" s="34"/>
      <c r="AU1756" s="34"/>
      <c r="AV1756" s="34"/>
    </row>
    <row r="1757">
      <c r="A1757" s="34"/>
      <c r="B1757" s="34"/>
      <c r="C1757" s="34"/>
      <c r="D1757" s="34"/>
      <c r="E1757" s="34"/>
      <c r="F1757" s="34"/>
      <c r="G1757" s="34"/>
      <c r="H1757" s="34"/>
      <c r="I1757" s="34"/>
      <c r="J1757" s="34"/>
      <c r="K1757" s="34"/>
      <c r="L1757" s="34"/>
      <c r="M1757" s="34"/>
      <c r="N1757" s="34"/>
      <c r="O1757" s="34"/>
      <c r="P1757" s="34"/>
      <c r="Q1757" s="34"/>
      <c r="R1757" s="34"/>
      <c r="S1757" s="34"/>
      <c r="T1757" s="34"/>
      <c r="U1757" s="34"/>
      <c r="V1757" s="34"/>
      <c r="W1757" s="34"/>
      <c r="X1757" s="34"/>
      <c r="Y1757" s="34"/>
      <c r="Z1757" s="34"/>
      <c r="AA1757" s="34"/>
      <c r="AB1757" s="34"/>
      <c r="AC1757" s="34"/>
      <c r="AD1757" s="34"/>
      <c r="AE1757" s="34"/>
      <c r="AF1757" s="34"/>
      <c r="AG1757" s="34"/>
      <c r="AH1757" s="34"/>
      <c r="AI1757" s="34"/>
      <c r="AJ1757" s="34"/>
      <c r="AK1757" s="34"/>
      <c r="AL1757" s="34"/>
      <c r="AM1757" s="34"/>
      <c r="AN1757" s="34"/>
      <c r="AO1757" s="34"/>
      <c r="AP1757" s="34"/>
      <c r="AQ1757" s="34"/>
      <c r="AR1757" s="34"/>
      <c r="AS1757" s="34"/>
      <c r="AT1757" s="34"/>
      <c r="AU1757" s="34"/>
      <c r="AV1757" s="34"/>
    </row>
    <row r="1758">
      <c r="A1758" s="34"/>
      <c r="B1758" s="34"/>
      <c r="C1758" s="34"/>
      <c r="D1758" s="34"/>
      <c r="E1758" s="34"/>
      <c r="F1758" s="34"/>
      <c r="G1758" s="34"/>
      <c r="H1758" s="34"/>
      <c r="I1758" s="34"/>
      <c r="J1758" s="34"/>
      <c r="K1758" s="34"/>
      <c r="L1758" s="34"/>
      <c r="M1758" s="34"/>
      <c r="N1758" s="34"/>
      <c r="O1758" s="34"/>
      <c r="P1758" s="34"/>
      <c r="Q1758" s="34"/>
      <c r="R1758" s="34"/>
      <c r="S1758" s="34"/>
      <c r="T1758" s="34"/>
      <c r="U1758" s="34"/>
      <c r="V1758" s="34"/>
      <c r="W1758" s="34"/>
      <c r="X1758" s="34"/>
      <c r="Y1758" s="34"/>
      <c r="Z1758" s="34"/>
      <c r="AA1758" s="34"/>
      <c r="AB1758" s="34"/>
      <c r="AC1758" s="34"/>
      <c r="AD1758" s="34"/>
      <c r="AE1758" s="34"/>
      <c r="AF1758" s="34"/>
      <c r="AG1758" s="34"/>
      <c r="AH1758" s="34"/>
      <c r="AI1758" s="34"/>
      <c r="AJ1758" s="34"/>
      <c r="AK1758" s="34"/>
      <c r="AL1758" s="34"/>
      <c r="AM1758" s="34"/>
      <c r="AN1758" s="34"/>
      <c r="AO1758" s="34"/>
      <c r="AP1758" s="34"/>
      <c r="AQ1758" s="34"/>
      <c r="AR1758" s="34"/>
      <c r="AS1758" s="34"/>
      <c r="AT1758" s="34"/>
      <c r="AU1758" s="34"/>
      <c r="AV1758" s="34"/>
    </row>
    <row r="1759">
      <c r="A1759" s="34"/>
      <c r="B1759" s="34"/>
      <c r="C1759" s="34"/>
      <c r="D1759" s="34"/>
      <c r="E1759" s="34"/>
      <c r="F1759" s="34"/>
      <c r="G1759" s="34"/>
      <c r="H1759" s="34"/>
      <c r="I1759" s="34"/>
      <c r="J1759" s="34"/>
      <c r="K1759" s="34"/>
      <c r="L1759" s="34"/>
      <c r="M1759" s="34"/>
      <c r="N1759" s="34"/>
      <c r="O1759" s="34"/>
      <c r="P1759" s="34"/>
      <c r="Q1759" s="34"/>
      <c r="R1759" s="34"/>
      <c r="S1759" s="34"/>
      <c r="T1759" s="34"/>
      <c r="U1759" s="34"/>
      <c r="V1759" s="34"/>
      <c r="W1759" s="34"/>
      <c r="X1759" s="34"/>
      <c r="Y1759" s="34"/>
      <c r="Z1759" s="34"/>
      <c r="AA1759" s="34"/>
      <c r="AB1759" s="34"/>
      <c r="AC1759" s="34"/>
      <c r="AD1759" s="34"/>
      <c r="AE1759" s="34"/>
      <c r="AF1759" s="34"/>
      <c r="AG1759" s="34"/>
      <c r="AH1759" s="34"/>
      <c r="AI1759" s="34"/>
      <c r="AJ1759" s="34"/>
      <c r="AK1759" s="34"/>
      <c r="AL1759" s="34"/>
      <c r="AM1759" s="34"/>
      <c r="AN1759" s="34"/>
      <c r="AO1759" s="34"/>
      <c r="AP1759" s="34"/>
      <c r="AQ1759" s="34"/>
      <c r="AR1759" s="34"/>
      <c r="AS1759" s="34"/>
      <c r="AT1759" s="34"/>
      <c r="AU1759" s="34"/>
      <c r="AV1759" s="34"/>
    </row>
    <row r="1760">
      <c r="A1760" s="34"/>
      <c r="B1760" s="34"/>
      <c r="C1760" s="34"/>
      <c r="D1760" s="34"/>
      <c r="E1760" s="34"/>
      <c r="F1760" s="34"/>
      <c r="G1760" s="34"/>
      <c r="H1760" s="34"/>
      <c r="I1760" s="34"/>
      <c r="J1760" s="34"/>
      <c r="K1760" s="34"/>
      <c r="L1760" s="34"/>
      <c r="M1760" s="34"/>
      <c r="N1760" s="34"/>
      <c r="O1760" s="34"/>
      <c r="P1760" s="34"/>
      <c r="Q1760" s="34"/>
      <c r="R1760" s="34"/>
      <c r="S1760" s="34"/>
      <c r="T1760" s="34"/>
      <c r="U1760" s="34"/>
      <c r="V1760" s="34"/>
      <c r="W1760" s="34"/>
      <c r="X1760" s="34"/>
      <c r="Y1760" s="34"/>
      <c r="Z1760" s="34"/>
      <c r="AA1760" s="34"/>
      <c r="AB1760" s="34"/>
      <c r="AC1760" s="34"/>
      <c r="AD1760" s="34"/>
      <c r="AE1760" s="34"/>
      <c r="AF1760" s="34"/>
      <c r="AG1760" s="34"/>
      <c r="AH1760" s="34"/>
      <c r="AI1760" s="34"/>
      <c r="AJ1760" s="34"/>
      <c r="AK1760" s="34"/>
      <c r="AL1760" s="34"/>
      <c r="AM1760" s="34"/>
      <c r="AN1760" s="34"/>
      <c r="AO1760" s="34"/>
      <c r="AP1760" s="34"/>
      <c r="AQ1760" s="34"/>
      <c r="AR1760" s="34"/>
      <c r="AS1760" s="34"/>
      <c r="AT1760" s="34"/>
      <c r="AU1760" s="34"/>
      <c r="AV1760" s="34"/>
    </row>
    <row r="1761">
      <c r="A1761" s="34"/>
      <c r="B1761" s="34"/>
      <c r="C1761" s="34"/>
      <c r="D1761" s="34"/>
      <c r="E1761" s="34"/>
      <c r="F1761" s="34"/>
      <c r="G1761" s="34"/>
      <c r="H1761" s="34"/>
      <c r="I1761" s="34"/>
      <c r="J1761" s="34"/>
      <c r="K1761" s="34"/>
      <c r="L1761" s="34"/>
      <c r="M1761" s="34"/>
      <c r="N1761" s="34"/>
      <c r="O1761" s="34"/>
      <c r="P1761" s="34"/>
      <c r="Q1761" s="34"/>
      <c r="R1761" s="34"/>
      <c r="S1761" s="34"/>
      <c r="T1761" s="34"/>
      <c r="U1761" s="34"/>
      <c r="V1761" s="34"/>
      <c r="W1761" s="34"/>
      <c r="X1761" s="34"/>
      <c r="Y1761" s="34"/>
      <c r="Z1761" s="34"/>
      <c r="AA1761" s="34"/>
      <c r="AB1761" s="34"/>
      <c r="AC1761" s="34"/>
      <c r="AD1761" s="34"/>
      <c r="AE1761" s="34"/>
      <c r="AF1761" s="34"/>
      <c r="AG1761" s="34"/>
      <c r="AH1761" s="34"/>
      <c r="AI1761" s="34"/>
      <c r="AJ1761" s="34"/>
      <c r="AK1761" s="34"/>
      <c r="AL1761" s="34"/>
      <c r="AM1761" s="34"/>
      <c r="AN1761" s="34"/>
      <c r="AO1761" s="34"/>
      <c r="AP1761" s="34"/>
      <c r="AQ1761" s="34"/>
      <c r="AR1761" s="34"/>
      <c r="AS1761" s="34"/>
      <c r="AT1761" s="34"/>
      <c r="AU1761" s="34"/>
      <c r="AV1761" s="34"/>
    </row>
    <row r="1762">
      <c r="A1762" s="34"/>
      <c r="B1762" s="34"/>
      <c r="C1762" s="34"/>
      <c r="D1762" s="34"/>
      <c r="E1762" s="34"/>
      <c r="F1762" s="34"/>
      <c r="G1762" s="34"/>
      <c r="H1762" s="34"/>
      <c r="I1762" s="34"/>
      <c r="J1762" s="34"/>
      <c r="K1762" s="34"/>
      <c r="L1762" s="34"/>
      <c r="M1762" s="34"/>
      <c r="N1762" s="34"/>
      <c r="O1762" s="34"/>
      <c r="P1762" s="34"/>
      <c r="Q1762" s="34"/>
      <c r="R1762" s="34"/>
      <c r="S1762" s="34"/>
      <c r="T1762" s="34"/>
      <c r="U1762" s="34"/>
      <c r="V1762" s="34"/>
      <c r="W1762" s="34"/>
      <c r="X1762" s="34"/>
      <c r="Y1762" s="34"/>
      <c r="Z1762" s="34"/>
      <c r="AA1762" s="34"/>
      <c r="AB1762" s="34"/>
      <c r="AC1762" s="34"/>
      <c r="AD1762" s="34"/>
      <c r="AE1762" s="34"/>
      <c r="AF1762" s="34"/>
      <c r="AG1762" s="34"/>
      <c r="AH1762" s="34"/>
      <c r="AI1762" s="34"/>
      <c r="AJ1762" s="34"/>
      <c r="AK1762" s="34"/>
      <c r="AL1762" s="34"/>
      <c r="AM1762" s="34"/>
      <c r="AN1762" s="34"/>
      <c r="AO1762" s="34"/>
      <c r="AP1762" s="34"/>
      <c r="AQ1762" s="34"/>
      <c r="AR1762" s="34"/>
      <c r="AS1762" s="34"/>
      <c r="AT1762" s="34"/>
      <c r="AU1762" s="34"/>
      <c r="AV1762" s="34"/>
    </row>
    <row r="1763">
      <c r="A1763" s="34"/>
      <c r="B1763" s="34"/>
      <c r="C1763" s="34"/>
      <c r="D1763" s="34"/>
      <c r="E1763" s="34"/>
      <c r="F1763" s="34"/>
      <c r="G1763" s="34"/>
      <c r="H1763" s="34"/>
      <c r="I1763" s="34"/>
      <c r="J1763" s="34"/>
      <c r="K1763" s="34"/>
      <c r="L1763" s="34"/>
      <c r="M1763" s="34"/>
      <c r="N1763" s="34"/>
      <c r="O1763" s="34"/>
      <c r="P1763" s="34"/>
      <c r="Q1763" s="34"/>
      <c r="R1763" s="34"/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4"/>
      <c r="AD1763" s="34"/>
      <c r="AE1763" s="34"/>
      <c r="AF1763" s="34"/>
      <c r="AG1763" s="34"/>
      <c r="AH1763" s="34"/>
      <c r="AI1763" s="34"/>
      <c r="AJ1763" s="34"/>
      <c r="AK1763" s="34"/>
      <c r="AL1763" s="34"/>
      <c r="AM1763" s="34"/>
      <c r="AN1763" s="34"/>
      <c r="AO1763" s="34"/>
      <c r="AP1763" s="34"/>
      <c r="AQ1763" s="34"/>
      <c r="AR1763" s="34"/>
      <c r="AS1763" s="34"/>
      <c r="AT1763" s="34"/>
      <c r="AU1763" s="34"/>
      <c r="AV1763" s="34"/>
    </row>
    <row r="1764">
      <c r="A1764" s="34"/>
      <c r="B1764" s="34"/>
      <c r="C1764" s="34"/>
      <c r="D1764" s="34"/>
      <c r="E1764" s="34"/>
      <c r="F1764" s="34"/>
      <c r="G1764" s="34"/>
      <c r="H1764" s="34"/>
      <c r="I1764" s="34"/>
      <c r="J1764" s="34"/>
      <c r="K1764" s="34"/>
      <c r="L1764" s="34"/>
      <c r="M1764" s="34"/>
      <c r="N1764" s="34"/>
      <c r="O1764" s="34"/>
      <c r="P1764" s="34"/>
      <c r="Q1764" s="34"/>
      <c r="R1764" s="34"/>
      <c r="S1764" s="34"/>
      <c r="T1764" s="34"/>
      <c r="U1764" s="34"/>
      <c r="V1764" s="34"/>
      <c r="W1764" s="34"/>
      <c r="X1764" s="34"/>
      <c r="Y1764" s="34"/>
      <c r="Z1764" s="34"/>
      <c r="AA1764" s="34"/>
      <c r="AB1764" s="34"/>
      <c r="AC1764" s="34"/>
      <c r="AD1764" s="34"/>
      <c r="AE1764" s="34"/>
      <c r="AF1764" s="34"/>
      <c r="AG1764" s="34"/>
      <c r="AH1764" s="34"/>
      <c r="AI1764" s="34"/>
      <c r="AJ1764" s="34"/>
      <c r="AK1764" s="34"/>
      <c r="AL1764" s="34"/>
      <c r="AM1764" s="34"/>
      <c r="AN1764" s="34"/>
      <c r="AO1764" s="34"/>
      <c r="AP1764" s="34"/>
      <c r="AQ1764" s="34"/>
      <c r="AR1764" s="34"/>
      <c r="AS1764" s="34"/>
      <c r="AT1764" s="34"/>
      <c r="AU1764" s="34"/>
      <c r="AV1764" s="34"/>
    </row>
    <row r="1765">
      <c r="A1765" s="34"/>
      <c r="B1765" s="34"/>
      <c r="C1765" s="34"/>
      <c r="D1765" s="34"/>
      <c r="E1765" s="34"/>
      <c r="F1765" s="34"/>
      <c r="G1765" s="34"/>
      <c r="H1765" s="34"/>
      <c r="I1765" s="34"/>
      <c r="J1765" s="34"/>
      <c r="K1765" s="34"/>
      <c r="L1765" s="34"/>
      <c r="M1765" s="34"/>
      <c r="N1765" s="34"/>
      <c r="O1765" s="34"/>
      <c r="P1765" s="34"/>
      <c r="Q1765" s="34"/>
      <c r="R1765" s="34"/>
      <c r="S1765" s="34"/>
      <c r="T1765" s="34"/>
      <c r="U1765" s="34"/>
      <c r="V1765" s="34"/>
      <c r="W1765" s="34"/>
      <c r="X1765" s="34"/>
      <c r="Y1765" s="34"/>
      <c r="Z1765" s="34"/>
      <c r="AA1765" s="34"/>
      <c r="AB1765" s="34"/>
      <c r="AC1765" s="34"/>
      <c r="AD1765" s="34"/>
      <c r="AE1765" s="34"/>
      <c r="AF1765" s="34"/>
      <c r="AG1765" s="34"/>
      <c r="AH1765" s="34"/>
      <c r="AI1765" s="34"/>
      <c r="AJ1765" s="34"/>
      <c r="AK1765" s="34"/>
      <c r="AL1765" s="34"/>
      <c r="AM1765" s="34"/>
      <c r="AN1765" s="34"/>
      <c r="AO1765" s="34"/>
      <c r="AP1765" s="34"/>
      <c r="AQ1765" s="34"/>
      <c r="AR1765" s="34"/>
      <c r="AS1765" s="34"/>
      <c r="AT1765" s="34"/>
      <c r="AU1765" s="34"/>
      <c r="AV1765" s="34"/>
    </row>
    <row r="1766">
      <c r="A1766" s="34"/>
      <c r="B1766" s="34"/>
      <c r="C1766" s="34"/>
      <c r="D1766" s="34"/>
      <c r="E1766" s="34"/>
      <c r="F1766" s="34"/>
      <c r="G1766" s="34"/>
      <c r="H1766" s="34"/>
      <c r="I1766" s="34"/>
      <c r="J1766" s="34"/>
      <c r="K1766" s="34"/>
      <c r="L1766" s="34"/>
      <c r="M1766" s="34"/>
      <c r="N1766" s="34"/>
      <c r="O1766" s="34"/>
      <c r="P1766" s="34"/>
      <c r="Q1766" s="34"/>
      <c r="R1766" s="34"/>
      <c r="S1766" s="34"/>
      <c r="T1766" s="34"/>
      <c r="U1766" s="34"/>
      <c r="V1766" s="34"/>
      <c r="W1766" s="34"/>
      <c r="X1766" s="34"/>
      <c r="Y1766" s="34"/>
      <c r="Z1766" s="34"/>
      <c r="AA1766" s="34"/>
      <c r="AB1766" s="34"/>
      <c r="AC1766" s="34"/>
      <c r="AD1766" s="34"/>
      <c r="AE1766" s="34"/>
      <c r="AF1766" s="34"/>
      <c r="AG1766" s="34"/>
      <c r="AH1766" s="34"/>
      <c r="AI1766" s="34"/>
      <c r="AJ1766" s="34"/>
      <c r="AK1766" s="34"/>
      <c r="AL1766" s="34"/>
      <c r="AM1766" s="34"/>
      <c r="AN1766" s="34"/>
      <c r="AO1766" s="34"/>
      <c r="AP1766" s="34"/>
      <c r="AQ1766" s="34"/>
      <c r="AR1766" s="34"/>
      <c r="AS1766" s="34"/>
      <c r="AT1766" s="34"/>
      <c r="AU1766" s="34"/>
      <c r="AV1766" s="34"/>
    </row>
    <row r="1767">
      <c r="A1767" s="34"/>
      <c r="B1767" s="34"/>
      <c r="C1767" s="34"/>
      <c r="D1767" s="34"/>
      <c r="E1767" s="34"/>
      <c r="F1767" s="34"/>
      <c r="G1767" s="34"/>
      <c r="H1767" s="34"/>
      <c r="I1767" s="34"/>
      <c r="J1767" s="34"/>
      <c r="K1767" s="34"/>
      <c r="L1767" s="34"/>
      <c r="M1767" s="34"/>
      <c r="N1767" s="34"/>
      <c r="O1767" s="34"/>
      <c r="P1767" s="34"/>
      <c r="Q1767" s="34"/>
      <c r="R1767" s="34"/>
      <c r="S1767" s="34"/>
      <c r="T1767" s="34"/>
      <c r="U1767" s="34"/>
      <c r="V1767" s="34"/>
      <c r="W1767" s="34"/>
      <c r="X1767" s="34"/>
      <c r="Y1767" s="34"/>
      <c r="Z1767" s="34"/>
      <c r="AA1767" s="34"/>
      <c r="AB1767" s="34"/>
      <c r="AC1767" s="34"/>
      <c r="AD1767" s="34"/>
      <c r="AE1767" s="34"/>
      <c r="AF1767" s="34"/>
      <c r="AG1767" s="34"/>
      <c r="AH1767" s="34"/>
      <c r="AI1767" s="34"/>
      <c r="AJ1767" s="34"/>
      <c r="AK1767" s="34"/>
      <c r="AL1767" s="34"/>
      <c r="AM1767" s="34"/>
      <c r="AN1767" s="34"/>
      <c r="AO1767" s="34"/>
      <c r="AP1767" s="34"/>
      <c r="AQ1767" s="34"/>
      <c r="AR1767" s="34"/>
      <c r="AS1767" s="34"/>
      <c r="AT1767" s="34"/>
      <c r="AU1767" s="34"/>
      <c r="AV1767" s="34"/>
    </row>
    <row r="1768">
      <c r="A1768" s="34"/>
      <c r="B1768" s="34"/>
      <c r="C1768" s="34"/>
      <c r="D1768" s="34"/>
      <c r="E1768" s="34"/>
      <c r="F1768" s="34"/>
      <c r="G1768" s="34"/>
      <c r="H1768" s="34"/>
      <c r="I1768" s="34"/>
      <c r="J1768" s="34"/>
      <c r="K1768" s="34"/>
      <c r="L1768" s="34"/>
      <c r="M1768" s="34"/>
      <c r="N1768" s="34"/>
      <c r="O1768" s="34"/>
      <c r="P1768" s="34"/>
      <c r="Q1768" s="34"/>
      <c r="R1768" s="34"/>
      <c r="S1768" s="34"/>
      <c r="T1768" s="34"/>
      <c r="U1768" s="34"/>
      <c r="V1768" s="34"/>
      <c r="W1768" s="34"/>
      <c r="X1768" s="34"/>
      <c r="Y1768" s="34"/>
      <c r="Z1768" s="34"/>
      <c r="AA1768" s="34"/>
      <c r="AB1768" s="34"/>
      <c r="AC1768" s="34"/>
      <c r="AD1768" s="34"/>
      <c r="AE1768" s="34"/>
      <c r="AF1768" s="34"/>
      <c r="AG1768" s="34"/>
      <c r="AH1768" s="34"/>
      <c r="AI1768" s="34"/>
      <c r="AJ1768" s="34"/>
      <c r="AK1768" s="34"/>
      <c r="AL1768" s="34"/>
      <c r="AM1768" s="34"/>
      <c r="AN1768" s="34"/>
      <c r="AO1768" s="34"/>
      <c r="AP1768" s="34"/>
      <c r="AQ1768" s="34"/>
      <c r="AR1768" s="34"/>
      <c r="AS1768" s="34"/>
      <c r="AT1768" s="34"/>
      <c r="AU1768" s="34"/>
      <c r="AV1768" s="34"/>
    </row>
    <row r="1769">
      <c r="A1769" s="34"/>
      <c r="B1769" s="34"/>
      <c r="C1769" s="34"/>
      <c r="D1769" s="34"/>
      <c r="E1769" s="34"/>
      <c r="F1769" s="34"/>
      <c r="G1769" s="34"/>
      <c r="H1769" s="34"/>
      <c r="I1769" s="34"/>
      <c r="J1769" s="34"/>
      <c r="K1769" s="34"/>
      <c r="L1769" s="34"/>
      <c r="M1769" s="34"/>
      <c r="N1769" s="34"/>
      <c r="O1769" s="34"/>
      <c r="P1769" s="34"/>
      <c r="Q1769" s="34"/>
      <c r="R1769" s="34"/>
      <c r="S1769" s="34"/>
      <c r="T1769" s="34"/>
      <c r="U1769" s="34"/>
      <c r="V1769" s="34"/>
      <c r="W1769" s="34"/>
      <c r="X1769" s="34"/>
      <c r="Y1769" s="34"/>
      <c r="Z1769" s="34"/>
      <c r="AA1769" s="34"/>
      <c r="AB1769" s="34"/>
      <c r="AC1769" s="34"/>
      <c r="AD1769" s="34"/>
      <c r="AE1769" s="34"/>
      <c r="AF1769" s="34"/>
      <c r="AG1769" s="34"/>
      <c r="AH1769" s="34"/>
      <c r="AI1769" s="34"/>
      <c r="AJ1769" s="34"/>
      <c r="AK1769" s="34"/>
      <c r="AL1769" s="34"/>
      <c r="AM1769" s="34"/>
      <c r="AN1769" s="34"/>
      <c r="AO1769" s="34"/>
      <c r="AP1769" s="34"/>
      <c r="AQ1769" s="34"/>
      <c r="AR1769" s="34"/>
      <c r="AS1769" s="34"/>
      <c r="AT1769" s="34"/>
      <c r="AU1769" s="34"/>
      <c r="AV1769" s="34"/>
    </row>
    <row r="1770">
      <c r="A1770" s="34"/>
      <c r="B1770" s="34"/>
      <c r="C1770" s="34"/>
      <c r="D1770" s="34"/>
      <c r="E1770" s="34"/>
      <c r="F1770" s="34"/>
      <c r="G1770" s="34"/>
      <c r="H1770" s="34"/>
      <c r="I1770" s="34"/>
      <c r="J1770" s="34"/>
      <c r="K1770" s="34"/>
      <c r="L1770" s="34"/>
      <c r="M1770" s="34"/>
      <c r="N1770" s="34"/>
      <c r="O1770" s="34"/>
      <c r="P1770" s="34"/>
      <c r="Q1770" s="34"/>
      <c r="R1770" s="34"/>
      <c r="S1770" s="34"/>
      <c r="T1770" s="34"/>
      <c r="U1770" s="34"/>
      <c r="V1770" s="34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34"/>
      <c r="AP1770" s="34"/>
      <c r="AQ1770" s="34"/>
      <c r="AR1770" s="34"/>
      <c r="AS1770" s="34"/>
      <c r="AT1770" s="34"/>
      <c r="AU1770" s="34"/>
      <c r="AV1770" s="34"/>
    </row>
    <row r="1771">
      <c r="A1771" s="34"/>
      <c r="B1771" s="34"/>
      <c r="C1771" s="34"/>
      <c r="D1771" s="34"/>
      <c r="E1771" s="34"/>
      <c r="F1771" s="34"/>
      <c r="G1771" s="34"/>
      <c r="H1771" s="34"/>
      <c r="I1771" s="34"/>
      <c r="J1771" s="34"/>
      <c r="K1771" s="34"/>
      <c r="L1771" s="34"/>
      <c r="M1771" s="34"/>
      <c r="N1771" s="34"/>
      <c r="O1771" s="34"/>
      <c r="P1771" s="34"/>
      <c r="Q1771" s="34"/>
      <c r="R1771" s="34"/>
      <c r="S1771" s="34"/>
      <c r="T1771" s="34"/>
      <c r="U1771" s="34"/>
      <c r="V1771" s="34"/>
      <c r="W1771" s="34"/>
      <c r="X1771" s="34"/>
      <c r="Y1771" s="34"/>
      <c r="Z1771" s="34"/>
      <c r="AA1771" s="34"/>
      <c r="AB1771" s="34"/>
      <c r="AC1771" s="34"/>
      <c r="AD1771" s="34"/>
      <c r="AE1771" s="34"/>
      <c r="AF1771" s="34"/>
      <c r="AG1771" s="34"/>
      <c r="AH1771" s="34"/>
      <c r="AI1771" s="34"/>
      <c r="AJ1771" s="34"/>
      <c r="AK1771" s="34"/>
      <c r="AL1771" s="34"/>
      <c r="AM1771" s="34"/>
      <c r="AN1771" s="34"/>
      <c r="AO1771" s="34"/>
      <c r="AP1771" s="34"/>
      <c r="AQ1771" s="34"/>
      <c r="AR1771" s="34"/>
      <c r="AS1771" s="34"/>
      <c r="AT1771" s="34"/>
      <c r="AU1771" s="34"/>
      <c r="AV1771" s="34"/>
    </row>
    <row r="1772">
      <c r="A1772" s="34"/>
      <c r="B1772" s="34"/>
      <c r="C1772" s="34"/>
      <c r="D1772" s="34"/>
      <c r="E1772" s="34"/>
      <c r="F1772" s="34"/>
      <c r="G1772" s="34"/>
      <c r="H1772" s="34"/>
      <c r="I1772" s="34"/>
      <c r="J1772" s="34"/>
      <c r="K1772" s="34"/>
      <c r="L1772" s="34"/>
      <c r="M1772" s="34"/>
      <c r="N1772" s="34"/>
      <c r="O1772" s="34"/>
      <c r="P1772" s="34"/>
      <c r="Q1772" s="34"/>
      <c r="R1772" s="34"/>
      <c r="S1772" s="34"/>
      <c r="T1772" s="34"/>
      <c r="U1772" s="34"/>
      <c r="V1772" s="34"/>
      <c r="W1772" s="34"/>
      <c r="X1772" s="34"/>
      <c r="Y1772" s="34"/>
      <c r="Z1772" s="34"/>
      <c r="AA1772" s="34"/>
      <c r="AB1772" s="34"/>
      <c r="AC1772" s="34"/>
      <c r="AD1772" s="34"/>
      <c r="AE1772" s="34"/>
      <c r="AF1772" s="34"/>
      <c r="AG1772" s="34"/>
      <c r="AH1772" s="34"/>
      <c r="AI1772" s="34"/>
      <c r="AJ1772" s="34"/>
      <c r="AK1772" s="34"/>
      <c r="AL1772" s="34"/>
      <c r="AM1772" s="34"/>
      <c r="AN1772" s="34"/>
      <c r="AO1772" s="34"/>
      <c r="AP1772" s="34"/>
      <c r="AQ1772" s="34"/>
      <c r="AR1772" s="34"/>
      <c r="AS1772" s="34"/>
      <c r="AT1772" s="34"/>
      <c r="AU1772" s="34"/>
      <c r="AV1772" s="34"/>
    </row>
    <row r="1773">
      <c r="A1773" s="34"/>
      <c r="B1773" s="34"/>
      <c r="C1773" s="34"/>
      <c r="D1773" s="34"/>
      <c r="E1773" s="34"/>
      <c r="F1773" s="34"/>
      <c r="G1773" s="34"/>
      <c r="H1773" s="34"/>
      <c r="I1773" s="34"/>
      <c r="J1773" s="34"/>
      <c r="K1773" s="34"/>
      <c r="L1773" s="34"/>
      <c r="M1773" s="34"/>
      <c r="N1773" s="34"/>
      <c r="O1773" s="34"/>
      <c r="P1773" s="34"/>
      <c r="Q1773" s="34"/>
      <c r="R1773" s="34"/>
      <c r="S1773" s="34"/>
      <c r="T1773" s="34"/>
      <c r="U1773" s="34"/>
      <c r="V1773" s="34"/>
      <c r="W1773" s="34"/>
      <c r="X1773" s="34"/>
      <c r="Y1773" s="34"/>
      <c r="Z1773" s="34"/>
      <c r="AA1773" s="34"/>
      <c r="AB1773" s="34"/>
      <c r="AC1773" s="34"/>
      <c r="AD1773" s="34"/>
      <c r="AE1773" s="34"/>
      <c r="AF1773" s="34"/>
      <c r="AG1773" s="34"/>
      <c r="AH1773" s="34"/>
      <c r="AI1773" s="34"/>
      <c r="AJ1773" s="34"/>
      <c r="AK1773" s="34"/>
      <c r="AL1773" s="34"/>
      <c r="AM1773" s="34"/>
      <c r="AN1773" s="34"/>
      <c r="AO1773" s="34"/>
      <c r="AP1773" s="34"/>
      <c r="AQ1773" s="34"/>
      <c r="AR1773" s="34"/>
      <c r="AS1773" s="34"/>
      <c r="AT1773" s="34"/>
      <c r="AU1773" s="34"/>
      <c r="AV1773" s="34"/>
    </row>
    <row r="1774">
      <c r="A1774" s="34"/>
      <c r="B1774" s="34"/>
      <c r="C1774" s="34"/>
      <c r="D1774" s="34"/>
      <c r="E1774" s="34"/>
      <c r="F1774" s="34"/>
      <c r="G1774" s="34"/>
      <c r="H1774" s="34"/>
      <c r="I1774" s="34"/>
      <c r="J1774" s="34"/>
      <c r="K1774" s="34"/>
      <c r="L1774" s="34"/>
      <c r="M1774" s="34"/>
      <c r="N1774" s="34"/>
      <c r="O1774" s="34"/>
      <c r="P1774" s="34"/>
      <c r="Q1774" s="34"/>
      <c r="R1774" s="34"/>
      <c r="S1774" s="34"/>
      <c r="T1774" s="34"/>
      <c r="U1774" s="34"/>
      <c r="V1774" s="34"/>
      <c r="W1774" s="34"/>
      <c r="X1774" s="34"/>
      <c r="Y1774" s="34"/>
      <c r="Z1774" s="34"/>
      <c r="AA1774" s="34"/>
      <c r="AB1774" s="34"/>
      <c r="AC1774" s="34"/>
      <c r="AD1774" s="34"/>
      <c r="AE1774" s="34"/>
      <c r="AF1774" s="34"/>
      <c r="AG1774" s="34"/>
      <c r="AH1774" s="34"/>
      <c r="AI1774" s="34"/>
      <c r="AJ1774" s="34"/>
      <c r="AK1774" s="34"/>
      <c r="AL1774" s="34"/>
      <c r="AM1774" s="34"/>
      <c r="AN1774" s="34"/>
      <c r="AO1774" s="34"/>
      <c r="AP1774" s="34"/>
      <c r="AQ1774" s="34"/>
      <c r="AR1774" s="34"/>
      <c r="AS1774" s="34"/>
      <c r="AT1774" s="34"/>
      <c r="AU1774" s="34"/>
      <c r="AV1774" s="34"/>
    </row>
    <row r="1775">
      <c r="A1775" s="34"/>
      <c r="B1775" s="34"/>
      <c r="C1775" s="34"/>
      <c r="D1775" s="34"/>
      <c r="E1775" s="34"/>
      <c r="F1775" s="34"/>
      <c r="G1775" s="34"/>
      <c r="H1775" s="34"/>
      <c r="I1775" s="34"/>
      <c r="J1775" s="34"/>
      <c r="K1775" s="34"/>
      <c r="L1775" s="34"/>
      <c r="M1775" s="34"/>
      <c r="N1775" s="34"/>
      <c r="O1775" s="34"/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4"/>
      <c r="AM1775" s="34"/>
      <c r="AN1775" s="34"/>
      <c r="AO1775" s="34"/>
      <c r="AP1775" s="34"/>
      <c r="AQ1775" s="34"/>
      <c r="AR1775" s="34"/>
      <c r="AS1775" s="34"/>
      <c r="AT1775" s="34"/>
      <c r="AU1775" s="34"/>
      <c r="AV1775" s="34"/>
    </row>
    <row r="1776">
      <c r="A1776" s="34"/>
      <c r="B1776" s="34"/>
      <c r="C1776" s="34"/>
      <c r="D1776" s="34"/>
      <c r="E1776" s="34"/>
      <c r="F1776" s="34"/>
      <c r="G1776" s="34"/>
      <c r="H1776" s="34"/>
      <c r="I1776" s="34"/>
      <c r="J1776" s="34"/>
      <c r="K1776" s="34"/>
      <c r="L1776" s="34"/>
      <c r="M1776" s="34"/>
      <c r="N1776" s="34"/>
      <c r="O1776" s="34"/>
      <c r="P1776" s="34"/>
      <c r="Q1776" s="34"/>
      <c r="R1776" s="34"/>
      <c r="S1776" s="34"/>
      <c r="T1776" s="34"/>
      <c r="U1776" s="34"/>
      <c r="V1776" s="34"/>
      <c r="W1776" s="34"/>
      <c r="X1776" s="34"/>
      <c r="Y1776" s="34"/>
      <c r="Z1776" s="34"/>
      <c r="AA1776" s="34"/>
      <c r="AB1776" s="34"/>
      <c r="AC1776" s="34"/>
      <c r="AD1776" s="34"/>
      <c r="AE1776" s="34"/>
      <c r="AF1776" s="34"/>
      <c r="AG1776" s="34"/>
      <c r="AH1776" s="34"/>
      <c r="AI1776" s="34"/>
      <c r="AJ1776" s="34"/>
      <c r="AK1776" s="34"/>
      <c r="AL1776" s="34"/>
      <c r="AM1776" s="34"/>
      <c r="AN1776" s="34"/>
      <c r="AO1776" s="34"/>
      <c r="AP1776" s="34"/>
      <c r="AQ1776" s="34"/>
      <c r="AR1776" s="34"/>
      <c r="AS1776" s="34"/>
      <c r="AT1776" s="34"/>
      <c r="AU1776" s="34"/>
      <c r="AV1776" s="34"/>
    </row>
    <row r="1777">
      <c r="A1777" s="34"/>
      <c r="B1777" s="34"/>
      <c r="C1777" s="34"/>
      <c r="D1777" s="34"/>
      <c r="E1777" s="34"/>
      <c r="F1777" s="34"/>
      <c r="G1777" s="34"/>
      <c r="H1777" s="34"/>
      <c r="I1777" s="34"/>
      <c r="J1777" s="34"/>
      <c r="K1777" s="34"/>
      <c r="L1777" s="34"/>
      <c r="M1777" s="34"/>
      <c r="N1777" s="34"/>
      <c r="O1777" s="34"/>
      <c r="P1777" s="34"/>
      <c r="Q1777" s="34"/>
      <c r="R1777" s="34"/>
      <c r="S1777" s="34"/>
      <c r="T1777" s="34"/>
      <c r="U1777" s="34"/>
      <c r="V1777" s="34"/>
      <c r="W1777" s="34"/>
      <c r="X1777" s="34"/>
      <c r="Y1777" s="34"/>
      <c r="Z1777" s="34"/>
      <c r="AA1777" s="34"/>
      <c r="AB1777" s="34"/>
      <c r="AC1777" s="34"/>
      <c r="AD1777" s="34"/>
      <c r="AE1777" s="34"/>
      <c r="AF1777" s="34"/>
      <c r="AG1777" s="34"/>
      <c r="AH1777" s="34"/>
      <c r="AI1777" s="34"/>
      <c r="AJ1777" s="34"/>
      <c r="AK1777" s="34"/>
      <c r="AL1777" s="34"/>
      <c r="AM1777" s="34"/>
      <c r="AN1777" s="34"/>
      <c r="AO1777" s="34"/>
      <c r="AP1777" s="34"/>
      <c r="AQ1777" s="34"/>
      <c r="AR1777" s="34"/>
      <c r="AS1777" s="34"/>
      <c r="AT1777" s="34"/>
      <c r="AU1777" s="34"/>
      <c r="AV1777" s="34"/>
    </row>
    <row r="1778">
      <c r="A1778" s="34"/>
      <c r="B1778" s="34"/>
      <c r="C1778" s="34"/>
      <c r="D1778" s="34"/>
      <c r="E1778" s="34"/>
      <c r="F1778" s="34"/>
      <c r="G1778" s="34"/>
      <c r="H1778" s="34"/>
      <c r="I1778" s="34"/>
      <c r="J1778" s="34"/>
      <c r="K1778" s="34"/>
      <c r="L1778" s="34"/>
      <c r="M1778" s="34"/>
      <c r="N1778" s="34"/>
      <c r="O1778" s="34"/>
      <c r="P1778" s="34"/>
      <c r="Q1778" s="34"/>
      <c r="R1778" s="34"/>
      <c r="S1778" s="34"/>
      <c r="T1778" s="34"/>
      <c r="U1778" s="34"/>
      <c r="V1778" s="34"/>
      <c r="W1778" s="34"/>
      <c r="X1778" s="34"/>
      <c r="Y1778" s="34"/>
      <c r="Z1778" s="34"/>
      <c r="AA1778" s="34"/>
      <c r="AB1778" s="34"/>
      <c r="AC1778" s="34"/>
      <c r="AD1778" s="34"/>
      <c r="AE1778" s="34"/>
      <c r="AF1778" s="34"/>
      <c r="AG1778" s="34"/>
      <c r="AH1778" s="34"/>
      <c r="AI1778" s="34"/>
      <c r="AJ1778" s="34"/>
      <c r="AK1778" s="34"/>
      <c r="AL1778" s="34"/>
      <c r="AM1778" s="34"/>
      <c r="AN1778" s="34"/>
      <c r="AO1778" s="34"/>
      <c r="AP1778" s="34"/>
      <c r="AQ1778" s="34"/>
      <c r="AR1778" s="34"/>
      <c r="AS1778" s="34"/>
      <c r="AT1778" s="34"/>
      <c r="AU1778" s="34"/>
      <c r="AV1778" s="34"/>
    </row>
    <row r="1779">
      <c r="A1779" s="34"/>
      <c r="B1779" s="34"/>
      <c r="C1779" s="34"/>
      <c r="D1779" s="34"/>
      <c r="E1779" s="34"/>
      <c r="F1779" s="34"/>
      <c r="G1779" s="34"/>
      <c r="H1779" s="34"/>
      <c r="I1779" s="34"/>
      <c r="J1779" s="34"/>
      <c r="K1779" s="34"/>
      <c r="L1779" s="34"/>
      <c r="M1779" s="34"/>
      <c r="N1779" s="34"/>
      <c r="O1779" s="34"/>
      <c r="P1779" s="34"/>
      <c r="Q1779" s="34"/>
      <c r="R1779" s="34"/>
      <c r="S1779" s="34"/>
      <c r="T1779" s="34"/>
      <c r="U1779" s="34"/>
      <c r="V1779" s="34"/>
      <c r="W1779" s="34"/>
      <c r="X1779" s="34"/>
      <c r="Y1779" s="34"/>
      <c r="Z1779" s="34"/>
      <c r="AA1779" s="34"/>
      <c r="AB1779" s="34"/>
      <c r="AC1779" s="34"/>
      <c r="AD1779" s="34"/>
      <c r="AE1779" s="34"/>
      <c r="AF1779" s="34"/>
      <c r="AG1779" s="34"/>
      <c r="AH1779" s="34"/>
      <c r="AI1779" s="34"/>
      <c r="AJ1779" s="34"/>
      <c r="AK1779" s="34"/>
      <c r="AL1779" s="34"/>
      <c r="AM1779" s="34"/>
      <c r="AN1779" s="34"/>
      <c r="AO1779" s="34"/>
      <c r="AP1779" s="34"/>
      <c r="AQ1779" s="34"/>
      <c r="AR1779" s="34"/>
      <c r="AS1779" s="34"/>
      <c r="AT1779" s="34"/>
      <c r="AU1779" s="34"/>
      <c r="AV1779" s="34"/>
    </row>
    <row r="1780">
      <c r="A1780" s="34"/>
      <c r="B1780" s="34"/>
      <c r="C1780" s="34"/>
      <c r="D1780" s="34"/>
      <c r="E1780" s="34"/>
      <c r="F1780" s="34"/>
      <c r="G1780" s="34"/>
      <c r="H1780" s="34"/>
      <c r="I1780" s="34"/>
      <c r="J1780" s="34"/>
      <c r="K1780" s="34"/>
      <c r="L1780" s="34"/>
      <c r="M1780" s="34"/>
      <c r="N1780" s="34"/>
      <c r="O1780" s="34"/>
      <c r="P1780" s="34"/>
      <c r="Q1780" s="34"/>
      <c r="R1780" s="34"/>
      <c r="S1780" s="34"/>
      <c r="T1780" s="34"/>
      <c r="U1780" s="34"/>
      <c r="V1780" s="34"/>
      <c r="W1780" s="34"/>
      <c r="X1780" s="34"/>
      <c r="Y1780" s="34"/>
      <c r="Z1780" s="34"/>
      <c r="AA1780" s="34"/>
      <c r="AB1780" s="34"/>
      <c r="AC1780" s="34"/>
      <c r="AD1780" s="34"/>
      <c r="AE1780" s="34"/>
      <c r="AF1780" s="34"/>
      <c r="AG1780" s="34"/>
      <c r="AH1780" s="34"/>
      <c r="AI1780" s="34"/>
      <c r="AJ1780" s="34"/>
      <c r="AK1780" s="34"/>
      <c r="AL1780" s="34"/>
      <c r="AM1780" s="34"/>
      <c r="AN1780" s="34"/>
      <c r="AO1780" s="34"/>
      <c r="AP1780" s="34"/>
      <c r="AQ1780" s="34"/>
      <c r="AR1780" s="34"/>
      <c r="AS1780" s="34"/>
      <c r="AT1780" s="34"/>
      <c r="AU1780" s="34"/>
      <c r="AV1780" s="34"/>
    </row>
    <row r="1781">
      <c r="A1781" s="34"/>
      <c r="B1781" s="34"/>
      <c r="C1781" s="34"/>
      <c r="D1781" s="34"/>
      <c r="E1781" s="34"/>
      <c r="F1781" s="34"/>
      <c r="G1781" s="34"/>
      <c r="H1781" s="34"/>
      <c r="I1781" s="34"/>
      <c r="J1781" s="34"/>
      <c r="K1781" s="34"/>
      <c r="L1781" s="34"/>
      <c r="M1781" s="34"/>
      <c r="N1781" s="34"/>
      <c r="O1781" s="34"/>
      <c r="P1781" s="34"/>
      <c r="Q1781" s="34"/>
      <c r="R1781" s="34"/>
      <c r="S1781" s="34"/>
      <c r="T1781" s="34"/>
      <c r="U1781" s="34"/>
      <c r="V1781" s="34"/>
      <c r="W1781" s="34"/>
      <c r="X1781" s="34"/>
      <c r="Y1781" s="34"/>
      <c r="Z1781" s="34"/>
      <c r="AA1781" s="34"/>
      <c r="AB1781" s="34"/>
      <c r="AC1781" s="34"/>
      <c r="AD1781" s="34"/>
      <c r="AE1781" s="34"/>
      <c r="AF1781" s="34"/>
      <c r="AG1781" s="34"/>
      <c r="AH1781" s="34"/>
      <c r="AI1781" s="34"/>
      <c r="AJ1781" s="34"/>
      <c r="AK1781" s="34"/>
      <c r="AL1781" s="34"/>
      <c r="AM1781" s="34"/>
      <c r="AN1781" s="34"/>
      <c r="AO1781" s="34"/>
      <c r="AP1781" s="34"/>
      <c r="AQ1781" s="34"/>
      <c r="AR1781" s="34"/>
      <c r="AS1781" s="34"/>
      <c r="AT1781" s="34"/>
      <c r="AU1781" s="34"/>
      <c r="AV1781" s="34"/>
    </row>
    <row r="1782">
      <c r="A1782" s="34"/>
      <c r="B1782" s="34"/>
      <c r="C1782" s="34"/>
      <c r="D1782" s="34"/>
      <c r="E1782" s="34"/>
      <c r="F1782" s="34"/>
      <c r="G1782" s="34"/>
      <c r="H1782" s="34"/>
      <c r="I1782" s="34"/>
      <c r="J1782" s="34"/>
      <c r="K1782" s="34"/>
      <c r="L1782" s="34"/>
      <c r="M1782" s="34"/>
      <c r="N1782" s="34"/>
      <c r="O1782" s="34"/>
      <c r="P1782" s="34"/>
      <c r="Q1782" s="34"/>
      <c r="R1782" s="34"/>
      <c r="S1782" s="34"/>
      <c r="T1782" s="34"/>
      <c r="U1782" s="34"/>
      <c r="V1782" s="34"/>
      <c r="W1782" s="34"/>
      <c r="X1782" s="34"/>
      <c r="Y1782" s="34"/>
      <c r="Z1782" s="34"/>
      <c r="AA1782" s="34"/>
      <c r="AB1782" s="34"/>
      <c r="AC1782" s="34"/>
      <c r="AD1782" s="34"/>
      <c r="AE1782" s="34"/>
      <c r="AF1782" s="34"/>
      <c r="AG1782" s="34"/>
      <c r="AH1782" s="34"/>
      <c r="AI1782" s="34"/>
      <c r="AJ1782" s="34"/>
      <c r="AK1782" s="34"/>
      <c r="AL1782" s="34"/>
      <c r="AM1782" s="34"/>
      <c r="AN1782" s="34"/>
      <c r="AO1782" s="34"/>
      <c r="AP1782" s="34"/>
      <c r="AQ1782" s="34"/>
      <c r="AR1782" s="34"/>
      <c r="AS1782" s="34"/>
      <c r="AT1782" s="34"/>
      <c r="AU1782" s="34"/>
      <c r="AV1782" s="34"/>
    </row>
    <row r="1783">
      <c r="A1783" s="34"/>
      <c r="B1783" s="34"/>
      <c r="C1783" s="34"/>
      <c r="D1783" s="34"/>
      <c r="E1783" s="34"/>
      <c r="F1783" s="34"/>
      <c r="G1783" s="34"/>
      <c r="H1783" s="34"/>
      <c r="I1783" s="34"/>
      <c r="J1783" s="34"/>
      <c r="K1783" s="34"/>
      <c r="L1783" s="34"/>
      <c r="M1783" s="34"/>
      <c r="N1783" s="34"/>
      <c r="O1783" s="34"/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/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/>
      <c r="AN1783" s="34"/>
      <c r="AO1783" s="34"/>
      <c r="AP1783" s="34"/>
      <c r="AQ1783" s="34"/>
      <c r="AR1783" s="34"/>
      <c r="AS1783" s="34"/>
      <c r="AT1783" s="34"/>
      <c r="AU1783" s="34"/>
      <c r="AV1783" s="34"/>
    </row>
    <row r="1784">
      <c r="A1784" s="34"/>
      <c r="B1784" s="34"/>
      <c r="C1784" s="34"/>
      <c r="D1784" s="34"/>
      <c r="E1784" s="34"/>
      <c r="F1784" s="34"/>
      <c r="G1784" s="34"/>
      <c r="H1784" s="34"/>
      <c r="I1784" s="34"/>
      <c r="J1784" s="34"/>
      <c r="K1784" s="34"/>
      <c r="L1784" s="34"/>
      <c r="M1784" s="34"/>
      <c r="N1784" s="34"/>
      <c r="O1784" s="34"/>
      <c r="P1784" s="34"/>
      <c r="Q1784" s="34"/>
      <c r="R1784" s="34"/>
      <c r="S1784" s="34"/>
      <c r="T1784" s="34"/>
      <c r="U1784" s="34"/>
      <c r="V1784" s="34"/>
      <c r="W1784" s="34"/>
      <c r="X1784" s="34"/>
      <c r="Y1784" s="34"/>
      <c r="Z1784" s="34"/>
      <c r="AA1784" s="34"/>
      <c r="AB1784" s="34"/>
      <c r="AC1784" s="34"/>
      <c r="AD1784" s="34"/>
      <c r="AE1784" s="34"/>
      <c r="AF1784" s="34"/>
      <c r="AG1784" s="34"/>
      <c r="AH1784" s="34"/>
      <c r="AI1784" s="34"/>
      <c r="AJ1784" s="34"/>
      <c r="AK1784" s="34"/>
      <c r="AL1784" s="34"/>
      <c r="AM1784" s="34"/>
      <c r="AN1784" s="34"/>
      <c r="AO1784" s="34"/>
      <c r="AP1784" s="34"/>
      <c r="AQ1784" s="34"/>
      <c r="AR1784" s="34"/>
      <c r="AS1784" s="34"/>
      <c r="AT1784" s="34"/>
      <c r="AU1784" s="34"/>
      <c r="AV1784" s="34"/>
    </row>
    <row r="1785">
      <c r="A1785" s="34"/>
      <c r="B1785" s="34"/>
      <c r="C1785" s="34"/>
      <c r="D1785" s="34"/>
      <c r="E1785" s="34"/>
      <c r="F1785" s="34"/>
      <c r="G1785" s="34"/>
      <c r="H1785" s="34"/>
      <c r="I1785" s="34"/>
      <c r="J1785" s="34"/>
      <c r="K1785" s="34"/>
      <c r="L1785" s="34"/>
      <c r="M1785" s="34"/>
      <c r="N1785" s="34"/>
      <c r="O1785" s="34"/>
      <c r="P1785" s="34"/>
      <c r="Q1785" s="34"/>
      <c r="R1785" s="34"/>
      <c r="S1785" s="34"/>
      <c r="T1785" s="34"/>
      <c r="U1785" s="34"/>
      <c r="V1785" s="34"/>
      <c r="W1785" s="34"/>
      <c r="X1785" s="34"/>
      <c r="Y1785" s="34"/>
      <c r="Z1785" s="34"/>
      <c r="AA1785" s="34"/>
      <c r="AB1785" s="34"/>
      <c r="AC1785" s="34"/>
      <c r="AD1785" s="34"/>
      <c r="AE1785" s="34"/>
      <c r="AF1785" s="34"/>
      <c r="AG1785" s="34"/>
      <c r="AH1785" s="34"/>
      <c r="AI1785" s="34"/>
      <c r="AJ1785" s="34"/>
      <c r="AK1785" s="34"/>
      <c r="AL1785" s="34"/>
      <c r="AM1785" s="34"/>
      <c r="AN1785" s="34"/>
      <c r="AO1785" s="34"/>
      <c r="AP1785" s="34"/>
      <c r="AQ1785" s="34"/>
      <c r="AR1785" s="34"/>
      <c r="AS1785" s="34"/>
      <c r="AT1785" s="34"/>
      <c r="AU1785" s="34"/>
      <c r="AV1785" s="34"/>
    </row>
    <row r="1786">
      <c r="A1786" s="34"/>
      <c r="B1786" s="34"/>
      <c r="C1786" s="34"/>
      <c r="D1786" s="34"/>
      <c r="E1786" s="34"/>
      <c r="F1786" s="34"/>
      <c r="G1786" s="34"/>
      <c r="H1786" s="34"/>
      <c r="I1786" s="34"/>
      <c r="J1786" s="34"/>
      <c r="K1786" s="34"/>
      <c r="L1786" s="34"/>
      <c r="M1786" s="34"/>
      <c r="N1786" s="34"/>
      <c r="O1786" s="34"/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/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/>
      <c r="AN1786" s="34"/>
      <c r="AO1786" s="34"/>
      <c r="AP1786" s="34"/>
      <c r="AQ1786" s="34"/>
      <c r="AR1786" s="34"/>
      <c r="AS1786" s="34"/>
      <c r="AT1786" s="34"/>
      <c r="AU1786" s="34"/>
      <c r="AV1786" s="34"/>
    </row>
    <row r="1787">
      <c r="A1787" s="34"/>
      <c r="B1787" s="34"/>
      <c r="C1787" s="34"/>
      <c r="D1787" s="34"/>
      <c r="E1787" s="34"/>
      <c r="F1787" s="34"/>
      <c r="G1787" s="34"/>
      <c r="H1787" s="34"/>
      <c r="I1787" s="34"/>
      <c r="J1787" s="34"/>
      <c r="K1787" s="34"/>
      <c r="L1787" s="34"/>
      <c r="M1787" s="34"/>
      <c r="N1787" s="34"/>
      <c r="O1787" s="34"/>
      <c r="P1787" s="34"/>
      <c r="Q1787" s="34"/>
      <c r="R1787" s="34"/>
      <c r="S1787" s="34"/>
      <c r="T1787" s="34"/>
      <c r="U1787" s="34"/>
      <c r="V1787" s="34"/>
      <c r="W1787" s="34"/>
      <c r="X1787" s="34"/>
      <c r="Y1787" s="34"/>
      <c r="Z1787" s="34"/>
      <c r="AA1787" s="34"/>
      <c r="AB1787" s="34"/>
      <c r="AC1787" s="34"/>
      <c r="AD1787" s="34"/>
      <c r="AE1787" s="34"/>
      <c r="AF1787" s="34"/>
      <c r="AG1787" s="34"/>
      <c r="AH1787" s="34"/>
      <c r="AI1787" s="34"/>
      <c r="AJ1787" s="34"/>
      <c r="AK1787" s="34"/>
      <c r="AL1787" s="34"/>
      <c r="AM1787" s="34"/>
      <c r="AN1787" s="34"/>
      <c r="AO1787" s="34"/>
      <c r="AP1787" s="34"/>
      <c r="AQ1787" s="34"/>
      <c r="AR1787" s="34"/>
      <c r="AS1787" s="34"/>
      <c r="AT1787" s="34"/>
      <c r="AU1787" s="34"/>
      <c r="AV1787" s="34"/>
    </row>
    <row r="1788">
      <c r="A1788" s="34"/>
      <c r="B1788" s="34"/>
      <c r="C1788" s="34"/>
      <c r="D1788" s="34"/>
      <c r="E1788" s="34"/>
      <c r="F1788" s="34"/>
      <c r="G1788" s="34"/>
      <c r="H1788" s="34"/>
      <c r="I1788" s="34"/>
      <c r="J1788" s="34"/>
      <c r="K1788" s="34"/>
      <c r="L1788" s="34"/>
      <c r="M1788" s="34"/>
      <c r="N1788" s="34"/>
      <c r="O1788" s="34"/>
      <c r="P1788" s="34"/>
      <c r="Q1788" s="34"/>
      <c r="R1788" s="34"/>
      <c r="S1788" s="34"/>
      <c r="T1788" s="34"/>
      <c r="U1788" s="34"/>
      <c r="V1788" s="34"/>
      <c r="W1788" s="34"/>
      <c r="X1788" s="34"/>
      <c r="Y1788" s="34"/>
      <c r="Z1788" s="34"/>
      <c r="AA1788" s="34"/>
      <c r="AB1788" s="34"/>
      <c r="AC1788" s="34"/>
      <c r="AD1788" s="34"/>
      <c r="AE1788" s="34"/>
      <c r="AF1788" s="34"/>
      <c r="AG1788" s="34"/>
      <c r="AH1788" s="34"/>
      <c r="AI1788" s="34"/>
      <c r="AJ1788" s="34"/>
      <c r="AK1788" s="34"/>
      <c r="AL1788" s="34"/>
      <c r="AM1788" s="34"/>
      <c r="AN1788" s="34"/>
      <c r="AO1788" s="34"/>
      <c r="AP1788" s="34"/>
      <c r="AQ1788" s="34"/>
      <c r="AR1788" s="34"/>
      <c r="AS1788" s="34"/>
      <c r="AT1788" s="34"/>
      <c r="AU1788" s="34"/>
      <c r="AV1788" s="34"/>
    </row>
    <row r="1789">
      <c r="A1789" s="34"/>
      <c r="B1789" s="34"/>
      <c r="C1789" s="34"/>
      <c r="D1789" s="34"/>
      <c r="E1789" s="34"/>
      <c r="F1789" s="34"/>
      <c r="G1789" s="34"/>
      <c r="H1789" s="34"/>
      <c r="I1789" s="34"/>
      <c r="J1789" s="34"/>
      <c r="K1789" s="34"/>
      <c r="L1789" s="34"/>
      <c r="M1789" s="34"/>
      <c r="N1789" s="34"/>
      <c r="O1789" s="34"/>
      <c r="P1789" s="34"/>
      <c r="Q1789" s="34"/>
      <c r="R1789" s="34"/>
      <c r="S1789" s="34"/>
      <c r="T1789" s="34"/>
      <c r="U1789" s="34"/>
      <c r="V1789" s="34"/>
      <c r="W1789" s="34"/>
      <c r="X1789" s="34"/>
      <c r="Y1789" s="34"/>
      <c r="Z1789" s="34"/>
      <c r="AA1789" s="34"/>
      <c r="AB1789" s="34"/>
      <c r="AC1789" s="34"/>
      <c r="AD1789" s="34"/>
      <c r="AE1789" s="34"/>
      <c r="AF1789" s="34"/>
      <c r="AG1789" s="34"/>
      <c r="AH1789" s="34"/>
      <c r="AI1789" s="34"/>
      <c r="AJ1789" s="34"/>
      <c r="AK1789" s="34"/>
      <c r="AL1789" s="34"/>
      <c r="AM1789" s="34"/>
      <c r="AN1789" s="34"/>
      <c r="AO1789" s="34"/>
      <c r="AP1789" s="34"/>
      <c r="AQ1789" s="34"/>
      <c r="AR1789" s="34"/>
      <c r="AS1789" s="34"/>
      <c r="AT1789" s="34"/>
      <c r="AU1789" s="34"/>
      <c r="AV1789" s="34"/>
    </row>
    <row r="1790">
      <c r="A1790" s="34"/>
      <c r="B1790" s="34"/>
      <c r="C1790" s="34"/>
      <c r="D1790" s="34"/>
      <c r="E1790" s="34"/>
      <c r="F1790" s="34"/>
      <c r="G1790" s="34"/>
      <c r="H1790" s="34"/>
      <c r="I1790" s="34"/>
      <c r="J1790" s="34"/>
      <c r="K1790" s="34"/>
      <c r="L1790" s="34"/>
      <c r="M1790" s="34"/>
      <c r="N1790" s="34"/>
      <c r="O1790" s="34"/>
      <c r="P1790" s="34"/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  <c r="AI1790" s="34"/>
      <c r="AJ1790" s="34"/>
      <c r="AK1790" s="34"/>
      <c r="AL1790" s="34"/>
      <c r="AM1790" s="34"/>
      <c r="AN1790" s="34"/>
      <c r="AO1790" s="34"/>
      <c r="AP1790" s="34"/>
      <c r="AQ1790" s="34"/>
      <c r="AR1790" s="34"/>
      <c r="AS1790" s="34"/>
      <c r="AT1790" s="34"/>
      <c r="AU1790" s="34"/>
      <c r="AV1790" s="34"/>
    </row>
    <row r="1791">
      <c r="A1791" s="34"/>
      <c r="B1791" s="34"/>
      <c r="C1791" s="34"/>
      <c r="D1791" s="34"/>
      <c r="E1791" s="34"/>
      <c r="F1791" s="34"/>
      <c r="G1791" s="34"/>
      <c r="H1791" s="34"/>
      <c r="I1791" s="34"/>
      <c r="J1791" s="34"/>
      <c r="K1791" s="34"/>
      <c r="L1791" s="34"/>
      <c r="M1791" s="34"/>
      <c r="N1791" s="34"/>
      <c r="O1791" s="34"/>
      <c r="P1791" s="34"/>
      <c r="Q1791" s="34"/>
      <c r="R1791" s="34"/>
      <c r="S1791" s="34"/>
      <c r="T1791" s="34"/>
      <c r="U1791" s="34"/>
      <c r="V1791" s="34"/>
      <c r="W1791" s="34"/>
      <c r="X1791" s="34"/>
      <c r="Y1791" s="34"/>
      <c r="Z1791" s="34"/>
      <c r="AA1791" s="34"/>
      <c r="AB1791" s="34"/>
      <c r="AC1791" s="34"/>
      <c r="AD1791" s="34"/>
      <c r="AE1791" s="34"/>
      <c r="AF1791" s="34"/>
      <c r="AG1791" s="34"/>
      <c r="AH1791" s="34"/>
      <c r="AI1791" s="34"/>
      <c r="AJ1791" s="34"/>
      <c r="AK1791" s="34"/>
      <c r="AL1791" s="34"/>
      <c r="AM1791" s="34"/>
      <c r="AN1791" s="34"/>
      <c r="AO1791" s="34"/>
      <c r="AP1791" s="34"/>
      <c r="AQ1791" s="34"/>
      <c r="AR1791" s="34"/>
      <c r="AS1791" s="34"/>
      <c r="AT1791" s="34"/>
      <c r="AU1791" s="34"/>
      <c r="AV1791" s="34"/>
    </row>
    <row r="1792">
      <c r="A1792" s="34"/>
      <c r="B1792" s="34"/>
      <c r="C1792" s="34"/>
      <c r="D1792" s="34"/>
      <c r="E1792" s="34"/>
      <c r="F1792" s="34"/>
      <c r="G1792" s="34"/>
      <c r="H1792" s="34"/>
      <c r="I1792" s="34"/>
      <c r="J1792" s="34"/>
      <c r="K1792" s="34"/>
      <c r="L1792" s="34"/>
      <c r="M1792" s="34"/>
      <c r="N1792" s="34"/>
      <c r="O1792" s="34"/>
      <c r="P1792" s="34"/>
      <c r="Q1792" s="34"/>
      <c r="R1792" s="34"/>
      <c r="S1792" s="34"/>
      <c r="T1792" s="34"/>
      <c r="U1792" s="34"/>
      <c r="V1792" s="34"/>
      <c r="W1792" s="34"/>
      <c r="X1792" s="34"/>
      <c r="Y1792" s="34"/>
      <c r="Z1792" s="34"/>
      <c r="AA1792" s="34"/>
      <c r="AB1792" s="34"/>
      <c r="AC1792" s="34"/>
      <c r="AD1792" s="34"/>
      <c r="AE1792" s="34"/>
      <c r="AF1792" s="34"/>
      <c r="AG1792" s="34"/>
      <c r="AH1792" s="34"/>
      <c r="AI1792" s="34"/>
      <c r="AJ1792" s="34"/>
      <c r="AK1792" s="34"/>
      <c r="AL1792" s="34"/>
      <c r="AM1792" s="34"/>
      <c r="AN1792" s="34"/>
      <c r="AO1792" s="34"/>
      <c r="AP1792" s="34"/>
      <c r="AQ1792" s="34"/>
      <c r="AR1792" s="34"/>
      <c r="AS1792" s="34"/>
      <c r="AT1792" s="34"/>
      <c r="AU1792" s="34"/>
      <c r="AV1792" s="34"/>
    </row>
    <row r="1793">
      <c r="A1793" s="34"/>
      <c r="B1793" s="34"/>
      <c r="C1793" s="34"/>
      <c r="D1793" s="34"/>
      <c r="E1793" s="34"/>
      <c r="F1793" s="34"/>
      <c r="G1793" s="34"/>
      <c r="H1793" s="34"/>
      <c r="I1793" s="34"/>
      <c r="J1793" s="34"/>
      <c r="K1793" s="34"/>
      <c r="L1793" s="34"/>
      <c r="M1793" s="34"/>
      <c r="N1793" s="34"/>
      <c r="O1793" s="34"/>
      <c r="P1793" s="34"/>
      <c r="Q1793" s="34"/>
      <c r="R1793" s="34"/>
      <c r="S1793" s="34"/>
      <c r="T1793" s="34"/>
      <c r="U1793" s="34"/>
      <c r="V1793" s="34"/>
      <c r="W1793" s="34"/>
      <c r="X1793" s="34"/>
      <c r="Y1793" s="34"/>
      <c r="Z1793" s="34"/>
      <c r="AA1793" s="34"/>
      <c r="AB1793" s="34"/>
      <c r="AC1793" s="34"/>
      <c r="AD1793" s="34"/>
      <c r="AE1793" s="34"/>
      <c r="AF1793" s="34"/>
      <c r="AG1793" s="34"/>
      <c r="AH1793" s="34"/>
      <c r="AI1793" s="34"/>
      <c r="AJ1793" s="34"/>
      <c r="AK1793" s="34"/>
      <c r="AL1793" s="34"/>
      <c r="AM1793" s="34"/>
      <c r="AN1793" s="34"/>
      <c r="AO1793" s="34"/>
      <c r="AP1793" s="34"/>
      <c r="AQ1793" s="34"/>
      <c r="AR1793" s="34"/>
      <c r="AS1793" s="34"/>
      <c r="AT1793" s="34"/>
      <c r="AU1793" s="34"/>
      <c r="AV1793" s="34"/>
    </row>
    <row r="1794">
      <c r="A1794" s="34"/>
      <c r="B1794" s="34"/>
      <c r="C1794" s="34"/>
      <c r="D1794" s="34"/>
      <c r="E1794" s="34"/>
      <c r="F1794" s="34"/>
      <c r="G1794" s="34"/>
      <c r="H1794" s="34"/>
      <c r="I1794" s="34"/>
      <c r="J1794" s="34"/>
      <c r="K1794" s="34"/>
      <c r="L1794" s="34"/>
      <c r="M1794" s="34"/>
      <c r="N1794" s="34"/>
      <c r="O1794" s="34"/>
      <c r="P1794" s="34"/>
      <c r="Q1794" s="34"/>
      <c r="R1794" s="34"/>
      <c r="S1794" s="34"/>
      <c r="T1794" s="34"/>
      <c r="U1794" s="34"/>
      <c r="V1794" s="34"/>
      <c r="W1794" s="34"/>
      <c r="X1794" s="34"/>
      <c r="Y1794" s="34"/>
      <c r="Z1794" s="34"/>
      <c r="AA1794" s="34"/>
      <c r="AB1794" s="34"/>
      <c r="AC1794" s="34"/>
      <c r="AD1794" s="34"/>
      <c r="AE1794" s="34"/>
      <c r="AF1794" s="34"/>
      <c r="AG1794" s="34"/>
      <c r="AH1794" s="34"/>
      <c r="AI1794" s="34"/>
      <c r="AJ1794" s="34"/>
      <c r="AK1794" s="34"/>
      <c r="AL1794" s="34"/>
      <c r="AM1794" s="34"/>
      <c r="AN1794" s="34"/>
      <c r="AO1794" s="34"/>
      <c r="AP1794" s="34"/>
      <c r="AQ1794" s="34"/>
      <c r="AR1794" s="34"/>
      <c r="AS1794" s="34"/>
      <c r="AT1794" s="34"/>
      <c r="AU1794" s="34"/>
      <c r="AV1794" s="34"/>
    </row>
    <row r="1795">
      <c r="A1795" s="34"/>
      <c r="B1795" s="34"/>
      <c r="C1795" s="34"/>
      <c r="D1795" s="34"/>
      <c r="E1795" s="34"/>
      <c r="F1795" s="34"/>
      <c r="G1795" s="34"/>
      <c r="H1795" s="34"/>
      <c r="I1795" s="34"/>
      <c r="J1795" s="34"/>
      <c r="K1795" s="34"/>
      <c r="L1795" s="34"/>
      <c r="M1795" s="34"/>
      <c r="N1795" s="34"/>
      <c r="O1795" s="34"/>
      <c r="P1795" s="34"/>
      <c r="Q1795" s="34"/>
      <c r="R1795" s="34"/>
      <c r="S1795" s="34"/>
      <c r="T1795" s="34"/>
      <c r="U1795" s="34"/>
      <c r="V1795" s="34"/>
      <c r="W1795" s="34"/>
      <c r="X1795" s="34"/>
      <c r="Y1795" s="34"/>
      <c r="Z1795" s="34"/>
      <c r="AA1795" s="34"/>
      <c r="AB1795" s="34"/>
      <c r="AC1795" s="34"/>
      <c r="AD1795" s="34"/>
      <c r="AE1795" s="34"/>
      <c r="AF1795" s="34"/>
      <c r="AG1795" s="34"/>
      <c r="AH1795" s="34"/>
      <c r="AI1795" s="34"/>
      <c r="AJ1795" s="34"/>
      <c r="AK1795" s="34"/>
      <c r="AL1795" s="34"/>
      <c r="AM1795" s="34"/>
      <c r="AN1795" s="34"/>
      <c r="AO1795" s="34"/>
      <c r="AP1795" s="34"/>
      <c r="AQ1795" s="34"/>
      <c r="AR1795" s="34"/>
      <c r="AS1795" s="34"/>
      <c r="AT1795" s="34"/>
      <c r="AU1795" s="34"/>
      <c r="AV1795" s="34"/>
    </row>
    <row r="1796">
      <c r="A1796" s="34"/>
      <c r="B1796" s="34"/>
      <c r="C1796" s="34"/>
      <c r="D1796" s="34"/>
      <c r="E1796" s="34"/>
      <c r="F1796" s="34"/>
      <c r="G1796" s="34"/>
      <c r="H1796" s="34"/>
      <c r="I1796" s="34"/>
      <c r="J1796" s="34"/>
      <c r="K1796" s="34"/>
      <c r="L1796" s="34"/>
      <c r="M1796" s="34"/>
      <c r="N1796" s="34"/>
      <c r="O1796" s="34"/>
      <c r="P1796" s="34"/>
      <c r="Q1796" s="34"/>
      <c r="R1796" s="34"/>
      <c r="S1796" s="34"/>
      <c r="T1796" s="34"/>
      <c r="U1796" s="34"/>
      <c r="V1796" s="34"/>
      <c r="W1796" s="34"/>
      <c r="X1796" s="34"/>
      <c r="Y1796" s="34"/>
      <c r="Z1796" s="34"/>
      <c r="AA1796" s="34"/>
      <c r="AB1796" s="34"/>
      <c r="AC1796" s="34"/>
      <c r="AD1796" s="34"/>
      <c r="AE1796" s="34"/>
      <c r="AF1796" s="34"/>
      <c r="AG1796" s="34"/>
      <c r="AH1796" s="34"/>
      <c r="AI1796" s="34"/>
      <c r="AJ1796" s="34"/>
      <c r="AK1796" s="34"/>
      <c r="AL1796" s="34"/>
      <c r="AM1796" s="34"/>
      <c r="AN1796" s="34"/>
      <c r="AO1796" s="34"/>
      <c r="AP1796" s="34"/>
      <c r="AQ1796" s="34"/>
      <c r="AR1796" s="34"/>
      <c r="AS1796" s="34"/>
      <c r="AT1796" s="34"/>
      <c r="AU1796" s="34"/>
      <c r="AV1796" s="34"/>
    </row>
    <row r="1797">
      <c r="A1797" s="34"/>
      <c r="B1797" s="34"/>
      <c r="C1797" s="34"/>
      <c r="D1797" s="34"/>
      <c r="E1797" s="34"/>
      <c r="F1797" s="34"/>
      <c r="G1797" s="34"/>
      <c r="H1797" s="34"/>
      <c r="I1797" s="34"/>
      <c r="J1797" s="34"/>
      <c r="K1797" s="34"/>
      <c r="L1797" s="34"/>
      <c r="M1797" s="34"/>
      <c r="N1797" s="34"/>
      <c r="O1797" s="34"/>
      <c r="P1797" s="34"/>
      <c r="Q1797" s="34"/>
      <c r="R1797" s="34"/>
      <c r="S1797" s="34"/>
      <c r="T1797" s="34"/>
      <c r="U1797" s="34"/>
      <c r="V1797" s="34"/>
      <c r="W1797" s="34"/>
      <c r="X1797" s="34"/>
      <c r="Y1797" s="34"/>
      <c r="Z1797" s="34"/>
      <c r="AA1797" s="34"/>
      <c r="AB1797" s="34"/>
      <c r="AC1797" s="34"/>
      <c r="AD1797" s="34"/>
      <c r="AE1797" s="34"/>
      <c r="AF1797" s="34"/>
      <c r="AG1797" s="34"/>
      <c r="AH1797" s="34"/>
      <c r="AI1797" s="34"/>
      <c r="AJ1797" s="34"/>
      <c r="AK1797" s="34"/>
      <c r="AL1797" s="34"/>
      <c r="AM1797" s="34"/>
      <c r="AN1797" s="34"/>
      <c r="AO1797" s="34"/>
      <c r="AP1797" s="34"/>
      <c r="AQ1797" s="34"/>
      <c r="AR1797" s="34"/>
      <c r="AS1797" s="34"/>
      <c r="AT1797" s="34"/>
      <c r="AU1797" s="34"/>
      <c r="AV1797" s="34"/>
    </row>
    <row r="1798">
      <c r="A1798" s="34"/>
      <c r="B1798" s="34"/>
      <c r="C1798" s="34"/>
      <c r="D1798" s="34"/>
      <c r="E1798" s="34"/>
      <c r="F1798" s="34"/>
      <c r="G1798" s="34"/>
      <c r="H1798" s="34"/>
      <c r="I1798" s="34"/>
      <c r="J1798" s="34"/>
      <c r="K1798" s="34"/>
      <c r="L1798" s="34"/>
      <c r="M1798" s="34"/>
      <c r="N1798" s="34"/>
      <c r="O1798" s="34"/>
      <c r="P1798" s="34"/>
      <c r="Q1798" s="34"/>
      <c r="R1798" s="34"/>
      <c r="S1798" s="34"/>
      <c r="T1798" s="34"/>
      <c r="U1798" s="34"/>
      <c r="V1798" s="34"/>
      <c r="W1798" s="34"/>
      <c r="X1798" s="34"/>
      <c r="Y1798" s="34"/>
      <c r="Z1798" s="34"/>
      <c r="AA1798" s="34"/>
      <c r="AB1798" s="34"/>
      <c r="AC1798" s="34"/>
      <c r="AD1798" s="34"/>
      <c r="AE1798" s="34"/>
      <c r="AF1798" s="34"/>
      <c r="AG1798" s="34"/>
      <c r="AH1798" s="34"/>
      <c r="AI1798" s="34"/>
      <c r="AJ1798" s="34"/>
      <c r="AK1798" s="34"/>
      <c r="AL1798" s="34"/>
      <c r="AM1798" s="34"/>
      <c r="AN1798" s="34"/>
      <c r="AO1798" s="34"/>
      <c r="AP1798" s="34"/>
      <c r="AQ1798" s="34"/>
      <c r="AR1798" s="34"/>
      <c r="AS1798" s="34"/>
      <c r="AT1798" s="34"/>
      <c r="AU1798" s="34"/>
      <c r="AV1798" s="34"/>
    </row>
    <row r="1799">
      <c r="A1799" s="34"/>
      <c r="B1799" s="34"/>
      <c r="C1799" s="34"/>
      <c r="D1799" s="34"/>
      <c r="E1799" s="34"/>
      <c r="F1799" s="34"/>
      <c r="G1799" s="34"/>
      <c r="H1799" s="34"/>
      <c r="I1799" s="34"/>
      <c r="J1799" s="34"/>
      <c r="K1799" s="34"/>
      <c r="L1799" s="34"/>
      <c r="M1799" s="34"/>
      <c r="N1799" s="34"/>
      <c r="O1799" s="34"/>
      <c r="P1799" s="34"/>
      <c r="Q1799" s="34"/>
      <c r="R1799" s="34"/>
      <c r="S1799" s="34"/>
      <c r="T1799" s="34"/>
      <c r="U1799" s="34"/>
      <c r="V1799" s="34"/>
      <c r="W1799" s="34"/>
      <c r="X1799" s="34"/>
      <c r="Y1799" s="34"/>
      <c r="Z1799" s="34"/>
      <c r="AA1799" s="34"/>
      <c r="AB1799" s="34"/>
      <c r="AC1799" s="34"/>
      <c r="AD1799" s="34"/>
      <c r="AE1799" s="34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34"/>
      <c r="AP1799" s="34"/>
      <c r="AQ1799" s="34"/>
      <c r="AR1799" s="34"/>
      <c r="AS1799" s="34"/>
      <c r="AT1799" s="34"/>
      <c r="AU1799" s="34"/>
      <c r="AV1799" s="34"/>
    </row>
    <row r="1800">
      <c r="A1800" s="34"/>
      <c r="B1800" s="34"/>
      <c r="C1800" s="34"/>
      <c r="D1800" s="34"/>
      <c r="E1800" s="34"/>
      <c r="F1800" s="34"/>
      <c r="G1800" s="34"/>
      <c r="H1800" s="34"/>
      <c r="I1800" s="34"/>
      <c r="J1800" s="34"/>
      <c r="K1800" s="34"/>
      <c r="L1800" s="34"/>
      <c r="M1800" s="34"/>
      <c r="N1800" s="34"/>
      <c r="O1800" s="34"/>
      <c r="P1800" s="34"/>
      <c r="Q1800" s="34"/>
      <c r="R1800" s="34"/>
      <c r="S1800" s="34"/>
      <c r="T1800" s="34"/>
      <c r="U1800" s="34"/>
      <c r="V1800" s="34"/>
      <c r="W1800" s="34"/>
      <c r="X1800" s="34"/>
      <c r="Y1800" s="34"/>
      <c r="Z1800" s="34"/>
      <c r="AA1800" s="34"/>
      <c r="AB1800" s="34"/>
      <c r="AC1800" s="34"/>
      <c r="AD1800" s="34"/>
      <c r="AE1800" s="34"/>
      <c r="AF1800" s="34"/>
      <c r="AG1800" s="34"/>
      <c r="AH1800" s="34"/>
      <c r="AI1800" s="34"/>
      <c r="AJ1800" s="34"/>
      <c r="AK1800" s="34"/>
      <c r="AL1800" s="34"/>
      <c r="AM1800" s="34"/>
      <c r="AN1800" s="34"/>
      <c r="AO1800" s="34"/>
      <c r="AP1800" s="34"/>
      <c r="AQ1800" s="34"/>
      <c r="AR1800" s="34"/>
      <c r="AS1800" s="34"/>
      <c r="AT1800" s="34"/>
      <c r="AU1800" s="34"/>
      <c r="AV1800" s="34"/>
    </row>
    <row r="1801">
      <c r="A1801" s="34"/>
      <c r="B1801" s="34"/>
      <c r="C1801" s="34"/>
      <c r="D1801" s="34"/>
      <c r="E1801" s="34"/>
      <c r="F1801" s="34"/>
      <c r="G1801" s="34"/>
      <c r="H1801" s="34"/>
      <c r="I1801" s="34"/>
      <c r="J1801" s="34"/>
      <c r="K1801" s="34"/>
      <c r="L1801" s="34"/>
      <c r="M1801" s="34"/>
      <c r="N1801" s="34"/>
      <c r="O1801" s="34"/>
      <c r="P1801" s="34"/>
      <c r="Q1801" s="34"/>
      <c r="R1801" s="34"/>
      <c r="S1801" s="34"/>
      <c r="T1801" s="34"/>
      <c r="U1801" s="34"/>
      <c r="V1801" s="34"/>
      <c r="W1801" s="34"/>
      <c r="X1801" s="34"/>
      <c r="Y1801" s="34"/>
      <c r="Z1801" s="34"/>
      <c r="AA1801" s="34"/>
      <c r="AB1801" s="34"/>
      <c r="AC1801" s="34"/>
      <c r="AD1801" s="34"/>
      <c r="AE1801" s="34"/>
      <c r="AF1801" s="34"/>
      <c r="AG1801" s="34"/>
      <c r="AH1801" s="34"/>
      <c r="AI1801" s="34"/>
      <c r="AJ1801" s="34"/>
      <c r="AK1801" s="34"/>
      <c r="AL1801" s="34"/>
      <c r="AM1801" s="34"/>
      <c r="AN1801" s="34"/>
      <c r="AO1801" s="34"/>
      <c r="AP1801" s="34"/>
      <c r="AQ1801" s="34"/>
      <c r="AR1801" s="34"/>
      <c r="AS1801" s="34"/>
      <c r="AT1801" s="34"/>
      <c r="AU1801" s="34"/>
      <c r="AV1801" s="34"/>
    </row>
    <row r="1802">
      <c r="A1802" s="34"/>
      <c r="B1802" s="34"/>
      <c r="C1802" s="34"/>
      <c r="D1802" s="34"/>
      <c r="E1802" s="34"/>
      <c r="F1802" s="34"/>
      <c r="G1802" s="34"/>
      <c r="H1802" s="34"/>
      <c r="I1802" s="34"/>
      <c r="J1802" s="34"/>
      <c r="K1802" s="34"/>
      <c r="L1802" s="34"/>
      <c r="M1802" s="34"/>
      <c r="N1802" s="34"/>
      <c r="O1802" s="34"/>
      <c r="P1802" s="34"/>
      <c r="Q1802" s="34"/>
      <c r="R1802" s="34"/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4"/>
      <c r="AQ1802" s="34"/>
      <c r="AR1802" s="34"/>
      <c r="AS1802" s="34"/>
      <c r="AT1802" s="34"/>
      <c r="AU1802" s="34"/>
      <c r="AV1802" s="34"/>
    </row>
    <row r="1803">
      <c r="A1803" s="34"/>
      <c r="B1803" s="34"/>
      <c r="C1803" s="34"/>
      <c r="D1803" s="34"/>
      <c r="E1803" s="34"/>
      <c r="F1803" s="34"/>
      <c r="G1803" s="34"/>
      <c r="H1803" s="34"/>
      <c r="I1803" s="34"/>
      <c r="J1803" s="34"/>
      <c r="K1803" s="34"/>
      <c r="L1803" s="34"/>
      <c r="M1803" s="34"/>
      <c r="N1803" s="34"/>
      <c r="O1803" s="34"/>
      <c r="P1803" s="34"/>
      <c r="Q1803" s="34"/>
      <c r="R1803" s="34"/>
      <c r="S1803" s="34"/>
      <c r="T1803" s="34"/>
      <c r="U1803" s="34"/>
      <c r="V1803" s="34"/>
      <c r="W1803" s="34"/>
      <c r="X1803" s="34"/>
      <c r="Y1803" s="34"/>
      <c r="Z1803" s="34"/>
      <c r="AA1803" s="34"/>
      <c r="AB1803" s="34"/>
      <c r="AC1803" s="34"/>
      <c r="AD1803" s="34"/>
      <c r="AE1803" s="34"/>
      <c r="AF1803" s="34"/>
      <c r="AG1803" s="34"/>
      <c r="AH1803" s="34"/>
      <c r="AI1803" s="34"/>
      <c r="AJ1803" s="34"/>
      <c r="AK1803" s="34"/>
      <c r="AL1803" s="34"/>
      <c r="AM1803" s="34"/>
      <c r="AN1803" s="34"/>
      <c r="AO1803" s="34"/>
      <c r="AP1803" s="34"/>
      <c r="AQ1803" s="34"/>
      <c r="AR1803" s="34"/>
      <c r="AS1803" s="34"/>
      <c r="AT1803" s="34"/>
      <c r="AU1803" s="34"/>
      <c r="AV1803" s="34"/>
    </row>
    <row r="1804">
      <c r="A1804" s="34"/>
      <c r="B1804" s="34"/>
      <c r="C1804" s="34"/>
      <c r="D1804" s="34"/>
      <c r="E1804" s="34"/>
      <c r="F1804" s="34"/>
      <c r="G1804" s="34"/>
      <c r="H1804" s="34"/>
      <c r="I1804" s="34"/>
      <c r="J1804" s="34"/>
      <c r="K1804" s="34"/>
      <c r="L1804" s="34"/>
      <c r="M1804" s="34"/>
      <c r="N1804" s="34"/>
      <c r="O1804" s="34"/>
      <c r="P1804" s="34"/>
      <c r="Q1804" s="34"/>
      <c r="R1804" s="34"/>
      <c r="S1804" s="34"/>
      <c r="T1804" s="34"/>
      <c r="U1804" s="34"/>
      <c r="V1804" s="34"/>
      <c r="W1804" s="34"/>
      <c r="X1804" s="34"/>
      <c r="Y1804" s="34"/>
      <c r="Z1804" s="34"/>
      <c r="AA1804" s="34"/>
      <c r="AB1804" s="34"/>
      <c r="AC1804" s="34"/>
      <c r="AD1804" s="34"/>
      <c r="AE1804" s="34"/>
      <c r="AF1804" s="34"/>
      <c r="AG1804" s="34"/>
      <c r="AH1804" s="34"/>
      <c r="AI1804" s="34"/>
      <c r="AJ1804" s="34"/>
      <c r="AK1804" s="34"/>
      <c r="AL1804" s="34"/>
      <c r="AM1804" s="34"/>
      <c r="AN1804" s="34"/>
      <c r="AO1804" s="34"/>
      <c r="AP1804" s="34"/>
      <c r="AQ1804" s="34"/>
      <c r="AR1804" s="34"/>
      <c r="AS1804" s="34"/>
      <c r="AT1804" s="34"/>
      <c r="AU1804" s="34"/>
      <c r="AV1804" s="34"/>
    </row>
    <row r="1805">
      <c r="A1805" s="34"/>
      <c r="B1805" s="34"/>
      <c r="C1805" s="34"/>
      <c r="D1805" s="34"/>
      <c r="E1805" s="34"/>
      <c r="F1805" s="34"/>
      <c r="G1805" s="34"/>
      <c r="H1805" s="34"/>
      <c r="I1805" s="34"/>
      <c r="J1805" s="34"/>
      <c r="K1805" s="34"/>
      <c r="L1805" s="34"/>
      <c r="M1805" s="34"/>
      <c r="N1805" s="34"/>
      <c r="O1805" s="34"/>
      <c r="P1805" s="34"/>
      <c r="Q1805" s="34"/>
      <c r="R1805" s="34"/>
      <c r="S1805" s="34"/>
      <c r="T1805" s="34"/>
      <c r="U1805" s="34"/>
      <c r="V1805" s="34"/>
      <c r="W1805" s="34"/>
      <c r="X1805" s="34"/>
      <c r="Y1805" s="34"/>
      <c r="Z1805" s="34"/>
      <c r="AA1805" s="34"/>
      <c r="AB1805" s="34"/>
      <c r="AC1805" s="34"/>
      <c r="AD1805" s="34"/>
      <c r="AE1805" s="34"/>
      <c r="AF1805" s="34"/>
      <c r="AG1805" s="34"/>
      <c r="AH1805" s="34"/>
      <c r="AI1805" s="34"/>
      <c r="AJ1805" s="34"/>
      <c r="AK1805" s="34"/>
      <c r="AL1805" s="34"/>
      <c r="AM1805" s="34"/>
      <c r="AN1805" s="34"/>
      <c r="AO1805" s="34"/>
      <c r="AP1805" s="34"/>
      <c r="AQ1805" s="34"/>
      <c r="AR1805" s="34"/>
      <c r="AS1805" s="34"/>
      <c r="AT1805" s="34"/>
      <c r="AU1805" s="34"/>
      <c r="AV1805" s="34"/>
    </row>
    <row r="1806">
      <c r="A1806" s="34"/>
      <c r="B1806" s="34"/>
      <c r="C1806" s="34"/>
      <c r="D1806" s="34"/>
      <c r="E1806" s="34"/>
      <c r="F1806" s="34"/>
      <c r="G1806" s="34"/>
      <c r="H1806" s="34"/>
      <c r="I1806" s="34"/>
      <c r="J1806" s="34"/>
      <c r="K1806" s="34"/>
      <c r="L1806" s="34"/>
      <c r="M1806" s="34"/>
      <c r="N1806" s="34"/>
      <c r="O1806" s="34"/>
      <c r="P1806" s="34"/>
      <c r="Q1806" s="34"/>
      <c r="R1806" s="34"/>
      <c r="S1806" s="34"/>
      <c r="T1806" s="34"/>
      <c r="U1806" s="34"/>
      <c r="V1806" s="34"/>
      <c r="W1806" s="34"/>
      <c r="X1806" s="34"/>
      <c r="Y1806" s="34"/>
      <c r="Z1806" s="34"/>
      <c r="AA1806" s="34"/>
      <c r="AB1806" s="34"/>
      <c r="AC1806" s="34"/>
      <c r="AD1806" s="34"/>
      <c r="AE1806" s="34"/>
      <c r="AF1806" s="34"/>
      <c r="AG1806" s="34"/>
      <c r="AH1806" s="34"/>
      <c r="AI1806" s="34"/>
      <c r="AJ1806" s="34"/>
      <c r="AK1806" s="34"/>
      <c r="AL1806" s="34"/>
      <c r="AM1806" s="34"/>
      <c r="AN1806" s="34"/>
      <c r="AO1806" s="34"/>
      <c r="AP1806" s="34"/>
      <c r="AQ1806" s="34"/>
      <c r="AR1806" s="34"/>
      <c r="AS1806" s="34"/>
      <c r="AT1806" s="34"/>
      <c r="AU1806" s="34"/>
      <c r="AV1806" s="34"/>
    </row>
    <row r="1807">
      <c r="A1807" s="34"/>
      <c r="B1807" s="34"/>
      <c r="C1807" s="34"/>
      <c r="D1807" s="34"/>
      <c r="E1807" s="34"/>
      <c r="F1807" s="34"/>
      <c r="G1807" s="34"/>
      <c r="H1807" s="34"/>
      <c r="I1807" s="34"/>
      <c r="J1807" s="34"/>
      <c r="K1807" s="34"/>
      <c r="L1807" s="34"/>
      <c r="M1807" s="34"/>
      <c r="N1807" s="34"/>
      <c r="O1807" s="34"/>
      <c r="P1807" s="34"/>
      <c r="Q1807" s="34"/>
      <c r="R1807" s="34"/>
      <c r="S1807" s="34"/>
      <c r="T1807" s="34"/>
      <c r="U1807" s="34"/>
      <c r="V1807" s="34"/>
      <c r="W1807" s="34"/>
      <c r="X1807" s="34"/>
      <c r="Y1807" s="34"/>
      <c r="Z1807" s="34"/>
      <c r="AA1807" s="34"/>
      <c r="AB1807" s="34"/>
      <c r="AC1807" s="34"/>
      <c r="AD1807" s="34"/>
      <c r="AE1807" s="34"/>
      <c r="AF1807" s="34"/>
      <c r="AG1807" s="34"/>
      <c r="AH1807" s="34"/>
      <c r="AI1807" s="34"/>
      <c r="AJ1807" s="34"/>
      <c r="AK1807" s="34"/>
      <c r="AL1807" s="34"/>
      <c r="AM1807" s="34"/>
      <c r="AN1807" s="34"/>
      <c r="AO1807" s="34"/>
      <c r="AP1807" s="34"/>
      <c r="AQ1807" s="34"/>
      <c r="AR1807" s="34"/>
      <c r="AS1807" s="34"/>
      <c r="AT1807" s="34"/>
      <c r="AU1807" s="34"/>
      <c r="AV1807" s="34"/>
    </row>
    <row r="1808">
      <c r="A1808" s="34"/>
      <c r="B1808" s="34"/>
      <c r="C1808" s="34"/>
      <c r="D1808" s="34"/>
      <c r="E1808" s="34"/>
      <c r="F1808" s="34"/>
      <c r="G1808" s="34"/>
      <c r="H1808" s="34"/>
      <c r="I1808" s="34"/>
      <c r="J1808" s="34"/>
      <c r="K1808" s="34"/>
      <c r="L1808" s="34"/>
      <c r="M1808" s="34"/>
      <c r="N1808" s="34"/>
      <c r="O1808" s="34"/>
      <c r="P1808" s="34"/>
      <c r="Q1808" s="34"/>
      <c r="R1808" s="34"/>
      <c r="S1808" s="34"/>
      <c r="T1808" s="34"/>
      <c r="U1808" s="34"/>
      <c r="V1808" s="34"/>
      <c r="W1808" s="34"/>
      <c r="X1808" s="34"/>
      <c r="Y1808" s="34"/>
      <c r="Z1808" s="34"/>
      <c r="AA1808" s="34"/>
      <c r="AB1808" s="34"/>
      <c r="AC1808" s="34"/>
      <c r="AD1808" s="34"/>
      <c r="AE1808" s="34"/>
      <c r="AF1808" s="34"/>
      <c r="AG1808" s="34"/>
      <c r="AH1808" s="34"/>
      <c r="AI1808" s="34"/>
      <c r="AJ1808" s="34"/>
      <c r="AK1808" s="34"/>
      <c r="AL1808" s="34"/>
      <c r="AM1808" s="34"/>
      <c r="AN1808" s="34"/>
      <c r="AO1808" s="34"/>
      <c r="AP1808" s="34"/>
      <c r="AQ1808" s="34"/>
      <c r="AR1808" s="34"/>
      <c r="AS1808" s="34"/>
      <c r="AT1808" s="34"/>
      <c r="AU1808" s="34"/>
      <c r="AV1808" s="34"/>
    </row>
    <row r="1809">
      <c r="A1809" s="34"/>
      <c r="B1809" s="34"/>
      <c r="C1809" s="34"/>
      <c r="D1809" s="34"/>
      <c r="E1809" s="34"/>
      <c r="F1809" s="34"/>
      <c r="G1809" s="34"/>
      <c r="H1809" s="34"/>
      <c r="I1809" s="34"/>
      <c r="J1809" s="34"/>
      <c r="K1809" s="34"/>
      <c r="L1809" s="34"/>
      <c r="M1809" s="34"/>
      <c r="N1809" s="34"/>
      <c r="O1809" s="34"/>
      <c r="P1809" s="34"/>
      <c r="Q1809" s="34"/>
      <c r="R1809" s="34"/>
      <c r="S1809" s="34"/>
      <c r="T1809" s="34"/>
      <c r="U1809" s="34"/>
      <c r="V1809" s="34"/>
      <c r="W1809" s="34"/>
      <c r="X1809" s="34"/>
      <c r="Y1809" s="34"/>
      <c r="Z1809" s="34"/>
      <c r="AA1809" s="34"/>
      <c r="AB1809" s="34"/>
      <c r="AC1809" s="34"/>
      <c r="AD1809" s="34"/>
      <c r="AE1809" s="34"/>
      <c r="AF1809" s="34"/>
      <c r="AG1809" s="34"/>
      <c r="AH1809" s="34"/>
      <c r="AI1809" s="34"/>
      <c r="AJ1809" s="34"/>
      <c r="AK1809" s="34"/>
      <c r="AL1809" s="34"/>
      <c r="AM1809" s="34"/>
      <c r="AN1809" s="34"/>
      <c r="AO1809" s="34"/>
      <c r="AP1809" s="34"/>
      <c r="AQ1809" s="34"/>
      <c r="AR1809" s="34"/>
      <c r="AS1809" s="34"/>
      <c r="AT1809" s="34"/>
      <c r="AU1809" s="34"/>
      <c r="AV1809" s="34"/>
    </row>
    <row r="1810">
      <c r="A1810" s="34"/>
      <c r="B1810" s="34"/>
      <c r="C1810" s="34"/>
      <c r="D1810" s="34"/>
      <c r="E1810" s="34"/>
      <c r="F1810" s="34"/>
      <c r="G1810" s="34"/>
      <c r="H1810" s="34"/>
      <c r="I1810" s="34"/>
      <c r="J1810" s="34"/>
      <c r="K1810" s="34"/>
      <c r="L1810" s="34"/>
      <c r="M1810" s="34"/>
      <c r="N1810" s="34"/>
      <c r="O1810" s="34"/>
      <c r="P1810" s="34"/>
      <c r="Q1810" s="34"/>
      <c r="R1810" s="34"/>
      <c r="S1810" s="34"/>
      <c r="T1810" s="34"/>
      <c r="U1810" s="34"/>
      <c r="V1810" s="34"/>
      <c r="W1810" s="34"/>
      <c r="X1810" s="34"/>
      <c r="Y1810" s="34"/>
      <c r="Z1810" s="34"/>
      <c r="AA1810" s="34"/>
      <c r="AB1810" s="34"/>
      <c r="AC1810" s="34"/>
      <c r="AD1810" s="34"/>
      <c r="AE1810" s="34"/>
      <c r="AF1810" s="34"/>
      <c r="AG1810" s="34"/>
      <c r="AH1810" s="34"/>
      <c r="AI1810" s="34"/>
      <c r="AJ1810" s="34"/>
      <c r="AK1810" s="34"/>
      <c r="AL1810" s="34"/>
      <c r="AM1810" s="34"/>
      <c r="AN1810" s="34"/>
      <c r="AO1810" s="34"/>
      <c r="AP1810" s="34"/>
      <c r="AQ1810" s="34"/>
      <c r="AR1810" s="34"/>
      <c r="AS1810" s="34"/>
      <c r="AT1810" s="34"/>
      <c r="AU1810" s="34"/>
      <c r="AV1810" s="34"/>
    </row>
    <row r="1811">
      <c r="A1811" s="34"/>
      <c r="B1811" s="34"/>
      <c r="C1811" s="34"/>
      <c r="D1811" s="34"/>
      <c r="E1811" s="34"/>
      <c r="F1811" s="34"/>
      <c r="G1811" s="34"/>
      <c r="H1811" s="34"/>
      <c r="I1811" s="34"/>
      <c r="J1811" s="34"/>
      <c r="K1811" s="34"/>
      <c r="L1811" s="34"/>
      <c r="M1811" s="34"/>
      <c r="N1811" s="34"/>
      <c r="O1811" s="34"/>
      <c r="P1811" s="34"/>
      <c r="Q1811" s="34"/>
      <c r="R1811" s="34"/>
      <c r="S1811" s="34"/>
      <c r="T1811" s="34"/>
      <c r="U1811" s="34"/>
      <c r="V1811" s="34"/>
      <c r="W1811" s="34"/>
      <c r="X1811" s="34"/>
      <c r="Y1811" s="34"/>
      <c r="Z1811" s="34"/>
      <c r="AA1811" s="34"/>
      <c r="AB1811" s="34"/>
      <c r="AC1811" s="34"/>
      <c r="AD1811" s="34"/>
      <c r="AE1811" s="34"/>
      <c r="AF1811" s="34"/>
      <c r="AG1811" s="34"/>
      <c r="AH1811" s="34"/>
      <c r="AI1811" s="34"/>
      <c r="AJ1811" s="34"/>
      <c r="AK1811" s="34"/>
      <c r="AL1811" s="34"/>
      <c r="AM1811" s="34"/>
      <c r="AN1811" s="34"/>
      <c r="AO1811" s="34"/>
      <c r="AP1811" s="34"/>
      <c r="AQ1811" s="34"/>
      <c r="AR1811" s="34"/>
      <c r="AS1811" s="34"/>
      <c r="AT1811" s="34"/>
      <c r="AU1811" s="34"/>
      <c r="AV1811" s="34"/>
    </row>
    <row r="1812">
      <c r="A1812" s="34"/>
      <c r="B1812" s="34"/>
      <c r="C1812" s="34"/>
      <c r="D1812" s="34"/>
      <c r="E1812" s="34"/>
      <c r="F1812" s="34"/>
      <c r="G1812" s="34"/>
      <c r="H1812" s="34"/>
      <c r="I1812" s="34"/>
      <c r="J1812" s="34"/>
      <c r="K1812" s="34"/>
      <c r="L1812" s="34"/>
      <c r="M1812" s="34"/>
      <c r="N1812" s="34"/>
      <c r="O1812" s="34"/>
      <c r="P1812" s="34"/>
      <c r="Q1812" s="34"/>
      <c r="R1812" s="34"/>
      <c r="S1812" s="34"/>
      <c r="T1812" s="34"/>
      <c r="U1812" s="34"/>
      <c r="V1812" s="34"/>
      <c r="W1812" s="34"/>
      <c r="X1812" s="34"/>
      <c r="Y1812" s="34"/>
      <c r="Z1812" s="34"/>
      <c r="AA1812" s="34"/>
      <c r="AB1812" s="34"/>
      <c r="AC1812" s="34"/>
      <c r="AD1812" s="34"/>
      <c r="AE1812" s="34"/>
      <c r="AF1812" s="34"/>
      <c r="AG1812" s="34"/>
      <c r="AH1812" s="34"/>
      <c r="AI1812" s="34"/>
      <c r="AJ1812" s="34"/>
      <c r="AK1812" s="34"/>
      <c r="AL1812" s="34"/>
      <c r="AM1812" s="34"/>
      <c r="AN1812" s="34"/>
      <c r="AO1812" s="34"/>
      <c r="AP1812" s="34"/>
      <c r="AQ1812" s="34"/>
      <c r="AR1812" s="34"/>
      <c r="AS1812" s="34"/>
      <c r="AT1812" s="34"/>
      <c r="AU1812" s="34"/>
      <c r="AV1812" s="34"/>
    </row>
    <row r="1813">
      <c r="A1813" s="34"/>
      <c r="B1813" s="34"/>
      <c r="C1813" s="34"/>
      <c r="D1813" s="34"/>
      <c r="E1813" s="34"/>
      <c r="F1813" s="34"/>
      <c r="G1813" s="34"/>
      <c r="H1813" s="34"/>
      <c r="I1813" s="34"/>
      <c r="J1813" s="34"/>
      <c r="K1813" s="34"/>
      <c r="L1813" s="34"/>
      <c r="M1813" s="34"/>
      <c r="N1813" s="34"/>
      <c r="O1813" s="34"/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4"/>
      <c r="AM1813" s="34"/>
      <c r="AN1813" s="34"/>
      <c r="AO1813" s="34"/>
      <c r="AP1813" s="34"/>
      <c r="AQ1813" s="34"/>
      <c r="AR1813" s="34"/>
      <c r="AS1813" s="34"/>
      <c r="AT1813" s="34"/>
      <c r="AU1813" s="34"/>
      <c r="AV1813" s="34"/>
    </row>
    <row r="1814">
      <c r="A1814" s="34"/>
      <c r="B1814" s="34"/>
      <c r="C1814" s="34"/>
      <c r="D1814" s="34"/>
      <c r="E1814" s="34"/>
      <c r="F1814" s="34"/>
      <c r="G1814" s="34"/>
      <c r="H1814" s="34"/>
      <c r="I1814" s="34"/>
      <c r="J1814" s="34"/>
      <c r="K1814" s="34"/>
      <c r="L1814" s="34"/>
      <c r="M1814" s="34"/>
      <c r="N1814" s="34"/>
      <c r="O1814" s="34"/>
      <c r="P1814" s="34"/>
      <c r="Q1814" s="34"/>
      <c r="R1814" s="34"/>
      <c r="S1814" s="34"/>
      <c r="T1814" s="34"/>
      <c r="U1814" s="34"/>
      <c r="V1814" s="34"/>
      <c r="W1814" s="34"/>
      <c r="X1814" s="34"/>
      <c r="Y1814" s="34"/>
      <c r="Z1814" s="34"/>
      <c r="AA1814" s="34"/>
      <c r="AB1814" s="34"/>
      <c r="AC1814" s="34"/>
      <c r="AD1814" s="34"/>
      <c r="AE1814" s="34"/>
      <c r="AF1814" s="34"/>
      <c r="AG1814" s="34"/>
      <c r="AH1814" s="34"/>
      <c r="AI1814" s="34"/>
      <c r="AJ1814" s="34"/>
      <c r="AK1814" s="34"/>
      <c r="AL1814" s="34"/>
      <c r="AM1814" s="34"/>
      <c r="AN1814" s="34"/>
      <c r="AO1814" s="34"/>
      <c r="AP1814" s="34"/>
      <c r="AQ1814" s="34"/>
      <c r="AR1814" s="34"/>
      <c r="AS1814" s="34"/>
      <c r="AT1814" s="34"/>
      <c r="AU1814" s="34"/>
      <c r="AV1814" s="34"/>
    </row>
    <row r="1815">
      <c r="A1815" s="34"/>
      <c r="B1815" s="34"/>
      <c r="C1815" s="34"/>
      <c r="D1815" s="34"/>
      <c r="E1815" s="34"/>
      <c r="F1815" s="34"/>
      <c r="G1815" s="34"/>
      <c r="H1815" s="34"/>
      <c r="I1815" s="34"/>
      <c r="J1815" s="34"/>
      <c r="K1815" s="34"/>
      <c r="L1815" s="34"/>
      <c r="M1815" s="34"/>
      <c r="N1815" s="34"/>
      <c r="O1815" s="34"/>
      <c r="P1815" s="34"/>
      <c r="Q1815" s="34"/>
      <c r="R1815" s="34"/>
      <c r="S1815" s="34"/>
      <c r="T1815" s="34"/>
      <c r="U1815" s="34"/>
      <c r="V1815" s="34"/>
      <c r="W1815" s="34"/>
      <c r="X1815" s="34"/>
      <c r="Y1815" s="34"/>
      <c r="Z1815" s="34"/>
      <c r="AA1815" s="34"/>
      <c r="AB1815" s="34"/>
      <c r="AC1815" s="34"/>
      <c r="AD1815" s="34"/>
      <c r="AE1815" s="34"/>
      <c r="AF1815" s="34"/>
      <c r="AG1815" s="34"/>
      <c r="AH1815" s="34"/>
      <c r="AI1815" s="34"/>
      <c r="AJ1815" s="34"/>
      <c r="AK1815" s="34"/>
      <c r="AL1815" s="34"/>
      <c r="AM1815" s="34"/>
      <c r="AN1815" s="34"/>
      <c r="AO1815" s="34"/>
      <c r="AP1815" s="34"/>
      <c r="AQ1815" s="34"/>
      <c r="AR1815" s="34"/>
      <c r="AS1815" s="34"/>
      <c r="AT1815" s="34"/>
      <c r="AU1815" s="34"/>
      <c r="AV1815" s="34"/>
    </row>
    <row r="1816">
      <c r="A1816" s="34"/>
      <c r="B1816" s="34"/>
      <c r="C1816" s="34"/>
      <c r="D1816" s="34"/>
      <c r="E1816" s="34"/>
      <c r="F1816" s="34"/>
      <c r="G1816" s="34"/>
      <c r="H1816" s="34"/>
      <c r="I1816" s="34"/>
      <c r="J1816" s="34"/>
      <c r="K1816" s="34"/>
      <c r="L1816" s="34"/>
      <c r="M1816" s="34"/>
      <c r="N1816" s="34"/>
      <c r="O1816" s="34"/>
      <c r="P1816" s="34"/>
      <c r="Q1816" s="34"/>
      <c r="R1816" s="34"/>
      <c r="S1816" s="34"/>
      <c r="T1816" s="34"/>
      <c r="U1816" s="34"/>
      <c r="V1816" s="34"/>
      <c r="W1816" s="34"/>
      <c r="X1816" s="34"/>
      <c r="Y1816" s="34"/>
      <c r="Z1816" s="34"/>
      <c r="AA1816" s="34"/>
      <c r="AB1816" s="34"/>
      <c r="AC1816" s="34"/>
      <c r="AD1816" s="34"/>
      <c r="AE1816" s="34"/>
      <c r="AF1816" s="34"/>
      <c r="AG1816" s="34"/>
      <c r="AH1816" s="34"/>
      <c r="AI1816" s="34"/>
      <c r="AJ1816" s="34"/>
      <c r="AK1816" s="34"/>
      <c r="AL1816" s="34"/>
      <c r="AM1816" s="34"/>
      <c r="AN1816" s="34"/>
      <c r="AO1816" s="34"/>
      <c r="AP1816" s="34"/>
      <c r="AQ1816" s="34"/>
      <c r="AR1816" s="34"/>
      <c r="AS1816" s="34"/>
      <c r="AT1816" s="34"/>
      <c r="AU1816" s="34"/>
      <c r="AV1816" s="34"/>
    </row>
    <row r="1817">
      <c r="A1817" s="34"/>
      <c r="B1817" s="34"/>
      <c r="C1817" s="34"/>
      <c r="D1817" s="34"/>
      <c r="E1817" s="34"/>
      <c r="F1817" s="34"/>
      <c r="G1817" s="34"/>
      <c r="H1817" s="34"/>
      <c r="I1817" s="34"/>
      <c r="J1817" s="34"/>
      <c r="K1817" s="34"/>
      <c r="L1817" s="34"/>
      <c r="M1817" s="34"/>
      <c r="N1817" s="34"/>
      <c r="O1817" s="34"/>
      <c r="P1817" s="34"/>
      <c r="Q1817" s="34"/>
      <c r="R1817" s="34"/>
      <c r="S1817" s="34"/>
      <c r="T1817" s="34"/>
      <c r="U1817" s="34"/>
      <c r="V1817" s="34"/>
      <c r="W1817" s="34"/>
      <c r="X1817" s="34"/>
      <c r="Y1817" s="34"/>
      <c r="Z1817" s="34"/>
      <c r="AA1817" s="34"/>
      <c r="AB1817" s="34"/>
      <c r="AC1817" s="34"/>
      <c r="AD1817" s="34"/>
      <c r="AE1817" s="34"/>
      <c r="AF1817" s="34"/>
      <c r="AG1817" s="34"/>
      <c r="AH1817" s="34"/>
      <c r="AI1817" s="34"/>
      <c r="AJ1817" s="34"/>
      <c r="AK1817" s="34"/>
      <c r="AL1817" s="34"/>
      <c r="AM1817" s="34"/>
      <c r="AN1817" s="34"/>
      <c r="AO1817" s="34"/>
      <c r="AP1817" s="34"/>
      <c r="AQ1817" s="34"/>
      <c r="AR1817" s="34"/>
      <c r="AS1817" s="34"/>
      <c r="AT1817" s="34"/>
      <c r="AU1817" s="34"/>
      <c r="AV1817" s="34"/>
    </row>
    <row r="1818">
      <c r="A1818" s="34"/>
      <c r="B1818" s="34"/>
      <c r="C1818" s="34"/>
      <c r="D1818" s="34"/>
      <c r="E1818" s="34"/>
      <c r="F1818" s="34"/>
      <c r="G1818" s="34"/>
      <c r="H1818" s="34"/>
      <c r="I1818" s="34"/>
      <c r="J1818" s="34"/>
      <c r="K1818" s="34"/>
      <c r="L1818" s="34"/>
      <c r="M1818" s="34"/>
      <c r="N1818" s="34"/>
      <c r="O1818" s="34"/>
      <c r="P1818" s="34"/>
      <c r="Q1818" s="34"/>
      <c r="R1818" s="34"/>
      <c r="S1818" s="34"/>
      <c r="T1818" s="34"/>
      <c r="U1818" s="34"/>
      <c r="V1818" s="34"/>
      <c r="W1818" s="34"/>
      <c r="X1818" s="34"/>
      <c r="Y1818" s="34"/>
      <c r="Z1818" s="34"/>
      <c r="AA1818" s="34"/>
      <c r="AB1818" s="34"/>
      <c r="AC1818" s="34"/>
      <c r="AD1818" s="34"/>
      <c r="AE1818" s="34"/>
      <c r="AF1818" s="34"/>
      <c r="AG1818" s="34"/>
      <c r="AH1818" s="34"/>
      <c r="AI1818" s="34"/>
      <c r="AJ1818" s="34"/>
      <c r="AK1818" s="34"/>
      <c r="AL1818" s="34"/>
      <c r="AM1818" s="34"/>
      <c r="AN1818" s="34"/>
      <c r="AO1818" s="34"/>
      <c r="AP1818" s="34"/>
      <c r="AQ1818" s="34"/>
      <c r="AR1818" s="34"/>
      <c r="AS1818" s="34"/>
      <c r="AT1818" s="34"/>
      <c r="AU1818" s="34"/>
      <c r="AV1818" s="34"/>
    </row>
    <row r="1819">
      <c r="A1819" s="34"/>
      <c r="B1819" s="34"/>
      <c r="C1819" s="34"/>
      <c r="D1819" s="34"/>
      <c r="E1819" s="34"/>
      <c r="F1819" s="34"/>
      <c r="G1819" s="34"/>
      <c r="H1819" s="34"/>
      <c r="I1819" s="34"/>
      <c r="J1819" s="34"/>
      <c r="K1819" s="34"/>
      <c r="L1819" s="34"/>
      <c r="M1819" s="34"/>
      <c r="N1819" s="34"/>
      <c r="O1819" s="34"/>
      <c r="P1819" s="34"/>
      <c r="Q1819" s="34"/>
      <c r="R1819" s="34"/>
      <c r="S1819" s="34"/>
      <c r="T1819" s="34"/>
      <c r="U1819" s="34"/>
      <c r="V1819" s="34"/>
      <c r="W1819" s="34"/>
      <c r="X1819" s="34"/>
      <c r="Y1819" s="34"/>
      <c r="Z1819" s="34"/>
      <c r="AA1819" s="34"/>
      <c r="AB1819" s="34"/>
      <c r="AC1819" s="34"/>
      <c r="AD1819" s="34"/>
      <c r="AE1819" s="34"/>
      <c r="AF1819" s="34"/>
      <c r="AG1819" s="34"/>
      <c r="AH1819" s="34"/>
      <c r="AI1819" s="34"/>
      <c r="AJ1819" s="34"/>
      <c r="AK1819" s="34"/>
      <c r="AL1819" s="34"/>
      <c r="AM1819" s="34"/>
      <c r="AN1819" s="34"/>
      <c r="AO1819" s="34"/>
      <c r="AP1819" s="34"/>
      <c r="AQ1819" s="34"/>
      <c r="AR1819" s="34"/>
      <c r="AS1819" s="34"/>
      <c r="AT1819" s="34"/>
      <c r="AU1819" s="34"/>
      <c r="AV1819" s="34"/>
    </row>
    <row r="1820">
      <c r="A1820" s="34"/>
      <c r="B1820" s="34"/>
      <c r="C1820" s="34"/>
      <c r="D1820" s="34"/>
      <c r="E1820" s="34"/>
      <c r="F1820" s="34"/>
      <c r="G1820" s="34"/>
      <c r="H1820" s="34"/>
      <c r="I1820" s="34"/>
      <c r="J1820" s="34"/>
      <c r="K1820" s="34"/>
      <c r="L1820" s="34"/>
      <c r="M1820" s="34"/>
      <c r="N1820" s="34"/>
      <c r="O1820" s="34"/>
      <c r="P1820" s="34"/>
      <c r="Q1820" s="34"/>
      <c r="R1820" s="34"/>
      <c r="S1820" s="34"/>
      <c r="T1820" s="34"/>
      <c r="U1820" s="34"/>
      <c r="V1820" s="34"/>
      <c r="W1820" s="34"/>
      <c r="X1820" s="34"/>
      <c r="Y1820" s="34"/>
      <c r="Z1820" s="34"/>
      <c r="AA1820" s="34"/>
      <c r="AB1820" s="34"/>
      <c r="AC1820" s="34"/>
      <c r="AD1820" s="34"/>
      <c r="AE1820" s="34"/>
      <c r="AF1820" s="34"/>
      <c r="AG1820" s="34"/>
      <c r="AH1820" s="34"/>
      <c r="AI1820" s="34"/>
      <c r="AJ1820" s="34"/>
      <c r="AK1820" s="34"/>
      <c r="AL1820" s="34"/>
      <c r="AM1820" s="34"/>
      <c r="AN1820" s="34"/>
      <c r="AO1820" s="34"/>
      <c r="AP1820" s="34"/>
      <c r="AQ1820" s="34"/>
      <c r="AR1820" s="34"/>
      <c r="AS1820" s="34"/>
      <c r="AT1820" s="34"/>
      <c r="AU1820" s="34"/>
      <c r="AV1820" s="34"/>
    </row>
    <row r="1821">
      <c r="A1821" s="34"/>
      <c r="B1821" s="34"/>
      <c r="C1821" s="34"/>
      <c r="D1821" s="34"/>
      <c r="E1821" s="34"/>
      <c r="F1821" s="34"/>
      <c r="G1821" s="34"/>
      <c r="H1821" s="34"/>
      <c r="I1821" s="34"/>
      <c r="J1821" s="34"/>
      <c r="K1821" s="34"/>
      <c r="L1821" s="34"/>
      <c r="M1821" s="34"/>
      <c r="N1821" s="34"/>
      <c r="O1821" s="34"/>
      <c r="P1821" s="34"/>
      <c r="Q1821" s="34"/>
      <c r="R1821" s="34"/>
      <c r="S1821" s="34"/>
      <c r="T1821" s="34"/>
      <c r="U1821" s="34"/>
      <c r="V1821" s="34"/>
      <c r="W1821" s="34"/>
      <c r="X1821" s="34"/>
      <c r="Y1821" s="34"/>
      <c r="Z1821" s="34"/>
      <c r="AA1821" s="34"/>
      <c r="AB1821" s="34"/>
      <c r="AC1821" s="34"/>
      <c r="AD1821" s="34"/>
      <c r="AE1821" s="34"/>
      <c r="AF1821" s="34"/>
      <c r="AG1821" s="34"/>
      <c r="AH1821" s="34"/>
      <c r="AI1821" s="34"/>
      <c r="AJ1821" s="34"/>
      <c r="AK1821" s="34"/>
      <c r="AL1821" s="34"/>
      <c r="AM1821" s="34"/>
      <c r="AN1821" s="34"/>
      <c r="AO1821" s="34"/>
      <c r="AP1821" s="34"/>
      <c r="AQ1821" s="34"/>
      <c r="AR1821" s="34"/>
      <c r="AS1821" s="34"/>
      <c r="AT1821" s="34"/>
      <c r="AU1821" s="34"/>
      <c r="AV1821" s="34"/>
    </row>
    <row r="1822">
      <c r="A1822" s="34"/>
      <c r="B1822" s="34"/>
      <c r="C1822" s="34"/>
      <c r="D1822" s="34"/>
      <c r="E1822" s="34"/>
      <c r="F1822" s="34"/>
      <c r="G1822" s="34"/>
      <c r="H1822" s="34"/>
      <c r="I1822" s="34"/>
      <c r="J1822" s="34"/>
      <c r="K1822" s="34"/>
      <c r="L1822" s="34"/>
      <c r="M1822" s="34"/>
      <c r="N1822" s="34"/>
      <c r="O1822" s="34"/>
      <c r="P1822" s="34"/>
      <c r="Q1822" s="34"/>
      <c r="R1822" s="34"/>
      <c r="S1822" s="34"/>
      <c r="T1822" s="34"/>
      <c r="U1822" s="34"/>
      <c r="V1822" s="34"/>
      <c r="W1822" s="34"/>
      <c r="X1822" s="34"/>
      <c r="Y1822" s="34"/>
      <c r="Z1822" s="34"/>
      <c r="AA1822" s="34"/>
      <c r="AB1822" s="34"/>
      <c r="AC1822" s="34"/>
      <c r="AD1822" s="34"/>
      <c r="AE1822" s="34"/>
      <c r="AF1822" s="34"/>
      <c r="AG1822" s="34"/>
      <c r="AH1822" s="34"/>
      <c r="AI1822" s="34"/>
      <c r="AJ1822" s="34"/>
      <c r="AK1822" s="34"/>
      <c r="AL1822" s="34"/>
      <c r="AM1822" s="34"/>
      <c r="AN1822" s="34"/>
      <c r="AO1822" s="34"/>
      <c r="AP1822" s="34"/>
      <c r="AQ1822" s="34"/>
      <c r="AR1822" s="34"/>
      <c r="AS1822" s="34"/>
      <c r="AT1822" s="34"/>
      <c r="AU1822" s="34"/>
      <c r="AV1822" s="34"/>
    </row>
    <row r="1823">
      <c r="A1823" s="34"/>
      <c r="B1823" s="34"/>
      <c r="C1823" s="34"/>
      <c r="D1823" s="34"/>
      <c r="E1823" s="34"/>
      <c r="F1823" s="34"/>
      <c r="G1823" s="34"/>
      <c r="H1823" s="34"/>
      <c r="I1823" s="34"/>
      <c r="J1823" s="34"/>
      <c r="K1823" s="34"/>
      <c r="L1823" s="34"/>
      <c r="M1823" s="34"/>
      <c r="N1823" s="34"/>
      <c r="O1823" s="34"/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/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/>
      <c r="AN1823" s="34"/>
      <c r="AO1823" s="34"/>
      <c r="AP1823" s="34"/>
      <c r="AQ1823" s="34"/>
      <c r="AR1823" s="34"/>
      <c r="AS1823" s="34"/>
      <c r="AT1823" s="34"/>
      <c r="AU1823" s="34"/>
      <c r="AV1823" s="34"/>
    </row>
    <row r="1824">
      <c r="A1824" s="34"/>
      <c r="B1824" s="34"/>
      <c r="C1824" s="34"/>
      <c r="D1824" s="34"/>
      <c r="E1824" s="34"/>
      <c r="F1824" s="34"/>
      <c r="G1824" s="34"/>
      <c r="H1824" s="34"/>
      <c r="I1824" s="34"/>
      <c r="J1824" s="34"/>
      <c r="K1824" s="34"/>
      <c r="L1824" s="34"/>
      <c r="M1824" s="34"/>
      <c r="N1824" s="34"/>
      <c r="O1824" s="34"/>
      <c r="P1824" s="34"/>
      <c r="Q1824" s="34"/>
      <c r="R1824" s="34"/>
      <c r="S1824" s="34"/>
      <c r="T1824" s="34"/>
      <c r="U1824" s="34"/>
      <c r="V1824" s="34"/>
      <c r="W1824" s="34"/>
      <c r="X1824" s="34"/>
      <c r="Y1824" s="34"/>
      <c r="Z1824" s="34"/>
      <c r="AA1824" s="34"/>
      <c r="AB1824" s="34"/>
      <c r="AC1824" s="34"/>
      <c r="AD1824" s="34"/>
      <c r="AE1824" s="34"/>
      <c r="AF1824" s="34"/>
      <c r="AG1824" s="34"/>
      <c r="AH1824" s="34"/>
      <c r="AI1824" s="34"/>
      <c r="AJ1824" s="34"/>
      <c r="AK1824" s="34"/>
      <c r="AL1824" s="34"/>
      <c r="AM1824" s="34"/>
      <c r="AN1824" s="34"/>
      <c r="AO1824" s="34"/>
      <c r="AP1824" s="34"/>
      <c r="AQ1824" s="34"/>
      <c r="AR1824" s="34"/>
      <c r="AS1824" s="34"/>
      <c r="AT1824" s="34"/>
      <c r="AU1824" s="34"/>
      <c r="AV1824" s="34"/>
    </row>
    <row r="1825">
      <c r="A1825" s="34"/>
      <c r="B1825" s="34"/>
      <c r="C1825" s="34"/>
      <c r="D1825" s="34"/>
      <c r="E1825" s="34"/>
      <c r="F1825" s="34"/>
      <c r="G1825" s="34"/>
      <c r="H1825" s="34"/>
      <c r="I1825" s="34"/>
      <c r="J1825" s="34"/>
      <c r="K1825" s="34"/>
      <c r="L1825" s="34"/>
      <c r="M1825" s="34"/>
      <c r="N1825" s="34"/>
      <c r="O1825" s="34"/>
      <c r="P1825" s="34"/>
      <c r="Q1825" s="34"/>
      <c r="R1825" s="34"/>
      <c r="S1825" s="34"/>
      <c r="T1825" s="34"/>
      <c r="U1825" s="34"/>
      <c r="V1825" s="34"/>
      <c r="W1825" s="34"/>
      <c r="X1825" s="34"/>
      <c r="Y1825" s="34"/>
      <c r="Z1825" s="34"/>
      <c r="AA1825" s="34"/>
      <c r="AB1825" s="34"/>
      <c r="AC1825" s="34"/>
      <c r="AD1825" s="34"/>
      <c r="AE1825" s="34"/>
      <c r="AF1825" s="34"/>
      <c r="AG1825" s="34"/>
      <c r="AH1825" s="34"/>
      <c r="AI1825" s="34"/>
      <c r="AJ1825" s="34"/>
      <c r="AK1825" s="34"/>
      <c r="AL1825" s="34"/>
      <c r="AM1825" s="34"/>
      <c r="AN1825" s="34"/>
      <c r="AO1825" s="34"/>
      <c r="AP1825" s="34"/>
      <c r="AQ1825" s="34"/>
      <c r="AR1825" s="34"/>
      <c r="AS1825" s="34"/>
      <c r="AT1825" s="34"/>
      <c r="AU1825" s="34"/>
      <c r="AV1825" s="34"/>
    </row>
    <row r="1826">
      <c r="A1826" s="34"/>
      <c r="B1826" s="34"/>
      <c r="C1826" s="34"/>
      <c r="D1826" s="34"/>
      <c r="E1826" s="34"/>
      <c r="F1826" s="34"/>
      <c r="G1826" s="34"/>
      <c r="H1826" s="34"/>
      <c r="I1826" s="34"/>
      <c r="J1826" s="34"/>
      <c r="K1826" s="34"/>
      <c r="L1826" s="34"/>
      <c r="M1826" s="34"/>
      <c r="N1826" s="34"/>
      <c r="O1826" s="34"/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/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/>
      <c r="AN1826" s="34"/>
      <c r="AO1826" s="34"/>
      <c r="AP1826" s="34"/>
      <c r="AQ1826" s="34"/>
      <c r="AR1826" s="34"/>
      <c r="AS1826" s="34"/>
      <c r="AT1826" s="34"/>
      <c r="AU1826" s="34"/>
      <c r="AV1826" s="34"/>
    </row>
    <row r="1827">
      <c r="A1827" s="34"/>
      <c r="B1827" s="34"/>
      <c r="C1827" s="34"/>
      <c r="D1827" s="34"/>
      <c r="E1827" s="34"/>
      <c r="F1827" s="34"/>
      <c r="G1827" s="34"/>
      <c r="H1827" s="34"/>
      <c r="I1827" s="34"/>
      <c r="J1827" s="34"/>
      <c r="K1827" s="34"/>
      <c r="L1827" s="34"/>
      <c r="M1827" s="34"/>
      <c r="N1827" s="34"/>
      <c r="O1827" s="34"/>
      <c r="P1827" s="34"/>
      <c r="Q1827" s="34"/>
      <c r="R1827" s="34"/>
      <c r="S1827" s="34"/>
      <c r="T1827" s="34"/>
      <c r="U1827" s="34"/>
      <c r="V1827" s="34"/>
      <c r="W1827" s="34"/>
      <c r="X1827" s="34"/>
      <c r="Y1827" s="34"/>
      <c r="Z1827" s="34"/>
      <c r="AA1827" s="34"/>
      <c r="AB1827" s="34"/>
      <c r="AC1827" s="34"/>
      <c r="AD1827" s="34"/>
      <c r="AE1827" s="34"/>
      <c r="AF1827" s="34"/>
      <c r="AG1827" s="34"/>
      <c r="AH1827" s="34"/>
      <c r="AI1827" s="34"/>
      <c r="AJ1827" s="34"/>
      <c r="AK1827" s="34"/>
      <c r="AL1827" s="34"/>
      <c r="AM1827" s="34"/>
      <c r="AN1827" s="34"/>
      <c r="AO1827" s="34"/>
      <c r="AP1827" s="34"/>
      <c r="AQ1827" s="34"/>
      <c r="AR1827" s="34"/>
      <c r="AS1827" s="34"/>
      <c r="AT1827" s="34"/>
      <c r="AU1827" s="34"/>
      <c r="AV1827" s="34"/>
    </row>
    <row r="1828">
      <c r="A1828" s="34"/>
      <c r="B1828" s="34"/>
      <c r="C1828" s="34"/>
      <c r="D1828" s="34"/>
      <c r="E1828" s="34"/>
      <c r="F1828" s="34"/>
      <c r="G1828" s="34"/>
      <c r="H1828" s="34"/>
      <c r="I1828" s="34"/>
      <c r="J1828" s="34"/>
      <c r="K1828" s="34"/>
      <c r="L1828" s="34"/>
      <c r="M1828" s="34"/>
      <c r="N1828" s="34"/>
      <c r="O1828" s="34"/>
      <c r="P1828" s="34"/>
      <c r="Q1828" s="34"/>
      <c r="R1828" s="34"/>
      <c r="S1828" s="34"/>
      <c r="T1828" s="34"/>
      <c r="U1828" s="34"/>
      <c r="V1828" s="34"/>
      <c r="W1828" s="34"/>
      <c r="X1828" s="34"/>
      <c r="Y1828" s="34"/>
      <c r="Z1828" s="34"/>
      <c r="AA1828" s="34"/>
      <c r="AB1828" s="34"/>
      <c r="AC1828" s="34"/>
      <c r="AD1828" s="34"/>
      <c r="AE1828" s="34"/>
      <c r="AF1828" s="34"/>
      <c r="AG1828" s="34"/>
      <c r="AH1828" s="34"/>
      <c r="AI1828" s="34"/>
      <c r="AJ1828" s="34"/>
      <c r="AK1828" s="34"/>
      <c r="AL1828" s="34"/>
      <c r="AM1828" s="34"/>
      <c r="AN1828" s="34"/>
      <c r="AO1828" s="34"/>
      <c r="AP1828" s="34"/>
      <c r="AQ1828" s="34"/>
      <c r="AR1828" s="34"/>
      <c r="AS1828" s="34"/>
      <c r="AT1828" s="34"/>
      <c r="AU1828" s="34"/>
      <c r="AV1828" s="34"/>
    </row>
    <row r="1829">
      <c r="A1829" s="34"/>
      <c r="B1829" s="34"/>
      <c r="C1829" s="34"/>
      <c r="D1829" s="34"/>
      <c r="E1829" s="34"/>
      <c r="F1829" s="34"/>
      <c r="G1829" s="34"/>
      <c r="H1829" s="34"/>
      <c r="I1829" s="34"/>
      <c r="J1829" s="34"/>
      <c r="K1829" s="34"/>
      <c r="L1829" s="34"/>
      <c r="M1829" s="34"/>
      <c r="N1829" s="34"/>
      <c r="O1829" s="34"/>
      <c r="P1829" s="34"/>
      <c r="Q1829" s="34"/>
      <c r="R1829" s="34"/>
      <c r="S1829" s="34"/>
      <c r="T1829" s="34"/>
      <c r="U1829" s="34"/>
      <c r="V1829" s="34"/>
      <c r="W1829" s="34"/>
      <c r="X1829" s="34"/>
      <c r="Y1829" s="34"/>
      <c r="Z1829" s="34"/>
      <c r="AA1829" s="34"/>
      <c r="AB1829" s="34"/>
      <c r="AC1829" s="34"/>
      <c r="AD1829" s="34"/>
      <c r="AE1829" s="34"/>
      <c r="AF1829" s="34"/>
      <c r="AG1829" s="34"/>
      <c r="AH1829" s="34"/>
      <c r="AI1829" s="34"/>
      <c r="AJ1829" s="34"/>
      <c r="AK1829" s="34"/>
      <c r="AL1829" s="34"/>
      <c r="AM1829" s="34"/>
      <c r="AN1829" s="34"/>
      <c r="AO1829" s="34"/>
      <c r="AP1829" s="34"/>
      <c r="AQ1829" s="34"/>
      <c r="AR1829" s="34"/>
      <c r="AS1829" s="34"/>
      <c r="AT1829" s="34"/>
      <c r="AU1829" s="34"/>
      <c r="AV1829" s="34"/>
    </row>
    <row r="1830">
      <c r="A1830" s="34"/>
      <c r="B1830" s="34"/>
      <c r="C1830" s="34"/>
      <c r="D1830" s="34"/>
      <c r="E1830" s="34"/>
      <c r="F1830" s="34"/>
      <c r="G1830" s="34"/>
      <c r="H1830" s="34"/>
      <c r="I1830" s="34"/>
      <c r="J1830" s="34"/>
      <c r="K1830" s="34"/>
      <c r="L1830" s="34"/>
      <c r="M1830" s="34"/>
      <c r="N1830" s="34"/>
      <c r="O1830" s="34"/>
      <c r="P1830" s="34"/>
      <c r="Q1830" s="34"/>
      <c r="R1830" s="34"/>
      <c r="S1830" s="34"/>
      <c r="T1830" s="34"/>
      <c r="U1830" s="34"/>
      <c r="V1830" s="34"/>
      <c r="W1830" s="34"/>
      <c r="X1830" s="34"/>
      <c r="Y1830" s="34"/>
      <c r="Z1830" s="34"/>
      <c r="AA1830" s="34"/>
      <c r="AB1830" s="34"/>
      <c r="AC1830" s="34"/>
      <c r="AD1830" s="34"/>
      <c r="AE1830" s="34"/>
      <c r="AF1830" s="34"/>
      <c r="AG1830" s="34"/>
      <c r="AH1830" s="34"/>
      <c r="AI1830" s="34"/>
      <c r="AJ1830" s="34"/>
      <c r="AK1830" s="34"/>
      <c r="AL1830" s="34"/>
      <c r="AM1830" s="34"/>
      <c r="AN1830" s="34"/>
      <c r="AO1830" s="34"/>
      <c r="AP1830" s="34"/>
      <c r="AQ1830" s="34"/>
      <c r="AR1830" s="34"/>
      <c r="AS1830" s="34"/>
      <c r="AT1830" s="34"/>
      <c r="AU1830" s="34"/>
      <c r="AV1830" s="34"/>
    </row>
    <row r="1831">
      <c r="A1831" s="34"/>
      <c r="B1831" s="34"/>
      <c r="C1831" s="34"/>
      <c r="D1831" s="34"/>
      <c r="E1831" s="34"/>
      <c r="F1831" s="34"/>
      <c r="G1831" s="34"/>
      <c r="H1831" s="34"/>
      <c r="I1831" s="34"/>
      <c r="J1831" s="34"/>
      <c r="K1831" s="34"/>
      <c r="L1831" s="34"/>
      <c r="M1831" s="34"/>
      <c r="N1831" s="34"/>
      <c r="O1831" s="34"/>
      <c r="P1831" s="34"/>
      <c r="Q1831" s="34"/>
      <c r="R1831" s="34"/>
      <c r="S1831" s="34"/>
      <c r="T1831" s="34"/>
      <c r="U1831" s="34"/>
      <c r="V1831" s="34"/>
      <c r="W1831" s="34"/>
      <c r="X1831" s="34"/>
      <c r="Y1831" s="34"/>
      <c r="Z1831" s="34"/>
      <c r="AA1831" s="34"/>
      <c r="AB1831" s="34"/>
      <c r="AC1831" s="34"/>
      <c r="AD1831" s="34"/>
      <c r="AE1831" s="34"/>
      <c r="AF1831" s="34"/>
      <c r="AG1831" s="34"/>
      <c r="AH1831" s="34"/>
      <c r="AI1831" s="34"/>
      <c r="AJ1831" s="34"/>
      <c r="AK1831" s="34"/>
      <c r="AL1831" s="34"/>
      <c r="AM1831" s="34"/>
      <c r="AN1831" s="34"/>
      <c r="AO1831" s="34"/>
      <c r="AP1831" s="34"/>
      <c r="AQ1831" s="34"/>
      <c r="AR1831" s="34"/>
      <c r="AS1831" s="34"/>
      <c r="AT1831" s="34"/>
      <c r="AU1831" s="34"/>
      <c r="AV1831" s="34"/>
    </row>
    <row r="1832">
      <c r="A1832" s="34"/>
      <c r="B1832" s="34"/>
      <c r="C1832" s="34"/>
      <c r="D1832" s="34"/>
      <c r="E1832" s="34"/>
      <c r="F1832" s="34"/>
      <c r="G1832" s="34"/>
      <c r="H1832" s="34"/>
      <c r="I1832" s="34"/>
      <c r="J1832" s="34"/>
      <c r="K1832" s="34"/>
      <c r="L1832" s="34"/>
      <c r="M1832" s="34"/>
      <c r="N1832" s="34"/>
      <c r="O1832" s="34"/>
      <c r="P1832" s="34"/>
      <c r="Q1832" s="34"/>
      <c r="R1832" s="34"/>
      <c r="S1832" s="34"/>
      <c r="T1832" s="34"/>
      <c r="U1832" s="34"/>
      <c r="V1832" s="34"/>
      <c r="W1832" s="34"/>
      <c r="X1832" s="34"/>
      <c r="Y1832" s="34"/>
      <c r="Z1832" s="34"/>
      <c r="AA1832" s="34"/>
      <c r="AB1832" s="34"/>
      <c r="AC1832" s="34"/>
      <c r="AD1832" s="34"/>
      <c r="AE1832" s="34"/>
      <c r="AF1832" s="34"/>
      <c r="AG1832" s="34"/>
      <c r="AH1832" s="34"/>
      <c r="AI1832" s="34"/>
      <c r="AJ1832" s="34"/>
      <c r="AK1832" s="34"/>
      <c r="AL1832" s="34"/>
      <c r="AM1832" s="34"/>
      <c r="AN1832" s="34"/>
      <c r="AO1832" s="34"/>
      <c r="AP1832" s="34"/>
      <c r="AQ1832" s="34"/>
      <c r="AR1832" s="34"/>
      <c r="AS1832" s="34"/>
      <c r="AT1832" s="34"/>
      <c r="AU1832" s="34"/>
      <c r="AV1832" s="34"/>
    </row>
    <row r="1833">
      <c r="A1833" s="34"/>
      <c r="B1833" s="34"/>
      <c r="C1833" s="34"/>
      <c r="D1833" s="34"/>
      <c r="E1833" s="34"/>
      <c r="F1833" s="34"/>
      <c r="G1833" s="34"/>
      <c r="H1833" s="34"/>
      <c r="I1833" s="34"/>
      <c r="J1833" s="34"/>
      <c r="K1833" s="34"/>
      <c r="L1833" s="34"/>
      <c r="M1833" s="34"/>
      <c r="N1833" s="34"/>
      <c r="O1833" s="34"/>
      <c r="P1833" s="34"/>
      <c r="Q1833" s="34"/>
      <c r="R1833" s="34"/>
      <c r="S1833" s="34"/>
      <c r="T1833" s="34"/>
      <c r="U1833" s="34"/>
      <c r="V1833" s="34"/>
      <c r="W1833" s="34"/>
      <c r="X1833" s="34"/>
      <c r="Y1833" s="34"/>
      <c r="Z1833" s="34"/>
      <c r="AA1833" s="34"/>
      <c r="AB1833" s="34"/>
      <c r="AC1833" s="34"/>
      <c r="AD1833" s="34"/>
      <c r="AE1833" s="34"/>
      <c r="AF1833" s="34"/>
      <c r="AG1833" s="34"/>
      <c r="AH1833" s="34"/>
      <c r="AI1833" s="34"/>
      <c r="AJ1833" s="34"/>
      <c r="AK1833" s="34"/>
      <c r="AL1833" s="34"/>
      <c r="AM1833" s="34"/>
      <c r="AN1833" s="34"/>
      <c r="AO1833" s="34"/>
      <c r="AP1833" s="34"/>
      <c r="AQ1833" s="34"/>
      <c r="AR1833" s="34"/>
      <c r="AS1833" s="34"/>
      <c r="AT1833" s="34"/>
      <c r="AU1833" s="34"/>
      <c r="AV1833" s="34"/>
    </row>
    <row r="1834">
      <c r="A1834" s="34"/>
      <c r="B1834" s="34"/>
      <c r="C1834" s="34"/>
      <c r="D1834" s="34"/>
      <c r="E1834" s="34"/>
      <c r="F1834" s="34"/>
      <c r="G1834" s="34"/>
      <c r="H1834" s="34"/>
      <c r="I1834" s="34"/>
      <c r="J1834" s="34"/>
      <c r="K1834" s="34"/>
      <c r="L1834" s="34"/>
      <c r="M1834" s="34"/>
      <c r="N1834" s="34"/>
      <c r="O1834" s="34"/>
      <c r="P1834" s="34"/>
      <c r="Q1834" s="34"/>
      <c r="R1834" s="34"/>
      <c r="S1834" s="34"/>
      <c r="T1834" s="34"/>
      <c r="U1834" s="34"/>
      <c r="V1834" s="34"/>
      <c r="W1834" s="34"/>
      <c r="X1834" s="34"/>
      <c r="Y1834" s="34"/>
      <c r="Z1834" s="34"/>
      <c r="AA1834" s="34"/>
      <c r="AB1834" s="34"/>
      <c r="AC1834" s="34"/>
      <c r="AD1834" s="34"/>
      <c r="AE1834" s="34"/>
      <c r="AF1834" s="34"/>
      <c r="AG1834" s="34"/>
      <c r="AH1834" s="34"/>
      <c r="AI1834" s="34"/>
      <c r="AJ1834" s="34"/>
      <c r="AK1834" s="34"/>
      <c r="AL1834" s="34"/>
      <c r="AM1834" s="34"/>
      <c r="AN1834" s="34"/>
      <c r="AO1834" s="34"/>
      <c r="AP1834" s="34"/>
      <c r="AQ1834" s="34"/>
      <c r="AR1834" s="34"/>
      <c r="AS1834" s="34"/>
      <c r="AT1834" s="34"/>
      <c r="AU1834" s="34"/>
      <c r="AV1834" s="34"/>
    </row>
    <row r="1835">
      <c r="A1835" s="34"/>
      <c r="B1835" s="34"/>
      <c r="C1835" s="34"/>
      <c r="D1835" s="34"/>
      <c r="E1835" s="34"/>
      <c r="F1835" s="34"/>
      <c r="G1835" s="34"/>
      <c r="H1835" s="34"/>
      <c r="I1835" s="34"/>
      <c r="J1835" s="34"/>
      <c r="K1835" s="34"/>
      <c r="L1835" s="34"/>
      <c r="M1835" s="34"/>
      <c r="N1835" s="34"/>
      <c r="O1835" s="34"/>
      <c r="P1835" s="34"/>
      <c r="Q1835" s="34"/>
      <c r="R1835" s="34"/>
      <c r="S1835" s="34"/>
      <c r="T1835" s="34"/>
      <c r="U1835" s="34"/>
      <c r="V1835" s="34"/>
      <c r="W1835" s="34"/>
      <c r="X1835" s="34"/>
      <c r="Y1835" s="34"/>
      <c r="Z1835" s="34"/>
      <c r="AA1835" s="34"/>
      <c r="AB1835" s="34"/>
      <c r="AC1835" s="34"/>
      <c r="AD1835" s="34"/>
      <c r="AE1835" s="34"/>
      <c r="AF1835" s="34"/>
      <c r="AG1835" s="34"/>
      <c r="AH1835" s="34"/>
      <c r="AI1835" s="34"/>
      <c r="AJ1835" s="34"/>
      <c r="AK1835" s="34"/>
      <c r="AL1835" s="34"/>
      <c r="AM1835" s="34"/>
      <c r="AN1835" s="34"/>
      <c r="AO1835" s="34"/>
      <c r="AP1835" s="34"/>
      <c r="AQ1835" s="34"/>
      <c r="AR1835" s="34"/>
      <c r="AS1835" s="34"/>
      <c r="AT1835" s="34"/>
      <c r="AU1835" s="34"/>
      <c r="AV1835" s="34"/>
    </row>
    <row r="1836">
      <c r="A1836" s="34"/>
      <c r="B1836" s="34"/>
      <c r="C1836" s="34"/>
      <c r="D1836" s="34"/>
      <c r="E1836" s="34"/>
      <c r="F1836" s="34"/>
      <c r="G1836" s="34"/>
      <c r="H1836" s="34"/>
      <c r="I1836" s="34"/>
      <c r="J1836" s="34"/>
      <c r="K1836" s="34"/>
      <c r="L1836" s="34"/>
      <c r="M1836" s="34"/>
      <c r="N1836" s="34"/>
      <c r="O1836" s="34"/>
      <c r="P1836" s="34"/>
      <c r="Q1836" s="34"/>
      <c r="R1836" s="34"/>
      <c r="S1836" s="34"/>
      <c r="T1836" s="34"/>
      <c r="U1836" s="34"/>
      <c r="V1836" s="34"/>
      <c r="W1836" s="34"/>
      <c r="X1836" s="34"/>
      <c r="Y1836" s="34"/>
      <c r="Z1836" s="34"/>
      <c r="AA1836" s="34"/>
      <c r="AB1836" s="34"/>
      <c r="AC1836" s="34"/>
      <c r="AD1836" s="34"/>
      <c r="AE1836" s="34"/>
      <c r="AF1836" s="34"/>
      <c r="AG1836" s="34"/>
      <c r="AH1836" s="34"/>
      <c r="AI1836" s="34"/>
      <c r="AJ1836" s="34"/>
      <c r="AK1836" s="34"/>
      <c r="AL1836" s="34"/>
      <c r="AM1836" s="34"/>
      <c r="AN1836" s="34"/>
      <c r="AO1836" s="34"/>
      <c r="AP1836" s="34"/>
      <c r="AQ1836" s="34"/>
      <c r="AR1836" s="34"/>
      <c r="AS1836" s="34"/>
      <c r="AT1836" s="34"/>
      <c r="AU1836" s="34"/>
      <c r="AV1836" s="34"/>
    </row>
    <row r="1837">
      <c r="A1837" s="34"/>
      <c r="B1837" s="34"/>
      <c r="C1837" s="34"/>
      <c r="D1837" s="34"/>
      <c r="E1837" s="34"/>
      <c r="F1837" s="34"/>
      <c r="G1837" s="34"/>
      <c r="H1837" s="34"/>
      <c r="I1837" s="34"/>
      <c r="J1837" s="34"/>
      <c r="K1837" s="34"/>
      <c r="L1837" s="34"/>
      <c r="M1837" s="34"/>
      <c r="N1837" s="34"/>
      <c r="O1837" s="34"/>
      <c r="P1837" s="34"/>
      <c r="Q1837" s="34"/>
      <c r="R1837" s="34"/>
      <c r="S1837" s="34"/>
      <c r="T1837" s="34"/>
      <c r="U1837" s="34"/>
      <c r="V1837" s="34"/>
      <c r="W1837" s="34"/>
      <c r="X1837" s="34"/>
      <c r="Y1837" s="34"/>
      <c r="Z1837" s="34"/>
      <c r="AA1837" s="34"/>
      <c r="AB1837" s="34"/>
      <c r="AC1837" s="34"/>
      <c r="AD1837" s="34"/>
      <c r="AE1837" s="34"/>
      <c r="AF1837" s="34"/>
      <c r="AG1837" s="34"/>
      <c r="AH1837" s="34"/>
      <c r="AI1837" s="34"/>
      <c r="AJ1837" s="34"/>
      <c r="AK1837" s="34"/>
      <c r="AL1837" s="34"/>
      <c r="AM1837" s="34"/>
      <c r="AN1837" s="34"/>
      <c r="AO1837" s="34"/>
      <c r="AP1837" s="34"/>
      <c r="AQ1837" s="34"/>
      <c r="AR1837" s="34"/>
      <c r="AS1837" s="34"/>
      <c r="AT1837" s="34"/>
      <c r="AU1837" s="34"/>
      <c r="AV1837" s="34"/>
    </row>
    <row r="1838">
      <c r="A1838" s="34"/>
      <c r="B1838" s="34"/>
      <c r="C1838" s="34"/>
      <c r="D1838" s="34"/>
      <c r="E1838" s="34"/>
      <c r="F1838" s="34"/>
      <c r="G1838" s="34"/>
      <c r="H1838" s="34"/>
      <c r="I1838" s="34"/>
      <c r="J1838" s="34"/>
      <c r="K1838" s="34"/>
      <c r="L1838" s="34"/>
      <c r="M1838" s="34"/>
      <c r="N1838" s="34"/>
      <c r="O1838" s="34"/>
      <c r="P1838" s="34"/>
      <c r="Q1838" s="34"/>
      <c r="R1838" s="34"/>
      <c r="S1838" s="34"/>
      <c r="T1838" s="34"/>
      <c r="U1838" s="34"/>
      <c r="V1838" s="34"/>
      <c r="W1838" s="34"/>
      <c r="X1838" s="34"/>
      <c r="Y1838" s="34"/>
      <c r="Z1838" s="34"/>
      <c r="AA1838" s="34"/>
      <c r="AB1838" s="34"/>
      <c r="AC1838" s="34"/>
      <c r="AD1838" s="34"/>
      <c r="AE1838" s="34"/>
      <c r="AF1838" s="34"/>
      <c r="AG1838" s="34"/>
      <c r="AH1838" s="34"/>
      <c r="AI1838" s="34"/>
      <c r="AJ1838" s="34"/>
      <c r="AK1838" s="34"/>
      <c r="AL1838" s="34"/>
      <c r="AM1838" s="34"/>
      <c r="AN1838" s="34"/>
      <c r="AO1838" s="34"/>
      <c r="AP1838" s="34"/>
      <c r="AQ1838" s="34"/>
      <c r="AR1838" s="34"/>
      <c r="AS1838" s="34"/>
      <c r="AT1838" s="34"/>
      <c r="AU1838" s="34"/>
      <c r="AV1838" s="34"/>
    </row>
    <row r="1839">
      <c r="A1839" s="34"/>
      <c r="B1839" s="34"/>
      <c r="C1839" s="34"/>
      <c r="D1839" s="34"/>
      <c r="E1839" s="34"/>
      <c r="F1839" s="34"/>
      <c r="G1839" s="34"/>
      <c r="H1839" s="34"/>
      <c r="I1839" s="34"/>
      <c r="J1839" s="34"/>
      <c r="K1839" s="34"/>
      <c r="L1839" s="34"/>
      <c r="M1839" s="34"/>
      <c r="N1839" s="34"/>
      <c r="O1839" s="34"/>
      <c r="P1839" s="34"/>
      <c r="Q1839" s="34"/>
      <c r="R1839" s="34"/>
      <c r="S1839" s="34"/>
      <c r="T1839" s="34"/>
      <c r="U1839" s="34"/>
      <c r="V1839" s="34"/>
      <c r="W1839" s="34"/>
      <c r="X1839" s="34"/>
      <c r="Y1839" s="34"/>
      <c r="Z1839" s="34"/>
      <c r="AA1839" s="34"/>
      <c r="AB1839" s="34"/>
      <c r="AC1839" s="34"/>
      <c r="AD1839" s="34"/>
      <c r="AE1839" s="34"/>
      <c r="AF1839" s="34"/>
      <c r="AG1839" s="34"/>
      <c r="AH1839" s="34"/>
      <c r="AI1839" s="34"/>
      <c r="AJ1839" s="34"/>
      <c r="AK1839" s="34"/>
      <c r="AL1839" s="34"/>
      <c r="AM1839" s="34"/>
      <c r="AN1839" s="34"/>
      <c r="AO1839" s="34"/>
      <c r="AP1839" s="34"/>
      <c r="AQ1839" s="34"/>
      <c r="AR1839" s="34"/>
      <c r="AS1839" s="34"/>
      <c r="AT1839" s="34"/>
      <c r="AU1839" s="34"/>
      <c r="AV1839" s="34"/>
    </row>
    <row r="1840">
      <c r="A1840" s="34"/>
      <c r="B1840" s="34"/>
      <c r="C1840" s="34"/>
      <c r="D1840" s="34"/>
      <c r="E1840" s="34"/>
      <c r="F1840" s="34"/>
      <c r="G1840" s="34"/>
      <c r="H1840" s="34"/>
      <c r="I1840" s="34"/>
      <c r="J1840" s="34"/>
      <c r="K1840" s="34"/>
      <c r="L1840" s="34"/>
      <c r="M1840" s="34"/>
      <c r="N1840" s="34"/>
      <c r="O1840" s="34"/>
      <c r="P1840" s="34"/>
      <c r="Q1840" s="34"/>
      <c r="R1840" s="34"/>
      <c r="S1840" s="34"/>
      <c r="T1840" s="34"/>
      <c r="U1840" s="34"/>
      <c r="V1840" s="34"/>
      <c r="W1840" s="34"/>
      <c r="X1840" s="34"/>
      <c r="Y1840" s="34"/>
      <c r="Z1840" s="34"/>
      <c r="AA1840" s="34"/>
      <c r="AB1840" s="34"/>
      <c r="AC1840" s="34"/>
      <c r="AD1840" s="34"/>
      <c r="AE1840" s="34"/>
      <c r="AF1840" s="34"/>
      <c r="AG1840" s="34"/>
      <c r="AH1840" s="34"/>
      <c r="AI1840" s="34"/>
      <c r="AJ1840" s="34"/>
      <c r="AK1840" s="34"/>
      <c r="AL1840" s="34"/>
      <c r="AM1840" s="34"/>
      <c r="AN1840" s="34"/>
      <c r="AO1840" s="34"/>
      <c r="AP1840" s="34"/>
      <c r="AQ1840" s="34"/>
      <c r="AR1840" s="34"/>
      <c r="AS1840" s="34"/>
      <c r="AT1840" s="34"/>
      <c r="AU1840" s="34"/>
      <c r="AV1840" s="34"/>
    </row>
    <row r="1841">
      <c r="A1841" s="34"/>
      <c r="B1841" s="34"/>
      <c r="C1841" s="34"/>
      <c r="D1841" s="34"/>
      <c r="E1841" s="34"/>
      <c r="F1841" s="34"/>
      <c r="G1841" s="34"/>
      <c r="H1841" s="34"/>
      <c r="I1841" s="34"/>
      <c r="J1841" s="34"/>
      <c r="K1841" s="34"/>
      <c r="L1841" s="34"/>
      <c r="M1841" s="34"/>
      <c r="N1841" s="34"/>
      <c r="O1841" s="34"/>
      <c r="P1841" s="34"/>
      <c r="Q1841" s="34"/>
      <c r="R1841" s="34"/>
      <c r="S1841" s="34"/>
      <c r="T1841" s="34"/>
      <c r="U1841" s="34"/>
      <c r="V1841" s="34"/>
      <c r="W1841" s="34"/>
      <c r="X1841" s="34"/>
      <c r="Y1841" s="34"/>
      <c r="Z1841" s="34"/>
      <c r="AA1841" s="34"/>
      <c r="AB1841" s="34"/>
      <c r="AC1841" s="34"/>
      <c r="AD1841" s="34"/>
      <c r="AE1841" s="34"/>
      <c r="AF1841" s="34"/>
      <c r="AG1841" s="34"/>
      <c r="AH1841" s="34"/>
      <c r="AI1841" s="34"/>
      <c r="AJ1841" s="34"/>
      <c r="AK1841" s="34"/>
      <c r="AL1841" s="34"/>
      <c r="AM1841" s="34"/>
      <c r="AN1841" s="34"/>
      <c r="AO1841" s="34"/>
      <c r="AP1841" s="34"/>
      <c r="AQ1841" s="34"/>
      <c r="AR1841" s="34"/>
      <c r="AS1841" s="34"/>
      <c r="AT1841" s="34"/>
      <c r="AU1841" s="34"/>
      <c r="AV1841" s="34"/>
    </row>
    <row r="1842">
      <c r="A1842" s="34"/>
      <c r="B1842" s="34"/>
      <c r="C1842" s="34"/>
      <c r="D1842" s="34"/>
      <c r="E1842" s="34"/>
      <c r="F1842" s="34"/>
      <c r="G1842" s="34"/>
      <c r="H1842" s="34"/>
      <c r="I1842" s="34"/>
      <c r="J1842" s="34"/>
      <c r="K1842" s="34"/>
      <c r="L1842" s="34"/>
      <c r="M1842" s="34"/>
      <c r="N1842" s="34"/>
      <c r="O1842" s="34"/>
      <c r="P1842" s="34"/>
      <c r="Q1842" s="34"/>
      <c r="R1842" s="34"/>
      <c r="S1842" s="34"/>
      <c r="T1842" s="34"/>
      <c r="U1842" s="34"/>
      <c r="V1842" s="34"/>
      <c r="W1842" s="34"/>
      <c r="X1842" s="34"/>
      <c r="Y1842" s="34"/>
      <c r="Z1842" s="34"/>
      <c r="AA1842" s="34"/>
      <c r="AB1842" s="34"/>
      <c r="AC1842" s="34"/>
      <c r="AD1842" s="34"/>
      <c r="AE1842" s="34"/>
      <c r="AF1842" s="34"/>
      <c r="AG1842" s="34"/>
      <c r="AH1842" s="34"/>
      <c r="AI1842" s="34"/>
      <c r="AJ1842" s="34"/>
      <c r="AK1842" s="34"/>
      <c r="AL1842" s="34"/>
      <c r="AM1842" s="34"/>
      <c r="AN1842" s="34"/>
      <c r="AO1842" s="34"/>
      <c r="AP1842" s="34"/>
      <c r="AQ1842" s="34"/>
      <c r="AR1842" s="34"/>
      <c r="AS1842" s="34"/>
      <c r="AT1842" s="34"/>
      <c r="AU1842" s="34"/>
      <c r="AV1842" s="34"/>
    </row>
    <row r="1843">
      <c r="A1843" s="34"/>
      <c r="B1843" s="34"/>
      <c r="C1843" s="34"/>
      <c r="D1843" s="34"/>
      <c r="E1843" s="34"/>
      <c r="F1843" s="34"/>
      <c r="G1843" s="34"/>
      <c r="H1843" s="34"/>
      <c r="I1843" s="34"/>
      <c r="J1843" s="34"/>
      <c r="K1843" s="34"/>
      <c r="L1843" s="34"/>
      <c r="M1843" s="34"/>
      <c r="N1843" s="34"/>
      <c r="O1843" s="34"/>
      <c r="P1843" s="34"/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  <c r="AI1843" s="34"/>
      <c r="AJ1843" s="34"/>
      <c r="AK1843" s="34"/>
      <c r="AL1843" s="34"/>
      <c r="AM1843" s="34"/>
      <c r="AN1843" s="34"/>
      <c r="AO1843" s="34"/>
      <c r="AP1843" s="34"/>
      <c r="AQ1843" s="34"/>
      <c r="AR1843" s="34"/>
      <c r="AS1843" s="34"/>
      <c r="AT1843" s="34"/>
      <c r="AU1843" s="34"/>
      <c r="AV1843" s="34"/>
    </row>
    <row r="1844">
      <c r="A1844" s="34"/>
      <c r="B1844" s="34"/>
      <c r="C1844" s="34"/>
      <c r="D1844" s="34"/>
      <c r="E1844" s="34"/>
      <c r="F1844" s="34"/>
      <c r="G1844" s="34"/>
      <c r="H1844" s="34"/>
      <c r="I1844" s="34"/>
      <c r="J1844" s="34"/>
      <c r="K1844" s="34"/>
      <c r="L1844" s="34"/>
      <c r="M1844" s="34"/>
      <c r="N1844" s="34"/>
      <c r="O1844" s="34"/>
      <c r="P1844" s="34"/>
      <c r="Q1844" s="34"/>
      <c r="R1844" s="34"/>
      <c r="S1844" s="34"/>
      <c r="T1844" s="34"/>
      <c r="U1844" s="34"/>
      <c r="V1844" s="34"/>
      <c r="W1844" s="34"/>
      <c r="X1844" s="34"/>
      <c r="Y1844" s="34"/>
      <c r="Z1844" s="34"/>
      <c r="AA1844" s="34"/>
      <c r="AB1844" s="34"/>
      <c r="AC1844" s="34"/>
      <c r="AD1844" s="34"/>
      <c r="AE1844" s="34"/>
      <c r="AF1844" s="34"/>
      <c r="AG1844" s="34"/>
      <c r="AH1844" s="34"/>
      <c r="AI1844" s="34"/>
      <c r="AJ1844" s="34"/>
      <c r="AK1844" s="34"/>
      <c r="AL1844" s="34"/>
      <c r="AM1844" s="34"/>
      <c r="AN1844" s="34"/>
      <c r="AO1844" s="34"/>
      <c r="AP1844" s="34"/>
      <c r="AQ1844" s="34"/>
      <c r="AR1844" s="34"/>
      <c r="AS1844" s="34"/>
      <c r="AT1844" s="34"/>
      <c r="AU1844" s="34"/>
      <c r="AV1844" s="34"/>
    </row>
    <row r="1845">
      <c r="A1845" s="34"/>
      <c r="B1845" s="34"/>
      <c r="C1845" s="34"/>
      <c r="D1845" s="34"/>
      <c r="E1845" s="34"/>
      <c r="F1845" s="34"/>
      <c r="G1845" s="34"/>
      <c r="H1845" s="34"/>
      <c r="I1845" s="34"/>
      <c r="J1845" s="34"/>
      <c r="K1845" s="34"/>
      <c r="L1845" s="34"/>
      <c r="M1845" s="34"/>
      <c r="N1845" s="34"/>
      <c r="O1845" s="34"/>
      <c r="P1845" s="34"/>
      <c r="Q1845" s="34"/>
      <c r="R1845" s="34"/>
      <c r="S1845" s="34"/>
      <c r="T1845" s="34"/>
      <c r="U1845" s="34"/>
      <c r="V1845" s="34"/>
      <c r="W1845" s="34"/>
      <c r="X1845" s="34"/>
      <c r="Y1845" s="34"/>
      <c r="Z1845" s="34"/>
      <c r="AA1845" s="34"/>
      <c r="AB1845" s="34"/>
      <c r="AC1845" s="34"/>
      <c r="AD1845" s="34"/>
      <c r="AE1845" s="34"/>
      <c r="AF1845" s="34"/>
      <c r="AG1845" s="34"/>
      <c r="AH1845" s="34"/>
      <c r="AI1845" s="34"/>
      <c r="AJ1845" s="34"/>
      <c r="AK1845" s="34"/>
      <c r="AL1845" s="34"/>
      <c r="AM1845" s="34"/>
      <c r="AN1845" s="34"/>
      <c r="AO1845" s="34"/>
      <c r="AP1845" s="34"/>
      <c r="AQ1845" s="34"/>
      <c r="AR1845" s="34"/>
      <c r="AS1845" s="34"/>
      <c r="AT1845" s="34"/>
      <c r="AU1845" s="34"/>
      <c r="AV1845" s="34"/>
    </row>
    <row r="1846">
      <c r="A1846" s="34"/>
      <c r="B1846" s="34"/>
      <c r="C1846" s="34"/>
      <c r="D1846" s="34"/>
      <c r="E1846" s="34"/>
      <c r="F1846" s="34"/>
      <c r="G1846" s="34"/>
      <c r="H1846" s="34"/>
      <c r="I1846" s="34"/>
      <c r="J1846" s="34"/>
      <c r="K1846" s="34"/>
      <c r="L1846" s="34"/>
      <c r="M1846" s="34"/>
      <c r="N1846" s="34"/>
      <c r="O1846" s="34"/>
      <c r="P1846" s="34"/>
      <c r="Q1846" s="34"/>
      <c r="R1846" s="34"/>
      <c r="S1846" s="34"/>
      <c r="T1846" s="34"/>
      <c r="U1846" s="34"/>
      <c r="V1846" s="34"/>
      <c r="W1846" s="34"/>
      <c r="X1846" s="34"/>
      <c r="Y1846" s="34"/>
      <c r="Z1846" s="34"/>
      <c r="AA1846" s="34"/>
      <c r="AB1846" s="34"/>
      <c r="AC1846" s="34"/>
      <c r="AD1846" s="34"/>
      <c r="AE1846" s="34"/>
      <c r="AF1846" s="34"/>
      <c r="AG1846" s="34"/>
      <c r="AH1846" s="34"/>
      <c r="AI1846" s="34"/>
      <c r="AJ1846" s="34"/>
      <c r="AK1846" s="34"/>
      <c r="AL1846" s="34"/>
      <c r="AM1846" s="34"/>
      <c r="AN1846" s="34"/>
      <c r="AO1846" s="34"/>
      <c r="AP1846" s="34"/>
      <c r="AQ1846" s="34"/>
      <c r="AR1846" s="34"/>
      <c r="AS1846" s="34"/>
      <c r="AT1846" s="34"/>
      <c r="AU1846" s="34"/>
      <c r="AV1846" s="34"/>
    </row>
    <row r="1847">
      <c r="A1847" s="34"/>
      <c r="B1847" s="34"/>
      <c r="C1847" s="34"/>
      <c r="D1847" s="34"/>
      <c r="E1847" s="34"/>
      <c r="F1847" s="34"/>
      <c r="G1847" s="34"/>
      <c r="H1847" s="34"/>
      <c r="I1847" s="34"/>
      <c r="J1847" s="34"/>
      <c r="K1847" s="34"/>
      <c r="L1847" s="34"/>
      <c r="M1847" s="34"/>
      <c r="N1847" s="34"/>
      <c r="O1847" s="34"/>
      <c r="P1847" s="34"/>
      <c r="Q1847" s="34"/>
      <c r="R1847" s="34"/>
      <c r="S1847" s="34"/>
      <c r="T1847" s="34"/>
      <c r="U1847" s="34"/>
      <c r="V1847" s="34"/>
      <c r="W1847" s="34"/>
      <c r="X1847" s="34"/>
      <c r="Y1847" s="34"/>
      <c r="Z1847" s="34"/>
      <c r="AA1847" s="34"/>
      <c r="AB1847" s="34"/>
      <c r="AC1847" s="34"/>
      <c r="AD1847" s="34"/>
      <c r="AE1847" s="34"/>
      <c r="AF1847" s="34"/>
      <c r="AG1847" s="34"/>
      <c r="AH1847" s="34"/>
      <c r="AI1847" s="34"/>
      <c r="AJ1847" s="34"/>
      <c r="AK1847" s="34"/>
      <c r="AL1847" s="34"/>
      <c r="AM1847" s="34"/>
      <c r="AN1847" s="34"/>
      <c r="AO1847" s="34"/>
      <c r="AP1847" s="34"/>
      <c r="AQ1847" s="34"/>
      <c r="AR1847" s="34"/>
      <c r="AS1847" s="34"/>
      <c r="AT1847" s="34"/>
      <c r="AU1847" s="34"/>
      <c r="AV1847" s="34"/>
    </row>
    <row r="1848">
      <c r="A1848" s="34"/>
      <c r="B1848" s="34"/>
      <c r="C1848" s="34"/>
      <c r="D1848" s="34"/>
      <c r="E1848" s="34"/>
      <c r="F1848" s="34"/>
      <c r="G1848" s="34"/>
      <c r="H1848" s="34"/>
      <c r="I1848" s="34"/>
      <c r="J1848" s="34"/>
      <c r="K1848" s="34"/>
      <c r="L1848" s="34"/>
      <c r="M1848" s="34"/>
      <c r="N1848" s="34"/>
      <c r="O1848" s="34"/>
      <c r="P1848" s="34"/>
      <c r="Q1848" s="34"/>
      <c r="R1848" s="34"/>
      <c r="S1848" s="34"/>
      <c r="T1848" s="34"/>
      <c r="U1848" s="34"/>
      <c r="V1848" s="34"/>
      <c r="W1848" s="34"/>
      <c r="X1848" s="34"/>
      <c r="Y1848" s="34"/>
      <c r="Z1848" s="34"/>
      <c r="AA1848" s="34"/>
      <c r="AB1848" s="34"/>
      <c r="AC1848" s="34"/>
      <c r="AD1848" s="34"/>
      <c r="AE1848" s="34"/>
      <c r="AF1848" s="34"/>
      <c r="AG1848" s="34"/>
      <c r="AH1848" s="34"/>
      <c r="AI1848" s="34"/>
      <c r="AJ1848" s="34"/>
      <c r="AK1848" s="34"/>
      <c r="AL1848" s="34"/>
      <c r="AM1848" s="34"/>
      <c r="AN1848" s="34"/>
      <c r="AO1848" s="34"/>
      <c r="AP1848" s="34"/>
      <c r="AQ1848" s="34"/>
      <c r="AR1848" s="34"/>
      <c r="AS1848" s="34"/>
      <c r="AT1848" s="34"/>
      <c r="AU1848" s="34"/>
      <c r="AV1848" s="34"/>
    </row>
    <row r="1849">
      <c r="A1849" s="34"/>
      <c r="B1849" s="34"/>
      <c r="C1849" s="34"/>
      <c r="D1849" s="34"/>
      <c r="E1849" s="34"/>
      <c r="F1849" s="34"/>
      <c r="G1849" s="34"/>
      <c r="H1849" s="34"/>
      <c r="I1849" s="34"/>
      <c r="J1849" s="34"/>
      <c r="K1849" s="34"/>
      <c r="L1849" s="34"/>
      <c r="M1849" s="34"/>
      <c r="N1849" s="34"/>
      <c r="O1849" s="34"/>
      <c r="P1849" s="34"/>
      <c r="Q1849" s="34"/>
      <c r="R1849" s="34"/>
      <c r="S1849" s="34"/>
      <c r="T1849" s="34"/>
      <c r="U1849" s="34"/>
      <c r="V1849" s="34"/>
      <c r="W1849" s="34"/>
      <c r="X1849" s="34"/>
      <c r="Y1849" s="34"/>
      <c r="Z1849" s="34"/>
      <c r="AA1849" s="34"/>
      <c r="AB1849" s="34"/>
      <c r="AC1849" s="34"/>
      <c r="AD1849" s="34"/>
      <c r="AE1849" s="34"/>
      <c r="AF1849" s="34"/>
      <c r="AG1849" s="34"/>
      <c r="AH1849" s="34"/>
      <c r="AI1849" s="34"/>
      <c r="AJ1849" s="34"/>
      <c r="AK1849" s="34"/>
      <c r="AL1849" s="34"/>
      <c r="AM1849" s="34"/>
      <c r="AN1849" s="34"/>
      <c r="AO1849" s="34"/>
      <c r="AP1849" s="34"/>
      <c r="AQ1849" s="34"/>
      <c r="AR1849" s="34"/>
      <c r="AS1849" s="34"/>
      <c r="AT1849" s="34"/>
      <c r="AU1849" s="34"/>
      <c r="AV1849" s="34"/>
    </row>
    <row r="1850">
      <c r="A1850" s="34"/>
      <c r="B1850" s="34"/>
      <c r="C1850" s="34"/>
      <c r="D1850" s="34"/>
      <c r="E1850" s="34"/>
      <c r="F1850" s="34"/>
      <c r="G1850" s="34"/>
      <c r="H1850" s="34"/>
      <c r="I1850" s="34"/>
      <c r="J1850" s="34"/>
      <c r="K1850" s="34"/>
      <c r="L1850" s="34"/>
      <c r="M1850" s="34"/>
      <c r="N1850" s="34"/>
      <c r="O1850" s="34"/>
      <c r="P1850" s="34"/>
      <c r="Q1850" s="34"/>
      <c r="R1850" s="34"/>
      <c r="S1850" s="34"/>
      <c r="T1850" s="34"/>
      <c r="U1850" s="34"/>
      <c r="V1850" s="34"/>
      <c r="W1850" s="34"/>
      <c r="X1850" s="34"/>
      <c r="Y1850" s="34"/>
      <c r="Z1850" s="34"/>
      <c r="AA1850" s="34"/>
      <c r="AB1850" s="34"/>
      <c r="AC1850" s="34"/>
      <c r="AD1850" s="34"/>
      <c r="AE1850" s="34"/>
      <c r="AF1850" s="34"/>
      <c r="AG1850" s="34"/>
      <c r="AH1850" s="34"/>
      <c r="AI1850" s="34"/>
      <c r="AJ1850" s="34"/>
      <c r="AK1850" s="34"/>
      <c r="AL1850" s="34"/>
      <c r="AM1850" s="34"/>
      <c r="AN1850" s="34"/>
      <c r="AO1850" s="34"/>
      <c r="AP1850" s="34"/>
      <c r="AQ1850" s="34"/>
      <c r="AR1850" s="34"/>
      <c r="AS1850" s="34"/>
      <c r="AT1850" s="34"/>
      <c r="AU1850" s="34"/>
      <c r="AV1850" s="34"/>
    </row>
    <row r="1851">
      <c r="A1851" s="34"/>
      <c r="B1851" s="34"/>
      <c r="C1851" s="34"/>
      <c r="D1851" s="34"/>
      <c r="E1851" s="34"/>
      <c r="F1851" s="34"/>
      <c r="G1851" s="34"/>
      <c r="H1851" s="34"/>
      <c r="I1851" s="34"/>
      <c r="J1851" s="34"/>
      <c r="K1851" s="34"/>
      <c r="L1851" s="34"/>
      <c r="M1851" s="34"/>
      <c r="N1851" s="34"/>
      <c r="O1851" s="34"/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4"/>
      <c r="AM1851" s="34"/>
      <c r="AN1851" s="34"/>
      <c r="AO1851" s="34"/>
      <c r="AP1851" s="34"/>
      <c r="AQ1851" s="34"/>
      <c r="AR1851" s="34"/>
      <c r="AS1851" s="34"/>
      <c r="AT1851" s="34"/>
      <c r="AU1851" s="34"/>
      <c r="AV1851" s="34"/>
    </row>
    <row r="1852">
      <c r="A1852" s="34"/>
      <c r="B1852" s="34"/>
      <c r="C1852" s="34"/>
      <c r="D1852" s="34"/>
      <c r="E1852" s="34"/>
      <c r="F1852" s="34"/>
      <c r="G1852" s="34"/>
      <c r="H1852" s="34"/>
      <c r="I1852" s="34"/>
      <c r="J1852" s="34"/>
      <c r="K1852" s="34"/>
      <c r="L1852" s="34"/>
      <c r="M1852" s="34"/>
      <c r="N1852" s="34"/>
      <c r="O1852" s="34"/>
      <c r="P1852" s="34"/>
      <c r="Q1852" s="34"/>
      <c r="R1852" s="34"/>
      <c r="S1852" s="34"/>
      <c r="T1852" s="34"/>
      <c r="U1852" s="34"/>
      <c r="V1852" s="34"/>
      <c r="W1852" s="34"/>
      <c r="X1852" s="34"/>
      <c r="Y1852" s="34"/>
      <c r="Z1852" s="34"/>
      <c r="AA1852" s="34"/>
      <c r="AB1852" s="34"/>
      <c r="AC1852" s="34"/>
      <c r="AD1852" s="34"/>
      <c r="AE1852" s="34"/>
      <c r="AF1852" s="34"/>
      <c r="AG1852" s="34"/>
      <c r="AH1852" s="34"/>
      <c r="AI1852" s="34"/>
      <c r="AJ1852" s="34"/>
      <c r="AK1852" s="34"/>
      <c r="AL1852" s="34"/>
      <c r="AM1852" s="34"/>
      <c r="AN1852" s="34"/>
      <c r="AO1852" s="34"/>
      <c r="AP1852" s="34"/>
      <c r="AQ1852" s="34"/>
      <c r="AR1852" s="34"/>
      <c r="AS1852" s="34"/>
      <c r="AT1852" s="34"/>
      <c r="AU1852" s="34"/>
      <c r="AV1852" s="34"/>
    </row>
    <row r="1853">
      <c r="A1853" s="34"/>
      <c r="B1853" s="34"/>
      <c r="C1853" s="34"/>
      <c r="D1853" s="34"/>
      <c r="E1853" s="34"/>
      <c r="F1853" s="34"/>
      <c r="G1853" s="34"/>
      <c r="H1853" s="34"/>
      <c r="I1853" s="34"/>
      <c r="J1853" s="34"/>
      <c r="K1853" s="34"/>
      <c r="L1853" s="34"/>
      <c r="M1853" s="34"/>
      <c r="N1853" s="34"/>
      <c r="O1853" s="34"/>
      <c r="P1853" s="34"/>
      <c r="Q1853" s="34"/>
      <c r="R1853" s="34"/>
      <c r="S1853" s="34"/>
      <c r="T1853" s="34"/>
      <c r="U1853" s="34"/>
      <c r="V1853" s="34"/>
      <c r="W1853" s="34"/>
      <c r="X1853" s="34"/>
      <c r="Y1853" s="34"/>
      <c r="Z1853" s="34"/>
      <c r="AA1853" s="34"/>
      <c r="AB1853" s="34"/>
      <c r="AC1853" s="34"/>
      <c r="AD1853" s="34"/>
      <c r="AE1853" s="34"/>
      <c r="AF1853" s="34"/>
      <c r="AG1853" s="34"/>
      <c r="AH1853" s="34"/>
      <c r="AI1853" s="34"/>
      <c r="AJ1853" s="34"/>
      <c r="AK1853" s="34"/>
      <c r="AL1853" s="34"/>
      <c r="AM1853" s="34"/>
      <c r="AN1853" s="34"/>
      <c r="AO1853" s="34"/>
      <c r="AP1853" s="34"/>
      <c r="AQ1853" s="34"/>
      <c r="AR1853" s="34"/>
      <c r="AS1853" s="34"/>
      <c r="AT1853" s="34"/>
      <c r="AU1853" s="34"/>
      <c r="AV1853" s="34"/>
    </row>
    <row r="1854">
      <c r="A1854" s="34"/>
      <c r="B1854" s="34"/>
      <c r="C1854" s="34"/>
      <c r="D1854" s="34"/>
      <c r="E1854" s="34"/>
      <c r="F1854" s="34"/>
      <c r="G1854" s="34"/>
      <c r="H1854" s="34"/>
      <c r="I1854" s="34"/>
      <c r="J1854" s="34"/>
      <c r="K1854" s="34"/>
      <c r="L1854" s="34"/>
      <c r="M1854" s="34"/>
      <c r="N1854" s="34"/>
      <c r="O1854" s="34"/>
      <c r="P1854" s="34"/>
      <c r="Q1854" s="34"/>
      <c r="R1854" s="34"/>
      <c r="S1854" s="34"/>
      <c r="T1854" s="34"/>
      <c r="U1854" s="34"/>
      <c r="V1854" s="34"/>
      <c r="W1854" s="34"/>
      <c r="X1854" s="34"/>
      <c r="Y1854" s="34"/>
      <c r="Z1854" s="34"/>
      <c r="AA1854" s="34"/>
      <c r="AB1854" s="34"/>
      <c r="AC1854" s="34"/>
      <c r="AD1854" s="34"/>
      <c r="AE1854" s="34"/>
      <c r="AF1854" s="34"/>
      <c r="AG1854" s="34"/>
      <c r="AH1854" s="34"/>
      <c r="AI1854" s="34"/>
      <c r="AJ1854" s="34"/>
      <c r="AK1854" s="34"/>
      <c r="AL1854" s="34"/>
      <c r="AM1854" s="34"/>
      <c r="AN1854" s="34"/>
      <c r="AO1854" s="34"/>
      <c r="AP1854" s="34"/>
      <c r="AQ1854" s="34"/>
      <c r="AR1854" s="34"/>
      <c r="AS1854" s="34"/>
      <c r="AT1854" s="34"/>
      <c r="AU1854" s="34"/>
      <c r="AV1854" s="34"/>
    </row>
    <row r="1855">
      <c r="A1855" s="34"/>
      <c r="B1855" s="34"/>
      <c r="C1855" s="34"/>
      <c r="D1855" s="34"/>
      <c r="E1855" s="34"/>
      <c r="F1855" s="34"/>
      <c r="G1855" s="34"/>
      <c r="H1855" s="34"/>
      <c r="I1855" s="34"/>
      <c r="J1855" s="34"/>
      <c r="K1855" s="34"/>
      <c r="L1855" s="34"/>
      <c r="M1855" s="34"/>
      <c r="N1855" s="34"/>
      <c r="O1855" s="34"/>
      <c r="P1855" s="34"/>
      <c r="Q1855" s="34"/>
      <c r="R1855" s="34"/>
      <c r="S1855" s="34"/>
      <c r="T1855" s="34"/>
      <c r="U1855" s="34"/>
      <c r="V1855" s="34"/>
      <c r="W1855" s="34"/>
      <c r="X1855" s="34"/>
      <c r="Y1855" s="34"/>
      <c r="Z1855" s="34"/>
      <c r="AA1855" s="34"/>
      <c r="AB1855" s="34"/>
      <c r="AC1855" s="34"/>
      <c r="AD1855" s="34"/>
      <c r="AE1855" s="34"/>
      <c r="AF1855" s="34"/>
      <c r="AG1855" s="34"/>
      <c r="AH1855" s="34"/>
      <c r="AI1855" s="34"/>
      <c r="AJ1855" s="34"/>
      <c r="AK1855" s="34"/>
      <c r="AL1855" s="34"/>
      <c r="AM1855" s="34"/>
      <c r="AN1855" s="34"/>
      <c r="AO1855" s="34"/>
      <c r="AP1855" s="34"/>
      <c r="AQ1855" s="34"/>
      <c r="AR1855" s="34"/>
      <c r="AS1855" s="34"/>
      <c r="AT1855" s="34"/>
      <c r="AU1855" s="34"/>
      <c r="AV1855" s="34"/>
    </row>
    <row r="1856">
      <c r="A1856" s="34"/>
      <c r="B1856" s="34"/>
      <c r="C1856" s="34"/>
      <c r="D1856" s="34"/>
      <c r="E1856" s="34"/>
      <c r="F1856" s="34"/>
      <c r="G1856" s="34"/>
      <c r="H1856" s="34"/>
      <c r="I1856" s="34"/>
      <c r="J1856" s="34"/>
      <c r="K1856" s="34"/>
      <c r="L1856" s="34"/>
      <c r="M1856" s="34"/>
      <c r="N1856" s="34"/>
      <c r="O1856" s="34"/>
      <c r="P1856" s="34"/>
      <c r="Q1856" s="34"/>
      <c r="R1856" s="34"/>
      <c r="S1856" s="34"/>
      <c r="T1856" s="34"/>
      <c r="U1856" s="34"/>
      <c r="V1856" s="34"/>
      <c r="W1856" s="34"/>
      <c r="X1856" s="34"/>
      <c r="Y1856" s="34"/>
      <c r="Z1856" s="34"/>
      <c r="AA1856" s="34"/>
      <c r="AB1856" s="34"/>
      <c r="AC1856" s="34"/>
      <c r="AD1856" s="34"/>
      <c r="AE1856" s="34"/>
      <c r="AF1856" s="34"/>
      <c r="AG1856" s="34"/>
      <c r="AH1856" s="34"/>
      <c r="AI1856" s="34"/>
      <c r="AJ1856" s="34"/>
      <c r="AK1856" s="34"/>
      <c r="AL1856" s="34"/>
      <c r="AM1856" s="34"/>
      <c r="AN1856" s="34"/>
      <c r="AO1856" s="34"/>
      <c r="AP1856" s="34"/>
      <c r="AQ1856" s="34"/>
      <c r="AR1856" s="34"/>
      <c r="AS1856" s="34"/>
      <c r="AT1856" s="34"/>
      <c r="AU1856" s="34"/>
      <c r="AV1856" s="34"/>
    </row>
    <row r="1857">
      <c r="A1857" s="34"/>
      <c r="B1857" s="34"/>
      <c r="C1857" s="34"/>
      <c r="D1857" s="34"/>
      <c r="E1857" s="34"/>
      <c r="F1857" s="34"/>
      <c r="G1857" s="34"/>
      <c r="H1857" s="34"/>
      <c r="I1857" s="34"/>
      <c r="J1857" s="34"/>
      <c r="K1857" s="34"/>
      <c r="L1857" s="34"/>
      <c r="M1857" s="34"/>
      <c r="N1857" s="34"/>
      <c r="O1857" s="34"/>
      <c r="P1857" s="34"/>
      <c r="Q1857" s="34"/>
      <c r="R1857" s="34"/>
      <c r="S1857" s="34"/>
      <c r="T1857" s="34"/>
      <c r="U1857" s="34"/>
      <c r="V1857" s="34"/>
      <c r="W1857" s="34"/>
      <c r="X1857" s="34"/>
      <c r="Y1857" s="34"/>
      <c r="Z1857" s="34"/>
      <c r="AA1857" s="34"/>
      <c r="AB1857" s="34"/>
      <c r="AC1857" s="34"/>
      <c r="AD1857" s="34"/>
      <c r="AE1857" s="34"/>
      <c r="AF1857" s="34"/>
      <c r="AG1857" s="34"/>
      <c r="AH1857" s="34"/>
      <c r="AI1857" s="34"/>
      <c r="AJ1857" s="34"/>
      <c r="AK1857" s="34"/>
      <c r="AL1857" s="34"/>
      <c r="AM1857" s="34"/>
      <c r="AN1857" s="34"/>
      <c r="AO1857" s="34"/>
      <c r="AP1857" s="34"/>
      <c r="AQ1857" s="34"/>
      <c r="AR1857" s="34"/>
      <c r="AS1857" s="34"/>
      <c r="AT1857" s="34"/>
      <c r="AU1857" s="34"/>
      <c r="AV1857" s="34"/>
    </row>
    <row r="1858">
      <c r="A1858" s="34"/>
      <c r="B1858" s="34"/>
      <c r="C1858" s="34"/>
      <c r="D1858" s="34"/>
      <c r="E1858" s="34"/>
      <c r="F1858" s="34"/>
      <c r="G1858" s="34"/>
      <c r="H1858" s="34"/>
      <c r="I1858" s="34"/>
      <c r="J1858" s="34"/>
      <c r="K1858" s="34"/>
      <c r="L1858" s="34"/>
      <c r="M1858" s="34"/>
      <c r="N1858" s="34"/>
      <c r="O1858" s="34"/>
      <c r="P1858" s="34"/>
      <c r="Q1858" s="34"/>
      <c r="R1858" s="34"/>
      <c r="S1858" s="34"/>
      <c r="T1858" s="34"/>
      <c r="U1858" s="34"/>
      <c r="V1858" s="34"/>
      <c r="W1858" s="34"/>
      <c r="X1858" s="34"/>
      <c r="Y1858" s="34"/>
      <c r="Z1858" s="34"/>
      <c r="AA1858" s="34"/>
      <c r="AB1858" s="34"/>
      <c r="AC1858" s="34"/>
      <c r="AD1858" s="34"/>
      <c r="AE1858" s="34"/>
      <c r="AF1858" s="34"/>
      <c r="AG1858" s="34"/>
      <c r="AH1858" s="34"/>
      <c r="AI1858" s="34"/>
      <c r="AJ1858" s="34"/>
      <c r="AK1858" s="34"/>
      <c r="AL1858" s="34"/>
      <c r="AM1858" s="34"/>
      <c r="AN1858" s="34"/>
      <c r="AO1858" s="34"/>
      <c r="AP1858" s="34"/>
      <c r="AQ1858" s="34"/>
      <c r="AR1858" s="34"/>
      <c r="AS1858" s="34"/>
      <c r="AT1858" s="34"/>
      <c r="AU1858" s="34"/>
      <c r="AV1858" s="34"/>
    </row>
    <row r="1859">
      <c r="A1859" s="34"/>
      <c r="B1859" s="34"/>
      <c r="C1859" s="34"/>
      <c r="D1859" s="34"/>
      <c r="E1859" s="34"/>
      <c r="F1859" s="34"/>
      <c r="G1859" s="34"/>
      <c r="H1859" s="34"/>
      <c r="I1859" s="34"/>
      <c r="J1859" s="34"/>
      <c r="K1859" s="34"/>
      <c r="L1859" s="34"/>
      <c r="M1859" s="34"/>
      <c r="N1859" s="34"/>
      <c r="O1859" s="34"/>
      <c r="P1859" s="34"/>
      <c r="Q1859" s="34"/>
      <c r="R1859" s="34"/>
      <c r="S1859" s="34"/>
      <c r="T1859" s="34"/>
      <c r="U1859" s="34"/>
      <c r="V1859" s="34"/>
      <c r="W1859" s="34"/>
      <c r="X1859" s="34"/>
      <c r="Y1859" s="34"/>
      <c r="Z1859" s="34"/>
      <c r="AA1859" s="34"/>
      <c r="AB1859" s="34"/>
      <c r="AC1859" s="34"/>
      <c r="AD1859" s="34"/>
      <c r="AE1859" s="34"/>
      <c r="AF1859" s="34"/>
      <c r="AG1859" s="34"/>
      <c r="AH1859" s="34"/>
      <c r="AI1859" s="34"/>
      <c r="AJ1859" s="34"/>
      <c r="AK1859" s="34"/>
      <c r="AL1859" s="34"/>
      <c r="AM1859" s="34"/>
      <c r="AN1859" s="34"/>
      <c r="AO1859" s="34"/>
      <c r="AP1859" s="34"/>
      <c r="AQ1859" s="34"/>
      <c r="AR1859" s="34"/>
      <c r="AS1859" s="34"/>
      <c r="AT1859" s="34"/>
      <c r="AU1859" s="34"/>
      <c r="AV1859" s="34"/>
    </row>
    <row r="1860">
      <c r="A1860" s="34"/>
      <c r="B1860" s="34"/>
      <c r="C1860" s="34"/>
      <c r="D1860" s="34"/>
      <c r="E1860" s="34"/>
      <c r="F1860" s="34"/>
      <c r="G1860" s="34"/>
      <c r="H1860" s="34"/>
      <c r="I1860" s="34"/>
      <c r="J1860" s="34"/>
      <c r="K1860" s="34"/>
      <c r="L1860" s="34"/>
      <c r="M1860" s="34"/>
      <c r="N1860" s="34"/>
      <c r="O1860" s="34"/>
      <c r="P1860" s="34"/>
      <c r="Q1860" s="34"/>
      <c r="R1860" s="34"/>
      <c r="S1860" s="34"/>
      <c r="T1860" s="34"/>
      <c r="U1860" s="34"/>
      <c r="V1860" s="34"/>
      <c r="W1860" s="34"/>
      <c r="X1860" s="34"/>
      <c r="Y1860" s="34"/>
      <c r="Z1860" s="34"/>
      <c r="AA1860" s="34"/>
      <c r="AB1860" s="34"/>
      <c r="AC1860" s="34"/>
      <c r="AD1860" s="34"/>
      <c r="AE1860" s="34"/>
      <c r="AF1860" s="34"/>
      <c r="AG1860" s="34"/>
      <c r="AH1860" s="34"/>
      <c r="AI1860" s="34"/>
      <c r="AJ1860" s="34"/>
      <c r="AK1860" s="34"/>
      <c r="AL1860" s="34"/>
      <c r="AM1860" s="34"/>
      <c r="AN1860" s="34"/>
      <c r="AO1860" s="34"/>
      <c r="AP1860" s="34"/>
      <c r="AQ1860" s="34"/>
      <c r="AR1860" s="34"/>
      <c r="AS1860" s="34"/>
      <c r="AT1860" s="34"/>
      <c r="AU1860" s="34"/>
      <c r="AV1860" s="34"/>
    </row>
    <row r="1861">
      <c r="A1861" s="34"/>
      <c r="B1861" s="34"/>
      <c r="C1861" s="34"/>
      <c r="D1861" s="34"/>
      <c r="E1861" s="34"/>
      <c r="F1861" s="34"/>
      <c r="G1861" s="34"/>
      <c r="H1861" s="34"/>
      <c r="I1861" s="34"/>
      <c r="J1861" s="34"/>
      <c r="K1861" s="34"/>
      <c r="L1861" s="34"/>
      <c r="M1861" s="34"/>
      <c r="N1861" s="34"/>
      <c r="O1861" s="34"/>
      <c r="P1861" s="34"/>
      <c r="Q1861" s="34"/>
      <c r="R1861" s="34"/>
      <c r="S1861" s="34"/>
      <c r="T1861" s="34"/>
      <c r="U1861" s="34"/>
      <c r="V1861" s="34"/>
      <c r="W1861" s="34"/>
      <c r="X1861" s="34"/>
      <c r="Y1861" s="34"/>
      <c r="Z1861" s="34"/>
      <c r="AA1861" s="34"/>
      <c r="AB1861" s="34"/>
      <c r="AC1861" s="34"/>
      <c r="AD1861" s="34"/>
      <c r="AE1861" s="34"/>
      <c r="AF1861" s="34"/>
      <c r="AG1861" s="34"/>
      <c r="AH1861" s="34"/>
      <c r="AI1861" s="34"/>
      <c r="AJ1861" s="34"/>
      <c r="AK1861" s="34"/>
      <c r="AL1861" s="34"/>
      <c r="AM1861" s="34"/>
      <c r="AN1861" s="34"/>
      <c r="AO1861" s="34"/>
      <c r="AP1861" s="34"/>
      <c r="AQ1861" s="34"/>
      <c r="AR1861" s="34"/>
      <c r="AS1861" s="34"/>
      <c r="AT1861" s="34"/>
      <c r="AU1861" s="34"/>
      <c r="AV1861" s="34"/>
    </row>
    <row r="1862">
      <c r="A1862" s="34"/>
      <c r="B1862" s="34"/>
      <c r="C1862" s="34"/>
      <c r="D1862" s="34"/>
      <c r="E1862" s="34"/>
      <c r="F1862" s="34"/>
      <c r="G1862" s="34"/>
      <c r="H1862" s="34"/>
      <c r="I1862" s="34"/>
      <c r="J1862" s="34"/>
      <c r="K1862" s="34"/>
      <c r="L1862" s="34"/>
      <c r="M1862" s="34"/>
      <c r="N1862" s="34"/>
      <c r="O1862" s="34"/>
      <c r="P1862" s="34"/>
      <c r="Q1862" s="34"/>
      <c r="R1862" s="34"/>
      <c r="S1862" s="34"/>
      <c r="T1862" s="34"/>
      <c r="U1862" s="34"/>
      <c r="V1862" s="34"/>
      <c r="W1862" s="34"/>
      <c r="X1862" s="34"/>
      <c r="Y1862" s="34"/>
      <c r="Z1862" s="34"/>
      <c r="AA1862" s="34"/>
      <c r="AB1862" s="34"/>
      <c r="AC1862" s="34"/>
      <c r="AD1862" s="34"/>
      <c r="AE1862" s="34"/>
      <c r="AF1862" s="34"/>
      <c r="AG1862" s="34"/>
      <c r="AH1862" s="34"/>
      <c r="AI1862" s="34"/>
      <c r="AJ1862" s="34"/>
      <c r="AK1862" s="34"/>
      <c r="AL1862" s="34"/>
      <c r="AM1862" s="34"/>
      <c r="AN1862" s="34"/>
      <c r="AO1862" s="34"/>
      <c r="AP1862" s="34"/>
      <c r="AQ1862" s="34"/>
      <c r="AR1862" s="34"/>
      <c r="AS1862" s="34"/>
      <c r="AT1862" s="34"/>
      <c r="AU1862" s="34"/>
      <c r="AV1862" s="34"/>
    </row>
    <row r="1863">
      <c r="A1863" s="34"/>
      <c r="B1863" s="34"/>
      <c r="C1863" s="34"/>
      <c r="D1863" s="34"/>
      <c r="E1863" s="34"/>
      <c r="F1863" s="34"/>
      <c r="G1863" s="34"/>
      <c r="H1863" s="34"/>
      <c r="I1863" s="34"/>
      <c r="J1863" s="34"/>
      <c r="K1863" s="34"/>
      <c r="L1863" s="34"/>
      <c r="M1863" s="34"/>
      <c r="N1863" s="34"/>
      <c r="O1863" s="34"/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/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/>
      <c r="AN1863" s="34"/>
      <c r="AO1863" s="34"/>
      <c r="AP1863" s="34"/>
      <c r="AQ1863" s="34"/>
      <c r="AR1863" s="34"/>
      <c r="AS1863" s="34"/>
      <c r="AT1863" s="34"/>
      <c r="AU1863" s="34"/>
      <c r="AV1863" s="34"/>
    </row>
    <row r="1864">
      <c r="A1864" s="34"/>
      <c r="B1864" s="34"/>
      <c r="C1864" s="34"/>
      <c r="D1864" s="34"/>
      <c r="E1864" s="34"/>
      <c r="F1864" s="34"/>
      <c r="G1864" s="34"/>
      <c r="H1864" s="34"/>
      <c r="I1864" s="34"/>
      <c r="J1864" s="34"/>
      <c r="K1864" s="34"/>
      <c r="L1864" s="34"/>
      <c r="M1864" s="34"/>
      <c r="N1864" s="34"/>
      <c r="O1864" s="34"/>
      <c r="P1864" s="34"/>
      <c r="Q1864" s="34"/>
      <c r="R1864" s="34"/>
      <c r="S1864" s="34"/>
      <c r="T1864" s="34"/>
      <c r="U1864" s="34"/>
      <c r="V1864" s="34"/>
      <c r="W1864" s="34"/>
      <c r="X1864" s="34"/>
      <c r="Y1864" s="34"/>
      <c r="Z1864" s="34"/>
      <c r="AA1864" s="34"/>
      <c r="AB1864" s="34"/>
      <c r="AC1864" s="34"/>
      <c r="AD1864" s="34"/>
      <c r="AE1864" s="34"/>
      <c r="AF1864" s="34"/>
      <c r="AG1864" s="34"/>
      <c r="AH1864" s="34"/>
      <c r="AI1864" s="34"/>
      <c r="AJ1864" s="34"/>
      <c r="AK1864" s="34"/>
      <c r="AL1864" s="34"/>
      <c r="AM1864" s="34"/>
      <c r="AN1864" s="34"/>
      <c r="AO1864" s="34"/>
      <c r="AP1864" s="34"/>
      <c r="AQ1864" s="34"/>
      <c r="AR1864" s="34"/>
      <c r="AS1864" s="34"/>
      <c r="AT1864" s="34"/>
      <c r="AU1864" s="34"/>
      <c r="AV1864" s="34"/>
    </row>
    <row r="1865">
      <c r="A1865" s="34"/>
      <c r="B1865" s="34"/>
      <c r="C1865" s="34"/>
      <c r="D1865" s="34"/>
      <c r="E1865" s="34"/>
      <c r="F1865" s="34"/>
      <c r="G1865" s="34"/>
      <c r="H1865" s="34"/>
      <c r="I1865" s="34"/>
      <c r="J1865" s="34"/>
      <c r="K1865" s="34"/>
      <c r="L1865" s="34"/>
      <c r="M1865" s="34"/>
      <c r="N1865" s="34"/>
      <c r="O1865" s="34"/>
      <c r="P1865" s="34"/>
      <c r="Q1865" s="34"/>
      <c r="R1865" s="34"/>
      <c r="S1865" s="34"/>
      <c r="T1865" s="34"/>
      <c r="U1865" s="34"/>
      <c r="V1865" s="34"/>
      <c r="W1865" s="34"/>
      <c r="X1865" s="34"/>
      <c r="Y1865" s="34"/>
      <c r="Z1865" s="34"/>
      <c r="AA1865" s="34"/>
      <c r="AB1865" s="34"/>
      <c r="AC1865" s="34"/>
      <c r="AD1865" s="34"/>
      <c r="AE1865" s="34"/>
      <c r="AF1865" s="34"/>
      <c r="AG1865" s="34"/>
      <c r="AH1865" s="34"/>
      <c r="AI1865" s="34"/>
      <c r="AJ1865" s="34"/>
      <c r="AK1865" s="34"/>
      <c r="AL1865" s="34"/>
      <c r="AM1865" s="34"/>
      <c r="AN1865" s="34"/>
      <c r="AO1865" s="34"/>
      <c r="AP1865" s="34"/>
      <c r="AQ1865" s="34"/>
      <c r="AR1865" s="34"/>
      <c r="AS1865" s="34"/>
      <c r="AT1865" s="34"/>
      <c r="AU1865" s="34"/>
      <c r="AV1865" s="34"/>
    </row>
    <row r="1866">
      <c r="A1866" s="34"/>
      <c r="B1866" s="34"/>
      <c r="C1866" s="34"/>
      <c r="D1866" s="34"/>
      <c r="E1866" s="34"/>
      <c r="F1866" s="34"/>
      <c r="G1866" s="34"/>
      <c r="H1866" s="34"/>
      <c r="I1866" s="34"/>
      <c r="J1866" s="34"/>
      <c r="K1866" s="34"/>
      <c r="L1866" s="34"/>
      <c r="M1866" s="34"/>
      <c r="N1866" s="34"/>
      <c r="O1866" s="34"/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/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/>
      <c r="AN1866" s="34"/>
      <c r="AO1866" s="34"/>
      <c r="AP1866" s="34"/>
      <c r="AQ1866" s="34"/>
      <c r="AR1866" s="34"/>
      <c r="AS1866" s="34"/>
      <c r="AT1866" s="34"/>
      <c r="AU1866" s="34"/>
      <c r="AV1866" s="34"/>
    </row>
    <row r="1867">
      <c r="A1867" s="34"/>
      <c r="B1867" s="34"/>
      <c r="C1867" s="34"/>
      <c r="D1867" s="34"/>
      <c r="E1867" s="34"/>
      <c r="F1867" s="34"/>
      <c r="G1867" s="34"/>
      <c r="H1867" s="34"/>
      <c r="I1867" s="34"/>
      <c r="J1867" s="34"/>
      <c r="K1867" s="34"/>
      <c r="L1867" s="34"/>
      <c r="M1867" s="34"/>
      <c r="N1867" s="34"/>
      <c r="O1867" s="34"/>
      <c r="P1867" s="34"/>
      <c r="Q1867" s="34"/>
      <c r="R1867" s="34"/>
      <c r="S1867" s="34"/>
      <c r="T1867" s="34"/>
      <c r="U1867" s="34"/>
      <c r="V1867" s="34"/>
      <c r="W1867" s="34"/>
      <c r="X1867" s="34"/>
      <c r="Y1867" s="34"/>
      <c r="Z1867" s="34"/>
      <c r="AA1867" s="34"/>
      <c r="AB1867" s="34"/>
      <c r="AC1867" s="34"/>
      <c r="AD1867" s="34"/>
      <c r="AE1867" s="34"/>
      <c r="AF1867" s="34"/>
      <c r="AG1867" s="34"/>
      <c r="AH1867" s="34"/>
      <c r="AI1867" s="34"/>
      <c r="AJ1867" s="34"/>
      <c r="AK1867" s="34"/>
      <c r="AL1867" s="34"/>
      <c r="AM1867" s="34"/>
      <c r="AN1867" s="34"/>
      <c r="AO1867" s="34"/>
      <c r="AP1867" s="34"/>
      <c r="AQ1867" s="34"/>
      <c r="AR1867" s="34"/>
      <c r="AS1867" s="34"/>
      <c r="AT1867" s="34"/>
      <c r="AU1867" s="34"/>
      <c r="AV1867" s="34"/>
    </row>
    <row r="1868">
      <c r="A1868" s="34"/>
      <c r="B1868" s="34"/>
      <c r="C1868" s="34"/>
      <c r="D1868" s="34"/>
      <c r="E1868" s="34"/>
      <c r="F1868" s="34"/>
      <c r="G1868" s="34"/>
      <c r="H1868" s="34"/>
      <c r="I1868" s="34"/>
      <c r="J1868" s="34"/>
      <c r="K1868" s="34"/>
      <c r="L1868" s="34"/>
      <c r="M1868" s="34"/>
      <c r="N1868" s="34"/>
      <c r="O1868" s="34"/>
      <c r="P1868" s="34"/>
      <c r="Q1868" s="34"/>
      <c r="R1868" s="34"/>
      <c r="S1868" s="34"/>
      <c r="T1868" s="34"/>
      <c r="U1868" s="34"/>
      <c r="V1868" s="34"/>
      <c r="W1868" s="34"/>
      <c r="X1868" s="34"/>
      <c r="Y1868" s="34"/>
      <c r="Z1868" s="34"/>
      <c r="AA1868" s="34"/>
      <c r="AB1868" s="34"/>
      <c r="AC1868" s="34"/>
      <c r="AD1868" s="34"/>
      <c r="AE1868" s="34"/>
      <c r="AF1868" s="34"/>
      <c r="AG1868" s="34"/>
      <c r="AH1868" s="34"/>
      <c r="AI1868" s="34"/>
      <c r="AJ1868" s="34"/>
      <c r="AK1868" s="34"/>
      <c r="AL1868" s="34"/>
      <c r="AM1868" s="34"/>
      <c r="AN1868" s="34"/>
      <c r="AO1868" s="34"/>
      <c r="AP1868" s="34"/>
      <c r="AQ1868" s="34"/>
      <c r="AR1868" s="34"/>
      <c r="AS1868" s="34"/>
      <c r="AT1868" s="34"/>
      <c r="AU1868" s="34"/>
      <c r="AV1868" s="34"/>
    </row>
    <row r="1869">
      <c r="A1869" s="34"/>
      <c r="B1869" s="34"/>
      <c r="C1869" s="34"/>
      <c r="D1869" s="34"/>
      <c r="E1869" s="34"/>
      <c r="F1869" s="34"/>
      <c r="G1869" s="34"/>
      <c r="H1869" s="34"/>
      <c r="I1869" s="34"/>
      <c r="J1869" s="34"/>
      <c r="K1869" s="34"/>
      <c r="L1869" s="34"/>
      <c r="M1869" s="34"/>
      <c r="N1869" s="34"/>
      <c r="O1869" s="34"/>
      <c r="P1869" s="34"/>
      <c r="Q1869" s="34"/>
      <c r="R1869" s="34"/>
      <c r="S1869" s="34"/>
      <c r="T1869" s="34"/>
      <c r="U1869" s="34"/>
      <c r="V1869" s="34"/>
      <c r="W1869" s="34"/>
      <c r="X1869" s="34"/>
      <c r="Y1869" s="34"/>
      <c r="Z1869" s="34"/>
      <c r="AA1869" s="34"/>
      <c r="AB1869" s="34"/>
      <c r="AC1869" s="34"/>
      <c r="AD1869" s="34"/>
      <c r="AE1869" s="34"/>
      <c r="AF1869" s="34"/>
      <c r="AG1869" s="34"/>
      <c r="AH1869" s="34"/>
      <c r="AI1869" s="34"/>
      <c r="AJ1869" s="34"/>
      <c r="AK1869" s="34"/>
      <c r="AL1869" s="34"/>
      <c r="AM1869" s="34"/>
      <c r="AN1869" s="34"/>
      <c r="AO1869" s="34"/>
      <c r="AP1869" s="34"/>
      <c r="AQ1869" s="34"/>
      <c r="AR1869" s="34"/>
      <c r="AS1869" s="34"/>
      <c r="AT1869" s="34"/>
      <c r="AU1869" s="34"/>
      <c r="AV1869" s="34"/>
    </row>
    <row r="1870">
      <c r="A1870" s="34"/>
      <c r="B1870" s="34"/>
      <c r="C1870" s="34"/>
      <c r="D1870" s="34"/>
      <c r="E1870" s="34"/>
      <c r="F1870" s="34"/>
      <c r="G1870" s="34"/>
      <c r="H1870" s="34"/>
      <c r="I1870" s="34"/>
      <c r="J1870" s="34"/>
      <c r="K1870" s="34"/>
      <c r="L1870" s="34"/>
      <c r="M1870" s="34"/>
      <c r="N1870" s="34"/>
      <c r="O1870" s="34"/>
      <c r="P1870" s="34"/>
      <c r="Q1870" s="34"/>
      <c r="R1870" s="34"/>
      <c r="S1870" s="34"/>
      <c r="T1870" s="34"/>
      <c r="U1870" s="34"/>
      <c r="V1870" s="34"/>
      <c r="W1870" s="34"/>
      <c r="X1870" s="34"/>
      <c r="Y1870" s="34"/>
      <c r="Z1870" s="34"/>
      <c r="AA1870" s="34"/>
      <c r="AB1870" s="34"/>
      <c r="AC1870" s="34"/>
      <c r="AD1870" s="34"/>
      <c r="AE1870" s="34"/>
      <c r="AF1870" s="34"/>
      <c r="AG1870" s="34"/>
      <c r="AH1870" s="34"/>
      <c r="AI1870" s="34"/>
      <c r="AJ1870" s="34"/>
      <c r="AK1870" s="34"/>
      <c r="AL1870" s="34"/>
      <c r="AM1870" s="34"/>
      <c r="AN1870" s="34"/>
      <c r="AO1870" s="34"/>
      <c r="AP1870" s="34"/>
      <c r="AQ1870" s="34"/>
      <c r="AR1870" s="34"/>
      <c r="AS1870" s="34"/>
      <c r="AT1870" s="34"/>
      <c r="AU1870" s="34"/>
      <c r="AV1870" s="34"/>
    </row>
    <row r="1871">
      <c r="A1871" s="34"/>
      <c r="B1871" s="34"/>
      <c r="C1871" s="34"/>
      <c r="D1871" s="34"/>
      <c r="E1871" s="34"/>
      <c r="F1871" s="34"/>
      <c r="G1871" s="34"/>
      <c r="H1871" s="34"/>
      <c r="I1871" s="34"/>
      <c r="J1871" s="34"/>
      <c r="K1871" s="34"/>
      <c r="L1871" s="34"/>
      <c r="M1871" s="34"/>
      <c r="N1871" s="34"/>
      <c r="O1871" s="34"/>
      <c r="P1871" s="34"/>
      <c r="Q1871" s="34"/>
      <c r="R1871" s="34"/>
      <c r="S1871" s="34"/>
      <c r="T1871" s="34"/>
      <c r="U1871" s="34"/>
      <c r="V1871" s="34"/>
      <c r="W1871" s="34"/>
      <c r="X1871" s="34"/>
      <c r="Y1871" s="34"/>
      <c r="Z1871" s="34"/>
      <c r="AA1871" s="34"/>
      <c r="AB1871" s="34"/>
      <c r="AC1871" s="34"/>
      <c r="AD1871" s="34"/>
      <c r="AE1871" s="34"/>
      <c r="AF1871" s="34"/>
      <c r="AG1871" s="34"/>
      <c r="AH1871" s="34"/>
      <c r="AI1871" s="34"/>
      <c r="AJ1871" s="34"/>
      <c r="AK1871" s="34"/>
      <c r="AL1871" s="34"/>
      <c r="AM1871" s="34"/>
      <c r="AN1871" s="34"/>
      <c r="AO1871" s="34"/>
      <c r="AP1871" s="34"/>
      <c r="AQ1871" s="34"/>
      <c r="AR1871" s="34"/>
      <c r="AS1871" s="34"/>
      <c r="AT1871" s="34"/>
      <c r="AU1871" s="34"/>
      <c r="AV1871" s="34"/>
    </row>
    <row r="1872">
      <c r="A1872" s="34"/>
      <c r="B1872" s="34"/>
      <c r="C1872" s="34"/>
      <c r="D1872" s="34"/>
      <c r="E1872" s="34"/>
      <c r="F1872" s="34"/>
      <c r="G1872" s="34"/>
      <c r="H1872" s="34"/>
      <c r="I1872" s="34"/>
      <c r="J1872" s="34"/>
      <c r="K1872" s="34"/>
      <c r="L1872" s="34"/>
      <c r="M1872" s="34"/>
      <c r="N1872" s="34"/>
      <c r="O1872" s="34"/>
      <c r="P1872" s="34"/>
      <c r="Q1872" s="34"/>
      <c r="R1872" s="34"/>
      <c r="S1872" s="34"/>
      <c r="T1872" s="34"/>
      <c r="U1872" s="34"/>
      <c r="V1872" s="34"/>
      <c r="W1872" s="34"/>
      <c r="X1872" s="34"/>
      <c r="Y1872" s="34"/>
      <c r="Z1872" s="34"/>
      <c r="AA1872" s="34"/>
      <c r="AB1872" s="34"/>
      <c r="AC1872" s="34"/>
      <c r="AD1872" s="34"/>
      <c r="AE1872" s="34"/>
      <c r="AF1872" s="34"/>
      <c r="AG1872" s="34"/>
      <c r="AH1872" s="34"/>
      <c r="AI1872" s="34"/>
      <c r="AJ1872" s="34"/>
      <c r="AK1872" s="34"/>
      <c r="AL1872" s="34"/>
      <c r="AM1872" s="34"/>
      <c r="AN1872" s="34"/>
      <c r="AO1872" s="34"/>
      <c r="AP1872" s="34"/>
      <c r="AQ1872" s="34"/>
      <c r="AR1872" s="34"/>
      <c r="AS1872" s="34"/>
      <c r="AT1872" s="34"/>
      <c r="AU1872" s="34"/>
      <c r="AV1872" s="34"/>
    </row>
    <row r="1873">
      <c r="A1873" s="34"/>
      <c r="B1873" s="34"/>
      <c r="C1873" s="34"/>
      <c r="D1873" s="34"/>
      <c r="E1873" s="34"/>
      <c r="F1873" s="34"/>
      <c r="G1873" s="34"/>
      <c r="H1873" s="34"/>
      <c r="I1873" s="34"/>
      <c r="J1873" s="34"/>
      <c r="K1873" s="34"/>
      <c r="L1873" s="34"/>
      <c r="M1873" s="34"/>
      <c r="N1873" s="34"/>
      <c r="O1873" s="34"/>
      <c r="P1873" s="34"/>
      <c r="Q1873" s="34"/>
      <c r="R1873" s="34"/>
      <c r="S1873" s="34"/>
      <c r="T1873" s="34"/>
      <c r="U1873" s="34"/>
      <c r="V1873" s="34"/>
      <c r="W1873" s="34"/>
      <c r="X1873" s="34"/>
      <c r="Y1873" s="34"/>
      <c r="Z1873" s="34"/>
      <c r="AA1873" s="34"/>
      <c r="AB1873" s="34"/>
      <c r="AC1873" s="34"/>
      <c r="AD1873" s="34"/>
      <c r="AE1873" s="34"/>
      <c r="AF1873" s="34"/>
      <c r="AG1873" s="34"/>
      <c r="AH1873" s="34"/>
      <c r="AI1873" s="34"/>
      <c r="AJ1873" s="34"/>
      <c r="AK1873" s="34"/>
      <c r="AL1873" s="34"/>
      <c r="AM1873" s="34"/>
      <c r="AN1873" s="34"/>
      <c r="AO1873" s="34"/>
      <c r="AP1873" s="34"/>
      <c r="AQ1873" s="34"/>
      <c r="AR1873" s="34"/>
      <c r="AS1873" s="34"/>
      <c r="AT1873" s="34"/>
      <c r="AU1873" s="34"/>
      <c r="AV1873" s="34"/>
    </row>
    <row r="1874">
      <c r="A1874" s="34"/>
      <c r="B1874" s="34"/>
      <c r="C1874" s="34"/>
      <c r="D1874" s="34"/>
      <c r="E1874" s="34"/>
      <c r="F1874" s="34"/>
      <c r="G1874" s="34"/>
      <c r="H1874" s="34"/>
      <c r="I1874" s="34"/>
      <c r="J1874" s="34"/>
      <c r="K1874" s="34"/>
      <c r="L1874" s="34"/>
      <c r="M1874" s="34"/>
      <c r="N1874" s="34"/>
      <c r="O1874" s="34"/>
      <c r="P1874" s="34"/>
      <c r="Q1874" s="34"/>
      <c r="R1874" s="34"/>
      <c r="S1874" s="34"/>
      <c r="T1874" s="34"/>
      <c r="U1874" s="34"/>
      <c r="V1874" s="34"/>
      <c r="W1874" s="34"/>
      <c r="X1874" s="34"/>
      <c r="Y1874" s="34"/>
      <c r="Z1874" s="34"/>
      <c r="AA1874" s="34"/>
      <c r="AB1874" s="34"/>
      <c r="AC1874" s="34"/>
      <c r="AD1874" s="34"/>
      <c r="AE1874" s="34"/>
      <c r="AF1874" s="34"/>
      <c r="AG1874" s="34"/>
      <c r="AH1874" s="34"/>
      <c r="AI1874" s="34"/>
      <c r="AJ1874" s="34"/>
      <c r="AK1874" s="34"/>
      <c r="AL1874" s="34"/>
      <c r="AM1874" s="34"/>
      <c r="AN1874" s="34"/>
      <c r="AO1874" s="34"/>
      <c r="AP1874" s="34"/>
      <c r="AQ1874" s="34"/>
      <c r="AR1874" s="34"/>
      <c r="AS1874" s="34"/>
      <c r="AT1874" s="34"/>
      <c r="AU1874" s="34"/>
      <c r="AV1874" s="34"/>
    </row>
    <row r="1875">
      <c r="A1875" s="34"/>
      <c r="B1875" s="34"/>
      <c r="C1875" s="34"/>
      <c r="D1875" s="34"/>
      <c r="E1875" s="34"/>
      <c r="F1875" s="34"/>
      <c r="G1875" s="34"/>
      <c r="H1875" s="34"/>
      <c r="I1875" s="34"/>
      <c r="J1875" s="34"/>
      <c r="K1875" s="34"/>
      <c r="L1875" s="34"/>
      <c r="M1875" s="34"/>
      <c r="N1875" s="34"/>
      <c r="O1875" s="34"/>
      <c r="P1875" s="34"/>
      <c r="Q1875" s="34"/>
      <c r="R1875" s="34"/>
      <c r="S1875" s="34"/>
      <c r="T1875" s="34"/>
      <c r="U1875" s="34"/>
      <c r="V1875" s="34"/>
      <c r="W1875" s="34"/>
      <c r="X1875" s="34"/>
      <c r="Y1875" s="34"/>
      <c r="Z1875" s="34"/>
      <c r="AA1875" s="34"/>
      <c r="AB1875" s="34"/>
      <c r="AC1875" s="34"/>
      <c r="AD1875" s="34"/>
      <c r="AE1875" s="34"/>
      <c r="AF1875" s="34"/>
      <c r="AG1875" s="34"/>
      <c r="AH1875" s="34"/>
      <c r="AI1875" s="34"/>
      <c r="AJ1875" s="34"/>
      <c r="AK1875" s="34"/>
      <c r="AL1875" s="34"/>
      <c r="AM1875" s="34"/>
      <c r="AN1875" s="34"/>
      <c r="AO1875" s="34"/>
      <c r="AP1875" s="34"/>
      <c r="AQ1875" s="34"/>
      <c r="AR1875" s="34"/>
      <c r="AS1875" s="34"/>
      <c r="AT1875" s="34"/>
      <c r="AU1875" s="34"/>
      <c r="AV1875" s="34"/>
    </row>
    <row r="1876">
      <c r="A1876" s="34"/>
      <c r="B1876" s="34"/>
      <c r="C1876" s="34"/>
      <c r="D1876" s="34"/>
      <c r="E1876" s="34"/>
      <c r="F1876" s="34"/>
      <c r="G1876" s="34"/>
      <c r="H1876" s="34"/>
      <c r="I1876" s="34"/>
      <c r="J1876" s="34"/>
      <c r="K1876" s="34"/>
      <c r="L1876" s="34"/>
      <c r="M1876" s="34"/>
      <c r="N1876" s="34"/>
      <c r="O1876" s="34"/>
      <c r="P1876" s="34"/>
      <c r="Q1876" s="34"/>
      <c r="R1876" s="34"/>
      <c r="S1876" s="34"/>
      <c r="T1876" s="34"/>
      <c r="U1876" s="34"/>
      <c r="V1876" s="34"/>
      <c r="W1876" s="34"/>
      <c r="X1876" s="34"/>
      <c r="Y1876" s="34"/>
      <c r="Z1876" s="34"/>
      <c r="AA1876" s="34"/>
      <c r="AB1876" s="34"/>
      <c r="AC1876" s="34"/>
      <c r="AD1876" s="34"/>
      <c r="AE1876" s="34"/>
      <c r="AF1876" s="34"/>
      <c r="AG1876" s="34"/>
      <c r="AH1876" s="34"/>
      <c r="AI1876" s="34"/>
      <c r="AJ1876" s="34"/>
      <c r="AK1876" s="34"/>
      <c r="AL1876" s="34"/>
      <c r="AM1876" s="34"/>
      <c r="AN1876" s="34"/>
      <c r="AO1876" s="34"/>
      <c r="AP1876" s="34"/>
      <c r="AQ1876" s="34"/>
      <c r="AR1876" s="34"/>
      <c r="AS1876" s="34"/>
      <c r="AT1876" s="34"/>
      <c r="AU1876" s="34"/>
      <c r="AV1876" s="34"/>
    </row>
    <row r="1877">
      <c r="A1877" s="34"/>
      <c r="B1877" s="34"/>
      <c r="C1877" s="34"/>
      <c r="D1877" s="34"/>
      <c r="E1877" s="34"/>
      <c r="F1877" s="34"/>
      <c r="G1877" s="34"/>
      <c r="H1877" s="34"/>
      <c r="I1877" s="34"/>
      <c r="J1877" s="34"/>
      <c r="K1877" s="34"/>
      <c r="L1877" s="34"/>
      <c r="M1877" s="34"/>
      <c r="N1877" s="34"/>
      <c r="O1877" s="34"/>
      <c r="P1877" s="34"/>
      <c r="Q1877" s="34"/>
      <c r="R1877" s="34"/>
      <c r="S1877" s="34"/>
      <c r="T1877" s="34"/>
      <c r="U1877" s="34"/>
      <c r="V1877" s="34"/>
      <c r="W1877" s="34"/>
      <c r="X1877" s="34"/>
      <c r="Y1877" s="34"/>
      <c r="Z1877" s="34"/>
      <c r="AA1877" s="34"/>
      <c r="AB1877" s="34"/>
      <c r="AC1877" s="34"/>
      <c r="AD1877" s="34"/>
      <c r="AE1877" s="34"/>
      <c r="AF1877" s="34"/>
      <c r="AG1877" s="34"/>
      <c r="AH1877" s="34"/>
      <c r="AI1877" s="34"/>
      <c r="AJ1877" s="34"/>
      <c r="AK1877" s="34"/>
      <c r="AL1877" s="34"/>
      <c r="AM1877" s="34"/>
      <c r="AN1877" s="34"/>
      <c r="AO1877" s="34"/>
      <c r="AP1877" s="34"/>
      <c r="AQ1877" s="34"/>
      <c r="AR1877" s="34"/>
      <c r="AS1877" s="34"/>
      <c r="AT1877" s="34"/>
      <c r="AU1877" s="34"/>
      <c r="AV1877" s="34"/>
    </row>
    <row r="1878">
      <c r="A1878" s="34"/>
      <c r="B1878" s="34"/>
      <c r="C1878" s="34"/>
      <c r="D1878" s="34"/>
      <c r="E1878" s="34"/>
      <c r="F1878" s="34"/>
      <c r="G1878" s="34"/>
      <c r="H1878" s="34"/>
      <c r="I1878" s="34"/>
      <c r="J1878" s="34"/>
      <c r="K1878" s="34"/>
      <c r="L1878" s="34"/>
      <c r="M1878" s="34"/>
      <c r="N1878" s="34"/>
      <c r="O1878" s="34"/>
      <c r="P1878" s="34"/>
      <c r="Q1878" s="34"/>
      <c r="R1878" s="34"/>
      <c r="S1878" s="34"/>
      <c r="T1878" s="34"/>
      <c r="U1878" s="34"/>
      <c r="V1878" s="34"/>
      <c r="W1878" s="34"/>
      <c r="X1878" s="34"/>
      <c r="Y1878" s="34"/>
      <c r="Z1878" s="34"/>
      <c r="AA1878" s="34"/>
      <c r="AB1878" s="34"/>
      <c r="AC1878" s="34"/>
      <c r="AD1878" s="34"/>
      <c r="AE1878" s="34"/>
      <c r="AF1878" s="34"/>
      <c r="AG1878" s="34"/>
      <c r="AH1878" s="34"/>
      <c r="AI1878" s="34"/>
      <c r="AJ1878" s="34"/>
      <c r="AK1878" s="34"/>
      <c r="AL1878" s="34"/>
      <c r="AM1878" s="34"/>
      <c r="AN1878" s="34"/>
      <c r="AO1878" s="34"/>
      <c r="AP1878" s="34"/>
      <c r="AQ1878" s="34"/>
      <c r="AR1878" s="34"/>
      <c r="AS1878" s="34"/>
      <c r="AT1878" s="34"/>
      <c r="AU1878" s="34"/>
      <c r="AV1878" s="34"/>
    </row>
    <row r="1879">
      <c r="A1879" s="34"/>
      <c r="B1879" s="34"/>
      <c r="C1879" s="34"/>
      <c r="D1879" s="34"/>
      <c r="E1879" s="34"/>
      <c r="F1879" s="34"/>
      <c r="G1879" s="34"/>
      <c r="H1879" s="34"/>
      <c r="I1879" s="34"/>
      <c r="J1879" s="34"/>
      <c r="K1879" s="34"/>
      <c r="L1879" s="34"/>
      <c r="M1879" s="34"/>
      <c r="N1879" s="34"/>
      <c r="O1879" s="34"/>
      <c r="P1879" s="34"/>
      <c r="Q1879" s="34"/>
      <c r="R1879" s="34"/>
      <c r="S1879" s="34"/>
      <c r="T1879" s="34"/>
      <c r="U1879" s="34"/>
      <c r="V1879" s="34"/>
      <c r="W1879" s="34"/>
      <c r="X1879" s="34"/>
      <c r="Y1879" s="34"/>
      <c r="Z1879" s="34"/>
      <c r="AA1879" s="34"/>
      <c r="AB1879" s="34"/>
      <c r="AC1879" s="34"/>
      <c r="AD1879" s="34"/>
      <c r="AE1879" s="34"/>
      <c r="AF1879" s="34"/>
      <c r="AG1879" s="34"/>
      <c r="AH1879" s="34"/>
      <c r="AI1879" s="34"/>
      <c r="AJ1879" s="34"/>
      <c r="AK1879" s="34"/>
      <c r="AL1879" s="34"/>
      <c r="AM1879" s="34"/>
      <c r="AN1879" s="34"/>
      <c r="AO1879" s="34"/>
      <c r="AP1879" s="34"/>
      <c r="AQ1879" s="34"/>
      <c r="AR1879" s="34"/>
      <c r="AS1879" s="34"/>
      <c r="AT1879" s="34"/>
      <c r="AU1879" s="34"/>
      <c r="AV1879" s="34"/>
    </row>
    <row r="1880">
      <c r="A1880" s="34"/>
      <c r="B1880" s="34"/>
      <c r="C1880" s="34"/>
      <c r="D1880" s="34"/>
      <c r="E1880" s="34"/>
      <c r="F1880" s="34"/>
      <c r="G1880" s="34"/>
      <c r="H1880" s="34"/>
      <c r="I1880" s="34"/>
      <c r="J1880" s="34"/>
      <c r="K1880" s="34"/>
      <c r="L1880" s="34"/>
      <c r="M1880" s="34"/>
      <c r="N1880" s="34"/>
      <c r="O1880" s="34"/>
      <c r="P1880" s="34"/>
      <c r="Q1880" s="34"/>
      <c r="R1880" s="34"/>
      <c r="S1880" s="34"/>
      <c r="T1880" s="34"/>
      <c r="U1880" s="34"/>
      <c r="V1880" s="34"/>
      <c r="W1880" s="34"/>
      <c r="X1880" s="34"/>
      <c r="Y1880" s="34"/>
      <c r="Z1880" s="34"/>
      <c r="AA1880" s="34"/>
      <c r="AB1880" s="34"/>
      <c r="AC1880" s="34"/>
      <c r="AD1880" s="34"/>
      <c r="AE1880" s="34"/>
      <c r="AF1880" s="34"/>
      <c r="AG1880" s="34"/>
      <c r="AH1880" s="34"/>
      <c r="AI1880" s="34"/>
      <c r="AJ1880" s="34"/>
      <c r="AK1880" s="34"/>
      <c r="AL1880" s="34"/>
      <c r="AM1880" s="34"/>
      <c r="AN1880" s="34"/>
      <c r="AO1880" s="34"/>
      <c r="AP1880" s="34"/>
      <c r="AQ1880" s="34"/>
      <c r="AR1880" s="34"/>
      <c r="AS1880" s="34"/>
      <c r="AT1880" s="34"/>
      <c r="AU1880" s="34"/>
      <c r="AV1880" s="34"/>
    </row>
    <row r="1881">
      <c r="A1881" s="34"/>
      <c r="B1881" s="34"/>
      <c r="C1881" s="34"/>
      <c r="D1881" s="34"/>
      <c r="E1881" s="34"/>
      <c r="F1881" s="34"/>
      <c r="G1881" s="34"/>
      <c r="H1881" s="34"/>
      <c r="I1881" s="34"/>
      <c r="J1881" s="34"/>
      <c r="K1881" s="34"/>
      <c r="L1881" s="34"/>
      <c r="M1881" s="34"/>
      <c r="N1881" s="34"/>
      <c r="O1881" s="34"/>
      <c r="P1881" s="34"/>
      <c r="Q1881" s="34"/>
      <c r="R1881" s="34"/>
      <c r="S1881" s="34"/>
      <c r="T1881" s="34"/>
      <c r="U1881" s="34"/>
      <c r="V1881" s="34"/>
      <c r="W1881" s="34"/>
      <c r="X1881" s="34"/>
      <c r="Y1881" s="34"/>
      <c r="Z1881" s="34"/>
      <c r="AA1881" s="34"/>
      <c r="AB1881" s="34"/>
      <c r="AC1881" s="34"/>
      <c r="AD1881" s="34"/>
      <c r="AE1881" s="34"/>
      <c r="AF1881" s="34"/>
      <c r="AG1881" s="34"/>
      <c r="AH1881" s="34"/>
      <c r="AI1881" s="34"/>
      <c r="AJ1881" s="34"/>
      <c r="AK1881" s="34"/>
      <c r="AL1881" s="34"/>
      <c r="AM1881" s="34"/>
      <c r="AN1881" s="34"/>
      <c r="AO1881" s="34"/>
      <c r="AP1881" s="34"/>
      <c r="AQ1881" s="34"/>
      <c r="AR1881" s="34"/>
      <c r="AS1881" s="34"/>
      <c r="AT1881" s="34"/>
      <c r="AU1881" s="34"/>
      <c r="AV1881" s="34"/>
    </row>
    <row r="1882">
      <c r="A1882" s="34"/>
      <c r="B1882" s="34"/>
      <c r="C1882" s="34"/>
      <c r="D1882" s="34"/>
      <c r="E1882" s="34"/>
      <c r="F1882" s="34"/>
      <c r="G1882" s="34"/>
      <c r="H1882" s="34"/>
      <c r="I1882" s="34"/>
      <c r="J1882" s="34"/>
      <c r="K1882" s="34"/>
      <c r="L1882" s="34"/>
      <c r="M1882" s="34"/>
      <c r="N1882" s="34"/>
      <c r="O1882" s="34"/>
      <c r="P1882" s="34"/>
      <c r="Q1882" s="34"/>
      <c r="R1882" s="34"/>
      <c r="S1882" s="34"/>
      <c r="T1882" s="34"/>
      <c r="U1882" s="34"/>
      <c r="V1882" s="34"/>
      <c r="W1882" s="34"/>
      <c r="X1882" s="34"/>
      <c r="Y1882" s="34"/>
      <c r="Z1882" s="34"/>
      <c r="AA1882" s="34"/>
      <c r="AB1882" s="34"/>
      <c r="AC1882" s="34"/>
      <c r="AD1882" s="34"/>
      <c r="AE1882" s="34"/>
      <c r="AF1882" s="34"/>
      <c r="AG1882" s="34"/>
      <c r="AH1882" s="34"/>
      <c r="AI1882" s="34"/>
      <c r="AJ1882" s="34"/>
      <c r="AK1882" s="34"/>
      <c r="AL1882" s="34"/>
      <c r="AM1882" s="34"/>
      <c r="AN1882" s="34"/>
      <c r="AO1882" s="34"/>
      <c r="AP1882" s="34"/>
      <c r="AQ1882" s="34"/>
      <c r="AR1882" s="34"/>
      <c r="AS1882" s="34"/>
      <c r="AT1882" s="34"/>
      <c r="AU1882" s="34"/>
      <c r="AV1882" s="34"/>
    </row>
    <row r="1883">
      <c r="A1883" s="34"/>
      <c r="B1883" s="34"/>
      <c r="C1883" s="34"/>
      <c r="D1883" s="34"/>
      <c r="E1883" s="34"/>
      <c r="F1883" s="34"/>
      <c r="G1883" s="34"/>
      <c r="H1883" s="34"/>
      <c r="I1883" s="34"/>
      <c r="J1883" s="34"/>
      <c r="K1883" s="34"/>
      <c r="L1883" s="34"/>
      <c r="M1883" s="34"/>
      <c r="N1883" s="34"/>
      <c r="O1883" s="34"/>
      <c r="P1883" s="34"/>
      <c r="Q1883" s="34"/>
      <c r="R1883" s="34"/>
      <c r="S1883" s="34"/>
      <c r="T1883" s="34"/>
      <c r="U1883" s="34"/>
      <c r="V1883" s="34"/>
      <c r="W1883" s="34"/>
      <c r="X1883" s="34"/>
      <c r="Y1883" s="34"/>
      <c r="Z1883" s="34"/>
      <c r="AA1883" s="34"/>
      <c r="AB1883" s="34"/>
      <c r="AC1883" s="34"/>
      <c r="AD1883" s="34"/>
      <c r="AE1883" s="34"/>
      <c r="AF1883" s="34"/>
      <c r="AG1883" s="34"/>
      <c r="AH1883" s="34"/>
      <c r="AI1883" s="34"/>
      <c r="AJ1883" s="34"/>
      <c r="AK1883" s="34"/>
      <c r="AL1883" s="34"/>
      <c r="AM1883" s="34"/>
      <c r="AN1883" s="34"/>
      <c r="AO1883" s="34"/>
      <c r="AP1883" s="34"/>
      <c r="AQ1883" s="34"/>
      <c r="AR1883" s="34"/>
      <c r="AS1883" s="34"/>
      <c r="AT1883" s="34"/>
      <c r="AU1883" s="34"/>
      <c r="AV1883" s="34"/>
    </row>
    <row r="1884">
      <c r="A1884" s="34"/>
      <c r="B1884" s="34"/>
      <c r="C1884" s="34"/>
      <c r="D1884" s="34"/>
      <c r="E1884" s="34"/>
      <c r="F1884" s="34"/>
      <c r="G1884" s="34"/>
      <c r="H1884" s="34"/>
      <c r="I1884" s="34"/>
      <c r="J1884" s="34"/>
      <c r="K1884" s="34"/>
      <c r="L1884" s="34"/>
      <c r="M1884" s="34"/>
      <c r="N1884" s="34"/>
      <c r="O1884" s="34"/>
      <c r="P1884" s="34"/>
      <c r="Q1884" s="34"/>
      <c r="R1884" s="34"/>
      <c r="S1884" s="34"/>
      <c r="T1884" s="34"/>
      <c r="U1884" s="34"/>
      <c r="V1884" s="34"/>
      <c r="W1884" s="34"/>
      <c r="X1884" s="34"/>
      <c r="Y1884" s="34"/>
      <c r="Z1884" s="34"/>
      <c r="AA1884" s="34"/>
      <c r="AB1884" s="34"/>
      <c r="AC1884" s="34"/>
      <c r="AD1884" s="34"/>
      <c r="AE1884" s="34"/>
      <c r="AF1884" s="34"/>
      <c r="AG1884" s="34"/>
      <c r="AH1884" s="34"/>
      <c r="AI1884" s="34"/>
      <c r="AJ1884" s="34"/>
      <c r="AK1884" s="34"/>
      <c r="AL1884" s="34"/>
      <c r="AM1884" s="34"/>
      <c r="AN1884" s="34"/>
      <c r="AO1884" s="34"/>
      <c r="AP1884" s="34"/>
      <c r="AQ1884" s="34"/>
      <c r="AR1884" s="34"/>
      <c r="AS1884" s="34"/>
      <c r="AT1884" s="34"/>
      <c r="AU1884" s="34"/>
      <c r="AV1884" s="34"/>
    </row>
    <row r="1885">
      <c r="A1885" s="34"/>
      <c r="B1885" s="34"/>
      <c r="C1885" s="34"/>
      <c r="D1885" s="34"/>
      <c r="E1885" s="34"/>
      <c r="F1885" s="34"/>
      <c r="G1885" s="34"/>
      <c r="H1885" s="34"/>
      <c r="I1885" s="34"/>
      <c r="J1885" s="34"/>
      <c r="K1885" s="34"/>
      <c r="L1885" s="34"/>
      <c r="M1885" s="34"/>
      <c r="N1885" s="34"/>
      <c r="O1885" s="34"/>
      <c r="P1885" s="34"/>
      <c r="Q1885" s="34"/>
      <c r="R1885" s="34"/>
      <c r="S1885" s="34"/>
      <c r="T1885" s="34"/>
      <c r="U1885" s="34"/>
      <c r="V1885" s="34"/>
      <c r="W1885" s="34"/>
      <c r="X1885" s="34"/>
      <c r="Y1885" s="34"/>
      <c r="Z1885" s="34"/>
      <c r="AA1885" s="34"/>
      <c r="AB1885" s="34"/>
      <c r="AC1885" s="34"/>
      <c r="AD1885" s="34"/>
      <c r="AE1885" s="34"/>
      <c r="AF1885" s="34"/>
      <c r="AG1885" s="34"/>
      <c r="AH1885" s="34"/>
      <c r="AI1885" s="34"/>
      <c r="AJ1885" s="34"/>
      <c r="AK1885" s="34"/>
      <c r="AL1885" s="34"/>
      <c r="AM1885" s="34"/>
      <c r="AN1885" s="34"/>
      <c r="AO1885" s="34"/>
      <c r="AP1885" s="34"/>
      <c r="AQ1885" s="34"/>
      <c r="AR1885" s="34"/>
      <c r="AS1885" s="34"/>
      <c r="AT1885" s="34"/>
      <c r="AU1885" s="34"/>
      <c r="AV1885" s="34"/>
    </row>
    <row r="1886">
      <c r="A1886" s="34"/>
      <c r="B1886" s="34"/>
      <c r="C1886" s="34"/>
      <c r="D1886" s="34"/>
      <c r="E1886" s="34"/>
      <c r="F1886" s="34"/>
      <c r="G1886" s="34"/>
      <c r="H1886" s="34"/>
      <c r="I1886" s="34"/>
      <c r="J1886" s="34"/>
      <c r="K1886" s="34"/>
      <c r="L1886" s="34"/>
      <c r="M1886" s="34"/>
      <c r="N1886" s="34"/>
      <c r="O1886" s="34"/>
      <c r="P1886" s="34"/>
      <c r="Q1886" s="34"/>
      <c r="R1886" s="34"/>
      <c r="S1886" s="34"/>
      <c r="T1886" s="34"/>
      <c r="U1886" s="34"/>
      <c r="V1886" s="34"/>
      <c r="W1886" s="34"/>
      <c r="X1886" s="34"/>
      <c r="Y1886" s="34"/>
      <c r="Z1886" s="34"/>
      <c r="AA1886" s="34"/>
      <c r="AB1886" s="34"/>
      <c r="AC1886" s="34"/>
      <c r="AD1886" s="34"/>
      <c r="AE1886" s="34"/>
      <c r="AF1886" s="34"/>
      <c r="AG1886" s="34"/>
      <c r="AH1886" s="34"/>
      <c r="AI1886" s="34"/>
      <c r="AJ1886" s="34"/>
      <c r="AK1886" s="34"/>
      <c r="AL1886" s="34"/>
      <c r="AM1886" s="34"/>
      <c r="AN1886" s="34"/>
      <c r="AO1886" s="34"/>
      <c r="AP1886" s="34"/>
      <c r="AQ1886" s="34"/>
      <c r="AR1886" s="34"/>
      <c r="AS1886" s="34"/>
      <c r="AT1886" s="34"/>
      <c r="AU1886" s="34"/>
      <c r="AV1886" s="34"/>
    </row>
    <row r="1887">
      <c r="A1887" s="34"/>
      <c r="B1887" s="34"/>
      <c r="C1887" s="34"/>
      <c r="D1887" s="34"/>
      <c r="E1887" s="34"/>
      <c r="F1887" s="34"/>
      <c r="G1887" s="34"/>
      <c r="H1887" s="34"/>
      <c r="I1887" s="34"/>
      <c r="J1887" s="34"/>
      <c r="K1887" s="34"/>
      <c r="L1887" s="34"/>
      <c r="M1887" s="34"/>
      <c r="N1887" s="34"/>
      <c r="O1887" s="34"/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  <c r="AA1887" s="34"/>
      <c r="AB1887" s="34"/>
      <c r="AC1887" s="34"/>
      <c r="AD1887" s="34"/>
      <c r="AE1887" s="34"/>
      <c r="AF1887" s="34"/>
      <c r="AG1887" s="34"/>
      <c r="AH1887" s="34"/>
      <c r="AI1887" s="34"/>
      <c r="AJ1887" s="34"/>
      <c r="AK1887" s="34"/>
      <c r="AL1887" s="34"/>
      <c r="AM1887" s="34"/>
      <c r="AN1887" s="34"/>
      <c r="AO1887" s="34"/>
      <c r="AP1887" s="34"/>
      <c r="AQ1887" s="34"/>
      <c r="AR1887" s="34"/>
      <c r="AS1887" s="34"/>
      <c r="AT1887" s="34"/>
      <c r="AU1887" s="34"/>
      <c r="AV1887" s="34"/>
    </row>
    <row r="1888">
      <c r="A1888" s="34"/>
      <c r="B1888" s="34"/>
      <c r="C1888" s="34"/>
      <c r="D1888" s="34"/>
      <c r="E1888" s="34"/>
      <c r="F1888" s="34"/>
      <c r="G1888" s="34"/>
      <c r="H1888" s="34"/>
      <c r="I1888" s="34"/>
      <c r="J1888" s="34"/>
      <c r="K1888" s="34"/>
      <c r="L1888" s="34"/>
      <c r="M1888" s="34"/>
      <c r="N1888" s="34"/>
      <c r="O1888" s="34"/>
      <c r="P1888" s="34"/>
      <c r="Q1888" s="34"/>
      <c r="R1888" s="34"/>
      <c r="S1888" s="34"/>
      <c r="T1888" s="34"/>
      <c r="U1888" s="34"/>
      <c r="V1888" s="34"/>
      <c r="W1888" s="34"/>
      <c r="X1888" s="34"/>
      <c r="Y1888" s="34"/>
      <c r="Z1888" s="34"/>
      <c r="AA1888" s="34"/>
      <c r="AB1888" s="34"/>
      <c r="AC1888" s="34"/>
      <c r="AD1888" s="34"/>
      <c r="AE1888" s="34"/>
      <c r="AF1888" s="34"/>
      <c r="AG1888" s="34"/>
      <c r="AH1888" s="34"/>
      <c r="AI1888" s="34"/>
      <c r="AJ1888" s="34"/>
      <c r="AK1888" s="34"/>
      <c r="AL1888" s="34"/>
      <c r="AM1888" s="34"/>
      <c r="AN1888" s="34"/>
      <c r="AO1888" s="34"/>
      <c r="AP1888" s="34"/>
      <c r="AQ1888" s="34"/>
      <c r="AR1888" s="34"/>
      <c r="AS1888" s="34"/>
      <c r="AT1888" s="34"/>
      <c r="AU1888" s="34"/>
      <c r="AV1888" s="34"/>
    </row>
    <row r="1889">
      <c r="A1889" s="34"/>
      <c r="B1889" s="34"/>
      <c r="C1889" s="34"/>
      <c r="D1889" s="34"/>
      <c r="E1889" s="34"/>
      <c r="F1889" s="34"/>
      <c r="G1889" s="34"/>
      <c r="H1889" s="34"/>
      <c r="I1889" s="34"/>
      <c r="J1889" s="34"/>
      <c r="K1889" s="34"/>
      <c r="L1889" s="34"/>
      <c r="M1889" s="34"/>
      <c r="N1889" s="34"/>
      <c r="O1889" s="34"/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4"/>
      <c r="AM1889" s="34"/>
      <c r="AN1889" s="34"/>
      <c r="AO1889" s="34"/>
      <c r="AP1889" s="34"/>
      <c r="AQ1889" s="34"/>
      <c r="AR1889" s="34"/>
      <c r="AS1889" s="34"/>
      <c r="AT1889" s="34"/>
      <c r="AU1889" s="34"/>
      <c r="AV1889" s="34"/>
    </row>
    <row r="1890">
      <c r="A1890" s="34"/>
      <c r="B1890" s="34"/>
      <c r="C1890" s="34"/>
      <c r="D1890" s="34"/>
      <c r="E1890" s="34"/>
      <c r="F1890" s="34"/>
      <c r="G1890" s="34"/>
      <c r="H1890" s="34"/>
      <c r="I1890" s="34"/>
      <c r="J1890" s="34"/>
      <c r="K1890" s="34"/>
      <c r="L1890" s="34"/>
      <c r="M1890" s="34"/>
      <c r="N1890" s="34"/>
      <c r="O1890" s="34"/>
      <c r="P1890" s="34"/>
      <c r="Q1890" s="34"/>
      <c r="R1890" s="34"/>
      <c r="S1890" s="34"/>
      <c r="T1890" s="34"/>
      <c r="U1890" s="34"/>
      <c r="V1890" s="34"/>
      <c r="W1890" s="34"/>
      <c r="X1890" s="34"/>
      <c r="Y1890" s="34"/>
      <c r="Z1890" s="34"/>
      <c r="AA1890" s="34"/>
      <c r="AB1890" s="34"/>
      <c r="AC1890" s="34"/>
      <c r="AD1890" s="34"/>
      <c r="AE1890" s="34"/>
      <c r="AF1890" s="34"/>
      <c r="AG1890" s="34"/>
      <c r="AH1890" s="34"/>
      <c r="AI1890" s="34"/>
      <c r="AJ1890" s="34"/>
      <c r="AK1890" s="34"/>
      <c r="AL1890" s="34"/>
      <c r="AM1890" s="34"/>
      <c r="AN1890" s="34"/>
      <c r="AO1890" s="34"/>
      <c r="AP1890" s="34"/>
      <c r="AQ1890" s="34"/>
      <c r="AR1890" s="34"/>
      <c r="AS1890" s="34"/>
      <c r="AT1890" s="34"/>
      <c r="AU1890" s="34"/>
      <c r="AV1890" s="34"/>
    </row>
    <row r="1891">
      <c r="A1891" s="34"/>
      <c r="B1891" s="34"/>
      <c r="C1891" s="34"/>
      <c r="D1891" s="34"/>
      <c r="E1891" s="34"/>
      <c r="F1891" s="34"/>
      <c r="G1891" s="34"/>
      <c r="H1891" s="34"/>
      <c r="I1891" s="34"/>
      <c r="J1891" s="34"/>
      <c r="K1891" s="34"/>
      <c r="L1891" s="34"/>
      <c r="M1891" s="34"/>
      <c r="N1891" s="34"/>
      <c r="O1891" s="34"/>
      <c r="P1891" s="34"/>
      <c r="Q1891" s="34"/>
      <c r="R1891" s="34"/>
      <c r="S1891" s="34"/>
      <c r="T1891" s="34"/>
      <c r="U1891" s="34"/>
      <c r="V1891" s="34"/>
      <c r="W1891" s="34"/>
      <c r="X1891" s="34"/>
      <c r="Y1891" s="34"/>
      <c r="Z1891" s="34"/>
      <c r="AA1891" s="34"/>
      <c r="AB1891" s="34"/>
      <c r="AC1891" s="34"/>
      <c r="AD1891" s="34"/>
      <c r="AE1891" s="34"/>
      <c r="AF1891" s="34"/>
      <c r="AG1891" s="34"/>
      <c r="AH1891" s="34"/>
      <c r="AI1891" s="34"/>
      <c r="AJ1891" s="34"/>
      <c r="AK1891" s="34"/>
      <c r="AL1891" s="34"/>
      <c r="AM1891" s="34"/>
      <c r="AN1891" s="34"/>
      <c r="AO1891" s="34"/>
      <c r="AP1891" s="34"/>
      <c r="AQ1891" s="34"/>
      <c r="AR1891" s="34"/>
      <c r="AS1891" s="34"/>
      <c r="AT1891" s="34"/>
      <c r="AU1891" s="34"/>
      <c r="AV1891" s="34"/>
    </row>
    <row r="1892">
      <c r="A1892" s="34"/>
      <c r="B1892" s="34"/>
      <c r="C1892" s="34"/>
      <c r="D1892" s="34"/>
      <c r="E1892" s="34"/>
      <c r="F1892" s="34"/>
      <c r="G1892" s="34"/>
      <c r="H1892" s="34"/>
      <c r="I1892" s="34"/>
      <c r="J1892" s="34"/>
      <c r="K1892" s="34"/>
      <c r="L1892" s="34"/>
      <c r="M1892" s="34"/>
      <c r="N1892" s="34"/>
      <c r="O1892" s="34"/>
      <c r="P1892" s="34"/>
      <c r="Q1892" s="34"/>
      <c r="R1892" s="34"/>
      <c r="S1892" s="34"/>
      <c r="T1892" s="34"/>
      <c r="U1892" s="34"/>
      <c r="V1892" s="34"/>
      <c r="W1892" s="34"/>
      <c r="X1892" s="34"/>
      <c r="Y1892" s="34"/>
      <c r="Z1892" s="34"/>
      <c r="AA1892" s="34"/>
      <c r="AB1892" s="34"/>
      <c r="AC1892" s="34"/>
      <c r="AD1892" s="34"/>
      <c r="AE1892" s="34"/>
      <c r="AF1892" s="34"/>
      <c r="AG1892" s="34"/>
      <c r="AH1892" s="34"/>
      <c r="AI1892" s="34"/>
      <c r="AJ1892" s="34"/>
      <c r="AK1892" s="34"/>
      <c r="AL1892" s="34"/>
      <c r="AM1892" s="34"/>
      <c r="AN1892" s="34"/>
      <c r="AO1892" s="34"/>
      <c r="AP1892" s="34"/>
      <c r="AQ1892" s="34"/>
      <c r="AR1892" s="34"/>
      <c r="AS1892" s="34"/>
      <c r="AT1892" s="34"/>
      <c r="AU1892" s="34"/>
      <c r="AV1892" s="34"/>
    </row>
    <row r="1893">
      <c r="A1893" s="34"/>
      <c r="B1893" s="34"/>
      <c r="C1893" s="34"/>
      <c r="D1893" s="34"/>
      <c r="E1893" s="34"/>
      <c r="F1893" s="34"/>
      <c r="G1893" s="34"/>
      <c r="H1893" s="34"/>
      <c r="I1893" s="34"/>
      <c r="J1893" s="34"/>
      <c r="K1893" s="34"/>
      <c r="L1893" s="34"/>
      <c r="M1893" s="34"/>
      <c r="N1893" s="34"/>
      <c r="O1893" s="34"/>
      <c r="P1893" s="34"/>
      <c r="Q1893" s="34"/>
      <c r="R1893" s="34"/>
      <c r="S1893" s="34"/>
      <c r="T1893" s="34"/>
      <c r="U1893" s="34"/>
      <c r="V1893" s="34"/>
      <c r="W1893" s="34"/>
      <c r="X1893" s="34"/>
      <c r="Y1893" s="34"/>
      <c r="Z1893" s="34"/>
      <c r="AA1893" s="34"/>
      <c r="AB1893" s="34"/>
      <c r="AC1893" s="34"/>
      <c r="AD1893" s="34"/>
      <c r="AE1893" s="34"/>
      <c r="AF1893" s="34"/>
      <c r="AG1893" s="34"/>
      <c r="AH1893" s="34"/>
      <c r="AI1893" s="34"/>
      <c r="AJ1893" s="34"/>
      <c r="AK1893" s="34"/>
      <c r="AL1893" s="34"/>
      <c r="AM1893" s="34"/>
      <c r="AN1893" s="34"/>
      <c r="AO1893" s="34"/>
      <c r="AP1893" s="34"/>
      <c r="AQ1893" s="34"/>
      <c r="AR1893" s="34"/>
      <c r="AS1893" s="34"/>
      <c r="AT1893" s="34"/>
      <c r="AU1893" s="34"/>
      <c r="AV1893" s="34"/>
    </row>
    <row r="1894">
      <c r="A1894" s="34"/>
      <c r="B1894" s="34"/>
      <c r="C1894" s="34"/>
      <c r="D1894" s="34"/>
      <c r="E1894" s="34"/>
      <c r="F1894" s="34"/>
      <c r="G1894" s="34"/>
      <c r="H1894" s="34"/>
      <c r="I1894" s="34"/>
      <c r="J1894" s="34"/>
      <c r="K1894" s="34"/>
      <c r="L1894" s="34"/>
      <c r="M1894" s="34"/>
      <c r="N1894" s="34"/>
      <c r="O1894" s="34"/>
      <c r="P1894" s="34"/>
      <c r="Q1894" s="34"/>
      <c r="R1894" s="34"/>
      <c r="S1894" s="34"/>
      <c r="T1894" s="34"/>
      <c r="U1894" s="34"/>
      <c r="V1894" s="34"/>
      <c r="W1894" s="34"/>
      <c r="X1894" s="34"/>
      <c r="Y1894" s="34"/>
      <c r="Z1894" s="34"/>
      <c r="AA1894" s="34"/>
      <c r="AB1894" s="34"/>
      <c r="AC1894" s="34"/>
      <c r="AD1894" s="34"/>
      <c r="AE1894" s="34"/>
      <c r="AF1894" s="34"/>
      <c r="AG1894" s="34"/>
      <c r="AH1894" s="34"/>
      <c r="AI1894" s="34"/>
      <c r="AJ1894" s="34"/>
      <c r="AK1894" s="34"/>
      <c r="AL1894" s="34"/>
      <c r="AM1894" s="34"/>
      <c r="AN1894" s="34"/>
      <c r="AO1894" s="34"/>
      <c r="AP1894" s="34"/>
      <c r="AQ1894" s="34"/>
      <c r="AR1894" s="34"/>
      <c r="AS1894" s="34"/>
      <c r="AT1894" s="34"/>
      <c r="AU1894" s="34"/>
      <c r="AV1894" s="34"/>
    </row>
    <row r="1895">
      <c r="A1895" s="34"/>
      <c r="B1895" s="34"/>
      <c r="C1895" s="34"/>
      <c r="D1895" s="34"/>
      <c r="E1895" s="34"/>
      <c r="F1895" s="34"/>
      <c r="G1895" s="34"/>
      <c r="H1895" s="34"/>
      <c r="I1895" s="34"/>
      <c r="J1895" s="34"/>
      <c r="K1895" s="34"/>
      <c r="L1895" s="34"/>
      <c r="M1895" s="34"/>
      <c r="N1895" s="34"/>
      <c r="O1895" s="34"/>
      <c r="P1895" s="34"/>
      <c r="Q1895" s="34"/>
      <c r="R1895" s="34"/>
      <c r="S1895" s="34"/>
      <c r="T1895" s="34"/>
      <c r="U1895" s="34"/>
      <c r="V1895" s="34"/>
      <c r="W1895" s="34"/>
      <c r="X1895" s="34"/>
      <c r="Y1895" s="34"/>
      <c r="Z1895" s="34"/>
      <c r="AA1895" s="34"/>
      <c r="AB1895" s="34"/>
      <c r="AC1895" s="34"/>
      <c r="AD1895" s="34"/>
      <c r="AE1895" s="34"/>
      <c r="AF1895" s="34"/>
      <c r="AG1895" s="34"/>
      <c r="AH1895" s="34"/>
      <c r="AI1895" s="34"/>
      <c r="AJ1895" s="34"/>
      <c r="AK1895" s="34"/>
      <c r="AL1895" s="34"/>
      <c r="AM1895" s="34"/>
      <c r="AN1895" s="34"/>
      <c r="AO1895" s="34"/>
      <c r="AP1895" s="34"/>
      <c r="AQ1895" s="34"/>
      <c r="AR1895" s="34"/>
      <c r="AS1895" s="34"/>
      <c r="AT1895" s="34"/>
      <c r="AU1895" s="34"/>
      <c r="AV1895" s="34"/>
    </row>
    <row r="1896">
      <c r="A1896" s="34"/>
      <c r="B1896" s="34"/>
      <c r="C1896" s="34"/>
      <c r="D1896" s="34"/>
      <c r="E1896" s="34"/>
      <c r="F1896" s="34"/>
      <c r="G1896" s="34"/>
      <c r="H1896" s="34"/>
      <c r="I1896" s="34"/>
      <c r="J1896" s="34"/>
      <c r="K1896" s="34"/>
      <c r="L1896" s="34"/>
      <c r="M1896" s="34"/>
      <c r="N1896" s="34"/>
      <c r="O1896" s="34"/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  <c r="AI1896" s="34"/>
      <c r="AJ1896" s="34"/>
      <c r="AK1896" s="34"/>
      <c r="AL1896" s="34"/>
      <c r="AM1896" s="34"/>
      <c r="AN1896" s="34"/>
      <c r="AO1896" s="34"/>
      <c r="AP1896" s="34"/>
      <c r="AQ1896" s="34"/>
      <c r="AR1896" s="34"/>
      <c r="AS1896" s="34"/>
      <c r="AT1896" s="34"/>
      <c r="AU1896" s="34"/>
      <c r="AV1896" s="34"/>
    </row>
    <row r="1897">
      <c r="A1897" s="34"/>
      <c r="B1897" s="34"/>
      <c r="C1897" s="34"/>
      <c r="D1897" s="34"/>
      <c r="E1897" s="34"/>
      <c r="F1897" s="34"/>
      <c r="G1897" s="34"/>
      <c r="H1897" s="34"/>
      <c r="I1897" s="34"/>
      <c r="J1897" s="34"/>
      <c r="K1897" s="34"/>
      <c r="L1897" s="34"/>
      <c r="M1897" s="34"/>
      <c r="N1897" s="34"/>
      <c r="O1897" s="34"/>
      <c r="P1897" s="34"/>
      <c r="Q1897" s="34"/>
      <c r="R1897" s="34"/>
      <c r="S1897" s="34"/>
      <c r="T1897" s="34"/>
      <c r="U1897" s="34"/>
      <c r="V1897" s="34"/>
      <c r="W1897" s="34"/>
      <c r="X1897" s="34"/>
      <c r="Y1897" s="34"/>
      <c r="Z1897" s="34"/>
      <c r="AA1897" s="34"/>
      <c r="AB1897" s="34"/>
      <c r="AC1897" s="34"/>
      <c r="AD1897" s="34"/>
      <c r="AE1897" s="34"/>
      <c r="AF1897" s="34"/>
      <c r="AG1897" s="34"/>
      <c r="AH1897" s="34"/>
      <c r="AI1897" s="34"/>
      <c r="AJ1897" s="34"/>
      <c r="AK1897" s="34"/>
      <c r="AL1897" s="34"/>
      <c r="AM1897" s="34"/>
      <c r="AN1897" s="34"/>
      <c r="AO1897" s="34"/>
      <c r="AP1897" s="34"/>
      <c r="AQ1897" s="34"/>
      <c r="AR1897" s="34"/>
      <c r="AS1897" s="34"/>
      <c r="AT1897" s="34"/>
      <c r="AU1897" s="34"/>
      <c r="AV1897" s="34"/>
    </row>
    <row r="1898">
      <c r="A1898" s="34"/>
      <c r="B1898" s="34"/>
      <c r="C1898" s="34"/>
      <c r="D1898" s="34"/>
      <c r="E1898" s="34"/>
      <c r="F1898" s="34"/>
      <c r="G1898" s="34"/>
      <c r="H1898" s="34"/>
      <c r="I1898" s="34"/>
      <c r="J1898" s="34"/>
      <c r="K1898" s="34"/>
      <c r="L1898" s="34"/>
      <c r="M1898" s="34"/>
      <c r="N1898" s="34"/>
      <c r="O1898" s="34"/>
      <c r="P1898" s="34"/>
      <c r="Q1898" s="34"/>
      <c r="R1898" s="34"/>
      <c r="S1898" s="34"/>
      <c r="T1898" s="34"/>
      <c r="U1898" s="34"/>
      <c r="V1898" s="34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  <c r="AJ1898" s="34"/>
      <c r="AK1898" s="34"/>
      <c r="AL1898" s="34"/>
      <c r="AM1898" s="34"/>
      <c r="AN1898" s="34"/>
      <c r="AO1898" s="34"/>
      <c r="AP1898" s="34"/>
      <c r="AQ1898" s="34"/>
      <c r="AR1898" s="34"/>
      <c r="AS1898" s="34"/>
      <c r="AT1898" s="34"/>
      <c r="AU1898" s="34"/>
      <c r="AV1898" s="34"/>
    </row>
    <row r="1899">
      <c r="A1899" s="34"/>
      <c r="B1899" s="34"/>
      <c r="C1899" s="34"/>
      <c r="D1899" s="34"/>
      <c r="E1899" s="34"/>
      <c r="F1899" s="34"/>
      <c r="G1899" s="34"/>
      <c r="H1899" s="34"/>
      <c r="I1899" s="34"/>
      <c r="J1899" s="34"/>
      <c r="K1899" s="34"/>
      <c r="L1899" s="34"/>
      <c r="M1899" s="34"/>
      <c r="N1899" s="34"/>
      <c r="O1899" s="34"/>
      <c r="P1899" s="34"/>
      <c r="Q1899" s="34"/>
      <c r="R1899" s="34"/>
      <c r="S1899" s="34"/>
      <c r="T1899" s="34"/>
      <c r="U1899" s="34"/>
      <c r="V1899" s="34"/>
      <c r="W1899" s="34"/>
      <c r="X1899" s="34"/>
      <c r="Y1899" s="34"/>
      <c r="Z1899" s="34"/>
      <c r="AA1899" s="34"/>
      <c r="AB1899" s="34"/>
      <c r="AC1899" s="34"/>
      <c r="AD1899" s="34"/>
      <c r="AE1899" s="34"/>
      <c r="AF1899" s="34"/>
      <c r="AG1899" s="34"/>
      <c r="AH1899" s="34"/>
      <c r="AI1899" s="34"/>
      <c r="AJ1899" s="34"/>
      <c r="AK1899" s="34"/>
      <c r="AL1899" s="34"/>
      <c r="AM1899" s="34"/>
      <c r="AN1899" s="34"/>
      <c r="AO1899" s="34"/>
      <c r="AP1899" s="34"/>
      <c r="AQ1899" s="34"/>
      <c r="AR1899" s="34"/>
      <c r="AS1899" s="34"/>
      <c r="AT1899" s="34"/>
      <c r="AU1899" s="34"/>
      <c r="AV1899" s="34"/>
    </row>
    <row r="1900">
      <c r="A1900" s="34"/>
      <c r="B1900" s="34"/>
      <c r="C1900" s="34"/>
      <c r="D1900" s="34"/>
      <c r="E1900" s="34"/>
      <c r="F1900" s="34"/>
      <c r="G1900" s="34"/>
      <c r="H1900" s="34"/>
      <c r="I1900" s="34"/>
      <c r="J1900" s="34"/>
      <c r="K1900" s="34"/>
      <c r="L1900" s="34"/>
      <c r="M1900" s="34"/>
      <c r="N1900" s="34"/>
      <c r="O1900" s="34"/>
      <c r="P1900" s="34"/>
      <c r="Q1900" s="34"/>
      <c r="R1900" s="34"/>
      <c r="S1900" s="34"/>
      <c r="T1900" s="34"/>
      <c r="U1900" s="34"/>
      <c r="V1900" s="34"/>
      <c r="W1900" s="34"/>
      <c r="X1900" s="34"/>
      <c r="Y1900" s="34"/>
      <c r="Z1900" s="34"/>
      <c r="AA1900" s="34"/>
      <c r="AB1900" s="34"/>
      <c r="AC1900" s="34"/>
      <c r="AD1900" s="34"/>
      <c r="AE1900" s="34"/>
      <c r="AF1900" s="34"/>
      <c r="AG1900" s="34"/>
      <c r="AH1900" s="34"/>
      <c r="AI1900" s="34"/>
      <c r="AJ1900" s="34"/>
      <c r="AK1900" s="34"/>
      <c r="AL1900" s="34"/>
      <c r="AM1900" s="34"/>
      <c r="AN1900" s="34"/>
      <c r="AO1900" s="34"/>
      <c r="AP1900" s="34"/>
      <c r="AQ1900" s="34"/>
      <c r="AR1900" s="34"/>
      <c r="AS1900" s="34"/>
      <c r="AT1900" s="34"/>
      <c r="AU1900" s="34"/>
      <c r="AV1900" s="34"/>
    </row>
    <row r="1901">
      <c r="A1901" s="34"/>
      <c r="B1901" s="34"/>
      <c r="C1901" s="34"/>
      <c r="D1901" s="34"/>
      <c r="E1901" s="34"/>
      <c r="F1901" s="34"/>
      <c r="G1901" s="34"/>
      <c r="H1901" s="34"/>
      <c r="I1901" s="34"/>
      <c r="J1901" s="34"/>
      <c r="K1901" s="34"/>
      <c r="L1901" s="34"/>
      <c r="M1901" s="34"/>
      <c r="N1901" s="34"/>
      <c r="O1901" s="34"/>
      <c r="P1901" s="34"/>
      <c r="Q1901" s="34"/>
      <c r="R1901" s="34"/>
      <c r="S1901" s="34"/>
      <c r="T1901" s="34"/>
      <c r="U1901" s="34"/>
      <c r="V1901" s="34"/>
      <c r="W1901" s="34"/>
      <c r="X1901" s="34"/>
      <c r="Y1901" s="34"/>
      <c r="Z1901" s="34"/>
      <c r="AA1901" s="34"/>
      <c r="AB1901" s="34"/>
      <c r="AC1901" s="34"/>
      <c r="AD1901" s="34"/>
      <c r="AE1901" s="34"/>
      <c r="AF1901" s="34"/>
      <c r="AG1901" s="34"/>
      <c r="AH1901" s="34"/>
      <c r="AI1901" s="34"/>
      <c r="AJ1901" s="34"/>
      <c r="AK1901" s="34"/>
      <c r="AL1901" s="34"/>
      <c r="AM1901" s="34"/>
      <c r="AN1901" s="34"/>
      <c r="AO1901" s="34"/>
      <c r="AP1901" s="34"/>
      <c r="AQ1901" s="34"/>
      <c r="AR1901" s="34"/>
      <c r="AS1901" s="34"/>
      <c r="AT1901" s="34"/>
      <c r="AU1901" s="34"/>
      <c r="AV1901" s="34"/>
    </row>
    <row r="1902">
      <c r="A1902" s="34"/>
      <c r="B1902" s="34"/>
      <c r="C1902" s="34"/>
      <c r="D1902" s="34"/>
      <c r="E1902" s="34"/>
      <c r="F1902" s="34"/>
      <c r="G1902" s="34"/>
      <c r="H1902" s="34"/>
      <c r="I1902" s="34"/>
      <c r="J1902" s="34"/>
      <c r="K1902" s="34"/>
      <c r="L1902" s="34"/>
      <c r="M1902" s="34"/>
      <c r="N1902" s="34"/>
      <c r="O1902" s="34"/>
      <c r="P1902" s="34"/>
      <c r="Q1902" s="34"/>
      <c r="R1902" s="34"/>
      <c r="S1902" s="34"/>
      <c r="T1902" s="34"/>
      <c r="U1902" s="34"/>
      <c r="V1902" s="34"/>
      <c r="W1902" s="34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  <c r="AJ1902" s="34"/>
      <c r="AK1902" s="34"/>
      <c r="AL1902" s="34"/>
      <c r="AM1902" s="34"/>
      <c r="AN1902" s="34"/>
      <c r="AO1902" s="34"/>
      <c r="AP1902" s="34"/>
      <c r="AQ1902" s="34"/>
      <c r="AR1902" s="34"/>
      <c r="AS1902" s="34"/>
      <c r="AT1902" s="34"/>
      <c r="AU1902" s="34"/>
      <c r="AV1902" s="34"/>
    </row>
    <row r="1903">
      <c r="A1903" s="34"/>
      <c r="B1903" s="34"/>
      <c r="C1903" s="34"/>
      <c r="D1903" s="34"/>
      <c r="E1903" s="34"/>
      <c r="F1903" s="34"/>
      <c r="G1903" s="34"/>
      <c r="H1903" s="34"/>
      <c r="I1903" s="34"/>
      <c r="J1903" s="34"/>
      <c r="K1903" s="34"/>
      <c r="L1903" s="34"/>
      <c r="M1903" s="34"/>
      <c r="N1903" s="34"/>
      <c r="O1903" s="34"/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/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/>
      <c r="AN1903" s="34"/>
      <c r="AO1903" s="34"/>
      <c r="AP1903" s="34"/>
      <c r="AQ1903" s="34"/>
      <c r="AR1903" s="34"/>
      <c r="AS1903" s="34"/>
      <c r="AT1903" s="34"/>
      <c r="AU1903" s="34"/>
      <c r="AV1903" s="34"/>
    </row>
    <row r="1904">
      <c r="A1904" s="34"/>
      <c r="B1904" s="34"/>
      <c r="C1904" s="34"/>
      <c r="D1904" s="34"/>
      <c r="E1904" s="34"/>
      <c r="F1904" s="34"/>
      <c r="G1904" s="34"/>
      <c r="H1904" s="34"/>
      <c r="I1904" s="34"/>
      <c r="J1904" s="34"/>
      <c r="K1904" s="34"/>
      <c r="L1904" s="34"/>
      <c r="M1904" s="34"/>
      <c r="N1904" s="34"/>
      <c r="O1904" s="34"/>
      <c r="P1904" s="34"/>
      <c r="Q1904" s="34"/>
      <c r="R1904" s="34"/>
      <c r="S1904" s="34"/>
      <c r="T1904" s="34"/>
      <c r="U1904" s="34"/>
      <c r="V1904" s="34"/>
      <c r="W1904" s="34"/>
      <c r="X1904" s="34"/>
      <c r="Y1904" s="34"/>
      <c r="Z1904" s="34"/>
      <c r="AA1904" s="34"/>
      <c r="AB1904" s="34"/>
      <c r="AC1904" s="34"/>
      <c r="AD1904" s="34"/>
      <c r="AE1904" s="34"/>
      <c r="AF1904" s="34"/>
      <c r="AG1904" s="34"/>
      <c r="AH1904" s="34"/>
      <c r="AI1904" s="34"/>
      <c r="AJ1904" s="34"/>
      <c r="AK1904" s="34"/>
      <c r="AL1904" s="34"/>
      <c r="AM1904" s="34"/>
      <c r="AN1904" s="34"/>
      <c r="AO1904" s="34"/>
      <c r="AP1904" s="34"/>
      <c r="AQ1904" s="34"/>
      <c r="AR1904" s="34"/>
      <c r="AS1904" s="34"/>
      <c r="AT1904" s="34"/>
      <c r="AU1904" s="34"/>
      <c r="AV1904" s="34"/>
    </row>
    <row r="1905">
      <c r="A1905" s="34"/>
      <c r="B1905" s="34"/>
      <c r="C1905" s="34"/>
      <c r="D1905" s="34"/>
      <c r="E1905" s="34"/>
      <c r="F1905" s="34"/>
      <c r="G1905" s="34"/>
      <c r="H1905" s="34"/>
      <c r="I1905" s="34"/>
      <c r="J1905" s="34"/>
      <c r="K1905" s="34"/>
      <c r="L1905" s="34"/>
      <c r="M1905" s="34"/>
      <c r="N1905" s="34"/>
      <c r="O1905" s="34"/>
      <c r="P1905" s="34"/>
      <c r="Q1905" s="34"/>
      <c r="R1905" s="34"/>
      <c r="S1905" s="34"/>
      <c r="T1905" s="34"/>
      <c r="U1905" s="34"/>
      <c r="V1905" s="34"/>
      <c r="W1905" s="34"/>
      <c r="X1905" s="34"/>
      <c r="Y1905" s="34"/>
      <c r="Z1905" s="34"/>
      <c r="AA1905" s="34"/>
      <c r="AB1905" s="34"/>
      <c r="AC1905" s="34"/>
      <c r="AD1905" s="34"/>
      <c r="AE1905" s="34"/>
      <c r="AF1905" s="34"/>
      <c r="AG1905" s="34"/>
      <c r="AH1905" s="34"/>
      <c r="AI1905" s="34"/>
      <c r="AJ1905" s="34"/>
      <c r="AK1905" s="34"/>
      <c r="AL1905" s="34"/>
      <c r="AM1905" s="34"/>
      <c r="AN1905" s="34"/>
      <c r="AO1905" s="34"/>
      <c r="AP1905" s="34"/>
      <c r="AQ1905" s="34"/>
      <c r="AR1905" s="34"/>
      <c r="AS1905" s="34"/>
      <c r="AT1905" s="34"/>
      <c r="AU1905" s="34"/>
      <c r="AV1905" s="34"/>
    </row>
    <row r="1906">
      <c r="A1906" s="34"/>
      <c r="B1906" s="34"/>
      <c r="C1906" s="34"/>
      <c r="D1906" s="34"/>
      <c r="E1906" s="34"/>
      <c r="F1906" s="34"/>
      <c r="G1906" s="34"/>
      <c r="H1906" s="34"/>
      <c r="I1906" s="34"/>
      <c r="J1906" s="34"/>
      <c r="K1906" s="34"/>
      <c r="L1906" s="34"/>
      <c r="M1906" s="34"/>
      <c r="N1906" s="34"/>
      <c r="O1906" s="34"/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/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/>
      <c r="AN1906" s="34"/>
      <c r="AO1906" s="34"/>
      <c r="AP1906" s="34"/>
      <c r="AQ1906" s="34"/>
      <c r="AR1906" s="34"/>
      <c r="AS1906" s="34"/>
      <c r="AT1906" s="34"/>
      <c r="AU1906" s="34"/>
      <c r="AV1906" s="34"/>
    </row>
    <row r="1907">
      <c r="A1907" s="34"/>
      <c r="B1907" s="34"/>
      <c r="C1907" s="34"/>
      <c r="D1907" s="34"/>
      <c r="E1907" s="34"/>
      <c r="F1907" s="34"/>
      <c r="G1907" s="34"/>
      <c r="H1907" s="34"/>
      <c r="I1907" s="34"/>
      <c r="J1907" s="34"/>
      <c r="K1907" s="34"/>
      <c r="L1907" s="34"/>
      <c r="M1907" s="34"/>
      <c r="N1907" s="34"/>
      <c r="O1907" s="34"/>
      <c r="P1907" s="34"/>
      <c r="Q1907" s="34"/>
      <c r="R1907" s="34"/>
      <c r="S1907" s="34"/>
      <c r="T1907" s="34"/>
      <c r="U1907" s="34"/>
      <c r="V1907" s="34"/>
      <c r="W1907" s="34"/>
      <c r="X1907" s="34"/>
      <c r="Y1907" s="34"/>
      <c r="Z1907" s="34"/>
      <c r="AA1907" s="34"/>
      <c r="AB1907" s="34"/>
      <c r="AC1907" s="34"/>
      <c r="AD1907" s="34"/>
      <c r="AE1907" s="34"/>
      <c r="AF1907" s="34"/>
      <c r="AG1907" s="34"/>
      <c r="AH1907" s="34"/>
      <c r="AI1907" s="34"/>
      <c r="AJ1907" s="34"/>
      <c r="AK1907" s="34"/>
      <c r="AL1907" s="34"/>
      <c r="AM1907" s="34"/>
      <c r="AN1907" s="34"/>
      <c r="AO1907" s="34"/>
      <c r="AP1907" s="34"/>
      <c r="AQ1907" s="34"/>
      <c r="AR1907" s="34"/>
      <c r="AS1907" s="34"/>
      <c r="AT1907" s="34"/>
      <c r="AU1907" s="34"/>
      <c r="AV1907" s="34"/>
    </row>
    <row r="1908">
      <c r="A1908" s="34"/>
      <c r="B1908" s="34"/>
      <c r="C1908" s="34"/>
      <c r="D1908" s="34"/>
      <c r="E1908" s="34"/>
      <c r="F1908" s="34"/>
      <c r="G1908" s="34"/>
      <c r="H1908" s="34"/>
      <c r="I1908" s="34"/>
      <c r="J1908" s="34"/>
      <c r="K1908" s="34"/>
      <c r="L1908" s="34"/>
      <c r="M1908" s="34"/>
      <c r="N1908" s="34"/>
      <c r="O1908" s="34"/>
      <c r="P1908" s="34"/>
      <c r="Q1908" s="34"/>
      <c r="R1908" s="34"/>
      <c r="S1908" s="34"/>
      <c r="T1908" s="34"/>
      <c r="U1908" s="34"/>
      <c r="V1908" s="34"/>
      <c r="W1908" s="34"/>
      <c r="X1908" s="34"/>
      <c r="Y1908" s="34"/>
      <c r="Z1908" s="34"/>
      <c r="AA1908" s="34"/>
      <c r="AB1908" s="34"/>
      <c r="AC1908" s="34"/>
      <c r="AD1908" s="34"/>
      <c r="AE1908" s="34"/>
      <c r="AF1908" s="34"/>
      <c r="AG1908" s="34"/>
      <c r="AH1908" s="34"/>
      <c r="AI1908" s="34"/>
      <c r="AJ1908" s="34"/>
      <c r="AK1908" s="34"/>
      <c r="AL1908" s="34"/>
      <c r="AM1908" s="34"/>
      <c r="AN1908" s="34"/>
      <c r="AO1908" s="34"/>
      <c r="AP1908" s="34"/>
      <c r="AQ1908" s="34"/>
      <c r="AR1908" s="34"/>
      <c r="AS1908" s="34"/>
      <c r="AT1908" s="34"/>
      <c r="AU1908" s="34"/>
      <c r="AV1908" s="34"/>
    </row>
    <row r="1909">
      <c r="A1909" s="34"/>
      <c r="B1909" s="34"/>
      <c r="C1909" s="34"/>
      <c r="D1909" s="34"/>
      <c r="E1909" s="34"/>
      <c r="F1909" s="34"/>
      <c r="G1909" s="34"/>
      <c r="H1909" s="34"/>
      <c r="I1909" s="34"/>
      <c r="J1909" s="34"/>
      <c r="K1909" s="34"/>
      <c r="L1909" s="34"/>
      <c r="M1909" s="34"/>
      <c r="N1909" s="34"/>
      <c r="O1909" s="34"/>
      <c r="P1909" s="34"/>
      <c r="Q1909" s="34"/>
      <c r="R1909" s="34"/>
      <c r="S1909" s="34"/>
      <c r="T1909" s="34"/>
      <c r="U1909" s="34"/>
      <c r="V1909" s="34"/>
      <c r="W1909" s="34"/>
      <c r="X1909" s="34"/>
      <c r="Y1909" s="34"/>
      <c r="Z1909" s="34"/>
      <c r="AA1909" s="34"/>
      <c r="AB1909" s="34"/>
      <c r="AC1909" s="34"/>
      <c r="AD1909" s="34"/>
      <c r="AE1909" s="34"/>
      <c r="AF1909" s="34"/>
      <c r="AG1909" s="34"/>
      <c r="AH1909" s="34"/>
      <c r="AI1909" s="34"/>
      <c r="AJ1909" s="34"/>
      <c r="AK1909" s="34"/>
      <c r="AL1909" s="34"/>
      <c r="AM1909" s="34"/>
      <c r="AN1909" s="34"/>
      <c r="AO1909" s="34"/>
      <c r="AP1909" s="34"/>
      <c r="AQ1909" s="34"/>
      <c r="AR1909" s="34"/>
      <c r="AS1909" s="34"/>
      <c r="AT1909" s="34"/>
      <c r="AU1909" s="34"/>
      <c r="AV1909" s="34"/>
    </row>
    <row r="1910">
      <c r="A1910" s="34"/>
      <c r="B1910" s="34"/>
      <c r="C1910" s="34"/>
      <c r="D1910" s="34"/>
      <c r="E1910" s="34"/>
      <c r="F1910" s="34"/>
      <c r="G1910" s="34"/>
      <c r="H1910" s="34"/>
      <c r="I1910" s="34"/>
      <c r="J1910" s="34"/>
      <c r="K1910" s="34"/>
      <c r="L1910" s="34"/>
      <c r="M1910" s="34"/>
      <c r="N1910" s="34"/>
      <c r="O1910" s="34"/>
      <c r="P1910" s="34"/>
      <c r="Q1910" s="34"/>
      <c r="R1910" s="34"/>
      <c r="S1910" s="34"/>
      <c r="T1910" s="34"/>
      <c r="U1910" s="34"/>
      <c r="V1910" s="34"/>
      <c r="W1910" s="34"/>
      <c r="X1910" s="34"/>
      <c r="Y1910" s="34"/>
      <c r="Z1910" s="34"/>
      <c r="AA1910" s="34"/>
      <c r="AB1910" s="34"/>
      <c r="AC1910" s="34"/>
      <c r="AD1910" s="34"/>
      <c r="AE1910" s="34"/>
      <c r="AF1910" s="34"/>
      <c r="AG1910" s="34"/>
      <c r="AH1910" s="34"/>
      <c r="AI1910" s="34"/>
      <c r="AJ1910" s="34"/>
      <c r="AK1910" s="34"/>
      <c r="AL1910" s="34"/>
      <c r="AM1910" s="34"/>
      <c r="AN1910" s="34"/>
      <c r="AO1910" s="34"/>
      <c r="AP1910" s="34"/>
      <c r="AQ1910" s="34"/>
      <c r="AR1910" s="34"/>
      <c r="AS1910" s="34"/>
      <c r="AT1910" s="34"/>
      <c r="AU1910" s="34"/>
      <c r="AV1910" s="34"/>
    </row>
    <row r="1911">
      <c r="A1911" s="34"/>
      <c r="B1911" s="34"/>
      <c r="C1911" s="34"/>
      <c r="D1911" s="34"/>
      <c r="E1911" s="34"/>
      <c r="F1911" s="34"/>
      <c r="G1911" s="34"/>
      <c r="H1911" s="34"/>
      <c r="I1911" s="34"/>
      <c r="J1911" s="34"/>
      <c r="K1911" s="34"/>
      <c r="L1911" s="34"/>
      <c r="M1911" s="34"/>
      <c r="N1911" s="34"/>
      <c r="O1911" s="34"/>
      <c r="P1911" s="34"/>
      <c r="Q1911" s="34"/>
      <c r="R1911" s="34"/>
      <c r="S1911" s="34"/>
      <c r="T1911" s="34"/>
      <c r="U1911" s="34"/>
      <c r="V1911" s="34"/>
      <c r="W1911" s="34"/>
      <c r="X1911" s="34"/>
      <c r="Y1911" s="34"/>
      <c r="Z1911" s="34"/>
      <c r="AA1911" s="34"/>
      <c r="AB1911" s="34"/>
      <c r="AC1911" s="34"/>
      <c r="AD1911" s="34"/>
      <c r="AE1911" s="34"/>
      <c r="AF1911" s="34"/>
      <c r="AG1911" s="34"/>
      <c r="AH1911" s="34"/>
      <c r="AI1911" s="34"/>
      <c r="AJ1911" s="34"/>
      <c r="AK1911" s="34"/>
      <c r="AL1911" s="34"/>
      <c r="AM1911" s="34"/>
      <c r="AN1911" s="34"/>
      <c r="AO1911" s="34"/>
      <c r="AP1911" s="34"/>
      <c r="AQ1911" s="34"/>
      <c r="AR1911" s="34"/>
      <c r="AS1911" s="34"/>
      <c r="AT1911" s="34"/>
      <c r="AU1911" s="34"/>
      <c r="AV1911" s="34"/>
    </row>
    <row r="1912">
      <c r="A1912" s="34"/>
      <c r="B1912" s="34"/>
      <c r="C1912" s="34"/>
      <c r="D1912" s="34"/>
      <c r="E1912" s="34"/>
      <c r="F1912" s="34"/>
      <c r="G1912" s="34"/>
      <c r="H1912" s="34"/>
      <c r="I1912" s="34"/>
      <c r="J1912" s="34"/>
      <c r="K1912" s="34"/>
      <c r="L1912" s="34"/>
      <c r="M1912" s="34"/>
      <c r="N1912" s="34"/>
      <c r="O1912" s="34"/>
      <c r="P1912" s="34"/>
      <c r="Q1912" s="34"/>
      <c r="R1912" s="34"/>
      <c r="S1912" s="34"/>
      <c r="T1912" s="34"/>
      <c r="U1912" s="34"/>
      <c r="V1912" s="34"/>
      <c r="W1912" s="34"/>
      <c r="X1912" s="34"/>
      <c r="Y1912" s="34"/>
      <c r="Z1912" s="34"/>
      <c r="AA1912" s="34"/>
      <c r="AB1912" s="34"/>
      <c r="AC1912" s="34"/>
      <c r="AD1912" s="34"/>
      <c r="AE1912" s="34"/>
      <c r="AF1912" s="34"/>
      <c r="AG1912" s="34"/>
      <c r="AH1912" s="34"/>
      <c r="AI1912" s="34"/>
      <c r="AJ1912" s="34"/>
      <c r="AK1912" s="34"/>
      <c r="AL1912" s="34"/>
      <c r="AM1912" s="34"/>
      <c r="AN1912" s="34"/>
      <c r="AO1912" s="34"/>
      <c r="AP1912" s="34"/>
      <c r="AQ1912" s="34"/>
      <c r="AR1912" s="34"/>
      <c r="AS1912" s="34"/>
      <c r="AT1912" s="34"/>
      <c r="AU1912" s="34"/>
      <c r="AV1912" s="34"/>
    </row>
    <row r="1913">
      <c r="A1913" s="34"/>
      <c r="B1913" s="34"/>
      <c r="C1913" s="34"/>
      <c r="D1913" s="34"/>
      <c r="E1913" s="34"/>
      <c r="F1913" s="34"/>
      <c r="G1913" s="34"/>
      <c r="H1913" s="34"/>
      <c r="I1913" s="34"/>
      <c r="J1913" s="34"/>
      <c r="K1913" s="34"/>
      <c r="L1913" s="34"/>
      <c r="M1913" s="34"/>
      <c r="N1913" s="34"/>
      <c r="O1913" s="34"/>
      <c r="P1913" s="34"/>
      <c r="Q1913" s="34"/>
      <c r="R1913" s="34"/>
      <c r="S1913" s="34"/>
      <c r="T1913" s="34"/>
      <c r="U1913" s="34"/>
      <c r="V1913" s="34"/>
      <c r="W1913" s="34"/>
      <c r="X1913" s="34"/>
      <c r="Y1913" s="34"/>
      <c r="Z1913" s="34"/>
      <c r="AA1913" s="34"/>
      <c r="AB1913" s="34"/>
      <c r="AC1913" s="34"/>
      <c r="AD1913" s="34"/>
      <c r="AE1913" s="34"/>
      <c r="AF1913" s="34"/>
      <c r="AG1913" s="34"/>
      <c r="AH1913" s="34"/>
      <c r="AI1913" s="34"/>
      <c r="AJ1913" s="34"/>
      <c r="AK1913" s="34"/>
      <c r="AL1913" s="34"/>
      <c r="AM1913" s="34"/>
      <c r="AN1913" s="34"/>
      <c r="AO1913" s="34"/>
      <c r="AP1913" s="34"/>
      <c r="AQ1913" s="34"/>
      <c r="AR1913" s="34"/>
      <c r="AS1913" s="34"/>
      <c r="AT1913" s="34"/>
      <c r="AU1913" s="34"/>
      <c r="AV1913" s="34"/>
    </row>
    <row r="1914">
      <c r="A1914" s="34"/>
      <c r="B1914" s="34"/>
      <c r="C1914" s="34"/>
      <c r="D1914" s="34"/>
      <c r="E1914" s="34"/>
      <c r="F1914" s="34"/>
      <c r="G1914" s="34"/>
      <c r="H1914" s="34"/>
      <c r="I1914" s="34"/>
      <c r="J1914" s="34"/>
      <c r="K1914" s="34"/>
      <c r="L1914" s="34"/>
      <c r="M1914" s="34"/>
      <c r="N1914" s="34"/>
      <c r="O1914" s="34"/>
      <c r="P1914" s="34"/>
      <c r="Q1914" s="34"/>
      <c r="R1914" s="34"/>
      <c r="S1914" s="34"/>
      <c r="T1914" s="34"/>
      <c r="U1914" s="34"/>
      <c r="V1914" s="34"/>
      <c r="W1914" s="34"/>
      <c r="X1914" s="34"/>
      <c r="Y1914" s="34"/>
      <c r="Z1914" s="34"/>
      <c r="AA1914" s="34"/>
      <c r="AB1914" s="34"/>
      <c r="AC1914" s="34"/>
      <c r="AD1914" s="34"/>
      <c r="AE1914" s="34"/>
      <c r="AF1914" s="34"/>
      <c r="AG1914" s="34"/>
      <c r="AH1914" s="34"/>
      <c r="AI1914" s="34"/>
      <c r="AJ1914" s="34"/>
      <c r="AK1914" s="34"/>
      <c r="AL1914" s="34"/>
      <c r="AM1914" s="34"/>
      <c r="AN1914" s="34"/>
      <c r="AO1914" s="34"/>
      <c r="AP1914" s="34"/>
      <c r="AQ1914" s="34"/>
      <c r="AR1914" s="34"/>
      <c r="AS1914" s="34"/>
      <c r="AT1914" s="34"/>
      <c r="AU1914" s="34"/>
      <c r="AV1914" s="34"/>
    </row>
    <row r="1915">
      <c r="A1915" s="34"/>
      <c r="B1915" s="34"/>
      <c r="C1915" s="34"/>
      <c r="D1915" s="34"/>
      <c r="E1915" s="34"/>
      <c r="F1915" s="34"/>
      <c r="G1915" s="34"/>
      <c r="H1915" s="34"/>
      <c r="I1915" s="34"/>
      <c r="J1915" s="34"/>
      <c r="K1915" s="34"/>
      <c r="L1915" s="34"/>
      <c r="M1915" s="34"/>
      <c r="N1915" s="34"/>
      <c r="O1915" s="34"/>
      <c r="P1915" s="34"/>
      <c r="Q1915" s="34"/>
      <c r="R1915" s="34"/>
      <c r="S1915" s="34"/>
      <c r="T1915" s="34"/>
      <c r="U1915" s="34"/>
      <c r="V1915" s="34"/>
      <c r="W1915" s="34"/>
      <c r="X1915" s="34"/>
      <c r="Y1915" s="34"/>
      <c r="Z1915" s="34"/>
      <c r="AA1915" s="34"/>
      <c r="AB1915" s="34"/>
      <c r="AC1915" s="34"/>
      <c r="AD1915" s="34"/>
      <c r="AE1915" s="34"/>
      <c r="AF1915" s="34"/>
      <c r="AG1915" s="34"/>
      <c r="AH1915" s="34"/>
      <c r="AI1915" s="34"/>
      <c r="AJ1915" s="34"/>
      <c r="AK1915" s="34"/>
      <c r="AL1915" s="34"/>
      <c r="AM1915" s="34"/>
      <c r="AN1915" s="34"/>
      <c r="AO1915" s="34"/>
      <c r="AP1915" s="34"/>
      <c r="AQ1915" s="34"/>
      <c r="AR1915" s="34"/>
      <c r="AS1915" s="34"/>
      <c r="AT1915" s="34"/>
      <c r="AU1915" s="34"/>
      <c r="AV1915" s="34"/>
    </row>
    <row r="1916">
      <c r="A1916" s="34"/>
      <c r="B1916" s="34"/>
      <c r="C1916" s="34"/>
      <c r="D1916" s="34"/>
      <c r="E1916" s="34"/>
      <c r="F1916" s="34"/>
      <c r="G1916" s="34"/>
      <c r="H1916" s="34"/>
      <c r="I1916" s="34"/>
      <c r="J1916" s="34"/>
      <c r="K1916" s="34"/>
      <c r="L1916" s="34"/>
      <c r="M1916" s="34"/>
      <c r="N1916" s="34"/>
      <c r="O1916" s="34"/>
      <c r="P1916" s="34"/>
      <c r="Q1916" s="34"/>
      <c r="R1916" s="34"/>
      <c r="S1916" s="34"/>
      <c r="T1916" s="34"/>
      <c r="U1916" s="34"/>
      <c r="V1916" s="34"/>
      <c r="W1916" s="34"/>
      <c r="X1916" s="34"/>
      <c r="Y1916" s="34"/>
      <c r="Z1916" s="34"/>
      <c r="AA1916" s="34"/>
      <c r="AB1916" s="34"/>
      <c r="AC1916" s="34"/>
      <c r="AD1916" s="34"/>
      <c r="AE1916" s="34"/>
      <c r="AF1916" s="34"/>
      <c r="AG1916" s="34"/>
      <c r="AH1916" s="34"/>
      <c r="AI1916" s="34"/>
      <c r="AJ1916" s="34"/>
      <c r="AK1916" s="34"/>
      <c r="AL1916" s="34"/>
      <c r="AM1916" s="34"/>
      <c r="AN1916" s="34"/>
      <c r="AO1916" s="34"/>
      <c r="AP1916" s="34"/>
      <c r="AQ1916" s="34"/>
      <c r="AR1916" s="34"/>
      <c r="AS1916" s="34"/>
      <c r="AT1916" s="34"/>
      <c r="AU1916" s="34"/>
      <c r="AV1916" s="34"/>
    </row>
    <row r="1917">
      <c r="A1917" s="34"/>
      <c r="B1917" s="34"/>
      <c r="C1917" s="34"/>
      <c r="D1917" s="34"/>
      <c r="E1917" s="34"/>
      <c r="F1917" s="34"/>
      <c r="G1917" s="34"/>
      <c r="H1917" s="34"/>
      <c r="I1917" s="34"/>
      <c r="J1917" s="34"/>
      <c r="K1917" s="34"/>
      <c r="L1917" s="34"/>
      <c r="M1917" s="34"/>
      <c r="N1917" s="34"/>
      <c r="O1917" s="34"/>
      <c r="P1917" s="34"/>
      <c r="Q1917" s="34"/>
      <c r="R1917" s="34"/>
      <c r="S1917" s="34"/>
      <c r="T1917" s="34"/>
      <c r="U1917" s="34"/>
      <c r="V1917" s="34"/>
      <c r="W1917" s="34"/>
      <c r="X1917" s="34"/>
      <c r="Y1917" s="34"/>
      <c r="Z1917" s="34"/>
      <c r="AA1917" s="34"/>
      <c r="AB1917" s="34"/>
      <c r="AC1917" s="34"/>
      <c r="AD1917" s="34"/>
      <c r="AE1917" s="34"/>
      <c r="AF1917" s="34"/>
      <c r="AG1917" s="34"/>
      <c r="AH1917" s="34"/>
      <c r="AI1917" s="34"/>
      <c r="AJ1917" s="34"/>
      <c r="AK1917" s="34"/>
      <c r="AL1917" s="34"/>
      <c r="AM1917" s="34"/>
      <c r="AN1917" s="34"/>
      <c r="AO1917" s="34"/>
      <c r="AP1917" s="34"/>
      <c r="AQ1917" s="34"/>
      <c r="AR1917" s="34"/>
      <c r="AS1917" s="34"/>
      <c r="AT1917" s="34"/>
      <c r="AU1917" s="34"/>
      <c r="AV1917" s="34"/>
    </row>
    <row r="1918">
      <c r="A1918" s="34"/>
      <c r="B1918" s="34"/>
      <c r="C1918" s="34"/>
      <c r="D1918" s="34"/>
      <c r="E1918" s="34"/>
      <c r="F1918" s="34"/>
      <c r="G1918" s="34"/>
      <c r="H1918" s="34"/>
      <c r="I1918" s="34"/>
      <c r="J1918" s="34"/>
      <c r="K1918" s="34"/>
      <c r="L1918" s="34"/>
      <c r="M1918" s="34"/>
      <c r="N1918" s="34"/>
      <c r="O1918" s="34"/>
      <c r="P1918" s="34"/>
      <c r="Q1918" s="34"/>
      <c r="R1918" s="34"/>
      <c r="S1918" s="34"/>
      <c r="T1918" s="34"/>
      <c r="U1918" s="34"/>
      <c r="V1918" s="34"/>
      <c r="W1918" s="34"/>
      <c r="X1918" s="34"/>
      <c r="Y1918" s="34"/>
      <c r="Z1918" s="34"/>
      <c r="AA1918" s="34"/>
      <c r="AB1918" s="34"/>
      <c r="AC1918" s="34"/>
      <c r="AD1918" s="34"/>
      <c r="AE1918" s="34"/>
      <c r="AF1918" s="34"/>
      <c r="AG1918" s="34"/>
      <c r="AH1918" s="34"/>
      <c r="AI1918" s="34"/>
      <c r="AJ1918" s="34"/>
      <c r="AK1918" s="34"/>
      <c r="AL1918" s="34"/>
      <c r="AM1918" s="34"/>
      <c r="AN1918" s="34"/>
      <c r="AO1918" s="34"/>
      <c r="AP1918" s="34"/>
      <c r="AQ1918" s="34"/>
      <c r="AR1918" s="34"/>
      <c r="AS1918" s="34"/>
      <c r="AT1918" s="34"/>
      <c r="AU1918" s="34"/>
      <c r="AV1918" s="34"/>
    </row>
    <row r="1919">
      <c r="A1919" s="34"/>
      <c r="B1919" s="34"/>
      <c r="C1919" s="34"/>
      <c r="D1919" s="34"/>
      <c r="E1919" s="34"/>
      <c r="F1919" s="34"/>
      <c r="G1919" s="34"/>
      <c r="H1919" s="34"/>
      <c r="I1919" s="34"/>
      <c r="J1919" s="34"/>
      <c r="K1919" s="34"/>
      <c r="L1919" s="34"/>
      <c r="M1919" s="34"/>
      <c r="N1919" s="34"/>
      <c r="O1919" s="34"/>
      <c r="P1919" s="34"/>
      <c r="Q1919" s="34"/>
      <c r="R1919" s="34"/>
      <c r="S1919" s="34"/>
      <c r="T1919" s="34"/>
      <c r="U1919" s="34"/>
      <c r="V1919" s="34"/>
      <c r="W1919" s="34"/>
      <c r="X1919" s="34"/>
      <c r="Y1919" s="34"/>
      <c r="Z1919" s="34"/>
      <c r="AA1919" s="34"/>
      <c r="AB1919" s="34"/>
      <c r="AC1919" s="34"/>
      <c r="AD1919" s="34"/>
      <c r="AE1919" s="34"/>
      <c r="AF1919" s="34"/>
      <c r="AG1919" s="34"/>
      <c r="AH1919" s="34"/>
      <c r="AI1919" s="34"/>
      <c r="AJ1919" s="34"/>
      <c r="AK1919" s="34"/>
      <c r="AL1919" s="34"/>
      <c r="AM1919" s="34"/>
      <c r="AN1919" s="34"/>
      <c r="AO1919" s="34"/>
      <c r="AP1919" s="34"/>
      <c r="AQ1919" s="34"/>
      <c r="AR1919" s="34"/>
      <c r="AS1919" s="34"/>
      <c r="AT1919" s="34"/>
      <c r="AU1919" s="34"/>
      <c r="AV1919" s="34"/>
    </row>
    <row r="1920">
      <c r="A1920" s="34"/>
      <c r="B1920" s="34"/>
      <c r="C1920" s="34"/>
      <c r="D1920" s="34"/>
      <c r="E1920" s="34"/>
      <c r="F1920" s="34"/>
      <c r="G1920" s="34"/>
      <c r="H1920" s="34"/>
      <c r="I1920" s="34"/>
      <c r="J1920" s="34"/>
      <c r="K1920" s="34"/>
      <c r="L1920" s="34"/>
      <c r="M1920" s="34"/>
      <c r="N1920" s="34"/>
      <c r="O1920" s="34"/>
      <c r="P1920" s="34"/>
      <c r="Q1920" s="34"/>
      <c r="R1920" s="34"/>
      <c r="S1920" s="34"/>
      <c r="T1920" s="34"/>
      <c r="U1920" s="34"/>
      <c r="V1920" s="34"/>
      <c r="W1920" s="34"/>
      <c r="X1920" s="34"/>
      <c r="Y1920" s="34"/>
      <c r="Z1920" s="34"/>
      <c r="AA1920" s="34"/>
      <c r="AB1920" s="34"/>
      <c r="AC1920" s="34"/>
      <c r="AD1920" s="34"/>
      <c r="AE1920" s="34"/>
      <c r="AF1920" s="34"/>
      <c r="AG1920" s="34"/>
      <c r="AH1920" s="34"/>
      <c r="AI1920" s="34"/>
      <c r="AJ1920" s="34"/>
      <c r="AK1920" s="34"/>
      <c r="AL1920" s="34"/>
      <c r="AM1920" s="34"/>
      <c r="AN1920" s="34"/>
      <c r="AO1920" s="34"/>
      <c r="AP1920" s="34"/>
      <c r="AQ1920" s="34"/>
      <c r="AR1920" s="34"/>
      <c r="AS1920" s="34"/>
      <c r="AT1920" s="34"/>
      <c r="AU1920" s="34"/>
      <c r="AV1920" s="34"/>
    </row>
    <row r="1921">
      <c r="A1921" s="34"/>
      <c r="B1921" s="34"/>
      <c r="C1921" s="34"/>
      <c r="D1921" s="34"/>
      <c r="E1921" s="34"/>
      <c r="F1921" s="34"/>
      <c r="G1921" s="34"/>
      <c r="H1921" s="34"/>
      <c r="I1921" s="34"/>
      <c r="J1921" s="34"/>
      <c r="K1921" s="34"/>
      <c r="L1921" s="34"/>
      <c r="M1921" s="34"/>
      <c r="N1921" s="34"/>
      <c r="O1921" s="34"/>
      <c r="P1921" s="34"/>
      <c r="Q1921" s="34"/>
      <c r="R1921" s="34"/>
      <c r="S1921" s="34"/>
      <c r="T1921" s="34"/>
      <c r="U1921" s="34"/>
      <c r="V1921" s="34"/>
      <c r="W1921" s="34"/>
      <c r="X1921" s="34"/>
      <c r="Y1921" s="34"/>
      <c r="Z1921" s="34"/>
      <c r="AA1921" s="34"/>
      <c r="AB1921" s="34"/>
      <c r="AC1921" s="34"/>
      <c r="AD1921" s="34"/>
      <c r="AE1921" s="34"/>
      <c r="AF1921" s="34"/>
      <c r="AG1921" s="34"/>
      <c r="AH1921" s="34"/>
      <c r="AI1921" s="34"/>
      <c r="AJ1921" s="34"/>
      <c r="AK1921" s="34"/>
      <c r="AL1921" s="34"/>
      <c r="AM1921" s="34"/>
      <c r="AN1921" s="34"/>
      <c r="AO1921" s="34"/>
      <c r="AP1921" s="34"/>
      <c r="AQ1921" s="34"/>
      <c r="AR1921" s="34"/>
      <c r="AS1921" s="34"/>
      <c r="AT1921" s="34"/>
      <c r="AU1921" s="34"/>
      <c r="AV1921" s="34"/>
    </row>
    <row r="1922">
      <c r="A1922" s="34"/>
      <c r="B1922" s="34"/>
      <c r="C1922" s="34"/>
      <c r="D1922" s="34"/>
      <c r="E1922" s="34"/>
      <c r="F1922" s="34"/>
      <c r="G1922" s="34"/>
      <c r="H1922" s="34"/>
      <c r="I1922" s="34"/>
      <c r="J1922" s="34"/>
      <c r="K1922" s="34"/>
      <c r="L1922" s="34"/>
      <c r="M1922" s="34"/>
      <c r="N1922" s="34"/>
      <c r="O1922" s="34"/>
      <c r="P1922" s="34"/>
      <c r="Q1922" s="34"/>
      <c r="R1922" s="34"/>
      <c r="S1922" s="34"/>
      <c r="T1922" s="34"/>
      <c r="U1922" s="34"/>
      <c r="V1922" s="34"/>
      <c r="W1922" s="34"/>
      <c r="X1922" s="34"/>
      <c r="Y1922" s="34"/>
      <c r="Z1922" s="34"/>
      <c r="AA1922" s="34"/>
      <c r="AB1922" s="34"/>
      <c r="AC1922" s="34"/>
      <c r="AD1922" s="34"/>
      <c r="AE1922" s="34"/>
      <c r="AF1922" s="34"/>
      <c r="AG1922" s="34"/>
      <c r="AH1922" s="34"/>
      <c r="AI1922" s="34"/>
      <c r="AJ1922" s="34"/>
      <c r="AK1922" s="34"/>
      <c r="AL1922" s="34"/>
      <c r="AM1922" s="34"/>
      <c r="AN1922" s="34"/>
      <c r="AO1922" s="34"/>
      <c r="AP1922" s="34"/>
      <c r="AQ1922" s="34"/>
      <c r="AR1922" s="34"/>
      <c r="AS1922" s="34"/>
      <c r="AT1922" s="34"/>
      <c r="AU1922" s="34"/>
      <c r="AV1922" s="34"/>
    </row>
    <row r="1923">
      <c r="A1923" s="34"/>
      <c r="B1923" s="34"/>
      <c r="C1923" s="34"/>
      <c r="D1923" s="34"/>
      <c r="E1923" s="34"/>
      <c r="F1923" s="34"/>
      <c r="G1923" s="34"/>
      <c r="H1923" s="34"/>
      <c r="I1923" s="34"/>
      <c r="J1923" s="34"/>
      <c r="K1923" s="34"/>
      <c r="L1923" s="34"/>
      <c r="M1923" s="34"/>
      <c r="N1923" s="34"/>
      <c r="O1923" s="34"/>
      <c r="P1923" s="34"/>
      <c r="Q1923" s="34"/>
      <c r="R1923" s="34"/>
      <c r="S1923" s="34"/>
      <c r="T1923" s="34"/>
      <c r="U1923" s="34"/>
      <c r="V1923" s="34"/>
      <c r="W1923" s="34"/>
      <c r="X1923" s="34"/>
      <c r="Y1923" s="34"/>
      <c r="Z1923" s="34"/>
      <c r="AA1923" s="34"/>
      <c r="AB1923" s="34"/>
      <c r="AC1923" s="34"/>
      <c r="AD1923" s="34"/>
      <c r="AE1923" s="34"/>
      <c r="AF1923" s="34"/>
      <c r="AG1923" s="34"/>
      <c r="AH1923" s="34"/>
      <c r="AI1923" s="34"/>
      <c r="AJ1923" s="34"/>
      <c r="AK1923" s="34"/>
      <c r="AL1923" s="34"/>
      <c r="AM1923" s="34"/>
      <c r="AN1923" s="34"/>
      <c r="AO1923" s="34"/>
      <c r="AP1923" s="34"/>
      <c r="AQ1923" s="34"/>
      <c r="AR1923" s="34"/>
      <c r="AS1923" s="34"/>
      <c r="AT1923" s="34"/>
      <c r="AU1923" s="34"/>
      <c r="AV1923" s="34"/>
    </row>
    <row r="1924">
      <c r="A1924" s="34"/>
      <c r="B1924" s="34"/>
      <c r="C1924" s="34"/>
      <c r="D1924" s="34"/>
      <c r="E1924" s="34"/>
      <c r="F1924" s="34"/>
      <c r="G1924" s="34"/>
      <c r="H1924" s="34"/>
      <c r="I1924" s="34"/>
      <c r="J1924" s="34"/>
      <c r="K1924" s="34"/>
      <c r="L1924" s="34"/>
      <c r="M1924" s="34"/>
      <c r="N1924" s="34"/>
      <c r="O1924" s="34"/>
      <c r="P1924" s="34"/>
      <c r="Q1924" s="34"/>
      <c r="R1924" s="34"/>
      <c r="S1924" s="34"/>
      <c r="T1924" s="34"/>
      <c r="U1924" s="34"/>
      <c r="V1924" s="34"/>
      <c r="W1924" s="34"/>
      <c r="X1924" s="34"/>
      <c r="Y1924" s="34"/>
      <c r="Z1924" s="34"/>
      <c r="AA1924" s="34"/>
      <c r="AB1924" s="34"/>
      <c r="AC1924" s="34"/>
      <c r="AD1924" s="34"/>
      <c r="AE1924" s="34"/>
      <c r="AF1924" s="34"/>
      <c r="AG1924" s="34"/>
      <c r="AH1924" s="34"/>
      <c r="AI1924" s="34"/>
      <c r="AJ1924" s="34"/>
      <c r="AK1924" s="34"/>
      <c r="AL1924" s="34"/>
      <c r="AM1924" s="34"/>
      <c r="AN1924" s="34"/>
      <c r="AO1924" s="34"/>
      <c r="AP1924" s="34"/>
      <c r="AQ1924" s="34"/>
      <c r="AR1924" s="34"/>
      <c r="AS1924" s="34"/>
      <c r="AT1924" s="34"/>
      <c r="AU1924" s="34"/>
      <c r="AV1924" s="34"/>
    </row>
    <row r="1925">
      <c r="A1925" s="34"/>
      <c r="B1925" s="34"/>
      <c r="C1925" s="34"/>
      <c r="D1925" s="34"/>
      <c r="E1925" s="34"/>
      <c r="F1925" s="34"/>
      <c r="G1925" s="34"/>
      <c r="H1925" s="34"/>
      <c r="I1925" s="34"/>
      <c r="J1925" s="34"/>
      <c r="K1925" s="34"/>
      <c r="L1925" s="34"/>
      <c r="M1925" s="34"/>
      <c r="N1925" s="34"/>
      <c r="O1925" s="34"/>
      <c r="P1925" s="34"/>
      <c r="Q1925" s="34"/>
      <c r="R1925" s="34"/>
      <c r="S1925" s="34"/>
      <c r="T1925" s="34"/>
      <c r="U1925" s="34"/>
      <c r="V1925" s="34"/>
      <c r="W1925" s="34"/>
      <c r="X1925" s="34"/>
      <c r="Y1925" s="34"/>
      <c r="Z1925" s="34"/>
      <c r="AA1925" s="34"/>
      <c r="AB1925" s="34"/>
      <c r="AC1925" s="34"/>
      <c r="AD1925" s="34"/>
      <c r="AE1925" s="34"/>
      <c r="AF1925" s="34"/>
      <c r="AG1925" s="34"/>
      <c r="AH1925" s="34"/>
      <c r="AI1925" s="34"/>
      <c r="AJ1925" s="34"/>
      <c r="AK1925" s="34"/>
      <c r="AL1925" s="34"/>
      <c r="AM1925" s="34"/>
      <c r="AN1925" s="34"/>
      <c r="AO1925" s="34"/>
      <c r="AP1925" s="34"/>
      <c r="AQ1925" s="34"/>
      <c r="AR1925" s="34"/>
      <c r="AS1925" s="34"/>
      <c r="AT1925" s="34"/>
      <c r="AU1925" s="34"/>
      <c r="AV1925" s="34"/>
    </row>
    <row r="1926">
      <c r="A1926" s="34"/>
      <c r="B1926" s="34"/>
      <c r="C1926" s="34"/>
      <c r="D1926" s="34"/>
      <c r="E1926" s="34"/>
      <c r="F1926" s="34"/>
      <c r="G1926" s="34"/>
      <c r="H1926" s="34"/>
      <c r="I1926" s="34"/>
      <c r="J1926" s="34"/>
      <c r="K1926" s="34"/>
      <c r="L1926" s="34"/>
      <c r="M1926" s="34"/>
      <c r="N1926" s="34"/>
      <c r="O1926" s="34"/>
      <c r="P1926" s="34"/>
      <c r="Q1926" s="34"/>
      <c r="R1926" s="34"/>
      <c r="S1926" s="34"/>
      <c r="T1926" s="34"/>
      <c r="U1926" s="34"/>
      <c r="V1926" s="34"/>
      <c r="W1926" s="34"/>
      <c r="X1926" s="34"/>
      <c r="Y1926" s="34"/>
      <c r="Z1926" s="34"/>
      <c r="AA1926" s="34"/>
      <c r="AB1926" s="34"/>
      <c r="AC1926" s="34"/>
      <c r="AD1926" s="34"/>
      <c r="AE1926" s="34"/>
      <c r="AF1926" s="34"/>
      <c r="AG1926" s="34"/>
      <c r="AH1926" s="34"/>
      <c r="AI1926" s="34"/>
      <c r="AJ1926" s="34"/>
      <c r="AK1926" s="34"/>
      <c r="AL1926" s="34"/>
      <c r="AM1926" s="34"/>
      <c r="AN1926" s="34"/>
      <c r="AO1926" s="34"/>
      <c r="AP1926" s="34"/>
      <c r="AQ1926" s="34"/>
      <c r="AR1926" s="34"/>
      <c r="AS1926" s="34"/>
      <c r="AT1926" s="34"/>
      <c r="AU1926" s="34"/>
      <c r="AV1926" s="34"/>
    </row>
    <row r="1927">
      <c r="A1927" s="34"/>
      <c r="B1927" s="34"/>
      <c r="C1927" s="34"/>
      <c r="D1927" s="34"/>
      <c r="E1927" s="34"/>
      <c r="F1927" s="34"/>
      <c r="G1927" s="34"/>
      <c r="H1927" s="34"/>
      <c r="I1927" s="34"/>
      <c r="J1927" s="34"/>
      <c r="K1927" s="34"/>
      <c r="L1927" s="34"/>
      <c r="M1927" s="34"/>
      <c r="N1927" s="34"/>
      <c r="O1927" s="34"/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4"/>
      <c r="AM1927" s="34"/>
      <c r="AN1927" s="34"/>
      <c r="AO1927" s="34"/>
      <c r="AP1927" s="34"/>
      <c r="AQ1927" s="34"/>
      <c r="AR1927" s="34"/>
      <c r="AS1927" s="34"/>
      <c r="AT1927" s="34"/>
      <c r="AU1927" s="34"/>
      <c r="AV1927" s="34"/>
    </row>
    <row r="1928">
      <c r="A1928" s="34"/>
      <c r="B1928" s="34"/>
      <c r="C1928" s="34"/>
      <c r="D1928" s="34"/>
      <c r="E1928" s="34"/>
      <c r="F1928" s="34"/>
      <c r="G1928" s="34"/>
      <c r="H1928" s="34"/>
      <c r="I1928" s="34"/>
      <c r="J1928" s="34"/>
      <c r="K1928" s="34"/>
      <c r="L1928" s="34"/>
      <c r="M1928" s="34"/>
      <c r="N1928" s="34"/>
      <c r="O1928" s="34"/>
      <c r="P1928" s="34"/>
      <c r="Q1928" s="34"/>
      <c r="R1928" s="34"/>
      <c r="S1928" s="34"/>
      <c r="T1928" s="34"/>
      <c r="U1928" s="34"/>
      <c r="V1928" s="34"/>
      <c r="W1928" s="34"/>
      <c r="X1928" s="34"/>
      <c r="Y1928" s="34"/>
      <c r="Z1928" s="34"/>
      <c r="AA1928" s="34"/>
      <c r="AB1928" s="34"/>
      <c r="AC1928" s="34"/>
      <c r="AD1928" s="34"/>
      <c r="AE1928" s="34"/>
      <c r="AF1928" s="34"/>
      <c r="AG1928" s="34"/>
      <c r="AH1928" s="34"/>
      <c r="AI1928" s="34"/>
      <c r="AJ1928" s="34"/>
      <c r="AK1928" s="34"/>
      <c r="AL1928" s="34"/>
      <c r="AM1928" s="34"/>
      <c r="AN1928" s="34"/>
      <c r="AO1928" s="34"/>
      <c r="AP1928" s="34"/>
      <c r="AQ1928" s="34"/>
      <c r="AR1928" s="34"/>
      <c r="AS1928" s="34"/>
      <c r="AT1928" s="34"/>
      <c r="AU1928" s="34"/>
      <c r="AV1928" s="34"/>
    </row>
    <row r="1929">
      <c r="A1929" s="34"/>
      <c r="B1929" s="34"/>
      <c r="C1929" s="34"/>
      <c r="D1929" s="34"/>
      <c r="E1929" s="34"/>
      <c r="F1929" s="34"/>
      <c r="G1929" s="34"/>
      <c r="H1929" s="34"/>
      <c r="I1929" s="34"/>
      <c r="J1929" s="34"/>
      <c r="K1929" s="34"/>
      <c r="L1929" s="34"/>
      <c r="M1929" s="34"/>
      <c r="N1929" s="34"/>
      <c r="O1929" s="34"/>
      <c r="P1929" s="34"/>
      <c r="Q1929" s="34"/>
      <c r="R1929" s="34"/>
      <c r="S1929" s="34"/>
      <c r="T1929" s="34"/>
      <c r="U1929" s="34"/>
      <c r="V1929" s="34"/>
      <c r="W1929" s="34"/>
      <c r="X1929" s="34"/>
      <c r="Y1929" s="34"/>
      <c r="Z1929" s="34"/>
      <c r="AA1929" s="34"/>
      <c r="AB1929" s="34"/>
      <c r="AC1929" s="34"/>
      <c r="AD1929" s="34"/>
      <c r="AE1929" s="34"/>
      <c r="AF1929" s="34"/>
      <c r="AG1929" s="34"/>
      <c r="AH1929" s="34"/>
      <c r="AI1929" s="34"/>
      <c r="AJ1929" s="34"/>
      <c r="AK1929" s="34"/>
      <c r="AL1929" s="34"/>
      <c r="AM1929" s="34"/>
      <c r="AN1929" s="34"/>
      <c r="AO1929" s="34"/>
      <c r="AP1929" s="34"/>
      <c r="AQ1929" s="34"/>
      <c r="AR1929" s="34"/>
      <c r="AS1929" s="34"/>
      <c r="AT1929" s="34"/>
      <c r="AU1929" s="34"/>
      <c r="AV1929" s="34"/>
    </row>
    <row r="1930">
      <c r="A1930" s="34"/>
      <c r="B1930" s="34"/>
      <c r="C1930" s="34"/>
      <c r="D1930" s="34"/>
      <c r="E1930" s="34"/>
      <c r="F1930" s="34"/>
      <c r="G1930" s="34"/>
      <c r="H1930" s="34"/>
      <c r="I1930" s="34"/>
      <c r="J1930" s="34"/>
      <c r="K1930" s="34"/>
      <c r="L1930" s="34"/>
      <c r="M1930" s="34"/>
      <c r="N1930" s="34"/>
      <c r="O1930" s="34"/>
      <c r="P1930" s="34"/>
      <c r="Q1930" s="34"/>
      <c r="R1930" s="34"/>
      <c r="S1930" s="34"/>
      <c r="T1930" s="34"/>
      <c r="U1930" s="34"/>
      <c r="V1930" s="34"/>
      <c r="W1930" s="34"/>
      <c r="X1930" s="34"/>
      <c r="Y1930" s="34"/>
      <c r="Z1930" s="34"/>
      <c r="AA1930" s="34"/>
      <c r="AB1930" s="34"/>
      <c r="AC1930" s="34"/>
      <c r="AD1930" s="34"/>
      <c r="AE1930" s="34"/>
      <c r="AF1930" s="34"/>
      <c r="AG1930" s="34"/>
      <c r="AH1930" s="34"/>
      <c r="AI1930" s="34"/>
      <c r="AJ1930" s="34"/>
      <c r="AK1930" s="34"/>
      <c r="AL1930" s="34"/>
      <c r="AM1930" s="34"/>
      <c r="AN1930" s="34"/>
      <c r="AO1930" s="34"/>
      <c r="AP1930" s="34"/>
      <c r="AQ1930" s="34"/>
      <c r="AR1930" s="34"/>
      <c r="AS1930" s="34"/>
      <c r="AT1930" s="34"/>
      <c r="AU1930" s="34"/>
      <c r="AV1930" s="34"/>
    </row>
    <row r="1931">
      <c r="A1931" s="34"/>
      <c r="B1931" s="34"/>
      <c r="C1931" s="34"/>
      <c r="D1931" s="34"/>
      <c r="E1931" s="34"/>
      <c r="F1931" s="34"/>
      <c r="G1931" s="34"/>
      <c r="H1931" s="34"/>
      <c r="I1931" s="34"/>
      <c r="J1931" s="34"/>
      <c r="K1931" s="34"/>
      <c r="L1931" s="34"/>
      <c r="M1931" s="34"/>
      <c r="N1931" s="34"/>
      <c r="O1931" s="34"/>
      <c r="P1931" s="34"/>
      <c r="Q1931" s="34"/>
      <c r="R1931" s="34"/>
      <c r="S1931" s="34"/>
      <c r="T1931" s="34"/>
      <c r="U1931" s="34"/>
      <c r="V1931" s="34"/>
      <c r="W1931" s="34"/>
      <c r="X1931" s="34"/>
      <c r="Y1931" s="34"/>
      <c r="Z1931" s="34"/>
      <c r="AA1931" s="34"/>
      <c r="AB1931" s="34"/>
      <c r="AC1931" s="34"/>
      <c r="AD1931" s="34"/>
      <c r="AE1931" s="34"/>
      <c r="AF1931" s="34"/>
      <c r="AG1931" s="34"/>
      <c r="AH1931" s="34"/>
      <c r="AI1931" s="34"/>
      <c r="AJ1931" s="34"/>
      <c r="AK1931" s="34"/>
      <c r="AL1931" s="34"/>
      <c r="AM1931" s="34"/>
      <c r="AN1931" s="34"/>
      <c r="AO1931" s="34"/>
      <c r="AP1931" s="34"/>
      <c r="AQ1931" s="34"/>
      <c r="AR1931" s="34"/>
      <c r="AS1931" s="34"/>
      <c r="AT1931" s="34"/>
      <c r="AU1931" s="34"/>
      <c r="AV1931" s="34"/>
    </row>
    <row r="1932">
      <c r="A1932" s="34"/>
      <c r="B1932" s="34"/>
      <c r="C1932" s="34"/>
      <c r="D1932" s="34"/>
      <c r="E1932" s="34"/>
      <c r="F1932" s="34"/>
      <c r="G1932" s="34"/>
      <c r="H1932" s="34"/>
      <c r="I1932" s="34"/>
      <c r="J1932" s="34"/>
      <c r="K1932" s="34"/>
      <c r="L1932" s="34"/>
      <c r="M1932" s="34"/>
      <c r="N1932" s="34"/>
      <c r="O1932" s="34"/>
      <c r="P1932" s="34"/>
      <c r="Q1932" s="34"/>
      <c r="R1932" s="34"/>
      <c r="S1932" s="34"/>
      <c r="T1932" s="34"/>
      <c r="U1932" s="34"/>
      <c r="V1932" s="34"/>
      <c r="W1932" s="34"/>
      <c r="X1932" s="34"/>
      <c r="Y1932" s="34"/>
      <c r="Z1932" s="34"/>
      <c r="AA1932" s="34"/>
      <c r="AB1932" s="34"/>
      <c r="AC1932" s="34"/>
      <c r="AD1932" s="34"/>
      <c r="AE1932" s="34"/>
      <c r="AF1932" s="34"/>
      <c r="AG1932" s="34"/>
      <c r="AH1932" s="34"/>
      <c r="AI1932" s="34"/>
      <c r="AJ1932" s="34"/>
      <c r="AK1932" s="34"/>
      <c r="AL1932" s="34"/>
      <c r="AM1932" s="34"/>
      <c r="AN1932" s="34"/>
      <c r="AO1932" s="34"/>
      <c r="AP1932" s="34"/>
      <c r="AQ1932" s="34"/>
      <c r="AR1932" s="34"/>
      <c r="AS1932" s="34"/>
      <c r="AT1932" s="34"/>
      <c r="AU1932" s="34"/>
      <c r="AV1932" s="34"/>
    </row>
    <row r="1933">
      <c r="A1933" s="34"/>
      <c r="B1933" s="34"/>
      <c r="C1933" s="34"/>
      <c r="D1933" s="34"/>
      <c r="E1933" s="34"/>
      <c r="F1933" s="34"/>
      <c r="G1933" s="34"/>
      <c r="H1933" s="34"/>
      <c r="I1933" s="34"/>
      <c r="J1933" s="34"/>
      <c r="K1933" s="34"/>
      <c r="L1933" s="34"/>
      <c r="M1933" s="34"/>
      <c r="N1933" s="34"/>
      <c r="O1933" s="34"/>
      <c r="P1933" s="34"/>
      <c r="Q1933" s="34"/>
      <c r="R1933" s="34"/>
      <c r="S1933" s="34"/>
      <c r="T1933" s="34"/>
      <c r="U1933" s="34"/>
      <c r="V1933" s="34"/>
      <c r="W1933" s="34"/>
      <c r="X1933" s="34"/>
      <c r="Y1933" s="34"/>
      <c r="Z1933" s="34"/>
      <c r="AA1933" s="34"/>
      <c r="AB1933" s="34"/>
      <c r="AC1933" s="34"/>
      <c r="AD1933" s="34"/>
      <c r="AE1933" s="34"/>
      <c r="AF1933" s="34"/>
      <c r="AG1933" s="34"/>
      <c r="AH1933" s="34"/>
      <c r="AI1933" s="34"/>
      <c r="AJ1933" s="34"/>
      <c r="AK1933" s="34"/>
      <c r="AL1933" s="34"/>
      <c r="AM1933" s="34"/>
      <c r="AN1933" s="34"/>
      <c r="AO1933" s="34"/>
      <c r="AP1933" s="34"/>
      <c r="AQ1933" s="34"/>
      <c r="AR1933" s="34"/>
      <c r="AS1933" s="34"/>
      <c r="AT1933" s="34"/>
      <c r="AU1933" s="34"/>
      <c r="AV1933" s="34"/>
    </row>
    <row r="1934">
      <c r="A1934" s="34"/>
      <c r="B1934" s="34"/>
      <c r="C1934" s="34"/>
      <c r="D1934" s="34"/>
      <c r="E1934" s="34"/>
      <c r="F1934" s="34"/>
      <c r="G1934" s="34"/>
      <c r="H1934" s="34"/>
      <c r="I1934" s="34"/>
      <c r="J1934" s="34"/>
      <c r="K1934" s="34"/>
      <c r="L1934" s="34"/>
      <c r="M1934" s="34"/>
      <c r="N1934" s="34"/>
      <c r="O1934" s="34"/>
      <c r="P1934" s="34"/>
      <c r="Q1934" s="34"/>
      <c r="R1934" s="34"/>
      <c r="S1934" s="34"/>
      <c r="T1934" s="34"/>
      <c r="U1934" s="34"/>
      <c r="V1934" s="34"/>
      <c r="W1934" s="34"/>
      <c r="X1934" s="34"/>
      <c r="Y1934" s="34"/>
      <c r="Z1934" s="34"/>
      <c r="AA1934" s="34"/>
      <c r="AB1934" s="34"/>
      <c r="AC1934" s="34"/>
      <c r="AD1934" s="34"/>
      <c r="AE1934" s="34"/>
      <c r="AF1934" s="34"/>
      <c r="AG1934" s="34"/>
      <c r="AH1934" s="34"/>
      <c r="AI1934" s="34"/>
      <c r="AJ1934" s="34"/>
      <c r="AK1934" s="34"/>
      <c r="AL1934" s="34"/>
      <c r="AM1934" s="34"/>
      <c r="AN1934" s="34"/>
      <c r="AO1934" s="34"/>
      <c r="AP1934" s="34"/>
      <c r="AQ1934" s="34"/>
      <c r="AR1934" s="34"/>
      <c r="AS1934" s="34"/>
      <c r="AT1934" s="34"/>
      <c r="AU1934" s="34"/>
      <c r="AV1934" s="34"/>
    </row>
    <row r="1935">
      <c r="A1935" s="34"/>
      <c r="B1935" s="34"/>
      <c r="C1935" s="34"/>
      <c r="D1935" s="34"/>
      <c r="E1935" s="34"/>
      <c r="F1935" s="34"/>
      <c r="G1935" s="34"/>
      <c r="H1935" s="34"/>
      <c r="I1935" s="34"/>
      <c r="J1935" s="34"/>
      <c r="K1935" s="34"/>
      <c r="L1935" s="34"/>
      <c r="M1935" s="34"/>
      <c r="N1935" s="34"/>
      <c r="O1935" s="34"/>
      <c r="P1935" s="34"/>
      <c r="Q1935" s="34"/>
      <c r="R1935" s="34"/>
      <c r="S1935" s="34"/>
      <c r="T1935" s="34"/>
      <c r="U1935" s="34"/>
      <c r="V1935" s="34"/>
      <c r="W1935" s="34"/>
      <c r="X1935" s="34"/>
      <c r="Y1935" s="34"/>
      <c r="Z1935" s="34"/>
      <c r="AA1935" s="34"/>
      <c r="AB1935" s="34"/>
      <c r="AC1935" s="34"/>
      <c r="AD1935" s="34"/>
      <c r="AE1935" s="34"/>
      <c r="AF1935" s="34"/>
      <c r="AG1935" s="34"/>
      <c r="AH1935" s="34"/>
      <c r="AI1935" s="34"/>
      <c r="AJ1935" s="34"/>
      <c r="AK1935" s="34"/>
      <c r="AL1935" s="34"/>
      <c r="AM1935" s="34"/>
      <c r="AN1935" s="34"/>
      <c r="AO1935" s="34"/>
      <c r="AP1935" s="34"/>
      <c r="AQ1935" s="34"/>
      <c r="AR1935" s="34"/>
      <c r="AS1935" s="34"/>
      <c r="AT1935" s="34"/>
      <c r="AU1935" s="34"/>
      <c r="AV1935" s="34"/>
    </row>
    <row r="1936">
      <c r="A1936" s="34"/>
      <c r="B1936" s="34"/>
      <c r="C1936" s="34"/>
      <c r="D1936" s="34"/>
      <c r="E1936" s="34"/>
      <c r="F1936" s="34"/>
      <c r="G1936" s="34"/>
      <c r="H1936" s="34"/>
      <c r="I1936" s="34"/>
      <c r="J1936" s="34"/>
      <c r="K1936" s="34"/>
      <c r="L1936" s="34"/>
      <c r="M1936" s="34"/>
      <c r="N1936" s="34"/>
      <c r="O1936" s="34"/>
      <c r="P1936" s="34"/>
      <c r="Q1936" s="34"/>
      <c r="R1936" s="34"/>
      <c r="S1936" s="34"/>
      <c r="T1936" s="34"/>
      <c r="U1936" s="34"/>
      <c r="V1936" s="34"/>
      <c r="W1936" s="34"/>
      <c r="X1936" s="34"/>
      <c r="Y1936" s="34"/>
      <c r="Z1936" s="34"/>
      <c r="AA1936" s="34"/>
      <c r="AB1936" s="34"/>
      <c r="AC1936" s="34"/>
      <c r="AD1936" s="34"/>
      <c r="AE1936" s="34"/>
      <c r="AF1936" s="34"/>
      <c r="AG1936" s="34"/>
      <c r="AH1936" s="34"/>
      <c r="AI1936" s="34"/>
      <c r="AJ1936" s="34"/>
      <c r="AK1936" s="34"/>
      <c r="AL1936" s="34"/>
      <c r="AM1936" s="34"/>
      <c r="AN1936" s="34"/>
      <c r="AO1936" s="34"/>
      <c r="AP1936" s="34"/>
      <c r="AQ1936" s="34"/>
      <c r="AR1936" s="34"/>
      <c r="AS1936" s="34"/>
      <c r="AT1936" s="34"/>
      <c r="AU1936" s="34"/>
      <c r="AV1936" s="34"/>
    </row>
    <row r="1937">
      <c r="A1937" s="34"/>
      <c r="B1937" s="34"/>
      <c r="C1937" s="34"/>
      <c r="D1937" s="34"/>
      <c r="E1937" s="34"/>
      <c r="F1937" s="34"/>
      <c r="G1937" s="34"/>
      <c r="H1937" s="34"/>
      <c r="I1937" s="34"/>
      <c r="J1937" s="34"/>
      <c r="K1937" s="34"/>
      <c r="L1937" s="34"/>
      <c r="M1937" s="34"/>
      <c r="N1937" s="34"/>
      <c r="O1937" s="34"/>
      <c r="P1937" s="34"/>
      <c r="Q1937" s="34"/>
      <c r="R1937" s="34"/>
      <c r="S1937" s="34"/>
      <c r="T1937" s="34"/>
      <c r="U1937" s="34"/>
      <c r="V1937" s="34"/>
      <c r="W1937" s="34"/>
      <c r="X1937" s="34"/>
      <c r="Y1937" s="34"/>
      <c r="Z1937" s="34"/>
      <c r="AA1937" s="34"/>
      <c r="AB1937" s="34"/>
      <c r="AC1937" s="34"/>
      <c r="AD1937" s="34"/>
      <c r="AE1937" s="34"/>
      <c r="AF1937" s="34"/>
      <c r="AG1937" s="34"/>
      <c r="AH1937" s="34"/>
      <c r="AI1937" s="34"/>
      <c r="AJ1937" s="34"/>
      <c r="AK1937" s="34"/>
      <c r="AL1937" s="34"/>
      <c r="AM1937" s="34"/>
      <c r="AN1937" s="34"/>
      <c r="AO1937" s="34"/>
      <c r="AP1937" s="34"/>
      <c r="AQ1937" s="34"/>
      <c r="AR1937" s="34"/>
      <c r="AS1937" s="34"/>
      <c r="AT1937" s="34"/>
      <c r="AU1937" s="34"/>
      <c r="AV1937" s="34"/>
    </row>
    <row r="1938">
      <c r="A1938" s="34"/>
      <c r="B1938" s="34"/>
      <c r="C1938" s="34"/>
      <c r="D1938" s="34"/>
      <c r="E1938" s="34"/>
      <c r="F1938" s="34"/>
      <c r="G1938" s="34"/>
      <c r="H1938" s="34"/>
      <c r="I1938" s="34"/>
      <c r="J1938" s="34"/>
      <c r="K1938" s="34"/>
      <c r="L1938" s="34"/>
      <c r="M1938" s="34"/>
      <c r="N1938" s="34"/>
      <c r="O1938" s="34"/>
      <c r="P1938" s="34"/>
      <c r="Q1938" s="34"/>
      <c r="R1938" s="34"/>
      <c r="S1938" s="34"/>
      <c r="T1938" s="34"/>
      <c r="U1938" s="34"/>
      <c r="V1938" s="34"/>
      <c r="W1938" s="34"/>
      <c r="X1938" s="34"/>
      <c r="Y1938" s="34"/>
      <c r="Z1938" s="34"/>
      <c r="AA1938" s="34"/>
      <c r="AB1938" s="34"/>
      <c r="AC1938" s="34"/>
      <c r="AD1938" s="34"/>
      <c r="AE1938" s="34"/>
      <c r="AF1938" s="34"/>
      <c r="AG1938" s="34"/>
      <c r="AH1938" s="34"/>
      <c r="AI1938" s="34"/>
      <c r="AJ1938" s="34"/>
      <c r="AK1938" s="34"/>
      <c r="AL1938" s="34"/>
      <c r="AM1938" s="34"/>
      <c r="AN1938" s="34"/>
      <c r="AO1938" s="34"/>
      <c r="AP1938" s="34"/>
      <c r="AQ1938" s="34"/>
      <c r="AR1938" s="34"/>
      <c r="AS1938" s="34"/>
      <c r="AT1938" s="34"/>
      <c r="AU1938" s="34"/>
      <c r="AV1938" s="34"/>
    </row>
    <row r="1939">
      <c r="A1939" s="34"/>
      <c r="B1939" s="34"/>
      <c r="C1939" s="34"/>
      <c r="D1939" s="34"/>
      <c r="E1939" s="34"/>
      <c r="F1939" s="34"/>
      <c r="G1939" s="34"/>
      <c r="H1939" s="34"/>
      <c r="I1939" s="34"/>
      <c r="J1939" s="34"/>
      <c r="K1939" s="34"/>
      <c r="L1939" s="34"/>
      <c r="M1939" s="34"/>
      <c r="N1939" s="34"/>
      <c r="O1939" s="34"/>
      <c r="P1939" s="34"/>
      <c r="Q1939" s="34"/>
      <c r="R1939" s="34"/>
      <c r="S1939" s="34"/>
      <c r="T1939" s="34"/>
      <c r="U1939" s="34"/>
      <c r="V1939" s="34"/>
      <c r="W1939" s="34"/>
      <c r="X1939" s="34"/>
      <c r="Y1939" s="34"/>
      <c r="Z1939" s="34"/>
      <c r="AA1939" s="34"/>
      <c r="AB1939" s="34"/>
      <c r="AC1939" s="34"/>
      <c r="AD1939" s="34"/>
      <c r="AE1939" s="34"/>
      <c r="AF1939" s="34"/>
      <c r="AG1939" s="34"/>
      <c r="AH1939" s="34"/>
      <c r="AI1939" s="34"/>
      <c r="AJ1939" s="34"/>
      <c r="AK1939" s="34"/>
      <c r="AL1939" s="34"/>
      <c r="AM1939" s="34"/>
      <c r="AN1939" s="34"/>
      <c r="AO1939" s="34"/>
      <c r="AP1939" s="34"/>
      <c r="AQ1939" s="34"/>
      <c r="AR1939" s="34"/>
      <c r="AS1939" s="34"/>
      <c r="AT1939" s="34"/>
      <c r="AU1939" s="34"/>
      <c r="AV1939" s="34"/>
    </row>
    <row r="1940">
      <c r="A1940" s="34"/>
      <c r="B1940" s="34"/>
      <c r="C1940" s="34"/>
      <c r="D1940" s="34"/>
      <c r="E1940" s="34"/>
      <c r="F1940" s="34"/>
      <c r="G1940" s="34"/>
      <c r="H1940" s="34"/>
      <c r="I1940" s="34"/>
      <c r="J1940" s="34"/>
      <c r="K1940" s="34"/>
      <c r="L1940" s="34"/>
      <c r="M1940" s="34"/>
      <c r="N1940" s="34"/>
      <c r="O1940" s="34"/>
      <c r="P1940" s="34"/>
      <c r="Q1940" s="34"/>
      <c r="R1940" s="34"/>
      <c r="S1940" s="34"/>
      <c r="T1940" s="34"/>
      <c r="U1940" s="34"/>
      <c r="V1940" s="34"/>
      <c r="W1940" s="34"/>
      <c r="X1940" s="34"/>
      <c r="Y1940" s="34"/>
      <c r="Z1940" s="34"/>
      <c r="AA1940" s="34"/>
      <c r="AB1940" s="34"/>
      <c r="AC1940" s="34"/>
      <c r="AD1940" s="34"/>
      <c r="AE1940" s="34"/>
      <c r="AF1940" s="34"/>
      <c r="AG1940" s="34"/>
      <c r="AH1940" s="34"/>
      <c r="AI1940" s="34"/>
      <c r="AJ1940" s="34"/>
      <c r="AK1940" s="34"/>
      <c r="AL1940" s="34"/>
      <c r="AM1940" s="34"/>
      <c r="AN1940" s="34"/>
      <c r="AO1940" s="34"/>
      <c r="AP1940" s="34"/>
      <c r="AQ1940" s="34"/>
      <c r="AR1940" s="34"/>
      <c r="AS1940" s="34"/>
      <c r="AT1940" s="34"/>
      <c r="AU1940" s="34"/>
      <c r="AV1940" s="34"/>
    </row>
    <row r="1941">
      <c r="A1941" s="34"/>
      <c r="B1941" s="34"/>
      <c r="C1941" s="34"/>
      <c r="D1941" s="34"/>
      <c r="E1941" s="34"/>
      <c r="F1941" s="34"/>
      <c r="G1941" s="34"/>
      <c r="H1941" s="34"/>
      <c r="I1941" s="34"/>
      <c r="J1941" s="34"/>
      <c r="K1941" s="34"/>
      <c r="L1941" s="34"/>
      <c r="M1941" s="34"/>
      <c r="N1941" s="34"/>
      <c r="O1941" s="34"/>
      <c r="P1941" s="34"/>
      <c r="Q1941" s="34"/>
      <c r="R1941" s="34"/>
      <c r="S1941" s="34"/>
      <c r="T1941" s="34"/>
      <c r="U1941" s="34"/>
      <c r="V1941" s="34"/>
      <c r="W1941" s="34"/>
      <c r="X1941" s="34"/>
      <c r="Y1941" s="34"/>
      <c r="Z1941" s="34"/>
      <c r="AA1941" s="34"/>
      <c r="AB1941" s="34"/>
      <c r="AC1941" s="34"/>
      <c r="AD1941" s="34"/>
      <c r="AE1941" s="34"/>
      <c r="AF1941" s="34"/>
      <c r="AG1941" s="34"/>
      <c r="AH1941" s="34"/>
      <c r="AI1941" s="34"/>
      <c r="AJ1941" s="34"/>
      <c r="AK1941" s="34"/>
      <c r="AL1941" s="34"/>
      <c r="AM1941" s="34"/>
      <c r="AN1941" s="34"/>
      <c r="AO1941" s="34"/>
      <c r="AP1941" s="34"/>
      <c r="AQ1941" s="34"/>
      <c r="AR1941" s="34"/>
      <c r="AS1941" s="34"/>
      <c r="AT1941" s="34"/>
      <c r="AU1941" s="34"/>
      <c r="AV1941" s="34"/>
    </row>
    <row r="1942">
      <c r="A1942" s="34"/>
      <c r="B1942" s="34"/>
      <c r="C1942" s="34"/>
      <c r="D1942" s="34"/>
      <c r="E1942" s="34"/>
      <c r="F1942" s="34"/>
      <c r="G1942" s="34"/>
      <c r="H1942" s="34"/>
      <c r="I1942" s="34"/>
      <c r="J1942" s="34"/>
      <c r="K1942" s="34"/>
      <c r="L1942" s="34"/>
      <c r="M1942" s="34"/>
      <c r="N1942" s="34"/>
      <c r="O1942" s="34"/>
      <c r="P1942" s="34"/>
      <c r="Q1942" s="34"/>
      <c r="R1942" s="34"/>
      <c r="S1942" s="34"/>
      <c r="T1942" s="34"/>
      <c r="U1942" s="34"/>
      <c r="V1942" s="34"/>
      <c r="W1942" s="34"/>
      <c r="X1942" s="34"/>
      <c r="Y1942" s="34"/>
      <c r="Z1942" s="34"/>
      <c r="AA1942" s="34"/>
      <c r="AB1942" s="34"/>
      <c r="AC1942" s="34"/>
      <c r="AD1942" s="34"/>
      <c r="AE1942" s="34"/>
      <c r="AF1942" s="34"/>
      <c r="AG1942" s="34"/>
      <c r="AH1942" s="34"/>
      <c r="AI1942" s="34"/>
      <c r="AJ1942" s="34"/>
      <c r="AK1942" s="34"/>
      <c r="AL1942" s="34"/>
      <c r="AM1942" s="34"/>
      <c r="AN1942" s="34"/>
      <c r="AO1942" s="34"/>
      <c r="AP1942" s="34"/>
      <c r="AQ1942" s="34"/>
      <c r="AR1942" s="34"/>
      <c r="AS1942" s="34"/>
      <c r="AT1942" s="34"/>
      <c r="AU1942" s="34"/>
      <c r="AV1942" s="34"/>
    </row>
    <row r="1943">
      <c r="A1943" s="34"/>
      <c r="B1943" s="34"/>
      <c r="C1943" s="34"/>
      <c r="D1943" s="34"/>
      <c r="E1943" s="34"/>
      <c r="F1943" s="34"/>
      <c r="G1943" s="34"/>
      <c r="H1943" s="34"/>
      <c r="I1943" s="34"/>
      <c r="J1943" s="34"/>
      <c r="K1943" s="34"/>
      <c r="L1943" s="34"/>
      <c r="M1943" s="34"/>
      <c r="N1943" s="34"/>
      <c r="O1943" s="34"/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/>
      <c r="AN1943" s="34"/>
      <c r="AO1943" s="34"/>
      <c r="AP1943" s="34"/>
      <c r="AQ1943" s="34"/>
      <c r="AR1943" s="34"/>
      <c r="AS1943" s="34"/>
      <c r="AT1943" s="34"/>
      <c r="AU1943" s="34"/>
      <c r="AV1943" s="34"/>
    </row>
    <row r="1944">
      <c r="A1944" s="34"/>
      <c r="B1944" s="34"/>
      <c r="C1944" s="34"/>
      <c r="D1944" s="34"/>
      <c r="E1944" s="34"/>
      <c r="F1944" s="34"/>
      <c r="G1944" s="34"/>
      <c r="H1944" s="34"/>
      <c r="I1944" s="34"/>
      <c r="J1944" s="34"/>
      <c r="K1944" s="34"/>
      <c r="L1944" s="34"/>
      <c r="M1944" s="34"/>
      <c r="N1944" s="34"/>
      <c r="O1944" s="34"/>
      <c r="P1944" s="34"/>
      <c r="Q1944" s="34"/>
      <c r="R1944" s="34"/>
      <c r="S1944" s="34"/>
      <c r="T1944" s="34"/>
      <c r="U1944" s="34"/>
      <c r="V1944" s="34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  <c r="AJ1944" s="34"/>
      <c r="AK1944" s="34"/>
      <c r="AL1944" s="34"/>
      <c r="AM1944" s="34"/>
      <c r="AN1944" s="34"/>
      <c r="AO1944" s="34"/>
      <c r="AP1944" s="34"/>
      <c r="AQ1944" s="34"/>
      <c r="AR1944" s="34"/>
      <c r="AS1944" s="34"/>
      <c r="AT1944" s="34"/>
      <c r="AU1944" s="34"/>
      <c r="AV1944" s="34"/>
    </row>
    <row r="1945">
      <c r="A1945" s="34"/>
      <c r="B1945" s="34"/>
      <c r="C1945" s="34"/>
      <c r="D1945" s="34"/>
      <c r="E1945" s="34"/>
      <c r="F1945" s="34"/>
      <c r="G1945" s="34"/>
      <c r="H1945" s="34"/>
      <c r="I1945" s="34"/>
      <c r="J1945" s="34"/>
      <c r="K1945" s="34"/>
      <c r="L1945" s="34"/>
      <c r="M1945" s="34"/>
      <c r="N1945" s="34"/>
      <c r="O1945" s="34"/>
      <c r="P1945" s="34"/>
      <c r="Q1945" s="34"/>
      <c r="R1945" s="34"/>
      <c r="S1945" s="34"/>
      <c r="T1945" s="34"/>
      <c r="U1945" s="34"/>
      <c r="V1945" s="34"/>
      <c r="W1945" s="34"/>
      <c r="X1945" s="34"/>
      <c r="Y1945" s="34"/>
      <c r="Z1945" s="34"/>
      <c r="AA1945" s="34"/>
      <c r="AB1945" s="34"/>
      <c r="AC1945" s="34"/>
      <c r="AD1945" s="34"/>
      <c r="AE1945" s="34"/>
      <c r="AF1945" s="34"/>
      <c r="AG1945" s="34"/>
      <c r="AH1945" s="34"/>
      <c r="AI1945" s="34"/>
      <c r="AJ1945" s="34"/>
      <c r="AK1945" s="34"/>
      <c r="AL1945" s="34"/>
      <c r="AM1945" s="34"/>
      <c r="AN1945" s="34"/>
      <c r="AO1945" s="34"/>
      <c r="AP1945" s="34"/>
      <c r="AQ1945" s="34"/>
      <c r="AR1945" s="34"/>
      <c r="AS1945" s="34"/>
      <c r="AT1945" s="34"/>
      <c r="AU1945" s="34"/>
      <c r="AV1945" s="34"/>
    </row>
    <row r="1946">
      <c r="A1946" s="34"/>
      <c r="B1946" s="34"/>
      <c r="C1946" s="34"/>
      <c r="D1946" s="34"/>
      <c r="E1946" s="34"/>
      <c r="F1946" s="34"/>
      <c r="G1946" s="34"/>
      <c r="H1946" s="34"/>
      <c r="I1946" s="34"/>
      <c r="J1946" s="34"/>
      <c r="K1946" s="34"/>
      <c r="L1946" s="34"/>
      <c r="M1946" s="34"/>
      <c r="N1946" s="34"/>
      <c r="O1946" s="34"/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/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/>
      <c r="AN1946" s="34"/>
      <c r="AO1946" s="34"/>
      <c r="AP1946" s="34"/>
      <c r="AQ1946" s="34"/>
      <c r="AR1946" s="34"/>
      <c r="AS1946" s="34"/>
      <c r="AT1946" s="34"/>
      <c r="AU1946" s="34"/>
      <c r="AV1946" s="34"/>
    </row>
    <row r="1947">
      <c r="A1947" s="34"/>
      <c r="B1947" s="34"/>
      <c r="C1947" s="34"/>
      <c r="D1947" s="34"/>
      <c r="E1947" s="34"/>
      <c r="F1947" s="34"/>
      <c r="G1947" s="34"/>
      <c r="H1947" s="34"/>
      <c r="I1947" s="34"/>
      <c r="J1947" s="34"/>
      <c r="K1947" s="34"/>
      <c r="L1947" s="34"/>
      <c r="M1947" s="34"/>
      <c r="N1947" s="34"/>
      <c r="O1947" s="34"/>
      <c r="P1947" s="34"/>
      <c r="Q1947" s="34"/>
      <c r="R1947" s="34"/>
      <c r="S1947" s="34"/>
      <c r="T1947" s="34"/>
      <c r="U1947" s="34"/>
      <c r="V1947" s="34"/>
      <c r="W1947" s="34"/>
      <c r="X1947" s="34"/>
      <c r="Y1947" s="34"/>
      <c r="Z1947" s="34"/>
      <c r="AA1947" s="34"/>
      <c r="AB1947" s="34"/>
      <c r="AC1947" s="34"/>
      <c r="AD1947" s="34"/>
      <c r="AE1947" s="34"/>
      <c r="AF1947" s="34"/>
      <c r="AG1947" s="34"/>
      <c r="AH1947" s="34"/>
      <c r="AI1947" s="34"/>
      <c r="AJ1947" s="34"/>
      <c r="AK1947" s="34"/>
      <c r="AL1947" s="34"/>
      <c r="AM1947" s="34"/>
      <c r="AN1947" s="34"/>
      <c r="AO1947" s="34"/>
      <c r="AP1947" s="34"/>
      <c r="AQ1947" s="34"/>
      <c r="AR1947" s="34"/>
      <c r="AS1947" s="34"/>
      <c r="AT1947" s="34"/>
      <c r="AU1947" s="34"/>
      <c r="AV1947" s="34"/>
    </row>
    <row r="1948">
      <c r="A1948" s="34"/>
      <c r="B1948" s="34"/>
      <c r="C1948" s="34"/>
      <c r="D1948" s="34"/>
      <c r="E1948" s="34"/>
      <c r="F1948" s="34"/>
      <c r="G1948" s="34"/>
      <c r="H1948" s="34"/>
      <c r="I1948" s="34"/>
      <c r="J1948" s="34"/>
      <c r="K1948" s="34"/>
      <c r="L1948" s="34"/>
      <c r="M1948" s="34"/>
      <c r="N1948" s="34"/>
      <c r="O1948" s="34"/>
      <c r="P1948" s="34"/>
      <c r="Q1948" s="34"/>
      <c r="R1948" s="34"/>
      <c r="S1948" s="34"/>
      <c r="T1948" s="34"/>
      <c r="U1948" s="34"/>
      <c r="V1948" s="34"/>
      <c r="W1948" s="34"/>
      <c r="X1948" s="34"/>
      <c r="Y1948" s="34"/>
      <c r="Z1948" s="34"/>
      <c r="AA1948" s="34"/>
      <c r="AB1948" s="34"/>
      <c r="AC1948" s="34"/>
      <c r="AD1948" s="34"/>
      <c r="AE1948" s="34"/>
      <c r="AF1948" s="34"/>
      <c r="AG1948" s="34"/>
      <c r="AH1948" s="34"/>
      <c r="AI1948" s="34"/>
      <c r="AJ1948" s="34"/>
      <c r="AK1948" s="34"/>
      <c r="AL1948" s="34"/>
      <c r="AM1948" s="34"/>
      <c r="AN1948" s="34"/>
      <c r="AO1948" s="34"/>
      <c r="AP1948" s="34"/>
      <c r="AQ1948" s="34"/>
      <c r="AR1948" s="34"/>
      <c r="AS1948" s="34"/>
      <c r="AT1948" s="34"/>
      <c r="AU1948" s="34"/>
      <c r="AV1948" s="34"/>
    </row>
    <row r="1949">
      <c r="A1949" s="34"/>
      <c r="B1949" s="34"/>
      <c r="C1949" s="34"/>
      <c r="D1949" s="34"/>
      <c r="E1949" s="34"/>
      <c r="F1949" s="34"/>
      <c r="G1949" s="34"/>
      <c r="H1949" s="34"/>
      <c r="I1949" s="34"/>
      <c r="J1949" s="34"/>
      <c r="K1949" s="34"/>
      <c r="L1949" s="34"/>
      <c r="M1949" s="34"/>
      <c r="N1949" s="34"/>
      <c r="O1949" s="34"/>
      <c r="P1949" s="34"/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  <c r="AI1949" s="34"/>
      <c r="AJ1949" s="34"/>
      <c r="AK1949" s="34"/>
      <c r="AL1949" s="34"/>
      <c r="AM1949" s="34"/>
      <c r="AN1949" s="34"/>
      <c r="AO1949" s="34"/>
      <c r="AP1949" s="34"/>
      <c r="AQ1949" s="34"/>
      <c r="AR1949" s="34"/>
      <c r="AS1949" s="34"/>
      <c r="AT1949" s="34"/>
      <c r="AU1949" s="34"/>
      <c r="AV1949" s="34"/>
    </row>
    <row r="1950">
      <c r="A1950" s="34"/>
      <c r="B1950" s="34"/>
      <c r="C1950" s="34"/>
      <c r="D1950" s="34"/>
      <c r="E1950" s="34"/>
      <c r="F1950" s="34"/>
      <c r="G1950" s="34"/>
      <c r="H1950" s="34"/>
      <c r="I1950" s="34"/>
      <c r="J1950" s="34"/>
      <c r="K1950" s="34"/>
      <c r="L1950" s="34"/>
      <c r="M1950" s="34"/>
      <c r="N1950" s="34"/>
      <c r="O1950" s="34"/>
      <c r="P1950" s="34"/>
      <c r="Q1950" s="34"/>
      <c r="R1950" s="34"/>
      <c r="S1950" s="34"/>
      <c r="T1950" s="34"/>
      <c r="U1950" s="34"/>
      <c r="V1950" s="34"/>
      <c r="W1950" s="34"/>
      <c r="X1950" s="34"/>
      <c r="Y1950" s="34"/>
      <c r="Z1950" s="34"/>
      <c r="AA1950" s="34"/>
      <c r="AB1950" s="34"/>
      <c r="AC1950" s="34"/>
      <c r="AD1950" s="34"/>
      <c r="AE1950" s="34"/>
      <c r="AF1950" s="34"/>
      <c r="AG1950" s="34"/>
      <c r="AH1950" s="34"/>
      <c r="AI1950" s="34"/>
      <c r="AJ1950" s="34"/>
      <c r="AK1950" s="34"/>
      <c r="AL1950" s="34"/>
      <c r="AM1950" s="34"/>
      <c r="AN1950" s="34"/>
      <c r="AO1950" s="34"/>
      <c r="AP1950" s="34"/>
      <c r="AQ1950" s="34"/>
      <c r="AR1950" s="34"/>
      <c r="AS1950" s="34"/>
      <c r="AT1950" s="34"/>
      <c r="AU1950" s="34"/>
      <c r="AV1950" s="34"/>
    </row>
    <row r="1951">
      <c r="A1951" s="34"/>
      <c r="B1951" s="34"/>
      <c r="C1951" s="34"/>
      <c r="D1951" s="34"/>
      <c r="E1951" s="34"/>
      <c r="F1951" s="34"/>
      <c r="G1951" s="34"/>
      <c r="H1951" s="34"/>
      <c r="I1951" s="34"/>
      <c r="J1951" s="34"/>
      <c r="K1951" s="34"/>
      <c r="L1951" s="34"/>
      <c r="M1951" s="34"/>
      <c r="N1951" s="34"/>
      <c r="O1951" s="34"/>
      <c r="P1951" s="34"/>
      <c r="Q1951" s="34"/>
      <c r="R1951" s="34"/>
      <c r="S1951" s="34"/>
      <c r="T1951" s="34"/>
      <c r="U1951" s="34"/>
      <c r="V1951" s="34"/>
      <c r="W1951" s="34"/>
      <c r="X1951" s="34"/>
      <c r="Y1951" s="34"/>
      <c r="Z1951" s="34"/>
      <c r="AA1951" s="34"/>
      <c r="AB1951" s="34"/>
      <c r="AC1951" s="34"/>
      <c r="AD1951" s="34"/>
      <c r="AE1951" s="34"/>
      <c r="AF1951" s="34"/>
      <c r="AG1951" s="34"/>
      <c r="AH1951" s="34"/>
      <c r="AI1951" s="34"/>
      <c r="AJ1951" s="34"/>
      <c r="AK1951" s="34"/>
      <c r="AL1951" s="34"/>
      <c r="AM1951" s="34"/>
      <c r="AN1951" s="34"/>
      <c r="AO1951" s="34"/>
      <c r="AP1951" s="34"/>
      <c r="AQ1951" s="34"/>
      <c r="AR1951" s="34"/>
      <c r="AS1951" s="34"/>
      <c r="AT1951" s="34"/>
      <c r="AU1951" s="34"/>
      <c r="AV1951" s="34"/>
    </row>
    <row r="1952">
      <c r="A1952" s="34"/>
      <c r="B1952" s="34"/>
      <c r="C1952" s="34"/>
      <c r="D1952" s="34"/>
      <c r="E1952" s="34"/>
      <c r="F1952" s="34"/>
      <c r="G1952" s="34"/>
      <c r="H1952" s="34"/>
      <c r="I1952" s="34"/>
      <c r="J1952" s="34"/>
      <c r="K1952" s="34"/>
      <c r="L1952" s="34"/>
      <c r="M1952" s="34"/>
      <c r="N1952" s="34"/>
      <c r="O1952" s="34"/>
      <c r="P1952" s="34"/>
      <c r="Q1952" s="34"/>
      <c r="R1952" s="34"/>
      <c r="S1952" s="34"/>
      <c r="T1952" s="34"/>
      <c r="U1952" s="34"/>
      <c r="V1952" s="34"/>
      <c r="W1952" s="34"/>
      <c r="X1952" s="34"/>
      <c r="Y1952" s="34"/>
      <c r="Z1952" s="34"/>
      <c r="AA1952" s="34"/>
      <c r="AB1952" s="34"/>
      <c r="AC1952" s="34"/>
      <c r="AD1952" s="34"/>
      <c r="AE1952" s="34"/>
      <c r="AF1952" s="34"/>
      <c r="AG1952" s="34"/>
      <c r="AH1952" s="34"/>
      <c r="AI1952" s="34"/>
      <c r="AJ1952" s="34"/>
      <c r="AK1952" s="34"/>
      <c r="AL1952" s="34"/>
      <c r="AM1952" s="34"/>
      <c r="AN1952" s="34"/>
      <c r="AO1952" s="34"/>
      <c r="AP1952" s="34"/>
      <c r="AQ1952" s="34"/>
      <c r="AR1952" s="34"/>
      <c r="AS1952" s="34"/>
      <c r="AT1952" s="34"/>
      <c r="AU1952" s="34"/>
      <c r="AV1952" s="34"/>
    </row>
    <row r="1953">
      <c r="A1953" s="34"/>
      <c r="B1953" s="34"/>
      <c r="C1953" s="34"/>
      <c r="D1953" s="34"/>
      <c r="E1953" s="34"/>
      <c r="F1953" s="34"/>
      <c r="G1953" s="34"/>
      <c r="H1953" s="34"/>
      <c r="I1953" s="34"/>
      <c r="J1953" s="34"/>
      <c r="K1953" s="34"/>
      <c r="L1953" s="34"/>
      <c r="M1953" s="34"/>
      <c r="N1953" s="34"/>
      <c r="O1953" s="34"/>
      <c r="P1953" s="34"/>
      <c r="Q1953" s="34"/>
      <c r="R1953" s="34"/>
      <c r="S1953" s="34"/>
      <c r="T1953" s="34"/>
      <c r="U1953" s="34"/>
      <c r="V1953" s="34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  <c r="AJ1953" s="34"/>
      <c r="AK1953" s="34"/>
      <c r="AL1953" s="34"/>
      <c r="AM1953" s="34"/>
      <c r="AN1953" s="34"/>
      <c r="AO1953" s="34"/>
      <c r="AP1953" s="34"/>
      <c r="AQ1953" s="34"/>
      <c r="AR1953" s="34"/>
      <c r="AS1953" s="34"/>
      <c r="AT1953" s="34"/>
      <c r="AU1953" s="34"/>
      <c r="AV1953" s="34"/>
    </row>
    <row r="1954">
      <c r="A1954" s="34"/>
      <c r="B1954" s="34"/>
      <c r="C1954" s="34"/>
      <c r="D1954" s="34"/>
      <c r="E1954" s="34"/>
      <c r="F1954" s="34"/>
      <c r="G1954" s="34"/>
      <c r="H1954" s="34"/>
      <c r="I1954" s="34"/>
      <c r="J1954" s="34"/>
      <c r="K1954" s="34"/>
      <c r="L1954" s="34"/>
      <c r="M1954" s="34"/>
      <c r="N1954" s="34"/>
      <c r="O1954" s="34"/>
      <c r="P1954" s="34"/>
      <c r="Q1954" s="34"/>
      <c r="R1954" s="34"/>
      <c r="S1954" s="34"/>
      <c r="T1954" s="34"/>
      <c r="U1954" s="34"/>
      <c r="V1954" s="34"/>
      <c r="W1954" s="34"/>
      <c r="X1954" s="34"/>
      <c r="Y1954" s="34"/>
      <c r="Z1954" s="34"/>
      <c r="AA1954" s="34"/>
      <c r="AB1954" s="34"/>
      <c r="AC1954" s="34"/>
      <c r="AD1954" s="34"/>
      <c r="AE1954" s="34"/>
      <c r="AF1954" s="34"/>
      <c r="AG1954" s="34"/>
      <c r="AH1954" s="34"/>
      <c r="AI1954" s="34"/>
      <c r="AJ1954" s="34"/>
      <c r="AK1954" s="34"/>
      <c r="AL1954" s="34"/>
      <c r="AM1954" s="34"/>
      <c r="AN1954" s="34"/>
      <c r="AO1954" s="34"/>
      <c r="AP1954" s="34"/>
      <c r="AQ1954" s="34"/>
      <c r="AR1954" s="34"/>
      <c r="AS1954" s="34"/>
      <c r="AT1954" s="34"/>
      <c r="AU1954" s="34"/>
      <c r="AV1954" s="34"/>
    </row>
    <row r="1955">
      <c r="A1955" s="34"/>
      <c r="B1955" s="34"/>
      <c r="C1955" s="34"/>
      <c r="D1955" s="34"/>
      <c r="E1955" s="34"/>
      <c r="F1955" s="34"/>
      <c r="G1955" s="34"/>
      <c r="H1955" s="34"/>
      <c r="I1955" s="34"/>
      <c r="J1955" s="34"/>
      <c r="K1955" s="34"/>
      <c r="L1955" s="34"/>
      <c r="M1955" s="34"/>
      <c r="N1955" s="34"/>
      <c r="O1955" s="34"/>
      <c r="P1955" s="34"/>
      <c r="Q1955" s="34"/>
      <c r="R1955" s="34"/>
      <c r="S1955" s="34"/>
      <c r="T1955" s="34"/>
      <c r="U1955" s="34"/>
      <c r="V1955" s="34"/>
      <c r="W1955" s="34"/>
      <c r="X1955" s="34"/>
      <c r="Y1955" s="34"/>
      <c r="Z1955" s="34"/>
      <c r="AA1955" s="34"/>
      <c r="AB1955" s="34"/>
      <c r="AC1955" s="34"/>
      <c r="AD1955" s="34"/>
      <c r="AE1955" s="34"/>
      <c r="AF1955" s="34"/>
      <c r="AG1955" s="34"/>
      <c r="AH1955" s="34"/>
      <c r="AI1955" s="34"/>
      <c r="AJ1955" s="34"/>
      <c r="AK1955" s="34"/>
      <c r="AL1955" s="34"/>
      <c r="AM1955" s="34"/>
      <c r="AN1955" s="34"/>
      <c r="AO1955" s="34"/>
      <c r="AP1955" s="34"/>
      <c r="AQ1955" s="34"/>
      <c r="AR1955" s="34"/>
      <c r="AS1955" s="34"/>
      <c r="AT1955" s="34"/>
      <c r="AU1955" s="34"/>
      <c r="AV1955" s="34"/>
    </row>
    <row r="1956">
      <c r="A1956" s="34"/>
      <c r="B1956" s="34"/>
      <c r="C1956" s="34"/>
      <c r="D1956" s="34"/>
      <c r="E1956" s="34"/>
      <c r="F1956" s="34"/>
      <c r="G1956" s="34"/>
      <c r="H1956" s="34"/>
      <c r="I1956" s="34"/>
      <c r="J1956" s="34"/>
      <c r="K1956" s="34"/>
      <c r="L1956" s="34"/>
      <c r="M1956" s="34"/>
      <c r="N1956" s="34"/>
      <c r="O1956" s="34"/>
      <c r="P1956" s="34"/>
      <c r="Q1956" s="34"/>
      <c r="R1956" s="34"/>
      <c r="S1956" s="34"/>
      <c r="T1956" s="34"/>
      <c r="U1956" s="34"/>
      <c r="V1956" s="34"/>
      <c r="W1956" s="34"/>
      <c r="X1956" s="34"/>
      <c r="Y1956" s="34"/>
      <c r="Z1956" s="34"/>
      <c r="AA1956" s="34"/>
      <c r="AB1956" s="34"/>
      <c r="AC1956" s="34"/>
      <c r="AD1956" s="34"/>
      <c r="AE1956" s="34"/>
      <c r="AF1956" s="34"/>
      <c r="AG1956" s="34"/>
      <c r="AH1956" s="34"/>
      <c r="AI1956" s="34"/>
      <c r="AJ1956" s="34"/>
      <c r="AK1956" s="34"/>
      <c r="AL1956" s="34"/>
      <c r="AM1956" s="34"/>
      <c r="AN1956" s="34"/>
      <c r="AO1956" s="34"/>
      <c r="AP1956" s="34"/>
      <c r="AQ1956" s="34"/>
      <c r="AR1956" s="34"/>
      <c r="AS1956" s="34"/>
      <c r="AT1956" s="34"/>
      <c r="AU1956" s="34"/>
      <c r="AV1956" s="34"/>
    </row>
    <row r="1957">
      <c r="A1957" s="34"/>
      <c r="B1957" s="34"/>
      <c r="C1957" s="34"/>
      <c r="D1957" s="34"/>
      <c r="E1957" s="34"/>
      <c r="F1957" s="34"/>
      <c r="G1957" s="34"/>
      <c r="H1957" s="34"/>
      <c r="I1957" s="34"/>
      <c r="J1957" s="34"/>
      <c r="K1957" s="34"/>
      <c r="L1957" s="34"/>
      <c r="M1957" s="34"/>
      <c r="N1957" s="34"/>
      <c r="O1957" s="34"/>
      <c r="P1957" s="34"/>
      <c r="Q1957" s="34"/>
      <c r="R1957" s="34"/>
      <c r="S1957" s="34"/>
      <c r="T1957" s="34"/>
      <c r="U1957" s="34"/>
      <c r="V1957" s="34"/>
      <c r="W1957" s="34"/>
      <c r="X1957" s="34"/>
      <c r="Y1957" s="34"/>
      <c r="Z1957" s="34"/>
      <c r="AA1957" s="34"/>
      <c r="AB1957" s="34"/>
      <c r="AC1957" s="34"/>
      <c r="AD1957" s="34"/>
      <c r="AE1957" s="34"/>
      <c r="AF1957" s="34"/>
      <c r="AG1957" s="34"/>
      <c r="AH1957" s="34"/>
      <c r="AI1957" s="34"/>
      <c r="AJ1957" s="34"/>
      <c r="AK1957" s="34"/>
      <c r="AL1957" s="34"/>
      <c r="AM1957" s="34"/>
      <c r="AN1957" s="34"/>
      <c r="AO1957" s="34"/>
      <c r="AP1957" s="34"/>
      <c r="AQ1957" s="34"/>
      <c r="AR1957" s="34"/>
      <c r="AS1957" s="34"/>
      <c r="AT1957" s="34"/>
      <c r="AU1957" s="34"/>
      <c r="AV1957" s="34"/>
    </row>
    <row r="1958">
      <c r="A1958" s="34"/>
      <c r="B1958" s="34"/>
      <c r="C1958" s="34"/>
      <c r="D1958" s="34"/>
      <c r="E1958" s="34"/>
      <c r="F1958" s="34"/>
      <c r="G1958" s="34"/>
      <c r="H1958" s="34"/>
      <c r="I1958" s="34"/>
      <c r="J1958" s="34"/>
      <c r="K1958" s="34"/>
      <c r="L1958" s="34"/>
      <c r="M1958" s="34"/>
      <c r="N1958" s="34"/>
      <c r="O1958" s="34"/>
      <c r="P1958" s="34"/>
      <c r="Q1958" s="34"/>
      <c r="R1958" s="34"/>
      <c r="S1958" s="34"/>
      <c r="T1958" s="34"/>
      <c r="U1958" s="34"/>
      <c r="V1958" s="34"/>
      <c r="W1958" s="34"/>
      <c r="X1958" s="34"/>
      <c r="Y1958" s="34"/>
      <c r="Z1958" s="34"/>
      <c r="AA1958" s="34"/>
      <c r="AB1958" s="34"/>
      <c r="AC1958" s="34"/>
      <c r="AD1958" s="34"/>
      <c r="AE1958" s="34"/>
      <c r="AF1958" s="34"/>
      <c r="AG1958" s="34"/>
      <c r="AH1958" s="34"/>
      <c r="AI1958" s="34"/>
      <c r="AJ1958" s="34"/>
      <c r="AK1958" s="34"/>
      <c r="AL1958" s="34"/>
      <c r="AM1958" s="34"/>
      <c r="AN1958" s="34"/>
      <c r="AO1958" s="34"/>
      <c r="AP1958" s="34"/>
      <c r="AQ1958" s="34"/>
      <c r="AR1958" s="34"/>
      <c r="AS1958" s="34"/>
      <c r="AT1958" s="34"/>
      <c r="AU1958" s="34"/>
      <c r="AV1958" s="34"/>
    </row>
    <row r="1959">
      <c r="A1959" s="34"/>
      <c r="B1959" s="34"/>
      <c r="C1959" s="34"/>
      <c r="D1959" s="34"/>
      <c r="E1959" s="34"/>
      <c r="F1959" s="34"/>
      <c r="G1959" s="34"/>
      <c r="H1959" s="34"/>
      <c r="I1959" s="34"/>
      <c r="J1959" s="34"/>
      <c r="K1959" s="34"/>
      <c r="L1959" s="34"/>
      <c r="M1959" s="34"/>
      <c r="N1959" s="34"/>
      <c r="O1959" s="34"/>
      <c r="P1959" s="34"/>
      <c r="Q1959" s="34"/>
      <c r="R1959" s="34"/>
      <c r="S1959" s="34"/>
      <c r="T1959" s="34"/>
      <c r="U1959" s="34"/>
      <c r="V1959" s="34"/>
      <c r="W1959" s="34"/>
      <c r="X1959" s="34"/>
      <c r="Y1959" s="34"/>
      <c r="Z1959" s="34"/>
      <c r="AA1959" s="34"/>
      <c r="AB1959" s="34"/>
      <c r="AC1959" s="34"/>
      <c r="AD1959" s="34"/>
      <c r="AE1959" s="34"/>
      <c r="AF1959" s="34"/>
      <c r="AG1959" s="34"/>
      <c r="AH1959" s="34"/>
      <c r="AI1959" s="34"/>
      <c r="AJ1959" s="34"/>
      <c r="AK1959" s="34"/>
      <c r="AL1959" s="34"/>
      <c r="AM1959" s="34"/>
      <c r="AN1959" s="34"/>
      <c r="AO1959" s="34"/>
      <c r="AP1959" s="34"/>
      <c r="AQ1959" s="34"/>
      <c r="AR1959" s="34"/>
      <c r="AS1959" s="34"/>
      <c r="AT1959" s="34"/>
      <c r="AU1959" s="34"/>
      <c r="AV1959" s="34"/>
    </row>
    <row r="1960">
      <c r="A1960" s="34"/>
      <c r="B1960" s="34"/>
      <c r="C1960" s="34"/>
      <c r="D1960" s="34"/>
      <c r="E1960" s="34"/>
      <c r="F1960" s="34"/>
      <c r="G1960" s="34"/>
      <c r="H1960" s="34"/>
      <c r="I1960" s="34"/>
      <c r="J1960" s="34"/>
      <c r="K1960" s="34"/>
      <c r="L1960" s="34"/>
      <c r="M1960" s="34"/>
      <c r="N1960" s="34"/>
      <c r="O1960" s="34"/>
      <c r="P1960" s="34"/>
      <c r="Q1960" s="34"/>
      <c r="R1960" s="34"/>
      <c r="S1960" s="34"/>
      <c r="T1960" s="34"/>
      <c r="U1960" s="34"/>
      <c r="V1960" s="34"/>
      <c r="W1960" s="34"/>
      <c r="X1960" s="34"/>
      <c r="Y1960" s="34"/>
      <c r="Z1960" s="34"/>
      <c r="AA1960" s="34"/>
      <c r="AB1960" s="34"/>
      <c r="AC1960" s="34"/>
      <c r="AD1960" s="34"/>
      <c r="AE1960" s="34"/>
      <c r="AF1960" s="34"/>
      <c r="AG1960" s="34"/>
      <c r="AH1960" s="34"/>
      <c r="AI1960" s="34"/>
      <c r="AJ1960" s="34"/>
      <c r="AK1960" s="34"/>
      <c r="AL1960" s="34"/>
      <c r="AM1960" s="34"/>
      <c r="AN1960" s="34"/>
      <c r="AO1960" s="34"/>
      <c r="AP1960" s="34"/>
      <c r="AQ1960" s="34"/>
      <c r="AR1960" s="34"/>
      <c r="AS1960" s="34"/>
      <c r="AT1960" s="34"/>
      <c r="AU1960" s="34"/>
      <c r="AV1960" s="34"/>
    </row>
    <row r="1961">
      <c r="A1961" s="34"/>
      <c r="B1961" s="34"/>
      <c r="C1961" s="34"/>
      <c r="D1961" s="34"/>
      <c r="E1961" s="34"/>
      <c r="F1961" s="34"/>
      <c r="G1961" s="34"/>
      <c r="H1961" s="34"/>
      <c r="I1961" s="34"/>
      <c r="J1961" s="34"/>
      <c r="K1961" s="34"/>
      <c r="L1961" s="34"/>
      <c r="M1961" s="34"/>
      <c r="N1961" s="34"/>
      <c r="O1961" s="34"/>
      <c r="P1961" s="34"/>
      <c r="Q1961" s="34"/>
      <c r="R1961" s="34"/>
      <c r="S1961" s="34"/>
      <c r="T1961" s="34"/>
      <c r="U1961" s="34"/>
      <c r="V1961" s="34"/>
      <c r="W1961" s="34"/>
      <c r="X1961" s="34"/>
      <c r="Y1961" s="34"/>
      <c r="Z1961" s="34"/>
      <c r="AA1961" s="34"/>
      <c r="AB1961" s="34"/>
      <c r="AC1961" s="34"/>
      <c r="AD1961" s="34"/>
      <c r="AE1961" s="34"/>
      <c r="AF1961" s="34"/>
      <c r="AG1961" s="34"/>
      <c r="AH1961" s="34"/>
      <c r="AI1961" s="34"/>
      <c r="AJ1961" s="34"/>
      <c r="AK1961" s="34"/>
      <c r="AL1961" s="34"/>
      <c r="AM1961" s="34"/>
      <c r="AN1961" s="34"/>
      <c r="AO1961" s="34"/>
      <c r="AP1961" s="34"/>
      <c r="AQ1961" s="34"/>
      <c r="AR1961" s="34"/>
      <c r="AS1961" s="34"/>
      <c r="AT1961" s="34"/>
      <c r="AU1961" s="34"/>
      <c r="AV1961" s="34"/>
    </row>
    <row r="1962">
      <c r="A1962" s="34"/>
      <c r="B1962" s="34"/>
      <c r="C1962" s="34"/>
      <c r="D1962" s="34"/>
      <c r="E1962" s="34"/>
      <c r="F1962" s="34"/>
      <c r="G1962" s="34"/>
      <c r="H1962" s="34"/>
      <c r="I1962" s="34"/>
      <c r="J1962" s="34"/>
      <c r="K1962" s="34"/>
      <c r="L1962" s="34"/>
      <c r="M1962" s="34"/>
      <c r="N1962" s="34"/>
      <c r="O1962" s="34"/>
      <c r="P1962" s="34"/>
      <c r="Q1962" s="34"/>
      <c r="R1962" s="34"/>
      <c r="S1962" s="34"/>
      <c r="T1962" s="34"/>
      <c r="U1962" s="34"/>
      <c r="V1962" s="34"/>
      <c r="W1962" s="34"/>
      <c r="X1962" s="34"/>
      <c r="Y1962" s="34"/>
      <c r="Z1962" s="34"/>
      <c r="AA1962" s="34"/>
      <c r="AB1962" s="34"/>
      <c r="AC1962" s="34"/>
      <c r="AD1962" s="34"/>
      <c r="AE1962" s="34"/>
      <c r="AF1962" s="34"/>
      <c r="AG1962" s="34"/>
      <c r="AH1962" s="34"/>
      <c r="AI1962" s="34"/>
      <c r="AJ1962" s="34"/>
      <c r="AK1962" s="34"/>
      <c r="AL1962" s="34"/>
      <c r="AM1962" s="34"/>
      <c r="AN1962" s="34"/>
      <c r="AO1962" s="34"/>
      <c r="AP1962" s="34"/>
      <c r="AQ1962" s="34"/>
      <c r="AR1962" s="34"/>
      <c r="AS1962" s="34"/>
      <c r="AT1962" s="34"/>
      <c r="AU1962" s="34"/>
      <c r="AV1962" s="34"/>
    </row>
    <row r="1963">
      <c r="A1963" s="34"/>
      <c r="B1963" s="34"/>
      <c r="C1963" s="34"/>
      <c r="D1963" s="34"/>
      <c r="E1963" s="34"/>
      <c r="F1963" s="34"/>
      <c r="G1963" s="34"/>
      <c r="H1963" s="34"/>
      <c r="I1963" s="34"/>
      <c r="J1963" s="34"/>
      <c r="K1963" s="34"/>
      <c r="L1963" s="34"/>
      <c r="M1963" s="34"/>
      <c r="N1963" s="34"/>
      <c r="O1963" s="34"/>
      <c r="P1963" s="34"/>
      <c r="Q1963" s="34"/>
      <c r="R1963" s="34"/>
      <c r="S1963" s="34"/>
      <c r="T1963" s="34"/>
      <c r="U1963" s="34"/>
      <c r="V1963" s="34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  <c r="AJ1963" s="34"/>
      <c r="AK1963" s="34"/>
      <c r="AL1963" s="34"/>
      <c r="AM1963" s="34"/>
      <c r="AN1963" s="34"/>
      <c r="AO1963" s="34"/>
      <c r="AP1963" s="34"/>
      <c r="AQ1963" s="34"/>
      <c r="AR1963" s="34"/>
      <c r="AS1963" s="34"/>
      <c r="AT1963" s="34"/>
      <c r="AU1963" s="34"/>
      <c r="AV1963" s="34"/>
    </row>
    <row r="1964">
      <c r="A1964" s="34"/>
      <c r="B1964" s="34"/>
      <c r="C1964" s="34"/>
      <c r="D1964" s="34"/>
      <c r="E1964" s="34"/>
      <c r="F1964" s="34"/>
      <c r="G1964" s="34"/>
      <c r="H1964" s="34"/>
      <c r="I1964" s="34"/>
      <c r="J1964" s="34"/>
      <c r="K1964" s="34"/>
      <c r="L1964" s="34"/>
      <c r="M1964" s="34"/>
      <c r="N1964" s="34"/>
      <c r="O1964" s="34"/>
      <c r="P1964" s="34"/>
      <c r="Q1964" s="34"/>
      <c r="R1964" s="34"/>
      <c r="S1964" s="34"/>
      <c r="T1964" s="34"/>
      <c r="U1964" s="34"/>
      <c r="V1964" s="34"/>
      <c r="W1964" s="34"/>
      <c r="X1964" s="34"/>
      <c r="Y1964" s="34"/>
      <c r="Z1964" s="34"/>
      <c r="AA1964" s="34"/>
      <c r="AB1964" s="34"/>
      <c r="AC1964" s="34"/>
      <c r="AD1964" s="34"/>
      <c r="AE1964" s="34"/>
      <c r="AF1964" s="34"/>
      <c r="AG1964" s="34"/>
      <c r="AH1964" s="34"/>
      <c r="AI1964" s="34"/>
      <c r="AJ1964" s="34"/>
      <c r="AK1964" s="34"/>
      <c r="AL1964" s="34"/>
      <c r="AM1964" s="34"/>
      <c r="AN1964" s="34"/>
      <c r="AO1964" s="34"/>
      <c r="AP1964" s="34"/>
      <c r="AQ1964" s="34"/>
      <c r="AR1964" s="34"/>
      <c r="AS1964" s="34"/>
      <c r="AT1964" s="34"/>
      <c r="AU1964" s="34"/>
      <c r="AV1964" s="34"/>
    </row>
    <row r="1965">
      <c r="A1965" s="34"/>
      <c r="B1965" s="34"/>
      <c r="C1965" s="34"/>
      <c r="D1965" s="34"/>
      <c r="E1965" s="34"/>
      <c r="F1965" s="34"/>
      <c r="G1965" s="34"/>
      <c r="H1965" s="34"/>
      <c r="I1965" s="34"/>
      <c r="J1965" s="34"/>
      <c r="K1965" s="34"/>
      <c r="L1965" s="34"/>
      <c r="M1965" s="34"/>
      <c r="N1965" s="34"/>
      <c r="O1965" s="34"/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4"/>
      <c r="AM1965" s="34"/>
      <c r="AN1965" s="34"/>
      <c r="AO1965" s="34"/>
      <c r="AP1965" s="34"/>
      <c r="AQ1965" s="34"/>
      <c r="AR1965" s="34"/>
      <c r="AS1965" s="34"/>
      <c r="AT1965" s="34"/>
      <c r="AU1965" s="34"/>
      <c r="AV1965" s="34"/>
    </row>
    <row r="1966">
      <c r="A1966" s="34"/>
      <c r="B1966" s="34"/>
      <c r="C1966" s="34"/>
      <c r="D1966" s="34"/>
      <c r="E1966" s="34"/>
      <c r="F1966" s="34"/>
      <c r="G1966" s="34"/>
      <c r="H1966" s="34"/>
      <c r="I1966" s="34"/>
      <c r="J1966" s="34"/>
      <c r="K1966" s="34"/>
      <c r="L1966" s="34"/>
      <c r="M1966" s="34"/>
      <c r="N1966" s="34"/>
      <c r="O1966" s="34"/>
      <c r="P1966" s="34"/>
      <c r="Q1966" s="34"/>
      <c r="R1966" s="34"/>
      <c r="S1966" s="34"/>
      <c r="T1966" s="34"/>
      <c r="U1966" s="34"/>
      <c r="V1966" s="34"/>
      <c r="W1966" s="34"/>
      <c r="X1966" s="34"/>
      <c r="Y1966" s="34"/>
      <c r="Z1966" s="34"/>
      <c r="AA1966" s="34"/>
      <c r="AB1966" s="34"/>
      <c r="AC1966" s="34"/>
      <c r="AD1966" s="34"/>
      <c r="AE1966" s="34"/>
      <c r="AF1966" s="34"/>
      <c r="AG1966" s="34"/>
      <c r="AH1966" s="34"/>
      <c r="AI1966" s="34"/>
      <c r="AJ1966" s="34"/>
      <c r="AK1966" s="34"/>
      <c r="AL1966" s="34"/>
      <c r="AM1966" s="34"/>
      <c r="AN1966" s="34"/>
      <c r="AO1966" s="34"/>
      <c r="AP1966" s="34"/>
      <c r="AQ1966" s="34"/>
      <c r="AR1966" s="34"/>
      <c r="AS1966" s="34"/>
      <c r="AT1966" s="34"/>
      <c r="AU1966" s="34"/>
      <c r="AV1966" s="34"/>
    </row>
    <row r="1967">
      <c r="A1967" s="34"/>
      <c r="B1967" s="34"/>
      <c r="C1967" s="34"/>
      <c r="D1967" s="34"/>
      <c r="E1967" s="34"/>
      <c r="F1967" s="34"/>
      <c r="G1967" s="34"/>
      <c r="H1967" s="34"/>
      <c r="I1967" s="34"/>
      <c r="J1967" s="34"/>
      <c r="K1967" s="34"/>
      <c r="L1967" s="34"/>
      <c r="M1967" s="34"/>
      <c r="N1967" s="34"/>
      <c r="O1967" s="34"/>
      <c r="P1967" s="34"/>
      <c r="Q1967" s="34"/>
      <c r="R1967" s="34"/>
      <c r="S1967" s="34"/>
      <c r="T1967" s="34"/>
      <c r="U1967" s="34"/>
      <c r="V1967" s="34"/>
      <c r="W1967" s="34"/>
      <c r="X1967" s="34"/>
      <c r="Y1967" s="34"/>
      <c r="Z1967" s="34"/>
      <c r="AA1967" s="34"/>
      <c r="AB1967" s="34"/>
      <c r="AC1967" s="34"/>
      <c r="AD1967" s="34"/>
      <c r="AE1967" s="34"/>
      <c r="AF1967" s="34"/>
      <c r="AG1967" s="34"/>
      <c r="AH1967" s="34"/>
      <c r="AI1967" s="34"/>
      <c r="AJ1967" s="34"/>
      <c r="AK1967" s="34"/>
      <c r="AL1967" s="34"/>
      <c r="AM1967" s="34"/>
      <c r="AN1967" s="34"/>
      <c r="AO1967" s="34"/>
      <c r="AP1967" s="34"/>
      <c r="AQ1967" s="34"/>
      <c r="AR1967" s="34"/>
      <c r="AS1967" s="34"/>
      <c r="AT1967" s="34"/>
      <c r="AU1967" s="34"/>
      <c r="AV1967" s="34"/>
    </row>
    <row r="1968">
      <c r="A1968" s="34"/>
      <c r="B1968" s="34"/>
      <c r="C1968" s="34"/>
      <c r="D1968" s="34"/>
      <c r="E1968" s="34"/>
      <c r="F1968" s="34"/>
      <c r="G1968" s="34"/>
      <c r="H1968" s="34"/>
      <c r="I1968" s="34"/>
      <c r="J1968" s="34"/>
      <c r="K1968" s="34"/>
      <c r="L1968" s="34"/>
      <c r="M1968" s="34"/>
      <c r="N1968" s="34"/>
      <c r="O1968" s="34"/>
      <c r="P1968" s="34"/>
      <c r="Q1968" s="34"/>
      <c r="R1968" s="34"/>
      <c r="S1968" s="34"/>
      <c r="T1968" s="34"/>
      <c r="U1968" s="34"/>
      <c r="V1968" s="34"/>
      <c r="W1968" s="34"/>
      <c r="X1968" s="34"/>
      <c r="Y1968" s="34"/>
      <c r="Z1968" s="34"/>
      <c r="AA1968" s="34"/>
      <c r="AB1968" s="34"/>
      <c r="AC1968" s="34"/>
      <c r="AD1968" s="34"/>
      <c r="AE1968" s="34"/>
      <c r="AF1968" s="34"/>
      <c r="AG1968" s="34"/>
      <c r="AH1968" s="34"/>
      <c r="AI1968" s="34"/>
      <c r="AJ1968" s="34"/>
      <c r="AK1968" s="34"/>
      <c r="AL1968" s="34"/>
      <c r="AM1968" s="34"/>
      <c r="AN1968" s="34"/>
      <c r="AO1968" s="34"/>
      <c r="AP1968" s="34"/>
      <c r="AQ1968" s="34"/>
      <c r="AR1968" s="34"/>
      <c r="AS1968" s="34"/>
      <c r="AT1968" s="34"/>
      <c r="AU1968" s="34"/>
      <c r="AV1968" s="34"/>
    </row>
    <row r="1969">
      <c r="A1969" s="34"/>
      <c r="B1969" s="34"/>
      <c r="C1969" s="34"/>
      <c r="D1969" s="34"/>
      <c r="E1969" s="34"/>
      <c r="F1969" s="34"/>
      <c r="G1969" s="34"/>
      <c r="H1969" s="34"/>
      <c r="I1969" s="34"/>
      <c r="J1969" s="34"/>
      <c r="K1969" s="34"/>
      <c r="L1969" s="34"/>
      <c r="M1969" s="34"/>
      <c r="N1969" s="34"/>
      <c r="O1969" s="34"/>
      <c r="P1969" s="34"/>
      <c r="Q1969" s="34"/>
      <c r="R1969" s="34"/>
      <c r="S1969" s="34"/>
      <c r="T1969" s="34"/>
      <c r="U1969" s="34"/>
      <c r="V1969" s="34"/>
      <c r="W1969" s="34"/>
      <c r="X1969" s="34"/>
      <c r="Y1969" s="34"/>
      <c r="Z1969" s="34"/>
      <c r="AA1969" s="34"/>
      <c r="AB1969" s="34"/>
      <c r="AC1969" s="34"/>
      <c r="AD1969" s="34"/>
      <c r="AE1969" s="34"/>
      <c r="AF1969" s="34"/>
      <c r="AG1969" s="34"/>
      <c r="AH1969" s="34"/>
      <c r="AI1969" s="34"/>
      <c r="AJ1969" s="34"/>
      <c r="AK1969" s="34"/>
      <c r="AL1969" s="34"/>
      <c r="AM1969" s="34"/>
      <c r="AN1969" s="34"/>
      <c r="AO1969" s="34"/>
      <c r="AP1969" s="34"/>
      <c r="AQ1969" s="34"/>
      <c r="AR1969" s="34"/>
      <c r="AS1969" s="34"/>
      <c r="AT1969" s="34"/>
      <c r="AU1969" s="34"/>
      <c r="AV1969" s="34"/>
    </row>
    <row r="1970">
      <c r="A1970" s="34"/>
      <c r="B1970" s="34"/>
      <c r="C1970" s="34"/>
      <c r="D1970" s="34"/>
      <c r="E1970" s="34"/>
      <c r="F1970" s="34"/>
      <c r="G1970" s="34"/>
      <c r="H1970" s="34"/>
      <c r="I1970" s="34"/>
      <c r="J1970" s="34"/>
      <c r="K1970" s="34"/>
      <c r="L1970" s="34"/>
      <c r="M1970" s="34"/>
      <c r="N1970" s="34"/>
      <c r="O1970" s="34"/>
      <c r="P1970" s="34"/>
      <c r="Q1970" s="34"/>
      <c r="R1970" s="34"/>
      <c r="S1970" s="34"/>
      <c r="T1970" s="34"/>
      <c r="U1970" s="34"/>
      <c r="V1970" s="34"/>
      <c r="W1970" s="34"/>
      <c r="X1970" s="34"/>
      <c r="Y1970" s="34"/>
      <c r="Z1970" s="34"/>
      <c r="AA1970" s="34"/>
      <c r="AB1970" s="34"/>
      <c r="AC1970" s="34"/>
      <c r="AD1970" s="34"/>
      <c r="AE1970" s="34"/>
      <c r="AF1970" s="34"/>
      <c r="AG1970" s="34"/>
      <c r="AH1970" s="34"/>
      <c r="AI1970" s="34"/>
      <c r="AJ1970" s="34"/>
      <c r="AK1970" s="34"/>
      <c r="AL1970" s="34"/>
      <c r="AM1970" s="34"/>
      <c r="AN1970" s="34"/>
      <c r="AO1970" s="34"/>
      <c r="AP1970" s="34"/>
      <c r="AQ1970" s="34"/>
      <c r="AR1970" s="34"/>
      <c r="AS1970" s="34"/>
      <c r="AT1970" s="34"/>
      <c r="AU1970" s="34"/>
      <c r="AV1970" s="34"/>
    </row>
    <row r="1971">
      <c r="A1971" s="34"/>
      <c r="B1971" s="34"/>
      <c r="C1971" s="34"/>
      <c r="D1971" s="34"/>
      <c r="E1971" s="34"/>
      <c r="F1971" s="34"/>
      <c r="G1971" s="34"/>
      <c r="H1971" s="34"/>
      <c r="I1971" s="34"/>
      <c r="J1971" s="34"/>
      <c r="K1971" s="34"/>
      <c r="L1971" s="34"/>
      <c r="M1971" s="34"/>
      <c r="N1971" s="34"/>
      <c r="O1971" s="34"/>
      <c r="P1971" s="34"/>
      <c r="Q1971" s="34"/>
      <c r="R1971" s="34"/>
      <c r="S1971" s="34"/>
      <c r="T1971" s="34"/>
      <c r="U1971" s="34"/>
      <c r="V1971" s="34"/>
      <c r="W1971" s="34"/>
      <c r="X1971" s="34"/>
      <c r="Y1971" s="34"/>
      <c r="Z1971" s="34"/>
      <c r="AA1971" s="34"/>
      <c r="AB1971" s="34"/>
      <c r="AC1971" s="34"/>
      <c r="AD1971" s="34"/>
      <c r="AE1971" s="34"/>
      <c r="AF1971" s="34"/>
      <c r="AG1971" s="34"/>
      <c r="AH1971" s="34"/>
      <c r="AI1971" s="34"/>
      <c r="AJ1971" s="34"/>
      <c r="AK1971" s="34"/>
      <c r="AL1971" s="34"/>
      <c r="AM1971" s="34"/>
      <c r="AN1971" s="34"/>
      <c r="AO1971" s="34"/>
      <c r="AP1971" s="34"/>
      <c r="AQ1971" s="34"/>
      <c r="AR1971" s="34"/>
      <c r="AS1971" s="34"/>
      <c r="AT1971" s="34"/>
      <c r="AU1971" s="34"/>
      <c r="AV1971" s="34"/>
    </row>
    <row r="1972">
      <c r="A1972" s="34"/>
      <c r="B1972" s="34"/>
      <c r="C1972" s="34"/>
      <c r="D1972" s="34"/>
      <c r="E1972" s="34"/>
      <c r="F1972" s="34"/>
      <c r="G1972" s="34"/>
      <c r="H1972" s="34"/>
      <c r="I1972" s="34"/>
      <c r="J1972" s="34"/>
      <c r="K1972" s="34"/>
      <c r="L1972" s="34"/>
      <c r="M1972" s="34"/>
      <c r="N1972" s="34"/>
      <c r="O1972" s="34"/>
      <c r="P1972" s="34"/>
      <c r="Q1972" s="34"/>
      <c r="R1972" s="34"/>
      <c r="S1972" s="34"/>
      <c r="T1972" s="34"/>
      <c r="U1972" s="34"/>
      <c r="V1972" s="34"/>
      <c r="W1972" s="34"/>
      <c r="X1972" s="34"/>
      <c r="Y1972" s="34"/>
      <c r="Z1972" s="34"/>
      <c r="AA1972" s="34"/>
      <c r="AB1972" s="34"/>
      <c r="AC1972" s="34"/>
      <c r="AD1972" s="34"/>
      <c r="AE1972" s="34"/>
      <c r="AF1972" s="34"/>
      <c r="AG1972" s="34"/>
      <c r="AH1972" s="34"/>
      <c r="AI1972" s="34"/>
      <c r="AJ1972" s="34"/>
      <c r="AK1972" s="34"/>
      <c r="AL1972" s="34"/>
      <c r="AM1972" s="34"/>
      <c r="AN1972" s="34"/>
      <c r="AO1972" s="34"/>
      <c r="AP1972" s="34"/>
      <c r="AQ1972" s="34"/>
      <c r="AR1972" s="34"/>
      <c r="AS1972" s="34"/>
      <c r="AT1972" s="34"/>
      <c r="AU1972" s="34"/>
      <c r="AV1972" s="34"/>
    </row>
    <row r="1973">
      <c r="A1973" s="34"/>
      <c r="B1973" s="34"/>
      <c r="C1973" s="34"/>
      <c r="D1973" s="34"/>
      <c r="E1973" s="34"/>
      <c r="F1973" s="34"/>
      <c r="G1973" s="34"/>
      <c r="H1973" s="34"/>
      <c r="I1973" s="34"/>
      <c r="J1973" s="34"/>
      <c r="K1973" s="34"/>
      <c r="L1973" s="34"/>
      <c r="M1973" s="34"/>
      <c r="N1973" s="34"/>
      <c r="O1973" s="34"/>
      <c r="P1973" s="34"/>
      <c r="Q1973" s="34"/>
      <c r="R1973" s="34"/>
      <c r="S1973" s="34"/>
      <c r="T1973" s="34"/>
      <c r="U1973" s="34"/>
      <c r="V1973" s="34"/>
      <c r="W1973" s="34"/>
      <c r="X1973" s="34"/>
      <c r="Y1973" s="34"/>
      <c r="Z1973" s="34"/>
      <c r="AA1973" s="34"/>
      <c r="AB1973" s="34"/>
      <c r="AC1973" s="34"/>
      <c r="AD1973" s="34"/>
      <c r="AE1973" s="34"/>
      <c r="AF1973" s="34"/>
      <c r="AG1973" s="34"/>
      <c r="AH1973" s="34"/>
      <c r="AI1973" s="34"/>
      <c r="AJ1973" s="34"/>
      <c r="AK1973" s="34"/>
      <c r="AL1973" s="34"/>
      <c r="AM1973" s="34"/>
      <c r="AN1973" s="34"/>
      <c r="AO1973" s="34"/>
      <c r="AP1973" s="34"/>
      <c r="AQ1973" s="34"/>
      <c r="AR1973" s="34"/>
      <c r="AS1973" s="34"/>
      <c r="AT1973" s="34"/>
      <c r="AU1973" s="34"/>
      <c r="AV1973" s="34"/>
    </row>
    <row r="1974">
      <c r="A1974" s="34"/>
      <c r="B1974" s="34"/>
      <c r="C1974" s="34"/>
      <c r="D1974" s="34"/>
      <c r="E1974" s="34"/>
      <c r="F1974" s="34"/>
      <c r="G1974" s="34"/>
      <c r="H1974" s="34"/>
      <c r="I1974" s="34"/>
      <c r="J1974" s="34"/>
      <c r="K1974" s="34"/>
      <c r="L1974" s="34"/>
      <c r="M1974" s="34"/>
      <c r="N1974" s="34"/>
      <c r="O1974" s="34"/>
      <c r="P1974" s="34"/>
      <c r="Q1974" s="34"/>
      <c r="R1974" s="34"/>
      <c r="S1974" s="34"/>
      <c r="T1974" s="34"/>
      <c r="U1974" s="34"/>
      <c r="V1974" s="34"/>
      <c r="W1974" s="34"/>
      <c r="X1974" s="34"/>
      <c r="Y1974" s="34"/>
      <c r="Z1974" s="34"/>
      <c r="AA1974" s="34"/>
      <c r="AB1974" s="34"/>
      <c r="AC1974" s="34"/>
      <c r="AD1974" s="34"/>
      <c r="AE1974" s="34"/>
      <c r="AF1974" s="34"/>
      <c r="AG1974" s="34"/>
      <c r="AH1974" s="34"/>
      <c r="AI1974" s="34"/>
      <c r="AJ1974" s="34"/>
      <c r="AK1974" s="34"/>
      <c r="AL1974" s="34"/>
      <c r="AM1974" s="34"/>
      <c r="AN1974" s="34"/>
      <c r="AO1974" s="34"/>
      <c r="AP1974" s="34"/>
      <c r="AQ1974" s="34"/>
      <c r="AR1974" s="34"/>
      <c r="AS1974" s="34"/>
      <c r="AT1974" s="34"/>
      <c r="AU1974" s="34"/>
      <c r="AV1974" s="34"/>
    </row>
    <row r="1975">
      <c r="A1975" s="34"/>
      <c r="B1975" s="34"/>
      <c r="C1975" s="34"/>
      <c r="D1975" s="34"/>
      <c r="E1975" s="34"/>
      <c r="F1975" s="34"/>
      <c r="G1975" s="34"/>
      <c r="H1975" s="34"/>
      <c r="I1975" s="34"/>
      <c r="J1975" s="34"/>
      <c r="K1975" s="34"/>
      <c r="L1975" s="34"/>
      <c r="M1975" s="34"/>
      <c r="N1975" s="34"/>
      <c r="O1975" s="34"/>
      <c r="P1975" s="34"/>
      <c r="Q1975" s="34"/>
      <c r="R1975" s="34"/>
      <c r="S1975" s="34"/>
      <c r="T1975" s="34"/>
      <c r="U1975" s="34"/>
      <c r="V1975" s="34"/>
      <c r="W1975" s="34"/>
      <c r="X1975" s="34"/>
      <c r="Y1975" s="34"/>
      <c r="Z1975" s="34"/>
      <c r="AA1975" s="34"/>
      <c r="AB1975" s="34"/>
      <c r="AC1975" s="34"/>
      <c r="AD1975" s="34"/>
      <c r="AE1975" s="34"/>
      <c r="AF1975" s="34"/>
      <c r="AG1975" s="34"/>
      <c r="AH1975" s="34"/>
      <c r="AI1975" s="34"/>
      <c r="AJ1975" s="34"/>
      <c r="AK1975" s="34"/>
      <c r="AL1975" s="34"/>
      <c r="AM1975" s="34"/>
      <c r="AN1975" s="34"/>
      <c r="AO1975" s="34"/>
      <c r="AP1975" s="34"/>
      <c r="AQ1975" s="34"/>
      <c r="AR1975" s="34"/>
      <c r="AS1975" s="34"/>
      <c r="AT1975" s="34"/>
      <c r="AU1975" s="34"/>
      <c r="AV1975" s="34"/>
    </row>
    <row r="1976">
      <c r="A1976" s="34"/>
      <c r="B1976" s="34"/>
      <c r="C1976" s="34"/>
      <c r="D1976" s="34"/>
      <c r="E1976" s="34"/>
      <c r="F1976" s="34"/>
      <c r="G1976" s="34"/>
      <c r="H1976" s="34"/>
      <c r="I1976" s="34"/>
      <c r="J1976" s="34"/>
      <c r="K1976" s="34"/>
      <c r="L1976" s="34"/>
      <c r="M1976" s="34"/>
      <c r="N1976" s="34"/>
      <c r="O1976" s="34"/>
      <c r="P1976" s="34"/>
      <c r="Q1976" s="34"/>
      <c r="R1976" s="34"/>
      <c r="S1976" s="34"/>
      <c r="T1976" s="34"/>
      <c r="U1976" s="34"/>
      <c r="V1976" s="34"/>
      <c r="W1976" s="34"/>
      <c r="X1976" s="34"/>
      <c r="Y1976" s="34"/>
      <c r="Z1976" s="34"/>
      <c r="AA1976" s="34"/>
      <c r="AB1976" s="34"/>
      <c r="AC1976" s="34"/>
      <c r="AD1976" s="34"/>
      <c r="AE1976" s="34"/>
      <c r="AF1976" s="34"/>
      <c r="AG1976" s="34"/>
      <c r="AH1976" s="34"/>
      <c r="AI1976" s="34"/>
      <c r="AJ1976" s="34"/>
      <c r="AK1976" s="34"/>
      <c r="AL1976" s="34"/>
      <c r="AM1976" s="34"/>
      <c r="AN1976" s="34"/>
      <c r="AO1976" s="34"/>
      <c r="AP1976" s="34"/>
      <c r="AQ1976" s="34"/>
      <c r="AR1976" s="34"/>
      <c r="AS1976" s="34"/>
      <c r="AT1976" s="34"/>
      <c r="AU1976" s="34"/>
      <c r="AV1976" s="34"/>
    </row>
    <row r="1977">
      <c r="A1977" s="34"/>
      <c r="B1977" s="34"/>
      <c r="C1977" s="34"/>
      <c r="D1977" s="34"/>
      <c r="E1977" s="34"/>
      <c r="F1977" s="34"/>
      <c r="G1977" s="34"/>
      <c r="H1977" s="34"/>
      <c r="I1977" s="34"/>
      <c r="J1977" s="34"/>
      <c r="K1977" s="34"/>
      <c r="L1977" s="34"/>
      <c r="M1977" s="34"/>
      <c r="N1977" s="34"/>
      <c r="O1977" s="34"/>
      <c r="P1977" s="34"/>
      <c r="Q1977" s="34"/>
      <c r="R1977" s="34"/>
      <c r="S1977" s="34"/>
      <c r="T1977" s="34"/>
      <c r="U1977" s="34"/>
      <c r="V1977" s="34"/>
      <c r="W1977" s="34"/>
      <c r="X1977" s="34"/>
      <c r="Y1977" s="34"/>
      <c r="Z1977" s="34"/>
      <c r="AA1977" s="34"/>
      <c r="AB1977" s="34"/>
      <c r="AC1977" s="34"/>
      <c r="AD1977" s="34"/>
      <c r="AE1977" s="34"/>
      <c r="AF1977" s="34"/>
      <c r="AG1977" s="34"/>
      <c r="AH1977" s="34"/>
      <c r="AI1977" s="34"/>
      <c r="AJ1977" s="34"/>
      <c r="AK1977" s="34"/>
      <c r="AL1977" s="34"/>
      <c r="AM1977" s="34"/>
      <c r="AN1977" s="34"/>
      <c r="AO1977" s="34"/>
      <c r="AP1977" s="34"/>
      <c r="AQ1977" s="34"/>
      <c r="AR1977" s="34"/>
      <c r="AS1977" s="34"/>
      <c r="AT1977" s="34"/>
      <c r="AU1977" s="34"/>
      <c r="AV1977" s="34"/>
    </row>
    <row r="1978">
      <c r="A1978" s="34"/>
      <c r="B1978" s="34"/>
      <c r="C1978" s="34"/>
      <c r="D1978" s="34"/>
      <c r="E1978" s="34"/>
      <c r="F1978" s="34"/>
      <c r="G1978" s="34"/>
      <c r="H1978" s="34"/>
      <c r="I1978" s="34"/>
      <c r="J1978" s="34"/>
      <c r="K1978" s="34"/>
      <c r="L1978" s="34"/>
      <c r="M1978" s="34"/>
      <c r="N1978" s="34"/>
      <c r="O1978" s="34"/>
      <c r="P1978" s="34"/>
      <c r="Q1978" s="34"/>
      <c r="R1978" s="34"/>
      <c r="S1978" s="34"/>
      <c r="T1978" s="34"/>
      <c r="U1978" s="34"/>
      <c r="V1978" s="34"/>
      <c r="W1978" s="34"/>
      <c r="X1978" s="34"/>
      <c r="Y1978" s="34"/>
      <c r="Z1978" s="34"/>
      <c r="AA1978" s="34"/>
      <c r="AB1978" s="34"/>
      <c r="AC1978" s="34"/>
      <c r="AD1978" s="34"/>
      <c r="AE1978" s="34"/>
      <c r="AF1978" s="34"/>
      <c r="AG1978" s="34"/>
      <c r="AH1978" s="34"/>
      <c r="AI1978" s="34"/>
      <c r="AJ1978" s="34"/>
      <c r="AK1978" s="34"/>
      <c r="AL1978" s="34"/>
      <c r="AM1978" s="34"/>
      <c r="AN1978" s="34"/>
      <c r="AO1978" s="34"/>
      <c r="AP1978" s="34"/>
      <c r="AQ1978" s="34"/>
      <c r="AR1978" s="34"/>
      <c r="AS1978" s="34"/>
      <c r="AT1978" s="34"/>
      <c r="AU1978" s="34"/>
      <c r="AV1978" s="34"/>
    </row>
    <row r="1979">
      <c r="A1979" s="34"/>
      <c r="B1979" s="34"/>
      <c r="C1979" s="34"/>
      <c r="D1979" s="34"/>
      <c r="E1979" s="34"/>
      <c r="F1979" s="34"/>
      <c r="G1979" s="34"/>
      <c r="H1979" s="34"/>
      <c r="I1979" s="34"/>
      <c r="J1979" s="34"/>
      <c r="K1979" s="34"/>
      <c r="L1979" s="34"/>
      <c r="M1979" s="34"/>
      <c r="N1979" s="34"/>
      <c r="O1979" s="34"/>
      <c r="P1979" s="34"/>
      <c r="Q1979" s="34"/>
      <c r="R1979" s="34"/>
      <c r="S1979" s="34"/>
      <c r="T1979" s="34"/>
      <c r="U1979" s="34"/>
      <c r="V1979" s="34"/>
      <c r="W1979" s="34"/>
      <c r="X1979" s="34"/>
      <c r="Y1979" s="34"/>
      <c r="Z1979" s="34"/>
      <c r="AA1979" s="34"/>
      <c r="AB1979" s="34"/>
      <c r="AC1979" s="34"/>
      <c r="AD1979" s="34"/>
      <c r="AE1979" s="34"/>
      <c r="AF1979" s="34"/>
      <c r="AG1979" s="34"/>
      <c r="AH1979" s="34"/>
      <c r="AI1979" s="34"/>
      <c r="AJ1979" s="34"/>
      <c r="AK1979" s="34"/>
      <c r="AL1979" s="34"/>
      <c r="AM1979" s="34"/>
      <c r="AN1979" s="34"/>
      <c r="AO1979" s="34"/>
      <c r="AP1979" s="34"/>
      <c r="AQ1979" s="34"/>
      <c r="AR1979" s="34"/>
      <c r="AS1979" s="34"/>
      <c r="AT1979" s="34"/>
      <c r="AU1979" s="34"/>
      <c r="AV1979" s="34"/>
    </row>
    <row r="1980">
      <c r="A1980" s="34"/>
      <c r="B1980" s="34"/>
      <c r="C1980" s="34"/>
      <c r="D1980" s="34"/>
      <c r="E1980" s="34"/>
      <c r="F1980" s="34"/>
      <c r="G1980" s="34"/>
      <c r="H1980" s="34"/>
      <c r="I1980" s="34"/>
      <c r="J1980" s="34"/>
      <c r="K1980" s="34"/>
      <c r="L1980" s="34"/>
      <c r="M1980" s="34"/>
      <c r="N1980" s="34"/>
      <c r="O1980" s="34"/>
      <c r="P1980" s="34"/>
      <c r="Q1980" s="34"/>
      <c r="R1980" s="34"/>
      <c r="S1980" s="34"/>
      <c r="T1980" s="34"/>
      <c r="U1980" s="34"/>
      <c r="V1980" s="34"/>
      <c r="W1980" s="34"/>
      <c r="X1980" s="34"/>
      <c r="Y1980" s="34"/>
      <c r="Z1980" s="34"/>
      <c r="AA1980" s="34"/>
      <c r="AB1980" s="34"/>
      <c r="AC1980" s="34"/>
      <c r="AD1980" s="34"/>
      <c r="AE1980" s="34"/>
      <c r="AF1980" s="34"/>
      <c r="AG1980" s="34"/>
      <c r="AH1980" s="34"/>
      <c r="AI1980" s="34"/>
      <c r="AJ1980" s="34"/>
      <c r="AK1980" s="34"/>
      <c r="AL1980" s="34"/>
      <c r="AM1980" s="34"/>
      <c r="AN1980" s="34"/>
      <c r="AO1980" s="34"/>
      <c r="AP1980" s="34"/>
      <c r="AQ1980" s="34"/>
      <c r="AR1980" s="34"/>
      <c r="AS1980" s="34"/>
      <c r="AT1980" s="34"/>
      <c r="AU1980" s="34"/>
      <c r="AV1980" s="34"/>
    </row>
    <row r="1981">
      <c r="A1981" s="34"/>
      <c r="B1981" s="34"/>
      <c r="C1981" s="34"/>
      <c r="D1981" s="34"/>
      <c r="E1981" s="34"/>
      <c r="F1981" s="34"/>
      <c r="G1981" s="34"/>
      <c r="H1981" s="34"/>
      <c r="I1981" s="34"/>
      <c r="J1981" s="34"/>
      <c r="K1981" s="34"/>
      <c r="L1981" s="34"/>
      <c r="M1981" s="34"/>
      <c r="N1981" s="34"/>
      <c r="O1981" s="34"/>
      <c r="P1981" s="34"/>
      <c r="Q1981" s="34"/>
      <c r="R1981" s="34"/>
      <c r="S1981" s="34"/>
      <c r="T1981" s="34"/>
      <c r="U1981" s="34"/>
      <c r="V1981" s="34"/>
      <c r="W1981" s="34"/>
      <c r="X1981" s="34"/>
      <c r="Y1981" s="34"/>
      <c r="Z1981" s="34"/>
      <c r="AA1981" s="34"/>
      <c r="AB1981" s="34"/>
      <c r="AC1981" s="34"/>
      <c r="AD1981" s="34"/>
      <c r="AE1981" s="34"/>
      <c r="AF1981" s="34"/>
      <c r="AG1981" s="34"/>
      <c r="AH1981" s="34"/>
      <c r="AI1981" s="34"/>
      <c r="AJ1981" s="34"/>
      <c r="AK1981" s="34"/>
      <c r="AL1981" s="34"/>
      <c r="AM1981" s="34"/>
      <c r="AN1981" s="34"/>
      <c r="AO1981" s="34"/>
      <c r="AP1981" s="34"/>
      <c r="AQ1981" s="34"/>
      <c r="AR1981" s="34"/>
      <c r="AS1981" s="34"/>
      <c r="AT1981" s="34"/>
      <c r="AU1981" s="34"/>
      <c r="AV1981" s="34"/>
    </row>
    <row r="1982">
      <c r="A1982" s="34"/>
      <c r="B1982" s="34"/>
      <c r="C1982" s="34"/>
      <c r="D1982" s="34"/>
      <c r="E1982" s="34"/>
      <c r="F1982" s="34"/>
      <c r="G1982" s="34"/>
      <c r="H1982" s="34"/>
      <c r="I1982" s="34"/>
      <c r="J1982" s="34"/>
      <c r="K1982" s="34"/>
      <c r="L1982" s="34"/>
      <c r="M1982" s="34"/>
      <c r="N1982" s="34"/>
      <c r="O1982" s="34"/>
      <c r="P1982" s="34"/>
      <c r="Q1982" s="34"/>
      <c r="R1982" s="34"/>
      <c r="S1982" s="34"/>
      <c r="T1982" s="34"/>
      <c r="U1982" s="34"/>
      <c r="V1982" s="34"/>
      <c r="W1982" s="34"/>
      <c r="X1982" s="34"/>
      <c r="Y1982" s="34"/>
      <c r="Z1982" s="34"/>
      <c r="AA1982" s="34"/>
      <c r="AB1982" s="34"/>
      <c r="AC1982" s="34"/>
      <c r="AD1982" s="34"/>
      <c r="AE1982" s="34"/>
      <c r="AF1982" s="34"/>
      <c r="AG1982" s="34"/>
      <c r="AH1982" s="34"/>
      <c r="AI1982" s="34"/>
      <c r="AJ1982" s="34"/>
      <c r="AK1982" s="34"/>
      <c r="AL1982" s="34"/>
      <c r="AM1982" s="34"/>
      <c r="AN1982" s="34"/>
      <c r="AO1982" s="34"/>
      <c r="AP1982" s="34"/>
      <c r="AQ1982" s="34"/>
      <c r="AR1982" s="34"/>
      <c r="AS1982" s="34"/>
      <c r="AT1982" s="34"/>
      <c r="AU1982" s="34"/>
      <c r="AV1982" s="34"/>
    </row>
    <row r="1983">
      <c r="A1983" s="34"/>
      <c r="B1983" s="34"/>
      <c r="C1983" s="34"/>
      <c r="D1983" s="34"/>
      <c r="E1983" s="34"/>
      <c r="F1983" s="34"/>
      <c r="G1983" s="34"/>
      <c r="H1983" s="34"/>
      <c r="I1983" s="34"/>
      <c r="J1983" s="34"/>
      <c r="K1983" s="34"/>
      <c r="L1983" s="34"/>
      <c r="M1983" s="34"/>
      <c r="N1983" s="34"/>
      <c r="O1983" s="34"/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/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/>
      <c r="AN1983" s="34"/>
      <c r="AO1983" s="34"/>
      <c r="AP1983" s="34"/>
      <c r="AQ1983" s="34"/>
      <c r="AR1983" s="34"/>
      <c r="AS1983" s="34"/>
      <c r="AT1983" s="34"/>
      <c r="AU1983" s="34"/>
      <c r="AV1983" s="34"/>
    </row>
    <row r="1984">
      <c r="A1984" s="34"/>
      <c r="B1984" s="34"/>
      <c r="C1984" s="34"/>
      <c r="D1984" s="34"/>
      <c r="E1984" s="34"/>
      <c r="F1984" s="34"/>
      <c r="G1984" s="34"/>
      <c r="H1984" s="34"/>
      <c r="I1984" s="34"/>
      <c r="J1984" s="34"/>
      <c r="K1984" s="34"/>
      <c r="L1984" s="34"/>
      <c r="M1984" s="34"/>
      <c r="N1984" s="34"/>
      <c r="O1984" s="34"/>
      <c r="P1984" s="34"/>
      <c r="Q1984" s="34"/>
      <c r="R1984" s="34"/>
      <c r="S1984" s="34"/>
      <c r="T1984" s="34"/>
      <c r="U1984" s="34"/>
      <c r="V1984" s="34"/>
      <c r="W1984" s="34"/>
      <c r="X1984" s="34"/>
      <c r="Y1984" s="34"/>
      <c r="Z1984" s="34"/>
      <c r="AA1984" s="34"/>
      <c r="AB1984" s="34"/>
      <c r="AC1984" s="34"/>
      <c r="AD1984" s="34"/>
      <c r="AE1984" s="34"/>
      <c r="AF1984" s="34"/>
      <c r="AG1984" s="34"/>
      <c r="AH1984" s="34"/>
      <c r="AI1984" s="34"/>
      <c r="AJ1984" s="34"/>
      <c r="AK1984" s="34"/>
      <c r="AL1984" s="34"/>
      <c r="AM1984" s="34"/>
      <c r="AN1984" s="34"/>
      <c r="AO1984" s="34"/>
      <c r="AP1984" s="34"/>
      <c r="AQ1984" s="34"/>
      <c r="AR1984" s="34"/>
      <c r="AS1984" s="34"/>
      <c r="AT1984" s="34"/>
      <c r="AU1984" s="34"/>
      <c r="AV1984" s="34"/>
    </row>
    <row r="1985">
      <c r="A1985" s="34"/>
      <c r="B1985" s="34"/>
      <c r="C1985" s="34"/>
      <c r="D1985" s="34"/>
      <c r="E1985" s="34"/>
      <c r="F1985" s="34"/>
      <c r="G1985" s="34"/>
      <c r="H1985" s="34"/>
      <c r="I1985" s="34"/>
      <c r="J1985" s="34"/>
      <c r="K1985" s="34"/>
      <c r="L1985" s="34"/>
      <c r="M1985" s="34"/>
      <c r="N1985" s="34"/>
      <c r="O1985" s="34"/>
      <c r="P1985" s="34"/>
      <c r="Q1985" s="34"/>
      <c r="R1985" s="34"/>
      <c r="S1985" s="34"/>
      <c r="T1985" s="34"/>
      <c r="U1985" s="34"/>
      <c r="V1985" s="34"/>
      <c r="W1985" s="34"/>
      <c r="X1985" s="34"/>
      <c r="Y1985" s="34"/>
      <c r="Z1985" s="34"/>
      <c r="AA1985" s="34"/>
      <c r="AB1985" s="34"/>
      <c r="AC1985" s="34"/>
      <c r="AD1985" s="34"/>
      <c r="AE1985" s="34"/>
      <c r="AF1985" s="34"/>
      <c r="AG1985" s="34"/>
      <c r="AH1985" s="34"/>
      <c r="AI1985" s="34"/>
      <c r="AJ1985" s="34"/>
      <c r="AK1985" s="34"/>
      <c r="AL1985" s="34"/>
      <c r="AM1985" s="34"/>
      <c r="AN1985" s="34"/>
      <c r="AO1985" s="34"/>
      <c r="AP1985" s="34"/>
      <c r="AQ1985" s="34"/>
      <c r="AR1985" s="34"/>
      <c r="AS1985" s="34"/>
      <c r="AT1985" s="34"/>
      <c r="AU1985" s="34"/>
      <c r="AV1985" s="34"/>
    </row>
    <row r="1986">
      <c r="A1986" s="34"/>
      <c r="B1986" s="34"/>
      <c r="C1986" s="34"/>
      <c r="D1986" s="34"/>
      <c r="E1986" s="34"/>
      <c r="F1986" s="34"/>
      <c r="G1986" s="34"/>
      <c r="H1986" s="34"/>
      <c r="I1986" s="34"/>
      <c r="J1986" s="34"/>
      <c r="K1986" s="34"/>
      <c r="L1986" s="34"/>
      <c r="M1986" s="34"/>
      <c r="N1986" s="34"/>
      <c r="O1986" s="34"/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/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/>
      <c r="AN1986" s="34"/>
      <c r="AO1986" s="34"/>
      <c r="AP1986" s="34"/>
      <c r="AQ1986" s="34"/>
      <c r="AR1986" s="34"/>
      <c r="AS1986" s="34"/>
      <c r="AT1986" s="34"/>
      <c r="AU1986" s="34"/>
      <c r="AV1986" s="34"/>
    </row>
    <row r="1987">
      <c r="A1987" s="34"/>
      <c r="B1987" s="34"/>
      <c r="C1987" s="34"/>
      <c r="D1987" s="34"/>
      <c r="E1987" s="34"/>
      <c r="F1987" s="34"/>
      <c r="G1987" s="34"/>
      <c r="H1987" s="34"/>
      <c r="I1987" s="34"/>
      <c r="J1987" s="34"/>
      <c r="K1987" s="34"/>
      <c r="L1987" s="34"/>
      <c r="M1987" s="34"/>
      <c r="N1987" s="34"/>
      <c r="O1987" s="34"/>
      <c r="P1987" s="34"/>
      <c r="Q1987" s="34"/>
      <c r="R1987" s="34"/>
      <c r="S1987" s="34"/>
      <c r="T1987" s="34"/>
      <c r="U1987" s="34"/>
      <c r="V1987" s="34"/>
      <c r="W1987" s="34"/>
      <c r="X1987" s="34"/>
      <c r="Y1987" s="34"/>
      <c r="Z1987" s="34"/>
      <c r="AA1987" s="34"/>
      <c r="AB1987" s="34"/>
      <c r="AC1987" s="34"/>
      <c r="AD1987" s="34"/>
      <c r="AE1987" s="34"/>
      <c r="AF1987" s="34"/>
      <c r="AG1987" s="34"/>
      <c r="AH1987" s="34"/>
      <c r="AI1987" s="34"/>
      <c r="AJ1987" s="34"/>
      <c r="AK1987" s="34"/>
      <c r="AL1987" s="34"/>
      <c r="AM1987" s="34"/>
      <c r="AN1987" s="34"/>
      <c r="AO1987" s="34"/>
      <c r="AP1987" s="34"/>
      <c r="AQ1987" s="34"/>
      <c r="AR1987" s="34"/>
      <c r="AS1987" s="34"/>
      <c r="AT1987" s="34"/>
      <c r="AU1987" s="34"/>
      <c r="AV1987" s="34"/>
    </row>
    <row r="1988">
      <c r="A1988" s="34"/>
      <c r="B1988" s="34"/>
      <c r="C1988" s="34"/>
      <c r="D1988" s="34"/>
      <c r="E1988" s="34"/>
      <c r="F1988" s="34"/>
      <c r="G1988" s="34"/>
      <c r="H1988" s="34"/>
      <c r="I1988" s="34"/>
      <c r="J1988" s="34"/>
      <c r="K1988" s="34"/>
      <c r="L1988" s="34"/>
      <c r="M1988" s="34"/>
      <c r="N1988" s="34"/>
      <c r="O1988" s="34"/>
      <c r="P1988" s="34"/>
      <c r="Q1988" s="34"/>
      <c r="R1988" s="34"/>
      <c r="S1988" s="34"/>
      <c r="T1988" s="34"/>
      <c r="U1988" s="34"/>
      <c r="V1988" s="34"/>
      <c r="W1988" s="34"/>
      <c r="X1988" s="34"/>
      <c r="Y1988" s="34"/>
      <c r="Z1988" s="34"/>
      <c r="AA1988" s="34"/>
      <c r="AB1988" s="34"/>
      <c r="AC1988" s="34"/>
      <c r="AD1988" s="34"/>
      <c r="AE1988" s="34"/>
      <c r="AF1988" s="34"/>
      <c r="AG1988" s="34"/>
      <c r="AH1988" s="34"/>
      <c r="AI1988" s="34"/>
      <c r="AJ1988" s="34"/>
      <c r="AK1988" s="34"/>
      <c r="AL1988" s="34"/>
      <c r="AM1988" s="34"/>
      <c r="AN1988" s="34"/>
      <c r="AO1988" s="34"/>
      <c r="AP1988" s="34"/>
      <c r="AQ1988" s="34"/>
      <c r="AR1988" s="34"/>
      <c r="AS1988" s="34"/>
      <c r="AT1988" s="34"/>
      <c r="AU1988" s="34"/>
      <c r="AV1988" s="34"/>
    </row>
    <row r="1989">
      <c r="A1989" s="34"/>
      <c r="B1989" s="34"/>
      <c r="C1989" s="34"/>
      <c r="D1989" s="34"/>
      <c r="E1989" s="34"/>
      <c r="F1989" s="34"/>
      <c r="G1989" s="34"/>
      <c r="H1989" s="34"/>
      <c r="I1989" s="34"/>
      <c r="J1989" s="34"/>
      <c r="K1989" s="34"/>
      <c r="L1989" s="34"/>
      <c r="M1989" s="34"/>
      <c r="N1989" s="34"/>
      <c r="O1989" s="34"/>
      <c r="P1989" s="34"/>
      <c r="Q1989" s="34"/>
      <c r="R1989" s="34"/>
      <c r="S1989" s="34"/>
      <c r="T1989" s="34"/>
      <c r="U1989" s="34"/>
      <c r="V1989" s="34"/>
      <c r="W1989" s="34"/>
      <c r="X1989" s="34"/>
      <c r="Y1989" s="34"/>
      <c r="Z1989" s="34"/>
      <c r="AA1989" s="34"/>
      <c r="AB1989" s="34"/>
      <c r="AC1989" s="34"/>
      <c r="AD1989" s="34"/>
      <c r="AE1989" s="34"/>
      <c r="AF1989" s="34"/>
      <c r="AG1989" s="34"/>
      <c r="AH1989" s="34"/>
      <c r="AI1989" s="34"/>
      <c r="AJ1989" s="34"/>
      <c r="AK1989" s="34"/>
      <c r="AL1989" s="34"/>
      <c r="AM1989" s="34"/>
      <c r="AN1989" s="34"/>
      <c r="AO1989" s="34"/>
      <c r="AP1989" s="34"/>
      <c r="AQ1989" s="34"/>
      <c r="AR1989" s="34"/>
      <c r="AS1989" s="34"/>
      <c r="AT1989" s="34"/>
      <c r="AU1989" s="34"/>
      <c r="AV1989" s="34"/>
    </row>
    <row r="1990">
      <c r="A1990" s="34"/>
      <c r="B1990" s="34"/>
      <c r="C1990" s="34"/>
      <c r="D1990" s="34"/>
      <c r="E1990" s="34"/>
      <c r="F1990" s="34"/>
      <c r="G1990" s="34"/>
      <c r="H1990" s="34"/>
      <c r="I1990" s="34"/>
      <c r="J1990" s="34"/>
      <c r="K1990" s="34"/>
      <c r="L1990" s="34"/>
      <c r="M1990" s="34"/>
      <c r="N1990" s="34"/>
      <c r="O1990" s="34"/>
      <c r="P1990" s="34"/>
      <c r="Q1990" s="34"/>
      <c r="R1990" s="34"/>
      <c r="S1990" s="34"/>
      <c r="T1990" s="34"/>
      <c r="U1990" s="34"/>
      <c r="V1990" s="34"/>
      <c r="W1990" s="34"/>
      <c r="X1990" s="34"/>
      <c r="Y1990" s="34"/>
      <c r="Z1990" s="34"/>
      <c r="AA1990" s="34"/>
      <c r="AB1990" s="34"/>
      <c r="AC1990" s="34"/>
      <c r="AD1990" s="34"/>
      <c r="AE1990" s="34"/>
      <c r="AF1990" s="34"/>
      <c r="AG1990" s="34"/>
      <c r="AH1990" s="34"/>
      <c r="AI1990" s="34"/>
      <c r="AJ1990" s="34"/>
      <c r="AK1990" s="34"/>
      <c r="AL1990" s="34"/>
      <c r="AM1990" s="34"/>
      <c r="AN1990" s="34"/>
      <c r="AO1990" s="34"/>
      <c r="AP1990" s="34"/>
      <c r="AQ1990" s="34"/>
      <c r="AR1990" s="34"/>
      <c r="AS1990" s="34"/>
      <c r="AT1990" s="34"/>
      <c r="AU1990" s="34"/>
      <c r="AV1990" s="34"/>
    </row>
    <row r="1991">
      <c r="A1991" s="34"/>
      <c r="B1991" s="34"/>
      <c r="C1991" s="34"/>
      <c r="D1991" s="34"/>
      <c r="E1991" s="34"/>
      <c r="F1991" s="34"/>
      <c r="G1991" s="34"/>
      <c r="H1991" s="34"/>
      <c r="I1991" s="34"/>
      <c r="J1991" s="34"/>
      <c r="K1991" s="34"/>
      <c r="L1991" s="34"/>
      <c r="M1991" s="34"/>
      <c r="N1991" s="34"/>
      <c r="O1991" s="34"/>
      <c r="P1991" s="34"/>
      <c r="Q1991" s="34"/>
      <c r="R1991" s="34"/>
      <c r="S1991" s="34"/>
      <c r="T1991" s="34"/>
      <c r="U1991" s="34"/>
      <c r="V1991" s="34"/>
      <c r="W1991" s="34"/>
      <c r="X1991" s="34"/>
      <c r="Y1991" s="34"/>
      <c r="Z1991" s="34"/>
      <c r="AA1991" s="34"/>
      <c r="AB1991" s="34"/>
      <c r="AC1991" s="34"/>
      <c r="AD1991" s="34"/>
      <c r="AE1991" s="34"/>
      <c r="AF1991" s="34"/>
      <c r="AG1991" s="34"/>
      <c r="AH1991" s="34"/>
      <c r="AI1991" s="34"/>
      <c r="AJ1991" s="34"/>
      <c r="AK1991" s="34"/>
      <c r="AL1991" s="34"/>
      <c r="AM1991" s="34"/>
      <c r="AN1991" s="34"/>
      <c r="AO1991" s="34"/>
      <c r="AP1991" s="34"/>
      <c r="AQ1991" s="34"/>
      <c r="AR1991" s="34"/>
      <c r="AS1991" s="34"/>
      <c r="AT1991" s="34"/>
      <c r="AU1991" s="34"/>
      <c r="AV1991" s="34"/>
    </row>
    <row r="1992">
      <c r="A1992" s="34"/>
      <c r="B1992" s="34"/>
      <c r="C1992" s="34"/>
      <c r="D1992" s="34"/>
      <c r="E1992" s="34"/>
      <c r="F1992" s="34"/>
      <c r="G1992" s="34"/>
      <c r="H1992" s="34"/>
      <c r="I1992" s="34"/>
      <c r="J1992" s="34"/>
      <c r="K1992" s="34"/>
      <c r="L1992" s="34"/>
      <c r="M1992" s="34"/>
      <c r="N1992" s="34"/>
      <c r="O1992" s="34"/>
      <c r="P1992" s="34"/>
      <c r="Q1992" s="34"/>
      <c r="R1992" s="34"/>
      <c r="S1992" s="34"/>
      <c r="T1992" s="34"/>
      <c r="U1992" s="34"/>
      <c r="V1992" s="34"/>
      <c r="W1992" s="34"/>
      <c r="X1992" s="34"/>
      <c r="Y1992" s="34"/>
      <c r="Z1992" s="34"/>
      <c r="AA1992" s="34"/>
      <c r="AB1992" s="34"/>
      <c r="AC1992" s="34"/>
      <c r="AD1992" s="34"/>
      <c r="AE1992" s="34"/>
      <c r="AF1992" s="34"/>
      <c r="AG1992" s="34"/>
      <c r="AH1992" s="34"/>
      <c r="AI1992" s="34"/>
      <c r="AJ1992" s="34"/>
      <c r="AK1992" s="34"/>
      <c r="AL1992" s="34"/>
      <c r="AM1992" s="34"/>
      <c r="AN1992" s="34"/>
      <c r="AO1992" s="34"/>
      <c r="AP1992" s="34"/>
      <c r="AQ1992" s="34"/>
      <c r="AR1992" s="34"/>
      <c r="AS1992" s="34"/>
      <c r="AT1992" s="34"/>
      <c r="AU1992" s="34"/>
      <c r="AV1992" s="34"/>
    </row>
    <row r="1993">
      <c r="A1993" s="34"/>
      <c r="B1993" s="34"/>
      <c r="C1993" s="34"/>
      <c r="D1993" s="34"/>
      <c r="E1993" s="34"/>
      <c r="F1993" s="34"/>
      <c r="G1993" s="34"/>
      <c r="H1993" s="34"/>
      <c r="I1993" s="34"/>
      <c r="J1993" s="34"/>
      <c r="K1993" s="34"/>
      <c r="L1993" s="34"/>
      <c r="M1993" s="34"/>
      <c r="N1993" s="34"/>
      <c r="O1993" s="34"/>
      <c r="P1993" s="34"/>
      <c r="Q1993" s="34"/>
      <c r="R1993" s="34"/>
      <c r="S1993" s="34"/>
      <c r="T1993" s="34"/>
      <c r="U1993" s="34"/>
      <c r="V1993" s="34"/>
      <c r="W1993" s="34"/>
      <c r="X1993" s="34"/>
      <c r="Y1993" s="34"/>
      <c r="Z1993" s="34"/>
      <c r="AA1993" s="34"/>
      <c r="AB1993" s="34"/>
      <c r="AC1993" s="34"/>
      <c r="AD1993" s="34"/>
      <c r="AE1993" s="34"/>
      <c r="AF1993" s="34"/>
      <c r="AG1993" s="34"/>
      <c r="AH1993" s="34"/>
      <c r="AI1993" s="34"/>
      <c r="AJ1993" s="34"/>
      <c r="AK1993" s="34"/>
      <c r="AL1993" s="34"/>
      <c r="AM1993" s="34"/>
      <c r="AN1993" s="34"/>
      <c r="AO1993" s="34"/>
      <c r="AP1993" s="34"/>
      <c r="AQ1993" s="34"/>
      <c r="AR1993" s="34"/>
      <c r="AS1993" s="34"/>
      <c r="AT1993" s="34"/>
      <c r="AU1993" s="34"/>
      <c r="AV1993" s="34"/>
    </row>
    <row r="1994">
      <c r="A1994" s="34"/>
      <c r="B1994" s="34"/>
      <c r="C1994" s="34"/>
      <c r="D1994" s="34"/>
      <c r="E1994" s="34"/>
      <c r="F1994" s="34"/>
      <c r="G1994" s="34"/>
      <c r="H1994" s="34"/>
      <c r="I1994" s="34"/>
      <c r="J1994" s="34"/>
      <c r="K1994" s="34"/>
      <c r="L1994" s="34"/>
      <c r="M1994" s="34"/>
      <c r="N1994" s="34"/>
      <c r="O1994" s="34"/>
      <c r="P1994" s="34"/>
      <c r="Q1994" s="34"/>
      <c r="R1994" s="34"/>
      <c r="S1994" s="34"/>
      <c r="T1994" s="34"/>
      <c r="U1994" s="34"/>
      <c r="V1994" s="34"/>
      <c r="W1994" s="34"/>
      <c r="X1994" s="34"/>
      <c r="Y1994" s="34"/>
      <c r="Z1994" s="34"/>
      <c r="AA1994" s="34"/>
      <c r="AB1994" s="34"/>
      <c r="AC1994" s="34"/>
      <c r="AD1994" s="34"/>
      <c r="AE1994" s="34"/>
      <c r="AF1994" s="34"/>
      <c r="AG1994" s="34"/>
      <c r="AH1994" s="34"/>
      <c r="AI1994" s="34"/>
      <c r="AJ1994" s="34"/>
      <c r="AK1994" s="34"/>
      <c r="AL1994" s="34"/>
      <c r="AM1994" s="34"/>
      <c r="AN1994" s="34"/>
      <c r="AO1994" s="34"/>
      <c r="AP1994" s="34"/>
      <c r="AQ1994" s="34"/>
      <c r="AR1994" s="34"/>
      <c r="AS1994" s="34"/>
      <c r="AT1994" s="34"/>
      <c r="AU1994" s="34"/>
      <c r="AV1994" s="34"/>
    </row>
    <row r="1995">
      <c r="A1995" s="34"/>
      <c r="B1995" s="34"/>
      <c r="C1995" s="34"/>
      <c r="D1995" s="34"/>
      <c r="E1995" s="34"/>
      <c r="F1995" s="34"/>
      <c r="G1995" s="34"/>
      <c r="H1995" s="34"/>
      <c r="I1995" s="34"/>
      <c r="J1995" s="34"/>
      <c r="K1995" s="34"/>
      <c r="L1995" s="34"/>
      <c r="M1995" s="34"/>
      <c r="N1995" s="34"/>
      <c r="O1995" s="34"/>
      <c r="P1995" s="34"/>
      <c r="Q1995" s="34"/>
      <c r="R1995" s="34"/>
      <c r="S1995" s="34"/>
      <c r="T1995" s="34"/>
      <c r="U1995" s="34"/>
      <c r="V1995" s="34"/>
      <c r="W1995" s="34"/>
      <c r="X1995" s="34"/>
      <c r="Y1995" s="34"/>
      <c r="Z1995" s="34"/>
      <c r="AA1995" s="34"/>
      <c r="AB1995" s="34"/>
      <c r="AC1995" s="34"/>
      <c r="AD1995" s="34"/>
      <c r="AE1995" s="34"/>
      <c r="AF1995" s="34"/>
      <c r="AG1995" s="34"/>
      <c r="AH1995" s="34"/>
      <c r="AI1995" s="34"/>
      <c r="AJ1995" s="34"/>
      <c r="AK1995" s="34"/>
      <c r="AL1995" s="34"/>
      <c r="AM1995" s="34"/>
      <c r="AN1995" s="34"/>
      <c r="AO1995" s="34"/>
      <c r="AP1995" s="34"/>
      <c r="AQ1995" s="34"/>
      <c r="AR1995" s="34"/>
      <c r="AS1995" s="34"/>
      <c r="AT1995" s="34"/>
      <c r="AU1995" s="34"/>
      <c r="AV1995" s="34"/>
    </row>
    <row r="1996">
      <c r="A1996" s="34"/>
      <c r="B1996" s="34"/>
      <c r="C1996" s="34"/>
      <c r="D1996" s="34"/>
      <c r="E1996" s="34"/>
      <c r="F1996" s="34"/>
      <c r="G1996" s="34"/>
      <c r="H1996" s="34"/>
      <c r="I1996" s="34"/>
      <c r="J1996" s="34"/>
      <c r="K1996" s="34"/>
      <c r="L1996" s="34"/>
      <c r="M1996" s="34"/>
      <c r="N1996" s="34"/>
      <c r="O1996" s="34"/>
      <c r="P1996" s="34"/>
      <c r="Q1996" s="34"/>
      <c r="R1996" s="34"/>
      <c r="S1996" s="34"/>
      <c r="T1996" s="34"/>
      <c r="U1996" s="34"/>
      <c r="V1996" s="34"/>
      <c r="W1996" s="34"/>
      <c r="X1996" s="34"/>
      <c r="Y1996" s="34"/>
      <c r="Z1996" s="34"/>
      <c r="AA1996" s="34"/>
      <c r="AB1996" s="34"/>
      <c r="AC1996" s="34"/>
      <c r="AD1996" s="34"/>
      <c r="AE1996" s="34"/>
      <c r="AF1996" s="34"/>
      <c r="AG1996" s="34"/>
      <c r="AH1996" s="34"/>
      <c r="AI1996" s="34"/>
      <c r="AJ1996" s="34"/>
      <c r="AK1996" s="34"/>
      <c r="AL1996" s="34"/>
      <c r="AM1996" s="34"/>
      <c r="AN1996" s="34"/>
      <c r="AO1996" s="34"/>
      <c r="AP1996" s="34"/>
      <c r="AQ1996" s="34"/>
      <c r="AR1996" s="34"/>
      <c r="AS1996" s="34"/>
      <c r="AT1996" s="34"/>
      <c r="AU1996" s="34"/>
      <c r="AV1996" s="34"/>
    </row>
    <row r="1997">
      <c r="A1997" s="34"/>
      <c r="B1997" s="34"/>
      <c r="C1997" s="34"/>
      <c r="D1997" s="34"/>
      <c r="E1997" s="34"/>
      <c r="F1997" s="34"/>
      <c r="G1997" s="34"/>
      <c r="H1997" s="34"/>
      <c r="I1997" s="34"/>
      <c r="J1997" s="34"/>
      <c r="K1997" s="34"/>
      <c r="L1997" s="34"/>
      <c r="M1997" s="34"/>
      <c r="N1997" s="34"/>
      <c r="O1997" s="34"/>
      <c r="P1997" s="34"/>
      <c r="Q1997" s="34"/>
      <c r="R1997" s="34"/>
      <c r="S1997" s="34"/>
      <c r="T1997" s="34"/>
      <c r="U1997" s="34"/>
      <c r="V1997" s="34"/>
      <c r="W1997" s="34"/>
      <c r="X1997" s="34"/>
      <c r="Y1997" s="34"/>
      <c r="Z1997" s="34"/>
      <c r="AA1997" s="34"/>
      <c r="AB1997" s="34"/>
      <c r="AC1997" s="34"/>
      <c r="AD1997" s="34"/>
      <c r="AE1997" s="34"/>
      <c r="AF1997" s="34"/>
      <c r="AG1997" s="34"/>
      <c r="AH1997" s="34"/>
      <c r="AI1997" s="34"/>
      <c r="AJ1997" s="34"/>
      <c r="AK1997" s="34"/>
      <c r="AL1997" s="34"/>
      <c r="AM1997" s="34"/>
      <c r="AN1997" s="34"/>
      <c r="AO1997" s="34"/>
      <c r="AP1997" s="34"/>
      <c r="AQ1997" s="34"/>
      <c r="AR1997" s="34"/>
      <c r="AS1997" s="34"/>
      <c r="AT1997" s="34"/>
      <c r="AU1997" s="34"/>
      <c r="AV1997" s="34"/>
    </row>
    <row r="1998">
      <c r="A1998" s="34"/>
      <c r="B1998" s="34"/>
      <c r="C1998" s="34"/>
      <c r="D1998" s="34"/>
      <c r="E1998" s="34"/>
      <c r="F1998" s="34"/>
      <c r="G1998" s="34"/>
      <c r="H1998" s="34"/>
      <c r="I1998" s="34"/>
      <c r="J1998" s="34"/>
      <c r="K1998" s="34"/>
      <c r="L1998" s="34"/>
      <c r="M1998" s="34"/>
      <c r="N1998" s="34"/>
      <c r="O1998" s="34"/>
      <c r="P1998" s="34"/>
      <c r="Q1998" s="34"/>
      <c r="R1998" s="34"/>
      <c r="S1998" s="34"/>
      <c r="T1998" s="34"/>
      <c r="U1998" s="34"/>
      <c r="V1998" s="34"/>
      <c r="W1998" s="34"/>
      <c r="X1998" s="34"/>
      <c r="Y1998" s="34"/>
      <c r="Z1998" s="34"/>
      <c r="AA1998" s="34"/>
      <c r="AB1998" s="34"/>
      <c r="AC1998" s="34"/>
      <c r="AD1998" s="34"/>
      <c r="AE1998" s="34"/>
      <c r="AF1998" s="34"/>
      <c r="AG1998" s="34"/>
      <c r="AH1998" s="34"/>
      <c r="AI1998" s="34"/>
      <c r="AJ1998" s="34"/>
      <c r="AK1998" s="34"/>
      <c r="AL1998" s="34"/>
      <c r="AM1998" s="34"/>
      <c r="AN1998" s="34"/>
      <c r="AO1998" s="34"/>
      <c r="AP1998" s="34"/>
      <c r="AQ1998" s="34"/>
      <c r="AR1998" s="34"/>
      <c r="AS1998" s="34"/>
      <c r="AT1998" s="34"/>
      <c r="AU1998" s="34"/>
      <c r="AV1998" s="34"/>
    </row>
    <row r="1999">
      <c r="A1999" s="34"/>
      <c r="B1999" s="34"/>
      <c r="C1999" s="34"/>
      <c r="D1999" s="34"/>
      <c r="E1999" s="34"/>
      <c r="F1999" s="34"/>
      <c r="G1999" s="34"/>
      <c r="H1999" s="34"/>
      <c r="I1999" s="34"/>
      <c r="J1999" s="34"/>
      <c r="K1999" s="34"/>
      <c r="L1999" s="34"/>
      <c r="M1999" s="34"/>
      <c r="N1999" s="34"/>
      <c r="O1999" s="34"/>
      <c r="P1999" s="34"/>
      <c r="Q1999" s="34"/>
      <c r="R1999" s="34"/>
      <c r="S1999" s="34"/>
      <c r="T1999" s="34"/>
      <c r="U1999" s="34"/>
      <c r="V1999" s="34"/>
      <c r="W1999" s="34"/>
      <c r="X1999" s="34"/>
      <c r="Y1999" s="34"/>
      <c r="Z1999" s="34"/>
      <c r="AA1999" s="34"/>
      <c r="AB1999" s="34"/>
      <c r="AC1999" s="34"/>
      <c r="AD1999" s="34"/>
      <c r="AE1999" s="34"/>
      <c r="AF1999" s="34"/>
      <c r="AG1999" s="34"/>
      <c r="AH1999" s="34"/>
      <c r="AI1999" s="34"/>
      <c r="AJ1999" s="34"/>
      <c r="AK1999" s="34"/>
      <c r="AL1999" s="34"/>
      <c r="AM1999" s="34"/>
      <c r="AN1999" s="34"/>
      <c r="AO1999" s="34"/>
      <c r="AP1999" s="34"/>
      <c r="AQ1999" s="34"/>
      <c r="AR1999" s="34"/>
      <c r="AS1999" s="34"/>
      <c r="AT1999" s="34"/>
      <c r="AU1999" s="34"/>
      <c r="AV1999" s="34"/>
    </row>
    <row r="2000">
      <c r="A2000" s="34"/>
      <c r="B2000" s="34"/>
      <c r="C2000" s="34"/>
      <c r="D2000" s="34"/>
      <c r="E2000" s="34"/>
      <c r="F2000" s="34"/>
      <c r="G2000" s="34"/>
      <c r="H2000" s="34"/>
      <c r="I2000" s="34"/>
      <c r="J2000" s="34"/>
      <c r="K2000" s="34"/>
      <c r="L2000" s="34"/>
      <c r="M2000" s="34"/>
      <c r="N2000" s="34"/>
      <c r="O2000" s="34"/>
      <c r="P2000" s="34"/>
      <c r="Q2000" s="34"/>
      <c r="R2000" s="34"/>
      <c r="S2000" s="34"/>
      <c r="T2000" s="34"/>
      <c r="U2000" s="34"/>
      <c r="V2000" s="34"/>
      <c r="W2000" s="34"/>
      <c r="X2000" s="34"/>
      <c r="Y2000" s="34"/>
      <c r="Z2000" s="34"/>
      <c r="AA2000" s="34"/>
      <c r="AB2000" s="34"/>
      <c r="AC2000" s="34"/>
      <c r="AD2000" s="34"/>
      <c r="AE2000" s="34"/>
      <c r="AF2000" s="34"/>
      <c r="AG2000" s="34"/>
      <c r="AH2000" s="34"/>
      <c r="AI2000" s="34"/>
      <c r="AJ2000" s="34"/>
      <c r="AK2000" s="34"/>
      <c r="AL2000" s="34"/>
      <c r="AM2000" s="34"/>
      <c r="AN2000" s="34"/>
      <c r="AO2000" s="34"/>
      <c r="AP2000" s="34"/>
      <c r="AQ2000" s="34"/>
      <c r="AR2000" s="34"/>
      <c r="AS2000" s="34"/>
      <c r="AT2000" s="34"/>
      <c r="AU2000" s="34"/>
      <c r="AV2000" s="34"/>
    </row>
    <row r="2001">
      <c r="A2001" s="34"/>
      <c r="B2001" s="34"/>
      <c r="C2001" s="34"/>
      <c r="D2001" s="34"/>
      <c r="E2001" s="34"/>
      <c r="F2001" s="34"/>
      <c r="G2001" s="34"/>
      <c r="H2001" s="34"/>
      <c r="I2001" s="34"/>
      <c r="J2001" s="34"/>
      <c r="K2001" s="34"/>
      <c r="L2001" s="34"/>
      <c r="M2001" s="34"/>
      <c r="N2001" s="34"/>
      <c r="O2001" s="34"/>
      <c r="P2001" s="34"/>
      <c r="Q2001" s="34"/>
      <c r="R2001" s="34"/>
      <c r="S2001" s="34"/>
      <c r="T2001" s="34"/>
      <c r="U2001" s="34"/>
      <c r="V2001" s="34"/>
      <c r="W2001" s="34"/>
      <c r="X2001" s="34"/>
      <c r="Y2001" s="34"/>
      <c r="Z2001" s="34"/>
      <c r="AA2001" s="34"/>
      <c r="AB2001" s="34"/>
      <c r="AC2001" s="34"/>
      <c r="AD2001" s="34"/>
      <c r="AE2001" s="34"/>
      <c r="AF2001" s="34"/>
      <c r="AG2001" s="34"/>
      <c r="AH2001" s="34"/>
      <c r="AI2001" s="34"/>
      <c r="AJ2001" s="34"/>
      <c r="AK2001" s="34"/>
      <c r="AL2001" s="34"/>
      <c r="AM2001" s="34"/>
      <c r="AN2001" s="34"/>
      <c r="AO2001" s="34"/>
      <c r="AP2001" s="34"/>
      <c r="AQ2001" s="34"/>
      <c r="AR2001" s="34"/>
      <c r="AS2001" s="34"/>
      <c r="AT2001" s="34"/>
      <c r="AU2001" s="34"/>
      <c r="AV2001" s="34"/>
    </row>
    <row r="2002">
      <c r="A2002" s="34"/>
      <c r="B2002" s="34"/>
      <c r="C2002" s="34"/>
      <c r="D2002" s="34"/>
      <c r="E2002" s="34"/>
      <c r="F2002" s="34"/>
      <c r="G2002" s="34"/>
      <c r="H2002" s="34"/>
      <c r="I2002" s="34"/>
      <c r="J2002" s="34"/>
      <c r="K2002" s="34"/>
      <c r="L2002" s="34"/>
      <c r="M2002" s="34"/>
      <c r="N2002" s="34"/>
      <c r="O2002" s="34"/>
      <c r="P2002" s="34"/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  <c r="AI2002" s="34"/>
      <c r="AJ2002" s="34"/>
      <c r="AK2002" s="34"/>
      <c r="AL2002" s="34"/>
      <c r="AM2002" s="34"/>
      <c r="AN2002" s="34"/>
      <c r="AO2002" s="34"/>
      <c r="AP2002" s="34"/>
      <c r="AQ2002" s="34"/>
      <c r="AR2002" s="34"/>
      <c r="AS2002" s="34"/>
      <c r="AT2002" s="34"/>
      <c r="AU2002" s="34"/>
      <c r="AV2002" s="34"/>
    </row>
    <row r="2003">
      <c r="A2003" s="34"/>
      <c r="B2003" s="34"/>
      <c r="C2003" s="34"/>
      <c r="D2003" s="34"/>
      <c r="E2003" s="34"/>
      <c r="F2003" s="34"/>
      <c r="G2003" s="34"/>
      <c r="H2003" s="34"/>
      <c r="I2003" s="34"/>
      <c r="J2003" s="34"/>
      <c r="K2003" s="34"/>
      <c r="L2003" s="34"/>
      <c r="M2003" s="34"/>
      <c r="N2003" s="34"/>
      <c r="O2003" s="34"/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4"/>
      <c r="AM2003" s="34"/>
      <c r="AN2003" s="34"/>
      <c r="AO2003" s="34"/>
      <c r="AP2003" s="34"/>
      <c r="AQ2003" s="34"/>
      <c r="AR2003" s="34"/>
      <c r="AS2003" s="34"/>
      <c r="AT2003" s="34"/>
      <c r="AU2003" s="34"/>
      <c r="AV2003" s="34"/>
    </row>
    <row r="2004">
      <c r="A2004" s="34"/>
      <c r="B2004" s="34"/>
      <c r="C2004" s="34"/>
      <c r="D2004" s="34"/>
      <c r="E2004" s="34"/>
      <c r="F2004" s="34"/>
      <c r="G2004" s="34"/>
      <c r="H2004" s="34"/>
      <c r="I2004" s="34"/>
      <c r="J2004" s="34"/>
      <c r="K2004" s="34"/>
      <c r="L2004" s="34"/>
      <c r="M2004" s="34"/>
      <c r="N2004" s="34"/>
      <c r="O2004" s="34"/>
      <c r="P2004" s="34"/>
      <c r="Q2004" s="34"/>
      <c r="R2004" s="34"/>
      <c r="S2004" s="34"/>
      <c r="T2004" s="34"/>
      <c r="U2004" s="34"/>
      <c r="V2004" s="34"/>
      <c r="W2004" s="34"/>
      <c r="X2004" s="34"/>
      <c r="Y2004" s="34"/>
      <c r="Z2004" s="34"/>
      <c r="AA2004" s="34"/>
      <c r="AB2004" s="34"/>
      <c r="AC2004" s="34"/>
      <c r="AD2004" s="34"/>
      <c r="AE2004" s="34"/>
      <c r="AF2004" s="34"/>
      <c r="AG2004" s="34"/>
      <c r="AH2004" s="34"/>
      <c r="AI2004" s="34"/>
      <c r="AJ2004" s="34"/>
      <c r="AK2004" s="34"/>
      <c r="AL2004" s="34"/>
      <c r="AM2004" s="34"/>
      <c r="AN2004" s="34"/>
      <c r="AO2004" s="34"/>
      <c r="AP2004" s="34"/>
      <c r="AQ2004" s="34"/>
      <c r="AR2004" s="34"/>
      <c r="AS2004" s="34"/>
      <c r="AT2004" s="34"/>
      <c r="AU2004" s="34"/>
      <c r="AV2004" s="34"/>
    </row>
    <row r="2005">
      <c r="A2005" s="34"/>
      <c r="B2005" s="34"/>
      <c r="C2005" s="34"/>
      <c r="D2005" s="34"/>
      <c r="E2005" s="34"/>
      <c r="F2005" s="34"/>
      <c r="G2005" s="34"/>
      <c r="H2005" s="34"/>
      <c r="I2005" s="34"/>
      <c r="J2005" s="34"/>
      <c r="K2005" s="34"/>
      <c r="L2005" s="34"/>
      <c r="M2005" s="34"/>
      <c r="N2005" s="34"/>
      <c r="O2005" s="34"/>
      <c r="P2005" s="34"/>
      <c r="Q2005" s="34"/>
      <c r="R2005" s="34"/>
      <c r="S2005" s="34"/>
      <c r="T2005" s="34"/>
      <c r="U2005" s="34"/>
      <c r="V2005" s="34"/>
      <c r="W2005" s="34"/>
      <c r="X2005" s="34"/>
      <c r="Y2005" s="34"/>
      <c r="Z2005" s="34"/>
      <c r="AA2005" s="34"/>
      <c r="AB2005" s="34"/>
      <c r="AC2005" s="34"/>
      <c r="AD2005" s="34"/>
      <c r="AE2005" s="34"/>
      <c r="AF2005" s="34"/>
      <c r="AG2005" s="34"/>
      <c r="AH2005" s="34"/>
      <c r="AI2005" s="34"/>
      <c r="AJ2005" s="34"/>
      <c r="AK2005" s="34"/>
      <c r="AL2005" s="34"/>
      <c r="AM2005" s="34"/>
      <c r="AN2005" s="34"/>
      <c r="AO2005" s="34"/>
      <c r="AP2005" s="34"/>
      <c r="AQ2005" s="34"/>
      <c r="AR2005" s="34"/>
      <c r="AS2005" s="34"/>
      <c r="AT2005" s="34"/>
      <c r="AU2005" s="34"/>
      <c r="AV2005" s="34"/>
    </row>
    <row r="2006">
      <c r="A2006" s="34"/>
      <c r="B2006" s="34"/>
      <c r="C2006" s="34"/>
      <c r="D2006" s="34"/>
      <c r="E2006" s="34"/>
      <c r="F2006" s="34"/>
      <c r="G2006" s="34"/>
      <c r="H2006" s="34"/>
      <c r="I2006" s="34"/>
      <c r="J2006" s="34"/>
      <c r="K2006" s="34"/>
      <c r="L2006" s="34"/>
      <c r="M2006" s="34"/>
      <c r="N2006" s="34"/>
      <c r="O2006" s="34"/>
      <c r="P2006" s="34"/>
      <c r="Q2006" s="34"/>
      <c r="R2006" s="34"/>
      <c r="S2006" s="34"/>
      <c r="T2006" s="34"/>
      <c r="U2006" s="34"/>
      <c r="V2006" s="34"/>
      <c r="W2006" s="34"/>
      <c r="X2006" s="34"/>
      <c r="Y2006" s="34"/>
      <c r="Z2006" s="34"/>
      <c r="AA2006" s="34"/>
      <c r="AB2006" s="34"/>
      <c r="AC2006" s="34"/>
      <c r="AD2006" s="34"/>
      <c r="AE2006" s="34"/>
      <c r="AF2006" s="34"/>
      <c r="AG2006" s="34"/>
      <c r="AH2006" s="34"/>
      <c r="AI2006" s="34"/>
      <c r="AJ2006" s="34"/>
      <c r="AK2006" s="34"/>
      <c r="AL2006" s="34"/>
      <c r="AM2006" s="34"/>
      <c r="AN2006" s="34"/>
      <c r="AO2006" s="34"/>
      <c r="AP2006" s="34"/>
      <c r="AQ2006" s="34"/>
      <c r="AR2006" s="34"/>
      <c r="AS2006" s="34"/>
      <c r="AT2006" s="34"/>
      <c r="AU2006" s="34"/>
      <c r="AV2006" s="34"/>
    </row>
    <row r="2007">
      <c r="A2007" s="34"/>
      <c r="B2007" s="34"/>
      <c r="C2007" s="34"/>
      <c r="D2007" s="34"/>
      <c r="E2007" s="34"/>
      <c r="F2007" s="34"/>
      <c r="G2007" s="34"/>
      <c r="H2007" s="34"/>
      <c r="I2007" s="34"/>
      <c r="J2007" s="34"/>
      <c r="K2007" s="34"/>
      <c r="L2007" s="34"/>
      <c r="M2007" s="34"/>
      <c r="N2007" s="34"/>
      <c r="O2007" s="34"/>
      <c r="P2007" s="34"/>
      <c r="Q2007" s="34"/>
      <c r="R2007" s="34"/>
      <c r="S2007" s="34"/>
      <c r="T2007" s="34"/>
      <c r="U2007" s="34"/>
      <c r="V2007" s="34"/>
      <c r="W2007" s="34"/>
      <c r="X2007" s="34"/>
      <c r="Y2007" s="34"/>
      <c r="Z2007" s="34"/>
      <c r="AA2007" s="34"/>
      <c r="AB2007" s="34"/>
      <c r="AC2007" s="34"/>
      <c r="AD2007" s="34"/>
      <c r="AE2007" s="34"/>
      <c r="AF2007" s="34"/>
      <c r="AG2007" s="34"/>
      <c r="AH2007" s="34"/>
      <c r="AI2007" s="34"/>
      <c r="AJ2007" s="34"/>
      <c r="AK2007" s="34"/>
      <c r="AL2007" s="34"/>
      <c r="AM2007" s="34"/>
      <c r="AN2007" s="34"/>
      <c r="AO2007" s="34"/>
      <c r="AP2007" s="34"/>
      <c r="AQ2007" s="34"/>
      <c r="AR2007" s="34"/>
      <c r="AS2007" s="34"/>
      <c r="AT2007" s="34"/>
      <c r="AU2007" s="34"/>
      <c r="AV2007" s="34"/>
    </row>
    <row r="2008">
      <c r="A2008" s="34"/>
      <c r="B2008" s="34"/>
      <c r="C2008" s="34"/>
      <c r="D2008" s="34"/>
      <c r="E2008" s="34"/>
      <c r="F2008" s="34"/>
      <c r="G2008" s="34"/>
      <c r="H2008" s="34"/>
      <c r="I2008" s="34"/>
      <c r="J2008" s="34"/>
      <c r="K2008" s="34"/>
      <c r="L2008" s="34"/>
      <c r="M2008" s="34"/>
      <c r="N2008" s="34"/>
      <c r="O2008" s="34"/>
      <c r="P2008" s="34"/>
      <c r="Q2008" s="34"/>
      <c r="R2008" s="34"/>
      <c r="S2008" s="34"/>
      <c r="T2008" s="34"/>
      <c r="U2008" s="34"/>
      <c r="V2008" s="34"/>
      <c r="W2008" s="34"/>
      <c r="X2008" s="34"/>
      <c r="Y2008" s="34"/>
      <c r="Z2008" s="34"/>
      <c r="AA2008" s="34"/>
      <c r="AB2008" s="34"/>
      <c r="AC2008" s="34"/>
      <c r="AD2008" s="34"/>
      <c r="AE2008" s="34"/>
      <c r="AF2008" s="34"/>
      <c r="AG2008" s="34"/>
      <c r="AH2008" s="34"/>
      <c r="AI2008" s="34"/>
      <c r="AJ2008" s="34"/>
      <c r="AK2008" s="34"/>
      <c r="AL2008" s="34"/>
      <c r="AM2008" s="34"/>
      <c r="AN2008" s="34"/>
      <c r="AO2008" s="34"/>
      <c r="AP2008" s="34"/>
      <c r="AQ2008" s="34"/>
      <c r="AR2008" s="34"/>
      <c r="AS2008" s="34"/>
      <c r="AT2008" s="34"/>
      <c r="AU2008" s="34"/>
      <c r="AV2008" s="34"/>
    </row>
    <row r="2009">
      <c r="A2009" s="34"/>
      <c r="B2009" s="34"/>
      <c r="C2009" s="34"/>
      <c r="D2009" s="34"/>
      <c r="E2009" s="34"/>
      <c r="F2009" s="34"/>
      <c r="G2009" s="34"/>
      <c r="H2009" s="34"/>
      <c r="I2009" s="34"/>
      <c r="J2009" s="34"/>
      <c r="K2009" s="34"/>
      <c r="L2009" s="34"/>
      <c r="M2009" s="34"/>
      <c r="N2009" s="34"/>
      <c r="O2009" s="34"/>
      <c r="P2009" s="34"/>
      <c r="Q2009" s="34"/>
      <c r="R2009" s="34"/>
      <c r="S2009" s="34"/>
      <c r="T2009" s="34"/>
      <c r="U2009" s="34"/>
      <c r="V2009" s="34"/>
      <c r="W2009" s="34"/>
      <c r="X2009" s="34"/>
      <c r="Y2009" s="34"/>
      <c r="Z2009" s="34"/>
      <c r="AA2009" s="34"/>
      <c r="AB2009" s="34"/>
      <c r="AC2009" s="34"/>
      <c r="AD2009" s="34"/>
      <c r="AE2009" s="34"/>
      <c r="AF2009" s="34"/>
      <c r="AG2009" s="34"/>
      <c r="AH2009" s="34"/>
      <c r="AI2009" s="34"/>
      <c r="AJ2009" s="34"/>
      <c r="AK2009" s="34"/>
      <c r="AL2009" s="34"/>
      <c r="AM2009" s="34"/>
      <c r="AN2009" s="34"/>
      <c r="AO2009" s="34"/>
      <c r="AP2009" s="34"/>
      <c r="AQ2009" s="34"/>
      <c r="AR2009" s="34"/>
      <c r="AS2009" s="34"/>
      <c r="AT2009" s="34"/>
      <c r="AU2009" s="34"/>
      <c r="AV2009" s="34"/>
    </row>
    <row r="2010">
      <c r="A2010" s="34"/>
      <c r="B2010" s="34"/>
      <c r="C2010" s="34"/>
      <c r="D2010" s="34"/>
      <c r="E2010" s="34"/>
      <c r="F2010" s="34"/>
      <c r="G2010" s="34"/>
      <c r="H2010" s="34"/>
      <c r="I2010" s="34"/>
      <c r="J2010" s="34"/>
      <c r="K2010" s="34"/>
      <c r="L2010" s="34"/>
      <c r="M2010" s="34"/>
      <c r="N2010" s="34"/>
      <c r="O2010" s="34"/>
      <c r="P2010" s="34"/>
      <c r="Q2010" s="34"/>
      <c r="R2010" s="34"/>
      <c r="S2010" s="34"/>
      <c r="T2010" s="34"/>
      <c r="U2010" s="34"/>
      <c r="V2010" s="34"/>
      <c r="W2010" s="34"/>
      <c r="X2010" s="34"/>
      <c r="Y2010" s="34"/>
      <c r="Z2010" s="34"/>
      <c r="AA2010" s="34"/>
      <c r="AB2010" s="34"/>
      <c r="AC2010" s="34"/>
      <c r="AD2010" s="34"/>
      <c r="AE2010" s="34"/>
      <c r="AF2010" s="34"/>
      <c r="AG2010" s="34"/>
      <c r="AH2010" s="34"/>
      <c r="AI2010" s="34"/>
      <c r="AJ2010" s="34"/>
      <c r="AK2010" s="34"/>
      <c r="AL2010" s="34"/>
      <c r="AM2010" s="34"/>
      <c r="AN2010" s="34"/>
      <c r="AO2010" s="34"/>
      <c r="AP2010" s="34"/>
      <c r="AQ2010" s="34"/>
      <c r="AR2010" s="34"/>
      <c r="AS2010" s="34"/>
      <c r="AT2010" s="34"/>
      <c r="AU2010" s="34"/>
      <c r="AV2010" s="34"/>
    </row>
    <row r="2011">
      <c r="A2011" s="34"/>
      <c r="B2011" s="34"/>
      <c r="C2011" s="34"/>
      <c r="D2011" s="34"/>
      <c r="E2011" s="34"/>
      <c r="F2011" s="34"/>
      <c r="G2011" s="34"/>
      <c r="H2011" s="34"/>
      <c r="I2011" s="34"/>
      <c r="J2011" s="34"/>
      <c r="K2011" s="34"/>
      <c r="L2011" s="34"/>
      <c r="M2011" s="34"/>
      <c r="N2011" s="34"/>
      <c r="O2011" s="34"/>
      <c r="P2011" s="34"/>
      <c r="Q2011" s="34"/>
      <c r="R2011" s="34"/>
      <c r="S2011" s="34"/>
      <c r="T2011" s="34"/>
      <c r="U2011" s="34"/>
      <c r="V2011" s="34"/>
      <c r="W2011" s="34"/>
      <c r="X2011" s="34"/>
      <c r="Y2011" s="34"/>
      <c r="Z2011" s="34"/>
      <c r="AA2011" s="34"/>
      <c r="AB2011" s="34"/>
      <c r="AC2011" s="34"/>
      <c r="AD2011" s="34"/>
      <c r="AE2011" s="34"/>
      <c r="AF2011" s="34"/>
      <c r="AG2011" s="34"/>
      <c r="AH2011" s="34"/>
      <c r="AI2011" s="34"/>
      <c r="AJ2011" s="34"/>
      <c r="AK2011" s="34"/>
      <c r="AL2011" s="34"/>
      <c r="AM2011" s="34"/>
      <c r="AN2011" s="34"/>
      <c r="AO2011" s="34"/>
      <c r="AP2011" s="34"/>
      <c r="AQ2011" s="34"/>
      <c r="AR2011" s="34"/>
      <c r="AS2011" s="34"/>
      <c r="AT2011" s="34"/>
      <c r="AU2011" s="34"/>
      <c r="AV2011" s="34"/>
    </row>
    <row r="2012">
      <c r="A2012" s="34"/>
      <c r="B2012" s="34"/>
      <c r="C2012" s="34"/>
      <c r="D2012" s="34"/>
      <c r="E2012" s="34"/>
      <c r="F2012" s="34"/>
      <c r="G2012" s="34"/>
      <c r="H2012" s="34"/>
      <c r="I2012" s="34"/>
      <c r="J2012" s="34"/>
      <c r="K2012" s="34"/>
      <c r="L2012" s="34"/>
      <c r="M2012" s="34"/>
      <c r="N2012" s="34"/>
      <c r="O2012" s="34"/>
      <c r="P2012" s="34"/>
      <c r="Q2012" s="34"/>
      <c r="R2012" s="34"/>
      <c r="S2012" s="34"/>
      <c r="T2012" s="34"/>
      <c r="U2012" s="34"/>
      <c r="V2012" s="34"/>
      <c r="W2012" s="34"/>
      <c r="X2012" s="34"/>
      <c r="Y2012" s="34"/>
      <c r="Z2012" s="34"/>
      <c r="AA2012" s="34"/>
      <c r="AB2012" s="34"/>
      <c r="AC2012" s="34"/>
      <c r="AD2012" s="34"/>
      <c r="AE2012" s="34"/>
      <c r="AF2012" s="34"/>
      <c r="AG2012" s="34"/>
      <c r="AH2012" s="34"/>
      <c r="AI2012" s="34"/>
      <c r="AJ2012" s="34"/>
      <c r="AK2012" s="34"/>
      <c r="AL2012" s="34"/>
      <c r="AM2012" s="34"/>
      <c r="AN2012" s="34"/>
      <c r="AO2012" s="34"/>
      <c r="AP2012" s="34"/>
      <c r="AQ2012" s="34"/>
      <c r="AR2012" s="34"/>
      <c r="AS2012" s="34"/>
      <c r="AT2012" s="34"/>
      <c r="AU2012" s="34"/>
      <c r="AV2012" s="34"/>
    </row>
    <row r="2013">
      <c r="A2013" s="34"/>
      <c r="B2013" s="34"/>
      <c r="C2013" s="34"/>
      <c r="D2013" s="34"/>
      <c r="E2013" s="34"/>
      <c r="F2013" s="34"/>
      <c r="G2013" s="34"/>
      <c r="H2013" s="34"/>
      <c r="I2013" s="34"/>
      <c r="J2013" s="34"/>
      <c r="K2013" s="34"/>
      <c r="L2013" s="34"/>
      <c r="M2013" s="34"/>
      <c r="N2013" s="34"/>
      <c r="O2013" s="34"/>
      <c r="P2013" s="34"/>
      <c r="Q2013" s="34"/>
      <c r="R2013" s="34"/>
      <c r="S2013" s="34"/>
      <c r="T2013" s="34"/>
      <c r="U2013" s="34"/>
      <c r="V2013" s="34"/>
      <c r="W2013" s="34"/>
      <c r="X2013" s="34"/>
      <c r="Y2013" s="34"/>
      <c r="Z2013" s="34"/>
      <c r="AA2013" s="34"/>
      <c r="AB2013" s="34"/>
      <c r="AC2013" s="34"/>
      <c r="AD2013" s="34"/>
      <c r="AE2013" s="34"/>
      <c r="AF2013" s="34"/>
      <c r="AG2013" s="34"/>
      <c r="AH2013" s="34"/>
      <c r="AI2013" s="34"/>
      <c r="AJ2013" s="34"/>
      <c r="AK2013" s="34"/>
      <c r="AL2013" s="34"/>
      <c r="AM2013" s="34"/>
      <c r="AN2013" s="34"/>
      <c r="AO2013" s="34"/>
      <c r="AP2013" s="34"/>
      <c r="AQ2013" s="34"/>
      <c r="AR2013" s="34"/>
      <c r="AS2013" s="34"/>
      <c r="AT2013" s="34"/>
      <c r="AU2013" s="34"/>
      <c r="AV2013" s="34"/>
    </row>
    <row r="2014">
      <c r="A2014" s="34"/>
      <c r="B2014" s="34"/>
      <c r="C2014" s="34"/>
      <c r="D2014" s="34"/>
      <c r="E2014" s="34"/>
      <c r="F2014" s="34"/>
      <c r="G2014" s="34"/>
      <c r="H2014" s="34"/>
      <c r="I2014" s="34"/>
      <c r="J2014" s="34"/>
      <c r="K2014" s="34"/>
      <c r="L2014" s="34"/>
      <c r="M2014" s="34"/>
      <c r="N2014" s="34"/>
      <c r="O2014" s="34"/>
      <c r="P2014" s="34"/>
      <c r="Q2014" s="34"/>
      <c r="R2014" s="34"/>
      <c r="S2014" s="34"/>
      <c r="T2014" s="34"/>
      <c r="U2014" s="34"/>
      <c r="V2014" s="34"/>
      <c r="W2014" s="34"/>
      <c r="X2014" s="34"/>
      <c r="Y2014" s="34"/>
      <c r="Z2014" s="34"/>
      <c r="AA2014" s="34"/>
      <c r="AB2014" s="34"/>
      <c r="AC2014" s="34"/>
      <c r="AD2014" s="34"/>
      <c r="AE2014" s="34"/>
      <c r="AF2014" s="34"/>
      <c r="AG2014" s="34"/>
      <c r="AH2014" s="34"/>
      <c r="AI2014" s="34"/>
      <c r="AJ2014" s="34"/>
      <c r="AK2014" s="34"/>
      <c r="AL2014" s="34"/>
      <c r="AM2014" s="34"/>
      <c r="AN2014" s="34"/>
      <c r="AO2014" s="34"/>
      <c r="AP2014" s="34"/>
      <c r="AQ2014" s="34"/>
      <c r="AR2014" s="34"/>
      <c r="AS2014" s="34"/>
      <c r="AT2014" s="34"/>
      <c r="AU2014" s="34"/>
      <c r="AV2014" s="34"/>
    </row>
    <row r="2015">
      <c r="A2015" s="34"/>
      <c r="B2015" s="34"/>
      <c r="C2015" s="34"/>
      <c r="D2015" s="34"/>
      <c r="E2015" s="34"/>
      <c r="F2015" s="34"/>
      <c r="G2015" s="34"/>
      <c r="H2015" s="34"/>
      <c r="I2015" s="34"/>
      <c r="J2015" s="34"/>
      <c r="K2015" s="34"/>
      <c r="L2015" s="34"/>
      <c r="M2015" s="34"/>
      <c r="N2015" s="34"/>
      <c r="O2015" s="34"/>
      <c r="P2015" s="34"/>
      <c r="Q2015" s="34"/>
      <c r="R2015" s="34"/>
      <c r="S2015" s="34"/>
      <c r="T2015" s="34"/>
      <c r="U2015" s="34"/>
      <c r="V2015" s="34"/>
      <c r="W2015" s="34"/>
      <c r="X2015" s="34"/>
      <c r="Y2015" s="34"/>
      <c r="Z2015" s="34"/>
      <c r="AA2015" s="34"/>
      <c r="AB2015" s="34"/>
      <c r="AC2015" s="34"/>
      <c r="AD2015" s="34"/>
      <c r="AE2015" s="34"/>
      <c r="AF2015" s="34"/>
      <c r="AG2015" s="34"/>
      <c r="AH2015" s="34"/>
      <c r="AI2015" s="34"/>
      <c r="AJ2015" s="34"/>
      <c r="AK2015" s="34"/>
      <c r="AL2015" s="34"/>
      <c r="AM2015" s="34"/>
      <c r="AN2015" s="34"/>
      <c r="AO2015" s="34"/>
      <c r="AP2015" s="34"/>
      <c r="AQ2015" s="34"/>
      <c r="AR2015" s="34"/>
      <c r="AS2015" s="34"/>
      <c r="AT2015" s="34"/>
      <c r="AU2015" s="34"/>
      <c r="AV2015" s="34"/>
    </row>
    <row r="2016">
      <c r="A2016" s="34"/>
      <c r="B2016" s="34"/>
      <c r="C2016" s="34"/>
      <c r="D2016" s="34"/>
      <c r="E2016" s="34"/>
      <c r="F2016" s="34"/>
      <c r="G2016" s="34"/>
      <c r="H2016" s="34"/>
      <c r="I2016" s="34"/>
      <c r="J2016" s="34"/>
      <c r="K2016" s="34"/>
      <c r="L2016" s="34"/>
      <c r="M2016" s="34"/>
      <c r="N2016" s="34"/>
      <c r="O2016" s="34"/>
      <c r="P2016" s="34"/>
      <c r="Q2016" s="34"/>
      <c r="R2016" s="34"/>
      <c r="S2016" s="34"/>
      <c r="T2016" s="34"/>
      <c r="U2016" s="34"/>
      <c r="V2016" s="34"/>
      <c r="W2016" s="34"/>
      <c r="X2016" s="34"/>
      <c r="Y2016" s="34"/>
      <c r="Z2016" s="34"/>
      <c r="AA2016" s="34"/>
      <c r="AB2016" s="34"/>
      <c r="AC2016" s="34"/>
      <c r="AD2016" s="34"/>
      <c r="AE2016" s="34"/>
      <c r="AF2016" s="34"/>
      <c r="AG2016" s="34"/>
      <c r="AH2016" s="34"/>
      <c r="AI2016" s="34"/>
      <c r="AJ2016" s="34"/>
      <c r="AK2016" s="34"/>
      <c r="AL2016" s="34"/>
      <c r="AM2016" s="34"/>
      <c r="AN2016" s="34"/>
      <c r="AO2016" s="34"/>
      <c r="AP2016" s="34"/>
      <c r="AQ2016" s="34"/>
      <c r="AR2016" s="34"/>
      <c r="AS2016" s="34"/>
      <c r="AT2016" s="34"/>
      <c r="AU2016" s="34"/>
      <c r="AV2016" s="34"/>
    </row>
    <row r="2017">
      <c r="A2017" s="34"/>
      <c r="B2017" s="34"/>
      <c r="C2017" s="34"/>
      <c r="D2017" s="34"/>
      <c r="E2017" s="34"/>
      <c r="F2017" s="34"/>
      <c r="G2017" s="34"/>
      <c r="H2017" s="34"/>
      <c r="I2017" s="34"/>
      <c r="J2017" s="34"/>
      <c r="K2017" s="34"/>
      <c r="L2017" s="34"/>
      <c r="M2017" s="34"/>
      <c r="N2017" s="34"/>
      <c r="O2017" s="34"/>
      <c r="P2017" s="34"/>
      <c r="Q2017" s="34"/>
      <c r="R2017" s="34"/>
      <c r="S2017" s="34"/>
      <c r="T2017" s="34"/>
      <c r="U2017" s="34"/>
      <c r="V2017" s="34"/>
      <c r="W2017" s="34"/>
      <c r="X2017" s="34"/>
      <c r="Y2017" s="34"/>
      <c r="Z2017" s="34"/>
      <c r="AA2017" s="34"/>
      <c r="AB2017" s="34"/>
      <c r="AC2017" s="34"/>
      <c r="AD2017" s="34"/>
      <c r="AE2017" s="34"/>
      <c r="AF2017" s="34"/>
      <c r="AG2017" s="34"/>
      <c r="AH2017" s="34"/>
      <c r="AI2017" s="34"/>
      <c r="AJ2017" s="34"/>
      <c r="AK2017" s="34"/>
      <c r="AL2017" s="34"/>
      <c r="AM2017" s="34"/>
      <c r="AN2017" s="34"/>
      <c r="AO2017" s="34"/>
      <c r="AP2017" s="34"/>
      <c r="AQ2017" s="34"/>
      <c r="AR2017" s="34"/>
      <c r="AS2017" s="34"/>
      <c r="AT2017" s="34"/>
      <c r="AU2017" s="34"/>
      <c r="AV2017" s="34"/>
    </row>
    <row r="2018">
      <c r="A2018" s="34"/>
      <c r="B2018" s="34"/>
      <c r="C2018" s="34"/>
      <c r="D2018" s="34"/>
      <c r="E2018" s="34"/>
      <c r="F2018" s="34"/>
      <c r="G2018" s="34"/>
      <c r="H2018" s="34"/>
      <c r="I2018" s="34"/>
      <c r="J2018" s="34"/>
      <c r="K2018" s="34"/>
      <c r="L2018" s="34"/>
      <c r="M2018" s="34"/>
      <c r="N2018" s="34"/>
      <c r="O2018" s="34"/>
      <c r="P2018" s="34"/>
      <c r="Q2018" s="34"/>
      <c r="R2018" s="34"/>
      <c r="S2018" s="34"/>
      <c r="T2018" s="34"/>
      <c r="U2018" s="34"/>
      <c r="V2018" s="34"/>
      <c r="W2018" s="34"/>
      <c r="X2018" s="34"/>
      <c r="Y2018" s="34"/>
      <c r="Z2018" s="34"/>
      <c r="AA2018" s="34"/>
      <c r="AB2018" s="34"/>
      <c r="AC2018" s="34"/>
      <c r="AD2018" s="34"/>
      <c r="AE2018" s="34"/>
      <c r="AF2018" s="34"/>
      <c r="AG2018" s="34"/>
      <c r="AH2018" s="34"/>
      <c r="AI2018" s="34"/>
      <c r="AJ2018" s="34"/>
      <c r="AK2018" s="34"/>
      <c r="AL2018" s="34"/>
      <c r="AM2018" s="34"/>
      <c r="AN2018" s="34"/>
      <c r="AO2018" s="34"/>
      <c r="AP2018" s="34"/>
      <c r="AQ2018" s="34"/>
      <c r="AR2018" s="34"/>
      <c r="AS2018" s="34"/>
      <c r="AT2018" s="34"/>
      <c r="AU2018" s="34"/>
      <c r="AV2018" s="34"/>
    </row>
    <row r="2019">
      <c r="A2019" s="34"/>
      <c r="B2019" s="34"/>
      <c r="C2019" s="34"/>
      <c r="D2019" s="34"/>
      <c r="E2019" s="34"/>
      <c r="F2019" s="34"/>
      <c r="G2019" s="34"/>
      <c r="H2019" s="34"/>
      <c r="I2019" s="34"/>
      <c r="J2019" s="34"/>
      <c r="K2019" s="34"/>
      <c r="L2019" s="34"/>
      <c r="M2019" s="34"/>
      <c r="N2019" s="34"/>
      <c r="O2019" s="34"/>
      <c r="P2019" s="34"/>
      <c r="Q2019" s="34"/>
      <c r="R2019" s="34"/>
      <c r="S2019" s="34"/>
      <c r="T2019" s="34"/>
      <c r="U2019" s="34"/>
      <c r="V2019" s="34"/>
      <c r="W2019" s="34"/>
      <c r="X2019" s="34"/>
      <c r="Y2019" s="34"/>
      <c r="Z2019" s="34"/>
      <c r="AA2019" s="34"/>
      <c r="AB2019" s="34"/>
      <c r="AC2019" s="34"/>
      <c r="AD2019" s="34"/>
      <c r="AE2019" s="34"/>
      <c r="AF2019" s="34"/>
      <c r="AG2019" s="34"/>
      <c r="AH2019" s="34"/>
      <c r="AI2019" s="34"/>
      <c r="AJ2019" s="34"/>
      <c r="AK2019" s="34"/>
      <c r="AL2019" s="34"/>
      <c r="AM2019" s="34"/>
      <c r="AN2019" s="34"/>
      <c r="AO2019" s="34"/>
      <c r="AP2019" s="34"/>
      <c r="AQ2019" s="34"/>
      <c r="AR2019" s="34"/>
      <c r="AS2019" s="34"/>
      <c r="AT2019" s="34"/>
      <c r="AU2019" s="34"/>
      <c r="AV2019" s="34"/>
    </row>
    <row r="2020">
      <c r="A2020" s="34"/>
      <c r="B2020" s="34"/>
      <c r="C2020" s="34"/>
      <c r="D2020" s="34"/>
      <c r="E2020" s="34"/>
      <c r="F2020" s="34"/>
      <c r="G2020" s="34"/>
      <c r="H2020" s="34"/>
      <c r="I2020" s="34"/>
      <c r="J2020" s="34"/>
      <c r="K2020" s="34"/>
      <c r="L2020" s="34"/>
      <c r="M2020" s="34"/>
      <c r="N2020" s="34"/>
      <c r="O2020" s="34"/>
      <c r="P2020" s="34"/>
      <c r="Q2020" s="34"/>
      <c r="R2020" s="34"/>
      <c r="S2020" s="34"/>
      <c r="T2020" s="34"/>
      <c r="U2020" s="34"/>
      <c r="V2020" s="34"/>
      <c r="W2020" s="34"/>
      <c r="X2020" s="34"/>
      <c r="Y2020" s="34"/>
      <c r="Z2020" s="34"/>
      <c r="AA2020" s="34"/>
      <c r="AB2020" s="34"/>
      <c r="AC2020" s="34"/>
      <c r="AD2020" s="34"/>
      <c r="AE2020" s="34"/>
      <c r="AF2020" s="34"/>
      <c r="AG2020" s="34"/>
      <c r="AH2020" s="34"/>
      <c r="AI2020" s="34"/>
      <c r="AJ2020" s="34"/>
      <c r="AK2020" s="34"/>
      <c r="AL2020" s="34"/>
      <c r="AM2020" s="34"/>
      <c r="AN2020" s="34"/>
      <c r="AO2020" s="34"/>
      <c r="AP2020" s="34"/>
      <c r="AQ2020" s="34"/>
      <c r="AR2020" s="34"/>
      <c r="AS2020" s="34"/>
      <c r="AT2020" s="34"/>
      <c r="AU2020" s="34"/>
      <c r="AV2020" s="34"/>
    </row>
    <row r="2021">
      <c r="A2021" s="34"/>
      <c r="B2021" s="34"/>
      <c r="C2021" s="34"/>
      <c r="D2021" s="34"/>
      <c r="E2021" s="34"/>
      <c r="F2021" s="34"/>
      <c r="G2021" s="34"/>
      <c r="H2021" s="34"/>
      <c r="I2021" s="34"/>
      <c r="J2021" s="34"/>
      <c r="K2021" s="34"/>
      <c r="L2021" s="34"/>
      <c r="M2021" s="34"/>
      <c r="N2021" s="34"/>
      <c r="O2021" s="34"/>
      <c r="P2021" s="34"/>
      <c r="Q2021" s="34"/>
      <c r="R2021" s="34"/>
      <c r="S2021" s="34"/>
      <c r="T2021" s="34"/>
      <c r="U2021" s="34"/>
      <c r="V2021" s="34"/>
      <c r="W2021" s="34"/>
      <c r="X2021" s="34"/>
      <c r="Y2021" s="34"/>
      <c r="Z2021" s="34"/>
      <c r="AA2021" s="34"/>
      <c r="AB2021" s="34"/>
      <c r="AC2021" s="34"/>
      <c r="AD2021" s="34"/>
      <c r="AE2021" s="34"/>
      <c r="AF2021" s="34"/>
      <c r="AG2021" s="34"/>
      <c r="AH2021" s="34"/>
      <c r="AI2021" s="34"/>
      <c r="AJ2021" s="34"/>
      <c r="AK2021" s="34"/>
      <c r="AL2021" s="34"/>
      <c r="AM2021" s="34"/>
      <c r="AN2021" s="34"/>
      <c r="AO2021" s="34"/>
      <c r="AP2021" s="34"/>
      <c r="AQ2021" s="34"/>
      <c r="AR2021" s="34"/>
      <c r="AS2021" s="34"/>
      <c r="AT2021" s="34"/>
      <c r="AU2021" s="34"/>
      <c r="AV2021" s="34"/>
    </row>
    <row r="2022">
      <c r="A2022" s="34"/>
      <c r="B2022" s="34"/>
      <c r="C2022" s="34"/>
      <c r="D2022" s="34"/>
      <c r="E2022" s="34"/>
      <c r="F2022" s="34"/>
      <c r="G2022" s="34"/>
      <c r="H2022" s="34"/>
      <c r="I2022" s="34"/>
      <c r="J2022" s="34"/>
      <c r="K2022" s="34"/>
      <c r="L2022" s="34"/>
      <c r="M2022" s="34"/>
      <c r="N2022" s="34"/>
      <c r="O2022" s="34"/>
      <c r="P2022" s="34"/>
      <c r="Q2022" s="34"/>
      <c r="R2022" s="34"/>
      <c r="S2022" s="34"/>
      <c r="T2022" s="34"/>
      <c r="U2022" s="34"/>
      <c r="V2022" s="34"/>
      <c r="W2022" s="34"/>
      <c r="X2022" s="34"/>
      <c r="Y2022" s="34"/>
      <c r="Z2022" s="34"/>
      <c r="AA2022" s="34"/>
      <c r="AB2022" s="34"/>
      <c r="AC2022" s="34"/>
      <c r="AD2022" s="34"/>
      <c r="AE2022" s="34"/>
      <c r="AF2022" s="34"/>
      <c r="AG2022" s="34"/>
      <c r="AH2022" s="34"/>
      <c r="AI2022" s="34"/>
      <c r="AJ2022" s="34"/>
      <c r="AK2022" s="34"/>
      <c r="AL2022" s="34"/>
      <c r="AM2022" s="34"/>
      <c r="AN2022" s="34"/>
      <c r="AO2022" s="34"/>
      <c r="AP2022" s="34"/>
      <c r="AQ2022" s="34"/>
      <c r="AR2022" s="34"/>
      <c r="AS2022" s="34"/>
      <c r="AT2022" s="34"/>
      <c r="AU2022" s="34"/>
      <c r="AV2022" s="34"/>
    </row>
    <row r="2023">
      <c r="A2023" s="34"/>
      <c r="B2023" s="34"/>
      <c r="C2023" s="34"/>
      <c r="D2023" s="34"/>
      <c r="E2023" s="34"/>
      <c r="F2023" s="34"/>
      <c r="G2023" s="34"/>
      <c r="H2023" s="34"/>
      <c r="I2023" s="34"/>
      <c r="J2023" s="34"/>
      <c r="K2023" s="34"/>
      <c r="L2023" s="34"/>
      <c r="M2023" s="34"/>
      <c r="N2023" s="34"/>
      <c r="O2023" s="34"/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/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/>
      <c r="AN2023" s="34"/>
      <c r="AO2023" s="34"/>
      <c r="AP2023" s="34"/>
      <c r="AQ2023" s="34"/>
      <c r="AR2023" s="34"/>
      <c r="AS2023" s="34"/>
      <c r="AT2023" s="34"/>
      <c r="AU2023" s="34"/>
      <c r="AV2023" s="34"/>
    </row>
    <row r="2024">
      <c r="A2024" s="34"/>
      <c r="B2024" s="34"/>
      <c r="C2024" s="34"/>
      <c r="D2024" s="34"/>
      <c r="E2024" s="34"/>
      <c r="F2024" s="34"/>
      <c r="G2024" s="34"/>
      <c r="H2024" s="34"/>
      <c r="I2024" s="34"/>
      <c r="J2024" s="34"/>
      <c r="K2024" s="34"/>
      <c r="L2024" s="34"/>
      <c r="M2024" s="34"/>
      <c r="N2024" s="34"/>
      <c r="O2024" s="34"/>
      <c r="P2024" s="34"/>
      <c r="Q2024" s="34"/>
      <c r="R2024" s="34"/>
      <c r="S2024" s="34"/>
      <c r="T2024" s="34"/>
      <c r="U2024" s="34"/>
      <c r="V2024" s="34"/>
      <c r="W2024" s="34"/>
      <c r="X2024" s="34"/>
      <c r="Y2024" s="34"/>
      <c r="Z2024" s="34"/>
      <c r="AA2024" s="34"/>
      <c r="AB2024" s="34"/>
      <c r="AC2024" s="34"/>
      <c r="AD2024" s="34"/>
      <c r="AE2024" s="34"/>
      <c r="AF2024" s="34"/>
      <c r="AG2024" s="34"/>
      <c r="AH2024" s="34"/>
      <c r="AI2024" s="34"/>
      <c r="AJ2024" s="34"/>
      <c r="AK2024" s="34"/>
      <c r="AL2024" s="34"/>
      <c r="AM2024" s="34"/>
      <c r="AN2024" s="34"/>
      <c r="AO2024" s="34"/>
      <c r="AP2024" s="34"/>
      <c r="AQ2024" s="34"/>
      <c r="AR2024" s="34"/>
      <c r="AS2024" s="34"/>
      <c r="AT2024" s="34"/>
      <c r="AU2024" s="34"/>
      <c r="AV2024" s="34"/>
    </row>
    <row r="2025">
      <c r="A2025" s="34"/>
      <c r="B2025" s="34"/>
      <c r="C2025" s="34"/>
      <c r="D2025" s="34"/>
      <c r="E2025" s="34"/>
      <c r="F2025" s="34"/>
      <c r="G2025" s="34"/>
      <c r="H2025" s="34"/>
      <c r="I2025" s="34"/>
      <c r="J2025" s="34"/>
      <c r="K2025" s="34"/>
      <c r="L2025" s="34"/>
      <c r="M2025" s="34"/>
      <c r="N2025" s="34"/>
      <c r="O2025" s="34"/>
      <c r="P2025" s="34"/>
      <c r="Q2025" s="34"/>
      <c r="R2025" s="34"/>
      <c r="S2025" s="34"/>
      <c r="T2025" s="34"/>
      <c r="U2025" s="34"/>
      <c r="V2025" s="34"/>
      <c r="W2025" s="34"/>
      <c r="X2025" s="34"/>
      <c r="Y2025" s="34"/>
      <c r="Z2025" s="34"/>
      <c r="AA2025" s="34"/>
      <c r="AB2025" s="34"/>
      <c r="AC2025" s="34"/>
      <c r="AD2025" s="34"/>
      <c r="AE2025" s="34"/>
      <c r="AF2025" s="34"/>
      <c r="AG2025" s="34"/>
      <c r="AH2025" s="34"/>
      <c r="AI2025" s="34"/>
      <c r="AJ2025" s="34"/>
      <c r="AK2025" s="34"/>
      <c r="AL2025" s="34"/>
      <c r="AM2025" s="34"/>
      <c r="AN2025" s="34"/>
      <c r="AO2025" s="34"/>
      <c r="AP2025" s="34"/>
      <c r="AQ2025" s="34"/>
      <c r="AR2025" s="34"/>
      <c r="AS2025" s="34"/>
      <c r="AT2025" s="34"/>
      <c r="AU2025" s="34"/>
      <c r="AV2025" s="34"/>
    </row>
    <row r="2026">
      <c r="A2026" s="34"/>
      <c r="B2026" s="34"/>
      <c r="C2026" s="34"/>
      <c r="D2026" s="34"/>
      <c r="E2026" s="34"/>
      <c r="F2026" s="34"/>
      <c r="G2026" s="34"/>
      <c r="H2026" s="34"/>
      <c r="I2026" s="34"/>
      <c r="J2026" s="34"/>
      <c r="K2026" s="34"/>
      <c r="L2026" s="34"/>
      <c r="M2026" s="34"/>
      <c r="N2026" s="34"/>
      <c r="O2026" s="34"/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/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/>
      <c r="AN2026" s="34"/>
      <c r="AO2026" s="34"/>
      <c r="AP2026" s="34"/>
      <c r="AQ2026" s="34"/>
      <c r="AR2026" s="34"/>
      <c r="AS2026" s="34"/>
      <c r="AT2026" s="34"/>
      <c r="AU2026" s="34"/>
      <c r="AV2026" s="34"/>
    </row>
    <row r="2027">
      <c r="A2027" s="34"/>
      <c r="B2027" s="34"/>
      <c r="C2027" s="34"/>
      <c r="D2027" s="34"/>
      <c r="E2027" s="34"/>
      <c r="F2027" s="34"/>
      <c r="G2027" s="34"/>
      <c r="H2027" s="34"/>
      <c r="I2027" s="34"/>
      <c r="J2027" s="34"/>
      <c r="K2027" s="34"/>
      <c r="L2027" s="34"/>
      <c r="M2027" s="34"/>
      <c r="N2027" s="34"/>
      <c r="O2027" s="34"/>
      <c r="P2027" s="34"/>
      <c r="Q2027" s="34"/>
      <c r="R2027" s="34"/>
      <c r="S2027" s="34"/>
      <c r="T2027" s="34"/>
      <c r="U2027" s="34"/>
      <c r="V2027" s="34"/>
      <c r="W2027" s="34"/>
      <c r="X2027" s="34"/>
      <c r="Y2027" s="34"/>
      <c r="Z2027" s="34"/>
      <c r="AA2027" s="34"/>
      <c r="AB2027" s="34"/>
      <c r="AC2027" s="34"/>
      <c r="AD2027" s="34"/>
      <c r="AE2027" s="34"/>
      <c r="AF2027" s="34"/>
      <c r="AG2027" s="34"/>
      <c r="AH2027" s="34"/>
      <c r="AI2027" s="34"/>
      <c r="AJ2027" s="34"/>
      <c r="AK2027" s="34"/>
      <c r="AL2027" s="34"/>
      <c r="AM2027" s="34"/>
      <c r="AN2027" s="34"/>
      <c r="AO2027" s="34"/>
      <c r="AP2027" s="34"/>
      <c r="AQ2027" s="34"/>
      <c r="AR2027" s="34"/>
      <c r="AS2027" s="34"/>
      <c r="AT2027" s="34"/>
      <c r="AU2027" s="34"/>
      <c r="AV2027" s="34"/>
    </row>
    <row r="2028">
      <c r="A2028" s="34"/>
      <c r="B2028" s="34"/>
      <c r="C2028" s="34"/>
      <c r="D2028" s="34"/>
      <c r="E2028" s="34"/>
      <c r="F2028" s="34"/>
      <c r="G2028" s="34"/>
      <c r="H2028" s="34"/>
      <c r="I2028" s="34"/>
      <c r="J2028" s="34"/>
      <c r="K2028" s="34"/>
      <c r="L2028" s="34"/>
      <c r="M2028" s="34"/>
      <c r="N2028" s="34"/>
      <c r="O2028" s="34"/>
      <c r="P2028" s="34"/>
      <c r="Q2028" s="34"/>
      <c r="R2028" s="34"/>
      <c r="S2028" s="34"/>
      <c r="T2028" s="34"/>
      <c r="U2028" s="34"/>
      <c r="V2028" s="34"/>
      <c r="W2028" s="34"/>
      <c r="X2028" s="34"/>
      <c r="Y2028" s="34"/>
      <c r="Z2028" s="34"/>
      <c r="AA2028" s="34"/>
      <c r="AB2028" s="34"/>
      <c r="AC2028" s="34"/>
      <c r="AD2028" s="34"/>
      <c r="AE2028" s="34"/>
      <c r="AF2028" s="34"/>
      <c r="AG2028" s="34"/>
      <c r="AH2028" s="34"/>
      <c r="AI2028" s="34"/>
      <c r="AJ2028" s="34"/>
      <c r="AK2028" s="34"/>
      <c r="AL2028" s="34"/>
      <c r="AM2028" s="34"/>
      <c r="AN2028" s="34"/>
      <c r="AO2028" s="34"/>
      <c r="AP2028" s="34"/>
      <c r="AQ2028" s="34"/>
      <c r="AR2028" s="34"/>
      <c r="AS2028" s="34"/>
      <c r="AT2028" s="34"/>
      <c r="AU2028" s="34"/>
      <c r="AV2028" s="34"/>
    </row>
    <row r="2029">
      <c r="A2029" s="34"/>
      <c r="B2029" s="34"/>
      <c r="C2029" s="34"/>
      <c r="D2029" s="34"/>
      <c r="E2029" s="34"/>
      <c r="F2029" s="34"/>
      <c r="G2029" s="34"/>
      <c r="H2029" s="34"/>
      <c r="I2029" s="34"/>
      <c r="J2029" s="34"/>
      <c r="K2029" s="34"/>
      <c r="L2029" s="34"/>
      <c r="M2029" s="34"/>
      <c r="N2029" s="34"/>
      <c r="O2029" s="34"/>
      <c r="P2029" s="34"/>
      <c r="Q2029" s="34"/>
      <c r="R2029" s="34"/>
      <c r="S2029" s="34"/>
      <c r="T2029" s="34"/>
      <c r="U2029" s="34"/>
      <c r="V2029" s="34"/>
      <c r="W2029" s="34"/>
      <c r="X2029" s="34"/>
      <c r="Y2029" s="34"/>
      <c r="Z2029" s="34"/>
      <c r="AA2029" s="34"/>
      <c r="AB2029" s="34"/>
      <c r="AC2029" s="34"/>
      <c r="AD2029" s="34"/>
      <c r="AE2029" s="34"/>
      <c r="AF2029" s="34"/>
      <c r="AG2029" s="34"/>
      <c r="AH2029" s="34"/>
      <c r="AI2029" s="34"/>
      <c r="AJ2029" s="34"/>
      <c r="AK2029" s="34"/>
      <c r="AL2029" s="34"/>
      <c r="AM2029" s="34"/>
      <c r="AN2029" s="34"/>
      <c r="AO2029" s="34"/>
      <c r="AP2029" s="34"/>
      <c r="AQ2029" s="34"/>
      <c r="AR2029" s="34"/>
      <c r="AS2029" s="34"/>
      <c r="AT2029" s="34"/>
      <c r="AU2029" s="34"/>
      <c r="AV2029" s="34"/>
    </row>
    <row r="2030">
      <c r="A2030" s="34"/>
      <c r="B2030" s="34"/>
      <c r="C2030" s="34"/>
      <c r="D2030" s="34"/>
      <c r="E2030" s="34"/>
      <c r="F2030" s="34"/>
      <c r="G2030" s="34"/>
      <c r="H2030" s="34"/>
      <c r="I2030" s="34"/>
      <c r="J2030" s="34"/>
      <c r="K2030" s="34"/>
      <c r="L2030" s="34"/>
      <c r="M2030" s="34"/>
      <c r="N2030" s="34"/>
      <c r="O2030" s="34"/>
      <c r="P2030" s="34"/>
      <c r="Q2030" s="34"/>
      <c r="R2030" s="34"/>
      <c r="S2030" s="34"/>
      <c r="T2030" s="34"/>
      <c r="U2030" s="34"/>
      <c r="V2030" s="34"/>
      <c r="W2030" s="34"/>
      <c r="X2030" s="34"/>
      <c r="Y2030" s="34"/>
      <c r="Z2030" s="34"/>
      <c r="AA2030" s="34"/>
      <c r="AB2030" s="34"/>
      <c r="AC2030" s="34"/>
      <c r="AD2030" s="34"/>
      <c r="AE2030" s="34"/>
      <c r="AF2030" s="34"/>
      <c r="AG2030" s="34"/>
      <c r="AH2030" s="34"/>
      <c r="AI2030" s="34"/>
      <c r="AJ2030" s="34"/>
      <c r="AK2030" s="34"/>
      <c r="AL2030" s="34"/>
      <c r="AM2030" s="34"/>
      <c r="AN2030" s="34"/>
      <c r="AO2030" s="34"/>
      <c r="AP2030" s="34"/>
      <c r="AQ2030" s="34"/>
      <c r="AR2030" s="34"/>
      <c r="AS2030" s="34"/>
      <c r="AT2030" s="34"/>
      <c r="AU2030" s="34"/>
      <c r="AV2030" s="34"/>
    </row>
    <row r="2031">
      <c r="A2031" s="34"/>
      <c r="B2031" s="34"/>
      <c r="C2031" s="34"/>
      <c r="D2031" s="34"/>
      <c r="E2031" s="34"/>
      <c r="F2031" s="34"/>
      <c r="G2031" s="34"/>
      <c r="H2031" s="34"/>
      <c r="I2031" s="34"/>
      <c r="J2031" s="34"/>
      <c r="K2031" s="34"/>
      <c r="L2031" s="34"/>
      <c r="M2031" s="34"/>
      <c r="N2031" s="34"/>
      <c r="O2031" s="34"/>
      <c r="P2031" s="34"/>
      <c r="Q2031" s="34"/>
      <c r="R2031" s="34"/>
      <c r="S2031" s="34"/>
      <c r="T2031" s="34"/>
      <c r="U2031" s="34"/>
      <c r="V2031" s="34"/>
      <c r="W2031" s="34"/>
      <c r="X2031" s="34"/>
      <c r="Y2031" s="34"/>
      <c r="Z2031" s="34"/>
      <c r="AA2031" s="34"/>
      <c r="AB2031" s="34"/>
      <c r="AC2031" s="34"/>
      <c r="AD2031" s="34"/>
      <c r="AE2031" s="34"/>
      <c r="AF2031" s="34"/>
      <c r="AG2031" s="34"/>
      <c r="AH2031" s="34"/>
      <c r="AI2031" s="34"/>
      <c r="AJ2031" s="34"/>
      <c r="AK2031" s="34"/>
      <c r="AL2031" s="34"/>
      <c r="AM2031" s="34"/>
      <c r="AN2031" s="34"/>
      <c r="AO2031" s="34"/>
      <c r="AP2031" s="34"/>
      <c r="AQ2031" s="34"/>
      <c r="AR2031" s="34"/>
      <c r="AS2031" s="34"/>
      <c r="AT2031" s="34"/>
      <c r="AU2031" s="34"/>
      <c r="AV2031" s="34"/>
    </row>
    <row r="2032">
      <c r="A2032" s="34"/>
      <c r="B2032" s="34"/>
      <c r="C2032" s="34"/>
      <c r="D2032" s="34"/>
      <c r="E2032" s="34"/>
      <c r="F2032" s="34"/>
      <c r="G2032" s="34"/>
      <c r="H2032" s="34"/>
      <c r="I2032" s="34"/>
      <c r="J2032" s="34"/>
      <c r="K2032" s="34"/>
      <c r="L2032" s="34"/>
      <c r="M2032" s="34"/>
      <c r="N2032" s="34"/>
      <c r="O2032" s="34"/>
      <c r="P2032" s="34"/>
      <c r="Q2032" s="34"/>
      <c r="R2032" s="34"/>
      <c r="S2032" s="34"/>
      <c r="T2032" s="34"/>
      <c r="U2032" s="34"/>
      <c r="V2032" s="34"/>
      <c r="W2032" s="34"/>
      <c r="X2032" s="34"/>
      <c r="Y2032" s="34"/>
      <c r="Z2032" s="34"/>
      <c r="AA2032" s="34"/>
      <c r="AB2032" s="34"/>
      <c r="AC2032" s="34"/>
      <c r="AD2032" s="34"/>
      <c r="AE2032" s="34"/>
      <c r="AF2032" s="34"/>
      <c r="AG2032" s="34"/>
      <c r="AH2032" s="34"/>
      <c r="AI2032" s="34"/>
      <c r="AJ2032" s="34"/>
      <c r="AK2032" s="34"/>
      <c r="AL2032" s="34"/>
      <c r="AM2032" s="34"/>
      <c r="AN2032" s="34"/>
      <c r="AO2032" s="34"/>
      <c r="AP2032" s="34"/>
      <c r="AQ2032" s="34"/>
      <c r="AR2032" s="34"/>
      <c r="AS2032" s="34"/>
      <c r="AT2032" s="34"/>
      <c r="AU2032" s="34"/>
      <c r="AV2032" s="34"/>
    </row>
    <row r="2033">
      <c r="A2033" s="34"/>
      <c r="B2033" s="34"/>
      <c r="C2033" s="34"/>
      <c r="D2033" s="34"/>
      <c r="E2033" s="34"/>
      <c r="F2033" s="34"/>
      <c r="G2033" s="34"/>
      <c r="H2033" s="34"/>
      <c r="I2033" s="34"/>
      <c r="J2033" s="34"/>
      <c r="K2033" s="34"/>
      <c r="L2033" s="34"/>
      <c r="M2033" s="34"/>
      <c r="N2033" s="34"/>
      <c r="O2033" s="34"/>
      <c r="P2033" s="34"/>
      <c r="Q2033" s="34"/>
      <c r="R2033" s="34"/>
      <c r="S2033" s="34"/>
      <c r="T2033" s="34"/>
      <c r="U2033" s="34"/>
      <c r="V2033" s="34"/>
      <c r="W2033" s="34"/>
      <c r="X2033" s="34"/>
      <c r="Y2033" s="34"/>
      <c r="Z2033" s="34"/>
      <c r="AA2033" s="34"/>
      <c r="AB2033" s="34"/>
      <c r="AC2033" s="34"/>
      <c r="AD2033" s="34"/>
      <c r="AE2033" s="34"/>
      <c r="AF2033" s="34"/>
      <c r="AG2033" s="34"/>
      <c r="AH2033" s="34"/>
      <c r="AI2033" s="34"/>
      <c r="AJ2033" s="34"/>
      <c r="AK2033" s="34"/>
      <c r="AL2033" s="34"/>
      <c r="AM2033" s="34"/>
      <c r="AN2033" s="34"/>
      <c r="AO2033" s="34"/>
      <c r="AP2033" s="34"/>
      <c r="AQ2033" s="34"/>
      <c r="AR2033" s="34"/>
      <c r="AS2033" s="34"/>
      <c r="AT2033" s="34"/>
      <c r="AU2033" s="34"/>
      <c r="AV2033" s="34"/>
    </row>
    <row r="2034">
      <c r="A2034" s="34"/>
      <c r="B2034" s="34"/>
      <c r="C2034" s="34"/>
      <c r="D2034" s="34"/>
      <c r="E2034" s="34"/>
      <c r="F2034" s="34"/>
      <c r="G2034" s="34"/>
      <c r="H2034" s="34"/>
      <c r="I2034" s="34"/>
      <c r="J2034" s="34"/>
      <c r="K2034" s="34"/>
      <c r="L2034" s="34"/>
      <c r="M2034" s="34"/>
      <c r="N2034" s="34"/>
      <c r="O2034" s="34"/>
      <c r="P2034" s="34"/>
      <c r="Q2034" s="34"/>
      <c r="R2034" s="34"/>
      <c r="S2034" s="34"/>
      <c r="T2034" s="34"/>
      <c r="U2034" s="34"/>
      <c r="V2034" s="34"/>
      <c r="W2034" s="34"/>
      <c r="X2034" s="34"/>
      <c r="Y2034" s="34"/>
      <c r="Z2034" s="34"/>
      <c r="AA2034" s="34"/>
      <c r="AB2034" s="34"/>
      <c r="AC2034" s="34"/>
      <c r="AD2034" s="34"/>
      <c r="AE2034" s="34"/>
      <c r="AF2034" s="34"/>
      <c r="AG2034" s="34"/>
      <c r="AH2034" s="34"/>
      <c r="AI2034" s="34"/>
      <c r="AJ2034" s="34"/>
      <c r="AK2034" s="34"/>
      <c r="AL2034" s="34"/>
      <c r="AM2034" s="34"/>
      <c r="AN2034" s="34"/>
      <c r="AO2034" s="34"/>
      <c r="AP2034" s="34"/>
      <c r="AQ2034" s="34"/>
      <c r="AR2034" s="34"/>
      <c r="AS2034" s="34"/>
      <c r="AT2034" s="34"/>
      <c r="AU2034" s="34"/>
      <c r="AV2034" s="34"/>
    </row>
    <row r="2035">
      <c r="A2035" s="34"/>
      <c r="B2035" s="34"/>
      <c r="C2035" s="34"/>
      <c r="D2035" s="34"/>
      <c r="E2035" s="34"/>
      <c r="F2035" s="34"/>
      <c r="G2035" s="34"/>
      <c r="H2035" s="34"/>
      <c r="I2035" s="34"/>
      <c r="J2035" s="34"/>
      <c r="K2035" s="34"/>
      <c r="L2035" s="34"/>
      <c r="M2035" s="34"/>
      <c r="N2035" s="34"/>
      <c r="O2035" s="34"/>
      <c r="P2035" s="34"/>
      <c r="Q2035" s="34"/>
      <c r="R2035" s="34"/>
      <c r="S2035" s="34"/>
      <c r="T2035" s="34"/>
      <c r="U2035" s="34"/>
      <c r="V2035" s="34"/>
      <c r="W2035" s="34"/>
      <c r="X2035" s="34"/>
      <c r="Y2035" s="34"/>
      <c r="Z2035" s="34"/>
      <c r="AA2035" s="34"/>
      <c r="AB2035" s="34"/>
      <c r="AC2035" s="34"/>
      <c r="AD2035" s="34"/>
      <c r="AE2035" s="34"/>
      <c r="AF2035" s="34"/>
      <c r="AG2035" s="34"/>
      <c r="AH2035" s="34"/>
      <c r="AI2035" s="34"/>
      <c r="AJ2035" s="34"/>
      <c r="AK2035" s="34"/>
      <c r="AL2035" s="34"/>
      <c r="AM2035" s="34"/>
      <c r="AN2035" s="34"/>
      <c r="AO2035" s="34"/>
      <c r="AP2035" s="34"/>
      <c r="AQ2035" s="34"/>
      <c r="AR2035" s="34"/>
      <c r="AS2035" s="34"/>
      <c r="AT2035" s="34"/>
      <c r="AU2035" s="34"/>
      <c r="AV2035" s="34"/>
    </row>
    <row r="2036">
      <c r="A2036" s="34"/>
      <c r="B2036" s="34"/>
      <c r="C2036" s="34"/>
      <c r="D2036" s="34"/>
      <c r="E2036" s="34"/>
      <c r="F2036" s="34"/>
      <c r="G2036" s="34"/>
      <c r="H2036" s="34"/>
      <c r="I2036" s="34"/>
      <c r="J2036" s="34"/>
      <c r="K2036" s="34"/>
      <c r="L2036" s="34"/>
      <c r="M2036" s="34"/>
      <c r="N2036" s="34"/>
      <c r="O2036" s="34"/>
      <c r="P2036" s="34"/>
      <c r="Q2036" s="34"/>
      <c r="R2036" s="34"/>
      <c r="S2036" s="34"/>
      <c r="T2036" s="34"/>
      <c r="U2036" s="34"/>
      <c r="V2036" s="34"/>
      <c r="W2036" s="34"/>
      <c r="X2036" s="34"/>
      <c r="Y2036" s="34"/>
      <c r="Z2036" s="34"/>
      <c r="AA2036" s="34"/>
      <c r="AB2036" s="34"/>
      <c r="AC2036" s="34"/>
      <c r="AD2036" s="34"/>
      <c r="AE2036" s="34"/>
      <c r="AF2036" s="34"/>
      <c r="AG2036" s="34"/>
      <c r="AH2036" s="34"/>
      <c r="AI2036" s="34"/>
      <c r="AJ2036" s="34"/>
      <c r="AK2036" s="34"/>
      <c r="AL2036" s="34"/>
      <c r="AM2036" s="34"/>
      <c r="AN2036" s="34"/>
      <c r="AO2036" s="34"/>
      <c r="AP2036" s="34"/>
      <c r="AQ2036" s="34"/>
      <c r="AR2036" s="34"/>
      <c r="AS2036" s="34"/>
      <c r="AT2036" s="34"/>
      <c r="AU2036" s="34"/>
      <c r="AV2036" s="34"/>
    </row>
    <row r="2037">
      <c r="A2037" s="34"/>
      <c r="B2037" s="34"/>
      <c r="C2037" s="34"/>
      <c r="D2037" s="34"/>
      <c r="E2037" s="34"/>
      <c r="F2037" s="34"/>
      <c r="G2037" s="34"/>
      <c r="H2037" s="34"/>
      <c r="I2037" s="34"/>
      <c r="J2037" s="34"/>
      <c r="K2037" s="34"/>
      <c r="L2037" s="34"/>
      <c r="M2037" s="34"/>
      <c r="N2037" s="34"/>
      <c r="O2037" s="34"/>
      <c r="P2037" s="34"/>
      <c r="Q2037" s="34"/>
      <c r="R2037" s="34"/>
      <c r="S2037" s="34"/>
      <c r="T2037" s="34"/>
      <c r="U2037" s="34"/>
      <c r="V2037" s="34"/>
      <c r="W2037" s="34"/>
      <c r="X2037" s="34"/>
      <c r="Y2037" s="34"/>
      <c r="Z2037" s="34"/>
      <c r="AA2037" s="34"/>
      <c r="AB2037" s="34"/>
      <c r="AC2037" s="34"/>
      <c r="AD2037" s="34"/>
      <c r="AE2037" s="34"/>
      <c r="AF2037" s="34"/>
      <c r="AG2037" s="34"/>
      <c r="AH2037" s="34"/>
      <c r="AI2037" s="34"/>
      <c r="AJ2037" s="34"/>
      <c r="AK2037" s="34"/>
      <c r="AL2037" s="34"/>
      <c r="AM2037" s="34"/>
      <c r="AN2037" s="34"/>
      <c r="AO2037" s="34"/>
      <c r="AP2037" s="34"/>
      <c r="AQ2037" s="34"/>
      <c r="AR2037" s="34"/>
      <c r="AS2037" s="34"/>
      <c r="AT2037" s="34"/>
      <c r="AU2037" s="34"/>
      <c r="AV2037" s="34"/>
    </row>
    <row r="2038">
      <c r="A2038" s="34"/>
      <c r="B2038" s="34"/>
      <c r="C2038" s="34"/>
      <c r="D2038" s="34"/>
      <c r="E2038" s="34"/>
      <c r="F2038" s="34"/>
      <c r="G2038" s="34"/>
      <c r="H2038" s="34"/>
      <c r="I2038" s="34"/>
      <c r="J2038" s="34"/>
      <c r="K2038" s="34"/>
      <c r="L2038" s="34"/>
      <c r="M2038" s="34"/>
      <c r="N2038" s="34"/>
      <c r="O2038" s="34"/>
      <c r="P2038" s="34"/>
      <c r="Q2038" s="34"/>
      <c r="R2038" s="34"/>
      <c r="S2038" s="34"/>
      <c r="T2038" s="34"/>
      <c r="U2038" s="34"/>
      <c r="V2038" s="34"/>
      <c r="W2038" s="34"/>
      <c r="X2038" s="34"/>
      <c r="Y2038" s="34"/>
      <c r="Z2038" s="34"/>
      <c r="AA2038" s="34"/>
      <c r="AB2038" s="34"/>
      <c r="AC2038" s="34"/>
      <c r="AD2038" s="34"/>
      <c r="AE2038" s="34"/>
      <c r="AF2038" s="34"/>
      <c r="AG2038" s="34"/>
      <c r="AH2038" s="34"/>
      <c r="AI2038" s="34"/>
      <c r="AJ2038" s="34"/>
      <c r="AK2038" s="34"/>
      <c r="AL2038" s="34"/>
      <c r="AM2038" s="34"/>
      <c r="AN2038" s="34"/>
      <c r="AO2038" s="34"/>
      <c r="AP2038" s="34"/>
      <c r="AQ2038" s="34"/>
      <c r="AR2038" s="34"/>
      <c r="AS2038" s="34"/>
      <c r="AT2038" s="34"/>
      <c r="AU2038" s="34"/>
      <c r="AV2038" s="34"/>
    </row>
    <row r="2039">
      <c r="A2039" s="34"/>
      <c r="B2039" s="34"/>
      <c r="C2039" s="34"/>
      <c r="D2039" s="34"/>
      <c r="E2039" s="34"/>
      <c r="F2039" s="34"/>
      <c r="G2039" s="34"/>
      <c r="H2039" s="34"/>
      <c r="I2039" s="34"/>
      <c r="J2039" s="34"/>
      <c r="K2039" s="34"/>
      <c r="L2039" s="34"/>
      <c r="M2039" s="34"/>
      <c r="N2039" s="34"/>
      <c r="O2039" s="34"/>
      <c r="P2039" s="34"/>
      <c r="Q2039" s="34"/>
      <c r="R2039" s="34"/>
      <c r="S2039" s="34"/>
      <c r="T2039" s="34"/>
      <c r="U2039" s="34"/>
      <c r="V2039" s="34"/>
      <c r="W2039" s="34"/>
      <c r="X2039" s="34"/>
      <c r="Y2039" s="34"/>
      <c r="Z2039" s="34"/>
      <c r="AA2039" s="34"/>
      <c r="AB2039" s="34"/>
      <c r="AC2039" s="34"/>
      <c r="AD2039" s="34"/>
      <c r="AE2039" s="34"/>
      <c r="AF2039" s="34"/>
      <c r="AG2039" s="34"/>
      <c r="AH2039" s="34"/>
      <c r="AI2039" s="34"/>
      <c r="AJ2039" s="34"/>
      <c r="AK2039" s="34"/>
      <c r="AL2039" s="34"/>
      <c r="AM2039" s="34"/>
      <c r="AN2039" s="34"/>
      <c r="AO2039" s="34"/>
      <c r="AP2039" s="34"/>
      <c r="AQ2039" s="34"/>
      <c r="AR2039" s="34"/>
      <c r="AS2039" s="34"/>
      <c r="AT2039" s="34"/>
      <c r="AU2039" s="34"/>
      <c r="AV2039" s="34"/>
    </row>
    <row r="2040">
      <c r="A2040" s="34"/>
      <c r="B2040" s="34"/>
      <c r="C2040" s="34"/>
      <c r="D2040" s="34"/>
      <c r="E2040" s="34"/>
      <c r="F2040" s="34"/>
      <c r="G2040" s="34"/>
      <c r="H2040" s="34"/>
      <c r="I2040" s="34"/>
      <c r="J2040" s="34"/>
      <c r="K2040" s="34"/>
      <c r="L2040" s="34"/>
      <c r="M2040" s="34"/>
      <c r="N2040" s="34"/>
      <c r="O2040" s="34"/>
      <c r="P2040" s="34"/>
      <c r="Q2040" s="34"/>
      <c r="R2040" s="34"/>
      <c r="S2040" s="34"/>
      <c r="T2040" s="34"/>
      <c r="U2040" s="34"/>
      <c r="V2040" s="34"/>
      <c r="W2040" s="34"/>
      <c r="X2040" s="34"/>
      <c r="Y2040" s="34"/>
      <c r="Z2040" s="34"/>
      <c r="AA2040" s="34"/>
      <c r="AB2040" s="34"/>
      <c r="AC2040" s="34"/>
      <c r="AD2040" s="34"/>
      <c r="AE2040" s="34"/>
      <c r="AF2040" s="34"/>
      <c r="AG2040" s="34"/>
      <c r="AH2040" s="34"/>
      <c r="AI2040" s="34"/>
      <c r="AJ2040" s="34"/>
      <c r="AK2040" s="34"/>
      <c r="AL2040" s="34"/>
      <c r="AM2040" s="34"/>
      <c r="AN2040" s="34"/>
      <c r="AO2040" s="34"/>
      <c r="AP2040" s="34"/>
      <c r="AQ2040" s="34"/>
      <c r="AR2040" s="34"/>
      <c r="AS2040" s="34"/>
      <c r="AT2040" s="34"/>
      <c r="AU2040" s="34"/>
      <c r="AV2040" s="34"/>
    </row>
    <row r="2041">
      <c r="A2041" s="34"/>
      <c r="B2041" s="34"/>
      <c r="C2041" s="34"/>
      <c r="D2041" s="34"/>
      <c r="E2041" s="34"/>
      <c r="F2041" s="34"/>
      <c r="G2041" s="34"/>
      <c r="H2041" s="34"/>
      <c r="I2041" s="34"/>
      <c r="J2041" s="34"/>
      <c r="K2041" s="34"/>
      <c r="L2041" s="34"/>
      <c r="M2041" s="34"/>
      <c r="N2041" s="34"/>
      <c r="O2041" s="34"/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4"/>
      <c r="AM2041" s="34"/>
      <c r="AN2041" s="34"/>
      <c r="AO2041" s="34"/>
      <c r="AP2041" s="34"/>
      <c r="AQ2041" s="34"/>
      <c r="AR2041" s="34"/>
      <c r="AS2041" s="34"/>
      <c r="AT2041" s="34"/>
      <c r="AU2041" s="34"/>
      <c r="AV2041" s="60"/>
    </row>
  </sheetData>
  <hyperlinks>
    <hyperlink r:id="rId1" ref="AS6"/>
    <hyperlink r:id="rId2" ref="AS11"/>
    <hyperlink r:id="rId3" ref="AS17"/>
    <hyperlink r:id="rId4" ref="AS553"/>
  </hyperlinks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2026-06-10T16:38:58Z</dcterms:created>
  <dc:creator>Apache POI</dc:creator>
</cp:coreProperties>
</file>